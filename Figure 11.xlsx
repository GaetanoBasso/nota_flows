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8835" tabRatio="867" firstSheet="1" activeTab="10"/>
  </bookViews>
  <sheets>
    <sheet name="README" sheetId="14" r:id="rId1"/>
    <sheet name="Download aggregate " sheetId="12" r:id="rId2"/>
    <sheet name="Downloaded industry JOLTS" sheetId="1" r:id="rId3"/>
    <sheet name="JOLTS SA Monthly" sheetId="4" r:id="rId4"/>
    <sheet name="Compare sa jolts" sheetId="5" r:id="rId5"/>
    <sheet name="Download industry CPS" sheetId="6" r:id="rId6"/>
    <sheet name="Cleaning CPS" sheetId="9" r:id="rId7"/>
    <sheet name="CPS NSA" sheetId="10" r:id="rId8"/>
    <sheet name="CPS SA Monthly" sheetId="7" r:id="rId9"/>
    <sheet name="All SA qtly" sheetId="8" r:id="rId10"/>
    <sheet name="Fig 11A" sheetId="16" r:id="rId11"/>
    <sheet name="Fig 11B" sheetId="15" r:id="rId12"/>
    <sheet name="Decomp" sheetId="13" r:id="rId13"/>
    <sheet name="Compare aggregates" sheetId="11" r:id="rId14"/>
    <sheet name="cps sa" sheetId="2" r:id="rId15"/>
    <sheet name="jolts sa" sheetId="3" r:id="rId16"/>
  </sheets>
  <definedNames>
    <definedName name="_xlnm._FilterDatabase" localSheetId="9" hidden="1">'All SA qtly'!$CF$1:$CF$165</definedName>
    <definedName name="_xlnm._FilterDatabase" localSheetId="13" hidden="1">'Compare aggregates'!#REF!</definedName>
    <definedName name="_xlnm._FilterDatabase" localSheetId="7" hidden="1">'CPS NSA'!#REF!</definedName>
    <definedName name="_xlnm._FilterDatabase" localSheetId="1" hidden="1">'Download aggregate 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8" l="1"/>
  <c r="B6" i="8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4" i="8"/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2" i="13"/>
  <c r="K3" i="13"/>
  <c r="L3" i="13"/>
  <c r="K4" i="13"/>
  <c r="L4" i="13"/>
  <c r="K5" i="13"/>
  <c r="L5" i="13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K24" i="13"/>
  <c r="L24" i="13"/>
  <c r="K25" i="13"/>
  <c r="L25" i="13"/>
  <c r="K26" i="13"/>
  <c r="L26" i="13"/>
  <c r="K27" i="13"/>
  <c r="L27" i="13"/>
  <c r="K28" i="13"/>
  <c r="L28" i="13"/>
  <c r="K29" i="13"/>
  <c r="L29" i="13"/>
  <c r="K30" i="13"/>
  <c r="L30" i="13"/>
  <c r="K31" i="13"/>
  <c r="L31" i="13"/>
  <c r="K32" i="13"/>
  <c r="L32" i="13"/>
  <c r="K33" i="13"/>
  <c r="L33" i="13"/>
  <c r="K34" i="13"/>
  <c r="L34" i="13"/>
  <c r="K35" i="13"/>
  <c r="L35" i="13"/>
  <c r="K36" i="13"/>
  <c r="L36" i="13"/>
  <c r="K37" i="13"/>
  <c r="L37" i="13"/>
  <c r="K38" i="13"/>
  <c r="L38" i="13"/>
  <c r="K39" i="13"/>
  <c r="L39" i="13"/>
  <c r="K40" i="13"/>
  <c r="L40" i="13"/>
  <c r="K41" i="13"/>
  <c r="L41" i="13"/>
  <c r="K42" i="13"/>
  <c r="L42" i="13"/>
  <c r="K43" i="13"/>
  <c r="L43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K51" i="13"/>
  <c r="L51" i="13"/>
  <c r="L2" i="13"/>
  <c r="K2" i="13"/>
  <c r="E4" i="13" l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3" i="13"/>
  <c r="BJ53" i="8"/>
  <c r="BK53" i="8"/>
  <c r="BL53" i="8"/>
  <c r="BM53" i="8"/>
  <c r="BN53" i="8"/>
  <c r="BO53" i="8"/>
  <c r="BP53" i="8"/>
  <c r="BQ53" i="8"/>
  <c r="BR53" i="8"/>
  <c r="BS53" i="8"/>
  <c r="BT53" i="8"/>
  <c r="BU53" i="8"/>
  <c r="BV53" i="8"/>
  <c r="BW53" i="8"/>
  <c r="BX53" i="8"/>
  <c r="BY53" i="8"/>
  <c r="BI53" i="8"/>
  <c r="DC4" i="8"/>
  <c r="DD4" i="8"/>
  <c r="DE4" i="8"/>
  <c r="DF4" i="8"/>
  <c r="DG4" i="8"/>
  <c r="DH4" i="8"/>
  <c r="DI4" i="8"/>
  <c r="DJ4" i="8"/>
  <c r="DK4" i="8"/>
  <c r="DL4" i="8"/>
  <c r="DM4" i="8"/>
  <c r="DN4" i="8"/>
  <c r="DO4" i="8"/>
  <c r="DP4" i="8"/>
  <c r="DQ4" i="8"/>
  <c r="DR4" i="8"/>
  <c r="DS4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C7" i="8"/>
  <c r="DD7" i="8"/>
  <c r="DE7" i="8"/>
  <c r="DF7" i="8"/>
  <c r="DG7" i="8"/>
  <c r="DH7" i="8"/>
  <c r="DI7" i="8"/>
  <c r="DJ7" i="8"/>
  <c r="DK7" i="8"/>
  <c r="DL7" i="8"/>
  <c r="DM7" i="8"/>
  <c r="DN7" i="8"/>
  <c r="DO7" i="8"/>
  <c r="DP7" i="8"/>
  <c r="DQ7" i="8"/>
  <c r="DR7" i="8"/>
  <c r="DS7" i="8"/>
  <c r="DC8" i="8"/>
  <c r="DD8" i="8"/>
  <c r="DE8" i="8"/>
  <c r="DF8" i="8"/>
  <c r="DG8" i="8"/>
  <c r="DH8" i="8"/>
  <c r="DI8" i="8"/>
  <c r="DJ8" i="8"/>
  <c r="DK8" i="8"/>
  <c r="DL8" i="8"/>
  <c r="DM8" i="8"/>
  <c r="DN8" i="8"/>
  <c r="DO8" i="8"/>
  <c r="DP8" i="8"/>
  <c r="DQ8" i="8"/>
  <c r="DR8" i="8"/>
  <c r="DS8" i="8"/>
  <c r="DC9" i="8"/>
  <c r="DD9" i="8"/>
  <c r="DE9" i="8"/>
  <c r="DF9" i="8"/>
  <c r="DG9" i="8"/>
  <c r="DH9" i="8"/>
  <c r="DI9" i="8"/>
  <c r="DJ9" i="8"/>
  <c r="DK9" i="8"/>
  <c r="DL9" i="8"/>
  <c r="DM9" i="8"/>
  <c r="DN9" i="8"/>
  <c r="DO9" i="8"/>
  <c r="DP9" i="8"/>
  <c r="DQ9" i="8"/>
  <c r="DR9" i="8"/>
  <c r="DS9" i="8"/>
  <c r="DC10" i="8"/>
  <c r="DD10" i="8"/>
  <c r="DE10" i="8"/>
  <c r="DF10" i="8"/>
  <c r="DG10" i="8"/>
  <c r="DH10" i="8"/>
  <c r="DI10" i="8"/>
  <c r="DJ10" i="8"/>
  <c r="DK10" i="8"/>
  <c r="DL10" i="8"/>
  <c r="DM10" i="8"/>
  <c r="DN10" i="8"/>
  <c r="DO10" i="8"/>
  <c r="DP10" i="8"/>
  <c r="DQ10" i="8"/>
  <c r="DR10" i="8"/>
  <c r="DS10" i="8"/>
  <c r="DC11" i="8"/>
  <c r="DD11" i="8"/>
  <c r="DE11" i="8"/>
  <c r="DF11" i="8"/>
  <c r="DG11" i="8"/>
  <c r="DH11" i="8"/>
  <c r="DI11" i="8"/>
  <c r="DJ11" i="8"/>
  <c r="DK11" i="8"/>
  <c r="DL11" i="8"/>
  <c r="DM11" i="8"/>
  <c r="DN11" i="8"/>
  <c r="DO11" i="8"/>
  <c r="DP11" i="8"/>
  <c r="DQ11" i="8"/>
  <c r="DR11" i="8"/>
  <c r="DS11" i="8"/>
  <c r="DC12" i="8"/>
  <c r="DD12" i="8"/>
  <c r="DE12" i="8"/>
  <c r="DF12" i="8"/>
  <c r="DG12" i="8"/>
  <c r="DH12" i="8"/>
  <c r="DI12" i="8"/>
  <c r="DJ12" i="8"/>
  <c r="DK12" i="8"/>
  <c r="DL12" i="8"/>
  <c r="DM12" i="8"/>
  <c r="DN12" i="8"/>
  <c r="DO12" i="8"/>
  <c r="DP12" i="8"/>
  <c r="DQ12" i="8"/>
  <c r="DR12" i="8"/>
  <c r="DS12" i="8"/>
  <c r="DC13" i="8"/>
  <c r="DD13" i="8"/>
  <c r="DE13" i="8"/>
  <c r="DF13" i="8"/>
  <c r="DG13" i="8"/>
  <c r="DH13" i="8"/>
  <c r="DI13" i="8"/>
  <c r="DJ13" i="8"/>
  <c r="DK13" i="8"/>
  <c r="DL13" i="8"/>
  <c r="DM13" i="8"/>
  <c r="DN13" i="8"/>
  <c r="DO13" i="8"/>
  <c r="DP13" i="8"/>
  <c r="DQ13" i="8"/>
  <c r="DR13" i="8"/>
  <c r="DS13" i="8"/>
  <c r="DC14" i="8"/>
  <c r="DD14" i="8"/>
  <c r="DE14" i="8"/>
  <c r="DF14" i="8"/>
  <c r="DG14" i="8"/>
  <c r="DH14" i="8"/>
  <c r="DI14" i="8"/>
  <c r="DJ14" i="8"/>
  <c r="DK14" i="8"/>
  <c r="DL14" i="8"/>
  <c r="DM14" i="8"/>
  <c r="DN14" i="8"/>
  <c r="DO14" i="8"/>
  <c r="DP14" i="8"/>
  <c r="DQ14" i="8"/>
  <c r="DR14" i="8"/>
  <c r="DS14" i="8"/>
  <c r="DC15" i="8"/>
  <c r="DD15" i="8"/>
  <c r="DE15" i="8"/>
  <c r="DF15" i="8"/>
  <c r="DG15" i="8"/>
  <c r="DH15" i="8"/>
  <c r="DI15" i="8"/>
  <c r="DJ15" i="8"/>
  <c r="DK15" i="8"/>
  <c r="DL15" i="8"/>
  <c r="DM15" i="8"/>
  <c r="DN15" i="8"/>
  <c r="DO15" i="8"/>
  <c r="DP15" i="8"/>
  <c r="DQ15" i="8"/>
  <c r="DR15" i="8"/>
  <c r="DS15" i="8"/>
  <c r="DC16" i="8"/>
  <c r="DD16" i="8"/>
  <c r="DE16" i="8"/>
  <c r="DF16" i="8"/>
  <c r="DG16" i="8"/>
  <c r="DH16" i="8"/>
  <c r="DI16" i="8"/>
  <c r="DJ16" i="8"/>
  <c r="DK16" i="8"/>
  <c r="DL16" i="8"/>
  <c r="DM16" i="8"/>
  <c r="DN16" i="8"/>
  <c r="DO16" i="8"/>
  <c r="DP16" i="8"/>
  <c r="DQ16" i="8"/>
  <c r="DR16" i="8"/>
  <c r="DS16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O17" i="8"/>
  <c r="DP17" i="8"/>
  <c r="DQ17" i="8"/>
  <c r="DR17" i="8"/>
  <c r="DS17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C19" i="8"/>
  <c r="DD19" i="8"/>
  <c r="DE19" i="8"/>
  <c r="DF19" i="8"/>
  <c r="DG19" i="8"/>
  <c r="DH19" i="8"/>
  <c r="DI19" i="8"/>
  <c r="DJ19" i="8"/>
  <c r="DK19" i="8"/>
  <c r="DL19" i="8"/>
  <c r="DM19" i="8"/>
  <c r="DN19" i="8"/>
  <c r="DO19" i="8"/>
  <c r="DP19" i="8"/>
  <c r="DQ19" i="8"/>
  <c r="DR19" i="8"/>
  <c r="DS19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DP22" i="8"/>
  <c r="DQ22" i="8"/>
  <c r="DR22" i="8"/>
  <c r="DS22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DP23" i="8"/>
  <c r="DQ23" i="8"/>
  <c r="DR23" i="8"/>
  <c r="DS23" i="8"/>
  <c r="DC24" i="8"/>
  <c r="DD24" i="8"/>
  <c r="DE24" i="8"/>
  <c r="DF24" i="8"/>
  <c r="DG24" i="8"/>
  <c r="DH24" i="8"/>
  <c r="DI24" i="8"/>
  <c r="DJ24" i="8"/>
  <c r="DK24" i="8"/>
  <c r="DL24" i="8"/>
  <c r="DM24" i="8"/>
  <c r="DN24" i="8"/>
  <c r="DO24" i="8"/>
  <c r="DP24" i="8"/>
  <c r="DQ24" i="8"/>
  <c r="DR24" i="8"/>
  <c r="DS24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C26" i="8"/>
  <c r="DD26" i="8"/>
  <c r="DE26" i="8"/>
  <c r="DF26" i="8"/>
  <c r="DG26" i="8"/>
  <c r="DH26" i="8"/>
  <c r="DI26" i="8"/>
  <c r="DJ26" i="8"/>
  <c r="DK26" i="8"/>
  <c r="DL26" i="8"/>
  <c r="DM26" i="8"/>
  <c r="DN26" i="8"/>
  <c r="DO26" i="8"/>
  <c r="DP26" i="8"/>
  <c r="DQ26" i="8"/>
  <c r="DR26" i="8"/>
  <c r="DS26" i="8"/>
  <c r="DC27" i="8"/>
  <c r="DD27" i="8"/>
  <c r="DE27" i="8"/>
  <c r="DF27" i="8"/>
  <c r="DG27" i="8"/>
  <c r="DH27" i="8"/>
  <c r="DI27" i="8"/>
  <c r="DJ27" i="8"/>
  <c r="DK27" i="8"/>
  <c r="DL27" i="8"/>
  <c r="DM27" i="8"/>
  <c r="DN27" i="8"/>
  <c r="DO27" i="8"/>
  <c r="DP27" i="8"/>
  <c r="DQ27" i="8"/>
  <c r="DR27" i="8"/>
  <c r="DS27" i="8"/>
  <c r="DC28" i="8"/>
  <c r="DD28" i="8"/>
  <c r="DE28" i="8"/>
  <c r="DF28" i="8"/>
  <c r="DG28" i="8"/>
  <c r="DH28" i="8"/>
  <c r="DI28" i="8"/>
  <c r="DJ28" i="8"/>
  <c r="DK28" i="8"/>
  <c r="DL28" i="8"/>
  <c r="DM28" i="8"/>
  <c r="DN28" i="8"/>
  <c r="DO28" i="8"/>
  <c r="DP28" i="8"/>
  <c r="DQ28" i="8"/>
  <c r="DR28" i="8"/>
  <c r="DS28" i="8"/>
  <c r="DC29" i="8"/>
  <c r="DD29" i="8"/>
  <c r="DE29" i="8"/>
  <c r="DF29" i="8"/>
  <c r="DG29" i="8"/>
  <c r="DH29" i="8"/>
  <c r="DI29" i="8"/>
  <c r="DJ29" i="8"/>
  <c r="DK29" i="8"/>
  <c r="DL29" i="8"/>
  <c r="DM29" i="8"/>
  <c r="DN29" i="8"/>
  <c r="DO29" i="8"/>
  <c r="DP29" i="8"/>
  <c r="DQ29" i="8"/>
  <c r="DR29" i="8"/>
  <c r="DS29" i="8"/>
  <c r="DC30" i="8"/>
  <c r="DD30" i="8"/>
  <c r="DE30" i="8"/>
  <c r="DF30" i="8"/>
  <c r="DG30" i="8"/>
  <c r="DH30" i="8"/>
  <c r="DI30" i="8"/>
  <c r="DJ30" i="8"/>
  <c r="DK30" i="8"/>
  <c r="DL30" i="8"/>
  <c r="DM30" i="8"/>
  <c r="DN30" i="8"/>
  <c r="DO30" i="8"/>
  <c r="DP30" i="8"/>
  <c r="DQ30" i="8"/>
  <c r="DR30" i="8"/>
  <c r="DS30" i="8"/>
  <c r="DC31" i="8"/>
  <c r="DD31" i="8"/>
  <c r="DE31" i="8"/>
  <c r="DF31" i="8"/>
  <c r="DG31" i="8"/>
  <c r="DH31" i="8"/>
  <c r="DI31" i="8"/>
  <c r="DJ31" i="8"/>
  <c r="DK31" i="8"/>
  <c r="DL31" i="8"/>
  <c r="DM31" i="8"/>
  <c r="DN31" i="8"/>
  <c r="DO31" i="8"/>
  <c r="DP31" i="8"/>
  <c r="DQ31" i="8"/>
  <c r="DR31" i="8"/>
  <c r="DS31" i="8"/>
  <c r="DC32" i="8"/>
  <c r="DD32" i="8"/>
  <c r="DE32" i="8"/>
  <c r="DF32" i="8"/>
  <c r="DG32" i="8"/>
  <c r="DH32" i="8"/>
  <c r="DI32" i="8"/>
  <c r="DJ32" i="8"/>
  <c r="DK32" i="8"/>
  <c r="DL32" i="8"/>
  <c r="DM32" i="8"/>
  <c r="DN32" i="8"/>
  <c r="DO32" i="8"/>
  <c r="DP32" i="8"/>
  <c r="DQ32" i="8"/>
  <c r="DR32" i="8"/>
  <c r="DS32" i="8"/>
  <c r="DC33" i="8"/>
  <c r="DD33" i="8"/>
  <c r="DE33" i="8"/>
  <c r="DF33" i="8"/>
  <c r="DG33" i="8"/>
  <c r="DH33" i="8"/>
  <c r="DI33" i="8"/>
  <c r="DJ33" i="8"/>
  <c r="DK33" i="8"/>
  <c r="DL33" i="8"/>
  <c r="DM33" i="8"/>
  <c r="DN33" i="8"/>
  <c r="DO33" i="8"/>
  <c r="DP33" i="8"/>
  <c r="DQ33" i="8"/>
  <c r="DR33" i="8"/>
  <c r="DS33" i="8"/>
  <c r="DC34" i="8"/>
  <c r="DD34" i="8"/>
  <c r="DE34" i="8"/>
  <c r="DF34" i="8"/>
  <c r="DG34" i="8"/>
  <c r="DH34" i="8"/>
  <c r="DI34" i="8"/>
  <c r="DJ34" i="8"/>
  <c r="DK34" i="8"/>
  <c r="DL34" i="8"/>
  <c r="DM34" i="8"/>
  <c r="DN34" i="8"/>
  <c r="DO34" i="8"/>
  <c r="DP34" i="8"/>
  <c r="DQ34" i="8"/>
  <c r="DR34" i="8"/>
  <c r="DS34" i="8"/>
  <c r="DC35" i="8"/>
  <c r="DD35" i="8"/>
  <c r="DE35" i="8"/>
  <c r="DF35" i="8"/>
  <c r="DG35" i="8"/>
  <c r="DH35" i="8"/>
  <c r="DI35" i="8"/>
  <c r="DJ35" i="8"/>
  <c r="DK35" i="8"/>
  <c r="DL35" i="8"/>
  <c r="DM35" i="8"/>
  <c r="DN35" i="8"/>
  <c r="DO35" i="8"/>
  <c r="DP35" i="8"/>
  <c r="DQ35" i="8"/>
  <c r="DR35" i="8"/>
  <c r="DS35" i="8"/>
  <c r="DC36" i="8"/>
  <c r="DD36" i="8"/>
  <c r="DE36" i="8"/>
  <c r="DF36" i="8"/>
  <c r="DG36" i="8"/>
  <c r="DH36" i="8"/>
  <c r="DI36" i="8"/>
  <c r="DJ36" i="8"/>
  <c r="DK36" i="8"/>
  <c r="DL36" i="8"/>
  <c r="DM36" i="8"/>
  <c r="DN36" i="8"/>
  <c r="DO36" i="8"/>
  <c r="DP36" i="8"/>
  <c r="DQ36" i="8"/>
  <c r="DR36" i="8"/>
  <c r="DS36" i="8"/>
  <c r="DC37" i="8"/>
  <c r="DD37" i="8"/>
  <c r="DE37" i="8"/>
  <c r="DF37" i="8"/>
  <c r="DG37" i="8"/>
  <c r="DH37" i="8"/>
  <c r="DI37" i="8"/>
  <c r="DJ37" i="8"/>
  <c r="DK37" i="8"/>
  <c r="DL37" i="8"/>
  <c r="DM37" i="8"/>
  <c r="DN37" i="8"/>
  <c r="DO37" i="8"/>
  <c r="DP37" i="8"/>
  <c r="DQ37" i="8"/>
  <c r="DR37" i="8"/>
  <c r="DS37" i="8"/>
  <c r="DC38" i="8"/>
  <c r="DD38" i="8"/>
  <c r="DE38" i="8"/>
  <c r="DF38" i="8"/>
  <c r="DG38" i="8"/>
  <c r="DH38" i="8"/>
  <c r="DI38" i="8"/>
  <c r="DJ38" i="8"/>
  <c r="DK38" i="8"/>
  <c r="DL38" i="8"/>
  <c r="DM38" i="8"/>
  <c r="DN38" i="8"/>
  <c r="DO38" i="8"/>
  <c r="DP38" i="8"/>
  <c r="DQ38" i="8"/>
  <c r="DR38" i="8"/>
  <c r="DS38" i="8"/>
  <c r="DC39" i="8"/>
  <c r="DD39" i="8"/>
  <c r="DE39" i="8"/>
  <c r="DF39" i="8"/>
  <c r="DG39" i="8"/>
  <c r="DH39" i="8"/>
  <c r="DI39" i="8"/>
  <c r="DJ39" i="8"/>
  <c r="DK39" i="8"/>
  <c r="DL39" i="8"/>
  <c r="DM39" i="8"/>
  <c r="DN39" i="8"/>
  <c r="DO39" i="8"/>
  <c r="DP39" i="8"/>
  <c r="DQ39" i="8"/>
  <c r="DR39" i="8"/>
  <c r="DS39" i="8"/>
  <c r="DC40" i="8"/>
  <c r="DD40" i="8"/>
  <c r="DE40" i="8"/>
  <c r="DF40" i="8"/>
  <c r="DG40" i="8"/>
  <c r="DH40" i="8"/>
  <c r="DI40" i="8"/>
  <c r="DJ40" i="8"/>
  <c r="DK40" i="8"/>
  <c r="DL40" i="8"/>
  <c r="DM40" i="8"/>
  <c r="DN40" i="8"/>
  <c r="DO40" i="8"/>
  <c r="DP40" i="8"/>
  <c r="DQ40" i="8"/>
  <c r="DR40" i="8"/>
  <c r="DS40" i="8"/>
  <c r="DC41" i="8"/>
  <c r="DD41" i="8"/>
  <c r="DE41" i="8"/>
  <c r="DF41" i="8"/>
  <c r="DG41" i="8"/>
  <c r="DH41" i="8"/>
  <c r="DI41" i="8"/>
  <c r="DJ41" i="8"/>
  <c r="DK41" i="8"/>
  <c r="DL41" i="8"/>
  <c r="DM41" i="8"/>
  <c r="DN41" i="8"/>
  <c r="DO41" i="8"/>
  <c r="DP41" i="8"/>
  <c r="DQ41" i="8"/>
  <c r="DR41" i="8"/>
  <c r="DS41" i="8"/>
  <c r="DC42" i="8"/>
  <c r="DD42" i="8"/>
  <c r="DE42" i="8"/>
  <c r="DF42" i="8"/>
  <c r="DG42" i="8"/>
  <c r="DH42" i="8"/>
  <c r="DI42" i="8"/>
  <c r="DJ42" i="8"/>
  <c r="DK42" i="8"/>
  <c r="DL42" i="8"/>
  <c r="DM42" i="8"/>
  <c r="DN42" i="8"/>
  <c r="DO42" i="8"/>
  <c r="DP42" i="8"/>
  <c r="DQ42" i="8"/>
  <c r="DR42" i="8"/>
  <c r="DS42" i="8"/>
  <c r="DC43" i="8"/>
  <c r="DD43" i="8"/>
  <c r="DE43" i="8"/>
  <c r="DF43" i="8"/>
  <c r="DG43" i="8"/>
  <c r="DH43" i="8"/>
  <c r="DI43" i="8"/>
  <c r="DJ43" i="8"/>
  <c r="DK43" i="8"/>
  <c r="DL43" i="8"/>
  <c r="DM43" i="8"/>
  <c r="DN43" i="8"/>
  <c r="DO43" i="8"/>
  <c r="DP43" i="8"/>
  <c r="DQ43" i="8"/>
  <c r="DR43" i="8"/>
  <c r="DS43" i="8"/>
  <c r="DC44" i="8"/>
  <c r="DD44" i="8"/>
  <c r="DE44" i="8"/>
  <c r="DF44" i="8"/>
  <c r="DG44" i="8"/>
  <c r="DH44" i="8"/>
  <c r="DI44" i="8"/>
  <c r="DJ44" i="8"/>
  <c r="DK44" i="8"/>
  <c r="DL44" i="8"/>
  <c r="DM44" i="8"/>
  <c r="DN44" i="8"/>
  <c r="DO44" i="8"/>
  <c r="DP44" i="8"/>
  <c r="DQ44" i="8"/>
  <c r="DR44" i="8"/>
  <c r="DS44" i="8"/>
  <c r="DC45" i="8"/>
  <c r="DD45" i="8"/>
  <c r="DE45" i="8"/>
  <c r="DF45" i="8"/>
  <c r="DG45" i="8"/>
  <c r="DH45" i="8"/>
  <c r="DI45" i="8"/>
  <c r="DJ45" i="8"/>
  <c r="DK45" i="8"/>
  <c r="DL45" i="8"/>
  <c r="DM45" i="8"/>
  <c r="DN45" i="8"/>
  <c r="DO45" i="8"/>
  <c r="DP45" i="8"/>
  <c r="DQ45" i="8"/>
  <c r="DR45" i="8"/>
  <c r="DS45" i="8"/>
  <c r="DC46" i="8"/>
  <c r="DD46" i="8"/>
  <c r="DE46" i="8"/>
  <c r="DF46" i="8"/>
  <c r="DG46" i="8"/>
  <c r="DH46" i="8"/>
  <c r="DI46" i="8"/>
  <c r="DJ46" i="8"/>
  <c r="DK46" i="8"/>
  <c r="DL46" i="8"/>
  <c r="DM46" i="8"/>
  <c r="DN46" i="8"/>
  <c r="DO46" i="8"/>
  <c r="DP46" i="8"/>
  <c r="DQ46" i="8"/>
  <c r="DR46" i="8"/>
  <c r="DS46" i="8"/>
  <c r="DC47" i="8"/>
  <c r="DD47" i="8"/>
  <c r="DE47" i="8"/>
  <c r="DF47" i="8"/>
  <c r="DG47" i="8"/>
  <c r="DH47" i="8"/>
  <c r="DI47" i="8"/>
  <c r="DJ47" i="8"/>
  <c r="DK47" i="8"/>
  <c r="DL47" i="8"/>
  <c r="DM47" i="8"/>
  <c r="DN47" i="8"/>
  <c r="DO47" i="8"/>
  <c r="DP47" i="8"/>
  <c r="DQ47" i="8"/>
  <c r="DR47" i="8"/>
  <c r="DS47" i="8"/>
  <c r="DC48" i="8"/>
  <c r="DD48" i="8"/>
  <c r="DE48" i="8"/>
  <c r="DF48" i="8"/>
  <c r="DG48" i="8"/>
  <c r="DH48" i="8"/>
  <c r="DI48" i="8"/>
  <c r="DJ48" i="8"/>
  <c r="DK48" i="8"/>
  <c r="DL48" i="8"/>
  <c r="DM48" i="8"/>
  <c r="DN48" i="8"/>
  <c r="DO48" i="8"/>
  <c r="DP48" i="8"/>
  <c r="DQ48" i="8"/>
  <c r="DR48" i="8"/>
  <c r="DS48" i="8"/>
  <c r="DC49" i="8"/>
  <c r="DD49" i="8"/>
  <c r="DE49" i="8"/>
  <c r="DF49" i="8"/>
  <c r="DG49" i="8"/>
  <c r="DH49" i="8"/>
  <c r="DI49" i="8"/>
  <c r="DJ49" i="8"/>
  <c r="DK49" i="8"/>
  <c r="DL49" i="8"/>
  <c r="DM49" i="8"/>
  <c r="DN49" i="8"/>
  <c r="DO49" i="8"/>
  <c r="DP49" i="8"/>
  <c r="DQ49" i="8"/>
  <c r="DR49" i="8"/>
  <c r="DS49" i="8"/>
  <c r="DC50" i="8"/>
  <c r="DD50" i="8"/>
  <c r="DE50" i="8"/>
  <c r="DF50" i="8"/>
  <c r="DG50" i="8"/>
  <c r="DH50" i="8"/>
  <c r="DI50" i="8"/>
  <c r="DJ50" i="8"/>
  <c r="DK50" i="8"/>
  <c r="DL50" i="8"/>
  <c r="DM50" i="8"/>
  <c r="DN50" i="8"/>
  <c r="DO50" i="8"/>
  <c r="DP50" i="8"/>
  <c r="DQ50" i="8"/>
  <c r="DR50" i="8"/>
  <c r="DS50" i="8"/>
  <c r="DC51" i="8"/>
  <c r="DD51" i="8"/>
  <c r="DE51" i="8"/>
  <c r="DF51" i="8"/>
  <c r="DG51" i="8"/>
  <c r="DH51" i="8"/>
  <c r="DI51" i="8"/>
  <c r="DJ51" i="8"/>
  <c r="DK51" i="8"/>
  <c r="DL51" i="8"/>
  <c r="DM51" i="8"/>
  <c r="DN51" i="8"/>
  <c r="DO51" i="8"/>
  <c r="DP51" i="8"/>
  <c r="DQ51" i="8"/>
  <c r="DR51" i="8"/>
  <c r="DS51" i="8"/>
  <c r="DC52" i="8"/>
  <c r="DD52" i="8"/>
  <c r="DE52" i="8"/>
  <c r="DF52" i="8"/>
  <c r="DG52" i="8"/>
  <c r="DH52" i="8"/>
  <c r="DI52" i="8"/>
  <c r="DJ52" i="8"/>
  <c r="DK52" i="8"/>
  <c r="DL52" i="8"/>
  <c r="DM52" i="8"/>
  <c r="DN52" i="8"/>
  <c r="DO52" i="8"/>
  <c r="DP52" i="8"/>
  <c r="DQ52" i="8"/>
  <c r="DR52" i="8"/>
  <c r="DS52" i="8"/>
  <c r="DD3" i="8"/>
  <c r="DE3" i="8"/>
  <c r="DF3" i="8"/>
  <c r="DG3" i="8"/>
  <c r="DH3" i="8"/>
  <c r="DI3" i="8"/>
  <c r="DJ3" i="8"/>
  <c r="DK3" i="8"/>
  <c r="DL3" i="8"/>
  <c r="DM3" i="8"/>
  <c r="DN3" i="8"/>
  <c r="DO3" i="8"/>
  <c r="DP3" i="8"/>
  <c r="DQ3" i="8"/>
  <c r="DR3" i="8"/>
  <c r="DS3" i="8"/>
  <c r="CB1" i="8"/>
  <c r="BF4" i="8"/>
  <c r="BF5" i="8"/>
  <c r="BF6" i="8"/>
  <c r="BF7" i="8"/>
  <c r="BF8" i="8"/>
  <c r="BF9" i="8"/>
  <c r="BF10" i="8"/>
  <c r="BF11" i="8"/>
  <c r="BF12" i="8"/>
  <c r="BF13" i="8"/>
  <c r="BF14" i="8"/>
  <c r="BF15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3" i="8"/>
  <c r="BY8" i="8"/>
  <c r="BY12" i="8"/>
  <c r="BY16" i="8"/>
  <c r="BY24" i="8"/>
  <c r="BY25" i="8"/>
  <c r="BY32" i="8"/>
  <c r="BY40" i="8"/>
  <c r="BY41" i="8"/>
  <c r="BY52" i="8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3" i="11"/>
  <c r="AN4" i="8"/>
  <c r="BY4" i="8" s="1"/>
  <c r="AN5" i="8"/>
  <c r="BY5" i="8" s="1"/>
  <c r="AN6" i="8"/>
  <c r="BY6" i="8" s="1"/>
  <c r="AN7" i="8"/>
  <c r="BY7" i="8" s="1"/>
  <c r="AN8" i="8"/>
  <c r="BK8" i="8" s="1"/>
  <c r="AN9" i="8"/>
  <c r="BN9" i="8" s="1"/>
  <c r="AN10" i="8"/>
  <c r="BR10" i="8" s="1"/>
  <c r="AN11" i="8"/>
  <c r="BI11" i="8" s="1"/>
  <c r="AN12" i="8"/>
  <c r="AN13" i="8"/>
  <c r="BY13" i="8" s="1"/>
  <c r="AN14" i="8"/>
  <c r="BY14" i="8" s="1"/>
  <c r="AN15" i="8"/>
  <c r="BY15" i="8" s="1"/>
  <c r="AN16" i="8"/>
  <c r="AN17" i="8"/>
  <c r="BY17" i="8" s="1"/>
  <c r="AN18" i="8"/>
  <c r="BY18" i="8" s="1"/>
  <c r="AN19" i="8"/>
  <c r="AN20" i="8"/>
  <c r="BK20" i="8" s="1"/>
  <c r="AN21" i="8"/>
  <c r="BY21" i="8" s="1"/>
  <c r="AN22" i="8"/>
  <c r="BY22" i="8" s="1"/>
  <c r="AN23" i="8"/>
  <c r="BK23" i="8" s="1"/>
  <c r="CC23" i="8" s="1"/>
  <c r="AN24" i="8"/>
  <c r="AN25" i="8"/>
  <c r="AN26" i="8"/>
  <c r="BY26" i="8" s="1"/>
  <c r="AN27" i="8"/>
  <c r="BO27" i="8" s="1"/>
  <c r="AN28" i="8"/>
  <c r="BY28" i="8" s="1"/>
  <c r="AN29" i="8"/>
  <c r="BY29" i="8" s="1"/>
  <c r="AN30" i="8"/>
  <c r="AN31" i="8"/>
  <c r="BY31" i="8" s="1"/>
  <c r="AN32" i="8"/>
  <c r="AN33" i="8"/>
  <c r="BM33" i="8" s="1"/>
  <c r="AN34" i="8"/>
  <c r="BR34" i="8" s="1"/>
  <c r="AN35" i="8"/>
  <c r="BI35" i="8" s="1"/>
  <c r="AN36" i="8"/>
  <c r="AN37" i="8"/>
  <c r="BY37" i="8" s="1"/>
  <c r="AN38" i="8"/>
  <c r="BY38" i="8" s="1"/>
  <c r="AN39" i="8"/>
  <c r="BO39" i="8" s="1"/>
  <c r="AN40" i="8"/>
  <c r="BQ40" i="8" s="1"/>
  <c r="AN41" i="8"/>
  <c r="BM41" i="8" s="1"/>
  <c r="AN42" i="8"/>
  <c r="BM42" i="8" s="1"/>
  <c r="AN43" i="8"/>
  <c r="BL43" i="8" s="1"/>
  <c r="AN44" i="8"/>
  <c r="BY44" i="8" s="1"/>
  <c r="AN45" i="8"/>
  <c r="BY45" i="8" s="1"/>
  <c r="AN46" i="8"/>
  <c r="AN47" i="8"/>
  <c r="BY47" i="8" s="1"/>
  <c r="AN48" i="8"/>
  <c r="BN48" i="8" s="1"/>
  <c r="AN49" i="8"/>
  <c r="BS49" i="8" s="1"/>
  <c r="AN50" i="8"/>
  <c r="BY50" i="8" s="1"/>
  <c r="AN51" i="8"/>
  <c r="AN52" i="8"/>
  <c r="BQ52" i="8" s="1"/>
  <c r="AN53" i="8"/>
  <c r="AN3" i="8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4" i="7"/>
  <c r="AK3" i="9"/>
  <c r="AK4" i="9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K105" i="9"/>
  <c r="AK106" i="9"/>
  <c r="AK107" i="9"/>
  <c r="AK108" i="9"/>
  <c r="AK109" i="9"/>
  <c r="AK110" i="9"/>
  <c r="AK111" i="9"/>
  <c r="AK112" i="9"/>
  <c r="AK113" i="9"/>
  <c r="AK114" i="9"/>
  <c r="AK115" i="9"/>
  <c r="AK116" i="9"/>
  <c r="AK117" i="9"/>
  <c r="AK118" i="9"/>
  <c r="AK119" i="9"/>
  <c r="AK120" i="9"/>
  <c r="AK121" i="9"/>
  <c r="AK122" i="9"/>
  <c r="AK123" i="9"/>
  <c r="AK124" i="9"/>
  <c r="AK125" i="9"/>
  <c r="AK126" i="9"/>
  <c r="AK127" i="9"/>
  <c r="AK128" i="9"/>
  <c r="AK129" i="9"/>
  <c r="AK130" i="9"/>
  <c r="AK131" i="9"/>
  <c r="AK132" i="9"/>
  <c r="AK133" i="9"/>
  <c r="AK134" i="9"/>
  <c r="AK135" i="9"/>
  <c r="AK136" i="9"/>
  <c r="AK137" i="9"/>
  <c r="AK138" i="9"/>
  <c r="AK139" i="9"/>
  <c r="AK140" i="9"/>
  <c r="AK141" i="9"/>
  <c r="AK142" i="9"/>
  <c r="AK143" i="9"/>
  <c r="AK144" i="9"/>
  <c r="AK145" i="9"/>
  <c r="AK146" i="9"/>
  <c r="AK147" i="9"/>
  <c r="AK148" i="9"/>
  <c r="AK149" i="9"/>
  <c r="AK150" i="9"/>
  <c r="AK151" i="9"/>
  <c r="AK152" i="9"/>
  <c r="AK153" i="9"/>
  <c r="AK154" i="9"/>
  <c r="AK155" i="9"/>
  <c r="AK156" i="9"/>
  <c r="AK157" i="9"/>
  <c r="AK158" i="9"/>
  <c r="AK159" i="9"/>
  <c r="AK160" i="9"/>
  <c r="AK161" i="9"/>
  <c r="AK162" i="9"/>
  <c r="AK163" i="9"/>
  <c r="AK164" i="9"/>
  <c r="AK165" i="9"/>
  <c r="AK166" i="9"/>
  <c r="AK167" i="9"/>
  <c r="AK168" i="9"/>
  <c r="AK169" i="9"/>
  <c r="AK170" i="9"/>
  <c r="AK171" i="9"/>
  <c r="AK172" i="9"/>
  <c r="AK173" i="9"/>
  <c r="AK174" i="9"/>
  <c r="AK175" i="9"/>
  <c r="AK176" i="9"/>
  <c r="AK177" i="9"/>
  <c r="AK178" i="9"/>
  <c r="AK179" i="9"/>
  <c r="AK180" i="9"/>
  <c r="AK2" i="9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3" i="11"/>
  <c r="U4" i="8"/>
  <c r="U5" i="8"/>
  <c r="U6" i="8"/>
  <c r="U7" i="8"/>
  <c r="BG7" i="8" s="1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BG23" i="8" s="1"/>
  <c r="U24" i="8"/>
  <c r="U25" i="8"/>
  <c r="U26" i="8"/>
  <c r="U27" i="8"/>
  <c r="U28" i="8"/>
  <c r="U29" i="8"/>
  <c r="U30" i="8"/>
  <c r="U31" i="8"/>
  <c r="BG31" i="8" s="1"/>
  <c r="U32" i="8"/>
  <c r="U33" i="8"/>
  <c r="U34" i="8"/>
  <c r="U35" i="8"/>
  <c r="U36" i="8"/>
  <c r="U37" i="8"/>
  <c r="BG37" i="8" s="1"/>
  <c r="U38" i="8"/>
  <c r="U39" i="8"/>
  <c r="U40" i="8"/>
  <c r="U41" i="8"/>
  <c r="U42" i="8"/>
  <c r="U43" i="8"/>
  <c r="U44" i="8"/>
  <c r="U45" i="8"/>
  <c r="U46" i="8"/>
  <c r="U47" i="8"/>
  <c r="BG47" i="8" s="1"/>
  <c r="U48" i="8"/>
  <c r="U49" i="8"/>
  <c r="U50" i="8"/>
  <c r="U51" i="8"/>
  <c r="U52" i="8"/>
  <c r="U3" i="8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7" i="4"/>
  <c r="AJ136" i="4"/>
  <c r="AJ135" i="4"/>
  <c r="AJ134" i="4"/>
  <c r="AJ133" i="4"/>
  <c r="AJ132" i="4"/>
  <c r="AJ131" i="4"/>
  <c r="AJ130" i="4"/>
  <c r="AJ129" i="4"/>
  <c r="AJ128" i="4"/>
  <c r="AJ127" i="4"/>
  <c r="AJ126" i="4"/>
  <c r="AJ125" i="4"/>
  <c r="AJ124" i="4"/>
  <c r="AJ123" i="4"/>
  <c r="AJ122" i="4"/>
  <c r="AJ121" i="4"/>
  <c r="AJ120" i="4"/>
  <c r="AJ119" i="4"/>
  <c r="AJ118" i="4"/>
  <c r="AJ117" i="4"/>
  <c r="AJ116" i="4"/>
  <c r="AJ115" i="4"/>
  <c r="AJ114" i="4"/>
  <c r="AJ113" i="4"/>
  <c r="AJ112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6" i="11"/>
  <c r="AI6" i="11"/>
  <c r="AH6" i="11"/>
  <c r="AD4" i="11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3" i="12"/>
  <c r="BM47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AP48" i="8"/>
  <c r="AQ48" i="8"/>
  <c r="AR48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AP52" i="8"/>
  <c r="AQ52" i="8"/>
  <c r="AR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AP3" i="8"/>
  <c r="BS4" i="8"/>
  <c r="BI5" i="8"/>
  <c r="BO7" i="8"/>
  <c r="BR12" i="8"/>
  <c r="BO13" i="8"/>
  <c r="BR16" i="8"/>
  <c r="BJ21" i="8"/>
  <c r="BJ24" i="8"/>
  <c r="BM29" i="8"/>
  <c r="BI31" i="8"/>
  <c r="BM32" i="8"/>
  <c r="BO37" i="8"/>
  <c r="BJ44" i="8"/>
  <c r="BO45" i="8"/>
  <c r="BP47" i="8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T167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4" i="7"/>
  <c r="B165" i="7"/>
  <c r="B166" i="7"/>
  <c r="B167" i="7" s="1"/>
  <c r="B155" i="7"/>
  <c r="B156" i="7" s="1"/>
  <c r="B157" i="7" s="1"/>
  <c r="B158" i="7" s="1"/>
  <c r="B159" i="7" s="1"/>
  <c r="B160" i="7" s="1"/>
  <c r="B161" i="7" s="1"/>
  <c r="B162" i="7" s="1"/>
  <c r="B163" i="7" s="1"/>
  <c r="B164" i="7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AJ150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AJ154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AI155" i="9"/>
  <c r="AJ155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AJ158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AJ160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AJ161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AJ165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AJ166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AJ167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AJ168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AJ169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AJ170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AI171" i="9"/>
  <c r="AJ171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AJ172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AJ173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AJ174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AJ176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AJ177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AJ178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AG179" i="9"/>
  <c r="AH179" i="9"/>
  <c r="AI179" i="9"/>
  <c r="AJ179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AJ180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U2" i="9"/>
  <c r="BY11" i="8" l="1"/>
  <c r="CH47" i="8"/>
  <c r="BY39" i="8"/>
  <c r="CQ39" i="8" s="1"/>
  <c r="BY23" i="8"/>
  <c r="CQ23" i="8" s="1"/>
  <c r="BY10" i="8"/>
  <c r="BY35" i="8"/>
  <c r="BY20" i="8"/>
  <c r="BY9" i="8"/>
  <c r="BY49" i="8"/>
  <c r="BY48" i="8"/>
  <c r="BY33" i="8"/>
  <c r="CQ33" i="8" s="1"/>
  <c r="BI15" i="8"/>
  <c r="BY34" i="8"/>
  <c r="BY42" i="8"/>
  <c r="CQ31" i="8"/>
  <c r="CQ24" i="8"/>
  <c r="BW30" i="8"/>
  <c r="BY30" i="8"/>
  <c r="CQ47" i="8"/>
  <c r="BL28" i="8"/>
  <c r="CG7" i="8"/>
  <c r="CJ10" i="8"/>
  <c r="BY27" i="8"/>
  <c r="CQ37" i="8"/>
  <c r="CJ34" i="8"/>
  <c r="CQ15" i="8"/>
  <c r="CQ11" i="8"/>
  <c r="CG37" i="8"/>
  <c r="BY3" i="8"/>
  <c r="BP3" i="8"/>
  <c r="BY46" i="8"/>
  <c r="BS46" i="8"/>
  <c r="CA31" i="8"/>
  <c r="BY36" i="8"/>
  <c r="CQ36" i="8" s="1"/>
  <c r="BU36" i="8"/>
  <c r="BJ51" i="8"/>
  <c r="BY51" i="8"/>
  <c r="BO19" i="8"/>
  <c r="BY19" i="8"/>
  <c r="BY43" i="8"/>
  <c r="CQ7" i="8"/>
  <c r="CC8" i="8"/>
  <c r="CE47" i="8"/>
  <c r="BG33" i="8"/>
  <c r="BG48" i="8"/>
  <c r="BG32" i="8"/>
  <c r="CE32" i="8" s="1"/>
  <c r="BG24" i="8"/>
  <c r="CB24" i="8" s="1"/>
  <c r="BT44" i="8"/>
  <c r="BG42" i="8"/>
  <c r="CQ42" i="8" s="1"/>
  <c r="BI44" i="8"/>
  <c r="BU44" i="8"/>
  <c r="BG6" i="8"/>
  <c r="BI20" i="8"/>
  <c r="BW3" i="8"/>
  <c r="BI27" i="8"/>
  <c r="BK3" i="8"/>
  <c r="BT43" i="8"/>
  <c r="BW19" i="8"/>
  <c r="BW27" i="8"/>
  <c r="BV3" i="8"/>
  <c r="BL3" i="8"/>
  <c r="BJ3" i="8"/>
  <c r="BS43" i="8"/>
  <c r="BO11" i="8"/>
  <c r="BG3" i="8"/>
  <c r="BT27" i="8"/>
  <c r="BQ51" i="8"/>
  <c r="BQ35" i="8"/>
  <c r="BN11" i="8"/>
  <c r="CF11" i="8" s="1"/>
  <c r="BP51" i="8"/>
  <c r="BO35" i="8"/>
  <c r="BK11" i="8"/>
  <c r="BT40" i="8"/>
  <c r="BG16" i="8"/>
  <c r="BL32" i="8"/>
  <c r="BN7" i="8"/>
  <c r="CF7" i="8" s="1"/>
  <c r="BG39" i="8"/>
  <c r="BJ48" i="8"/>
  <c r="CB48" i="8" s="1"/>
  <c r="BI39" i="8"/>
  <c r="BK32" i="8"/>
  <c r="BV15" i="8"/>
  <c r="BP52" i="8"/>
  <c r="BI48" i="8"/>
  <c r="BT36" i="8"/>
  <c r="CL36" i="8" s="1"/>
  <c r="BI24" i="8"/>
  <c r="BJ7" i="8"/>
  <c r="CB7" i="8" s="1"/>
  <c r="BO52" i="8"/>
  <c r="BO47" i="8"/>
  <c r="CG47" i="8" s="1"/>
  <c r="BI43" i="8"/>
  <c r="BS36" i="8"/>
  <c r="BO29" i="8"/>
  <c r="BI23" i="8"/>
  <c r="CA23" i="8" s="1"/>
  <c r="BV12" i="8"/>
  <c r="BK4" i="8"/>
  <c r="BW48" i="8"/>
  <c r="BK39" i="8"/>
  <c r="BV32" i="8"/>
  <c r="BW16" i="8"/>
  <c r="CO16" i="8" s="1"/>
  <c r="BG40" i="8"/>
  <c r="CQ40" i="8" s="1"/>
  <c r="BG8" i="8"/>
  <c r="CQ8" i="8" s="1"/>
  <c r="BQ48" i="8"/>
  <c r="CI48" i="8" s="1"/>
  <c r="BJ39" i="8"/>
  <c r="CB39" i="8" s="1"/>
  <c r="BV24" i="8"/>
  <c r="CN24" i="8" s="1"/>
  <c r="BG15" i="8"/>
  <c r="BS24" i="8"/>
  <c r="CK24" i="8" s="1"/>
  <c r="BK7" i="8"/>
  <c r="CC7" i="8" s="1"/>
  <c r="BT31" i="8"/>
  <c r="CL31" i="8" s="1"/>
  <c r="BS15" i="8"/>
  <c r="BG19" i="8"/>
  <c r="BU51" i="8"/>
  <c r="BN47" i="8"/>
  <c r="CF47" i="8" s="1"/>
  <c r="BR35" i="8"/>
  <c r="BI28" i="8"/>
  <c r="BJ20" i="8"/>
  <c r="BS12" i="8"/>
  <c r="BJ4" i="8"/>
  <c r="BI4" i="8"/>
  <c r="BJ52" i="8"/>
  <c r="BT45" i="8"/>
  <c r="BL36" i="8"/>
  <c r="BQ12" i="8"/>
  <c r="BG44" i="8"/>
  <c r="CB44" i="8" s="1"/>
  <c r="BG36" i="8"/>
  <c r="BG28" i="8"/>
  <c r="BG20" i="8"/>
  <c r="CQ20" i="8" s="1"/>
  <c r="BG12" i="8"/>
  <c r="CJ12" i="8" s="1"/>
  <c r="BG4" i="8"/>
  <c r="CK4" i="8" s="1"/>
  <c r="BS3" i="8"/>
  <c r="BW52" i="8"/>
  <c r="BI52" i="8"/>
  <c r="BN51" i="8"/>
  <c r="BX47" i="8"/>
  <c r="CP47" i="8" s="1"/>
  <c r="BS45" i="8"/>
  <c r="BM44" i="8"/>
  <c r="BQ43" i="8"/>
  <c r="BK40" i="8"/>
  <c r="BT37" i="8"/>
  <c r="CL37" i="8" s="1"/>
  <c r="BK36" i="8"/>
  <c r="BK35" i="8"/>
  <c r="BR31" i="8"/>
  <c r="CJ31" i="8" s="1"/>
  <c r="BR28" i="8"/>
  <c r="CJ28" i="8" s="1"/>
  <c r="BR27" i="8"/>
  <c r="BW23" i="8"/>
  <c r="CO23" i="8" s="1"/>
  <c r="BT20" i="8"/>
  <c r="BS19" i="8"/>
  <c r="BO15" i="8"/>
  <c r="BK12" i="8"/>
  <c r="BO5" i="8"/>
  <c r="BN52" i="8"/>
  <c r="BG21" i="8"/>
  <c r="CB21" i="8" s="1"/>
  <c r="BX52" i="8"/>
  <c r="BR43" i="8"/>
  <c r="BG35" i="8"/>
  <c r="CQ35" i="8" s="1"/>
  <c r="BG27" i="8"/>
  <c r="BG11" i="8"/>
  <c r="BR3" i="8"/>
  <c r="BS52" i="8"/>
  <c r="BX51" i="8"/>
  <c r="BM51" i="8"/>
  <c r="BV47" i="8"/>
  <c r="CN47" i="8" s="1"/>
  <c r="BN45" i="8"/>
  <c r="BL44" i="8"/>
  <c r="CD44" i="8" s="1"/>
  <c r="BO43" i="8"/>
  <c r="BJ40" i="8"/>
  <c r="CB40" i="8" s="1"/>
  <c r="BK37" i="8"/>
  <c r="CC37" i="8" s="1"/>
  <c r="BJ36" i="8"/>
  <c r="CB36" i="8" s="1"/>
  <c r="BJ35" i="8"/>
  <c r="BQ31" i="8"/>
  <c r="CI31" i="8" s="1"/>
  <c r="BQ28" i="8"/>
  <c r="BQ27" i="8"/>
  <c r="CI27" i="8" s="1"/>
  <c r="BT23" i="8"/>
  <c r="CL23" i="8" s="1"/>
  <c r="BS20" i="8"/>
  <c r="BK19" i="8"/>
  <c r="CC19" i="8" s="1"/>
  <c r="BJ12" i="8"/>
  <c r="CB12" i="8" s="1"/>
  <c r="BW4" i="8"/>
  <c r="CO4" i="8" s="1"/>
  <c r="BL29" i="8"/>
  <c r="BS21" i="8"/>
  <c r="BS44" i="8"/>
  <c r="CK44" i="8" s="1"/>
  <c r="BT28" i="8"/>
  <c r="BO21" i="8"/>
  <c r="BG29" i="8"/>
  <c r="BO51" i="8"/>
  <c r="BS28" i="8"/>
  <c r="BV20" i="8"/>
  <c r="BV5" i="8"/>
  <c r="BG43" i="8"/>
  <c r="BQ3" i="8"/>
  <c r="BR52" i="8"/>
  <c r="BW51" i="8"/>
  <c r="BK51" i="8"/>
  <c r="BU47" i="8"/>
  <c r="CM47" i="8" s="1"/>
  <c r="BW44" i="8"/>
  <c r="BK44" i="8"/>
  <c r="BN43" i="8"/>
  <c r="CF43" i="8" s="1"/>
  <c r="BT39" i="8"/>
  <c r="BV36" i="8"/>
  <c r="CN36" i="8" s="1"/>
  <c r="BI36" i="8"/>
  <c r="CA36" i="8" s="1"/>
  <c r="BM28" i="8"/>
  <c r="CE28" i="8" s="1"/>
  <c r="BK27" i="8"/>
  <c r="BN23" i="8"/>
  <c r="CF23" i="8" s="1"/>
  <c r="BR20" i="8"/>
  <c r="BJ19" i="8"/>
  <c r="BS13" i="8"/>
  <c r="BV11" i="8"/>
  <c r="CN11" i="8" s="1"/>
  <c r="BV4" i="8"/>
  <c r="BM36" i="8"/>
  <c r="CE36" i="8" s="1"/>
  <c r="BT3" i="8"/>
  <c r="BN44" i="8"/>
  <c r="BU37" i="8"/>
  <c r="CM37" i="8" s="1"/>
  <c r="BN35" i="8"/>
  <c r="BS27" i="8"/>
  <c r="BV19" i="8"/>
  <c r="BJ11" i="8"/>
  <c r="CB11" i="8" s="1"/>
  <c r="BG52" i="8"/>
  <c r="CI52" i="8" s="1"/>
  <c r="BG51" i="8"/>
  <c r="BN3" i="8"/>
  <c r="BV51" i="8"/>
  <c r="CN51" i="8" s="1"/>
  <c r="BX48" i="8"/>
  <c r="BV44" i="8"/>
  <c r="BJ43" i="8"/>
  <c r="BW35" i="8"/>
  <c r="BV29" i="8"/>
  <c r="CN29" i="8" s="1"/>
  <c r="BJ27" i="8"/>
  <c r="BI19" i="8"/>
  <c r="BR13" i="8"/>
  <c r="BS11" i="8"/>
  <c r="BL50" i="8"/>
  <c r="BT50" i="8"/>
  <c r="BP50" i="8"/>
  <c r="BQ50" i="8"/>
  <c r="BS50" i="8"/>
  <c r="BI50" i="8"/>
  <c r="BU50" i="8"/>
  <c r="BV50" i="8"/>
  <c r="BK50" i="8"/>
  <c r="BW50" i="8"/>
  <c r="BM50" i="8"/>
  <c r="BX50" i="8"/>
  <c r="BN50" i="8"/>
  <c r="BR50" i="8"/>
  <c r="BJ50" i="8"/>
  <c r="BP34" i="8"/>
  <c r="BX34" i="8"/>
  <c r="BJ34" i="8"/>
  <c r="BS34" i="8"/>
  <c r="BK34" i="8"/>
  <c r="BT34" i="8"/>
  <c r="BL34" i="8"/>
  <c r="BW34" i="8"/>
  <c r="BM34" i="8"/>
  <c r="BN34" i="8"/>
  <c r="BV34" i="8"/>
  <c r="BI34" i="8"/>
  <c r="BO34" i="8"/>
  <c r="BQ34" i="8"/>
  <c r="BU34" i="8"/>
  <c r="BL18" i="8"/>
  <c r="CD18" i="8" s="1"/>
  <c r="BT18" i="8"/>
  <c r="BM18" i="8"/>
  <c r="BU18" i="8"/>
  <c r="BP18" i="8"/>
  <c r="BX18" i="8"/>
  <c r="BS18" i="8"/>
  <c r="BI18" i="8"/>
  <c r="CA18" i="8" s="1"/>
  <c r="BV18" i="8"/>
  <c r="CN18" i="8" s="1"/>
  <c r="BN18" i="8"/>
  <c r="BQ18" i="8"/>
  <c r="BO18" i="8"/>
  <c r="BJ18" i="8"/>
  <c r="BK18" i="8"/>
  <c r="BR18" i="8"/>
  <c r="BW18" i="8"/>
  <c r="CO18" i="8" s="1"/>
  <c r="BL49" i="8"/>
  <c r="BT49" i="8"/>
  <c r="BN49" i="8"/>
  <c r="BW49" i="8"/>
  <c r="BO49" i="8"/>
  <c r="BX49" i="8"/>
  <c r="BJ49" i="8"/>
  <c r="BV49" i="8"/>
  <c r="BK49" i="8"/>
  <c r="BM49" i="8"/>
  <c r="BP49" i="8"/>
  <c r="BQ49" i="8"/>
  <c r="BR49" i="8"/>
  <c r="BI49" i="8"/>
  <c r="BU49" i="8"/>
  <c r="BP41" i="8"/>
  <c r="BX41" i="8"/>
  <c r="BQ41" i="8"/>
  <c r="BI41" i="8"/>
  <c r="BR41" i="8"/>
  <c r="BJ41" i="8"/>
  <c r="BU41" i="8"/>
  <c r="CM41" i="8" s="1"/>
  <c r="BK41" i="8"/>
  <c r="BV41" i="8"/>
  <c r="BO41" i="8"/>
  <c r="BS41" i="8"/>
  <c r="BT41" i="8"/>
  <c r="BW41" i="8"/>
  <c r="BG41" i="8"/>
  <c r="BL41" i="8"/>
  <c r="CD41" i="8" s="1"/>
  <c r="BN41" i="8"/>
  <c r="BP33" i="8"/>
  <c r="BX33" i="8"/>
  <c r="BQ33" i="8"/>
  <c r="BI33" i="8"/>
  <c r="BR33" i="8"/>
  <c r="CJ33" i="8" s="1"/>
  <c r="BN33" i="8"/>
  <c r="CF33" i="8" s="1"/>
  <c r="BS33" i="8"/>
  <c r="CK33" i="8" s="1"/>
  <c r="BO33" i="8"/>
  <c r="BU33" i="8"/>
  <c r="BV33" i="8"/>
  <c r="BJ33" i="8"/>
  <c r="BK33" i="8"/>
  <c r="BL33" i="8"/>
  <c r="CD33" i="8" s="1"/>
  <c r="BT33" i="8"/>
  <c r="CL33" i="8" s="1"/>
  <c r="BW33" i="8"/>
  <c r="CO33" i="8" s="1"/>
  <c r="BP25" i="8"/>
  <c r="BX25" i="8"/>
  <c r="BQ25" i="8"/>
  <c r="BI25" i="8"/>
  <c r="BR25" i="8"/>
  <c r="BJ25" i="8"/>
  <c r="BU25" i="8"/>
  <c r="BW25" i="8"/>
  <c r="CO25" i="8" s="1"/>
  <c r="BK25" i="8"/>
  <c r="BV25" i="8"/>
  <c r="BL25" i="8"/>
  <c r="BO25" i="8"/>
  <c r="BS25" i="8"/>
  <c r="BG25" i="8"/>
  <c r="CQ25" i="8" s="1"/>
  <c r="BT25" i="8"/>
  <c r="BN25" i="8"/>
  <c r="CF25" i="8" s="1"/>
  <c r="BL17" i="8"/>
  <c r="BT17" i="8"/>
  <c r="BM17" i="8"/>
  <c r="BU17" i="8"/>
  <c r="BP17" i="8"/>
  <c r="BX17" i="8"/>
  <c r="BJ17" i="8"/>
  <c r="BW17" i="8"/>
  <c r="CO17" i="8" s="1"/>
  <c r="BK17" i="8"/>
  <c r="BN17" i="8"/>
  <c r="BO17" i="8"/>
  <c r="BQ17" i="8"/>
  <c r="BS17" i="8"/>
  <c r="BV17" i="8"/>
  <c r="BG17" i="8"/>
  <c r="CQ17" i="8" s="1"/>
  <c r="BR17" i="8"/>
  <c r="CJ17" i="8" s="1"/>
  <c r="BL9" i="8"/>
  <c r="BT9" i="8"/>
  <c r="BM9" i="8"/>
  <c r="BU9" i="8"/>
  <c r="BP9" i="8"/>
  <c r="BX9" i="8"/>
  <c r="BJ9" i="8"/>
  <c r="BW9" i="8"/>
  <c r="BK9" i="8"/>
  <c r="BS9" i="8"/>
  <c r="BV9" i="8"/>
  <c r="BQ9" i="8"/>
  <c r="BR9" i="8"/>
  <c r="BI9" i="8"/>
  <c r="BO9" i="8"/>
  <c r="BG9" i="8"/>
  <c r="CF9" i="8" s="1"/>
  <c r="BG18" i="8"/>
  <c r="BM25" i="8"/>
  <c r="BP46" i="8"/>
  <c r="BK46" i="8"/>
  <c r="BT46" i="8"/>
  <c r="BO46" i="8"/>
  <c r="BQ46" i="8"/>
  <c r="BI46" i="8"/>
  <c r="CA46" i="8" s="1"/>
  <c r="BV46" i="8"/>
  <c r="BJ46" i="8"/>
  <c r="BW46" i="8"/>
  <c r="BL46" i="8"/>
  <c r="BM46" i="8"/>
  <c r="BN46" i="8"/>
  <c r="BR46" i="8"/>
  <c r="BU46" i="8"/>
  <c r="CM46" i="8" s="1"/>
  <c r="BX46" i="8"/>
  <c r="BP38" i="8"/>
  <c r="BX38" i="8"/>
  <c r="BJ38" i="8"/>
  <c r="BS38" i="8"/>
  <c r="BK38" i="8"/>
  <c r="BT38" i="8"/>
  <c r="BU38" i="8"/>
  <c r="BW38" i="8"/>
  <c r="BI38" i="8"/>
  <c r="BV38" i="8"/>
  <c r="BL38" i="8"/>
  <c r="BM38" i="8"/>
  <c r="BN38" i="8"/>
  <c r="BO38" i="8"/>
  <c r="BQ38" i="8"/>
  <c r="BR38" i="8"/>
  <c r="BP30" i="8"/>
  <c r="BX30" i="8"/>
  <c r="BJ30" i="8"/>
  <c r="BS30" i="8"/>
  <c r="BK30" i="8"/>
  <c r="BT30" i="8"/>
  <c r="BN30" i="8"/>
  <c r="BQ30" i="8"/>
  <c r="BO30" i="8"/>
  <c r="BI30" i="8"/>
  <c r="BL30" i="8"/>
  <c r="BM30" i="8"/>
  <c r="BR30" i="8"/>
  <c r="BU30" i="8"/>
  <c r="BV30" i="8"/>
  <c r="BP22" i="8"/>
  <c r="BX22" i="8"/>
  <c r="BJ22" i="8"/>
  <c r="BS22" i="8"/>
  <c r="BK22" i="8"/>
  <c r="BT22" i="8"/>
  <c r="BU22" i="8"/>
  <c r="BL22" i="8"/>
  <c r="BI22" i="8"/>
  <c r="BV22" i="8"/>
  <c r="BW22" i="8"/>
  <c r="BM22" i="8"/>
  <c r="BN22" i="8"/>
  <c r="BO22" i="8"/>
  <c r="BQ22" i="8"/>
  <c r="BG22" i="8"/>
  <c r="CQ22" i="8" s="1"/>
  <c r="BL14" i="8"/>
  <c r="BT14" i="8"/>
  <c r="BM14" i="8"/>
  <c r="BU14" i="8"/>
  <c r="BP14" i="8"/>
  <c r="BX14" i="8"/>
  <c r="BS14" i="8"/>
  <c r="BI14" i="8"/>
  <c r="BV14" i="8"/>
  <c r="BJ14" i="8"/>
  <c r="BN14" i="8"/>
  <c r="BK14" i="8"/>
  <c r="BO14" i="8"/>
  <c r="BQ14" i="8"/>
  <c r="BR14" i="8"/>
  <c r="BG14" i="8"/>
  <c r="BW14" i="8"/>
  <c r="BL6" i="8"/>
  <c r="BT6" i="8"/>
  <c r="BM6" i="8"/>
  <c r="BU6" i="8"/>
  <c r="BP6" i="8"/>
  <c r="CH6" i="8" s="1"/>
  <c r="BX6" i="8"/>
  <c r="CP6" i="8" s="1"/>
  <c r="BS6" i="8"/>
  <c r="CK6" i="8" s="1"/>
  <c r="BI6" i="8"/>
  <c r="BV6" i="8"/>
  <c r="BQ6" i="8"/>
  <c r="BR6" i="8"/>
  <c r="BW6" i="8"/>
  <c r="BK6" i="8"/>
  <c r="CC6" i="8" s="1"/>
  <c r="BN6" i="8"/>
  <c r="CF6" i="8" s="1"/>
  <c r="BO6" i="8"/>
  <c r="CG6" i="8" s="1"/>
  <c r="BJ6" i="8"/>
  <c r="BP42" i="8"/>
  <c r="BX42" i="8"/>
  <c r="CP42" i="8" s="1"/>
  <c r="BJ42" i="8"/>
  <c r="CB42" i="8" s="1"/>
  <c r="BK42" i="8"/>
  <c r="BT42" i="8"/>
  <c r="BQ42" i="8"/>
  <c r="BR42" i="8"/>
  <c r="BO42" i="8"/>
  <c r="BS42" i="8"/>
  <c r="BU42" i="8"/>
  <c r="CM42" i="8" s="1"/>
  <c r="BV42" i="8"/>
  <c r="CN42" i="8" s="1"/>
  <c r="BI42" i="8"/>
  <c r="BW42" i="8"/>
  <c r="BL42" i="8"/>
  <c r="BN42" i="8"/>
  <c r="BP26" i="8"/>
  <c r="BX26" i="8"/>
  <c r="BJ26" i="8"/>
  <c r="BS26" i="8"/>
  <c r="BK26" i="8"/>
  <c r="BT26" i="8"/>
  <c r="BQ26" i="8"/>
  <c r="BR26" i="8"/>
  <c r="BU26" i="8"/>
  <c r="BV26" i="8"/>
  <c r="BW26" i="8"/>
  <c r="BI26" i="8"/>
  <c r="BL26" i="8"/>
  <c r="BM26" i="8"/>
  <c r="BO26" i="8"/>
  <c r="BG26" i="8"/>
  <c r="CQ26" i="8" s="1"/>
  <c r="BL10" i="8"/>
  <c r="BT10" i="8"/>
  <c r="BM10" i="8"/>
  <c r="BU10" i="8"/>
  <c r="BP10" i="8"/>
  <c r="BX10" i="8"/>
  <c r="BS10" i="8"/>
  <c r="BI10" i="8"/>
  <c r="BV10" i="8"/>
  <c r="BW10" i="8"/>
  <c r="BJ10" i="8"/>
  <c r="BK10" i="8"/>
  <c r="BN10" i="8"/>
  <c r="BO10" i="8"/>
  <c r="BQ10" i="8"/>
  <c r="BN26" i="8"/>
  <c r="CF26" i="8" s="1"/>
  <c r="BG50" i="8"/>
  <c r="BG34" i="8"/>
  <c r="CQ34" i="8" s="1"/>
  <c r="BG10" i="8"/>
  <c r="CQ10" i="8" s="1"/>
  <c r="BG49" i="8"/>
  <c r="BO50" i="8"/>
  <c r="BR22" i="8"/>
  <c r="BI17" i="8"/>
  <c r="CA17" i="8" s="1"/>
  <c r="BW45" i="8"/>
  <c r="BV37" i="8"/>
  <c r="CN37" i="8" s="1"/>
  <c r="BW29" i="8"/>
  <c r="BT21" i="8"/>
  <c r="BV13" i="8"/>
  <c r="BL48" i="8"/>
  <c r="BT48" i="8"/>
  <c r="BK48" i="8"/>
  <c r="CC48" i="8" s="1"/>
  <c r="BU48" i="8"/>
  <c r="CM48" i="8" s="1"/>
  <c r="BM48" i="8"/>
  <c r="BV48" i="8"/>
  <c r="BP40" i="8"/>
  <c r="BX40" i="8"/>
  <c r="BN40" i="8"/>
  <c r="CF40" i="8" s="1"/>
  <c r="BW40" i="8"/>
  <c r="CO40" i="8" s="1"/>
  <c r="BO40" i="8"/>
  <c r="CG40" i="8" s="1"/>
  <c r="BL40" i="8"/>
  <c r="CD40" i="8" s="1"/>
  <c r="BM40" i="8"/>
  <c r="BP32" i="8"/>
  <c r="BX32" i="8"/>
  <c r="BN32" i="8"/>
  <c r="BW32" i="8"/>
  <c r="BO32" i="8"/>
  <c r="BS32" i="8"/>
  <c r="BJ32" i="8"/>
  <c r="CB32" i="8" s="1"/>
  <c r="BI32" i="8"/>
  <c r="BT32" i="8"/>
  <c r="BU32" i="8"/>
  <c r="BP24" i="8"/>
  <c r="CH24" i="8" s="1"/>
  <c r="BX24" i="8"/>
  <c r="BN24" i="8"/>
  <c r="BW24" i="8"/>
  <c r="BO24" i="8"/>
  <c r="BL24" i="8"/>
  <c r="CD24" i="8" s="1"/>
  <c r="BQ24" i="8"/>
  <c r="CI24" i="8" s="1"/>
  <c r="BM24" i="8"/>
  <c r="CE24" i="8" s="1"/>
  <c r="BL16" i="8"/>
  <c r="CD16" i="8" s="1"/>
  <c r="BT16" i="8"/>
  <c r="BM16" i="8"/>
  <c r="BU16" i="8"/>
  <c r="BP16" i="8"/>
  <c r="BX16" i="8"/>
  <c r="BN16" i="8"/>
  <c r="BO16" i="8"/>
  <c r="BJ16" i="8"/>
  <c r="CB16" i="8" s="1"/>
  <c r="BQ16" i="8"/>
  <c r="BK16" i="8"/>
  <c r="BL8" i="8"/>
  <c r="CD8" i="8" s="1"/>
  <c r="BT8" i="8"/>
  <c r="CL8" i="8" s="1"/>
  <c r="BM8" i="8"/>
  <c r="BU8" i="8"/>
  <c r="BP8" i="8"/>
  <c r="BX8" i="8"/>
  <c r="BN8" i="8"/>
  <c r="BO8" i="8"/>
  <c r="CG8" i="8" s="1"/>
  <c r="BS8" i="8"/>
  <c r="CK8" i="8" s="1"/>
  <c r="BV8" i="8"/>
  <c r="CN8" i="8" s="1"/>
  <c r="BW8" i="8"/>
  <c r="BG5" i="8"/>
  <c r="CA5" i="8" s="1"/>
  <c r="BS48" i="8"/>
  <c r="BQ45" i="8"/>
  <c r="BV40" i="8"/>
  <c r="CN40" i="8" s="1"/>
  <c r="BI40" i="8"/>
  <c r="CA40" i="8" s="1"/>
  <c r="BS37" i="8"/>
  <c r="CK37" i="8" s="1"/>
  <c r="BN29" i="8"/>
  <c r="CF29" i="8" s="1"/>
  <c r="BU24" i="8"/>
  <c r="CM24" i="8" s="1"/>
  <c r="BK21" i="8"/>
  <c r="BV16" i="8"/>
  <c r="BQ13" i="8"/>
  <c r="BR8" i="8"/>
  <c r="BN5" i="8"/>
  <c r="BL47" i="8"/>
  <c r="CD47" i="8" s="1"/>
  <c r="BT47" i="8"/>
  <c r="CL47" i="8" s="1"/>
  <c r="BI47" i="8"/>
  <c r="CA47" i="8" s="1"/>
  <c r="BR47" i="8"/>
  <c r="CJ47" i="8" s="1"/>
  <c r="BJ47" i="8"/>
  <c r="CB47" i="8" s="1"/>
  <c r="BS47" i="8"/>
  <c r="CK47" i="8" s="1"/>
  <c r="BP39" i="8"/>
  <c r="BX39" i="8"/>
  <c r="BL39" i="8"/>
  <c r="CD39" i="8" s="1"/>
  <c r="BU39" i="8"/>
  <c r="CM39" i="8" s="1"/>
  <c r="BM39" i="8"/>
  <c r="BV39" i="8"/>
  <c r="BQ39" i="8"/>
  <c r="BR39" i="8"/>
  <c r="BS39" i="8"/>
  <c r="BP31" i="8"/>
  <c r="CH31" i="8" s="1"/>
  <c r="BX31" i="8"/>
  <c r="CP31" i="8" s="1"/>
  <c r="BL31" i="8"/>
  <c r="CD31" i="8" s="1"/>
  <c r="BU31" i="8"/>
  <c r="CM31" i="8" s="1"/>
  <c r="BM31" i="8"/>
  <c r="CE31" i="8" s="1"/>
  <c r="BV31" i="8"/>
  <c r="CN31" i="8" s="1"/>
  <c r="BJ31" i="8"/>
  <c r="CB31" i="8" s="1"/>
  <c r="BW31" i="8"/>
  <c r="CO31" i="8" s="1"/>
  <c r="BK31" i="8"/>
  <c r="CC31" i="8" s="1"/>
  <c r="BN31" i="8"/>
  <c r="CF31" i="8" s="1"/>
  <c r="BP23" i="8"/>
  <c r="CH23" i="8" s="1"/>
  <c r="BX23" i="8"/>
  <c r="CP23" i="8" s="1"/>
  <c r="BL23" i="8"/>
  <c r="CD23" i="8" s="1"/>
  <c r="BU23" i="8"/>
  <c r="CM23" i="8" s="1"/>
  <c r="BM23" i="8"/>
  <c r="CE23" i="8" s="1"/>
  <c r="BV23" i="8"/>
  <c r="CN23" i="8" s="1"/>
  <c r="BQ23" i="8"/>
  <c r="CI23" i="8" s="1"/>
  <c r="BS23" i="8"/>
  <c r="CK23" i="8" s="1"/>
  <c r="BR23" i="8"/>
  <c r="CJ23" i="8" s="1"/>
  <c r="BL15" i="8"/>
  <c r="BT15" i="8"/>
  <c r="CL15" i="8" s="1"/>
  <c r="BM15" i="8"/>
  <c r="CE15" i="8" s="1"/>
  <c r="BU15" i="8"/>
  <c r="CM15" i="8" s="1"/>
  <c r="BP15" i="8"/>
  <c r="BX15" i="8"/>
  <c r="BQ15" i="8"/>
  <c r="BR15" i="8"/>
  <c r="BJ15" i="8"/>
  <c r="BK15" i="8"/>
  <c r="CC15" i="8" s="1"/>
  <c r="BN15" i="8"/>
  <c r="CF15" i="8" s="1"/>
  <c r="BL7" i="8"/>
  <c r="CD7" i="8" s="1"/>
  <c r="BT7" i="8"/>
  <c r="CL7" i="8" s="1"/>
  <c r="BM7" i="8"/>
  <c r="CE7" i="8" s="1"/>
  <c r="BU7" i="8"/>
  <c r="CM7" i="8" s="1"/>
  <c r="BP7" i="8"/>
  <c r="CH7" i="8" s="1"/>
  <c r="BX7" i="8"/>
  <c r="CP7" i="8" s="1"/>
  <c r="BQ7" i="8"/>
  <c r="CI7" i="8" s="1"/>
  <c r="BR7" i="8"/>
  <c r="CJ7" i="8" s="1"/>
  <c r="BS7" i="8"/>
  <c r="CK7" i="8" s="1"/>
  <c r="BV7" i="8"/>
  <c r="CN7" i="8" s="1"/>
  <c r="BW7" i="8"/>
  <c r="CO7" i="8" s="1"/>
  <c r="BR48" i="8"/>
  <c r="CJ48" i="8" s="1"/>
  <c r="BW47" i="8"/>
  <c r="CO47" i="8" s="1"/>
  <c r="BK47" i="8"/>
  <c r="CC47" i="8" s="1"/>
  <c r="BU40" i="8"/>
  <c r="BW39" i="8"/>
  <c r="BS31" i="8"/>
  <c r="CK31" i="8" s="1"/>
  <c r="BT24" i="8"/>
  <c r="BO23" i="8"/>
  <c r="CG23" i="8" s="1"/>
  <c r="BS16" i="8"/>
  <c r="BQ8" i="8"/>
  <c r="CI8" i="8" s="1"/>
  <c r="BI7" i="8"/>
  <c r="CA7" i="8" s="1"/>
  <c r="BP45" i="8"/>
  <c r="BX45" i="8"/>
  <c r="BI45" i="8"/>
  <c r="BR45" i="8"/>
  <c r="BK45" i="8"/>
  <c r="BU45" i="8"/>
  <c r="BL45" i="8"/>
  <c r="BV45" i="8"/>
  <c r="BP37" i="8"/>
  <c r="CH37" i="8" s="1"/>
  <c r="BX37" i="8"/>
  <c r="CP37" i="8" s="1"/>
  <c r="BQ37" i="8"/>
  <c r="CI37" i="8" s="1"/>
  <c r="BI37" i="8"/>
  <c r="CA37" i="8" s="1"/>
  <c r="BR37" i="8"/>
  <c r="CJ37" i="8" s="1"/>
  <c r="BL37" i="8"/>
  <c r="CD37" i="8" s="1"/>
  <c r="BW37" i="8"/>
  <c r="CO37" i="8" s="1"/>
  <c r="BN37" i="8"/>
  <c r="CF37" i="8" s="1"/>
  <c r="BM37" i="8"/>
  <c r="CE37" i="8" s="1"/>
  <c r="BP29" i="8"/>
  <c r="BX29" i="8"/>
  <c r="BQ29" i="8"/>
  <c r="BI29" i="8"/>
  <c r="BR29" i="8"/>
  <c r="CJ29" i="8" s="1"/>
  <c r="BS29" i="8"/>
  <c r="CK29" i="8" s="1"/>
  <c r="BJ29" i="8"/>
  <c r="BT29" i="8"/>
  <c r="BU29" i="8"/>
  <c r="BP21" i="8"/>
  <c r="BX21" i="8"/>
  <c r="BQ21" i="8"/>
  <c r="BI21" i="8"/>
  <c r="BR21" i="8"/>
  <c r="CJ21" i="8" s="1"/>
  <c r="BL21" i="8"/>
  <c r="BW21" i="8"/>
  <c r="BN21" i="8"/>
  <c r="BM21" i="8"/>
  <c r="BL13" i="8"/>
  <c r="BT13" i="8"/>
  <c r="BM13" i="8"/>
  <c r="BU13" i="8"/>
  <c r="BP13" i="8"/>
  <c r="BX13" i="8"/>
  <c r="BJ13" i="8"/>
  <c r="BW13" i="8"/>
  <c r="BK13" i="8"/>
  <c r="BI13" i="8"/>
  <c r="BN13" i="8"/>
  <c r="BL5" i="8"/>
  <c r="BT5" i="8"/>
  <c r="BM5" i="8"/>
  <c r="CE5" i="8" s="1"/>
  <c r="BU5" i="8"/>
  <c r="CM5" i="8" s="1"/>
  <c r="BP5" i="8"/>
  <c r="BX5" i="8"/>
  <c r="BJ5" i="8"/>
  <c r="BW5" i="8"/>
  <c r="BK5" i="8"/>
  <c r="BQ5" i="8"/>
  <c r="BR5" i="8"/>
  <c r="CJ5" i="8" s="1"/>
  <c r="BS5" i="8"/>
  <c r="CK5" i="8" s="1"/>
  <c r="BG13" i="8"/>
  <c r="BP48" i="8"/>
  <c r="BM45" i="8"/>
  <c r="BS40" i="8"/>
  <c r="CK40" i="8" s="1"/>
  <c r="BJ37" i="8"/>
  <c r="CB37" i="8" s="1"/>
  <c r="BR32" i="8"/>
  <c r="BK29" i="8"/>
  <c r="BR24" i="8"/>
  <c r="CJ24" i="8" s="1"/>
  <c r="BV21" i="8"/>
  <c r="BI16" i="8"/>
  <c r="BJ8" i="8"/>
  <c r="CB8" i="8" s="1"/>
  <c r="BG46" i="8"/>
  <c r="BG38" i="8"/>
  <c r="CQ38" i="8" s="1"/>
  <c r="BG30" i="8"/>
  <c r="BG45" i="8"/>
  <c r="BO48" i="8"/>
  <c r="BQ47" i="8"/>
  <c r="CI47" i="8" s="1"/>
  <c r="BJ45" i="8"/>
  <c r="BR40" i="8"/>
  <c r="CJ40" i="8" s="1"/>
  <c r="BN39" i="8"/>
  <c r="CF39" i="8" s="1"/>
  <c r="BQ32" i="8"/>
  <c r="CI32" i="8" s="1"/>
  <c r="BO31" i="8"/>
  <c r="CG31" i="8" s="1"/>
  <c r="BK24" i="8"/>
  <c r="CC24" i="8" s="1"/>
  <c r="BJ23" i="8"/>
  <c r="CB23" i="8" s="1"/>
  <c r="BU21" i="8"/>
  <c r="BW15" i="8"/>
  <c r="BI8" i="8"/>
  <c r="CA8" i="8" s="1"/>
  <c r="BL52" i="8"/>
  <c r="BT52" i="8"/>
  <c r="CL52" i="8" s="1"/>
  <c r="BP44" i="8"/>
  <c r="BX44" i="8"/>
  <c r="BO44" i="8"/>
  <c r="BP36" i="8"/>
  <c r="BX36" i="8"/>
  <c r="CP36" i="8" s="1"/>
  <c r="BN36" i="8"/>
  <c r="CF36" i="8" s="1"/>
  <c r="BW36" i="8"/>
  <c r="CO36" i="8" s="1"/>
  <c r="BO36" i="8"/>
  <c r="CG36" i="8" s="1"/>
  <c r="BP28" i="8"/>
  <c r="BX28" i="8"/>
  <c r="BN28" i="8"/>
  <c r="BW28" i="8"/>
  <c r="BO28" i="8"/>
  <c r="BM20" i="8"/>
  <c r="BU20" i="8"/>
  <c r="CM20" i="8" s="1"/>
  <c r="BP20" i="8"/>
  <c r="CH20" i="8" s="1"/>
  <c r="BX20" i="8"/>
  <c r="BL20" i="8"/>
  <c r="BW20" i="8"/>
  <c r="BN20" i="8"/>
  <c r="BL12" i="8"/>
  <c r="BT12" i="8"/>
  <c r="BM12" i="8"/>
  <c r="BU12" i="8"/>
  <c r="CM12" i="8" s="1"/>
  <c r="BP12" i="8"/>
  <c r="BX12" i="8"/>
  <c r="BN12" i="8"/>
  <c r="BO12" i="8"/>
  <c r="BL4" i="8"/>
  <c r="BT4" i="8"/>
  <c r="BM4" i="8"/>
  <c r="BU4" i="8"/>
  <c r="BP4" i="8"/>
  <c r="CH4" i="8" s="1"/>
  <c r="BX4" i="8"/>
  <c r="CP4" i="8" s="1"/>
  <c r="BN4" i="8"/>
  <c r="CF4" i="8" s="1"/>
  <c r="BO4" i="8"/>
  <c r="CG4" i="8" s="1"/>
  <c r="BI3" i="8"/>
  <c r="BV52" i="8"/>
  <c r="BM52" i="8"/>
  <c r="BS51" i="8"/>
  <c r="BR44" i="8"/>
  <c r="BW43" i="8"/>
  <c r="BR36" i="8"/>
  <c r="BT35" i="8"/>
  <c r="CL35" i="8" s="1"/>
  <c r="BV28" i="8"/>
  <c r="BK28" i="8"/>
  <c r="CC28" i="8" s="1"/>
  <c r="BQ20" i="8"/>
  <c r="CI20" i="8" s="1"/>
  <c r="BI12" i="8"/>
  <c r="CA12" i="8" s="1"/>
  <c r="BR4" i="8"/>
  <c r="CJ4" i="8" s="1"/>
  <c r="BL51" i="8"/>
  <c r="CD51" i="8" s="1"/>
  <c r="BT51" i="8"/>
  <c r="CL51" i="8" s="1"/>
  <c r="BP43" i="8"/>
  <c r="CH43" i="8" s="1"/>
  <c r="BX43" i="8"/>
  <c r="BM43" i="8"/>
  <c r="BV43" i="8"/>
  <c r="BP35" i="8"/>
  <c r="BX35" i="8"/>
  <c r="BL35" i="8"/>
  <c r="BU35" i="8"/>
  <c r="CM35" i="8" s="1"/>
  <c r="BM35" i="8"/>
  <c r="CE35" i="8" s="1"/>
  <c r="BV35" i="8"/>
  <c r="BP27" i="8"/>
  <c r="BX27" i="8"/>
  <c r="BL27" i="8"/>
  <c r="BU27" i="8"/>
  <c r="BM27" i="8"/>
  <c r="BV27" i="8"/>
  <c r="BL19" i="8"/>
  <c r="BT19" i="8"/>
  <c r="BM19" i="8"/>
  <c r="BU19" i="8"/>
  <c r="CM19" i="8" s="1"/>
  <c r="BP19" i="8"/>
  <c r="CH19" i="8" s="1"/>
  <c r="BX19" i="8"/>
  <c r="BQ19" i="8"/>
  <c r="BR19" i="8"/>
  <c r="BL11" i="8"/>
  <c r="BT11" i="8"/>
  <c r="CL11" i="8" s="1"/>
  <c r="BM11" i="8"/>
  <c r="CE11" i="8" s="1"/>
  <c r="BU11" i="8"/>
  <c r="CM11" i="8" s="1"/>
  <c r="BP11" i="8"/>
  <c r="CH11" i="8" s="1"/>
  <c r="BX11" i="8"/>
  <c r="BQ11" i="8"/>
  <c r="BR11" i="8"/>
  <c r="BM3" i="8"/>
  <c r="CE3" i="8" s="1"/>
  <c r="BU3" i="8"/>
  <c r="BX3" i="8"/>
  <c r="BO3" i="8"/>
  <c r="BU52" i="8"/>
  <c r="CM52" i="8" s="1"/>
  <c r="BK52" i="8"/>
  <c r="BR51" i="8"/>
  <c r="CJ51" i="8" s="1"/>
  <c r="BI51" i="8"/>
  <c r="CA51" i="8" s="1"/>
  <c r="BQ44" i="8"/>
  <c r="CI44" i="8" s="1"/>
  <c r="BU43" i="8"/>
  <c r="BK43" i="8"/>
  <c r="BQ36" i="8"/>
  <c r="CI36" i="8" s="1"/>
  <c r="BS35" i="8"/>
  <c r="BU28" i="8"/>
  <c r="BJ28" i="8"/>
  <c r="BN27" i="8"/>
  <c r="BO20" i="8"/>
  <c r="BN19" i="8"/>
  <c r="BW12" i="8"/>
  <c r="BW11" i="8"/>
  <c r="CO11" i="8" s="1"/>
  <c r="BQ4" i="8"/>
  <c r="AH7" i="11"/>
  <c r="AD5" i="11"/>
  <c r="AI7" i="11"/>
  <c r="AJ7" i="11"/>
  <c r="B3" i="4"/>
  <c r="B4" i="4" s="1"/>
  <c r="B5" i="4" s="1"/>
  <c r="T5" i="4" s="1"/>
  <c r="D148" i="3"/>
  <c r="E148" i="3" s="1"/>
  <c r="D147" i="3"/>
  <c r="E147" i="3" s="1"/>
  <c r="D146" i="3"/>
  <c r="E146" i="3" s="1"/>
  <c r="D145" i="3"/>
  <c r="E145" i="3" s="1"/>
  <c r="D144" i="3"/>
  <c r="E144" i="3" s="1"/>
  <c r="D143" i="3"/>
  <c r="E143" i="3" s="1"/>
  <c r="D142" i="3"/>
  <c r="E142" i="3" s="1"/>
  <c r="D141" i="3"/>
  <c r="E141" i="3" s="1"/>
  <c r="D140" i="3"/>
  <c r="E140" i="3" s="1"/>
  <c r="D139" i="3"/>
  <c r="E139" i="3" s="1"/>
  <c r="D138" i="3"/>
  <c r="E138" i="3" s="1"/>
  <c r="D137" i="3"/>
  <c r="E137" i="3" s="1"/>
  <c r="D136" i="3"/>
  <c r="E136" i="3" s="1"/>
  <c r="D135" i="3"/>
  <c r="E135" i="3" s="1"/>
  <c r="D134" i="3"/>
  <c r="E134" i="3" s="1"/>
  <c r="D133" i="3"/>
  <c r="E133" i="3" s="1"/>
  <c r="D132" i="3"/>
  <c r="E132" i="3" s="1"/>
  <c r="D131" i="3"/>
  <c r="E131" i="3" s="1"/>
  <c r="D130" i="3"/>
  <c r="E130" i="3" s="1"/>
  <c r="D129" i="3"/>
  <c r="E129" i="3" s="1"/>
  <c r="D128" i="3"/>
  <c r="E128" i="3" s="1"/>
  <c r="D127" i="3"/>
  <c r="E127" i="3" s="1"/>
  <c r="D126" i="3"/>
  <c r="E126" i="3" s="1"/>
  <c r="D125" i="3"/>
  <c r="E125" i="3" s="1"/>
  <c r="D124" i="3"/>
  <c r="E124" i="3" s="1"/>
  <c r="D123" i="3"/>
  <c r="E123" i="3" s="1"/>
  <c r="D122" i="3"/>
  <c r="E122" i="3" s="1"/>
  <c r="D121" i="3"/>
  <c r="E121" i="3" s="1"/>
  <c r="D120" i="3"/>
  <c r="E120" i="3" s="1"/>
  <c r="D119" i="3"/>
  <c r="E119" i="3" s="1"/>
  <c r="D118" i="3"/>
  <c r="E118" i="3" s="1"/>
  <c r="D117" i="3"/>
  <c r="E117" i="3" s="1"/>
  <c r="D116" i="3"/>
  <c r="E116" i="3" s="1"/>
  <c r="D115" i="3"/>
  <c r="E115" i="3" s="1"/>
  <c r="D114" i="3"/>
  <c r="E114" i="3" s="1"/>
  <c r="D113" i="3"/>
  <c r="E113" i="3" s="1"/>
  <c r="D112" i="3"/>
  <c r="E112" i="3" s="1"/>
  <c r="D111" i="3"/>
  <c r="E111" i="3" s="1"/>
  <c r="D110" i="3"/>
  <c r="E110" i="3" s="1"/>
  <c r="D109" i="3"/>
  <c r="E109" i="3" s="1"/>
  <c r="D108" i="3"/>
  <c r="E108" i="3" s="1"/>
  <c r="D107" i="3"/>
  <c r="E107" i="3" s="1"/>
  <c r="D106" i="3"/>
  <c r="E106" i="3" s="1"/>
  <c r="D105" i="3"/>
  <c r="E105" i="3" s="1"/>
  <c r="D104" i="3"/>
  <c r="E104" i="3" s="1"/>
  <c r="D103" i="3"/>
  <c r="E103" i="3" s="1"/>
  <c r="D102" i="3"/>
  <c r="E102" i="3" s="1"/>
  <c r="D101" i="3"/>
  <c r="E101" i="3" s="1"/>
  <c r="D100" i="3"/>
  <c r="E100" i="3" s="1"/>
  <c r="D99" i="3"/>
  <c r="E99" i="3" s="1"/>
  <c r="D98" i="3"/>
  <c r="E98" i="3" s="1"/>
  <c r="D97" i="3"/>
  <c r="E97" i="3" s="1"/>
  <c r="D96" i="3"/>
  <c r="E96" i="3" s="1"/>
  <c r="D95" i="3"/>
  <c r="E95" i="3" s="1"/>
  <c r="D94" i="3"/>
  <c r="E94" i="3" s="1"/>
  <c r="D93" i="3"/>
  <c r="E93" i="3" s="1"/>
  <c r="D92" i="3"/>
  <c r="E92" i="3" s="1"/>
  <c r="D91" i="3"/>
  <c r="E91" i="3" s="1"/>
  <c r="D90" i="3"/>
  <c r="E90" i="3" s="1"/>
  <c r="D89" i="3"/>
  <c r="E89" i="3" s="1"/>
  <c r="D88" i="3"/>
  <c r="E88" i="3" s="1"/>
  <c r="D87" i="3"/>
  <c r="E87" i="3" s="1"/>
  <c r="D86" i="3"/>
  <c r="E86" i="3" s="1"/>
  <c r="D85" i="3"/>
  <c r="E85" i="3" s="1"/>
  <c r="D84" i="3"/>
  <c r="E84" i="3" s="1"/>
  <c r="D83" i="3"/>
  <c r="E83" i="3" s="1"/>
  <c r="D82" i="3"/>
  <c r="E82" i="3" s="1"/>
  <c r="D81" i="3"/>
  <c r="E81" i="3" s="1"/>
  <c r="D80" i="3"/>
  <c r="E80" i="3" s="1"/>
  <c r="D79" i="3"/>
  <c r="E79" i="3" s="1"/>
  <c r="D78" i="3"/>
  <c r="E78" i="3" s="1"/>
  <c r="D77" i="3"/>
  <c r="E77" i="3" s="1"/>
  <c r="D76" i="3"/>
  <c r="E76" i="3" s="1"/>
  <c r="D75" i="3"/>
  <c r="E75" i="3" s="1"/>
  <c r="D74" i="3"/>
  <c r="E74" i="3" s="1"/>
  <c r="D73" i="3"/>
  <c r="E73" i="3" s="1"/>
  <c r="D72" i="3"/>
  <c r="E72" i="3" s="1"/>
  <c r="D71" i="3"/>
  <c r="E71" i="3" s="1"/>
  <c r="D70" i="3"/>
  <c r="E70" i="3" s="1"/>
  <c r="D69" i="3"/>
  <c r="E69" i="3" s="1"/>
  <c r="D68" i="3"/>
  <c r="E68" i="3" s="1"/>
  <c r="D67" i="3"/>
  <c r="E67" i="3" s="1"/>
  <c r="D66" i="3"/>
  <c r="E66" i="3" s="1"/>
  <c r="D65" i="3"/>
  <c r="E65" i="3" s="1"/>
  <c r="D64" i="3"/>
  <c r="E64" i="3" s="1"/>
  <c r="D63" i="3"/>
  <c r="E63" i="3" s="1"/>
  <c r="D62" i="3"/>
  <c r="E62" i="3" s="1"/>
  <c r="D61" i="3"/>
  <c r="E61" i="3" s="1"/>
  <c r="D60" i="3"/>
  <c r="E60" i="3" s="1"/>
  <c r="D59" i="3"/>
  <c r="E59" i="3" s="1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B3" i="3"/>
  <c r="B4" i="3" s="1"/>
  <c r="B5" i="3" s="1"/>
  <c r="B6" i="3" s="1"/>
  <c r="B7" i="3" s="1"/>
  <c r="B8" i="3" s="1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D161" i="2"/>
  <c r="E161" i="2" s="1"/>
  <c r="D160" i="2"/>
  <c r="E160" i="2" s="1"/>
  <c r="D159" i="2"/>
  <c r="E159" i="2" s="1"/>
  <c r="D158" i="2"/>
  <c r="E158" i="2" s="1"/>
  <c r="D157" i="2"/>
  <c r="E157" i="2" s="1"/>
  <c r="D156" i="2"/>
  <c r="E156" i="2" s="1"/>
  <c r="D155" i="2"/>
  <c r="E155" i="2" s="1"/>
  <c r="D154" i="2"/>
  <c r="E154" i="2" s="1"/>
  <c r="D153" i="2"/>
  <c r="E153" i="2" s="1"/>
  <c r="D152" i="2"/>
  <c r="E152" i="2" s="1"/>
  <c r="D151" i="2"/>
  <c r="E151" i="2" s="1"/>
  <c r="D150" i="2"/>
  <c r="E150" i="2" s="1"/>
  <c r="D149" i="2"/>
  <c r="E149" i="2" s="1"/>
  <c r="D148" i="2"/>
  <c r="E148" i="2" s="1"/>
  <c r="D147" i="2"/>
  <c r="E147" i="2" s="1"/>
  <c r="D146" i="2"/>
  <c r="E146" i="2" s="1"/>
  <c r="D145" i="2"/>
  <c r="E145" i="2" s="1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D138" i="2"/>
  <c r="E138" i="2" s="1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D131" i="2"/>
  <c r="E131" i="2" s="1"/>
  <c r="D130" i="2"/>
  <c r="E130" i="2" s="1"/>
  <c r="D129" i="2"/>
  <c r="E129" i="2" s="1"/>
  <c r="D128" i="2"/>
  <c r="E128" i="2" s="1"/>
  <c r="D127" i="2"/>
  <c r="E127" i="2" s="1"/>
  <c r="D126" i="2"/>
  <c r="E126" i="2" s="1"/>
  <c r="D125" i="2"/>
  <c r="E125" i="2" s="1"/>
  <c r="D124" i="2"/>
  <c r="E124" i="2" s="1"/>
  <c r="D123" i="2"/>
  <c r="E123" i="2" s="1"/>
  <c r="D122" i="2"/>
  <c r="E122" i="2" s="1"/>
  <c r="D121" i="2"/>
  <c r="E121" i="2" s="1"/>
  <c r="D120" i="2"/>
  <c r="E120" i="2" s="1"/>
  <c r="D119" i="2"/>
  <c r="E119" i="2" s="1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B8" i="2"/>
  <c r="B3" i="2"/>
  <c r="B4" i="2" s="1"/>
  <c r="B5" i="2" s="1"/>
  <c r="B6" i="2" s="1"/>
  <c r="B7" i="2" s="1"/>
  <c r="G1" i="2"/>
  <c r="H1" i="2" s="1"/>
  <c r="I1" i="2" s="1"/>
  <c r="J1" i="2" s="1"/>
  <c r="K1" i="2" s="1"/>
  <c r="L1" i="2" s="1"/>
  <c r="M1" i="2" s="1"/>
  <c r="CJ26" i="8" l="1"/>
  <c r="CD28" i="8"/>
  <c r="CF19" i="8"/>
  <c r="CL19" i="8"/>
  <c r="CG28" i="8"/>
  <c r="CH48" i="8"/>
  <c r="CI29" i="8"/>
  <c r="CH39" i="8"/>
  <c r="CD48" i="8"/>
  <c r="CB28" i="8"/>
  <c r="CI19" i="8"/>
  <c r="CM28" i="8"/>
  <c r="CC52" i="8"/>
  <c r="CP11" i="8"/>
  <c r="CP19" i="8"/>
  <c r="CH12" i="8"/>
  <c r="CP20" i="8"/>
  <c r="CH28" i="8"/>
  <c r="CJ32" i="8"/>
  <c r="CD21" i="8"/>
  <c r="CB29" i="8"/>
  <c r="CE39" i="8"/>
  <c r="CO8" i="8"/>
  <c r="CE8" i="8"/>
  <c r="CA32" i="8"/>
  <c r="CE40" i="8"/>
  <c r="CE48" i="8"/>
  <c r="CM26" i="8"/>
  <c r="CH26" i="8"/>
  <c r="CB6" i="8"/>
  <c r="CA6" i="8"/>
  <c r="CR6" i="8" s="1"/>
  <c r="CS6" i="8" s="1"/>
  <c r="CO14" i="8"/>
  <c r="CN14" i="8"/>
  <c r="CD14" i="8"/>
  <c r="CA22" i="8"/>
  <c r="CH22" i="8"/>
  <c r="CJ38" i="8"/>
  <c r="CO38" i="8"/>
  <c r="CP46" i="8"/>
  <c r="CN46" i="8"/>
  <c r="CC9" i="8"/>
  <c r="CD9" i="8"/>
  <c r="CC17" i="8"/>
  <c r="CD17" i="8"/>
  <c r="CC25" i="8"/>
  <c r="CH25" i="8"/>
  <c r="CG33" i="8"/>
  <c r="CF41" i="8"/>
  <c r="CC41" i="8"/>
  <c r="CK28" i="8"/>
  <c r="CP52" i="8"/>
  <c r="CO48" i="8"/>
  <c r="CG52" i="8"/>
  <c r="CA39" i="8"/>
  <c r="CQ9" i="8"/>
  <c r="CA29" i="8"/>
  <c r="CP39" i="8"/>
  <c r="CK20" i="8"/>
  <c r="CN28" i="8"/>
  <c r="CM6" i="8"/>
  <c r="CG20" i="8"/>
  <c r="CD11" i="8"/>
  <c r="CD19" i="8"/>
  <c r="CG12" i="8"/>
  <c r="CF20" i="8"/>
  <c r="CO28" i="8"/>
  <c r="CH36" i="8"/>
  <c r="CM21" i="8"/>
  <c r="CN21" i="8"/>
  <c r="CH5" i="8"/>
  <c r="CE21" i="8"/>
  <c r="CH21" i="8"/>
  <c r="CP29" i="8"/>
  <c r="CA45" i="8"/>
  <c r="CJ39" i="8"/>
  <c r="CI45" i="8"/>
  <c r="CP8" i="8"/>
  <c r="CF32" i="8"/>
  <c r="CP40" i="8"/>
  <c r="CC10" i="8"/>
  <c r="CM10" i="8"/>
  <c r="CA26" i="8"/>
  <c r="CK26" i="8"/>
  <c r="CJ6" i="8"/>
  <c r="CE6" i="8"/>
  <c r="CC14" i="8"/>
  <c r="CM14" i="8"/>
  <c r="CE22" i="8"/>
  <c r="CK22" i="8"/>
  <c r="CD30" i="8"/>
  <c r="CB30" i="8"/>
  <c r="CD38" i="8"/>
  <c r="CB38" i="8"/>
  <c r="CD46" i="8"/>
  <c r="CC46" i="8"/>
  <c r="CI9" i="8"/>
  <c r="CM9" i="8"/>
  <c r="CI17" i="8"/>
  <c r="CM17" i="8"/>
  <c r="CG25" i="8"/>
  <c r="CA25" i="8"/>
  <c r="CB33" i="8"/>
  <c r="CI33" i="8"/>
  <c r="CK41" i="8"/>
  <c r="CI41" i="8"/>
  <c r="CF18" i="8"/>
  <c r="CL18" i="8"/>
  <c r="CE34" i="8"/>
  <c r="CH34" i="8"/>
  <c r="CN50" i="8"/>
  <c r="CK11" i="8"/>
  <c r="CP48" i="8"/>
  <c r="CF35" i="8"/>
  <c r="CB19" i="8"/>
  <c r="CG15" i="8"/>
  <c r="CC36" i="8"/>
  <c r="CR36" i="8" s="1"/>
  <c r="CS36" i="8" s="1"/>
  <c r="CA52" i="8"/>
  <c r="CB20" i="8"/>
  <c r="CK36" i="8"/>
  <c r="CH52" i="8"/>
  <c r="CO19" i="8"/>
  <c r="CK46" i="8"/>
  <c r="CE20" i="8"/>
  <c r="CL48" i="8"/>
  <c r="CO41" i="8"/>
  <c r="CN19" i="8"/>
  <c r="CK39" i="8"/>
  <c r="CF8" i="8"/>
  <c r="CQ32" i="8"/>
  <c r="CJ11" i="8"/>
  <c r="CJ19" i="8"/>
  <c r="CJ36" i="8"/>
  <c r="CF12" i="8"/>
  <c r="CO20" i="8"/>
  <c r="CF28" i="8"/>
  <c r="CG48" i="8"/>
  <c r="CF21" i="8"/>
  <c r="CM29" i="8"/>
  <c r="CH29" i="8"/>
  <c r="CP45" i="8"/>
  <c r="CO39" i="8"/>
  <c r="CI39" i="8"/>
  <c r="CK48" i="8"/>
  <c r="CH8" i="8"/>
  <c r="CM32" i="8"/>
  <c r="CP32" i="8"/>
  <c r="CH40" i="8"/>
  <c r="CL21" i="8"/>
  <c r="CB10" i="8"/>
  <c r="CO26" i="8"/>
  <c r="CB26" i="8"/>
  <c r="CI6" i="8"/>
  <c r="CL6" i="8"/>
  <c r="CF14" i="8"/>
  <c r="CE14" i="8"/>
  <c r="CO22" i="8"/>
  <c r="CB22" i="8"/>
  <c r="CA30" i="8"/>
  <c r="CP30" i="8"/>
  <c r="CN38" i="8"/>
  <c r="CP38" i="8"/>
  <c r="CO46" i="8"/>
  <c r="CH46" i="8"/>
  <c r="CN9" i="8"/>
  <c r="CE9" i="8"/>
  <c r="CG17" i="8"/>
  <c r="CE17" i="8"/>
  <c r="CD25" i="8"/>
  <c r="CI25" i="8"/>
  <c r="CN33" i="8"/>
  <c r="CP33" i="8"/>
  <c r="CG41" i="8"/>
  <c r="CP41" i="8"/>
  <c r="CO34" i="8"/>
  <c r="CB50" i="8"/>
  <c r="CM50" i="8"/>
  <c r="CJ20" i="8"/>
  <c r="CN5" i="8"/>
  <c r="CK21" i="8"/>
  <c r="CI28" i="8"/>
  <c r="CF45" i="8"/>
  <c r="CK19" i="8"/>
  <c r="CO52" i="8"/>
  <c r="CI12" i="8"/>
  <c r="CA28" i="8"/>
  <c r="CN32" i="8"/>
  <c r="CN15" i="8"/>
  <c r="CL40" i="8"/>
  <c r="DC3" i="8"/>
  <c r="CQ19" i="8"/>
  <c r="CQ46" i="8"/>
  <c r="CQ21" i="8"/>
  <c r="CO30" i="8"/>
  <c r="CE19" i="8"/>
  <c r="CN17" i="8"/>
  <c r="CJ8" i="8"/>
  <c r="CO6" i="8"/>
  <c r="CI11" i="8"/>
  <c r="CP12" i="8"/>
  <c r="CD20" i="8"/>
  <c r="CP28" i="8"/>
  <c r="CC29" i="8"/>
  <c r="CO21" i="8"/>
  <c r="CL29" i="8"/>
  <c r="CM40" i="8"/>
  <c r="CN39" i="8"/>
  <c r="CC21" i="8"/>
  <c r="CM8" i="8"/>
  <c r="CR8" i="8" s="1"/>
  <c r="CS8" i="8" s="1"/>
  <c r="CL32" i="8"/>
  <c r="CH32" i="8"/>
  <c r="CN48" i="8"/>
  <c r="CO29" i="8"/>
  <c r="CN26" i="8"/>
  <c r="CP26" i="8"/>
  <c r="CN6" i="8"/>
  <c r="CD6" i="8"/>
  <c r="CB14" i="8"/>
  <c r="CL14" i="8"/>
  <c r="CN22" i="8"/>
  <c r="CP22" i="8"/>
  <c r="CG30" i="8"/>
  <c r="CH30" i="8"/>
  <c r="CA38" i="8"/>
  <c r="CH38" i="8"/>
  <c r="CB46" i="8"/>
  <c r="CE25" i="8"/>
  <c r="CK9" i="8"/>
  <c r="CL9" i="8"/>
  <c r="CF17" i="8"/>
  <c r="CL17" i="8"/>
  <c r="CN25" i="8"/>
  <c r="CP25" i="8"/>
  <c r="CM33" i="8"/>
  <c r="CH33" i="8"/>
  <c r="CN41" i="8"/>
  <c r="CH41" i="8"/>
  <c r="CJ50" i="8"/>
  <c r="CA50" i="8"/>
  <c r="CA19" i="8"/>
  <c r="CR19" i="8" s="1"/>
  <c r="CS19" i="8" s="1"/>
  <c r="CN20" i="8"/>
  <c r="CD29" i="8"/>
  <c r="CL20" i="8"/>
  <c r="CC40" i="8"/>
  <c r="CD36" i="8"/>
  <c r="CC39" i="8"/>
  <c r="CC32" i="8"/>
  <c r="CC11" i="8"/>
  <c r="CG11" i="8"/>
  <c r="CG19" i="8"/>
  <c r="CO13" i="8"/>
  <c r="CN13" i="8"/>
  <c r="CL49" i="8"/>
  <c r="CN27" i="8"/>
  <c r="CN16" i="8"/>
  <c r="CG16" i="8"/>
  <c r="CC44" i="8"/>
  <c r="CD35" i="8"/>
  <c r="CO10" i="8"/>
  <c r="CL10" i="8"/>
  <c r="CK42" i="8"/>
  <c r="CN49" i="8"/>
  <c r="CM34" i="8"/>
  <c r="CF44" i="8"/>
  <c r="CO44" i="8"/>
  <c r="CJ43" i="8"/>
  <c r="CL44" i="8"/>
  <c r="CR31" i="8"/>
  <c r="CS31" i="8" s="1"/>
  <c r="CP35" i="8"/>
  <c r="CJ44" i="8"/>
  <c r="CH44" i="8"/>
  <c r="CL5" i="8"/>
  <c r="CN45" i="8"/>
  <c r="CR47" i="8"/>
  <c r="CS47" i="8" s="1"/>
  <c r="CP16" i="8"/>
  <c r="CJ18" i="8"/>
  <c r="CL34" i="8"/>
  <c r="CK50" i="8"/>
  <c r="CL3" i="8"/>
  <c r="CE51" i="8"/>
  <c r="CI43" i="8"/>
  <c r="CG35" i="8"/>
  <c r="CA27" i="8"/>
  <c r="CK35" i="8"/>
  <c r="CD27" i="8"/>
  <c r="CK51" i="8"/>
  <c r="CC5" i="8"/>
  <c r="CD45" i="8"/>
  <c r="CG24" i="8"/>
  <c r="CA10" i="8"/>
  <c r="CF42" i="8"/>
  <c r="CJ42" i="8"/>
  <c r="CN30" i="8"/>
  <c r="CC18" i="8"/>
  <c r="CC34" i="8"/>
  <c r="CC51" i="8"/>
  <c r="CG51" i="8"/>
  <c r="CJ27" i="8"/>
  <c r="CB3" i="8"/>
  <c r="CN43" i="8"/>
  <c r="CC43" i="8"/>
  <c r="CP3" i="8"/>
  <c r="CH27" i="8"/>
  <c r="CL4" i="8"/>
  <c r="CB5" i="8"/>
  <c r="CA13" i="8"/>
  <c r="CI21" i="8"/>
  <c r="CM43" i="8"/>
  <c r="CM3" i="8"/>
  <c r="CN35" i="8"/>
  <c r="CP43" i="8"/>
  <c r="CA3" i="8"/>
  <c r="CD4" i="8"/>
  <c r="CD12" i="8"/>
  <c r="CO15" i="8"/>
  <c r="CB45" i="8"/>
  <c r="CA16" i="8"/>
  <c r="CP5" i="8"/>
  <c r="CC13" i="8"/>
  <c r="CD13" i="8"/>
  <c r="CP21" i="8"/>
  <c r="CR37" i="8"/>
  <c r="CS37" i="8" s="1"/>
  <c r="CJ45" i="8"/>
  <c r="CL24" i="8"/>
  <c r="CH15" i="8"/>
  <c r="CI16" i="8"/>
  <c r="CL16" i="8"/>
  <c r="CP24" i="8"/>
  <c r="CO32" i="8"/>
  <c r="CG50" i="8"/>
  <c r="CF10" i="8"/>
  <c r="CH10" i="8"/>
  <c r="CD26" i="8"/>
  <c r="CC26" i="8"/>
  <c r="CA42" i="8"/>
  <c r="CC42" i="8"/>
  <c r="CG14" i="8"/>
  <c r="CH14" i="8"/>
  <c r="CF22" i="8"/>
  <c r="CC22" i="8"/>
  <c r="CE30" i="8"/>
  <c r="CK30" i="8"/>
  <c r="CE38" i="8"/>
  <c r="CK38" i="8"/>
  <c r="CE46" i="8"/>
  <c r="CL46" i="8"/>
  <c r="CJ9" i="8"/>
  <c r="CH9" i="8"/>
  <c r="CK17" i="8"/>
  <c r="CH17" i="8"/>
  <c r="CK25" i="8"/>
  <c r="CJ25" i="8"/>
  <c r="CC33" i="8"/>
  <c r="CA33" i="8"/>
  <c r="CL41" i="8"/>
  <c r="CA41" i="8"/>
  <c r="CH49" i="8"/>
  <c r="CF49" i="8"/>
  <c r="CI18" i="8"/>
  <c r="CE18" i="8"/>
  <c r="CF34" i="8"/>
  <c r="CP34" i="8"/>
  <c r="CC50" i="8"/>
  <c r="CD50" i="8"/>
  <c r="CN44" i="8"/>
  <c r="CK27" i="8"/>
  <c r="CK13" i="8"/>
  <c r="CL39" i="8"/>
  <c r="CI3" i="8"/>
  <c r="CL28" i="8"/>
  <c r="CR28" i="8" s="1"/>
  <c r="CS28" i="8" s="1"/>
  <c r="CG43" i="8"/>
  <c r="CA11" i="8"/>
  <c r="CC12" i="8"/>
  <c r="CC35" i="8"/>
  <c r="CF51" i="8"/>
  <c r="CK12" i="8"/>
  <c r="CI40" i="8"/>
  <c r="CR40" i="8" s="1"/>
  <c r="CS40" i="8" s="1"/>
  <c r="CG29" i="8"/>
  <c r="CA48" i="8"/>
  <c r="CR48" i="8" s="1"/>
  <c r="CS48" i="8" s="1"/>
  <c r="CD32" i="8"/>
  <c r="CI51" i="8"/>
  <c r="CO27" i="8"/>
  <c r="CM44" i="8"/>
  <c r="CB51" i="8"/>
  <c r="CM36" i="8"/>
  <c r="CQ30" i="8"/>
  <c r="CI13" i="8"/>
  <c r="CE49" i="8"/>
  <c r="CK49" i="8"/>
  <c r="CB13" i="8"/>
  <c r="CJ13" i="8"/>
  <c r="CG27" i="8"/>
  <c r="CE27" i="8"/>
  <c r="CO43" i="8"/>
  <c r="CQ45" i="8"/>
  <c r="CH45" i="8"/>
  <c r="CQ5" i="8"/>
  <c r="CF16" i="8"/>
  <c r="CF3" i="8"/>
  <c r="CJ35" i="8"/>
  <c r="CC3" i="8"/>
  <c r="CH3" i="8"/>
  <c r="CM27" i="8"/>
  <c r="CR7" i="8"/>
  <c r="CS7" i="8" s="1"/>
  <c r="CB15" i="8"/>
  <c r="CN10" i="8"/>
  <c r="CD10" i="8"/>
  <c r="CG42" i="8"/>
  <c r="CM49" i="8"/>
  <c r="CK18" i="8"/>
  <c r="CF50" i="8"/>
  <c r="CB35" i="8"/>
  <c r="CL45" i="8"/>
  <c r="CI4" i="8"/>
  <c r="CH35" i="8"/>
  <c r="CM4" i="8"/>
  <c r="CM13" i="8"/>
  <c r="CO45" i="8"/>
  <c r="CF30" i="8"/>
  <c r="CP49" i="8"/>
  <c r="CG34" i="8"/>
  <c r="CP50" i="8"/>
  <c r="CE44" i="8"/>
  <c r="CB52" i="8"/>
  <c r="CG3" i="8"/>
  <c r="CP27" i="8"/>
  <c r="CE52" i="8"/>
  <c r="CE4" i="8"/>
  <c r="CE12" i="8"/>
  <c r="CD52" i="8"/>
  <c r="CO5" i="8"/>
  <c r="CF13" i="8"/>
  <c r="CE13" i="8"/>
  <c r="CA21" i="8"/>
  <c r="CM45" i="8"/>
  <c r="CK16" i="8"/>
  <c r="CI15" i="8"/>
  <c r="CM16" i="8"/>
  <c r="CO24" i="8"/>
  <c r="CK32" i="8"/>
  <c r="CI10" i="8"/>
  <c r="CK10" i="8"/>
  <c r="CG26" i="8"/>
  <c r="CI26" i="8"/>
  <c r="CD42" i="8"/>
  <c r="CI42" i="8"/>
  <c r="CJ14" i="8"/>
  <c r="CK14" i="8"/>
  <c r="CI22" i="8"/>
  <c r="CM22" i="8"/>
  <c r="CM30" i="8"/>
  <c r="CL30" i="8"/>
  <c r="CG38" i="8"/>
  <c r="CL38" i="8"/>
  <c r="CJ46" i="8"/>
  <c r="CI46" i="8"/>
  <c r="CG9" i="8"/>
  <c r="CB9" i="8"/>
  <c r="CB17" i="8"/>
  <c r="CL25" i="8"/>
  <c r="CM25" i="8"/>
  <c r="CQ41" i="8"/>
  <c r="CE41" i="8"/>
  <c r="CB41" i="8"/>
  <c r="CJ49" i="8"/>
  <c r="CG49" i="8"/>
  <c r="CB18" i="8"/>
  <c r="CH18" i="8"/>
  <c r="CA34" i="8"/>
  <c r="CK34" i="8"/>
  <c r="CE50" i="8"/>
  <c r="CH50" i="8"/>
  <c r="CO35" i="8"/>
  <c r="CN4" i="8"/>
  <c r="CO51" i="8"/>
  <c r="CQ29" i="8"/>
  <c r="CE29" i="8"/>
  <c r="CK52" i="8"/>
  <c r="CF52" i="8"/>
  <c r="CK45" i="8"/>
  <c r="CA4" i="8"/>
  <c r="CN12" i="8"/>
  <c r="CA24" i="8"/>
  <c r="CD3" i="8"/>
  <c r="CA20" i="8"/>
  <c r="CR20" i="8" s="1"/>
  <c r="CS20" i="8" s="1"/>
  <c r="CQ48" i="8"/>
  <c r="CF48" i="8"/>
  <c r="CD43" i="8"/>
  <c r="CC20" i="8"/>
  <c r="CQ16" i="8"/>
  <c r="CG39" i="8"/>
  <c r="CL27" i="8"/>
  <c r="CA44" i="8"/>
  <c r="CF27" i="8"/>
  <c r="CG44" i="8"/>
  <c r="CE10" i="8"/>
  <c r="CC49" i="8"/>
  <c r="CD49" i="8"/>
  <c r="CA43" i="8"/>
  <c r="CL43" i="8"/>
  <c r="CQ13" i="8"/>
  <c r="CJ16" i="8"/>
  <c r="CQ43" i="8"/>
  <c r="CE42" i="8"/>
  <c r="CP44" i="8"/>
  <c r="CP13" i="8"/>
  <c r="CH42" i="8"/>
  <c r="CD34" i="8"/>
  <c r="CK3" i="8"/>
  <c r="CG45" i="8"/>
  <c r="CQ44" i="8"/>
  <c r="CI5" i="8"/>
  <c r="CH13" i="8"/>
  <c r="CD15" i="8"/>
  <c r="CI30" i="8"/>
  <c r="CB49" i="8"/>
  <c r="CI34" i="8"/>
  <c r="CB27" i="8"/>
  <c r="CC27" i="8"/>
  <c r="CK43" i="8"/>
  <c r="CQ18" i="8"/>
  <c r="CQ3" i="8"/>
  <c r="CD5" i="8"/>
  <c r="CJ15" i="8"/>
  <c r="CH16" i="8"/>
  <c r="CA14" i="8"/>
  <c r="CD22" i="8"/>
  <c r="CI38" i="8"/>
  <c r="CM38" i="8"/>
  <c r="CO9" i="8"/>
  <c r="CA49" i="8"/>
  <c r="CP18" i="8"/>
  <c r="CI50" i="8"/>
  <c r="CP51" i="8"/>
  <c r="CM51" i="8"/>
  <c r="CC4" i="8"/>
  <c r="CH51" i="8"/>
  <c r="CO3" i="8"/>
  <c r="CQ50" i="8"/>
  <c r="CA35" i="8"/>
  <c r="CQ4" i="8"/>
  <c r="CA15" i="8"/>
  <c r="CG13" i="8"/>
  <c r="CO12" i="8"/>
  <c r="CE43" i="8"/>
  <c r="CN52" i="8"/>
  <c r="CL12" i="8"/>
  <c r="CE45" i="8"/>
  <c r="CL13" i="8"/>
  <c r="CR29" i="8"/>
  <c r="CS29" i="8" s="1"/>
  <c r="CC45" i="8"/>
  <c r="CP15" i="8"/>
  <c r="CF5" i="8"/>
  <c r="CC16" i="8"/>
  <c r="CE16" i="8"/>
  <c r="CF24" i="8"/>
  <c r="CG32" i="8"/>
  <c r="CJ22" i="8"/>
  <c r="CG10" i="8"/>
  <c r="CP10" i="8"/>
  <c r="CE26" i="8"/>
  <c r="CL26" i="8"/>
  <c r="CO42" i="8"/>
  <c r="CL42" i="8"/>
  <c r="CI14" i="8"/>
  <c r="CP14" i="8"/>
  <c r="CG22" i="8"/>
  <c r="CL22" i="8"/>
  <c r="CJ30" i="8"/>
  <c r="CC30" i="8"/>
  <c r="CF38" i="8"/>
  <c r="CC38" i="8"/>
  <c r="CF46" i="8"/>
  <c r="CG46" i="8"/>
  <c r="CA9" i="8"/>
  <c r="CP9" i="8"/>
  <c r="CP17" i="8"/>
  <c r="CB25" i="8"/>
  <c r="CJ41" i="8"/>
  <c r="CI49" i="8"/>
  <c r="CO49" i="8"/>
  <c r="CG18" i="8"/>
  <c r="CM18" i="8"/>
  <c r="CN34" i="8"/>
  <c r="CB34" i="8"/>
  <c r="CO50" i="8"/>
  <c r="CL50" i="8"/>
  <c r="CB43" i="8"/>
  <c r="CJ52" i="8"/>
  <c r="CG21" i="8"/>
  <c r="CJ3" i="8"/>
  <c r="CG5" i="8"/>
  <c r="CB4" i="8"/>
  <c r="CK15" i="8"/>
  <c r="CR23" i="8"/>
  <c r="CS23" i="8" s="1"/>
  <c r="CI35" i="8"/>
  <c r="CN3" i="8"/>
  <c r="CE33" i="8"/>
  <c r="CQ51" i="8"/>
  <c r="CQ12" i="8"/>
  <c r="CQ28" i="8"/>
  <c r="CQ6" i="8"/>
  <c r="CQ49" i="8"/>
  <c r="CQ27" i="8"/>
  <c r="CQ14" i="8"/>
  <c r="CQ52" i="8"/>
  <c r="AD6" i="11"/>
  <c r="AH8" i="11"/>
  <c r="AI8" i="11"/>
  <c r="AJ8" i="11"/>
  <c r="B6" i="4"/>
  <c r="T6" i="4" s="1"/>
  <c r="AB5" i="4"/>
  <c r="U5" i="4"/>
  <c r="V5" i="4"/>
  <c r="AD5" i="4"/>
  <c r="W5" i="4"/>
  <c r="AG5" i="4"/>
  <c r="X5" i="4"/>
  <c r="Y5" i="4"/>
  <c r="AE5" i="4"/>
  <c r="AF5" i="4"/>
  <c r="AH5" i="4"/>
  <c r="AI5" i="4"/>
  <c r="AC5" i="4"/>
  <c r="AA5" i="4"/>
  <c r="Z5" i="4"/>
  <c r="P8" i="3"/>
  <c r="H8" i="3"/>
  <c r="N8" i="3"/>
  <c r="K8" i="3"/>
  <c r="I8" i="3"/>
  <c r="J8" i="3"/>
  <c r="B9" i="3"/>
  <c r="Q8" i="3"/>
  <c r="F8" i="3"/>
  <c r="O8" i="3"/>
  <c r="M8" i="3"/>
  <c r="L8" i="3"/>
  <c r="G8" i="3"/>
  <c r="N1" i="2"/>
  <c r="O1" i="2" s="1"/>
  <c r="M8" i="2"/>
  <c r="N8" i="2"/>
  <c r="F8" i="2"/>
  <c r="J8" i="2"/>
  <c r="H8" i="2"/>
  <c r="G8" i="2"/>
  <c r="I8" i="2"/>
  <c r="B9" i="2"/>
  <c r="L8" i="2"/>
  <c r="K8" i="2"/>
  <c r="CR25" i="8" l="1"/>
  <c r="CS25" i="8" s="1"/>
  <c r="CR39" i="8"/>
  <c r="CS39" i="8" s="1"/>
  <c r="CR18" i="8"/>
  <c r="CS18" i="8" s="1"/>
  <c r="CR32" i="8"/>
  <c r="CS32" i="8" s="1"/>
  <c r="CR17" i="8"/>
  <c r="CS17" i="8" s="1"/>
  <c r="CR30" i="8"/>
  <c r="CS30" i="8" s="1"/>
  <c r="CR26" i="8"/>
  <c r="CS26" i="8" s="1"/>
  <c r="CR52" i="8"/>
  <c r="CS52" i="8" s="1"/>
  <c r="CR22" i="8"/>
  <c r="CS22" i="8" s="1"/>
  <c r="CR38" i="8"/>
  <c r="CS38" i="8" s="1"/>
  <c r="CR12" i="8"/>
  <c r="CS12" i="8" s="1"/>
  <c r="CR51" i="8"/>
  <c r="CS51" i="8" s="1"/>
  <c r="CR46" i="8"/>
  <c r="CS46" i="8" s="1"/>
  <c r="CR45" i="8"/>
  <c r="CS45" i="8" s="1"/>
  <c r="CR50" i="8"/>
  <c r="CS50" i="8" s="1"/>
  <c r="CR5" i="8"/>
  <c r="CS5" i="8" s="1"/>
  <c r="CR11" i="8"/>
  <c r="CS11" i="8" s="1"/>
  <c r="CR21" i="8"/>
  <c r="CS21" i="8" s="1"/>
  <c r="CR33" i="8"/>
  <c r="CS33" i="8" s="1"/>
  <c r="CR3" i="8"/>
  <c r="CS3" i="8" s="1"/>
  <c r="CR10" i="8"/>
  <c r="CS10" i="8" s="1"/>
  <c r="CR43" i="8"/>
  <c r="CS43" i="8" s="1"/>
  <c r="CR49" i="8"/>
  <c r="CS49" i="8" s="1"/>
  <c r="CR14" i="8"/>
  <c r="CS14" i="8" s="1"/>
  <c r="CR15" i="8"/>
  <c r="CS15" i="8" s="1"/>
  <c r="CR41" i="8"/>
  <c r="CS41" i="8" s="1"/>
  <c r="CR35" i="8"/>
  <c r="CS35" i="8" s="1"/>
  <c r="CR4" i="8"/>
  <c r="CS4" i="8" s="1"/>
  <c r="CR13" i="8"/>
  <c r="CS13" i="8" s="1"/>
  <c r="CR24" i="8"/>
  <c r="CS24" i="8" s="1"/>
  <c r="CR34" i="8"/>
  <c r="CS34" i="8" s="1"/>
  <c r="CR42" i="8"/>
  <c r="CS42" i="8" s="1"/>
  <c r="CR16" i="8"/>
  <c r="CS16" i="8" s="1"/>
  <c r="CR44" i="8"/>
  <c r="CS44" i="8" s="1"/>
  <c r="CR27" i="8"/>
  <c r="CS27" i="8" s="1"/>
  <c r="CR9" i="8"/>
  <c r="CS9" i="8" s="1"/>
  <c r="AD7" i="11"/>
  <c r="AJ9" i="11"/>
  <c r="AH9" i="11"/>
  <c r="AI9" i="11"/>
  <c r="B7" i="4"/>
  <c r="T7" i="4" s="1"/>
  <c r="AA6" i="4"/>
  <c r="AI6" i="4"/>
  <c r="AB6" i="4"/>
  <c r="V6" i="4"/>
  <c r="AD6" i="4"/>
  <c r="AF6" i="4"/>
  <c r="W6" i="4"/>
  <c r="AH6" i="4"/>
  <c r="AG6" i="4"/>
  <c r="X6" i="4"/>
  <c r="Y6" i="4"/>
  <c r="U6" i="4"/>
  <c r="Z6" i="4"/>
  <c r="AC6" i="4"/>
  <c r="AE6" i="4"/>
  <c r="O9" i="3"/>
  <c r="G9" i="3"/>
  <c r="J9" i="3"/>
  <c r="P9" i="3"/>
  <c r="F9" i="3"/>
  <c r="N9" i="3"/>
  <c r="Q9" i="3"/>
  <c r="L9" i="3"/>
  <c r="K9" i="3"/>
  <c r="I9" i="3"/>
  <c r="B10" i="3"/>
  <c r="M9" i="3"/>
  <c r="H9" i="3"/>
  <c r="M9" i="2"/>
  <c r="B10" i="2"/>
  <c r="K9" i="2"/>
  <c r="H9" i="2"/>
  <c r="J9" i="2"/>
  <c r="I9" i="2"/>
  <c r="N9" i="2"/>
  <c r="L9" i="2"/>
  <c r="O9" i="2"/>
  <c r="G9" i="2"/>
  <c r="F9" i="2"/>
  <c r="O8" i="2"/>
  <c r="P1" i="2"/>
  <c r="AD8" i="11" l="1"/>
  <c r="AI10" i="11"/>
  <c r="AH10" i="11"/>
  <c r="AJ10" i="11"/>
  <c r="B8" i="4"/>
  <c r="T8" i="4" s="1"/>
  <c r="AB7" i="4"/>
  <c r="U7" i="4"/>
  <c r="AC7" i="4"/>
  <c r="W7" i="4"/>
  <c r="AE7" i="4"/>
  <c r="AD7" i="4"/>
  <c r="AG7" i="4"/>
  <c r="AI7" i="4"/>
  <c r="V7" i="4"/>
  <c r="Y7" i="4"/>
  <c r="Z7" i="4"/>
  <c r="AA7" i="4"/>
  <c r="AF7" i="4"/>
  <c r="AH7" i="4"/>
  <c r="X7" i="4"/>
  <c r="N10" i="3"/>
  <c r="F10" i="3"/>
  <c r="B11" i="3"/>
  <c r="K10" i="3"/>
  <c r="Q10" i="3"/>
  <c r="H10" i="3"/>
  <c r="M10" i="3"/>
  <c r="L10" i="3"/>
  <c r="J10" i="3"/>
  <c r="G10" i="3"/>
  <c r="P10" i="3"/>
  <c r="O10" i="3"/>
  <c r="I10" i="3"/>
  <c r="Q1" i="2"/>
  <c r="P8" i="2"/>
  <c r="P9" i="2"/>
  <c r="B11" i="2"/>
  <c r="L10" i="2"/>
  <c r="K10" i="2"/>
  <c r="H10" i="2"/>
  <c r="J10" i="2"/>
  <c r="I10" i="2"/>
  <c r="Q10" i="2"/>
  <c r="N10" i="2"/>
  <c r="M10" i="2"/>
  <c r="G10" i="2"/>
  <c r="F10" i="2"/>
  <c r="P10" i="2"/>
  <c r="O10" i="2"/>
  <c r="AD9" i="11" l="1"/>
  <c r="AJ11" i="11"/>
  <c r="AH11" i="11"/>
  <c r="AI11" i="11"/>
  <c r="B9" i="4"/>
  <c r="T9" i="4" s="1"/>
  <c r="U8" i="4"/>
  <c r="AC8" i="4"/>
  <c r="V8" i="4"/>
  <c r="AD8" i="4"/>
  <c r="X8" i="4"/>
  <c r="AF8" i="4"/>
  <c r="AA8" i="4"/>
  <c r="AE8" i="4"/>
  <c r="W8" i="4"/>
  <c r="Z8" i="4"/>
  <c r="AI8" i="4"/>
  <c r="AB8" i="4"/>
  <c r="AH8" i="4"/>
  <c r="Y8" i="4"/>
  <c r="AG8" i="4"/>
  <c r="M11" i="3"/>
  <c r="L11" i="3"/>
  <c r="I11" i="3"/>
  <c r="B12" i="3"/>
  <c r="H11" i="3"/>
  <c r="F11" i="3"/>
  <c r="G11" i="3"/>
  <c r="Q11" i="3"/>
  <c r="O11" i="3"/>
  <c r="N11" i="3"/>
  <c r="K11" i="3"/>
  <c r="J11" i="3"/>
  <c r="P11" i="3"/>
  <c r="K11" i="2"/>
  <c r="M11" i="2"/>
  <c r="I11" i="2"/>
  <c r="L11" i="2"/>
  <c r="B12" i="2"/>
  <c r="J11" i="2"/>
  <c r="Q11" i="2"/>
  <c r="N11" i="2"/>
  <c r="H11" i="2"/>
  <c r="P11" i="2"/>
  <c r="O11" i="2"/>
  <c r="G11" i="2"/>
  <c r="F11" i="2"/>
  <c r="Q8" i="2"/>
  <c r="Q9" i="2"/>
  <c r="AD10" i="11" l="1"/>
  <c r="AI12" i="11"/>
  <c r="AJ12" i="11"/>
  <c r="AH12" i="11"/>
  <c r="B10" i="4"/>
  <c r="T10" i="4" s="1"/>
  <c r="V9" i="4"/>
  <c r="AD9" i="4"/>
  <c r="W9" i="4"/>
  <c r="AE9" i="4"/>
  <c r="Y9" i="4"/>
  <c r="AG9" i="4"/>
  <c r="Z9" i="4"/>
  <c r="AB9" i="4"/>
  <c r="U9" i="4"/>
  <c r="X9" i="4"/>
  <c r="AC9" i="4"/>
  <c r="AA9" i="4"/>
  <c r="AI9" i="4"/>
  <c r="AF9" i="4"/>
  <c r="AH9" i="4"/>
  <c r="B13" i="3"/>
  <c r="L12" i="3"/>
  <c r="M12" i="3"/>
  <c r="I12" i="3"/>
  <c r="N12" i="3"/>
  <c r="J12" i="3"/>
  <c r="K12" i="3"/>
  <c r="G12" i="3"/>
  <c r="Q12" i="3"/>
  <c r="F12" i="3"/>
  <c r="P12" i="3"/>
  <c r="O12" i="3"/>
  <c r="H12" i="3"/>
  <c r="J12" i="2"/>
  <c r="N12" i="2"/>
  <c r="M12" i="2"/>
  <c r="L12" i="2"/>
  <c r="B13" i="2"/>
  <c r="K12" i="2"/>
  <c r="P12" i="2"/>
  <c r="H12" i="2"/>
  <c r="G12" i="2"/>
  <c r="Q12" i="2"/>
  <c r="O12" i="2"/>
  <c r="I12" i="2"/>
  <c r="F12" i="2"/>
  <c r="AD11" i="11" l="1"/>
  <c r="AH13" i="11"/>
  <c r="AI13" i="11"/>
  <c r="AJ13" i="11"/>
  <c r="B11" i="4"/>
  <c r="T11" i="4" s="1"/>
  <c r="W10" i="4"/>
  <c r="AE10" i="4"/>
  <c r="X10" i="4"/>
  <c r="AF10" i="4"/>
  <c r="Z10" i="4"/>
  <c r="AH10" i="4"/>
  <c r="V10" i="4"/>
  <c r="AA10" i="4"/>
  <c r="Y10" i="4"/>
  <c r="AB10" i="4"/>
  <c r="AD10" i="4"/>
  <c r="AI10" i="4"/>
  <c r="U10" i="4"/>
  <c r="AG10" i="4"/>
  <c r="AC10" i="4"/>
  <c r="K13" i="3"/>
  <c r="N13" i="3"/>
  <c r="B14" i="3"/>
  <c r="J13" i="3"/>
  <c r="H13" i="3"/>
  <c r="G13" i="3"/>
  <c r="Q13" i="3"/>
  <c r="F13" i="3"/>
  <c r="O13" i="3"/>
  <c r="M13" i="3"/>
  <c r="L13" i="3"/>
  <c r="P13" i="3"/>
  <c r="I13" i="3"/>
  <c r="Q13" i="2"/>
  <c r="I13" i="2"/>
  <c r="O13" i="2"/>
  <c r="F13" i="2"/>
  <c r="M13" i="2"/>
  <c r="N13" i="2"/>
  <c r="L13" i="2"/>
  <c r="P13" i="2"/>
  <c r="H13" i="2"/>
  <c r="G13" i="2"/>
  <c r="B14" i="2"/>
  <c r="K13" i="2"/>
  <c r="J13" i="2"/>
  <c r="AD12" i="11" l="1"/>
  <c r="AJ14" i="11"/>
  <c r="AH14" i="11"/>
  <c r="AI14" i="11"/>
  <c r="B12" i="4"/>
  <c r="T12" i="4" s="1"/>
  <c r="X11" i="4"/>
  <c r="AF11" i="4"/>
  <c r="Y11" i="4"/>
  <c r="AG11" i="4"/>
  <c r="AA11" i="4"/>
  <c r="AI11" i="4"/>
  <c r="U11" i="4"/>
  <c r="AH11" i="4"/>
  <c r="W11" i="4"/>
  <c r="AB11" i="4"/>
  <c r="AC11" i="4"/>
  <c r="AE11" i="4"/>
  <c r="V11" i="4"/>
  <c r="AD11" i="4"/>
  <c r="Z11" i="4"/>
  <c r="J14" i="3"/>
  <c r="O14" i="3"/>
  <c r="F14" i="3"/>
  <c r="L14" i="3"/>
  <c r="P14" i="3"/>
  <c r="M14" i="3"/>
  <c r="N14" i="3"/>
  <c r="I14" i="3"/>
  <c r="B15" i="3"/>
  <c r="H14" i="3"/>
  <c r="G14" i="3"/>
  <c r="Q14" i="3"/>
  <c r="K14" i="3"/>
  <c r="P14" i="2"/>
  <c r="H14" i="2"/>
  <c r="Q14" i="2"/>
  <c r="G14" i="2"/>
  <c r="N14" i="2"/>
  <c r="O14" i="2"/>
  <c r="F14" i="2"/>
  <c r="M14" i="2"/>
  <c r="L14" i="2"/>
  <c r="I14" i="2"/>
  <c r="K14" i="2"/>
  <c r="J14" i="2"/>
  <c r="B15" i="2"/>
  <c r="AD13" i="11" l="1"/>
  <c r="AH15" i="11"/>
  <c r="AJ15" i="11"/>
  <c r="AI15" i="11"/>
  <c r="B13" i="4"/>
  <c r="T13" i="4" s="1"/>
  <c r="Y12" i="4"/>
  <c r="AG12" i="4"/>
  <c r="Z12" i="4"/>
  <c r="AH12" i="4"/>
  <c r="AB12" i="4"/>
  <c r="AE12" i="4"/>
  <c r="V12" i="4"/>
  <c r="AI12" i="4"/>
  <c r="AC12" i="4"/>
  <c r="AD12" i="4"/>
  <c r="AF12" i="4"/>
  <c r="X12" i="4"/>
  <c r="AA12" i="4"/>
  <c r="U12" i="4"/>
  <c r="W12" i="4"/>
  <c r="Q15" i="3"/>
  <c r="I15" i="3"/>
  <c r="P15" i="3"/>
  <c r="G15" i="3"/>
  <c r="M15" i="3"/>
  <c r="J15" i="3"/>
  <c r="B16" i="3"/>
  <c r="H15" i="3"/>
  <c r="F15" i="3"/>
  <c r="O15" i="3"/>
  <c r="N15" i="3"/>
  <c r="L15" i="3"/>
  <c r="K15" i="3"/>
  <c r="O15" i="2"/>
  <c r="G15" i="2"/>
  <c r="I15" i="2"/>
  <c r="P15" i="2"/>
  <c r="Q15" i="2"/>
  <c r="H15" i="2"/>
  <c r="F15" i="2"/>
  <c r="N15" i="2"/>
  <c r="M15" i="2"/>
  <c r="J15" i="2"/>
  <c r="B16" i="2"/>
  <c r="L15" i="2"/>
  <c r="K15" i="2"/>
  <c r="AD14" i="11" l="1"/>
  <c r="AI16" i="11"/>
  <c r="AJ16" i="11"/>
  <c r="AH16" i="11"/>
  <c r="B14" i="4"/>
  <c r="T14" i="4" s="1"/>
  <c r="Z13" i="4"/>
  <c r="AH13" i="4"/>
  <c r="AA13" i="4"/>
  <c r="AI13" i="4"/>
  <c r="U13" i="4"/>
  <c r="AC13" i="4"/>
  <c r="AD13" i="4"/>
  <c r="AF13" i="4"/>
  <c r="AE13" i="4"/>
  <c r="AG13" i="4"/>
  <c r="V13" i="4"/>
  <c r="W13" i="4"/>
  <c r="Y13" i="4"/>
  <c r="X13" i="4"/>
  <c r="AB13" i="4"/>
  <c r="P16" i="3"/>
  <c r="H16" i="3"/>
  <c r="I16" i="3"/>
  <c r="N16" i="3"/>
  <c r="Q16" i="3"/>
  <c r="O16" i="3"/>
  <c r="M16" i="3"/>
  <c r="K16" i="3"/>
  <c r="J16" i="3"/>
  <c r="B17" i="3"/>
  <c r="G16" i="3"/>
  <c r="L16" i="3"/>
  <c r="F16" i="3"/>
  <c r="N16" i="2"/>
  <c r="F16" i="2"/>
  <c r="J16" i="2"/>
  <c r="G16" i="2"/>
  <c r="I16" i="2"/>
  <c r="Q16" i="2"/>
  <c r="H16" i="2"/>
  <c r="P16" i="2"/>
  <c r="O16" i="2"/>
  <c r="K16" i="2"/>
  <c r="B17" i="2"/>
  <c r="M16" i="2"/>
  <c r="L16" i="2"/>
  <c r="AD15" i="11" l="1"/>
  <c r="AJ17" i="11"/>
  <c r="AH17" i="11"/>
  <c r="AI17" i="11"/>
  <c r="B15" i="4"/>
  <c r="T15" i="4" s="1"/>
  <c r="AA14" i="4"/>
  <c r="AI14" i="4"/>
  <c r="AB14" i="4"/>
  <c r="V14" i="4"/>
  <c r="AD14" i="4"/>
  <c r="Z14" i="4"/>
  <c r="AE14" i="4"/>
  <c r="AG14" i="4"/>
  <c r="AH14" i="4"/>
  <c r="W14" i="4"/>
  <c r="AF14" i="4"/>
  <c r="AC14" i="4"/>
  <c r="X14" i="4"/>
  <c r="Y14" i="4"/>
  <c r="U14" i="4"/>
  <c r="O17" i="3"/>
  <c r="G17" i="3"/>
  <c r="J17" i="3"/>
  <c r="P17" i="3"/>
  <c r="F17" i="3"/>
  <c r="L17" i="3"/>
  <c r="K17" i="3"/>
  <c r="I17" i="3"/>
  <c r="Q17" i="3"/>
  <c r="N17" i="3"/>
  <c r="B18" i="3"/>
  <c r="H17" i="3"/>
  <c r="M17" i="3"/>
  <c r="M17" i="2"/>
  <c r="B18" i="2"/>
  <c r="K17" i="2"/>
  <c r="I17" i="2"/>
  <c r="H17" i="2"/>
  <c r="J17" i="2"/>
  <c r="Q17" i="2"/>
  <c r="P17" i="2"/>
  <c r="L17" i="2"/>
  <c r="G17" i="2"/>
  <c r="O17" i="2"/>
  <c r="N17" i="2"/>
  <c r="F17" i="2"/>
  <c r="AD16" i="11" l="1"/>
  <c r="AH18" i="11"/>
  <c r="AI18" i="11"/>
  <c r="AJ18" i="11"/>
  <c r="B16" i="4"/>
  <c r="T16" i="4" s="1"/>
  <c r="AB15" i="4"/>
  <c r="U15" i="4"/>
  <c r="AC15" i="4"/>
  <c r="W15" i="4"/>
  <c r="AE15" i="4"/>
  <c r="Y15" i="4"/>
  <c r="AA15" i="4"/>
  <c r="AH15" i="4"/>
  <c r="AI15" i="4"/>
  <c r="X15" i="4"/>
  <c r="V15" i="4"/>
  <c r="AD15" i="4"/>
  <c r="AF15" i="4"/>
  <c r="Z15" i="4"/>
  <c r="AG15" i="4"/>
  <c r="N18" i="3"/>
  <c r="F18" i="3"/>
  <c r="B19" i="3"/>
  <c r="K18" i="3"/>
  <c r="Q18" i="3"/>
  <c r="H18" i="3"/>
  <c r="G18" i="3"/>
  <c r="P18" i="3"/>
  <c r="M18" i="3"/>
  <c r="L18" i="3"/>
  <c r="J18" i="3"/>
  <c r="O18" i="3"/>
  <c r="I18" i="3"/>
  <c r="B19" i="2"/>
  <c r="L18" i="2"/>
  <c r="K18" i="2"/>
  <c r="Q18" i="2"/>
  <c r="J18" i="2"/>
  <c r="I18" i="2"/>
  <c r="H18" i="2"/>
  <c r="P18" i="2"/>
  <c r="M18" i="2"/>
  <c r="G18" i="2"/>
  <c r="O18" i="2"/>
  <c r="N18" i="2"/>
  <c r="F18" i="2"/>
  <c r="AD17" i="11" l="1"/>
  <c r="AH19" i="11"/>
  <c r="AI19" i="11"/>
  <c r="AJ19" i="11"/>
  <c r="B17" i="4"/>
  <c r="T17" i="4" s="1"/>
  <c r="U16" i="4"/>
  <c r="AC16" i="4"/>
  <c r="V16" i="4"/>
  <c r="AD16" i="4"/>
  <c r="X16" i="4"/>
  <c r="AF16" i="4"/>
  <c r="W16" i="4"/>
  <c r="AI16" i="4"/>
  <c r="Z16" i="4"/>
  <c r="AA16" i="4"/>
  <c r="AE16" i="4"/>
  <c r="AG16" i="4"/>
  <c r="AH16" i="4"/>
  <c r="Y16" i="4"/>
  <c r="AB16" i="4"/>
  <c r="M19" i="3"/>
  <c r="N19" i="3"/>
  <c r="L19" i="3"/>
  <c r="I19" i="3"/>
  <c r="P19" i="3"/>
  <c r="K19" i="3"/>
  <c r="O19" i="3"/>
  <c r="H19" i="3"/>
  <c r="B20" i="3"/>
  <c r="G19" i="3"/>
  <c r="F19" i="3"/>
  <c r="Q19" i="3"/>
  <c r="J19" i="3"/>
  <c r="K19" i="2"/>
  <c r="M19" i="2"/>
  <c r="L19" i="2"/>
  <c r="B20" i="2"/>
  <c r="J19" i="2"/>
  <c r="I19" i="2"/>
  <c r="P19" i="2"/>
  <c r="H19" i="2"/>
  <c r="G19" i="2"/>
  <c r="F19" i="2"/>
  <c r="N19" i="2"/>
  <c r="Q19" i="2"/>
  <c r="O19" i="2"/>
  <c r="AD18" i="11" l="1"/>
  <c r="AI20" i="11"/>
  <c r="AJ20" i="11"/>
  <c r="AH20" i="11"/>
  <c r="B18" i="4"/>
  <c r="T18" i="4" s="1"/>
  <c r="V17" i="4"/>
  <c r="AD17" i="4"/>
  <c r="W17" i="4"/>
  <c r="AE17" i="4"/>
  <c r="Y17" i="4"/>
  <c r="AG17" i="4"/>
  <c r="AH17" i="4"/>
  <c r="X17" i="4"/>
  <c r="U17" i="4"/>
  <c r="Z17" i="4"/>
  <c r="AB17" i="4"/>
  <c r="AC17" i="4"/>
  <c r="AI17" i="4"/>
  <c r="AA17" i="4"/>
  <c r="AF17" i="4"/>
  <c r="B21" i="3"/>
  <c r="L20" i="3"/>
  <c r="N20" i="3"/>
  <c r="M20" i="3"/>
  <c r="I20" i="3"/>
  <c r="H20" i="3"/>
  <c r="G20" i="3"/>
  <c r="F20" i="3"/>
  <c r="P20" i="3"/>
  <c r="O20" i="3"/>
  <c r="K20" i="3"/>
  <c r="Q20" i="3"/>
  <c r="J20" i="3"/>
  <c r="J20" i="2"/>
  <c r="N20" i="2"/>
  <c r="M20" i="2"/>
  <c r="L20" i="2"/>
  <c r="B21" i="2"/>
  <c r="K20" i="2"/>
  <c r="O20" i="2"/>
  <c r="G20" i="2"/>
  <c r="F20" i="2"/>
  <c r="P20" i="2"/>
  <c r="I20" i="2"/>
  <c r="H20" i="2"/>
  <c r="Q20" i="2"/>
  <c r="AD19" i="11" l="1"/>
  <c r="AH21" i="11"/>
  <c r="AI21" i="11"/>
  <c r="AJ21" i="11"/>
  <c r="B19" i="4"/>
  <c r="T19" i="4" s="1"/>
  <c r="W18" i="4"/>
  <c r="AE18" i="4"/>
  <c r="X18" i="4"/>
  <c r="AF18" i="4"/>
  <c r="Z18" i="4"/>
  <c r="AH18" i="4"/>
  <c r="AD18" i="4"/>
  <c r="U18" i="4"/>
  <c r="AI18" i="4"/>
  <c r="Y18" i="4"/>
  <c r="AA18" i="4"/>
  <c r="AC18" i="4"/>
  <c r="AB18" i="4"/>
  <c r="AG18" i="4"/>
  <c r="V18" i="4"/>
  <c r="K21" i="3"/>
  <c r="O21" i="3"/>
  <c r="F21" i="3"/>
  <c r="N21" i="3"/>
  <c r="B22" i="3"/>
  <c r="J21" i="3"/>
  <c r="G21" i="3"/>
  <c r="Q21" i="3"/>
  <c r="M21" i="3"/>
  <c r="L21" i="3"/>
  <c r="I21" i="3"/>
  <c r="P21" i="3"/>
  <c r="H21" i="3"/>
  <c r="Q21" i="2"/>
  <c r="I21" i="2"/>
  <c r="O21" i="2"/>
  <c r="F21" i="2"/>
  <c r="N21" i="2"/>
  <c r="M21" i="2"/>
  <c r="L21" i="2"/>
  <c r="K21" i="2"/>
  <c r="G21" i="2"/>
  <c r="B22" i="2"/>
  <c r="P21" i="2"/>
  <c r="J21" i="2"/>
  <c r="H21" i="2"/>
  <c r="AD20" i="11" l="1"/>
  <c r="AH22" i="11"/>
  <c r="AI22" i="11"/>
  <c r="AJ22" i="11"/>
  <c r="B20" i="4"/>
  <c r="T20" i="4" s="1"/>
  <c r="X19" i="4"/>
  <c r="AF19" i="4"/>
  <c r="Y19" i="4"/>
  <c r="AG19" i="4"/>
  <c r="AA19" i="4"/>
  <c r="AI19" i="4"/>
  <c r="AC19" i="4"/>
  <c r="AE19" i="4"/>
  <c r="Z19" i="4"/>
  <c r="AB19" i="4"/>
  <c r="AH19" i="4"/>
  <c r="U19" i="4"/>
  <c r="V19" i="4"/>
  <c r="AD19" i="4"/>
  <c r="W19" i="4"/>
  <c r="J22" i="3"/>
  <c r="P22" i="3"/>
  <c r="G22" i="3"/>
  <c r="O22" i="3"/>
  <c r="F22" i="3"/>
  <c r="L22" i="3"/>
  <c r="Q22" i="3"/>
  <c r="N22" i="3"/>
  <c r="K22" i="3"/>
  <c r="I22" i="3"/>
  <c r="H22" i="3"/>
  <c r="B23" i="3"/>
  <c r="M22" i="3"/>
  <c r="P22" i="2"/>
  <c r="H22" i="2"/>
  <c r="Q22" i="2"/>
  <c r="G22" i="2"/>
  <c r="O22" i="2"/>
  <c r="F22" i="2"/>
  <c r="N22" i="2"/>
  <c r="M22" i="2"/>
  <c r="K22" i="2"/>
  <c r="B23" i="2"/>
  <c r="L22" i="2"/>
  <c r="J22" i="2"/>
  <c r="I22" i="2"/>
  <c r="AD21" i="11" l="1"/>
  <c r="AH23" i="11"/>
  <c r="AI23" i="11"/>
  <c r="AJ23" i="11"/>
  <c r="B21" i="4"/>
  <c r="T21" i="4" s="1"/>
  <c r="Y20" i="4"/>
  <c r="AG20" i="4"/>
  <c r="Z20" i="4"/>
  <c r="AH20" i="4"/>
  <c r="AB20" i="4"/>
  <c r="AA20" i="4"/>
  <c r="AD20" i="4"/>
  <c r="AC20" i="4"/>
  <c r="AE20" i="4"/>
  <c r="AI20" i="4"/>
  <c r="W20" i="4"/>
  <c r="U20" i="4"/>
  <c r="V20" i="4"/>
  <c r="AF20" i="4"/>
  <c r="X20" i="4"/>
  <c r="Q23" i="3"/>
  <c r="I23" i="3"/>
  <c r="H23" i="3"/>
  <c r="P23" i="3"/>
  <c r="G23" i="3"/>
  <c r="M23" i="3"/>
  <c r="N23" i="3"/>
  <c r="K23" i="3"/>
  <c r="L23" i="3"/>
  <c r="F23" i="3"/>
  <c r="B24" i="3"/>
  <c r="O23" i="3"/>
  <c r="J23" i="3"/>
  <c r="O23" i="2"/>
  <c r="G23" i="2"/>
  <c r="I23" i="2"/>
  <c r="F23" i="2"/>
  <c r="Q23" i="2"/>
  <c r="H23" i="2"/>
  <c r="P23" i="2"/>
  <c r="N23" i="2"/>
  <c r="L23" i="2"/>
  <c r="J23" i="2"/>
  <c r="K23" i="2"/>
  <c r="B24" i="2"/>
  <c r="M23" i="2"/>
  <c r="AD22" i="11" l="1"/>
  <c r="AJ24" i="11"/>
  <c r="AH24" i="11"/>
  <c r="AI24" i="11"/>
  <c r="B22" i="4"/>
  <c r="T22" i="4" s="1"/>
  <c r="Z21" i="4"/>
  <c r="AH21" i="4"/>
  <c r="AA21" i="4"/>
  <c r="AI21" i="4"/>
  <c r="U21" i="4"/>
  <c r="AC21" i="4"/>
  <c r="X21" i="4"/>
  <c r="AB21" i="4"/>
  <c r="AE21" i="4"/>
  <c r="AF21" i="4"/>
  <c r="V21" i="4"/>
  <c r="W21" i="4"/>
  <c r="AD21" i="4"/>
  <c r="Y21" i="4"/>
  <c r="AG21" i="4"/>
  <c r="P24" i="3"/>
  <c r="H24" i="3"/>
  <c r="J24" i="3"/>
  <c r="I24" i="3"/>
  <c r="N24" i="3"/>
  <c r="L24" i="3"/>
  <c r="G24" i="3"/>
  <c r="K24" i="3"/>
  <c r="B25" i="3"/>
  <c r="Q24" i="3"/>
  <c r="O24" i="3"/>
  <c r="M24" i="3"/>
  <c r="F24" i="3"/>
  <c r="N24" i="2"/>
  <c r="F24" i="2"/>
  <c r="J24" i="2"/>
  <c r="H24" i="2"/>
  <c r="G24" i="2"/>
  <c r="I24" i="2"/>
  <c r="Q24" i="2"/>
  <c r="P24" i="2"/>
  <c r="M24" i="2"/>
  <c r="O24" i="2"/>
  <c r="L24" i="2"/>
  <c r="K24" i="2"/>
  <c r="B25" i="2"/>
  <c r="AD23" i="11" l="1"/>
  <c r="AJ25" i="11"/>
  <c r="AH25" i="11"/>
  <c r="AI25" i="11"/>
  <c r="B23" i="4"/>
  <c r="T23" i="4" s="1"/>
  <c r="AA22" i="4"/>
  <c r="AI22" i="4"/>
  <c r="AB22" i="4"/>
  <c r="V22" i="4"/>
  <c r="AD22" i="4"/>
  <c r="W22" i="4"/>
  <c r="AH22" i="4"/>
  <c r="Y22" i="4"/>
  <c r="AF22" i="4"/>
  <c r="AG22" i="4"/>
  <c r="U22" i="4"/>
  <c r="X22" i="4"/>
  <c r="AE22" i="4"/>
  <c r="Z22" i="4"/>
  <c r="AC22" i="4"/>
  <c r="O25" i="3"/>
  <c r="G25" i="3"/>
  <c r="B26" i="3"/>
  <c r="K25" i="3"/>
  <c r="J25" i="3"/>
  <c r="P25" i="3"/>
  <c r="F25" i="3"/>
  <c r="I25" i="3"/>
  <c r="H25" i="3"/>
  <c r="Q25" i="3"/>
  <c r="N25" i="3"/>
  <c r="M25" i="3"/>
  <c r="L25" i="3"/>
  <c r="M25" i="2"/>
  <c r="B26" i="2"/>
  <c r="K25" i="2"/>
  <c r="I25" i="2"/>
  <c r="H25" i="2"/>
  <c r="J25" i="2"/>
  <c r="Q25" i="2"/>
  <c r="O25" i="2"/>
  <c r="G25" i="2"/>
  <c r="F25" i="2"/>
  <c r="P25" i="2"/>
  <c r="N25" i="2"/>
  <c r="L25" i="2"/>
  <c r="AD24" i="11" l="1"/>
  <c r="AH26" i="11"/>
  <c r="AI26" i="11"/>
  <c r="AJ26" i="11"/>
  <c r="B24" i="4"/>
  <c r="T24" i="4" s="1"/>
  <c r="AB23" i="4"/>
  <c r="U23" i="4"/>
  <c r="AC23" i="4"/>
  <c r="W23" i="4"/>
  <c r="AE23" i="4"/>
  <c r="AG23" i="4"/>
  <c r="X23" i="4"/>
  <c r="AI23" i="4"/>
  <c r="AH23" i="4"/>
  <c r="Y23" i="4"/>
  <c r="AF23" i="4"/>
  <c r="V23" i="4"/>
  <c r="Z23" i="4"/>
  <c r="AD23" i="4"/>
  <c r="AA23" i="4"/>
  <c r="N26" i="3"/>
  <c r="F26" i="3"/>
  <c r="L26" i="3"/>
  <c r="B27" i="3"/>
  <c r="K26" i="3"/>
  <c r="Q26" i="3"/>
  <c r="H26" i="3"/>
  <c r="G26" i="3"/>
  <c r="O26" i="3"/>
  <c r="M26" i="3"/>
  <c r="J26" i="3"/>
  <c r="I26" i="3"/>
  <c r="P26" i="3"/>
  <c r="B27" i="2"/>
  <c r="L26" i="2"/>
  <c r="K26" i="2"/>
  <c r="H26" i="2"/>
  <c r="J26" i="2"/>
  <c r="I26" i="2"/>
  <c r="Q26" i="2"/>
  <c r="O26" i="2"/>
  <c r="G26" i="2"/>
  <c r="F26" i="2"/>
  <c r="M26" i="2"/>
  <c r="P26" i="2"/>
  <c r="N26" i="2"/>
  <c r="AD25" i="11" l="1"/>
  <c r="AH27" i="11"/>
  <c r="AJ27" i="11"/>
  <c r="AI27" i="11"/>
  <c r="B25" i="4"/>
  <c r="T25" i="4" s="1"/>
  <c r="U24" i="4"/>
  <c r="AC24" i="4"/>
  <c r="V24" i="4"/>
  <c r="AD24" i="4"/>
  <c r="X24" i="4"/>
  <c r="AF24" i="4"/>
  <c r="AE24" i="4"/>
  <c r="AH24" i="4"/>
  <c r="W24" i="4"/>
  <c r="Z24" i="4"/>
  <c r="AI24" i="4"/>
  <c r="Y24" i="4"/>
  <c r="AA24" i="4"/>
  <c r="AB24" i="4"/>
  <c r="AG24" i="4"/>
  <c r="M27" i="3"/>
  <c r="N27" i="3"/>
  <c r="L27" i="3"/>
  <c r="I27" i="3"/>
  <c r="Q27" i="3"/>
  <c r="P27" i="3"/>
  <c r="O27" i="3"/>
  <c r="J27" i="3"/>
  <c r="H27" i="3"/>
  <c r="B28" i="3"/>
  <c r="G27" i="3"/>
  <c r="F27" i="3"/>
  <c r="K27" i="3"/>
  <c r="K27" i="2"/>
  <c r="M27" i="2"/>
  <c r="I27" i="2"/>
  <c r="L27" i="2"/>
  <c r="B28" i="2"/>
  <c r="J27" i="2"/>
  <c r="O27" i="2"/>
  <c r="G27" i="2"/>
  <c r="F27" i="2"/>
  <c r="Q27" i="2"/>
  <c r="P27" i="2"/>
  <c r="N27" i="2"/>
  <c r="H27" i="2"/>
  <c r="AD26" i="11" l="1"/>
  <c r="AI28" i="11"/>
  <c r="AJ28" i="11"/>
  <c r="AH28" i="11"/>
  <c r="B26" i="4"/>
  <c r="T26" i="4" s="1"/>
  <c r="V25" i="4"/>
  <c r="AD25" i="4"/>
  <c r="W25" i="4"/>
  <c r="AE25" i="4"/>
  <c r="Y25" i="4"/>
  <c r="AG25" i="4"/>
  <c r="AB25" i="4"/>
  <c r="AF25" i="4"/>
  <c r="U25" i="4"/>
  <c r="X25" i="4"/>
  <c r="AA25" i="4"/>
  <c r="AH25" i="4"/>
  <c r="Z25" i="4"/>
  <c r="AI25" i="4"/>
  <c r="AC25" i="4"/>
  <c r="Q28" i="3"/>
  <c r="L28" i="3"/>
  <c r="N28" i="3"/>
  <c r="M28" i="3"/>
  <c r="I28" i="3"/>
  <c r="J28" i="3"/>
  <c r="G28" i="3"/>
  <c r="H28" i="3"/>
  <c r="P28" i="3"/>
  <c r="O28" i="3"/>
  <c r="K28" i="3"/>
  <c r="F28" i="3"/>
  <c r="B29" i="3"/>
  <c r="K28" i="2"/>
  <c r="J28" i="2"/>
  <c r="O28" i="2"/>
  <c r="N28" i="2"/>
  <c r="M28" i="2"/>
  <c r="L28" i="2"/>
  <c r="I28" i="2"/>
  <c r="F28" i="2"/>
  <c r="B29" i="2"/>
  <c r="Q28" i="2"/>
  <c r="P28" i="2"/>
  <c r="H28" i="2"/>
  <c r="G28" i="2"/>
  <c r="AD27" i="11" l="1"/>
  <c r="AH29" i="11"/>
  <c r="AI29" i="11"/>
  <c r="AJ29" i="11"/>
  <c r="B27" i="4"/>
  <c r="T27" i="4" s="1"/>
  <c r="W26" i="4"/>
  <c r="AE26" i="4"/>
  <c r="X26" i="4"/>
  <c r="AF26" i="4"/>
  <c r="Z26" i="4"/>
  <c r="AH26" i="4"/>
  <c r="AA26" i="4"/>
  <c r="AC26" i="4"/>
  <c r="V26" i="4"/>
  <c r="Y26" i="4"/>
  <c r="AD26" i="4"/>
  <c r="AB26" i="4"/>
  <c r="AI26" i="4"/>
  <c r="U26" i="4"/>
  <c r="AG26" i="4"/>
  <c r="P29" i="3"/>
  <c r="H29" i="3"/>
  <c r="M29" i="3"/>
  <c r="Q29" i="3"/>
  <c r="F29" i="3"/>
  <c r="O29" i="3"/>
  <c r="K29" i="3"/>
  <c r="G29" i="3"/>
  <c r="B30" i="3"/>
  <c r="N29" i="3"/>
  <c r="L29" i="3"/>
  <c r="J29" i="3"/>
  <c r="I29" i="3"/>
  <c r="J29" i="2"/>
  <c r="Q29" i="2"/>
  <c r="I29" i="2"/>
  <c r="B30" i="2"/>
  <c r="H29" i="2"/>
  <c r="G29" i="2"/>
  <c r="P29" i="2"/>
  <c r="F29" i="2"/>
  <c r="O29" i="2"/>
  <c r="N29" i="2"/>
  <c r="K29" i="2"/>
  <c r="M29" i="2"/>
  <c r="L29" i="2"/>
  <c r="AD28" i="11" l="1"/>
  <c r="AH30" i="11"/>
  <c r="AI30" i="11"/>
  <c r="AJ30" i="11"/>
  <c r="B28" i="4"/>
  <c r="T28" i="4" s="1"/>
  <c r="X27" i="4"/>
  <c r="AF27" i="4"/>
  <c r="Y27" i="4"/>
  <c r="AG27" i="4"/>
  <c r="AA27" i="4"/>
  <c r="AI27" i="4"/>
  <c r="W27" i="4"/>
  <c r="AB27" i="4"/>
  <c r="Z27" i="4"/>
  <c r="AC27" i="4"/>
  <c r="AE27" i="4"/>
  <c r="AD27" i="4"/>
  <c r="U27" i="4"/>
  <c r="V27" i="4"/>
  <c r="AH27" i="4"/>
  <c r="O30" i="3"/>
  <c r="G30" i="3"/>
  <c r="N30" i="3"/>
  <c r="B31" i="3"/>
  <c r="J30" i="3"/>
  <c r="I30" i="3"/>
  <c r="P30" i="3"/>
  <c r="Q30" i="3"/>
  <c r="L30" i="3"/>
  <c r="K30" i="3"/>
  <c r="H30" i="3"/>
  <c r="F30" i="3"/>
  <c r="M30" i="3"/>
  <c r="Q30" i="2"/>
  <c r="I30" i="2"/>
  <c r="P30" i="2"/>
  <c r="H30" i="2"/>
  <c r="M30" i="2"/>
  <c r="J30" i="2"/>
  <c r="L30" i="2"/>
  <c r="K30" i="2"/>
  <c r="B31" i="2"/>
  <c r="N30" i="2"/>
  <c r="G30" i="2"/>
  <c r="O30" i="2"/>
  <c r="F30" i="2"/>
  <c r="AD29" i="11" l="1"/>
  <c r="AH31" i="11"/>
  <c r="AI31" i="11"/>
  <c r="AJ31" i="11"/>
  <c r="B29" i="4"/>
  <c r="T29" i="4" s="1"/>
  <c r="Y28" i="4"/>
  <c r="AG28" i="4"/>
  <c r="Z28" i="4"/>
  <c r="AH28" i="4"/>
  <c r="AB28" i="4"/>
  <c r="V28" i="4"/>
  <c r="AI28" i="4"/>
  <c r="X28" i="4"/>
  <c r="AC28" i="4"/>
  <c r="AD28" i="4"/>
  <c r="AF28" i="4"/>
  <c r="U28" i="4"/>
  <c r="AE28" i="4"/>
  <c r="W28" i="4"/>
  <c r="AA28" i="4"/>
  <c r="N31" i="3"/>
  <c r="F31" i="3"/>
  <c r="P31" i="3"/>
  <c r="G31" i="3"/>
  <c r="M31" i="3"/>
  <c r="L31" i="3"/>
  <c r="I31" i="3"/>
  <c r="B32" i="3"/>
  <c r="Q31" i="3"/>
  <c r="K31" i="3"/>
  <c r="J31" i="3"/>
  <c r="H31" i="3"/>
  <c r="O31" i="3"/>
  <c r="P31" i="2"/>
  <c r="H31" i="2"/>
  <c r="O31" i="2"/>
  <c r="G31" i="2"/>
  <c r="F31" i="2"/>
  <c r="M31" i="2"/>
  <c r="Q31" i="2"/>
  <c r="N31" i="2"/>
  <c r="L31" i="2"/>
  <c r="K31" i="2"/>
  <c r="B32" i="2"/>
  <c r="J31" i="2"/>
  <c r="I31" i="2"/>
  <c r="AD30" i="11" l="1"/>
  <c r="AI32" i="11"/>
  <c r="AJ32" i="11"/>
  <c r="AH32" i="11"/>
  <c r="B30" i="4"/>
  <c r="T30" i="4" s="1"/>
  <c r="Z29" i="4"/>
  <c r="AH29" i="4"/>
  <c r="AA29" i="4"/>
  <c r="AI29" i="4"/>
  <c r="U29" i="4"/>
  <c r="AC29" i="4"/>
  <c r="AF29" i="4"/>
  <c r="W29" i="4"/>
  <c r="AD29" i="4"/>
  <c r="AE29" i="4"/>
  <c r="Y29" i="4"/>
  <c r="X29" i="4"/>
  <c r="AB29" i="4"/>
  <c r="AG29" i="4"/>
  <c r="V29" i="4"/>
  <c r="M32" i="3"/>
  <c r="Q32" i="3"/>
  <c r="H32" i="3"/>
  <c r="G32" i="3"/>
  <c r="P32" i="3"/>
  <c r="F32" i="3"/>
  <c r="L32" i="3"/>
  <c r="B33" i="3"/>
  <c r="O32" i="3"/>
  <c r="K32" i="3"/>
  <c r="J32" i="3"/>
  <c r="I32" i="3"/>
  <c r="N32" i="3"/>
  <c r="O32" i="2"/>
  <c r="G32" i="2"/>
  <c r="N32" i="2"/>
  <c r="F32" i="2"/>
  <c r="K32" i="2"/>
  <c r="I32" i="2"/>
  <c r="B33" i="2"/>
  <c r="J32" i="2"/>
  <c r="H32" i="2"/>
  <c r="Q32" i="2"/>
  <c r="P32" i="2"/>
  <c r="M32" i="2"/>
  <c r="L32" i="2"/>
  <c r="AD31" i="11" l="1"/>
  <c r="AJ33" i="11"/>
  <c r="AH33" i="11"/>
  <c r="AI33" i="11"/>
  <c r="B31" i="4"/>
  <c r="T31" i="4" s="1"/>
  <c r="AA30" i="4"/>
  <c r="AI30" i="4"/>
  <c r="AB30" i="4"/>
  <c r="V30" i="4"/>
  <c r="AD30" i="4"/>
  <c r="AE30" i="4"/>
  <c r="U30" i="4"/>
  <c r="AG30" i="4"/>
  <c r="AF30" i="4"/>
  <c r="AH30" i="4"/>
  <c r="W30" i="4"/>
  <c r="X30" i="4"/>
  <c r="AC30" i="4"/>
  <c r="Y30" i="4"/>
  <c r="Z30" i="4"/>
  <c r="B34" i="3"/>
  <c r="L33" i="3"/>
  <c r="Q33" i="3"/>
  <c r="H33" i="3"/>
  <c r="J33" i="3"/>
  <c r="I33" i="3"/>
  <c r="O33" i="3"/>
  <c r="P33" i="3"/>
  <c r="N33" i="3"/>
  <c r="M33" i="3"/>
  <c r="G33" i="3"/>
  <c r="F33" i="3"/>
  <c r="K33" i="3"/>
  <c r="N33" i="2"/>
  <c r="F33" i="2"/>
  <c r="M33" i="2"/>
  <c r="P33" i="2"/>
  <c r="L33" i="2"/>
  <c r="K33" i="2"/>
  <c r="O33" i="2"/>
  <c r="H33" i="2"/>
  <c r="B34" i="2"/>
  <c r="Q33" i="2"/>
  <c r="J33" i="2"/>
  <c r="I33" i="2"/>
  <c r="G33" i="2"/>
  <c r="AD32" i="11" l="1"/>
  <c r="AI34" i="11"/>
  <c r="AH34" i="11"/>
  <c r="AJ34" i="11"/>
  <c r="B32" i="4"/>
  <c r="T32" i="4" s="1"/>
  <c r="AB31" i="4"/>
  <c r="U31" i="4"/>
  <c r="AC31" i="4"/>
  <c r="W31" i="4"/>
  <c r="AE31" i="4"/>
  <c r="AA31" i="4"/>
  <c r="AF31" i="4"/>
  <c r="AH31" i="4"/>
  <c r="AI31" i="4"/>
  <c r="X31" i="4"/>
  <c r="Y31" i="4"/>
  <c r="Z31" i="4"/>
  <c r="AD31" i="4"/>
  <c r="AG31" i="4"/>
  <c r="V31" i="4"/>
  <c r="K34" i="3"/>
  <c r="I34" i="3"/>
  <c r="N34" i="3"/>
  <c r="M34" i="3"/>
  <c r="B35" i="3"/>
  <c r="H34" i="3"/>
  <c r="O34" i="3"/>
  <c r="J34" i="3"/>
  <c r="L34" i="3"/>
  <c r="F34" i="3"/>
  <c r="Q34" i="3"/>
  <c r="P34" i="3"/>
  <c r="G34" i="3"/>
  <c r="M34" i="2"/>
  <c r="B35" i="2"/>
  <c r="L34" i="2"/>
  <c r="Q34" i="2"/>
  <c r="G34" i="2"/>
  <c r="P34" i="2"/>
  <c r="F34" i="2"/>
  <c r="O34" i="2"/>
  <c r="N34" i="2"/>
  <c r="K34" i="2"/>
  <c r="J34" i="2"/>
  <c r="I34" i="2"/>
  <c r="H34" i="2"/>
  <c r="AD33" i="11" l="1"/>
  <c r="AH35" i="11"/>
  <c r="AI35" i="11"/>
  <c r="AJ35" i="11"/>
  <c r="B33" i="4"/>
  <c r="T33" i="4" s="1"/>
  <c r="U32" i="4"/>
  <c r="AC32" i="4"/>
  <c r="V32" i="4"/>
  <c r="AD32" i="4"/>
  <c r="X32" i="4"/>
  <c r="AF32" i="4"/>
  <c r="Z32" i="4"/>
  <c r="AB32" i="4"/>
  <c r="Y32" i="4"/>
  <c r="AH32" i="4"/>
  <c r="W32" i="4"/>
  <c r="AG32" i="4"/>
  <c r="AA32" i="4"/>
  <c r="AE32" i="4"/>
  <c r="AI32" i="4"/>
  <c r="J35" i="3"/>
  <c r="B36" i="3"/>
  <c r="K35" i="3"/>
  <c r="Q35" i="3"/>
  <c r="G35" i="3"/>
  <c r="P35" i="3"/>
  <c r="F35" i="3"/>
  <c r="M35" i="3"/>
  <c r="N35" i="3"/>
  <c r="L35" i="3"/>
  <c r="I35" i="3"/>
  <c r="O35" i="3"/>
  <c r="H35" i="3"/>
  <c r="B36" i="2"/>
  <c r="L35" i="2"/>
  <c r="K35" i="2"/>
  <c r="I35" i="2"/>
  <c r="G35" i="2"/>
  <c r="H35" i="2"/>
  <c r="Q35" i="2"/>
  <c r="P35" i="2"/>
  <c r="F35" i="2"/>
  <c r="O35" i="2"/>
  <c r="N35" i="2"/>
  <c r="M35" i="2"/>
  <c r="J35" i="2"/>
  <c r="AD34" i="11" l="1"/>
  <c r="AI36" i="11"/>
  <c r="AJ36" i="11"/>
  <c r="AH36" i="11"/>
  <c r="B34" i="4"/>
  <c r="T34" i="4" s="1"/>
  <c r="V33" i="4"/>
  <c r="AD33" i="4"/>
  <c r="W33" i="4"/>
  <c r="AE33" i="4"/>
  <c r="Y33" i="4"/>
  <c r="AG33" i="4"/>
  <c r="X33" i="4"/>
  <c r="AA33" i="4"/>
  <c r="U33" i="4"/>
  <c r="AB33" i="4"/>
  <c r="Z33" i="4"/>
  <c r="AC33" i="4"/>
  <c r="AH33" i="4"/>
  <c r="AF33" i="4"/>
  <c r="AI33" i="4"/>
  <c r="Q36" i="3"/>
  <c r="I36" i="3"/>
  <c r="L36" i="3"/>
  <c r="K36" i="3"/>
  <c r="B37" i="3"/>
  <c r="J36" i="3"/>
  <c r="P36" i="3"/>
  <c r="F36" i="3"/>
  <c r="N36" i="3"/>
  <c r="H36" i="3"/>
  <c r="M36" i="3"/>
  <c r="O36" i="3"/>
  <c r="G36" i="3"/>
  <c r="K36" i="2"/>
  <c r="J36" i="2"/>
  <c r="N36" i="2"/>
  <c r="M36" i="2"/>
  <c r="L36" i="2"/>
  <c r="I36" i="2"/>
  <c r="G36" i="2"/>
  <c r="B37" i="2"/>
  <c r="Q36" i="2"/>
  <c r="P36" i="2"/>
  <c r="O36" i="2"/>
  <c r="H36" i="2"/>
  <c r="F36" i="2"/>
  <c r="AD35" i="11" l="1"/>
  <c r="AH37" i="11"/>
  <c r="AJ37" i="11"/>
  <c r="AI37" i="11"/>
  <c r="B35" i="4"/>
  <c r="T35" i="4" s="1"/>
  <c r="W34" i="4"/>
  <c r="AE34" i="4"/>
  <c r="X34" i="4"/>
  <c r="AF34" i="4"/>
  <c r="Z34" i="4"/>
  <c r="AH34" i="4"/>
  <c r="U34" i="4"/>
  <c r="AI34" i="4"/>
  <c r="Y34" i="4"/>
  <c r="AA34" i="4"/>
  <c r="AC34" i="4"/>
  <c r="AB34" i="4"/>
  <c r="AG34" i="4"/>
  <c r="V34" i="4"/>
  <c r="AD34" i="4"/>
  <c r="P37" i="3"/>
  <c r="H37" i="3"/>
  <c r="M37" i="3"/>
  <c r="N37" i="3"/>
  <c r="L37" i="3"/>
  <c r="I37" i="3"/>
  <c r="J37" i="3"/>
  <c r="G37" i="3"/>
  <c r="F37" i="3"/>
  <c r="Q37" i="3"/>
  <c r="O37" i="3"/>
  <c r="K37" i="3"/>
  <c r="B38" i="3"/>
  <c r="J37" i="2"/>
  <c r="Q37" i="2"/>
  <c r="I37" i="2"/>
  <c r="G37" i="2"/>
  <c r="P37" i="2"/>
  <c r="F37" i="2"/>
  <c r="O37" i="2"/>
  <c r="N37" i="2"/>
  <c r="K37" i="2"/>
  <c r="B38" i="2"/>
  <c r="M37" i="2"/>
  <c r="L37" i="2"/>
  <c r="H37" i="2"/>
  <c r="AD36" i="11" l="1"/>
  <c r="AH38" i="11"/>
  <c r="AI38" i="11"/>
  <c r="AJ38" i="11"/>
  <c r="B36" i="4"/>
  <c r="T36" i="4" s="1"/>
  <c r="X35" i="4"/>
  <c r="AF35" i="4"/>
  <c r="Y35" i="4"/>
  <c r="AG35" i="4"/>
  <c r="AA35" i="4"/>
  <c r="AI35" i="4"/>
  <c r="AE35" i="4"/>
  <c r="V35" i="4"/>
  <c r="AB35" i="4"/>
  <c r="AD35" i="4"/>
  <c r="U35" i="4"/>
  <c r="W35" i="4"/>
  <c r="AC35" i="4"/>
  <c r="AH35" i="4"/>
  <c r="Z35" i="4"/>
  <c r="O38" i="3"/>
  <c r="G38" i="3"/>
  <c r="N38" i="3"/>
  <c r="H38" i="3"/>
  <c r="Q38" i="3"/>
  <c r="F38" i="3"/>
  <c r="L38" i="3"/>
  <c r="J38" i="3"/>
  <c r="I38" i="3"/>
  <c r="P38" i="3"/>
  <c r="M38" i="3"/>
  <c r="K38" i="3"/>
  <c r="B39" i="3"/>
  <c r="Q38" i="2"/>
  <c r="I38" i="2"/>
  <c r="P38" i="2"/>
  <c r="H38" i="2"/>
  <c r="L38" i="2"/>
  <c r="B39" i="2"/>
  <c r="G38" i="2"/>
  <c r="K38" i="2"/>
  <c r="J38" i="2"/>
  <c r="N38" i="2"/>
  <c r="O38" i="2"/>
  <c r="M38" i="2"/>
  <c r="F38" i="2"/>
  <c r="AD37" i="11" l="1"/>
  <c r="AH39" i="11"/>
  <c r="AJ39" i="11"/>
  <c r="AI39" i="11"/>
  <c r="B37" i="4"/>
  <c r="T37" i="4" s="1"/>
  <c r="Y36" i="4"/>
  <c r="AG36" i="4"/>
  <c r="Z36" i="4"/>
  <c r="AH36" i="4"/>
  <c r="AB36" i="4"/>
  <c r="AD36" i="4"/>
  <c r="U36" i="4"/>
  <c r="AF36" i="4"/>
  <c r="AC36" i="4"/>
  <c r="AI36" i="4"/>
  <c r="V36" i="4"/>
  <c r="AE36" i="4"/>
  <c r="W36" i="4"/>
  <c r="X36" i="4"/>
  <c r="AA36" i="4"/>
  <c r="N39" i="3"/>
  <c r="F39" i="3"/>
  <c r="P39" i="3"/>
  <c r="G39" i="3"/>
  <c r="K39" i="3"/>
  <c r="B40" i="3"/>
  <c r="J39" i="3"/>
  <c r="Q39" i="3"/>
  <c r="I39" i="3"/>
  <c r="H39" i="3"/>
  <c r="O39" i="3"/>
  <c r="M39" i="3"/>
  <c r="L39" i="3"/>
  <c r="P39" i="2"/>
  <c r="H39" i="2"/>
  <c r="O39" i="2"/>
  <c r="G39" i="2"/>
  <c r="Q39" i="2"/>
  <c r="L39" i="2"/>
  <c r="N39" i="2"/>
  <c r="M39" i="2"/>
  <c r="I39" i="2"/>
  <c r="F39" i="2"/>
  <c r="K39" i="2"/>
  <c r="J39" i="2"/>
  <c r="B40" i="2"/>
  <c r="AD38" i="11" l="1"/>
  <c r="AH40" i="11"/>
  <c r="AJ40" i="11"/>
  <c r="AI40" i="11"/>
  <c r="B38" i="4"/>
  <c r="T38" i="4" s="1"/>
  <c r="Z37" i="4"/>
  <c r="AH37" i="4"/>
  <c r="AA37" i="4"/>
  <c r="AI37" i="4"/>
  <c r="U37" i="4"/>
  <c r="AC37" i="4"/>
  <c r="AB37" i="4"/>
  <c r="AE37" i="4"/>
  <c r="AF37" i="4"/>
  <c r="Y37" i="4"/>
  <c r="V37" i="4"/>
  <c r="X37" i="4"/>
  <c r="AG37" i="4"/>
  <c r="W37" i="4"/>
  <c r="AD37" i="4"/>
  <c r="M40" i="3"/>
  <c r="Q40" i="3"/>
  <c r="H40" i="3"/>
  <c r="O40" i="3"/>
  <c r="N40" i="3"/>
  <c r="B41" i="3"/>
  <c r="J40" i="3"/>
  <c r="G40" i="3"/>
  <c r="F40" i="3"/>
  <c r="P40" i="3"/>
  <c r="L40" i="3"/>
  <c r="K40" i="3"/>
  <c r="I40" i="3"/>
  <c r="M40" i="2"/>
  <c r="P40" i="2"/>
  <c r="G40" i="2"/>
  <c r="O40" i="2"/>
  <c r="F40" i="2"/>
  <c r="J40" i="2"/>
  <c r="B41" i="2"/>
  <c r="I40" i="2"/>
  <c r="H40" i="2"/>
  <c r="L40" i="2"/>
  <c r="K40" i="2"/>
  <c r="Q40" i="2"/>
  <c r="N40" i="2"/>
  <c r="AD39" i="11" l="1"/>
  <c r="AJ41" i="11"/>
  <c r="AI41" i="11"/>
  <c r="AH41" i="11"/>
  <c r="B39" i="4"/>
  <c r="T39" i="4" s="1"/>
  <c r="AA38" i="4"/>
  <c r="AI38" i="4"/>
  <c r="AB38" i="4"/>
  <c r="V38" i="4"/>
  <c r="AD38" i="4"/>
  <c r="Y38" i="4"/>
  <c r="AC38" i="4"/>
  <c r="AG38" i="4"/>
  <c r="U38" i="4"/>
  <c r="AH38" i="4"/>
  <c r="Z38" i="4"/>
  <c r="AE38" i="4"/>
  <c r="X38" i="4"/>
  <c r="W38" i="4"/>
  <c r="AF38" i="4"/>
  <c r="B42" i="3"/>
  <c r="L41" i="3"/>
  <c r="Q41" i="3"/>
  <c r="H41" i="3"/>
  <c r="G41" i="3"/>
  <c r="P41" i="3"/>
  <c r="F41" i="3"/>
  <c r="M41" i="3"/>
  <c r="N41" i="3"/>
  <c r="K41" i="3"/>
  <c r="J41" i="3"/>
  <c r="I41" i="3"/>
  <c r="O41" i="3"/>
  <c r="B42" i="2"/>
  <c r="L41" i="2"/>
  <c r="P41" i="2"/>
  <c r="G41" i="2"/>
  <c r="O41" i="2"/>
  <c r="F41" i="2"/>
  <c r="Q41" i="2"/>
  <c r="N41" i="2"/>
  <c r="M41" i="2"/>
  <c r="K41" i="2"/>
  <c r="J41" i="2"/>
  <c r="I41" i="2"/>
  <c r="H41" i="2"/>
  <c r="AD40" i="11" l="1"/>
  <c r="AH42" i="11"/>
  <c r="AI42" i="11"/>
  <c r="AJ42" i="11"/>
  <c r="B40" i="4"/>
  <c r="T40" i="4" s="1"/>
  <c r="AB39" i="4"/>
  <c r="U39" i="4"/>
  <c r="AC39" i="4"/>
  <c r="W39" i="4"/>
  <c r="AE39" i="4"/>
  <c r="X39" i="4"/>
  <c r="AI39" i="4"/>
  <c r="Z39" i="4"/>
  <c r="AH39" i="4"/>
  <c r="V39" i="4"/>
  <c r="Y39" i="4"/>
  <c r="AD39" i="4"/>
  <c r="AF39" i="4"/>
  <c r="AG39" i="4"/>
  <c r="AA39" i="4"/>
  <c r="K42" i="3"/>
  <c r="I42" i="3"/>
  <c r="L42" i="3"/>
  <c r="J42" i="3"/>
  <c r="P42" i="3"/>
  <c r="F42" i="3"/>
  <c r="B43" i="3"/>
  <c r="Q42" i="3"/>
  <c r="N42" i="3"/>
  <c r="M42" i="3"/>
  <c r="H42" i="3"/>
  <c r="G42" i="3"/>
  <c r="O42" i="3"/>
  <c r="K42" i="2"/>
  <c r="Q42" i="2"/>
  <c r="H42" i="2"/>
  <c r="P42" i="2"/>
  <c r="G42" i="2"/>
  <c r="L42" i="2"/>
  <c r="F42" i="2"/>
  <c r="J42" i="2"/>
  <c r="I42" i="2"/>
  <c r="B43" i="2"/>
  <c r="O42" i="2"/>
  <c r="N42" i="2"/>
  <c r="M42" i="2"/>
  <c r="AD41" i="11" l="1"/>
  <c r="AH43" i="11"/>
  <c r="AI43" i="11"/>
  <c r="AJ43" i="11"/>
  <c r="B41" i="4"/>
  <c r="T41" i="4" s="1"/>
  <c r="U40" i="4"/>
  <c r="AC40" i="4"/>
  <c r="V40" i="4"/>
  <c r="AD40" i="4"/>
  <c r="X40" i="4"/>
  <c r="AF40" i="4"/>
  <c r="AH40" i="4"/>
  <c r="Y40" i="4"/>
  <c r="Z40" i="4"/>
  <c r="AB40" i="4"/>
  <c r="W40" i="4"/>
  <c r="AA40" i="4"/>
  <c r="AG40" i="4"/>
  <c r="AE40" i="4"/>
  <c r="AI40" i="4"/>
  <c r="J43" i="3"/>
  <c r="B44" i="3"/>
  <c r="K43" i="3"/>
  <c r="O43" i="3"/>
  <c r="N43" i="3"/>
  <c r="I43" i="3"/>
  <c r="Q43" i="3"/>
  <c r="M43" i="3"/>
  <c r="P43" i="3"/>
  <c r="H43" i="3"/>
  <c r="G43" i="3"/>
  <c r="F43" i="3"/>
  <c r="L43" i="3"/>
  <c r="J43" i="2"/>
  <c r="I43" i="2"/>
  <c r="Q43" i="2"/>
  <c r="H43" i="2"/>
  <c r="B44" i="2"/>
  <c r="F43" i="2"/>
  <c r="N43" i="2"/>
  <c r="P43" i="2"/>
  <c r="O43" i="2"/>
  <c r="L43" i="2"/>
  <c r="M43" i="2"/>
  <c r="K43" i="2"/>
  <c r="G43" i="2"/>
  <c r="AD42" i="11" l="1"/>
  <c r="AI44" i="11"/>
  <c r="AJ44" i="11"/>
  <c r="AH44" i="11"/>
  <c r="B42" i="4"/>
  <c r="T42" i="4" s="1"/>
  <c r="V41" i="4"/>
  <c r="AD41" i="4"/>
  <c r="W41" i="4"/>
  <c r="AE41" i="4"/>
  <c r="Y41" i="4"/>
  <c r="AG41" i="4"/>
  <c r="AF41" i="4"/>
  <c r="U41" i="4"/>
  <c r="AI41" i="4"/>
  <c r="X41" i="4"/>
  <c r="AA41" i="4"/>
  <c r="AH41" i="4"/>
  <c r="Z41" i="4"/>
  <c r="AB41" i="4"/>
  <c r="AC41" i="4"/>
  <c r="Q44" i="3"/>
  <c r="I44" i="3"/>
  <c r="L44" i="3"/>
  <c r="H44" i="3"/>
  <c r="G44" i="3"/>
  <c r="N44" i="3"/>
  <c r="O44" i="3"/>
  <c r="M44" i="3"/>
  <c r="K44" i="3"/>
  <c r="F44" i="3"/>
  <c r="B45" i="3"/>
  <c r="P44" i="3"/>
  <c r="J44" i="3"/>
  <c r="Q44" i="2"/>
  <c r="I44" i="2"/>
  <c r="B45" i="2"/>
  <c r="K44" i="2"/>
  <c r="J44" i="2"/>
  <c r="N44" i="2"/>
  <c r="L44" i="2"/>
  <c r="H44" i="2"/>
  <c r="M44" i="2"/>
  <c r="G44" i="2"/>
  <c r="F44" i="2"/>
  <c r="P44" i="2"/>
  <c r="O44" i="2"/>
  <c r="AD43" i="11" l="1"/>
  <c r="AH45" i="11"/>
  <c r="AI45" i="11"/>
  <c r="AJ45" i="11"/>
  <c r="B43" i="4"/>
  <c r="T43" i="4" s="1"/>
  <c r="W42" i="4"/>
  <c r="AE42" i="4"/>
  <c r="X42" i="4"/>
  <c r="AF42" i="4"/>
  <c r="Z42" i="4"/>
  <c r="AH42" i="4"/>
  <c r="AC42" i="4"/>
  <c r="AG42" i="4"/>
  <c r="Y42" i="4"/>
  <c r="AB42" i="4"/>
  <c r="U42" i="4"/>
  <c r="V42" i="4"/>
  <c r="AD42" i="4"/>
  <c r="AI42" i="4"/>
  <c r="AA42" i="4"/>
  <c r="P45" i="3"/>
  <c r="H45" i="3"/>
  <c r="M45" i="3"/>
  <c r="K45" i="3"/>
  <c r="B46" i="3"/>
  <c r="J45" i="3"/>
  <c r="Q45" i="3"/>
  <c r="F45" i="3"/>
  <c r="N45" i="3"/>
  <c r="I45" i="3"/>
  <c r="L45" i="3"/>
  <c r="O45" i="3"/>
  <c r="G45" i="3"/>
  <c r="P45" i="2"/>
  <c r="H45" i="2"/>
  <c r="L45" i="2"/>
  <c r="B46" i="2"/>
  <c r="K45" i="2"/>
  <c r="I45" i="2"/>
  <c r="F45" i="2"/>
  <c r="Q45" i="2"/>
  <c r="G45" i="2"/>
  <c r="O45" i="2"/>
  <c r="N45" i="2"/>
  <c r="M45" i="2"/>
  <c r="J45" i="2"/>
  <c r="AD44" i="11" l="1"/>
  <c r="AH46" i="11"/>
  <c r="AI46" i="11"/>
  <c r="AJ46" i="11"/>
  <c r="B44" i="4"/>
  <c r="T44" i="4" s="1"/>
  <c r="X43" i="4"/>
  <c r="AF43" i="4"/>
  <c r="Y43" i="4"/>
  <c r="AG43" i="4"/>
  <c r="AA43" i="4"/>
  <c r="AI43" i="4"/>
  <c r="AB43" i="4"/>
  <c r="AD43" i="4"/>
  <c r="Z43" i="4"/>
  <c r="AE43" i="4"/>
  <c r="AC43" i="4"/>
  <c r="AH43" i="4"/>
  <c r="V43" i="4"/>
  <c r="U43" i="4"/>
  <c r="W43" i="4"/>
  <c r="O46" i="3"/>
  <c r="G46" i="3"/>
  <c r="N46" i="3"/>
  <c r="P46" i="3"/>
  <c r="M46" i="3"/>
  <c r="B47" i="3"/>
  <c r="J46" i="3"/>
  <c r="K46" i="3"/>
  <c r="I46" i="3"/>
  <c r="H46" i="3"/>
  <c r="Q46" i="3"/>
  <c r="L46" i="3"/>
  <c r="F46" i="3"/>
  <c r="O46" i="2"/>
  <c r="G46" i="2"/>
  <c r="M46" i="2"/>
  <c r="L46" i="2"/>
  <c r="P46" i="2"/>
  <c r="K46" i="2"/>
  <c r="N46" i="2"/>
  <c r="J46" i="2"/>
  <c r="F46" i="2"/>
  <c r="Q46" i="2"/>
  <c r="H46" i="2"/>
  <c r="B47" i="2"/>
  <c r="I46" i="2"/>
  <c r="AD45" i="11" l="1"/>
  <c r="AH47" i="11"/>
  <c r="AI47" i="11"/>
  <c r="AJ47" i="11"/>
  <c r="B45" i="4"/>
  <c r="T45" i="4" s="1"/>
  <c r="Y44" i="4"/>
  <c r="AG44" i="4"/>
  <c r="Z44" i="4"/>
  <c r="AH44" i="4"/>
  <c r="AB44" i="4"/>
  <c r="X44" i="4"/>
  <c r="AC44" i="4"/>
  <c r="AD44" i="4"/>
  <c r="AF44" i="4"/>
  <c r="U44" i="4"/>
  <c r="W44" i="4"/>
  <c r="V44" i="4"/>
  <c r="AA44" i="4"/>
  <c r="AE44" i="4"/>
  <c r="AI44" i="4"/>
  <c r="N47" i="3"/>
  <c r="F47" i="3"/>
  <c r="P47" i="3"/>
  <c r="G47" i="3"/>
  <c r="I47" i="3"/>
  <c r="H47" i="3"/>
  <c r="M47" i="3"/>
  <c r="K47" i="3"/>
  <c r="J47" i="3"/>
  <c r="B48" i="3"/>
  <c r="Q47" i="3"/>
  <c r="O47" i="3"/>
  <c r="L47" i="3"/>
  <c r="N47" i="2"/>
  <c r="F47" i="2"/>
  <c r="O47" i="2"/>
  <c r="M47" i="2"/>
  <c r="H47" i="2"/>
  <c r="Q47" i="2"/>
  <c r="P47" i="2"/>
  <c r="G47" i="2"/>
  <c r="B48" i="2"/>
  <c r="L47" i="2"/>
  <c r="K47" i="2"/>
  <c r="J47" i="2"/>
  <c r="I47" i="2"/>
  <c r="AD46" i="11" l="1"/>
  <c r="AH48" i="11"/>
  <c r="AI48" i="11"/>
  <c r="AJ48" i="11"/>
  <c r="B46" i="4"/>
  <c r="T46" i="4" s="1"/>
  <c r="Z45" i="4"/>
  <c r="AH45" i="4"/>
  <c r="AA45" i="4"/>
  <c r="AI45" i="4"/>
  <c r="U45" i="4"/>
  <c r="AC45" i="4"/>
  <c r="W45" i="4"/>
  <c r="Y45" i="4"/>
  <c r="AE45" i="4"/>
  <c r="AG45" i="4"/>
  <c r="V45" i="4"/>
  <c r="AB45" i="4"/>
  <c r="AD45" i="4"/>
  <c r="X45" i="4"/>
  <c r="AF45" i="4"/>
  <c r="M48" i="3"/>
  <c r="Q48" i="3"/>
  <c r="H48" i="3"/>
  <c r="L48" i="3"/>
  <c r="K48" i="3"/>
  <c r="G48" i="3"/>
  <c r="J48" i="3"/>
  <c r="I48" i="3"/>
  <c r="F48" i="3"/>
  <c r="P48" i="3"/>
  <c r="O48" i="3"/>
  <c r="N48" i="3"/>
  <c r="B49" i="3"/>
  <c r="M48" i="2"/>
  <c r="P48" i="2"/>
  <c r="G48" i="2"/>
  <c r="O48" i="2"/>
  <c r="F48" i="2"/>
  <c r="N48" i="2"/>
  <c r="L48" i="2"/>
  <c r="K48" i="2"/>
  <c r="J48" i="2"/>
  <c r="I48" i="2"/>
  <c r="B49" i="2"/>
  <c r="H48" i="2"/>
  <c r="Q48" i="2"/>
  <c r="AD47" i="11" l="1"/>
  <c r="AJ49" i="11"/>
  <c r="AH49" i="11"/>
  <c r="AI49" i="11"/>
  <c r="B47" i="4"/>
  <c r="T47" i="4" s="1"/>
  <c r="AA46" i="4"/>
  <c r="AI46" i="4"/>
  <c r="AB46" i="4"/>
  <c r="V46" i="4"/>
  <c r="AD46" i="4"/>
  <c r="U46" i="4"/>
  <c r="AG46" i="4"/>
  <c r="X46" i="4"/>
  <c r="AF46" i="4"/>
  <c r="AC46" i="4"/>
  <c r="W46" i="4"/>
  <c r="AE46" i="4"/>
  <c r="Y46" i="4"/>
  <c r="AH46" i="4"/>
  <c r="Z46" i="4"/>
  <c r="B50" i="3"/>
  <c r="L49" i="3"/>
  <c r="Q49" i="3"/>
  <c r="H49" i="3"/>
  <c r="O49" i="3"/>
  <c r="N49" i="3"/>
  <c r="J49" i="3"/>
  <c r="F49" i="3"/>
  <c r="M49" i="3"/>
  <c r="K49" i="3"/>
  <c r="I49" i="3"/>
  <c r="G49" i="3"/>
  <c r="P49" i="3"/>
  <c r="B50" i="2"/>
  <c r="L49" i="2"/>
  <c r="P49" i="2"/>
  <c r="G49" i="2"/>
  <c r="O49" i="2"/>
  <c r="F49" i="2"/>
  <c r="I49" i="2"/>
  <c r="H49" i="2"/>
  <c r="Q49" i="2"/>
  <c r="K49" i="2"/>
  <c r="N49" i="2"/>
  <c r="M49" i="2"/>
  <c r="J49" i="2"/>
  <c r="AD48" i="11" l="1"/>
  <c r="AH50" i="11"/>
  <c r="AI50" i="11"/>
  <c r="AJ50" i="11"/>
  <c r="B48" i="4"/>
  <c r="T48" i="4" s="1"/>
  <c r="AB47" i="4"/>
  <c r="U47" i="4"/>
  <c r="AC47" i="4"/>
  <c r="W47" i="4"/>
  <c r="AE47" i="4"/>
  <c r="AF47" i="4"/>
  <c r="V47" i="4"/>
  <c r="AH47" i="4"/>
  <c r="AI47" i="4"/>
  <c r="X47" i="4"/>
  <c r="Y47" i="4"/>
  <c r="Z47" i="4"/>
  <c r="AD47" i="4"/>
  <c r="AA47" i="4"/>
  <c r="AG47" i="4"/>
  <c r="K50" i="3"/>
  <c r="I50" i="3"/>
  <c r="B51" i="3"/>
  <c r="H50" i="3"/>
  <c r="Q50" i="3"/>
  <c r="G50" i="3"/>
  <c r="N50" i="3"/>
  <c r="M50" i="3"/>
  <c r="O50" i="3"/>
  <c r="L50" i="3"/>
  <c r="J50" i="3"/>
  <c r="F50" i="3"/>
  <c r="P50" i="3"/>
  <c r="K50" i="2"/>
  <c r="Q50" i="2"/>
  <c r="H50" i="2"/>
  <c r="P50" i="2"/>
  <c r="G50" i="2"/>
  <c r="O50" i="2"/>
  <c r="M50" i="2"/>
  <c r="L50" i="2"/>
  <c r="N50" i="2"/>
  <c r="F50" i="2"/>
  <c r="B51" i="2"/>
  <c r="J50" i="2"/>
  <c r="I50" i="2"/>
  <c r="AD49" i="11" l="1"/>
  <c r="AH51" i="11"/>
  <c r="AI51" i="11"/>
  <c r="AJ51" i="11"/>
  <c r="B49" i="4"/>
  <c r="T49" i="4" s="1"/>
  <c r="U48" i="4"/>
  <c r="AC48" i="4"/>
  <c r="V48" i="4"/>
  <c r="AD48" i="4"/>
  <c r="X48" i="4"/>
  <c r="AF48" i="4"/>
  <c r="AB48" i="4"/>
  <c r="AG48" i="4"/>
  <c r="Y48" i="4"/>
  <c r="W48" i="4"/>
  <c r="AH48" i="4"/>
  <c r="AI48" i="4"/>
  <c r="AE48" i="4"/>
  <c r="Z48" i="4"/>
  <c r="AA48" i="4"/>
  <c r="J51" i="3"/>
  <c r="B52" i="3"/>
  <c r="K51" i="3"/>
  <c r="M51" i="3"/>
  <c r="L51" i="3"/>
  <c r="Q51" i="3"/>
  <c r="G51" i="3"/>
  <c r="P51" i="3"/>
  <c r="F51" i="3"/>
  <c r="H51" i="3"/>
  <c r="O51" i="3"/>
  <c r="N51" i="3"/>
  <c r="I51" i="3"/>
  <c r="J51" i="2"/>
  <c r="I51" i="2"/>
  <c r="Q51" i="2"/>
  <c r="H51" i="2"/>
  <c r="L51" i="2"/>
  <c r="G51" i="2"/>
  <c r="K51" i="2"/>
  <c r="B52" i="2"/>
  <c r="F51" i="2"/>
  <c r="N51" i="2"/>
  <c r="M51" i="2"/>
  <c r="P51" i="2"/>
  <c r="O51" i="2"/>
  <c r="AD50" i="11" l="1"/>
  <c r="AI52" i="11"/>
  <c r="AJ52" i="11"/>
  <c r="AH52" i="11"/>
  <c r="B50" i="4"/>
  <c r="T50" i="4" s="1"/>
  <c r="V49" i="4"/>
  <c r="AD49" i="4"/>
  <c r="W49" i="4"/>
  <c r="AE49" i="4"/>
  <c r="Y49" i="4"/>
  <c r="AG49" i="4"/>
  <c r="AA49" i="4"/>
  <c r="AC49" i="4"/>
  <c r="U49" i="4"/>
  <c r="Z49" i="4"/>
  <c r="AF49" i="4"/>
  <c r="AB49" i="4"/>
  <c r="AH49" i="4"/>
  <c r="AI49" i="4"/>
  <c r="X49" i="4"/>
  <c r="Q52" i="3"/>
  <c r="I52" i="3"/>
  <c r="L52" i="3"/>
  <c r="P52" i="3"/>
  <c r="F52" i="3"/>
  <c r="O52" i="3"/>
  <c r="K52" i="3"/>
  <c r="B53" i="3"/>
  <c r="J52" i="3"/>
  <c r="M52" i="3"/>
  <c r="G52" i="3"/>
  <c r="H52" i="3"/>
  <c r="N52" i="3"/>
  <c r="Q52" i="2"/>
  <c r="I52" i="2"/>
  <c r="B53" i="2"/>
  <c r="K52" i="2"/>
  <c r="J52" i="2"/>
  <c r="F52" i="2"/>
  <c r="O52" i="2"/>
  <c r="P52" i="2"/>
  <c r="N52" i="2"/>
  <c r="M52" i="2"/>
  <c r="L52" i="2"/>
  <c r="H52" i="2"/>
  <c r="G52" i="2"/>
  <c r="AD51" i="11" l="1"/>
  <c r="AH53" i="11"/>
  <c r="AI53" i="11"/>
  <c r="AJ53" i="11"/>
  <c r="B51" i="4"/>
  <c r="T51" i="4" s="1"/>
  <c r="W50" i="4"/>
  <c r="AE50" i="4"/>
  <c r="X50" i="4"/>
  <c r="AF50" i="4"/>
  <c r="Z50" i="4"/>
  <c r="AH50" i="4"/>
  <c r="Y50" i="4"/>
  <c r="AB50" i="4"/>
  <c r="V50" i="4"/>
  <c r="AC50" i="4"/>
  <c r="AD50" i="4"/>
  <c r="AG50" i="4"/>
  <c r="AA50" i="4"/>
  <c r="AI50" i="4"/>
  <c r="U50" i="4"/>
  <c r="P53" i="3"/>
  <c r="H53" i="3"/>
  <c r="M53" i="3"/>
  <c r="I53" i="3"/>
  <c r="G53" i="3"/>
  <c r="N53" i="3"/>
  <c r="L53" i="3"/>
  <c r="K53" i="3"/>
  <c r="J53" i="3"/>
  <c r="F53" i="3"/>
  <c r="B54" i="3"/>
  <c r="Q53" i="3"/>
  <c r="O53" i="3"/>
  <c r="P53" i="2"/>
  <c r="H53" i="2"/>
  <c r="L53" i="2"/>
  <c r="B54" i="2"/>
  <c r="K53" i="2"/>
  <c r="N53" i="2"/>
  <c r="I53" i="2"/>
  <c r="M53" i="2"/>
  <c r="J53" i="2"/>
  <c r="G53" i="2"/>
  <c r="Q53" i="2"/>
  <c r="O53" i="2"/>
  <c r="F53" i="2"/>
  <c r="AD52" i="11" l="1"/>
  <c r="AI54" i="11"/>
  <c r="AJ54" i="11"/>
  <c r="AH54" i="11"/>
  <c r="B52" i="4"/>
  <c r="T52" i="4" s="1"/>
  <c r="X51" i="4"/>
  <c r="Y51" i="4"/>
  <c r="V51" i="4"/>
  <c r="AF51" i="4"/>
  <c r="Z51" i="4"/>
  <c r="AH51" i="4"/>
  <c r="AA51" i="4"/>
  <c r="AC51" i="4"/>
  <c r="U51" i="4"/>
  <c r="AI51" i="4"/>
  <c r="W51" i="4"/>
  <c r="AG51" i="4"/>
  <c r="AD51" i="4"/>
  <c r="AB51" i="4"/>
  <c r="AE51" i="4"/>
  <c r="O54" i="3"/>
  <c r="G54" i="3"/>
  <c r="I54" i="3"/>
  <c r="N54" i="3"/>
  <c r="M54" i="3"/>
  <c r="L54" i="3"/>
  <c r="B55" i="3"/>
  <c r="H54" i="3"/>
  <c r="F54" i="3"/>
  <c r="Q54" i="3"/>
  <c r="K54" i="3"/>
  <c r="P54" i="3"/>
  <c r="J54" i="3"/>
  <c r="O54" i="2"/>
  <c r="G54" i="2"/>
  <c r="M54" i="2"/>
  <c r="L54" i="2"/>
  <c r="H54" i="2"/>
  <c r="F54" i="2"/>
  <c r="Q54" i="2"/>
  <c r="P54" i="2"/>
  <c r="J54" i="2"/>
  <c r="B55" i="2"/>
  <c r="N54" i="2"/>
  <c r="K54" i="2"/>
  <c r="I54" i="2"/>
  <c r="AD53" i="11" l="1"/>
  <c r="AH55" i="11"/>
  <c r="AJ55" i="11"/>
  <c r="AI55" i="11"/>
  <c r="B53" i="4"/>
  <c r="T53" i="4" s="1"/>
  <c r="Y52" i="4"/>
  <c r="AG52" i="4"/>
  <c r="AA52" i="4"/>
  <c r="AI52" i="4"/>
  <c r="V52" i="4"/>
  <c r="AF52" i="4"/>
  <c r="X52" i="4"/>
  <c r="W52" i="4"/>
  <c r="U52" i="4"/>
  <c r="AB52" i="4"/>
  <c r="AH52" i="4"/>
  <c r="AE52" i="4"/>
  <c r="AC52" i="4"/>
  <c r="AD52" i="4"/>
  <c r="Z52" i="4"/>
  <c r="N55" i="3"/>
  <c r="F55" i="3"/>
  <c r="J55" i="3"/>
  <c r="P55" i="3"/>
  <c r="G55" i="3"/>
  <c r="I55" i="3"/>
  <c r="B56" i="3"/>
  <c r="H55" i="3"/>
  <c r="O55" i="3"/>
  <c r="M55" i="3"/>
  <c r="L55" i="3"/>
  <c r="K55" i="3"/>
  <c r="Q55" i="3"/>
  <c r="N55" i="2"/>
  <c r="F55" i="2"/>
  <c r="O55" i="2"/>
  <c r="M55" i="2"/>
  <c r="K55" i="2"/>
  <c r="B56" i="2"/>
  <c r="I55" i="2"/>
  <c r="J55" i="2"/>
  <c r="H55" i="2"/>
  <c r="P55" i="2"/>
  <c r="L55" i="2"/>
  <c r="G55" i="2"/>
  <c r="Q55" i="2"/>
  <c r="AD54" i="11" l="1"/>
  <c r="AH56" i="11"/>
  <c r="AI56" i="11"/>
  <c r="AJ56" i="11"/>
  <c r="B54" i="4"/>
  <c r="T54" i="4" s="1"/>
  <c r="Z53" i="4"/>
  <c r="AH53" i="4"/>
  <c r="AB53" i="4"/>
  <c r="AC53" i="4"/>
  <c r="U53" i="4"/>
  <c r="AE53" i="4"/>
  <c r="W53" i="4"/>
  <c r="V53" i="4"/>
  <c r="X53" i="4"/>
  <c r="AA53" i="4"/>
  <c r="AF53" i="4"/>
  <c r="Y53" i="4"/>
  <c r="AD53" i="4"/>
  <c r="AG53" i="4"/>
  <c r="AI53" i="4"/>
  <c r="M56" i="3"/>
  <c r="B57" i="3"/>
  <c r="K56" i="3"/>
  <c r="Q56" i="3"/>
  <c r="H56" i="3"/>
  <c r="P56" i="3"/>
  <c r="O56" i="3"/>
  <c r="J56" i="3"/>
  <c r="I56" i="3"/>
  <c r="F56" i="3"/>
  <c r="N56" i="3"/>
  <c r="L56" i="3"/>
  <c r="G56" i="3"/>
  <c r="M56" i="2"/>
  <c r="P56" i="2"/>
  <c r="G56" i="2"/>
  <c r="O56" i="2"/>
  <c r="F56" i="2"/>
  <c r="H56" i="2"/>
  <c r="Q56" i="2"/>
  <c r="N56" i="2"/>
  <c r="B57" i="2"/>
  <c r="J56" i="2"/>
  <c r="I56" i="2"/>
  <c r="L56" i="2"/>
  <c r="K56" i="2"/>
  <c r="AD55" i="11" l="1"/>
  <c r="AJ57" i="11"/>
  <c r="AI57" i="11"/>
  <c r="AH57" i="11"/>
  <c r="B55" i="4"/>
  <c r="T55" i="4" s="1"/>
  <c r="AA54" i="4"/>
  <c r="AI54" i="4"/>
  <c r="U54" i="4"/>
  <c r="AC54" i="4"/>
  <c r="X54" i="4"/>
  <c r="AH54" i="4"/>
  <c r="Z54" i="4"/>
  <c r="V54" i="4"/>
  <c r="W54" i="4"/>
  <c r="Y54" i="4"/>
  <c r="AD54" i="4"/>
  <c r="AG54" i="4"/>
  <c r="AB54" i="4"/>
  <c r="AE54" i="4"/>
  <c r="AF54" i="4"/>
  <c r="B58" i="3"/>
  <c r="L57" i="3"/>
  <c r="K57" i="3"/>
  <c r="Q57" i="3"/>
  <c r="H57" i="3"/>
  <c r="J57" i="3"/>
  <c r="I57" i="3"/>
  <c r="P57" i="3"/>
  <c r="O57" i="3"/>
  <c r="F57" i="3"/>
  <c r="N57" i="3"/>
  <c r="M57" i="3"/>
  <c r="G57" i="3"/>
  <c r="B58" i="2"/>
  <c r="L57" i="2"/>
  <c r="P57" i="2"/>
  <c r="G57" i="2"/>
  <c r="O57" i="2"/>
  <c r="F57" i="2"/>
  <c r="M57" i="2"/>
  <c r="J57" i="2"/>
  <c r="K57" i="2"/>
  <c r="I57" i="2"/>
  <c r="Q57" i="2"/>
  <c r="N57" i="2"/>
  <c r="H57" i="2"/>
  <c r="AD56" i="11" l="1"/>
  <c r="AH58" i="11"/>
  <c r="AI58" i="11"/>
  <c r="AJ58" i="11"/>
  <c r="B56" i="4"/>
  <c r="T56" i="4" s="1"/>
  <c r="AB55" i="4"/>
  <c r="V55" i="4"/>
  <c r="AD55" i="4"/>
  <c r="AE55" i="4"/>
  <c r="W55" i="4"/>
  <c r="AG55" i="4"/>
  <c r="U55" i="4"/>
  <c r="AI55" i="4"/>
  <c r="Y55" i="4"/>
  <c r="Z55" i="4"/>
  <c r="AC55" i="4"/>
  <c r="AA55" i="4"/>
  <c r="AF55" i="4"/>
  <c r="AH55" i="4"/>
  <c r="X55" i="4"/>
  <c r="K58" i="3"/>
  <c r="M58" i="3"/>
  <c r="I58" i="3"/>
  <c r="P58" i="3"/>
  <c r="O58" i="3"/>
  <c r="J58" i="3"/>
  <c r="H58" i="3"/>
  <c r="F58" i="3"/>
  <c r="Q58" i="3"/>
  <c r="N58" i="3"/>
  <c r="L58" i="3"/>
  <c r="G58" i="3"/>
  <c r="B59" i="3"/>
  <c r="K58" i="2"/>
  <c r="Q58" i="2"/>
  <c r="H58" i="2"/>
  <c r="P58" i="2"/>
  <c r="G58" i="2"/>
  <c r="I58" i="2"/>
  <c r="B59" i="2"/>
  <c r="F58" i="2"/>
  <c r="O58" i="2"/>
  <c r="N58" i="2"/>
  <c r="M58" i="2"/>
  <c r="L58" i="2"/>
  <c r="J58" i="2"/>
  <c r="AD57" i="11" l="1"/>
  <c r="AH59" i="11"/>
  <c r="AI59" i="11"/>
  <c r="AJ59" i="11"/>
  <c r="B57" i="4"/>
  <c r="T57" i="4" s="1"/>
  <c r="U56" i="4"/>
  <c r="AC56" i="4"/>
  <c r="W56" i="4"/>
  <c r="AE56" i="4"/>
  <c r="Z56" i="4"/>
  <c r="AB56" i="4"/>
  <c r="AH56" i="4"/>
  <c r="Y56" i="4"/>
  <c r="AA56" i="4"/>
  <c r="AF56" i="4"/>
  <c r="AG56" i="4"/>
  <c r="V56" i="4"/>
  <c r="X56" i="4"/>
  <c r="AD56" i="4"/>
  <c r="AI56" i="4"/>
  <c r="J59" i="3"/>
  <c r="N59" i="3"/>
  <c r="B60" i="3"/>
  <c r="K59" i="3"/>
  <c r="L59" i="3"/>
  <c r="I59" i="3"/>
  <c r="Q59" i="3"/>
  <c r="F59" i="3"/>
  <c r="P59" i="3"/>
  <c r="H59" i="3"/>
  <c r="G59" i="3"/>
  <c r="O59" i="3"/>
  <c r="M59" i="3"/>
  <c r="J59" i="2"/>
  <c r="I59" i="2"/>
  <c r="Q59" i="2"/>
  <c r="H59" i="2"/>
  <c r="O59" i="2"/>
  <c r="M59" i="2"/>
  <c r="L59" i="2"/>
  <c r="N59" i="2"/>
  <c r="G59" i="2"/>
  <c r="B60" i="2"/>
  <c r="K59" i="2"/>
  <c r="F59" i="2"/>
  <c r="P59" i="2"/>
  <c r="AD58" i="11" l="1"/>
  <c r="AI60" i="11"/>
  <c r="AJ60" i="11"/>
  <c r="AH60" i="11"/>
  <c r="B58" i="4"/>
  <c r="T58" i="4" s="1"/>
  <c r="V57" i="4"/>
  <c r="AD57" i="4"/>
  <c r="X57" i="4"/>
  <c r="AF57" i="4"/>
  <c r="U57" i="4"/>
  <c r="AG57" i="4"/>
  <c r="Y57" i="4"/>
  <c r="AI57" i="4"/>
  <c r="AH57" i="4"/>
  <c r="AA57" i="4"/>
  <c r="AB57" i="4"/>
  <c r="AE57" i="4"/>
  <c r="W57" i="4"/>
  <c r="AC57" i="4"/>
  <c r="Z57" i="4"/>
  <c r="Q60" i="3"/>
  <c r="I60" i="3"/>
  <c r="O60" i="3"/>
  <c r="F60" i="3"/>
  <c r="L60" i="3"/>
  <c r="G60" i="3"/>
  <c r="M60" i="3"/>
  <c r="K60" i="3"/>
  <c r="P60" i="3"/>
  <c r="J60" i="3"/>
  <c r="N60" i="3"/>
  <c r="B61" i="3"/>
  <c r="H60" i="3"/>
  <c r="Q60" i="2"/>
  <c r="I60" i="2"/>
  <c r="B61" i="2"/>
  <c r="K60" i="2"/>
  <c r="J60" i="2"/>
  <c r="L60" i="2"/>
  <c r="G60" i="2"/>
  <c r="H60" i="2"/>
  <c r="F60" i="2"/>
  <c r="O60" i="2"/>
  <c r="P60" i="2"/>
  <c r="N60" i="2"/>
  <c r="M60" i="2"/>
  <c r="AD59" i="11" l="1"/>
  <c r="AH61" i="11"/>
  <c r="AI61" i="11"/>
  <c r="AJ61" i="11"/>
  <c r="B59" i="4"/>
  <c r="T59" i="4" s="1"/>
  <c r="W58" i="4"/>
  <c r="AE58" i="4"/>
  <c r="Y58" i="4"/>
  <c r="AG58" i="4"/>
  <c r="AB58" i="4"/>
  <c r="AD58" i="4"/>
  <c r="AH58" i="4"/>
  <c r="AA58" i="4"/>
  <c r="AC58" i="4"/>
  <c r="AI58" i="4"/>
  <c r="Z58" i="4"/>
  <c r="U58" i="4"/>
  <c r="V58" i="4"/>
  <c r="X58" i="4"/>
  <c r="AF58" i="4"/>
  <c r="P61" i="3"/>
  <c r="H61" i="3"/>
  <c r="Q61" i="3"/>
  <c r="G61" i="3"/>
  <c r="M61" i="3"/>
  <c r="L61" i="3"/>
  <c r="K61" i="3"/>
  <c r="F61" i="3"/>
  <c r="B62" i="3"/>
  <c r="N61" i="3"/>
  <c r="O61" i="3"/>
  <c r="I61" i="3"/>
  <c r="J61" i="3"/>
  <c r="P61" i="2"/>
  <c r="H61" i="2"/>
  <c r="L61" i="2"/>
  <c r="B62" i="2"/>
  <c r="K61" i="2"/>
  <c r="I61" i="2"/>
  <c r="F61" i="2"/>
  <c r="Q61" i="2"/>
  <c r="O61" i="2"/>
  <c r="M61" i="2"/>
  <c r="J61" i="2"/>
  <c r="G61" i="2"/>
  <c r="N61" i="2"/>
  <c r="AD60" i="11" l="1"/>
  <c r="AJ62" i="11"/>
  <c r="AI62" i="11"/>
  <c r="AH62" i="11"/>
  <c r="B60" i="4"/>
  <c r="T60" i="4" s="1"/>
  <c r="X59" i="4"/>
  <c r="AF59" i="4"/>
  <c r="Z59" i="4"/>
  <c r="AH59" i="4"/>
  <c r="W59" i="4"/>
  <c r="AI59" i="4"/>
  <c r="AA59" i="4"/>
  <c r="AE59" i="4"/>
  <c r="AC59" i="4"/>
  <c r="AD59" i="4"/>
  <c r="U59" i="4"/>
  <c r="AG59" i="4"/>
  <c r="Y59" i="4"/>
  <c r="AB59" i="4"/>
  <c r="V59" i="4"/>
  <c r="O62" i="3"/>
  <c r="G62" i="3"/>
  <c r="I62" i="3"/>
  <c r="N62" i="3"/>
  <c r="B63" i="3"/>
  <c r="H62" i="3"/>
  <c r="F62" i="3"/>
  <c r="M62" i="3"/>
  <c r="L62" i="3"/>
  <c r="P62" i="3"/>
  <c r="K62" i="3"/>
  <c r="J62" i="3"/>
  <c r="Q62" i="3"/>
  <c r="O62" i="2"/>
  <c r="G62" i="2"/>
  <c r="M62" i="2"/>
  <c r="L62" i="2"/>
  <c r="P62" i="2"/>
  <c r="N62" i="2"/>
  <c r="J62" i="2"/>
  <c r="I62" i="2"/>
  <c r="K62" i="2"/>
  <c r="Q62" i="2"/>
  <c r="B63" i="2"/>
  <c r="H62" i="2"/>
  <c r="F62" i="2"/>
  <c r="AD61" i="11" l="1"/>
  <c r="AH63" i="11"/>
  <c r="AI63" i="11"/>
  <c r="AJ63" i="11"/>
  <c r="B61" i="4"/>
  <c r="T61" i="4" s="1"/>
  <c r="Y60" i="4"/>
  <c r="AG60" i="4"/>
  <c r="AA60" i="4"/>
  <c r="AI60" i="4"/>
  <c r="AD60" i="4"/>
  <c r="V60" i="4"/>
  <c r="AF60" i="4"/>
  <c r="AE60" i="4"/>
  <c r="AC60" i="4"/>
  <c r="AH60" i="4"/>
  <c r="U60" i="4"/>
  <c r="AB60" i="4"/>
  <c r="X60" i="4"/>
  <c r="W60" i="4"/>
  <c r="Z60" i="4"/>
  <c r="N63" i="3"/>
  <c r="F63" i="3"/>
  <c r="J63" i="3"/>
  <c r="P63" i="3"/>
  <c r="G63" i="3"/>
  <c r="O63" i="3"/>
  <c r="M63" i="3"/>
  <c r="I63" i="3"/>
  <c r="B64" i="3"/>
  <c r="H63" i="3"/>
  <c r="K63" i="3"/>
  <c r="Q63" i="3"/>
  <c r="L63" i="3"/>
  <c r="N63" i="2"/>
  <c r="F63" i="2"/>
  <c r="O63" i="2"/>
  <c r="M63" i="2"/>
  <c r="H63" i="2"/>
  <c r="I63" i="2"/>
  <c r="Q63" i="2"/>
  <c r="B64" i="2"/>
  <c r="G63" i="2"/>
  <c r="P63" i="2"/>
  <c r="L63" i="2"/>
  <c r="K63" i="2"/>
  <c r="J63" i="2"/>
  <c r="AD62" i="11" l="1"/>
  <c r="AH64" i="11"/>
  <c r="AI64" i="11"/>
  <c r="AJ64" i="11"/>
  <c r="B62" i="4"/>
  <c r="T62" i="4" s="1"/>
  <c r="Z61" i="4"/>
  <c r="AH61" i="4"/>
  <c r="AB61" i="4"/>
  <c r="Y61" i="4"/>
  <c r="AC61" i="4"/>
  <c r="AE61" i="4"/>
  <c r="AF61" i="4"/>
  <c r="AG61" i="4"/>
  <c r="V61" i="4"/>
  <c r="AI61" i="4"/>
  <c r="U61" i="4"/>
  <c r="W61" i="4"/>
  <c r="X61" i="4"/>
  <c r="AA61" i="4"/>
  <c r="AD61" i="4"/>
  <c r="M64" i="3"/>
  <c r="B65" i="3"/>
  <c r="K64" i="3"/>
  <c r="Q64" i="3"/>
  <c r="H64" i="3"/>
  <c r="J64" i="3"/>
  <c r="I64" i="3"/>
  <c r="P64" i="3"/>
  <c r="O64" i="3"/>
  <c r="N64" i="3"/>
  <c r="G64" i="3"/>
  <c r="L64" i="3"/>
  <c r="F64" i="3"/>
  <c r="M64" i="2"/>
  <c r="P64" i="2"/>
  <c r="G64" i="2"/>
  <c r="O64" i="2"/>
  <c r="F64" i="2"/>
  <c r="N64" i="2"/>
  <c r="B65" i="2"/>
  <c r="Q64" i="2"/>
  <c r="L64" i="2"/>
  <c r="J64" i="2"/>
  <c r="K64" i="2"/>
  <c r="I64" i="2"/>
  <c r="H64" i="2"/>
  <c r="AD63" i="11" l="1"/>
  <c r="AJ65" i="11"/>
  <c r="AH65" i="11"/>
  <c r="AI65" i="11"/>
  <c r="B63" i="4"/>
  <c r="T63" i="4" s="1"/>
  <c r="AA62" i="4"/>
  <c r="AI62" i="4"/>
  <c r="U62" i="4"/>
  <c r="AC62" i="4"/>
  <c r="V62" i="4"/>
  <c r="AF62" i="4"/>
  <c r="X62" i="4"/>
  <c r="AH62" i="4"/>
  <c r="AD62" i="4"/>
  <c r="AG62" i="4"/>
  <c r="W62" i="4"/>
  <c r="Z62" i="4"/>
  <c r="AB62" i="4"/>
  <c r="AE62" i="4"/>
  <c r="Y62" i="4"/>
  <c r="B66" i="3"/>
  <c r="L65" i="3"/>
  <c r="K65" i="3"/>
  <c r="Q65" i="3"/>
  <c r="H65" i="3"/>
  <c r="P65" i="3"/>
  <c r="O65" i="3"/>
  <c r="J65" i="3"/>
  <c r="I65" i="3"/>
  <c r="N65" i="3"/>
  <c r="G65" i="3"/>
  <c r="M65" i="3"/>
  <c r="F65" i="3"/>
  <c r="B66" i="2"/>
  <c r="L65" i="2"/>
  <c r="P65" i="2"/>
  <c r="G65" i="2"/>
  <c r="O65" i="2"/>
  <c r="F65" i="2"/>
  <c r="K65" i="2"/>
  <c r="I65" i="2"/>
  <c r="N65" i="2"/>
  <c r="M65" i="2"/>
  <c r="Q65" i="2"/>
  <c r="J65" i="2"/>
  <c r="H65" i="2"/>
  <c r="AD64" i="11" l="1"/>
  <c r="AI66" i="11"/>
  <c r="AH66" i="11"/>
  <c r="AJ66" i="11"/>
  <c r="B64" i="4"/>
  <c r="T64" i="4" s="1"/>
  <c r="AB63" i="4"/>
  <c r="V63" i="4"/>
  <c r="AD63" i="4"/>
  <c r="AA63" i="4"/>
  <c r="AE63" i="4"/>
  <c r="AC63" i="4"/>
  <c r="AH63" i="4"/>
  <c r="U63" i="4"/>
  <c r="AI63" i="4"/>
  <c r="X63" i="4"/>
  <c r="AF63" i="4"/>
  <c r="W63" i="4"/>
  <c r="Y63" i="4"/>
  <c r="Z63" i="4"/>
  <c r="AG63" i="4"/>
  <c r="K66" i="3"/>
  <c r="M66" i="3"/>
  <c r="I66" i="3"/>
  <c r="J66" i="3"/>
  <c r="H66" i="3"/>
  <c r="P66" i="3"/>
  <c r="O66" i="3"/>
  <c r="N66" i="3"/>
  <c r="G66" i="3"/>
  <c r="L66" i="3"/>
  <c r="B67" i="3"/>
  <c r="Q66" i="3"/>
  <c r="F66" i="3"/>
  <c r="K66" i="2"/>
  <c r="Q66" i="2"/>
  <c r="H66" i="2"/>
  <c r="P66" i="2"/>
  <c r="G66" i="2"/>
  <c r="B67" i="2"/>
  <c r="F66" i="2"/>
  <c r="O66" i="2"/>
  <c r="N66" i="2"/>
  <c r="M66" i="2"/>
  <c r="L66" i="2"/>
  <c r="J66" i="2"/>
  <c r="I66" i="2"/>
  <c r="AD65" i="11" l="1"/>
  <c r="AI67" i="11"/>
  <c r="AJ67" i="11"/>
  <c r="AH67" i="11"/>
  <c r="B65" i="4"/>
  <c r="T65" i="4" s="1"/>
  <c r="U64" i="4"/>
  <c r="AC64" i="4"/>
  <c r="W64" i="4"/>
  <c r="AE64" i="4"/>
  <c r="X64" i="4"/>
  <c r="AH64" i="4"/>
  <c r="Z64" i="4"/>
  <c r="AB64" i="4"/>
  <c r="AI64" i="4"/>
  <c r="Y64" i="4"/>
  <c r="V64" i="4"/>
  <c r="AF64" i="4"/>
  <c r="AG64" i="4"/>
  <c r="AD64" i="4"/>
  <c r="AA64" i="4"/>
  <c r="J67" i="3"/>
  <c r="N67" i="3"/>
  <c r="B68" i="3"/>
  <c r="K67" i="3"/>
  <c r="Q67" i="3"/>
  <c r="F67" i="3"/>
  <c r="P67" i="3"/>
  <c r="L67" i="3"/>
  <c r="I67" i="3"/>
  <c r="M67" i="3"/>
  <c r="O67" i="3"/>
  <c r="G67" i="3"/>
  <c r="H67" i="3"/>
  <c r="J67" i="2"/>
  <c r="I67" i="2"/>
  <c r="Q67" i="2"/>
  <c r="H67" i="2"/>
  <c r="G67" i="2"/>
  <c r="O67" i="2"/>
  <c r="M67" i="2"/>
  <c r="P67" i="2"/>
  <c r="L67" i="2"/>
  <c r="K67" i="2"/>
  <c r="N67" i="2"/>
  <c r="F67" i="2"/>
  <c r="B68" i="2"/>
  <c r="AD66" i="11" l="1"/>
  <c r="AI68" i="11"/>
  <c r="AJ68" i="11"/>
  <c r="AH68" i="11"/>
  <c r="B66" i="4"/>
  <c r="T66" i="4" s="1"/>
  <c r="V65" i="4"/>
  <c r="AD65" i="4"/>
  <c r="X65" i="4"/>
  <c r="AF65" i="4"/>
  <c r="AC65" i="4"/>
  <c r="U65" i="4"/>
  <c r="AG65" i="4"/>
  <c r="AA65" i="4"/>
  <c r="W65" i="4"/>
  <c r="Z65" i="4"/>
  <c r="AH65" i="4"/>
  <c r="AB65" i="4"/>
  <c r="Y65" i="4"/>
  <c r="AE65" i="4"/>
  <c r="AI65" i="4"/>
  <c r="Q68" i="3"/>
  <c r="I68" i="3"/>
  <c r="O68" i="3"/>
  <c r="F68" i="3"/>
  <c r="L68" i="3"/>
  <c r="M68" i="3"/>
  <c r="K68" i="3"/>
  <c r="G68" i="3"/>
  <c r="B69" i="3"/>
  <c r="N68" i="3"/>
  <c r="J68" i="3"/>
  <c r="H68" i="3"/>
  <c r="P68" i="3"/>
  <c r="Q68" i="2"/>
  <c r="I68" i="2"/>
  <c r="B69" i="2"/>
  <c r="K68" i="2"/>
  <c r="J68" i="2"/>
  <c r="O68" i="2"/>
  <c r="L68" i="2"/>
  <c r="G68" i="2"/>
  <c r="P68" i="2"/>
  <c r="N68" i="2"/>
  <c r="M68" i="2"/>
  <c r="H68" i="2"/>
  <c r="F68" i="2"/>
  <c r="AD67" i="11" l="1"/>
  <c r="AH69" i="11"/>
  <c r="AI69" i="11"/>
  <c r="AJ69" i="11"/>
  <c r="B67" i="4"/>
  <c r="T67" i="4" s="1"/>
  <c r="W66" i="4"/>
  <c r="AE66" i="4"/>
  <c r="Y66" i="4"/>
  <c r="AG66" i="4"/>
  <c r="Z66" i="4"/>
  <c r="AB66" i="4"/>
  <c r="AA66" i="4"/>
  <c r="U66" i="4"/>
  <c r="V66" i="4"/>
  <c r="AC66" i="4"/>
  <c r="AI66" i="4"/>
  <c r="AH66" i="4"/>
  <c r="AF66" i="4"/>
  <c r="X66" i="4"/>
  <c r="AD66" i="4"/>
  <c r="P69" i="3"/>
  <c r="H69" i="3"/>
  <c r="Q69" i="3"/>
  <c r="G69" i="3"/>
  <c r="M69" i="3"/>
  <c r="F69" i="3"/>
  <c r="L69" i="3"/>
  <c r="K69" i="3"/>
  <c r="O69" i="3"/>
  <c r="N69" i="3"/>
  <c r="J69" i="3"/>
  <c r="I69" i="3"/>
  <c r="B70" i="3"/>
  <c r="P69" i="2"/>
  <c r="H69" i="2"/>
  <c r="L69" i="2"/>
  <c r="B70" i="2"/>
  <c r="K69" i="2"/>
  <c r="J69" i="2"/>
  <c r="G69" i="2"/>
  <c r="Q69" i="2"/>
  <c r="N69" i="2"/>
  <c r="M69" i="2"/>
  <c r="O69" i="2"/>
  <c r="I69" i="2"/>
  <c r="F69" i="2"/>
  <c r="AD68" i="11" l="1"/>
  <c r="AI70" i="11"/>
  <c r="AH70" i="11"/>
  <c r="AJ70" i="11"/>
  <c r="B68" i="4"/>
  <c r="T68" i="4" s="1"/>
  <c r="X67" i="4"/>
  <c r="AF67" i="4"/>
  <c r="Z67" i="4"/>
  <c r="AH67" i="4"/>
  <c r="U67" i="4"/>
  <c r="AE67" i="4"/>
  <c r="W67" i="4"/>
  <c r="AI67" i="4"/>
  <c r="AA67" i="4"/>
  <c r="V67" i="4"/>
  <c r="Y67" i="4"/>
  <c r="AC67" i="4"/>
  <c r="AD67" i="4"/>
  <c r="AB67" i="4"/>
  <c r="AG67" i="4"/>
  <c r="O70" i="3"/>
  <c r="G70" i="3"/>
  <c r="I70" i="3"/>
  <c r="N70" i="3"/>
  <c r="M70" i="3"/>
  <c r="L70" i="3"/>
  <c r="B71" i="3"/>
  <c r="H70" i="3"/>
  <c r="F70" i="3"/>
  <c r="K70" i="3"/>
  <c r="J70" i="3"/>
  <c r="Q70" i="3"/>
  <c r="P70" i="3"/>
  <c r="O70" i="2"/>
  <c r="G70" i="2"/>
  <c r="M70" i="2"/>
  <c r="L70" i="2"/>
  <c r="Q70" i="2"/>
  <c r="P70" i="2"/>
  <c r="K70" i="2"/>
  <c r="N70" i="2"/>
  <c r="H70" i="2"/>
  <c r="J70" i="2"/>
  <c r="I70" i="2"/>
  <c r="B71" i="2"/>
  <c r="F70" i="2"/>
  <c r="AD69" i="11" l="1"/>
  <c r="AH71" i="11"/>
  <c r="AJ71" i="11"/>
  <c r="AI71" i="11"/>
  <c r="B69" i="4"/>
  <c r="T69" i="4" s="1"/>
  <c r="Y68" i="4"/>
  <c r="AA68" i="4"/>
  <c r="AI68" i="4"/>
  <c r="AB68" i="4"/>
  <c r="AD68" i="4"/>
  <c r="X68" i="4"/>
  <c r="W68" i="4"/>
  <c r="Z68" i="4"/>
  <c r="AE68" i="4"/>
  <c r="AG68" i="4"/>
  <c r="U68" i="4"/>
  <c r="AH68" i="4"/>
  <c r="V68" i="4"/>
  <c r="AC68" i="4"/>
  <c r="AF68" i="4"/>
  <c r="N71" i="3"/>
  <c r="F71" i="3"/>
  <c r="J71" i="3"/>
  <c r="P71" i="3"/>
  <c r="G71" i="3"/>
  <c r="I71" i="3"/>
  <c r="B72" i="3"/>
  <c r="H71" i="3"/>
  <c r="O71" i="3"/>
  <c r="M71" i="3"/>
  <c r="L71" i="3"/>
  <c r="Q71" i="3"/>
  <c r="K71" i="3"/>
  <c r="N71" i="2"/>
  <c r="F71" i="2"/>
  <c r="O71" i="2"/>
  <c r="M71" i="2"/>
  <c r="B72" i="2"/>
  <c r="I71" i="2"/>
  <c r="J71" i="2"/>
  <c r="G71" i="2"/>
  <c r="L71" i="2"/>
  <c r="H71" i="2"/>
  <c r="K71" i="2"/>
  <c r="Q71" i="2"/>
  <c r="P71" i="2"/>
  <c r="AD70" i="11" l="1"/>
  <c r="AH72" i="11"/>
  <c r="AI72" i="11"/>
  <c r="AJ72" i="11"/>
  <c r="B70" i="4"/>
  <c r="T70" i="4" s="1"/>
  <c r="AB69" i="4"/>
  <c r="V69" i="4"/>
  <c r="AE69" i="4"/>
  <c r="X69" i="4"/>
  <c r="AG69" i="4"/>
  <c r="W69" i="4"/>
  <c r="AI69" i="4"/>
  <c r="Y69" i="4"/>
  <c r="Z69" i="4"/>
  <c r="AC69" i="4"/>
  <c r="U69" i="4"/>
  <c r="AA69" i="4"/>
  <c r="AD69" i="4"/>
  <c r="AF69" i="4"/>
  <c r="AH69" i="4"/>
  <c r="M72" i="3"/>
  <c r="B73" i="3"/>
  <c r="K72" i="3"/>
  <c r="Q72" i="3"/>
  <c r="H72" i="3"/>
  <c r="P72" i="3"/>
  <c r="O72" i="3"/>
  <c r="J72" i="3"/>
  <c r="I72" i="3"/>
  <c r="L72" i="3"/>
  <c r="G72" i="3"/>
  <c r="F72" i="3"/>
  <c r="N72" i="3"/>
  <c r="Q72" i="2"/>
  <c r="M72" i="2"/>
  <c r="P72" i="2"/>
  <c r="G72" i="2"/>
  <c r="O72" i="2"/>
  <c r="F72" i="2"/>
  <c r="H72" i="2"/>
  <c r="L72" i="2"/>
  <c r="I72" i="2"/>
  <c r="K72" i="2"/>
  <c r="J72" i="2"/>
  <c r="B73" i="2"/>
  <c r="N72" i="2"/>
  <c r="AD71" i="11" l="1"/>
  <c r="AJ73" i="11"/>
  <c r="AH73" i="11"/>
  <c r="AI73" i="11"/>
  <c r="B71" i="4"/>
  <c r="T71" i="4" s="1"/>
  <c r="U70" i="4"/>
  <c r="AC70" i="4"/>
  <c r="Y70" i="4"/>
  <c r="AH70" i="4"/>
  <c r="AA70" i="4"/>
  <c r="AF70" i="4"/>
  <c r="W70" i="4"/>
  <c r="X70" i="4"/>
  <c r="AB70" i="4"/>
  <c r="AE70" i="4"/>
  <c r="Z70" i="4"/>
  <c r="AI70" i="4"/>
  <c r="AD70" i="4"/>
  <c r="AG70" i="4"/>
  <c r="V70" i="4"/>
  <c r="B74" i="3"/>
  <c r="L73" i="3"/>
  <c r="K73" i="3"/>
  <c r="Q73" i="3"/>
  <c r="H73" i="3"/>
  <c r="J73" i="3"/>
  <c r="I73" i="3"/>
  <c r="P73" i="3"/>
  <c r="O73" i="3"/>
  <c r="M73" i="3"/>
  <c r="G73" i="3"/>
  <c r="F73" i="3"/>
  <c r="N73" i="3"/>
  <c r="P73" i="2"/>
  <c r="H73" i="2"/>
  <c r="N73" i="2"/>
  <c r="B74" i="2"/>
  <c r="J73" i="2"/>
  <c r="I73" i="2"/>
  <c r="M73" i="2"/>
  <c r="Q73" i="2"/>
  <c r="O73" i="2"/>
  <c r="K73" i="2"/>
  <c r="G73" i="2"/>
  <c r="L73" i="2"/>
  <c r="F73" i="2"/>
  <c r="AD72" i="11" l="1"/>
  <c r="AH74" i="11"/>
  <c r="AI74" i="11"/>
  <c r="AJ74" i="11"/>
  <c r="B72" i="4"/>
  <c r="T72" i="4" s="1"/>
  <c r="V71" i="4"/>
  <c r="AD71" i="4"/>
  <c r="AB71" i="4"/>
  <c r="U71" i="4"/>
  <c r="AE71" i="4"/>
  <c r="AC71" i="4"/>
  <c r="W71" i="4"/>
  <c r="AI71" i="4"/>
  <c r="X71" i="4"/>
  <c r="Z71" i="4"/>
  <c r="AG71" i="4"/>
  <c r="AA71" i="4"/>
  <c r="AF71" i="4"/>
  <c r="AH71" i="4"/>
  <c r="Y71" i="4"/>
  <c r="K74" i="3"/>
  <c r="M74" i="3"/>
  <c r="N74" i="3"/>
  <c r="B75" i="3"/>
  <c r="I74" i="3"/>
  <c r="Q74" i="3"/>
  <c r="P74" i="3"/>
  <c r="J74" i="3"/>
  <c r="H74" i="3"/>
  <c r="L74" i="3"/>
  <c r="G74" i="3"/>
  <c r="F74" i="3"/>
  <c r="O74" i="3"/>
  <c r="O74" i="2"/>
  <c r="G74" i="2"/>
  <c r="P74" i="2"/>
  <c r="F74" i="2"/>
  <c r="M74" i="2"/>
  <c r="L74" i="2"/>
  <c r="J74" i="2"/>
  <c r="Q74" i="2"/>
  <c r="I74" i="2"/>
  <c r="N74" i="2"/>
  <c r="K74" i="2"/>
  <c r="B75" i="2"/>
  <c r="H74" i="2"/>
  <c r="AD73" i="11" l="1"/>
  <c r="AJ75" i="11"/>
  <c r="AH75" i="11"/>
  <c r="AI75" i="11"/>
  <c r="B73" i="4"/>
  <c r="T73" i="4" s="1"/>
  <c r="W72" i="4"/>
  <c r="AE72" i="4"/>
  <c r="V72" i="4"/>
  <c r="AF72" i="4"/>
  <c r="Y72" i="4"/>
  <c r="AH72" i="4"/>
  <c r="AA72" i="4"/>
  <c r="AI72" i="4"/>
  <c r="U72" i="4"/>
  <c r="Z72" i="4"/>
  <c r="X72" i="4"/>
  <c r="AG72" i="4"/>
  <c r="AB72" i="4"/>
  <c r="AC72" i="4"/>
  <c r="AD72" i="4"/>
  <c r="J75" i="3"/>
  <c r="N75" i="3"/>
  <c r="Q75" i="3"/>
  <c r="G75" i="3"/>
  <c r="M75" i="3"/>
  <c r="O75" i="3"/>
  <c r="L75" i="3"/>
  <c r="H75" i="3"/>
  <c r="B76" i="3"/>
  <c r="F75" i="3"/>
  <c r="I75" i="3"/>
  <c r="P75" i="3"/>
  <c r="K75" i="3"/>
  <c r="N75" i="2"/>
  <c r="F75" i="2"/>
  <c r="Q75" i="2"/>
  <c r="H75" i="2"/>
  <c r="G75" i="2"/>
  <c r="P75" i="2"/>
  <c r="I75" i="2"/>
  <c r="M75" i="2"/>
  <c r="O75" i="2"/>
  <c r="L75" i="2"/>
  <c r="B76" i="2"/>
  <c r="J75" i="2"/>
  <c r="K75" i="2"/>
  <c r="AD74" i="11" l="1"/>
  <c r="AI76" i="11"/>
  <c r="AJ76" i="11"/>
  <c r="AH76" i="11"/>
  <c r="B74" i="4"/>
  <c r="T74" i="4" s="1"/>
  <c r="X73" i="4"/>
  <c r="AF73" i="4"/>
  <c r="Z73" i="4"/>
  <c r="AI73" i="4"/>
  <c r="AB73" i="4"/>
  <c r="W73" i="4"/>
  <c r="AG73" i="4"/>
  <c r="U73" i="4"/>
  <c r="AH73" i="4"/>
  <c r="Y73" i="4"/>
  <c r="AD73" i="4"/>
  <c r="AA73" i="4"/>
  <c r="V73" i="4"/>
  <c r="AC73" i="4"/>
  <c r="AE73" i="4"/>
  <c r="Q76" i="3"/>
  <c r="I76" i="3"/>
  <c r="O76" i="3"/>
  <c r="F76" i="3"/>
  <c r="K76" i="3"/>
  <c r="G76" i="3"/>
  <c r="L76" i="3"/>
  <c r="J76" i="3"/>
  <c r="P76" i="3"/>
  <c r="N76" i="3"/>
  <c r="H76" i="3"/>
  <c r="M76" i="3"/>
  <c r="B77" i="3"/>
  <c r="M76" i="2"/>
  <c r="I76" i="2"/>
  <c r="K76" i="2"/>
  <c r="B77" i="2"/>
  <c r="J76" i="2"/>
  <c r="Q76" i="2"/>
  <c r="O76" i="2"/>
  <c r="L76" i="2"/>
  <c r="P76" i="2"/>
  <c r="F76" i="2"/>
  <c r="N76" i="2"/>
  <c r="H76" i="2"/>
  <c r="G76" i="2"/>
  <c r="AD75" i="11" l="1"/>
  <c r="AH77" i="11"/>
  <c r="AI77" i="11"/>
  <c r="AJ77" i="11"/>
  <c r="B75" i="4"/>
  <c r="T75" i="4" s="1"/>
  <c r="Y74" i="4"/>
  <c r="AG74" i="4"/>
  <c r="AC74" i="4"/>
  <c r="V74" i="4"/>
  <c r="AE74" i="4"/>
  <c r="U74" i="4"/>
  <c r="AH74" i="4"/>
  <c r="AF74" i="4"/>
  <c r="AI74" i="4"/>
  <c r="X74" i="4"/>
  <c r="AD74" i="4"/>
  <c r="W74" i="4"/>
  <c r="AA74" i="4"/>
  <c r="AB74" i="4"/>
  <c r="Z74" i="4"/>
  <c r="P77" i="3"/>
  <c r="H77" i="3"/>
  <c r="Q77" i="3"/>
  <c r="G77" i="3"/>
  <c r="N77" i="3"/>
  <c r="K77" i="3"/>
  <c r="B78" i="3"/>
  <c r="F77" i="3"/>
  <c r="M77" i="3"/>
  <c r="L77" i="3"/>
  <c r="O77" i="3"/>
  <c r="I77" i="3"/>
  <c r="J77" i="3"/>
  <c r="B78" i="2"/>
  <c r="L77" i="2"/>
  <c r="I77" i="2"/>
  <c r="N77" i="2"/>
  <c r="M77" i="2"/>
  <c r="K77" i="2"/>
  <c r="J77" i="2"/>
  <c r="G77" i="2"/>
  <c r="Q77" i="2"/>
  <c r="O77" i="2"/>
  <c r="P77" i="2"/>
  <c r="H77" i="2"/>
  <c r="F77" i="2"/>
  <c r="AD76" i="11" l="1"/>
  <c r="AH78" i="11"/>
  <c r="AJ78" i="11"/>
  <c r="AI78" i="11"/>
  <c r="B76" i="4"/>
  <c r="T76" i="4" s="1"/>
  <c r="Z75" i="4"/>
  <c r="AH75" i="4"/>
  <c r="W75" i="4"/>
  <c r="AF75" i="4"/>
  <c r="Y75" i="4"/>
  <c r="AI75" i="4"/>
  <c r="AD75" i="4"/>
  <c r="AE75" i="4"/>
  <c r="AG75" i="4"/>
  <c r="V75" i="4"/>
  <c r="X75" i="4"/>
  <c r="AA75" i="4"/>
  <c r="AB75" i="4"/>
  <c r="AC75" i="4"/>
  <c r="U75" i="4"/>
  <c r="O78" i="3"/>
  <c r="G78" i="3"/>
  <c r="I78" i="3"/>
  <c r="H78" i="3"/>
  <c r="N78" i="3"/>
  <c r="P78" i="3"/>
  <c r="M78" i="3"/>
  <c r="J78" i="3"/>
  <c r="F78" i="3"/>
  <c r="Q78" i="3"/>
  <c r="L78" i="3"/>
  <c r="K78" i="3"/>
  <c r="B79" i="3"/>
  <c r="K78" i="2"/>
  <c r="B79" i="2"/>
  <c r="J78" i="2"/>
  <c r="Q78" i="2"/>
  <c r="G78" i="2"/>
  <c r="P78" i="2"/>
  <c r="F78" i="2"/>
  <c r="I78" i="2"/>
  <c r="L78" i="2"/>
  <c r="H78" i="2"/>
  <c r="O78" i="2"/>
  <c r="N78" i="2"/>
  <c r="M78" i="2"/>
  <c r="AD77" i="11" l="1"/>
  <c r="AH79" i="11"/>
  <c r="AI79" i="11"/>
  <c r="AJ79" i="11"/>
  <c r="B77" i="4"/>
  <c r="T77" i="4" s="1"/>
  <c r="AA76" i="4"/>
  <c r="Z76" i="4"/>
  <c r="AI76" i="4"/>
  <c r="AC76" i="4"/>
  <c r="AB76" i="4"/>
  <c r="AE76" i="4"/>
  <c r="AF76" i="4"/>
  <c r="V76" i="4"/>
  <c r="AH76" i="4"/>
  <c r="AD76" i="4"/>
  <c r="X76" i="4"/>
  <c r="U76" i="4"/>
  <c r="Y76" i="4"/>
  <c r="AG76" i="4"/>
  <c r="W76" i="4"/>
  <c r="N79" i="3"/>
  <c r="F79" i="3"/>
  <c r="J79" i="3"/>
  <c r="L79" i="3"/>
  <c r="H79" i="3"/>
  <c r="M79" i="3"/>
  <c r="K79" i="3"/>
  <c r="B80" i="3"/>
  <c r="Q79" i="3"/>
  <c r="I79" i="3"/>
  <c r="G79" i="3"/>
  <c r="P79" i="3"/>
  <c r="O79" i="3"/>
  <c r="J79" i="2"/>
  <c r="L79" i="2"/>
  <c r="K79" i="2"/>
  <c r="B80" i="2"/>
  <c r="I79" i="2"/>
  <c r="F79" i="2"/>
  <c r="H79" i="2"/>
  <c r="N79" i="2"/>
  <c r="G79" i="2"/>
  <c r="M79" i="2"/>
  <c r="O79" i="2"/>
  <c r="P79" i="2"/>
  <c r="Q79" i="2"/>
  <c r="AD78" i="11" l="1"/>
  <c r="AI80" i="11"/>
  <c r="AJ80" i="11"/>
  <c r="AH80" i="11"/>
  <c r="B78" i="4"/>
  <c r="T78" i="4" s="1"/>
  <c r="AB77" i="4"/>
  <c r="V77" i="4"/>
  <c r="AD77" i="4"/>
  <c r="X77" i="4"/>
  <c r="AH77" i="4"/>
  <c r="AA77" i="4"/>
  <c r="AC77" i="4"/>
  <c r="AF77" i="4"/>
  <c r="AI77" i="4"/>
  <c r="AE77" i="4"/>
  <c r="W77" i="4"/>
  <c r="Y77" i="4"/>
  <c r="Z77" i="4"/>
  <c r="AG77" i="4"/>
  <c r="U77" i="4"/>
  <c r="M80" i="3"/>
  <c r="B81" i="3"/>
  <c r="K80" i="3"/>
  <c r="P80" i="3"/>
  <c r="F80" i="3"/>
  <c r="L80" i="3"/>
  <c r="I80" i="3"/>
  <c r="H80" i="3"/>
  <c r="Q80" i="3"/>
  <c r="O80" i="3"/>
  <c r="N80" i="3"/>
  <c r="G80" i="3"/>
  <c r="J80" i="3"/>
  <c r="Q80" i="2"/>
  <c r="I80" i="2"/>
  <c r="M80" i="2"/>
  <c r="N80" i="2"/>
  <c r="L80" i="2"/>
  <c r="O80" i="2"/>
  <c r="B81" i="2"/>
  <c r="F80" i="2"/>
  <c r="J80" i="2"/>
  <c r="H80" i="2"/>
  <c r="G80" i="2"/>
  <c r="K80" i="2"/>
  <c r="P80" i="2"/>
  <c r="AD79" i="11" l="1"/>
  <c r="AJ81" i="11"/>
  <c r="AH81" i="11"/>
  <c r="AI81" i="11"/>
  <c r="B79" i="4"/>
  <c r="T79" i="4" s="1"/>
  <c r="U78" i="4"/>
  <c r="AC78" i="4"/>
  <c r="W78" i="4"/>
  <c r="AE78" i="4"/>
  <c r="AD78" i="4"/>
  <c r="Y78" i="4"/>
  <c r="Z78" i="4"/>
  <c r="AB78" i="4"/>
  <c r="AH78" i="4"/>
  <c r="AG78" i="4"/>
  <c r="AI78" i="4"/>
  <c r="AF78" i="4"/>
  <c r="V78" i="4"/>
  <c r="X78" i="4"/>
  <c r="AA78" i="4"/>
  <c r="B82" i="3"/>
  <c r="L81" i="3"/>
  <c r="K81" i="3"/>
  <c r="H81" i="3"/>
  <c r="O81" i="3"/>
  <c r="Q81" i="3"/>
  <c r="P81" i="3"/>
  <c r="J81" i="3"/>
  <c r="I81" i="3"/>
  <c r="N81" i="3"/>
  <c r="G81" i="3"/>
  <c r="F81" i="3"/>
  <c r="M81" i="3"/>
  <c r="P81" i="2"/>
  <c r="H81" i="2"/>
  <c r="N81" i="2"/>
  <c r="G81" i="2"/>
  <c r="Q81" i="2"/>
  <c r="F81" i="2"/>
  <c r="K81" i="2"/>
  <c r="B82" i="2"/>
  <c r="O81" i="2"/>
  <c r="M81" i="2"/>
  <c r="J81" i="2"/>
  <c r="L81" i="2"/>
  <c r="I81" i="2"/>
  <c r="AD80" i="11" l="1"/>
  <c r="AH82" i="11"/>
  <c r="AI82" i="11"/>
  <c r="AJ82" i="11"/>
  <c r="B80" i="4"/>
  <c r="T80" i="4" s="1"/>
  <c r="V79" i="4"/>
  <c r="AD79" i="4"/>
  <c r="X79" i="4"/>
  <c r="AF79" i="4"/>
  <c r="Z79" i="4"/>
  <c r="U79" i="4"/>
  <c r="AH79" i="4"/>
  <c r="W79" i="4"/>
  <c r="AI79" i="4"/>
  <c r="AA79" i="4"/>
  <c r="Y79" i="4"/>
  <c r="AB79" i="4"/>
  <c r="AC79" i="4"/>
  <c r="AE79" i="4"/>
  <c r="AG79" i="4"/>
  <c r="K82" i="3"/>
  <c r="M82" i="3"/>
  <c r="J82" i="3"/>
  <c r="Q82" i="3"/>
  <c r="G82" i="3"/>
  <c r="N82" i="3"/>
  <c r="L82" i="3"/>
  <c r="B83" i="3"/>
  <c r="F82" i="3"/>
  <c r="O82" i="3"/>
  <c r="I82" i="3"/>
  <c r="H82" i="3"/>
  <c r="P82" i="3"/>
  <c r="O82" i="2"/>
  <c r="G82" i="2"/>
  <c r="P82" i="2"/>
  <c r="F82" i="2"/>
  <c r="K82" i="2"/>
  <c r="B83" i="2"/>
  <c r="J82" i="2"/>
  <c r="H82" i="2"/>
  <c r="N82" i="2"/>
  <c r="L82" i="2"/>
  <c r="Q82" i="2"/>
  <c r="M82" i="2"/>
  <c r="I82" i="2"/>
  <c r="AD81" i="11" l="1"/>
  <c r="AJ83" i="11"/>
  <c r="AH83" i="11"/>
  <c r="AI83" i="11"/>
  <c r="B81" i="4"/>
  <c r="T81" i="4" s="1"/>
  <c r="W80" i="4"/>
  <c r="AE80" i="4"/>
  <c r="Y80" i="4"/>
  <c r="AG80" i="4"/>
  <c r="U80" i="4"/>
  <c r="AF80" i="4"/>
  <c r="AD80" i="4"/>
  <c r="AH80" i="4"/>
  <c r="X80" i="4"/>
  <c r="AB80" i="4"/>
  <c r="Z80" i="4"/>
  <c r="AC80" i="4"/>
  <c r="AI80" i="4"/>
  <c r="AA80" i="4"/>
  <c r="V80" i="4"/>
  <c r="J83" i="3"/>
  <c r="N83" i="3"/>
  <c r="O83" i="3"/>
  <c r="K83" i="3"/>
  <c r="H83" i="3"/>
  <c r="B84" i="3"/>
  <c r="G83" i="3"/>
  <c r="P83" i="3"/>
  <c r="M83" i="3"/>
  <c r="I83" i="3"/>
  <c r="F83" i="3"/>
  <c r="Q83" i="3"/>
  <c r="L83" i="3"/>
  <c r="N83" i="2"/>
  <c r="F83" i="2"/>
  <c r="Q83" i="2"/>
  <c r="H83" i="2"/>
  <c r="O83" i="2"/>
  <c r="M83" i="2"/>
  <c r="L83" i="2"/>
  <c r="J83" i="2"/>
  <c r="B84" i="2"/>
  <c r="P83" i="2"/>
  <c r="K83" i="2"/>
  <c r="I83" i="2"/>
  <c r="G83" i="2"/>
  <c r="AD82" i="11" l="1"/>
  <c r="AI84" i="11"/>
  <c r="AJ84" i="11"/>
  <c r="AH84" i="11"/>
  <c r="B82" i="4"/>
  <c r="T82" i="4" s="1"/>
  <c r="X81" i="4"/>
  <c r="AF81" i="4"/>
  <c r="Z81" i="4"/>
  <c r="AH81" i="4"/>
  <c r="AB81" i="4"/>
  <c r="AC81" i="4"/>
  <c r="AD81" i="4"/>
  <c r="U81" i="4"/>
  <c r="AG81" i="4"/>
  <c r="AI81" i="4"/>
  <c r="AA81" i="4"/>
  <c r="V81" i="4"/>
  <c r="W81" i="4"/>
  <c r="Y81" i="4"/>
  <c r="AE81" i="4"/>
  <c r="Q84" i="3"/>
  <c r="I84" i="3"/>
  <c r="O84" i="3"/>
  <c r="F84" i="3"/>
  <c r="B85" i="3"/>
  <c r="J84" i="3"/>
  <c r="H84" i="3"/>
  <c r="N84" i="3"/>
  <c r="L84" i="3"/>
  <c r="K84" i="3"/>
  <c r="P84" i="3"/>
  <c r="G84" i="3"/>
  <c r="M84" i="3"/>
  <c r="M84" i="2"/>
  <c r="I84" i="2"/>
  <c r="H84" i="2"/>
  <c r="Q84" i="2"/>
  <c r="G84" i="2"/>
  <c r="N84" i="2"/>
  <c r="L84" i="2"/>
  <c r="J84" i="2"/>
  <c r="O84" i="2"/>
  <c r="B85" i="2"/>
  <c r="P84" i="2"/>
  <c r="K84" i="2"/>
  <c r="F84" i="2"/>
  <c r="AD83" i="11" l="1"/>
  <c r="AH85" i="11"/>
  <c r="AI85" i="11"/>
  <c r="AJ85" i="11"/>
  <c r="B83" i="4"/>
  <c r="T83" i="4" s="1"/>
  <c r="Y82" i="4"/>
  <c r="AG82" i="4"/>
  <c r="AA82" i="4"/>
  <c r="AI82" i="4"/>
  <c r="W82" i="4"/>
  <c r="AH82" i="4"/>
  <c r="Z82" i="4"/>
  <c r="AB82" i="4"/>
  <c r="AD82" i="4"/>
  <c r="AF82" i="4"/>
  <c r="X82" i="4"/>
  <c r="AC82" i="4"/>
  <c r="AE82" i="4"/>
  <c r="V82" i="4"/>
  <c r="U82" i="4"/>
  <c r="P85" i="3"/>
  <c r="H85" i="3"/>
  <c r="Q85" i="3"/>
  <c r="G85" i="3"/>
  <c r="M85" i="3"/>
  <c r="L85" i="3"/>
  <c r="I85" i="3"/>
  <c r="B86" i="3"/>
  <c r="K85" i="3"/>
  <c r="J85" i="3"/>
  <c r="N85" i="3"/>
  <c r="F85" i="3"/>
  <c r="O85" i="3"/>
  <c r="B86" i="2"/>
  <c r="L85" i="2"/>
  <c r="I85" i="2"/>
  <c r="K85" i="2"/>
  <c r="J85" i="2"/>
  <c r="H85" i="2"/>
  <c r="M85" i="2"/>
  <c r="F85" i="2"/>
  <c r="Q85" i="2"/>
  <c r="P85" i="2"/>
  <c r="O85" i="2"/>
  <c r="G85" i="2"/>
  <c r="N85" i="2"/>
  <c r="AD84" i="11" l="1"/>
  <c r="AH86" i="11"/>
  <c r="AJ86" i="11"/>
  <c r="AI86" i="11"/>
  <c r="B84" i="4"/>
  <c r="T84" i="4" s="1"/>
  <c r="Z83" i="4"/>
  <c r="AH83" i="4"/>
  <c r="AB83" i="4"/>
  <c r="AD83" i="4"/>
  <c r="W83" i="4"/>
  <c r="AI83" i="4"/>
  <c r="X83" i="4"/>
  <c r="AA83" i="4"/>
  <c r="V83" i="4"/>
  <c r="AG83" i="4"/>
  <c r="AF83" i="4"/>
  <c r="U83" i="4"/>
  <c r="AE83" i="4"/>
  <c r="Y83" i="4"/>
  <c r="AC83" i="4"/>
  <c r="O86" i="3"/>
  <c r="G86" i="3"/>
  <c r="I86" i="3"/>
  <c r="Q86" i="3"/>
  <c r="F86" i="3"/>
  <c r="P86" i="3"/>
  <c r="L86" i="3"/>
  <c r="B87" i="3"/>
  <c r="K86" i="3"/>
  <c r="J86" i="3"/>
  <c r="M86" i="3"/>
  <c r="H86" i="3"/>
  <c r="N86" i="3"/>
  <c r="K86" i="2"/>
  <c r="B87" i="2"/>
  <c r="J86" i="2"/>
  <c r="O86" i="2"/>
  <c r="N86" i="2"/>
  <c r="Q86" i="2"/>
  <c r="F86" i="2"/>
  <c r="P86" i="2"/>
  <c r="M86" i="2"/>
  <c r="L86" i="2"/>
  <c r="I86" i="2"/>
  <c r="H86" i="2"/>
  <c r="G86" i="2"/>
  <c r="AD85" i="11" l="1"/>
  <c r="AH87" i="11"/>
  <c r="AI87" i="11"/>
  <c r="AJ87" i="11"/>
  <c r="B85" i="4"/>
  <c r="T85" i="4" s="1"/>
  <c r="AA84" i="4"/>
  <c r="AI84" i="4"/>
  <c r="U84" i="4"/>
  <c r="AC84" i="4"/>
  <c r="Y84" i="4"/>
  <c r="AF84" i="4"/>
  <c r="V84" i="4"/>
  <c r="AG84" i="4"/>
  <c r="X84" i="4"/>
  <c r="AB84" i="4"/>
  <c r="W84" i="4"/>
  <c r="Z84" i="4"/>
  <c r="AD84" i="4"/>
  <c r="AE84" i="4"/>
  <c r="AH84" i="4"/>
  <c r="N87" i="3"/>
  <c r="F87" i="3"/>
  <c r="J87" i="3"/>
  <c r="K87" i="3"/>
  <c r="B88" i="3"/>
  <c r="I87" i="3"/>
  <c r="P87" i="3"/>
  <c r="Q87" i="3"/>
  <c r="L87" i="3"/>
  <c r="H87" i="3"/>
  <c r="M87" i="3"/>
  <c r="G87" i="3"/>
  <c r="O87" i="3"/>
  <c r="J87" i="2"/>
  <c r="L87" i="2"/>
  <c r="H87" i="2"/>
  <c r="Q87" i="2"/>
  <c r="G87" i="2"/>
  <c r="N87" i="2"/>
  <c r="B88" i="2"/>
  <c r="O87" i="2"/>
  <c r="P87" i="2"/>
  <c r="M87" i="2"/>
  <c r="F87" i="2"/>
  <c r="K87" i="2"/>
  <c r="I87" i="2"/>
  <c r="AD86" i="11" l="1"/>
  <c r="AJ88" i="11"/>
  <c r="AH88" i="11"/>
  <c r="AI88" i="11"/>
  <c r="B86" i="4"/>
  <c r="T86" i="4" s="1"/>
  <c r="AB85" i="4"/>
  <c r="V85" i="4"/>
  <c r="AD85" i="4"/>
  <c r="U85" i="4"/>
  <c r="AF85" i="4"/>
  <c r="AC85" i="4"/>
  <c r="AE85" i="4"/>
  <c r="W85" i="4"/>
  <c r="AH85" i="4"/>
  <c r="AG85" i="4"/>
  <c r="Z85" i="4"/>
  <c r="AI85" i="4"/>
  <c r="AA85" i="4"/>
  <c r="Y85" i="4"/>
  <c r="X85" i="4"/>
  <c r="M88" i="3"/>
  <c r="B89" i="3"/>
  <c r="K88" i="3"/>
  <c r="O88" i="3"/>
  <c r="N88" i="3"/>
  <c r="I88" i="3"/>
  <c r="Q88" i="3"/>
  <c r="P88" i="3"/>
  <c r="H88" i="3"/>
  <c r="G88" i="3"/>
  <c r="J88" i="3"/>
  <c r="F88" i="3"/>
  <c r="L88" i="3"/>
  <c r="Q88" i="2"/>
  <c r="I88" i="2"/>
  <c r="M88" i="2"/>
  <c r="K88" i="2"/>
  <c r="B89" i="2"/>
  <c r="J88" i="2"/>
  <c r="H88" i="2"/>
  <c r="P88" i="2"/>
  <c r="N88" i="2"/>
  <c r="F88" i="2"/>
  <c r="G88" i="2"/>
  <c r="O88" i="2"/>
  <c r="L88" i="2"/>
  <c r="AD87" i="11" l="1"/>
  <c r="AJ89" i="11"/>
  <c r="AH89" i="11"/>
  <c r="AI89" i="11"/>
  <c r="B87" i="4"/>
  <c r="T87" i="4" s="1"/>
  <c r="U86" i="4"/>
  <c r="AC86" i="4"/>
  <c r="W86" i="4"/>
  <c r="AE86" i="4"/>
  <c r="AA86" i="4"/>
  <c r="Z86" i="4"/>
  <c r="AB86" i="4"/>
  <c r="AF86" i="4"/>
  <c r="AI86" i="4"/>
  <c r="AG86" i="4"/>
  <c r="V86" i="4"/>
  <c r="X86" i="4"/>
  <c r="Y86" i="4"/>
  <c r="AD86" i="4"/>
  <c r="AH86" i="4"/>
  <c r="B90" i="3"/>
  <c r="L89" i="3"/>
  <c r="K89" i="3"/>
  <c r="Q89" i="3"/>
  <c r="G89" i="3"/>
  <c r="P89" i="3"/>
  <c r="F89" i="3"/>
  <c r="M89" i="3"/>
  <c r="O89" i="3"/>
  <c r="N89" i="3"/>
  <c r="H89" i="3"/>
  <c r="J89" i="3"/>
  <c r="I89" i="3"/>
  <c r="P89" i="2"/>
  <c r="H89" i="2"/>
  <c r="N89" i="2"/>
  <c r="O89" i="2"/>
  <c r="M89" i="2"/>
  <c r="F89" i="2"/>
  <c r="L89" i="2"/>
  <c r="J89" i="2"/>
  <c r="I89" i="2"/>
  <c r="B90" i="2"/>
  <c r="G89" i="2"/>
  <c r="Q89" i="2"/>
  <c r="K89" i="2"/>
  <c r="AD88" i="11" l="1"/>
  <c r="AI90" i="11"/>
  <c r="AH90" i="11"/>
  <c r="AJ90" i="11"/>
  <c r="B88" i="4"/>
  <c r="T88" i="4" s="1"/>
  <c r="V87" i="4"/>
  <c r="AD87" i="4"/>
  <c r="X87" i="4"/>
  <c r="AF87" i="4"/>
  <c r="W87" i="4"/>
  <c r="AH87" i="4"/>
  <c r="Y87" i="4"/>
  <c r="Z87" i="4"/>
  <c r="AB87" i="4"/>
  <c r="AI87" i="4"/>
  <c r="AC87" i="4"/>
  <c r="AE87" i="4"/>
  <c r="AG87" i="4"/>
  <c r="AA87" i="4"/>
  <c r="U87" i="4"/>
  <c r="K90" i="3"/>
  <c r="M90" i="3"/>
  <c r="B91" i="3"/>
  <c r="I90" i="3"/>
  <c r="H90" i="3"/>
  <c r="O90" i="3"/>
  <c r="L90" i="3"/>
  <c r="J90" i="3"/>
  <c r="Q90" i="3"/>
  <c r="P90" i="3"/>
  <c r="G90" i="3"/>
  <c r="F90" i="3"/>
  <c r="N90" i="3"/>
  <c r="O90" i="2"/>
  <c r="G90" i="2"/>
  <c r="P90" i="2"/>
  <c r="F90" i="2"/>
  <c r="I90" i="2"/>
  <c r="H90" i="2"/>
  <c r="N90" i="2"/>
  <c r="L90" i="2"/>
  <c r="J90" i="2"/>
  <c r="M90" i="2"/>
  <c r="K90" i="2"/>
  <c r="Q90" i="2"/>
  <c r="B91" i="2"/>
  <c r="AD89" i="11" l="1"/>
  <c r="AH91" i="11"/>
  <c r="AJ91" i="11"/>
  <c r="AI91" i="11"/>
  <c r="B89" i="4"/>
  <c r="T89" i="4" s="1"/>
  <c r="W88" i="4"/>
  <c r="AE88" i="4"/>
  <c r="Y88" i="4"/>
  <c r="AG88" i="4"/>
  <c r="AC88" i="4"/>
  <c r="U88" i="4"/>
  <c r="AH88" i="4"/>
  <c r="V88" i="4"/>
  <c r="AI88" i="4"/>
  <c r="Z88" i="4"/>
  <c r="AA88" i="4"/>
  <c r="X88" i="4"/>
  <c r="AB88" i="4"/>
  <c r="AD88" i="4"/>
  <c r="AF88" i="4"/>
  <c r="J91" i="3"/>
  <c r="N91" i="3"/>
  <c r="M91" i="3"/>
  <c r="L91" i="3"/>
  <c r="H91" i="3"/>
  <c r="K91" i="3"/>
  <c r="I91" i="3"/>
  <c r="B92" i="3"/>
  <c r="Q91" i="3"/>
  <c r="F91" i="3"/>
  <c r="P91" i="3"/>
  <c r="O91" i="3"/>
  <c r="G91" i="3"/>
  <c r="N91" i="2"/>
  <c r="F91" i="2"/>
  <c r="Q91" i="2"/>
  <c r="H91" i="2"/>
  <c r="L91" i="2"/>
  <c r="K91" i="2"/>
  <c r="M91" i="2"/>
  <c r="J91" i="2"/>
  <c r="G91" i="2"/>
  <c r="O91" i="2"/>
  <c r="I91" i="2"/>
  <c r="P91" i="2"/>
  <c r="B92" i="2"/>
  <c r="AD90" i="11" l="1"/>
  <c r="AI92" i="11"/>
  <c r="AJ92" i="11"/>
  <c r="AH92" i="11"/>
  <c r="B90" i="4"/>
  <c r="T90" i="4" s="1"/>
  <c r="X89" i="4"/>
  <c r="AF89" i="4"/>
  <c r="Z89" i="4"/>
  <c r="AH89" i="4"/>
  <c r="Y89" i="4"/>
  <c r="AD89" i="4"/>
  <c r="AE89" i="4"/>
  <c r="V89" i="4"/>
  <c r="AI89" i="4"/>
  <c r="AC89" i="4"/>
  <c r="AA89" i="4"/>
  <c r="W89" i="4"/>
  <c r="AB89" i="4"/>
  <c r="AG89" i="4"/>
  <c r="U89" i="4"/>
  <c r="Q92" i="3"/>
  <c r="I92" i="3"/>
  <c r="O92" i="3"/>
  <c r="F92" i="3"/>
  <c r="G92" i="3"/>
  <c r="P92" i="3"/>
  <c r="L92" i="3"/>
  <c r="K92" i="3"/>
  <c r="J92" i="3"/>
  <c r="B93" i="3"/>
  <c r="N92" i="3"/>
  <c r="M92" i="3"/>
  <c r="H92" i="3"/>
  <c r="M92" i="2"/>
  <c r="I92" i="2"/>
  <c r="P92" i="2"/>
  <c r="F92" i="2"/>
  <c r="O92" i="2"/>
  <c r="H92" i="2"/>
  <c r="J92" i="2"/>
  <c r="B93" i="2"/>
  <c r="Q92" i="2"/>
  <c r="L92" i="2"/>
  <c r="G92" i="2"/>
  <c r="N92" i="2"/>
  <c r="K92" i="2"/>
  <c r="AD91" i="11" l="1"/>
  <c r="AH93" i="11"/>
  <c r="AI93" i="11"/>
  <c r="AJ93" i="11"/>
  <c r="B91" i="4"/>
  <c r="T91" i="4" s="1"/>
  <c r="Y90" i="4"/>
  <c r="AG90" i="4"/>
  <c r="AA90" i="4"/>
  <c r="AI90" i="4"/>
  <c r="U90" i="4"/>
  <c r="AE90" i="4"/>
  <c r="AB90" i="4"/>
  <c r="AC90" i="4"/>
  <c r="AF90" i="4"/>
  <c r="AD90" i="4"/>
  <c r="AH90" i="4"/>
  <c r="V90" i="4"/>
  <c r="W90" i="4"/>
  <c r="X90" i="4"/>
  <c r="Z90" i="4"/>
  <c r="P93" i="3"/>
  <c r="H93" i="3"/>
  <c r="Q93" i="3"/>
  <c r="G93" i="3"/>
  <c r="K93" i="3"/>
  <c r="B94" i="3"/>
  <c r="J93" i="3"/>
  <c r="O93" i="3"/>
  <c r="L93" i="3"/>
  <c r="I93" i="3"/>
  <c r="N93" i="3"/>
  <c r="M93" i="3"/>
  <c r="F93" i="3"/>
  <c r="B94" i="2"/>
  <c r="L93" i="2"/>
  <c r="I93" i="2"/>
  <c r="H93" i="2"/>
  <c r="Q93" i="2"/>
  <c r="G93" i="2"/>
  <c r="P93" i="2"/>
  <c r="O93" i="2"/>
  <c r="N93" i="2"/>
  <c r="K93" i="2"/>
  <c r="J93" i="2"/>
  <c r="F93" i="2"/>
  <c r="M93" i="2"/>
  <c r="AD92" i="11" l="1"/>
  <c r="AH94" i="11"/>
  <c r="AI94" i="11"/>
  <c r="AJ94" i="11"/>
  <c r="B92" i="4"/>
  <c r="T92" i="4" s="1"/>
  <c r="Z91" i="4"/>
  <c r="AH91" i="4"/>
  <c r="AB91" i="4"/>
  <c r="AA91" i="4"/>
  <c r="X91" i="4"/>
  <c r="Y91" i="4"/>
  <c r="AD91" i="4"/>
  <c r="U91" i="4"/>
  <c r="AG91" i="4"/>
  <c r="V91" i="4"/>
  <c r="W91" i="4"/>
  <c r="AC91" i="4"/>
  <c r="AE91" i="4"/>
  <c r="AF91" i="4"/>
  <c r="AI91" i="4"/>
  <c r="O94" i="3"/>
  <c r="G94" i="3"/>
  <c r="I94" i="3"/>
  <c r="N94" i="3"/>
  <c r="M94" i="3"/>
  <c r="B95" i="3"/>
  <c r="J94" i="3"/>
  <c r="H94" i="3"/>
  <c r="F94" i="3"/>
  <c r="Q94" i="3"/>
  <c r="P94" i="3"/>
  <c r="K94" i="3"/>
  <c r="L94" i="3"/>
  <c r="K94" i="2"/>
  <c r="B95" i="2"/>
  <c r="J94" i="2"/>
  <c r="M94" i="2"/>
  <c r="L94" i="2"/>
  <c r="O94" i="2"/>
  <c r="P94" i="2"/>
  <c r="N94" i="2"/>
  <c r="Q94" i="2"/>
  <c r="I94" i="2"/>
  <c r="H94" i="2"/>
  <c r="G94" i="2"/>
  <c r="F94" i="2"/>
  <c r="AD93" i="11" l="1"/>
  <c r="AH95" i="11"/>
  <c r="AJ95" i="11"/>
  <c r="AI95" i="11"/>
  <c r="B93" i="4"/>
  <c r="T93" i="4" s="1"/>
  <c r="AA92" i="4"/>
  <c r="AI92" i="4"/>
  <c r="U92" i="4"/>
  <c r="AC92" i="4"/>
  <c r="W92" i="4"/>
  <c r="AG92" i="4"/>
  <c r="V92" i="4"/>
  <c r="AH92" i="4"/>
  <c r="X92" i="4"/>
  <c r="Z92" i="4"/>
  <c r="Y92" i="4"/>
  <c r="AE92" i="4"/>
  <c r="AF92" i="4"/>
  <c r="AD92" i="4"/>
  <c r="AB92" i="4"/>
  <c r="N95" i="3"/>
  <c r="F95" i="3"/>
  <c r="J95" i="3"/>
  <c r="H95" i="3"/>
  <c r="Q95" i="3"/>
  <c r="G95" i="3"/>
  <c r="M95" i="3"/>
  <c r="I95" i="3"/>
  <c r="P95" i="3"/>
  <c r="O95" i="3"/>
  <c r="B96" i="3"/>
  <c r="L95" i="3"/>
  <c r="K95" i="3"/>
  <c r="J95" i="2"/>
  <c r="L95" i="2"/>
  <c r="P95" i="2"/>
  <c r="F95" i="2"/>
  <c r="O95" i="2"/>
  <c r="K95" i="2"/>
  <c r="N95" i="2"/>
  <c r="B96" i="2"/>
  <c r="Q95" i="2"/>
  <c r="M95" i="2"/>
  <c r="I95" i="2"/>
  <c r="H95" i="2"/>
  <c r="G95" i="2"/>
  <c r="AD94" i="11" l="1"/>
  <c r="AI96" i="11"/>
  <c r="AJ96" i="11"/>
  <c r="AH96" i="11"/>
  <c r="B94" i="4"/>
  <c r="T94" i="4" s="1"/>
  <c r="AB93" i="4"/>
  <c r="V93" i="4"/>
  <c r="AD93" i="4"/>
  <c r="AC93" i="4"/>
  <c r="AF93" i="4"/>
  <c r="U93" i="4"/>
  <c r="AG93" i="4"/>
  <c r="X93" i="4"/>
  <c r="AI93" i="4"/>
  <c r="AA93" i="4"/>
  <c r="Y93" i="4"/>
  <c r="W93" i="4"/>
  <c r="Z93" i="4"/>
  <c r="AE93" i="4"/>
  <c r="AH93" i="4"/>
  <c r="M96" i="3"/>
  <c r="B97" i="3"/>
  <c r="K96" i="3"/>
  <c r="L96" i="3"/>
  <c r="J96" i="3"/>
  <c r="Q96" i="3"/>
  <c r="G96" i="3"/>
  <c r="H96" i="3"/>
  <c r="F96" i="3"/>
  <c r="P96" i="3"/>
  <c r="O96" i="3"/>
  <c r="N96" i="3"/>
  <c r="I96" i="3"/>
  <c r="Q96" i="2"/>
  <c r="I96" i="2"/>
  <c r="M96" i="2"/>
  <c r="H96" i="2"/>
  <c r="G96" i="2"/>
  <c r="F96" i="2"/>
  <c r="O96" i="2"/>
  <c r="L96" i="2"/>
  <c r="B97" i="2"/>
  <c r="P96" i="2"/>
  <c r="K96" i="2"/>
  <c r="J96" i="2"/>
  <c r="N96" i="2"/>
  <c r="AD95" i="11" l="1"/>
  <c r="AJ97" i="11"/>
  <c r="AH97" i="11"/>
  <c r="AI97" i="11"/>
  <c r="B95" i="4"/>
  <c r="T95" i="4" s="1"/>
  <c r="U94" i="4"/>
  <c r="AC94" i="4"/>
  <c r="W94" i="4"/>
  <c r="AE94" i="4"/>
  <c r="Y94" i="4"/>
  <c r="AI94" i="4"/>
  <c r="AB94" i="4"/>
  <c r="AD94" i="4"/>
  <c r="AG94" i="4"/>
  <c r="AH94" i="4"/>
  <c r="AA94" i="4"/>
  <c r="Z94" i="4"/>
  <c r="AF94" i="4"/>
  <c r="X94" i="4"/>
  <c r="V94" i="4"/>
  <c r="B98" i="3"/>
  <c r="L97" i="3"/>
  <c r="K97" i="3"/>
  <c r="O97" i="3"/>
  <c r="N97" i="3"/>
  <c r="I97" i="3"/>
  <c r="Q97" i="3"/>
  <c r="J97" i="3"/>
  <c r="H97" i="3"/>
  <c r="M97" i="3"/>
  <c r="P97" i="3"/>
  <c r="F97" i="3"/>
  <c r="G97" i="3"/>
  <c r="P97" i="2"/>
  <c r="H97" i="2"/>
  <c r="N97" i="2"/>
  <c r="L97" i="2"/>
  <c r="K97" i="2"/>
  <c r="M97" i="2"/>
  <c r="I97" i="2"/>
  <c r="G97" i="2"/>
  <c r="B98" i="2"/>
  <c r="F97" i="2"/>
  <c r="Q97" i="2"/>
  <c r="O97" i="2"/>
  <c r="J97" i="2"/>
  <c r="AD96" i="11" l="1"/>
  <c r="AI98" i="11"/>
  <c r="AH98" i="11"/>
  <c r="AJ98" i="11"/>
  <c r="B96" i="4"/>
  <c r="T96" i="4" s="1"/>
  <c r="V95" i="4"/>
  <c r="AD95" i="4"/>
  <c r="X95" i="4"/>
  <c r="AF95" i="4"/>
  <c r="AE95" i="4"/>
  <c r="Z95" i="4"/>
  <c r="AA95" i="4"/>
  <c r="AC95" i="4"/>
  <c r="AH95" i="4"/>
  <c r="U95" i="4"/>
  <c r="W95" i="4"/>
  <c r="AI95" i="4"/>
  <c r="Y95" i="4"/>
  <c r="AB95" i="4"/>
  <c r="AG95" i="4"/>
  <c r="K98" i="3"/>
  <c r="M98" i="3"/>
  <c r="Q98" i="3"/>
  <c r="G98" i="3"/>
  <c r="P98" i="3"/>
  <c r="F98" i="3"/>
  <c r="L98" i="3"/>
  <c r="O98" i="3"/>
  <c r="I98" i="3"/>
  <c r="H98" i="3"/>
  <c r="B99" i="3"/>
  <c r="N98" i="3"/>
  <c r="J98" i="3"/>
  <c r="O98" i="2"/>
  <c r="G98" i="2"/>
  <c r="P98" i="2"/>
  <c r="F98" i="2"/>
  <c r="Q98" i="2"/>
  <c r="N98" i="2"/>
  <c r="K98" i="2"/>
  <c r="I98" i="2"/>
  <c r="B99" i="2"/>
  <c r="H98" i="2"/>
  <c r="J98" i="2"/>
  <c r="M98" i="2"/>
  <c r="L98" i="2"/>
  <c r="AD97" i="11" l="1"/>
  <c r="AH99" i="11"/>
  <c r="AI99" i="11"/>
  <c r="AJ99" i="11"/>
  <c r="B97" i="4"/>
  <c r="T97" i="4" s="1"/>
  <c r="W96" i="4"/>
  <c r="AE96" i="4"/>
  <c r="Y96" i="4"/>
  <c r="AG96" i="4"/>
  <c r="AA96" i="4"/>
  <c r="V96" i="4"/>
  <c r="AI96" i="4"/>
  <c r="X96" i="4"/>
  <c r="AB96" i="4"/>
  <c r="U96" i="4"/>
  <c r="Z96" i="4"/>
  <c r="AC96" i="4"/>
  <c r="AD96" i="4"/>
  <c r="AF96" i="4"/>
  <c r="AH96" i="4"/>
  <c r="J99" i="3"/>
  <c r="N99" i="3"/>
  <c r="K99" i="3"/>
  <c r="B100" i="3"/>
  <c r="I99" i="3"/>
  <c r="P99" i="3"/>
  <c r="F99" i="3"/>
  <c r="Q99" i="3"/>
  <c r="O99" i="3"/>
  <c r="H99" i="3"/>
  <c r="G99" i="3"/>
  <c r="M99" i="3"/>
  <c r="L99" i="3"/>
  <c r="N99" i="2"/>
  <c r="F99" i="2"/>
  <c r="Q99" i="2"/>
  <c r="H99" i="2"/>
  <c r="J99" i="2"/>
  <c r="B100" i="2"/>
  <c r="I99" i="2"/>
  <c r="G99" i="2"/>
  <c r="L99" i="2"/>
  <c r="K99" i="2"/>
  <c r="O99" i="2"/>
  <c r="M99" i="2"/>
  <c r="P99" i="2"/>
  <c r="AD98" i="11" l="1"/>
  <c r="AI100" i="11"/>
  <c r="AJ100" i="11"/>
  <c r="AH100" i="11"/>
  <c r="B98" i="4"/>
  <c r="T98" i="4" s="1"/>
  <c r="X97" i="4"/>
  <c r="AF97" i="4"/>
  <c r="Z97" i="4"/>
  <c r="AH97" i="4"/>
  <c r="V97" i="4"/>
  <c r="AG97" i="4"/>
  <c r="AE97" i="4"/>
  <c r="U97" i="4"/>
  <c r="AI97" i="4"/>
  <c r="Y97" i="4"/>
  <c r="AB97" i="4"/>
  <c r="W97" i="4"/>
  <c r="AD97" i="4"/>
  <c r="AA97" i="4"/>
  <c r="AC97" i="4"/>
  <c r="Q100" i="3"/>
  <c r="I100" i="3"/>
  <c r="O100" i="3"/>
  <c r="F100" i="3"/>
  <c r="N100" i="3"/>
  <c r="M100" i="3"/>
  <c r="B101" i="3"/>
  <c r="J100" i="3"/>
  <c r="P100" i="3"/>
  <c r="L100" i="3"/>
  <c r="G100" i="3"/>
  <c r="K100" i="3"/>
  <c r="H100" i="3"/>
  <c r="M100" i="2"/>
  <c r="J100" i="2"/>
  <c r="I100" i="2"/>
  <c r="P100" i="2"/>
  <c r="O100" i="2"/>
  <c r="F100" i="2"/>
  <c r="G100" i="2"/>
  <c r="B101" i="2"/>
  <c r="N100" i="2"/>
  <c r="K100" i="2"/>
  <c r="H100" i="2"/>
  <c r="L100" i="2"/>
  <c r="Q100" i="2"/>
  <c r="AD99" i="11" l="1"/>
  <c r="AH101" i="11"/>
  <c r="AJ101" i="11"/>
  <c r="AI101" i="11"/>
  <c r="B99" i="4"/>
  <c r="T99" i="4" s="1"/>
  <c r="Y98" i="4"/>
  <c r="AG98" i="4"/>
  <c r="AA98" i="4"/>
  <c r="AI98" i="4"/>
  <c r="AC98" i="4"/>
  <c r="AD98" i="4"/>
  <c r="AE98" i="4"/>
  <c r="V98" i="4"/>
  <c r="AH98" i="4"/>
  <c r="AF98" i="4"/>
  <c r="Z98" i="4"/>
  <c r="U98" i="4"/>
  <c r="W98" i="4"/>
  <c r="X98" i="4"/>
  <c r="AB98" i="4"/>
  <c r="P101" i="3"/>
  <c r="H101" i="3"/>
  <c r="Q101" i="3"/>
  <c r="G101" i="3"/>
  <c r="I101" i="3"/>
  <c r="F101" i="3"/>
  <c r="M101" i="3"/>
  <c r="N101" i="3"/>
  <c r="L101" i="3"/>
  <c r="J101" i="3"/>
  <c r="B102" i="3"/>
  <c r="O101" i="3"/>
  <c r="K101" i="3"/>
  <c r="B102" i="2"/>
  <c r="L101" i="2"/>
  <c r="J101" i="2"/>
  <c r="I101" i="2"/>
  <c r="K101" i="2"/>
  <c r="H101" i="2"/>
  <c r="Q101" i="2"/>
  <c r="P101" i="2"/>
  <c r="O101" i="2"/>
  <c r="N101" i="2"/>
  <c r="M101" i="2"/>
  <c r="G101" i="2"/>
  <c r="F101" i="2"/>
  <c r="AD100" i="11" l="1"/>
  <c r="AH102" i="11"/>
  <c r="AI102" i="11"/>
  <c r="AJ102" i="11"/>
  <c r="B100" i="4"/>
  <c r="T100" i="4" s="1"/>
  <c r="Z99" i="4"/>
  <c r="AH99" i="4"/>
  <c r="AB99" i="4"/>
  <c r="X99" i="4"/>
  <c r="AI99" i="4"/>
  <c r="AA99" i="4"/>
  <c r="AC99" i="4"/>
  <c r="AE99" i="4"/>
  <c r="AF99" i="4"/>
  <c r="AD99" i="4"/>
  <c r="AG99" i="4"/>
  <c r="Y99" i="4"/>
  <c r="W99" i="4"/>
  <c r="U99" i="4"/>
  <c r="V99" i="4"/>
  <c r="O102" i="3"/>
  <c r="G102" i="3"/>
  <c r="I102" i="3"/>
  <c r="L102" i="3"/>
  <c r="K102" i="3"/>
  <c r="Q102" i="3"/>
  <c r="F102" i="3"/>
  <c r="N102" i="3"/>
  <c r="M102" i="3"/>
  <c r="B103" i="3"/>
  <c r="P102" i="3"/>
  <c r="J102" i="3"/>
  <c r="H102" i="3"/>
  <c r="K102" i="2"/>
  <c r="L102" i="2"/>
  <c r="B103" i="2"/>
  <c r="J102" i="2"/>
  <c r="Q102" i="2"/>
  <c r="F102" i="2"/>
  <c r="P102" i="2"/>
  <c r="G102" i="2"/>
  <c r="O102" i="2"/>
  <c r="N102" i="2"/>
  <c r="M102" i="2"/>
  <c r="I102" i="2"/>
  <c r="H102" i="2"/>
  <c r="AD101" i="11" l="1"/>
  <c r="AH103" i="11"/>
  <c r="AJ103" i="11"/>
  <c r="AI103" i="11"/>
  <c r="B101" i="4"/>
  <c r="T101" i="4" s="1"/>
  <c r="AA100" i="4"/>
  <c r="AI100" i="4"/>
  <c r="U100" i="4"/>
  <c r="AC100" i="4"/>
  <c r="AE100" i="4"/>
  <c r="X100" i="4"/>
  <c r="Y100" i="4"/>
  <c r="AB100" i="4"/>
  <c r="V100" i="4"/>
  <c r="AH100" i="4"/>
  <c r="W100" i="4"/>
  <c r="Z100" i="4"/>
  <c r="AD100" i="4"/>
  <c r="AF100" i="4"/>
  <c r="AG100" i="4"/>
  <c r="N103" i="3"/>
  <c r="F103" i="3"/>
  <c r="J103" i="3"/>
  <c r="P103" i="3"/>
  <c r="O103" i="3"/>
  <c r="K103" i="3"/>
  <c r="I103" i="3"/>
  <c r="H103" i="3"/>
  <c r="Q103" i="3"/>
  <c r="B104" i="3"/>
  <c r="L103" i="3"/>
  <c r="G103" i="3"/>
  <c r="M103" i="3"/>
  <c r="J103" i="2"/>
  <c r="M103" i="2"/>
  <c r="L103" i="2"/>
  <c r="K103" i="2"/>
  <c r="I103" i="2"/>
  <c r="P103" i="2"/>
  <c r="F103" i="2"/>
  <c r="B104" i="2"/>
  <c r="Q103" i="2"/>
  <c r="O103" i="2"/>
  <c r="G103" i="2"/>
  <c r="N103" i="2"/>
  <c r="H103" i="2"/>
  <c r="AD102" i="11" l="1"/>
  <c r="AI104" i="11"/>
  <c r="AH104" i="11"/>
  <c r="AJ104" i="11"/>
  <c r="B102" i="4"/>
  <c r="T102" i="4" s="1"/>
  <c r="AB101" i="4"/>
  <c r="V101" i="4"/>
  <c r="AD101" i="4"/>
  <c r="Z101" i="4"/>
  <c r="U101" i="4"/>
  <c r="AG101" i="4"/>
  <c r="W101" i="4"/>
  <c r="AH101" i="4"/>
  <c r="Y101" i="4"/>
  <c r="AA101" i="4"/>
  <c r="AC101" i="4"/>
  <c r="AE101" i="4"/>
  <c r="AF101" i="4"/>
  <c r="AI101" i="4"/>
  <c r="X101" i="4"/>
  <c r="M104" i="3"/>
  <c r="B105" i="3"/>
  <c r="K104" i="3"/>
  <c r="I104" i="3"/>
  <c r="H104" i="3"/>
  <c r="O104" i="3"/>
  <c r="G104" i="3"/>
  <c r="F104" i="3"/>
  <c r="P104" i="3"/>
  <c r="N104" i="3"/>
  <c r="J104" i="3"/>
  <c r="Q104" i="3"/>
  <c r="L104" i="3"/>
  <c r="Q104" i="2"/>
  <c r="I104" i="2"/>
  <c r="N104" i="2"/>
  <c r="M104" i="2"/>
  <c r="P104" i="2"/>
  <c r="O104" i="2"/>
  <c r="H104" i="2"/>
  <c r="L104" i="2"/>
  <c r="B105" i="2"/>
  <c r="K104" i="2"/>
  <c r="J104" i="2"/>
  <c r="F104" i="2"/>
  <c r="G104" i="2"/>
  <c r="AD103" i="11" l="1"/>
  <c r="AJ105" i="11"/>
  <c r="AI105" i="11"/>
  <c r="AH105" i="11"/>
  <c r="B103" i="4"/>
  <c r="T103" i="4" s="1"/>
  <c r="U102" i="4"/>
  <c r="AC102" i="4"/>
  <c r="W102" i="4"/>
  <c r="AE102" i="4"/>
  <c r="V102" i="4"/>
  <c r="AG102" i="4"/>
  <c r="AD102" i="4"/>
  <c r="AF102" i="4"/>
  <c r="X102" i="4"/>
  <c r="AI102" i="4"/>
  <c r="AB102" i="4"/>
  <c r="Z102" i="4"/>
  <c r="AA102" i="4"/>
  <c r="AH102" i="4"/>
  <c r="Y102" i="4"/>
  <c r="B106" i="3"/>
  <c r="L105" i="3"/>
  <c r="K105" i="3"/>
  <c r="M105" i="3"/>
  <c r="J105" i="3"/>
  <c r="Q105" i="3"/>
  <c r="G105" i="3"/>
  <c r="F105" i="3"/>
  <c r="O105" i="3"/>
  <c r="N105" i="3"/>
  <c r="I105" i="3"/>
  <c r="P105" i="3"/>
  <c r="H105" i="3"/>
  <c r="P105" i="2"/>
  <c r="H105" i="2"/>
  <c r="O105" i="2"/>
  <c r="F105" i="2"/>
  <c r="N105" i="2"/>
  <c r="K105" i="2"/>
  <c r="J105" i="2"/>
  <c r="G105" i="2"/>
  <c r="Q105" i="2"/>
  <c r="I105" i="2"/>
  <c r="B106" i="2"/>
  <c r="M105" i="2"/>
  <c r="L105" i="2"/>
  <c r="AD104" i="11" l="1"/>
  <c r="AH106" i="11"/>
  <c r="AI106" i="11"/>
  <c r="AJ106" i="11"/>
  <c r="B104" i="4"/>
  <c r="T104" i="4" s="1"/>
  <c r="V103" i="4"/>
  <c r="AD103" i="4"/>
  <c r="X103" i="4"/>
  <c r="AF103" i="4"/>
  <c r="AB103" i="4"/>
  <c r="AA103" i="4"/>
  <c r="AC103" i="4"/>
  <c r="AG103" i="4"/>
  <c r="AI103" i="4"/>
  <c r="AE103" i="4"/>
  <c r="W103" i="4"/>
  <c r="Y103" i="4"/>
  <c r="Z103" i="4"/>
  <c r="U103" i="4"/>
  <c r="AH103" i="4"/>
  <c r="K106" i="3"/>
  <c r="M106" i="3"/>
  <c r="O106" i="3"/>
  <c r="N106" i="3"/>
  <c r="B107" i="3"/>
  <c r="I106" i="3"/>
  <c r="Q106" i="3"/>
  <c r="P106" i="3"/>
  <c r="H106" i="3"/>
  <c r="G106" i="3"/>
  <c r="J106" i="3"/>
  <c r="F106" i="3"/>
  <c r="L106" i="3"/>
  <c r="O106" i="2"/>
  <c r="G106" i="2"/>
  <c r="Q106" i="2"/>
  <c r="H106" i="2"/>
  <c r="P106" i="2"/>
  <c r="F106" i="2"/>
  <c r="B107" i="2"/>
  <c r="M106" i="2"/>
  <c r="K106" i="2"/>
  <c r="J106" i="2"/>
  <c r="I106" i="2"/>
  <c r="N106" i="2"/>
  <c r="L106" i="2"/>
  <c r="AD105" i="11" l="1"/>
  <c r="AH107" i="11"/>
  <c r="AI107" i="11"/>
  <c r="AJ107" i="11"/>
  <c r="B105" i="4"/>
  <c r="T105" i="4" s="1"/>
  <c r="W104" i="4"/>
  <c r="AE104" i="4"/>
  <c r="Y104" i="4"/>
  <c r="AG104" i="4"/>
  <c r="X104" i="4"/>
  <c r="AI104" i="4"/>
  <c r="Z104" i="4"/>
  <c r="AA104" i="4"/>
  <c r="AC104" i="4"/>
  <c r="AH104" i="4"/>
  <c r="AF104" i="4"/>
  <c r="AD104" i="4"/>
  <c r="V104" i="4"/>
  <c r="AB104" i="4"/>
  <c r="U104" i="4"/>
  <c r="J107" i="3"/>
  <c r="N107" i="3"/>
  <c r="H107" i="3"/>
  <c r="Q107" i="3"/>
  <c r="G107" i="3"/>
  <c r="M107" i="3"/>
  <c r="P107" i="3"/>
  <c r="O107" i="3"/>
  <c r="I107" i="3"/>
  <c r="F107" i="3"/>
  <c r="K107" i="3"/>
  <c r="B108" i="3"/>
  <c r="L107" i="3"/>
  <c r="N107" i="2"/>
  <c r="F107" i="2"/>
  <c r="I107" i="2"/>
  <c r="Q107" i="2"/>
  <c r="H107" i="2"/>
  <c r="M107" i="2"/>
  <c r="L107" i="2"/>
  <c r="P107" i="2"/>
  <c r="K107" i="2"/>
  <c r="B108" i="2"/>
  <c r="O107" i="2"/>
  <c r="J107" i="2"/>
  <c r="G107" i="2"/>
  <c r="AD106" i="11" l="1"/>
  <c r="AI108" i="11"/>
  <c r="AJ108" i="11"/>
  <c r="AH108" i="11"/>
  <c r="B106" i="4"/>
  <c r="T106" i="4" s="1"/>
  <c r="X105" i="4"/>
  <c r="AF105" i="4"/>
  <c r="Z105" i="4"/>
  <c r="AH105" i="4"/>
  <c r="AD105" i="4"/>
  <c r="V105" i="4"/>
  <c r="AI105" i="4"/>
  <c r="W105" i="4"/>
  <c r="AA105" i="4"/>
  <c r="Y105" i="4"/>
  <c r="U105" i="4"/>
  <c r="AB105" i="4"/>
  <c r="AC105" i="4"/>
  <c r="AG105" i="4"/>
  <c r="AE105" i="4"/>
  <c r="Q108" i="3"/>
  <c r="I108" i="3"/>
  <c r="J108" i="3"/>
  <c r="O108" i="3"/>
  <c r="F108" i="3"/>
  <c r="M108" i="3"/>
  <c r="L108" i="3"/>
  <c r="B109" i="3"/>
  <c r="G108" i="3"/>
  <c r="P108" i="3"/>
  <c r="H108" i="3"/>
  <c r="K108" i="3"/>
  <c r="N108" i="3"/>
  <c r="M108" i="2"/>
  <c r="J108" i="2"/>
  <c r="I108" i="2"/>
  <c r="H108" i="2"/>
  <c r="B109" i="2"/>
  <c r="G108" i="2"/>
  <c r="P108" i="2"/>
  <c r="Q108" i="2"/>
  <c r="N108" i="2"/>
  <c r="O108" i="2"/>
  <c r="L108" i="2"/>
  <c r="K108" i="2"/>
  <c r="F108" i="2"/>
  <c r="AD107" i="11" l="1"/>
  <c r="AH109" i="11"/>
  <c r="AJ109" i="11"/>
  <c r="AI109" i="11"/>
  <c r="B107" i="4"/>
  <c r="T107" i="4" s="1"/>
  <c r="Y106" i="4"/>
  <c r="AG106" i="4"/>
  <c r="AA106" i="4"/>
  <c r="AI106" i="4"/>
  <c r="Z106" i="4"/>
  <c r="AE106" i="4"/>
  <c r="U106" i="4"/>
  <c r="AF106" i="4"/>
  <c r="W106" i="4"/>
  <c r="AC106" i="4"/>
  <c r="X106" i="4"/>
  <c r="AD106" i="4"/>
  <c r="AH106" i="4"/>
  <c r="AB106" i="4"/>
  <c r="V106" i="4"/>
  <c r="P109" i="3"/>
  <c r="H109" i="3"/>
  <c r="B110" i="3"/>
  <c r="K109" i="3"/>
  <c r="Q109" i="3"/>
  <c r="G109" i="3"/>
  <c r="I109" i="3"/>
  <c r="F109" i="3"/>
  <c r="N109" i="3"/>
  <c r="L109" i="3"/>
  <c r="J109" i="3"/>
  <c r="M109" i="3"/>
  <c r="O109" i="3"/>
  <c r="B110" i="2"/>
  <c r="L109" i="2"/>
  <c r="J109" i="2"/>
  <c r="I109" i="2"/>
  <c r="O109" i="2"/>
  <c r="N109" i="2"/>
  <c r="M109" i="2"/>
  <c r="Q109" i="2"/>
  <c r="K109" i="2"/>
  <c r="F109" i="2"/>
  <c r="P109" i="2"/>
  <c r="H109" i="2"/>
  <c r="G109" i="2"/>
  <c r="AD108" i="11" l="1"/>
  <c r="AH110" i="11"/>
  <c r="AI110" i="11"/>
  <c r="AJ110" i="11"/>
  <c r="B108" i="4"/>
  <c r="T108" i="4" s="1"/>
  <c r="Z107" i="4"/>
  <c r="AH107" i="4"/>
  <c r="AB107" i="4"/>
  <c r="V107" i="4"/>
  <c r="AF107" i="4"/>
  <c r="AD107" i="4"/>
  <c r="U107" i="4"/>
  <c r="AG107" i="4"/>
  <c r="AE107" i="4"/>
  <c r="AA107" i="4"/>
  <c r="W107" i="4"/>
  <c r="X107" i="4"/>
  <c r="Y107" i="4"/>
  <c r="AC107" i="4"/>
  <c r="AI107" i="4"/>
  <c r="O110" i="3"/>
  <c r="G110" i="3"/>
  <c r="L110" i="3"/>
  <c r="I110" i="3"/>
  <c r="P110" i="3"/>
  <c r="N110" i="3"/>
  <c r="J110" i="3"/>
  <c r="B111" i="3"/>
  <c r="K110" i="3"/>
  <c r="H110" i="3"/>
  <c r="Q110" i="3"/>
  <c r="F110" i="3"/>
  <c r="M110" i="3"/>
  <c r="K110" i="2"/>
  <c r="L110" i="2"/>
  <c r="B111" i="2"/>
  <c r="J110" i="2"/>
  <c r="I110" i="2"/>
  <c r="H110" i="2"/>
  <c r="N110" i="2"/>
  <c r="Q110" i="2"/>
  <c r="O110" i="2"/>
  <c r="M110" i="2"/>
  <c r="F110" i="2"/>
  <c r="G110" i="2"/>
  <c r="P110" i="2"/>
  <c r="AD109" i="11" l="1"/>
  <c r="AH111" i="11"/>
  <c r="AI111" i="11"/>
  <c r="AJ111" i="11"/>
  <c r="B109" i="4"/>
  <c r="T109" i="4" s="1"/>
  <c r="AA108" i="4"/>
  <c r="AI108" i="4"/>
  <c r="U108" i="4"/>
  <c r="AC108" i="4"/>
  <c r="AB108" i="4"/>
  <c r="Z108" i="4"/>
  <c r="AE108" i="4"/>
  <c r="AG108" i="4"/>
  <c r="AD108" i="4"/>
  <c r="X108" i="4"/>
  <c r="Y108" i="4"/>
  <c r="AF108" i="4"/>
  <c r="V108" i="4"/>
  <c r="W108" i="4"/>
  <c r="AH108" i="4"/>
  <c r="N111" i="3"/>
  <c r="F111" i="3"/>
  <c r="M111" i="3"/>
  <c r="J111" i="3"/>
  <c r="I111" i="3"/>
  <c r="B112" i="3"/>
  <c r="H111" i="3"/>
  <c r="P111" i="3"/>
  <c r="Q111" i="3"/>
  <c r="K111" i="3"/>
  <c r="G111" i="3"/>
  <c r="O111" i="3"/>
  <c r="L111" i="3"/>
  <c r="J111" i="2"/>
  <c r="M111" i="2"/>
  <c r="L111" i="2"/>
  <c r="P111" i="2"/>
  <c r="O111" i="2"/>
  <c r="G111" i="2"/>
  <c r="N111" i="2"/>
  <c r="I111" i="2"/>
  <c r="Q111" i="2"/>
  <c r="K111" i="2"/>
  <c r="H111" i="2"/>
  <c r="F111" i="2"/>
  <c r="B112" i="2"/>
  <c r="AD110" i="11" l="1"/>
  <c r="AH112" i="11"/>
  <c r="AJ112" i="11"/>
  <c r="AI112" i="11"/>
  <c r="B110" i="4"/>
  <c r="T110" i="4" s="1"/>
  <c r="AB109" i="4"/>
  <c r="V109" i="4"/>
  <c r="AD109" i="4"/>
  <c r="X109" i="4"/>
  <c r="AH109" i="4"/>
  <c r="Y109" i="4"/>
  <c r="AA109" i="4"/>
  <c r="AG109" i="4"/>
  <c r="AE109" i="4"/>
  <c r="AC109" i="4"/>
  <c r="AF109" i="4"/>
  <c r="AI109" i="4"/>
  <c r="Z109" i="4"/>
  <c r="U109" i="4"/>
  <c r="W109" i="4"/>
  <c r="M112" i="3"/>
  <c r="O112" i="3"/>
  <c r="F112" i="3"/>
  <c r="B113" i="3"/>
  <c r="K112" i="3"/>
  <c r="Q112" i="3"/>
  <c r="P112" i="3"/>
  <c r="J112" i="3"/>
  <c r="I112" i="3"/>
  <c r="H112" i="3"/>
  <c r="N112" i="3"/>
  <c r="G112" i="3"/>
  <c r="L112" i="3"/>
  <c r="Q112" i="2"/>
  <c r="I112" i="2"/>
  <c r="N112" i="2"/>
  <c r="M112" i="2"/>
  <c r="B113" i="2"/>
  <c r="H112" i="2"/>
  <c r="G112" i="2"/>
  <c r="K112" i="2"/>
  <c r="F112" i="2"/>
  <c r="P112" i="2"/>
  <c r="J112" i="2"/>
  <c r="O112" i="2"/>
  <c r="L112" i="2"/>
  <c r="AD111" i="11" l="1"/>
  <c r="AJ113" i="11"/>
  <c r="AH113" i="11"/>
  <c r="AI113" i="11"/>
  <c r="B111" i="4"/>
  <c r="T111" i="4" s="1"/>
  <c r="U110" i="4"/>
  <c r="AC110" i="4"/>
  <c r="W110" i="4"/>
  <c r="AE110" i="4"/>
  <c r="AD110" i="4"/>
  <c r="V110" i="4"/>
  <c r="AH110" i="4"/>
  <c r="Y110" i="4"/>
  <c r="AI110" i="4"/>
  <c r="AF110" i="4"/>
  <c r="AG110" i="4"/>
  <c r="X110" i="4"/>
  <c r="Z110" i="4"/>
  <c r="AB110" i="4"/>
  <c r="AA110" i="4"/>
  <c r="B114" i="3"/>
  <c r="L113" i="3"/>
  <c r="O113" i="3"/>
  <c r="F113" i="3"/>
  <c r="K113" i="3"/>
  <c r="J113" i="3"/>
  <c r="I113" i="3"/>
  <c r="Q113" i="3"/>
  <c r="P113" i="3"/>
  <c r="H113" i="3"/>
  <c r="G113" i="3"/>
  <c r="N113" i="3"/>
  <c r="M113" i="3"/>
  <c r="P113" i="2"/>
  <c r="H113" i="2"/>
  <c r="O113" i="2"/>
  <c r="F113" i="2"/>
  <c r="N113" i="2"/>
  <c r="Q113" i="2"/>
  <c r="M113" i="2"/>
  <c r="K113" i="2"/>
  <c r="I113" i="2"/>
  <c r="B114" i="2"/>
  <c r="L113" i="2"/>
  <c r="J113" i="2"/>
  <c r="G113" i="2"/>
  <c r="AD112" i="11" l="1"/>
  <c r="AH114" i="11"/>
  <c r="AI114" i="11"/>
  <c r="AJ114" i="11"/>
  <c r="B112" i="4"/>
  <c r="T112" i="4" s="1"/>
  <c r="V111" i="4"/>
  <c r="AD111" i="4"/>
  <c r="X111" i="4"/>
  <c r="AF111" i="4"/>
  <c r="Z111" i="4"/>
  <c r="AE111" i="4"/>
  <c r="U111" i="4"/>
  <c r="AH111" i="4"/>
  <c r="AG111" i="4"/>
  <c r="W111" i="4"/>
  <c r="Y111" i="4"/>
  <c r="AA111" i="4"/>
  <c r="AB111" i="4"/>
  <c r="AI111" i="4"/>
  <c r="AC111" i="4"/>
  <c r="K114" i="3"/>
  <c r="P114" i="3"/>
  <c r="G114" i="3"/>
  <c r="M114" i="3"/>
  <c r="Q114" i="3"/>
  <c r="O114" i="3"/>
  <c r="J114" i="3"/>
  <c r="N114" i="3"/>
  <c r="L114" i="3"/>
  <c r="F114" i="3"/>
  <c r="I114" i="3"/>
  <c r="H114" i="3"/>
  <c r="B115" i="3"/>
  <c r="P114" i="2"/>
  <c r="H114" i="2"/>
  <c r="O114" i="2"/>
  <c r="G114" i="2"/>
  <c r="I114" i="2"/>
  <c r="F114" i="2"/>
  <c r="L114" i="2"/>
  <c r="K114" i="2"/>
  <c r="B115" i="2"/>
  <c r="N114" i="2"/>
  <c r="J114" i="2"/>
  <c r="Q114" i="2"/>
  <c r="M114" i="2"/>
  <c r="AD113" i="11" l="1"/>
  <c r="AH115" i="11"/>
  <c r="AI115" i="11"/>
  <c r="AJ115" i="11"/>
  <c r="B113" i="4"/>
  <c r="T113" i="4" s="1"/>
  <c r="W112" i="4"/>
  <c r="AE112" i="4"/>
  <c r="Y112" i="4"/>
  <c r="AG112" i="4"/>
  <c r="U112" i="4"/>
  <c r="AF112" i="4"/>
  <c r="AB112" i="4"/>
  <c r="AD112" i="4"/>
  <c r="V112" i="4"/>
  <c r="AI112" i="4"/>
  <c r="AC112" i="4"/>
  <c r="AH112" i="4"/>
  <c r="Z112" i="4"/>
  <c r="AA112" i="4"/>
  <c r="X112" i="4"/>
  <c r="J115" i="3"/>
  <c r="Q115" i="3"/>
  <c r="H115" i="3"/>
  <c r="N115" i="3"/>
  <c r="L115" i="3"/>
  <c r="K115" i="3"/>
  <c r="F115" i="3"/>
  <c r="P115" i="3"/>
  <c r="O115" i="3"/>
  <c r="G115" i="3"/>
  <c r="M115" i="3"/>
  <c r="I115" i="3"/>
  <c r="B116" i="3"/>
  <c r="O115" i="2"/>
  <c r="G115" i="2"/>
  <c r="N115" i="2"/>
  <c r="F115" i="2"/>
  <c r="L115" i="2"/>
  <c r="K115" i="2"/>
  <c r="I115" i="2"/>
  <c r="B116" i="2"/>
  <c r="H115" i="2"/>
  <c r="P115" i="2"/>
  <c r="M115" i="2"/>
  <c r="J115" i="2"/>
  <c r="Q115" i="2"/>
  <c r="AD114" i="11" l="1"/>
  <c r="AI116" i="11"/>
  <c r="AJ116" i="11"/>
  <c r="AH116" i="11"/>
  <c r="B114" i="4"/>
  <c r="T114" i="4" s="1"/>
  <c r="X113" i="4"/>
  <c r="AF113" i="4"/>
  <c r="Z113" i="4"/>
  <c r="AH113" i="4"/>
  <c r="AB113" i="4"/>
  <c r="Y113" i="4"/>
  <c r="AC113" i="4"/>
  <c r="V113" i="4"/>
  <c r="AI113" i="4"/>
  <c r="AE113" i="4"/>
  <c r="AG113" i="4"/>
  <c r="U113" i="4"/>
  <c r="W113" i="4"/>
  <c r="AA113" i="4"/>
  <c r="AD113" i="4"/>
  <c r="Q116" i="3"/>
  <c r="I116" i="3"/>
  <c r="J116" i="3"/>
  <c r="O116" i="3"/>
  <c r="F116" i="3"/>
  <c r="B117" i="3"/>
  <c r="G116" i="3"/>
  <c r="M116" i="3"/>
  <c r="P116" i="3"/>
  <c r="K116" i="3"/>
  <c r="H116" i="3"/>
  <c r="N116" i="3"/>
  <c r="L116" i="3"/>
  <c r="N116" i="2"/>
  <c r="F116" i="2"/>
  <c r="M116" i="2"/>
  <c r="Q116" i="2"/>
  <c r="G116" i="2"/>
  <c r="P116" i="2"/>
  <c r="B117" i="2"/>
  <c r="L116" i="2"/>
  <c r="O116" i="2"/>
  <c r="K116" i="2"/>
  <c r="J116" i="2"/>
  <c r="I116" i="2"/>
  <c r="H116" i="2"/>
  <c r="AD115" i="11" l="1"/>
  <c r="AH117" i="11"/>
  <c r="AI117" i="11"/>
  <c r="AJ117" i="11"/>
  <c r="B115" i="4"/>
  <c r="T115" i="4" s="1"/>
  <c r="Y114" i="4"/>
  <c r="AG114" i="4"/>
  <c r="AA114" i="4"/>
  <c r="AI114" i="4"/>
  <c r="W114" i="4"/>
  <c r="AH114" i="4"/>
  <c r="V114" i="4"/>
  <c r="Z114" i="4"/>
  <c r="X114" i="4"/>
  <c r="AC114" i="4"/>
  <c r="U114" i="4"/>
  <c r="AB114" i="4"/>
  <c r="AD114" i="4"/>
  <c r="AE114" i="4"/>
  <c r="AF114" i="4"/>
  <c r="P117" i="3"/>
  <c r="H117" i="3"/>
  <c r="B118" i="3"/>
  <c r="K117" i="3"/>
  <c r="Q117" i="3"/>
  <c r="G117" i="3"/>
  <c r="N117" i="3"/>
  <c r="M117" i="3"/>
  <c r="I117" i="3"/>
  <c r="L117" i="3"/>
  <c r="J117" i="3"/>
  <c r="O117" i="3"/>
  <c r="F117" i="3"/>
  <c r="M117" i="2"/>
  <c r="B118" i="2"/>
  <c r="L117" i="2"/>
  <c r="H117" i="2"/>
  <c r="Q117" i="2"/>
  <c r="G117" i="2"/>
  <c r="N117" i="2"/>
  <c r="K117" i="2"/>
  <c r="P117" i="2"/>
  <c r="F117" i="2"/>
  <c r="J117" i="2"/>
  <c r="I117" i="2"/>
  <c r="O117" i="2"/>
  <c r="AD116" i="11" l="1"/>
  <c r="AI118" i="11"/>
  <c r="AJ118" i="11"/>
  <c r="AH118" i="11"/>
  <c r="B116" i="4"/>
  <c r="T116" i="4" s="1"/>
  <c r="Z115" i="4"/>
  <c r="AH115" i="4"/>
  <c r="AB115" i="4"/>
  <c r="AD115" i="4"/>
  <c r="U115" i="4"/>
  <c r="AF115" i="4"/>
  <c r="W115" i="4"/>
  <c r="AI115" i="4"/>
  <c r="Y115" i="4"/>
  <c r="V115" i="4"/>
  <c r="AA115" i="4"/>
  <c r="AC115" i="4"/>
  <c r="AE115" i="4"/>
  <c r="AG115" i="4"/>
  <c r="X115" i="4"/>
  <c r="O118" i="3"/>
  <c r="G118" i="3"/>
  <c r="L118" i="3"/>
  <c r="I118" i="3"/>
  <c r="J118" i="3"/>
  <c r="B119" i="3"/>
  <c r="H118" i="3"/>
  <c r="P118" i="3"/>
  <c r="M118" i="3"/>
  <c r="K118" i="3"/>
  <c r="F118" i="3"/>
  <c r="Q118" i="3"/>
  <c r="N118" i="3"/>
  <c r="B119" i="2"/>
  <c r="L118" i="2"/>
  <c r="K118" i="2"/>
  <c r="J118" i="2"/>
  <c r="I118" i="2"/>
  <c r="H118" i="2"/>
  <c r="G118" i="2"/>
  <c r="Q118" i="2"/>
  <c r="N118" i="2"/>
  <c r="M118" i="2"/>
  <c r="F118" i="2"/>
  <c r="P118" i="2"/>
  <c r="O118" i="2"/>
  <c r="AD117" i="11" l="1"/>
  <c r="AH119" i="11"/>
  <c r="AJ119" i="11"/>
  <c r="AI119" i="11"/>
  <c r="B117" i="4"/>
  <c r="T117" i="4" s="1"/>
  <c r="AA116" i="4"/>
  <c r="AI116" i="4"/>
  <c r="U116" i="4"/>
  <c r="AC116" i="4"/>
  <c r="Y116" i="4"/>
  <c r="AD116" i="4"/>
  <c r="AF116" i="4"/>
  <c r="Z116" i="4"/>
  <c r="W116" i="4"/>
  <c r="AH116" i="4"/>
  <c r="AE116" i="4"/>
  <c r="AG116" i="4"/>
  <c r="X116" i="4"/>
  <c r="AB116" i="4"/>
  <c r="V116" i="4"/>
  <c r="N119" i="3"/>
  <c r="F119" i="3"/>
  <c r="M119" i="3"/>
  <c r="J119" i="3"/>
  <c r="P119" i="3"/>
  <c r="O119" i="3"/>
  <c r="I119" i="3"/>
  <c r="B120" i="3"/>
  <c r="K119" i="3"/>
  <c r="H119" i="3"/>
  <c r="Q119" i="3"/>
  <c r="L119" i="3"/>
  <c r="G119" i="3"/>
  <c r="K119" i="2"/>
  <c r="J119" i="2"/>
  <c r="O119" i="2"/>
  <c r="N119" i="2"/>
  <c r="Q119" i="2"/>
  <c r="P119" i="2"/>
  <c r="L119" i="2"/>
  <c r="B120" i="2"/>
  <c r="I119" i="2"/>
  <c r="H119" i="2"/>
  <c r="G119" i="2"/>
  <c r="F119" i="2"/>
  <c r="M119" i="2"/>
  <c r="AD118" i="11" l="1"/>
  <c r="AH120" i="11"/>
  <c r="AI120" i="11"/>
  <c r="AJ120" i="11"/>
  <c r="B118" i="4"/>
  <c r="T118" i="4" s="1"/>
  <c r="AB117" i="4"/>
  <c r="V117" i="4"/>
  <c r="AD117" i="4"/>
  <c r="U117" i="4"/>
  <c r="AF117" i="4"/>
  <c r="Z117" i="4"/>
  <c r="AC117" i="4"/>
  <c r="AA117" i="4"/>
  <c r="X117" i="4"/>
  <c r="W117" i="4"/>
  <c r="AI117" i="4"/>
  <c r="Y117" i="4"/>
  <c r="AE117" i="4"/>
  <c r="AG117" i="4"/>
  <c r="AH117" i="4"/>
  <c r="M120" i="3"/>
  <c r="O120" i="3"/>
  <c r="F120" i="3"/>
  <c r="B121" i="3"/>
  <c r="K120" i="3"/>
  <c r="J120" i="3"/>
  <c r="I120" i="3"/>
  <c r="Q120" i="3"/>
  <c r="L120" i="3"/>
  <c r="H120" i="3"/>
  <c r="P120" i="3"/>
  <c r="N120" i="3"/>
  <c r="G120" i="3"/>
  <c r="J120" i="2"/>
  <c r="Q120" i="2"/>
  <c r="I120" i="2"/>
  <c r="B121" i="2"/>
  <c r="H120" i="2"/>
  <c r="G120" i="2"/>
  <c r="N120" i="2"/>
  <c r="M120" i="2"/>
  <c r="O120" i="2"/>
  <c r="L120" i="2"/>
  <c r="K120" i="2"/>
  <c r="P120" i="2"/>
  <c r="F120" i="2"/>
  <c r="AD119" i="11" l="1"/>
  <c r="AJ121" i="11"/>
  <c r="AH121" i="11"/>
  <c r="AI121" i="11"/>
  <c r="B119" i="4"/>
  <c r="T119" i="4" s="1"/>
  <c r="U118" i="4"/>
  <c r="AC118" i="4"/>
  <c r="W118" i="4"/>
  <c r="AE118" i="4"/>
  <c r="AA118" i="4"/>
  <c r="X118" i="4"/>
  <c r="AI118" i="4"/>
  <c r="Z118" i="4"/>
  <c r="AD118" i="4"/>
  <c r="Y118" i="4"/>
  <c r="AB118" i="4"/>
  <c r="AF118" i="4"/>
  <c r="AG118" i="4"/>
  <c r="V118" i="4"/>
  <c r="AH118" i="4"/>
  <c r="B122" i="3"/>
  <c r="L121" i="3"/>
  <c r="O121" i="3"/>
  <c r="F121" i="3"/>
  <c r="K121" i="3"/>
  <c r="Q121" i="3"/>
  <c r="P121" i="3"/>
  <c r="J121" i="3"/>
  <c r="N121" i="3"/>
  <c r="H121" i="3"/>
  <c r="G121" i="3"/>
  <c r="I121" i="3"/>
  <c r="M121" i="3"/>
  <c r="Q121" i="2"/>
  <c r="I121" i="2"/>
  <c r="P121" i="2"/>
  <c r="H121" i="2"/>
  <c r="M121" i="2"/>
  <c r="L121" i="2"/>
  <c r="K121" i="2"/>
  <c r="J121" i="2"/>
  <c r="G121" i="2"/>
  <c r="F121" i="2"/>
  <c r="B122" i="2"/>
  <c r="O121" i="2"/>
  <c r="N121" i="2"/>
  <c r="AD120" i="11" l="1"/>
  <c r="AI122" i="11"/>
  <c r="AH122" i="11"/>
  <c r="AJ122" i="11"/>
  <c r="B120" i="4"/>
  <c r="T120" i="4" s="1"/>
  <c r="V119" i="4"/>
  <c r="AD119" i="4"/>
  <c r="X119" i="4"/>
  <c r="AF119" i="4"/>
  <c r="W119" i="4"/>
  <c r="AH119" i="4"/>
  <c r="AG119" i="4"/>
  <c r="Y119" i="4"/>
  <c r="AC119" i="4"/>
  <c r="AA119" i="4"/>
  <c r="AI119" i="4"/>
  <c r="AB119" i="4"/>
  <c r="AE119" i="4"/>
  <c r="U119" i="4"/>
  <c r="Z119" i="4"/>
  <c r="P122" i="3"/>
  <c r="H122" i="3"/>
  <c r="L122" i="3"/>
  <c r="G122" i="3"/>
  <c r="N122" i="3"/>
  <c r="K122" i="3"/>
  <c r="J122" i="3"/>
  <c r="Q122" i="3"/>
  <c r="O122" i="3"/>
  <c r="F122" i="3"/>
  <c r="M122" i="3"/>
  <c r="I122" i="3"/>
  <c r="B123" i="3"/>
  <c r="K122" i="2"/>
  <c r="Q122" i="2"/>
  <c r="H122" i="2"/>
  <c r="P122" i="2"/>
  <c r="G122" i="2"/>
  <c r="B123" i="2"/>
  <c r="F122" i="2"/>
  <c r="J122" i="2"/>
  <c r="I122" i="2"/>
  <c r="N122" i="2"/>
  <c r="L122" i="2"/>
  <c r="O122" i="2"/>
  <c r="M122" i="2"/>
  <c r="AD121" i="11" l="1"/>
  <c r="AH123" i="11"/>
  <c r="AI123" i="11"/>
  <c r="AJ123" i="11"/>
  <c r="B121" i="4"/>
  <c r="T121" i="4" s="1"/>
  <c r="W120" i="4"/>
  <c r="AE120" i="4"/>
  <c r="Y120" i="4"/>
  <c r="AG120" i="4"/>
  <c r="AC120" i="4"/>
  <c r="AD120" i="4"/>
  <c r="U120" i="4"/>
  <c r="AH120" i="4"/>
  <c r="AF120" i="4"/>
  <c r="AA120" i="4"/>
  <c r="V120" i="4"/>
  <c r="X120" i="4"/>
  <c r="Z120" i="4"/>
  <c r="AB120" i="4"/>
  <c r="AI120" i="4"/>
  <c r="O123" i="3"/>
  <c r="G123" i="3"/>
  <c r="M123" i="3"/>
  <c r="B124" i="3"/>
  <c r="J123" i="3"/>
  <c r="Q123" i="3"/>
  <c r="F123" i="3"/>
  <c r="H123" i="3"/>
  <c r="N123" i="3"/>
  <c r="P123" i="3"/>
  <c r="I123" i="3"/>
  <c r="K123" i="3"/>
  <c r="L123" i="3"/>
  <c r="J123" i="2"/>
  <c r="I123" i="2"/>
  <c r="Q123" i="2"/>
  <c r="H123" i="2"/>
  <c r="N123" i="2"/>
  <c r="M123" i="2"/>
  <c r="G123" i="2"/>
  <c r="F123" i="2"/>
  <c r="B124" i="2"/>
  <c r="O123" i="2"/>
  <c r="P123" i="2"/>
  <c r="L123" i="2"/>
  <c r="K123" i="2"/>
  <c r="AD122" i="11" l="1"/>
  <c r="AI124" i="11"/>
  <c r="AJ124" i="11"/>
  <c r="AH124" i="11"/>
  <c r="B122" i="4"/>
  <c r="T122" i="4" s="1"/>
  <c r="X121" i="4"/>
  <c r="AF121" i="4"/>
  <c r="Z121" i="4"/>
  <c r="AH121" i="4"/>
  <c r="Y121" i="4"/>
  <c r="AB121" i="4"/>
  <c r="AD121" i="4"/>
  <c r="AG121" i="4"/>
  <c r="AC121" i="4"/>
  <c r="W121" i="4"/>
  <c r="AA121" i="4"/>
  <c r="AE121" i="4"/>
  <c r="U121" i="4"/>
  <c r="V121" i="4"/>
  <c r="AI121" i="4"/>
  <c r="N124" i="3"/>
  <c r="F124" i="3"/>
  <c r="O124" i="3"/>
  <c r="M124" i="3"/>
  <c r="B125" i="3"/>
  <c r="J124" i="3"/>
  <c r="Q124" i="3"/>
  <c r="K124" i="3"/>
  <c r="I124" i="3"/>
  <c r="H124" i="3"/>
  <c r="L124" i="3"/>
  <c r="G124" i="3"/>
  <c r="P124" i="3"/>
  <c r="Q124" i="2"/>
  <c r="I124" i="2"/>
  <c r="B125" i="2"/>
  <c r="K124" i="2"/>
  <c r="J124" i="2"/>
  <c r="H124" i="2"/>
  <c r="G124" i="2"/>
  <c r="F124" i="2"/>
  <c r="L124" i="2"/>
  <c r="O124" i="2"/>
  <c r="N124" i="2"/>
  <c r="M124" i="2"/>
  <c r="P124" i="2"/>
  <c r="AD123" i="11" l="1"/>
  <c r="AH125" i="11"/>
  <c r="AI125" i="11"/>
  <c r="AJ125" i="11"/>
  <c r="B123" i="4"/>
  <c r="T123" i="4" s="1"/>
  <c r="Y122" i="4"/>
  <c r="AG122" i="4"/>
  <c r="AA122" i="4"/>
  <c r="AI122" i="4"/>
  <c r="U122" i="4"/>
  <c r="AE122" i="4"/>
  <c r="X122" i="4"/>
  <c r="AB122" i="4"/>
  <c r="AH122" i="4"/>
  <c r="AD122" i="4"/>
  <c r="AC122" i="4"/>
  <c r="AF122" i="4"/>
  <c r="Z122" i="4"/>
  <c r="V122" i="4"/>
  <c r="W122" i="4"/>
  <c r="M125" i="3"/>
  <c r="P125" i="3"/>
  <c r="G125" i="3"/>
  <c r="H125" i="3"/>
  <c r="N125" i="3"/>
  <c r="O125" i="3"/>
  <c r="L125" i="3"/>
  <c r="I125" i="3"/>
  <c r="Q125" i="3"/>
  <c r="K125" i="3"/>
  <c r="J125" i="3"/>
  <c r="F125" i="3"/>
  <c r="B126" i="3"/>
  <c r="P125" i="2"/>
  <c r="H125" i="2"/>
  <c r="L125" i="2"/>
  <c r="B126" i="2"/>
  <c r="K125" i="2"/>
  <c r="Q125" i="2"/>
  <c r="O125" i="2"/>
  <c r="F125" i="2"/>
  <c r="N125" i="2"/>
  <c r="M125" i="2"/>
  <c r="J125" i="2"/>
  <c r="I125" i="2"/>
  <c r="G125" i="2"/>
  <c r="AD124" i="11" l="1"/>
  <c r="AJ126" i="11"/>
  <c r="AI126" i="11"/>
  <c r="AH126" i="11"/>
  <c r="B124" i="4"/>
  <c r="T124" i="4" s="1"/>
  <c r="Z123" i="4"/>
  <c r="AH123" i="4"/>
  <c r="AB123" i="4"/>
  <c r="AA123" i="4"/>
  <c r="V123" i="4"/>
  <c r="AG123" i="4"/>
  <c r="X123" i="4"/>
  <c r="AI123" i="4"/>
  <c r="AE123" i="4"/>
  <c r="U123" i="4"/>
  <c r="AF123" i="4"/>
  <c r="W123" i="4"/>
  <c r="AD123" i="4"/>
  <c r="Y123" i="4"/>
  <c r="AC123" i="4"/>
  <c r="B127" i="3"/>
  <c r="L126" i="3"/>
  <c r="P126" i="3"/>
  <c r="G126" i="3"/>
  <c r="J126" i="3"/>
  <c r="Q126" i="3"/>
  <c r="F126" i="3"/>
  <c r="K126" i="3"/>
  <c r="I126" i="3"/>
  <c r="O126" i="3"/>
  <c r="N126" i="3"/>
  <c r="M126" i="3"/>
  <c r="H126" i="3"/>
  <c r="O126" i="2"/>
  <c r="G126" i="2"/>
  <c r="M126" i="2"/>
  <c r="L126" i="2"/>
  <c r="J126" i="2"/>
  <c r="B127" i="2"/>
  <c r="I126" i="2"/>
  <c r="Q126" i="2"/>
  <c r="P126" i="2"/>
  <c r="F126" i="2"/>
  <c r="H126" i="2"/>
  <c r="N126" i="2"/>
  <c r="K126" i="2"/>
  <c r="AD125" i="11" l="1"/>
  <c r="AH127" i="11"/>
  <c r="AJ127" i="11"/>
  <c r="AI127" i="11"/>
  <c r="B125" i="4"/>
  <c r="T125" i="4" s="1"/>
  <c r="AA124" i="4"/>
  <c r="AI124" i="4"/>
  <c r="U124" i="4"/>
  <c r="AC124" i="4"/>
  <c r="W124" i="4"/>
  <c r="AG124" i="4"/>
  <c r="AE124" i="4"/>
  <c r="V124" i="4"/>
  <c r="AH124" i="4"/>
  <c r="AF124" i="4"/>
  <c r="Y124" i="4"/>
  <c r="Z124" i="4"/>
  <c r="AB124" i="4"/>
  <c r="X124" i="4"/>
  <c r="AD124" i="4"/>
  <c r="K127" i="3"/>
  <c r="Q127" i="3"/>
  <c r="H127" i="3"/>
  <c r="O127" i="3"/>
  <c r="N127" i="3"/>
  <c r="J127" i="3"/>
  <c r="F127" i="3"/>
  <c r="B128" i="3"/>
  <c r="M127" i="3"/>
  <c r="G127" i="3"/>
  <c r="P127" i="3"/>
  <c r="L127" i="3"/>
  <c r="I127" i="3"/>
  <c r="N127" i="2"/>
  <c r="F127" i="2"/>
  <c r="O127" i="2"/>
  <c r="M127" i="2"/>
  <c r="P127" i="2"/>
  <c r="L127" i="2"/>
  <c r="J127" i="2"/>
  <c r="I127" i="2"/>
  <c r="G127" i="2"/>
  <c r="K127" i="2"/>
  <c r="B128" i="2"/>
  <c r="H127" i="2"/>
  <c r="Q127" i="2"/>
  <c r="AD126" i="11" l="1"/>
  <c r="AH128" i="11"/>
  <c r="AI128" i="11"/>
  <c r="AJ128" i="11"/>
  <c r="B126" i="4"/>
  <c r="T126" i="4" s="1"/>
  <c r="AB125" i="4"/>
  <c r="V125" i="4"/>
  <c r="AD125" i="4"/>
  <c r="AC125" i="4"/>
  <c r="AA125" i="4"/>
  <c r="AF125" i="4"/>
  <c r="W125" i="4"/>
  <c r="AH125" i="4"/>
  <c r="AE125" i="4"/>
  <c r="AG125" i="4"/>
  <c r="Y125" i="4"/>
  <c r="Z125" i="4"/>
  <c r="AI125" i="4"/>
  <c r="U125" i="4"/>
  <c r="X125" i="4"/>
  <c r="J128" i="3"/>
  <c r="I128" i="3"/>
  <c r="B129" i="3"/>
  <c r="H128" i="3"/>
  <c r="Q128" i="3"/>
  <c r="G128" i="3"/>
  <c r="N128" i="3"/>
  <c r="P128" i="3"/>
  <c r="L128" i="3"/>
  <c r="K128" i="3"/>
  <c r="F128" i="3"/>
  <c r="M128" i="3"/>
  <c r="O128" i="3"/>
  <c r="M128" i="2"/>
  <c r="P128" i="2"/>
  <c r="G128" i="2"/>
  <c r="O128" i="2"/>
  <c r="F128" i="2"/>
  <c r="J128" i="2"/>
  <c r="B129" i="2"/>
  <c r="I128" i="2"/>
  <c r="K128" i="2"/>
  <c r="H128" i="2"/>
  <c r="L128" i="2"/>
  <c r="N128" i="2"/>
  <c r="Q128" i="2"/>
  <c r="AD127" i="11" l="1"/>
  <c r="AJ129" i="11"/>
  <c r="AH129" i="11"/>
  <c r="AI129" i="11"/>
  <c r="B127" i="4"/>
  <c r="T127" i="4" s="1"/>
  <c r="U126" i="4"/>
  <c r="X126" i="4"/>
  <c r="AF126" i="4"/>
  <c r="Y126" i="4"/>
  <c r="AH126" i="4"/>
  <c r="AA126" i="4"/>
  <c r="V126" i="4"/>
  <c r="AI126" i="4"/>
  <c r="AE126" i="4"/>
  <c r="AG126" i="4"/>
  <c r="AC126" i="4"/>
  <c r="AD126" i="4"/>
  <c r="Z126" i="4"/>
  <c r="AB126" i="4"/>
  <c r="W126" i="4"/>
  <c r="Q129" i="3"/>
  <c r="I129" i="3"/>
  <c r="B130" i="3"/>
  <c r="K129" i="3"/>
  <c r="M129" i="3"/>
  <c r="L129" i="3"/>
  <c r="G129" i="3"/>
  <c r="P129" i="3"/>
  <c r="J129" i="3"/>
  <c r="O129" i="3"/>
  <c r="N129" i="3"/>
  <c r="H129" i="3"/>
  <c r="F129" i="3"/>
  <c r="B130" i="2"/>
  <c r="L129" i="2"/>
  <c r="P129" i="2"/>
  <c r="G129" i="2"/>
  <c r="O129" i="2"/>
  <c r="F129" i="2"/>
  <c r="Q129" i="2"/>
  <c r="N129" i="2"/>
  <c r="H129" i="2"/>
  <c r="J129" i="2"/>
  <c r="M129" i="2"/>
  <c r="K129" i="2"/>
  <c r="I129" i="2"/>
  <c r="AD128" i="11" l="1"/>
  <c r="AI130" i="11"/>
  <c r="AH130" i="11"/>
  <c r="AJ130" i="11"/>
  <c r="B128" i="4"/>
  <c r="T128" i="4" s="1"/>
  <c r="Y127" i="4"/>
  <c r="AG127" i="4"/>
  <c r="AB127" i="4"/>
  <c r="U127" i="4"/>
  <c r="AD127" i="4"/>
  <c r="AF127" i="4"/>
  <c r="AC127" i="4"/>
  <c r="AI127" i="4"/>
  <c r="V127" i="4"/>
  <c r="W127" i="4"/>
  <c r="AE127" i="4"/>
  <c r="AH127" i="4"/>
  <c r="Z127" i="4"/>
  <c r="AA127" i="4"/>
  <c r="X127" i="4"/>
  <c r="P130" i="3"/>
  <c r="H130" i="3"/>
  <c r="L130" i="3"/>
  <c r="Q130" i="3"/>
  <c r="F130" i="3"/>
  <c r="O130" i="3"/>
  <c r="K130" i="3"/>
  <c r="J130" i="3"/>
  <c r="M130" i="3"/>
  <c r="I130" i="3"/>
  <c r="N130" i="3"/>
  <c r="B131" i="3"/>
  <c r="G130" i="3"/>
  <c r="K130" i="2"/>
  <c r="Q130" i="2"/>
  <c r="H130" i="2"/>
  <c r="P130" i="2"/>
  <c r="G130" i="2"/>
  <c r="L130" i="2"/>
  <c r="J130" i="2"/>
  <c r="B131" i="2"/>
  <c r="I130" i="2"/>
  <c r="O130" i="2"/>
  <c r="F130" i="2"/>
  <c r="N130" i="2"/>
  <c r="M130" i="2"/>
  <c r="AD129" i="11" l="1"/>
  <c r="AI131" i="11"/>
  <c r="AJ131" i="11"/>
  <c r="AH131" i="11"/>
  <c r="B129" i="4"/>
  <c r="T129" i="4" s="1"/>
  <c r="Z128" i="4"/>
  <c r="AH128" i="4"/>
  <c r="V128" i="4"/>
  <c r="AE128" i="4"/>
  <c r="X128" i="4"/>
  <c r="AG128" i="4"/>
  <c r="AC128" i="4"/>
  <c r="AA128" i="4"/>
  <c r="U128" i="4"/>
  <c r="AF128" i="4"/>
  <c r="AI128" i="4"/>
  <c r="W128" i="4"/>
  <c r="Y128" i="4"/>
  <c r="AD128" i="4"/>
  <c r="AB128" i="4"/>
  <c r="O131" i="3"/>
  <c r="G131" i="3"/>
  <c r="M131" i="3"/>
  <c r="I131" i="3"/>
  <c r="H131" i="3"/>
  <c r="N131" i="3"/>
  <c r="P131" i="3"/>
  <c r="L131" i="3"/>
  <c r="F131" i="3"/>
  <c r="B132" i="3"/>
  <c r="Q131" i="3"/>
  <c r="K131" i="3"/>
  <c r="J131" i="3"/>
  <c r="J131" i="2"/>
  <c r="I131" i="2"/>
  <c r="Q131" i="2"/>
  <c r="H131" i="2"/>
  <c r="B132" i="2"/>
  <c r="F131" i="2"/>
  <c r="P131" i="2"/>
  <c r="L131" i="2"/>
  <c r="N131" i="2"/>
  <c r="M131" i="2"/>
  <c r="K131" i="2"/>
  <c r="G131" i="2"/>
  <c r="O131" i="2"/>
  <c r="AD130" i="11" l="1"/>
  <c r="AI132" i="11"/>
  <c r="AJ132" i="11"/>
  <c r="AH132" i="11"/>
  <c r="B130" i="4"/>
  <c r="T130" i="4" s="1"/>
  <c r="AA129" i="4"/>
  <c r="AI129" i="4"/>
  <c r="Y129" i="4"/>
  <c r="AH129" i="4"/>
  <c r="AB129" i="4"/>
  <c r="Z129" i="4"/>
  <c r="W129" i="4"/>
  <c r="AG129" i="4"/>
  <c r="U129" i="4"/>
  <c r="V129" i="4"/>
  <c r="X129" i="4"/>
  <c r="AF129" i="4"/>
  <c r="AC129" i="4"/>
  <c r="AD129" i="4"/>
  <c r="AE129" i="4"/>
  <c r="N132" i="3"/>
  <c r="F132" i="3"/>
  <c r="O132" i="3"/>
  <c r="L132" i="3"/>
  <c r="K132" i="3"/>
  <c r="H132" i="3"/>
  <c r="P132" i="3"/>
  <c r="M132" i="3"/>
  <c r="G132" i="3"/>
  <c r="Q132" i="3"/>
  <c r="J132" i="3"/>
  <c r="B133" i="3"/>
  <c r="I132" i="3"/>
  <c r="Q132" i="2"/>
  <c r="I132" i="2"/>
  <c r="B133" i="2"/>
  <c r="K132" i="2"/>
  <c r="J132" i="2"/>
  <c r="N132" i="2"/>
  <c r="M132" i="2"/>
  <c r="H132" i="2"/>
  <c r="F132" i="2"/>
  <c r="O132" i="2"/>
  <c r="L132" i="2"/>
  <c r="P132" i="2"/>
  <c r="G132" i="2"/>
  <c r="AD131" i="11" l="1"/>
  <c r="AH133" i="11"/>
  <c r="AI133" i="11"/>
  <c r="AJ133" i="11"/>
  <c r="B131" i="4"/>
  <c r="T131" i="4" s="1"/>
  <c r="AB130" i="4"/>
  <c r="AC130" i="4"/>
  <c r="V130" i="4"/>
  <c r="AE130" i="4"/>
  <c r="X130" i="4"/>
  <c r="AI130" i="4"/>
  <c r="U130" i="4"/>
  <c r="AG130" i="4"/>
  <c r="W130" i="4"/>
  <c r="Y130" i="4"/>
  <c r="AH130" i="4"/>
  <c r="Z130" i="4"/>
  <c r="AA130" i="4"/>
  <c r="AD130" i="4"/>
  <c r="AF130" i="4"/>
  <c r="M133" i="3"/>
  <c r="P133" i="3"/>
  <c r="G133" i="3"/>
  <c r="Q133" i="3"/>
  <c r="F133" i="3"/>
  <c r="O133" i="3"/>
  <c r="K133" i="3"/>
  <c r="L133" i="3"/>
  <c r="J133" i="3"/>
  <c r="B134" i="3"/>
  <c r="H133" i="3"/>
  <c r="N133" i="3"/>
  <c r="I133" i="3"/>
  <c r="P133" i="2"/>
  <c r="H133" i="2"/>
  <c r="L133" i="2"/>
  <c r="B134" i="2"/>
  <c r="K133" i="2"/>
  <c r="I133" i="2"/>
  <c r="G133" i="2"/>
  <c r="Q133" i="2"/>
  <c r="M133" i="2"/>
  <c r="J133" i="2"/>
  <c r="O133" i="2"/>
  <c r="N133" i="2"/>
  <c r="F133" i="2"/>
  <c r="AD132" i="11" l="1"/>
  <c r="AJ134" i="11"/>
  <c r="AH134" i="11"/>
  <c r="AI134" i="11"/>
  <c r="B132" i="4"/>
  <c r="T132" i="4" s="1"/>
  <c r="U131" i="4"/>
  <c r="AC131" i="4"/>
  <c r="W131" i="4"/>
  <c r="AF131" i="4"/>
  <c r="Y131" i="4"/>
  <c r="AH131" i="4"/>
  <c r="AG131" i="4"/>
  <c r="AD131" i="4"/>
  <c r="X131" i="4"/>
  <c r="Z131" i="4"/>
  <c r="AA131" i="4"/>
  <c r="V131" i="4"/>
  <c r="AB131" i="4"/>
  <c r="AI131" i="4"/>
  <c r="AE131" i="4"/>
  <c r="B135" i="3"/>
  <c r="L134" i="3"/>
  <c r="P134" i="3"/>
  <c r="G134" i="3"/>
  <c r="I134" i="3"/>
  <c r="H134" i="3"/>
  <c r="N134" i="3"/>
  <c r="J134" i="3"/>
  <c r="F134" i="3"/>
  <c r="Q134" i="3"/>
  <c r="M134" i="3"/>
  <c r="K134" i="3"/>
  <c r="O134" i="3"/>
  <c r="O134" i="2"/>
  <c r="G134" i="2"/>
  <c r="M134" i="2"/>
  <c r="L134" i="2"/>
  <c r="P134" i="2"/>
  <c r="N134" i="2"/>
  <c r="Q134" i="2"/>
  <c r="K134" i="2"/>
  <c r="J134" i="2"/>
  <c r="H134" i="2"/>
  <c r="I134" i="2"/>
  <c r="F134" i="2"/>
  <c r="B135" i="2"/>
  <c r="AD133" i="11" l="1"/>
  <c r="AH135" i="11"/>
  <c r="AJ135" i="11"/>
  <c r="AI135" i="11"/>
  <c r="B133" i="4"/>
  <c r="T133" i="4" s="1"/>
  <c r="V132" i="4"/>
  <c r="AD132" i="4"/>
  <c r="Z132" i="4"/>
  <c r="AI132" i="4"/>
  <c r="AB132" i="4"/>
  <c r="AE132" i="4"/>
  <c r="AA132" i="4"/>
  <c r="X132" i="4"/>
  <c r="Y132" i="4"/>
  <c r="U132" i="4"/>
  <c r="W132" i="4"/>
  <c r="AC132" i="4"/>
  <c r="AG132" i="4"/>
  <c r="AH132" i="4"/>
  <c r="AF132" i="4"/>
  <c r="K135" i="3"/>
  <c r="Q135" i="3"/>
  <c r="H135" i="3"/>
  <c r="M135" i="3"/>
  <c r="L135" i="3"/>
  <c r="G135" i="3"/>
  <c r="I135" i="3"/>
  <c r="F135" i="3"/>
  <c r="P135" i="3"/>
  <c r="J135" i="3"/>
  <c r="B136" i="3"/>
  <c r="O135" i="3"/>
  <c r="N135" i="3"/>
  <c r="N135" i="2"/>
  <c r="F135" i="2"/>
  <c r="O135" i="2"/>
  <c r="M135" i="2"/>
  <c r="H135" i="2"/>
  <c r="G135" i="2"/>
  <c r="K135" i="2"/>
  <c r="J135" i="2"/>
  <c r="P135" i="2"/>
  <c r="B136" i="2"/>
  <c r="L135" i="2"/>
  <c r="Q135" i="2"/>
  <c r="I135" i="2"/>
  <c r="AD134" i="11" l="1"/>
  <c r="AH136" i="11"/>
  <c r="AI136" i="11"/>
  <c r="AJ136" i="11"/>
  <c r="B134" i="4"/>
  <c r="T134" i="4" s="1"/>
  <c r="W133" i="4"/>
  <c r="AE133" i="4"/>
  <c r="AC133" i="4"/>
  <c r="V133" i="4"/>
  <c r="AF133" i="4"/>
  <c r="AA133" i="4"/>
  <c r="Y133" i="4"/>
  <c r="Z133" i="4"/>
  <c r="AB133" i="4"/>
  <c r="AD133" i="4"/>
  <c r="U133" i="4"/>
  <c r="X133" i="4"/>
  <c r="AG133" i="4"/>
  <c r="AH133" i="4"/>
  <c r="AI133" i="4"/>
  <c r="J136" i="3"/>
  <c r="I136" i="3"/>
  <c r="P136" i="3"/>
  <c r="F136" i="3"/>
  <c r="O136" i="3"/>
  <c r="L136" i="3"/>
  <c r="H136" i="3"/>
  <c r="G136" i="3"/>
  <c r="Q136" i="3"/>
  <c r="B137" i="3"/>
  <c r="N136" i="3"/>
  <c r="M136" i="3"/>
  <c r="K136" i="3"/>
  <c r="M136" i="2"/>
  <c r="P136" i="2"/>
  <c r="G136" i="2"/>
  <c r="O136" i="2"/>
  <c r="F136" i="2"/>
  <c r="N136" i="2"/>
  <c r="L136" i="2"/>
  <c r="J136" i="2"/>
  <c r="I136" i="2"/>
  <c r="B137" i="2"/>
  <c r="H136" i="2"/>
  <c r="K136" i="2"/>
  <c r="Q136" i="2"/>
  <c r="AD135" i="11" l="1"/>
  <c r="AJ137" i="11"/>
  <c r="AH137" i="11"/>
  <c r="AI137" i="11"/>
  <c r="B135" i="4"/>
  <c r="T135" i="4" s="1"/>
  <c r="X134" i="4"/>
  <c r="AF134" i="4"/>
  <c r="W134" i="4"/>
  <c r="AG134" i="4"/>
  <c r="Z134" i="4"/>
  <c r="AI134" i="4"/>
  <c r="Y134" i="4"/>
  <c r="U134" i="4"/>
  <c r="AH134" i="4"/>
  <c r="AB134" i="4"/>
  <c r="V134" i="4"/>
  <c r="AA134" i="4"/>
  <c r="AC134" i="4"/>
  <c r="AD134" i="4"/>
  <c r="AE134" i="4"/>
  <c r="Q137" i="3"/>
  <c r="I137" i="3"/>
  <c r="B138" i="3"/>
  <c r="K137" i="3"/>
  <c r="J137" i="3"/>
  <c r="H137" i="3"/>
  <c r="O137" i="3"/>
  <c r="G137" i="3"/>
  <c r="F137" i="3"/>
  <c r="P137" i="3"/>
  <c r="N137" i="3"/>
  <c r="M137" i="3"/>
  <c r="L137" i="3"/>
  <c r="B138" i="2"/>
  <c r="L137" i="2"/>
  <c r="P137" i="2"/>
  <c r="G137" i="2"/>
  <c r="O137" i="2"/>
  <c r="F137" i="2"/>
  <c r="I137" i="2"/>
  <c r="H137" i="2"/>
  <c r="J137" i="2"/>
  <c r="N137" i="2"/>
  <c r="K137" i="2"/>
  <c r="M137" i="2"/>
  <c r="Q137" i="2"/>
  <c r="AD136" i="11" l="1"/>
  <c r="AI138" i="11"/>
  <c r="AH138" i="11"/>
  <c r="AJ138" i="11"/>
  <c r="B136" i="4"/>
  <c r="T136" i="4" s="1"/>
  <c r="Y135" i="4"/>
  <c r="AG135" i="4"/>
  <c r="AA135" i="4"/>
  <c r="AC135" i="4"/>
  <c r="V135" i="4"/>
  <c r="AH135" i="4"/>
  <c r="AE135" i="4"/>
  <c r="AB135" i="4"/>
  <c r="AD135" i="4"/>
  <c r="AF135" i="4"/>
  <c r="X135" i="4"/>
  <c r="Z135" i="4"/>
  <c r="U135" i="4"/>
  <c r="W135" i="4"/>
  <c r="AI135" i="4"/>
  <c r="P138" i="3"/>
  <c r="H138" i="3"/>
  <c r="L138" i="3"/>
  <c r="N138" i="3"/>
  <c r="M138" i="3"/>
  <c r="I138" i="3"/>
  <c r="F138" i="3"/>
  <c r="B139" i="3"/>
  <c r="O138" i="3"/>
  <c r="G138" i="3"/>
  <c r="Q138" i="3"/>
  <c r="K138" i="3"/>
  <c r="J138" i="3"/>
  <c r="K138" i="2"/>
  <c r="Q138" i="2"/>
  <c r="H138" i="2"/>
  <c r="P138" i="2"/>
  <c r="G138" i="2"/>
  <c r="O138" i="2"/>
  <c r="N138" i="2"/>
  <c r="F138" i="2"/>
  <c r="B139" i="2"/>
  <c r="J138" i="2"/>
  <c r="L138" i="2"/>
  <c r="M138" i="2"/>
  <c r="I138" i="2"/>
  <c r="AD137" i="11" l="1"/>
  <c r="AJ139" i="11"/>
  <c r="AH139" i="11"/>
  <c r="AI139" i="11"/>
  <c r="B137" i="4"/>
  <c r="T137" i="4" s="1"/>
  <c r="Z136" i="4"/>
  <c r="AH136" i="4"/>
  <c r="U136" i="4"/>
  <c r="AD136" i="4"/>
  <c r="W136" i="4"/>
  <c r="AF136" i="4"/>
  <c r="AE136" i="4"/>
  <c r="AB136" i="4"/>
  <c r="AA136" i="4"/>
  <c r="AC136" i="4"/>
  <c r="AG136" i="4"/>
  <c r="AI136" i="4"/>
  <c r="Y136" i="4"/>
  <c r="V136" i="4"/>
  <c r="X136" i="4"/>
  <c r="O139" i="3"/>
  <c r="G139" i="3"/>
  <c r="M139" i="3"/>
  <c r="Q139" i="3"/>
  <c r="F139" i="3"/>
  <c r="P139" i="3"/>
  <c r="K139" i="3"/>
  <c r="J139" i="3"/>
  <c r="I139" i="3"/>
  <c r="H139" i="3"/>
  <c r="B140" i="3"/>
  <c r="N139" i="3"/>
  <c r="L139" i="3"/>
  <c r="J139" i="2"/>
  <c r="I139" i="2"/>
  <c r="Q139" i="2"/>
  <c r="H139" i="2"/>
  <c r="L139" i="2"/>
  <c r="K139" i="2"/>
  <c r="B140" i="2"/>
  <c r="P139" i="2"/>
  <c r="M139" i="2"/>
  <c r="F139" i="2"/>
  <c r="O139" i="2"/>
  <c r="N139" i="2"/>
  <c r="G139" i="2"/>
  <c r="AD138" i="11" l="1"/>
  <c r="AI140" i="11"/>
  <c r="AJ140" i="11"/>
  <c r="AH140" i="11"/>
  <c r="B138" i="4"/>
  <c r="T138" i="4" s="1"/>
  <c r="AA137" i="4"/>
  <c r="AI137" i="4"/>
  <c r="X137" i="4"/>
  <c r="AG137" i="4"/>
  <c r="Z137" i="4"/>
  <c r="AC137" i="4"/>
  <c r="Y137" i="4"/>
  <c r="AE137" i="4"/>
  <c r="AF137" i="4"/>
  <c r="AB137" i="4"/>
  <c r="AD137" i="4"/>
  <c r="AH137" i="4"/>
  <c r="U137" i="4"/>
  <c r="V137" i="4"/>
  <c r="W137" i="4"/>
  <c r="N140" i="3"/>
  <c r="F140" i="3"/>
  <c r="O140" i="3"/>
  <c r="B141" i="3"/>
  <c r="J140" i="3"/>
  <c r="I140" i="3"/>
  <c r="P140" i="3"/>
  <c r="Q140" i="3"/>
  <c r="M140" i="3"/>
  <c r="H140" i="3"/>
  <c r="L140" i="3"/>
  <c r="G140" i="3"/>
  <c r="K140" i="3"/>
  <c r="Q140" i="2"/>
  <c r="I140" i="2"/>
  <c r="B141" i="2"/>
  <c r="K140" i="2"/>
  <c r="J140" i="2"/>
  <c r="F140" i="2"/>
  <c r="P140" i="2"/>
  <c r="N140" i="2"/>
  <c r="L140" i="2"/>
  <c r="M140" i="2"/>
  <c r="H140" i="2"/>
  <c r="G140" i="2"/>
  <c r="O140" i="2"/>
  <c r="AD139" i="11" l="1"/>
  <c r="AH141" i="11"/>
  <c r="AI141" i="11"/>
  <c r="AJ141" i="11"/>
  <c r="B139" i="4"/>
  <c r="T139" i="4" s="1"/>
  <c r="AB138" i="4"/>
  <c r="AA138" i="4"/>
  <c r="U138" i="4"/>
  <c r="AD138" i="4"/>
  <c r="Y138" i="4"/>
  <c r="AE138" i="4"/>
  <c r="AF138" i="4"/>
  <c r="AG138" i="4"/>
  <c r="Z138" i="4"/>
  <c r="AC138" i="4"/>
  <c r="AH138" i="4"/>
  <c r="AI138" i="4"/>
  <c r="W138" i="4"/>
  <c r="X138" i="4"/>
  <c r="V138" i="4"/>
  <c r="M141" i="3"/>
  <c r="P141" i="3"/>
  <c r="G141" i="3"/>
  <c r="N141" i="3"/>
  <c r="L141" i="3"/>
  <c r="I141" i="3"/>
  <c r="Q141" i="3"/>
  <c r="O141" i="3"/>
  <c r="H141" i="3"/>
  <c r="K141" i="3"/>
  <c r="J141" i="3"/>
  <c r="F141" i="3"/>
  <c r="B142" i="3"/>
  <c r="P141" i="2"/>
  <c r="H141" i="2"/>
  <c r="L141" i="2"/>
  <c r="B142" i="2"/>
  <c r="K141" i="2"/>
  <c r="N141" i="2"/>
  <c r="M141" i="2"/>
  <c r="O141" i="2"/>
  <c r="I141" i="2"/>
  <c r="Q141" i="2"/>
  <c r="J141" i="2"/>
  <c r="G141" i="2"/>
  <c r="F141" i="2"/>
  <c r="AD140" i="11" l="1"/>
  <c r="AJ142" i="11"/>
  <c r="AH142" i="11"/>
  <c r="AI142" i="11"/>
  <c r="B140" i="4"/>
  <c r="T140" i="4" s="1"/>
  <c r="U139" i="4"/>
  <c r="AC139" i="4"/>
  <c r="V139" i="4"/>
  <c r="AE139" i="4"/>
  <c r="X139" i="4"/>
  <c r="AG139" i="4"/>
  <c r="W139" i="4"/>
  <c r="AI139" i="4"/>
  <c r="AB139" i="4"/>
  <c r="AD139" i="4"/>
  <c r="Z139" i="4"/>
  <c r="AA139" i="4"/>
  <c r="AF139" i="4"/>
  <c r="Y139" i="4"/>
  <c r="AH139" i="4"/>
  <c r="B143" i="3"/>
  <c r="L142" i="3"/>
  <c r="P142" i="3"/>
  <c r="G142" i="3"/>
  <c r="Q142" i="3"/>
  <c r="F142" i="3"/>
  <c r="O142" i="3"/>
  <c r="K142" i="3"/>
  <c r="M142" i="3"/>
  <c r="J142" i="3"/>
  <c r="N142" i="3"/>
  <c r="H142" i="3"/>
  <c r="I142" i="3"/>
  <c r="O142" i="2"/>
  <c r="G142" i="2"/>
  <c r="M142" i="2"/>
  <c r="L142" i="2"/>
  <c r="H142" i="2"/>
  <c r="F142" i="2"/>
  <c r="Q142" i="2"/>
  <c r="P142" i="2"/>
  <c r="B143" i="2"/>
  <c r="K142" i="2"/>
  <c r="N142" i="2"/>
  <c r="J142" i="2"/>
  <c r="I142" i="2"/>
  <c r="AD141" i="11" l="1"/>
  <c r="AH143" i="11"/>
  <c r="AJ143" i="11"/>
  <c r="AI143" i="11"/>
  <c r="B141" i="4"/>
  <c r="T141" i="4" s="1"/>
  <c r="V140" i="4"/>
  <c r="AD140" i="4"/>
  <c r="Y140" i="4"/>
  <c r="AH140" i="4"/>
  <c r="AA140" i="4"/>
  <c r="AF140" i="4"/>
  <c r="AE140" i="4"/>
  <c r="AB140" i="4"/>
  <c r="AC140" i="4"/>
  <c r="X140" i="4"/>
  <c r="Z140" i="4"/>
  <c r="U140" i="4"/>
  <c r="W140" i="4"/>
  <c r="AG140" i="4"/>
  <c r="AI140" i="4"/>
  <c r="K143" i="3"/>
  <c r="Q143" i="3"/>
  <c r="H143" i="3"/>
  <c r="J143" i="3"/>
  <c r="B144" i="3"/>
  <c r="I143" i="3"/>
  <c r="O143" i="3"/>
  <c r="M143" i="3"/>
  <c r="L143" i="3"/>
  <c r="G143" i="3"/>
  <c r="F143" i="3"/>
  <c r="N143" i="3"/>
  <c r="P143" i="3"/>
  <c r="N143" i="2"/>
  <c r="F143" i="2"/>
  <c r="O143" i="2"/>
  <c r="M143" i="2"/>
  <c r="K143" i="2"/>
  <c r="J143" i="2"/>
  <c r="P143" i="2"/>
  <c r="L143" i="2"/>
  <c r="Q143" i="2"/>
  <c r="H143" i="2"/>
  <c r="G143" i="2"/>
  <c r="B144" i="2"/>
  <c r="I143" i="2"/>
  <c r="AD142" i="11" l="1"/>
  <c r="AI144" i="11"/>
  <c r="AJ144" i="11"/>
  <c r="AH144" i="11"/>
  <c r="B142" i="4"/>
  <c r="T142" i="4" s="1"/>
  <c r="W141" i="4"/>
  <c r="AE141" i="4"/>
  <c r="AB141" i="4"/>
  <c r="U141" i="4"/>
  <c r="AD141" i="4"/>
  <c r="AC141" i="4"/>
  <c r="Z141" i="4"/>
  <c r="AA141" i="4"/>
  <c r="AF141" i="4"/>
  <c r="X141" i="4"/>
  <c r="Y141" i="4"/>
  <c r="AH141" i="4"/>
  <c r="AI141" i="4"/>
  <c r="V141" i="4"/>
  <c r="AG141" i="4"/>
  <c r="J144" i="3"/>
  <c r="I144" i="3"/>
  <c r="N144" i="3"/>
  <c r="M144" i="3"/>
  <c r="B145" i="3"/>
  <c r="H144" i="3"/>
  <c r="K144" i="3"/>
  <c r="G144" i="3"/>
  <c r="Q144" i="3"/>
  <c r="O144" i="3"/>
  <c r="L144" i="3"/>
  <c r="F144" i="3"/>
  <c r="P144" i="3"/>
  <c r="M144" i="2"/>
  <c r="P144" i="2"/>
  <c r="G144" i="2"/>
  <c r="O144" i="2"/>
  <c r="F144" i="2"/>
  <c r="H144" i="2"/>
  <c r="K144" i="2"/>
  <c r="J144" i="2"/>
  <c r="Q144" i="2"/>
  <c r="B145" i="2"/>
  <c r="N144" i="2"/>
  <c r="L144" i="2"/>
  <c r="I144" i="2"/>
  <c r="AD143" i="11" l="1"/>
  <c r="AJ145" i="11"/>
  <c r="AH145" i="11"/>
  <c r="AI145" i="11"/>
  <c r="B143" i="4"/>
  <c r="T143" i="4" s="1"/>
  <c r="X142" i="4"/>
  <c r="AF142" i="4"/>
  <c r="V142" i="4"/>
  <c r="AE142" i="4"/>
  <c r="Y142" i="4"/>
  <c r="AH142" i="4"/>
  <c r="AA142" i="4"/>
  <c r="Z142" i="4"/>
  <c r="AB142" i="4"/>
  <c r="U142" i="4"/>
  <c r="W142" i="4"/>
  <c r="AC142" i="4"/>
  <c r="AI142" i="4"/>
  <c r="AD142" i="4"/>
  <c r="AG142" i="4"/>
  <c r="Q145" i="3"/>
  <c r="I145" i="3"/>
  <c r="B146" i="3"/>
  <c r="K145" i="3"/>
  <c r="G145" i="3"/>
  <c r="P145" i="3"/>
  <c r="F145" i="3"/>
  <c r="M145" i="3"/>
  <c r="J145" i="3"/>
  <c r="H145" i="3"/>
  <c r="L145" i="3"/>
  <c r="O145" i="3"/>
  <c r="N145" i="3"/>
  <c r="B146" i="2"/>
  <c r="L145" i="2"/>
  <c r="P145" i="2"/>
  <c r="G145" i="2"/>
  <c r="O145" i="2"/>
  <c r="F145" i="2"/>
  <c r="M145" i="2"/>
  <c r="K145" i="2"/>
  <c r="I145" i="2"/>
  <c r="H145" i="2"/>
  <c r="J145" i="2"/>
  <c r="Q145" i="2"/>
  <c r="N145" i="2"/>
  <c r="AD144" i="11" l="1"/>
  <c r="AI146" i="11"/>
  <c r="AH146" i="11"/>
  <c r="AJ146" i="11"/>
  <c r="B144" i="4"/>
  <c r="T144" i="4" s="1"/>
  <c r="Y143" i="4"/>
  <c r="AG143" i="4"/>
  <c r="Z143" i="4"/>
  <c r="AI143" i="4"/>
  <c r="AB143" i="4"/>
  <c r="W143" i="4"/>
  <c r="V143" i="4"/>
  <c r="X143" i="4"/>
  <c r="AA143" i="4"/>
  <c r="AC143" i="4"/>
  <c r="U143" i="4"/>
  <c r="AH143" i="4"/>
  <c r="AE143" i="4"/>
  <c r="AF143" i="4"/>
  <c r="AD143" i="4"/>
  <c r="P146" i="3"/>
  <c r="H146" i="3"/>
  <c r="L146" i="3"/>
  <c r="K146" i="3"/>
  <c r="B147" i="3"/>
  <c r="J146" i="3"/>
  <c r="Q146" i="3"/>
  <c r="F146" i="3"/>
  <c r="I146" i="3"/>
  <c r="G146" i="3"/>
  <c r="O146" i="3"/>
  <c r="N146" i="3"/>
  <c r="M146" i="3"/>
  <c r="K146" i="2"/>
  <c r="Q146" i="2"/>
  <c r="H146" i="2"/>
  <c r="P146" i="2"/>
  <c r="G146" i="2"/>
  <c r="I146" i="2"/>
  <c r="B147" i="2"/>
  <c r="F146" i="2"/>
  <c r="J146" i="2"/>
  <c r="N146" i="2"/>
  <c r="M146" i="2"/>
  <c r="L146" i="2"/>
  <c r="O146" i="2"/>
  <c r="AD145" i="11" l="1"/>
  <c r="AH147" i="11"/>
  <c r="AI147" i="11"/>
  <c r="AJ147" i="11"/>
  <c r="B145" i="4"/>
  <c r="T145" i="4" s="1"/>
  <c r="Z144" i="4"/>
  <c r="AH144" i="4"/>
  <c r="AC144" i="4"/>
  <c r="V144" i="4"/>
  <c r="AE144" i="4"/>
  <c r="U144" i="4"/>
  <c r="AG144" i="4"/>
  <c r="X144" i="4"/>
  <c r="Y144" i="4"/>
  <c r="AI144" i="4"/>
  <c r="W144" i="4"/>
  <c r="AA144" i="4"/>
  <c r="AB144" i="4"/>
  <c r="AF144" i="4"/>
  <c r="AD144" i="4"/>
  <c r="O147" i="3"/>
  <c r="G147" i="3"/>
  <c r="M147" i="3"/>
  <c r="N147" i="3"/>
  <c r="L147" i="3"/>
  <c r="I147" i="3"/>
  <c r="F147" i="3"/>
  <c r="B148" i="3"/>
  <c r="P147" i="3"/>
  <c r="J147" i="3"/>
  <c r="H147" i="3"/>
  <c r="Q147" i="3"/>
  <c r="K147" i="3"/>
  <c r="J147" i="2"/>
  <c r="I147" i="2"/>
  <c r="Q147" i="2"/>
  <c r="H147" i="2"/>
  <c r="O147" i="2"/>
  <c r="N147" i="2"/>
  <c r="F147" i="2"/>
  <c r="B148" i="2"/>
  <c r="M147" i="2"/>
  <c r="P147" i="2"/>
  <c r="K147" i="2"/>
  <c r="L147" i="2"/>
  <c r="G147" i="2"/>
  <c r="AD146" i="11" l="1"/>
  <c r="AI148" i="11"/>
  <c r="AJ148" i="11"/>
  <c r="AH148" i="11"/>
  <c r="B146" i="4"/>
  <c r="T146" i="4" s="1"/>
  <c r="AA145" i="4"/>
  <c r="AI145" i="4"/>
  <c r="W145" i="4"/>
  <c r="AF145" i="4"/>
  <c r="Y145" i="4"/>
  <c r="AH145" i="4"/>
  <c r="AD145" i="4"/>
  <c r="V145" i="4"/>
  <c r="X145" i="4"/>
  <c r="Z145" i="4"/>
  <c r="AG145" i="4"/>
  <c r="U145" i="4"/>
  <c r="AB145" i="4"/>
  <c r="AC145" i="4"/>
  <c r="AE145" i="4"/>
  <c r="N148" i="3"/>
  <c r="F148" i="3"/>
  <c r="F155" i="3" s="1"/>
  <c r="O148" i="3"/>
  <c r="H148" i="3"/>
  <c r="Q148" i="3"/>
  <c r="G148" i="3"/>
  <c r="L148" i="3"/>
  <c r="B149" i="3"/>
  <c r="M148" i="3"/>
  <c r="P148" i="3"/>
  <c r="K148" i="3"/>
  <c r="J148" i="3"/>
  <c r="I148" i="3"/>
  <c r="Q148" i="2"/>
  <c r="I148" i="2"/>
  <c r="K148" i="2"/>
  <c r="B149" i="2"/>
  <c r="J148" i="2"/>
  <c r="L148" i="2"/>
  <c r="H148" i="2"/>
  <c r="P148" i="2"/>
  <c r="O148" i="2"/>
  <c r="N148" i="2"/>
  <c r="G148" i="2"/>
  <c r="F148" i="2"/>
  <c r="M148" i="2"/>
  <c r="AD147" i="11" l="1"/>
  <c r="AH149" i="11"/>
  <c r="AI149" i="11"/>
  <c r="AJ149" i="11"/>
  <c r="B147" i="4"/>
  <c r="T147" i="4" s="1"/>
  <c r="AB146" i="4"/>
  <c r="Z146" i="4"/>
  <c r="AI146" i="4"/>
  <c r="AC146" i="4"/>
  <c r="AA146" i="4"/>
  <c r="V146" i="4"/>
  <c r="AH146" i="4"/>
  <c r="W146" i="4"/>
  <c r="AF146" i="4"/>
  <c r="U146" i="4"/>
  <c r="AG146" i="4"/>
  <c r="X146" i="4"/>
  <c r="Y146" i="4"/>
  <c r="AD146" i="4"/>
  <c r="AE146" i="4"/>
  <c r="B150" i="3"/>
  <c r="Q149" i="2"/>
  <c r="I149" i="2"/>
  <c r="P149" i="2"/>
  <c r="H149" i="2"/>
  <c r="N149" i="2"/>
  <c r="M149" i="2"/>
  <c r="B150" i="2"/>
  <c r="F149" i="2"/>
  <c r="O149" i="2"/>
  <c r="K149" i="2"/>
  <c r="J149" i="2"/>
  <c r="G149" i="2"/>
  <c r="L149" i="2"/>
  <c r="AD148" i="11" l="1"/>
  <c r="AH150" i="11"/>
  <c r="AI150" i="11"/>
  <c r="AJ150" i="11"/>
  <c r="B148" i="4"/>
  <c r="T148" i="4" s="1"/>
  <c r="U147" i="4"/>
  <c r="AC147" i="4"/>
  <c r="AD147" i="4"/>
  <c r="W147" i="4"/>
  <c r="AF147" i="4"/>
  <c r="Y147" i="4"/>
  <c r="AH147" i="4"/>
  <c r="V147" i="4"/>
  <c r="AI147" i="4"/>
  <c r="X147" i="4"/>
  <c r="AE147" i="4"/>
  <c r="AG147" i="4"/>
  <c r="Z147" i="4"/>
  <c r="AA147" i="4"/>
  <c r="AB147" i="4"/>
  <c r="B151" i="3"/>
  <c r="P150" i="2"/>
  <c r="H150" i="2"/>
  <c r="O150" i="2"/>
  <c r="G150" i="2"/>
  <c r="I150" i="2"/>
  <c r="F150" i="2"/>
  <c r="Q150" i="2"/>
  <c r="N150" i="2"/>
  <c r="B151" i="2"/>
  <c r="K150" i="2"/>
  <c r="L150" i="2"/>
  <c r="M150" i="2"/>
  <c r="J150" i="2"/>
  <c r="AD149" i="11" l="1"/>
  <c r="AH151" i="11"/>
  <c r="AJ151" i="11"/>
  <c r="AI151" i="11"/>
  <c r="B149" i="4"/>
  <c r="T149" i="4" s="1"/>
  <c r="V148" i="4"/>
  <c r="AD148" i="4"/>
  <c r="X148" i="4"/>
  <c r="AG148" i="4"/>
  <c r="Z148" i="4"/>
  <c r="AI148" i="4"/>
  <c r="U148" i="4"/>
  <c r="AH148" i="4"/>
  <c r="AE148" i="4"/>
  <c r="AF148" i="4"/>
  <c r="AC148" i="4"/>
  <c r="W148" i="4"/>
  <c r="AB148" i="4"/>
  <c r="Y148" i="4"/>
  <c r="AA148" i="4"/>
  <c r="B152" i="3"/>
  <c r="O151" i="2"/>
  <c r="G151" i="2"/>
  <c r="N151" i="2"/>
  <c r="F151" i="2"/>
  <c r="L151" i="2"/>
  <c r="K151" i="2"/>
  <c r="P151" i="2"/>
  <c r="M151" i="2"/>
  <c r="B152" i="2"/>
  <c r="I151" i="2"/>
  <c r="J151" i="2"/>
  <c r="Q151" i="2"/>
  <c r="H151" i="2"/>
  <c r="AD150" i="11" l="1"/>
  <c r="AJ152" i="11"/>
  <c r="AI152" i="11"/>
  <c r="AH152" i="11"/>
  <c r="B150" i="4"/>
  <c r="T150" i="4" s="1"/>
  <c r="W149" i="4"/>
  <c r="AE149" i="4"/>
  <c r="AA149" i="4"/>
  <c r="AC149" i="4"/>
  <c r="AF149" i="4"/>
  <c r="AG149" i="4"/>
  <c r="AH149" i="4"/>
  <c r="V149" i="4"/>
  <c r="AB149" i="4"/>
  <c r="AD149" i="4"/>
  <c r="U149" i="4"/>
  <c r="AI149" i="4"/>
  <c r="X149" i="4"/>
  <c r="Y149" i="4"/>
  <c r="Z149" i="4"/>
  <c r="B153" i="3"/>
  <c r="N152" i="2"/>
  <c r="F152" i="2"/>
  <c r="M152" i="2"/>
  <c r="Q152" i="2"/>
  <c r="G152" i="2"/>
  <c r="P152" i="2"/>
  <c r="J152" i="2"/>
  <c r="I152" i="2"/>
  <c r="B153" i="2"/>
  <c r="O152" i="2"/>
  <c r="L152" i="2"/>
  <c r="K152" i="2"/>
  <c r="H152" i="2"/>
  <c r="AD151" i="11" l="1"/>
  <c r="AJ153" i="11"/>
  <c r="AH153" i="11"/>
  <c r="AI153" i="11"/>
  <c r="B151" i="4"/>
  <c r="T151" i="4" s="1"/>
  <c r="X150" i="4"/>
  <c r="U150" i="4"/>
  <c r="AD150" i="4"/>
  <c r="W150" i="4"/>
  <c r="AF150" i="4"/>
  <c r="AB150" i="4"/>
  <c r="AE150" i="4"/>
  <c r="AG150" i="4"/>
  <c r="AH150" i="4"/>
  <c r="AA150" i="4"/>
  <c r="AC150" i="4"/>
  <c r="AI150" i="4"/>
  <c r="V150" i="4"/>
  <c r="Y150" i="4"/>
  <c r="Z150" i="4"/>
  <c r="B154" i="3"/>
  <c r="M153" i="2"/>
  <c r="B154" i="2"/>
  <c r="L153" i="2"/>
  <c r="H153" i="2"/>
  <c r="Q153" i="2"/>
  <c r="G153" i="2"/>
  <c r="P153" i="2"/>
  <c r="O153" i="2"/>
  <c r="N153" i="2"/>
  <c r="F153" i="2"/>
  <c r="K153" i="2"/>
  <c r="J153" i="2"/>
  <c r="I153" i="2"/>
  <c r="AD152" i="11" l="1"/>
  <c r="AH154" i="11"/>
  <c r="AI154" i="11"/>
  <c r="AJ154" i="11"/>
  <c r="B152" i="4"/>
  <c r="T152" i="4" s="1"/>
  <c r="W151" i="4"/>
  <c r="AE151" i="4"/>
  <c r="Y151" i="4"/>
  <c r="AG151" i="4"/>
  <c r="X151" i="4"/>
  <c r="AC151" i="4"/>
  <c r="AB151" i="4"/>
  <c r="Z151" i="4"/>
  <c r="AA151" i="4"/>
  <c r="AD151" i="4"/>
  <c r="AH151" i="4"/>
  <c r="U151" i="4"/>
  <c r="V151" i="4"/>
  <c r="AF151" i="4"/>
  <c r="AI151" i="4"/>
  <c r="B155" i="2"/>
  <c r="L154" i="2"/>
  <c r="K154" i="2"/>
  <c r="J154" i="2"/>
  <c r="I154" i="2"/>
  <c r="O154" i="2"/>
  <c r="N154" i="2"/>
  <c r="Q154" i="2"/>
  <c r="P154" i="2"/>
  <c r="H154" i="2"/>
  <c r="F154" i="2"/>
  <c r="M154" i="2"/>
  <c r="G154" i="2"/>
  <c r="AD153" i="11" l="1"/>
  <c r="AD154" i="11" s="1"/>
  <c r="AD155" i="11" s="1"/>
  <c r="AH155" i="11"/>
  <c r="AI155" i="11"/>
  <c r="AJ155" i="11"/>
  <c r="B153" i="4"/>
  <c r="T153" i="4" s="1"/>
  <c r="X152" i="4"/>
  <c r="AF152" i="4"/>
  <c r="Z152" i="4"/>
  <c r="AH152" i="4"/>
  <c r="AG152" i="4"/>
  <c r="W152" i="4"/>
  <c r="AI152" i="4"/>
  <c r="Y152" i="4"/>
  <c r="AA152" i="4"/>
  <c r="U152" i="4"/>
  <c r="AE152" i="4"/>
  <c r="V152" i="4"/>
  <c r="AC152" i="4"/>
  <c r="AD152" i="4"/>
  <c r="AB152" i="4"/>
  <c r="K155" i="2"/>
  <c r="J155" i="2"/>
  <c r="O155" i="2"/>
  <c r="N155" i="2"/>
  <c r="H155" i="2"/>
  <c r="G155" i="2"/>
  <c r="Q155" i="2"/>
  <c r="P155" i="2"/>
  <c r="M155" i="2"/>
  <c r="F155" i="2"/>
  <c r="B156" i="2"/>
  <c r="L155" i="2"/>
  <c r="I155" i="2"/>
  <c r="B154" i="4" l="1"/>
  <c r="T154" i="4" s="1"/>
  <c r="Y153" i="4"/>
  <c r="AG153" i="4"/>
  <c r="AA153" i="4"/>
  <c r="AI153" i="4"/>
  <c r="AD153" i="4"/>
  <c r="AE153" i="4"/>
  <c r="AF153" i="4"/>
  <c r="AB153" i="4"/>
  <c r="AC153" i="4"/>
  <c r="U153" i="4"/>
  <c r="V153" i="4"/>
  <c r="W153" i="4"/>
  <c r="X153" i="4"/>
  <c r="Z153" i="4"/>
  <c r="AH153" i="4"/>
  <c r="J156" i="2"/>
  <c r="Q156" i="2"/>
  <c r="I156" i="2"/>
  <c r="B157" i="2"/>
  <c r="H156" i="2"/>
  <c r="G156" i="2"/>
  <c r="P156" i="2"/>
  <c r="N156" i="2"/>
  <c r="M156" i="2"/>
  <c r="L156" i="2"/>
  <c r="O156" i="2"/>
  <c r="K156" i="2"/>
  <c r="F156" i="2"/>
  <c r="Z154" i="4" l="1"/>
  <c r="AH154" i="4"/>
  <c r="AB154" i="4"/>
  <c r="Y154" i="4"/>
  <c r="W154" i="4"/>
  <c r="AG154" i="4"/>
  <c r="X154" i="4"/>
  <c r="AI154" i="4"/>
  <c r="AA154" i="4"/>
  <c r="AC154" i="4"/>
  <c r="AF154" i="4"/>
  <c r="U154" i="4"/>
  <c r="V154" i="4"/>
  <c r="AD154" i="4"/>
  <c r="AE154" i="4"/>
  <c r="Q157" i="2"/>
  <c r="I157" i="2"/>
  <c r="P157" i="2"/>
  <c r="H157" i="2"/>
  <c r="M157" i="2"/>
  <c r="L157" i="2"/>
  <c r="O157" i="2"/>
  <c r="N157" i="2"/>
  <c r="K157" i="2"/>
  <c r="J157" i="2"/>
  <c r="B158" i="2"/>
  <c r="G157" i="2"/>
  <c r="F157" i="2"/>
  <c r="P158" i="2" l="1"/>
  <c r="H158" i="2"/>
  <c r="O158" i="2"/>
  <c r="G158" i="2"/>
  <c r="F158" i="2"/>
  <c r="Q158" i="2"/>
  <c r="M158" i="2"/>
  <c r="L158" i="2"/>
  <c r="N158" i="2"/>
  <c r="K158" i="2"/>
  <c r="I158" i="2"/>
  <c r="B159" i="2"/>
  <c r="J158" i="2"/>
  <c r="O159" i="2" l="1"/>
  <c r="G159" i="2"/>
  <c r="N159" i="2"/>
  <c r="F159" i="2"/>
  <c r="K159" i="2"/>
  <c r="B160" i="2"/>
  <c r="J159" i="2"/>
  <c r="L159" i="2"/>
  <c r="I159" i="2"/>
  <c r="Q159" i="2"/>
  <c r="P159" i="2"/>
  <c r="H159" i="2"/>
  <c r="M159" i="2"/>
  <c r="N160" i="2" l="1"/>
  <c r="F160" i="2"/>
  <c r="M160" i="2"/>
  <c r="P160" i="2"/>
  <c r="O160" i="2"/>
  <c r="B161" i="2"/>
  <c r="H160" i="2"/>
  <c r="G160" i="2"/>
  <c r="Q160" i="2"/>
  <c r="L160" i="2"/>
  <c r="K160" i="2"/>
  <c r="I160" i="2"/>
  <c r="J160" i="2"/>
  <c r="L155" i="3" l="1"/>
  <c r="Q155" i="3"/>
  <c r="I155" i="3"/>
  <c r="O155" i="3"/>
  <c r="K155" i="3"/>
  <c r="M155" i="3"/>
  <c r="J155" i="3"/>
  <c r="G155" i="3"/>
  <c r="N155" i="3"/>
  <c r="H155" i="3"/>
  <c r="P155" i="3"/>
  <c r="M161" i="2"/>
  <c r="M168" i="2" s="1"/>
  <c r="B162" i="2"/>
  <c r="B163" i="2" s="1"/>
  <c r="B164" i="2" s="1"/>
  <c r="B165" i="2" s="1"/>
  <c r="B166" i="2" s="1"/>
  <c r="B167" i="2" s="1"/>
  <c r="L161" i="2"/>
  <c r="L168" i="2" s="1"/>
  <c r="Q161" i="2"/>
  <c r="Q168" i="2" s="1"/>
  <c r="G161" i="2"/>
  <c r="G168" i="2" s="1"/>
  <c r="P161" i="2"/>
  <c r="P168" i="2" s="1"/>
  <c r="F161" i="2"/>
  <c r="F168" i="2" s="1"/>
  <c r="O161" i="2"/>
  <c r="O168" i="2" s="1"/>
  <c r="N161" i="2"/>
  <c r="N168" i="2" s="1"/>
  <c r="K161" i="2"/>
  <c r="K168" i="2" s="1"/>
  <c r="J161" i="2"/>
  <c r="J168" i="2" s="1"/>
  <c r="I161" i="2"/>
  <c r="I168" i="2" s="1"/>
  <c r="H161" i="2"/>
  <c r="H168" i="2" s="1"/>
  <c r="F169" i="2" l="1"/>
  <c r="R2" i="2" s="1"/>
  <c r="S2" i="2" s="1"/>
  <c r="O169" i="2"/>
  <c r="R11" i="2" s="1"/>
  <c r="S11" i="2" s="1"/>
  <c r="F156" i="3"/>
  <c r="R3" i="3" s="1"/>
  <c r="R15" i="3" s="1"/>
  <c r="R27" i="3" s="1"/>
  <c r="R39" i="3" s="1"/>
  <c r="R51" i="3" s="1"/>
  <c r="R63" i="3" s="1"/>
  <c r="R75" i="3" s="1"/>
  <c r="R87" i="3" s="1"/>
  <c r="R99" i="3" s="1"/>
  <c r="R111" i="3" s="1"/>
  <c r="R123" i="3" s="1"/>
  <c r="R135" i="3" s="1"/>
  <c r="R147" i="3" s="1"/>
  <c r="J156" i="3"/>
  <c r="R7" i="3" s="1"/>
  <c r="R19" i="3" s="1"/>
  <c r="R31" i="3" s="1"/>
  <c r="R43" i="3" s="1"/>
  <c r="R55" i="3" s="1"/>
  <c r="R67" i="3" s="1"/>
  <c r="R79" i="3" s="1"/>
  <c r="R91" i="3" s="1"/>
  <c r="R103" i="3" s="1"/>
  <c r="R115" i="3" s="1"/>
  <c r="R127" i="3" s="1"/>
  <c r="R139" i="3" s="1"/>
  <c r="R151" i="3" s="1"/>
  <c r="P156" i="3"/>
  <c r="R13" i="3" s="1"/>
  <c r="R25" i="3" s="1"/>
  <c r="R37" i="3" s="1"/>
  <c r="R49" i="3" s="1"/>
  <c r="R61" i="3" s="1"/>
  <c r="R73" i="3" s="1"/>
  <c r="R85" i="3" s="1"/>
  <c r="R97" i="3" s="1"/>
  <c r="R109" i="3" s="1"/>
  <c r="R121" i="3" s="1"/>
  <c r="R133" i="3" s="1"/>
  <c r="R145" i="3" s="1"/>
  <c r="H156" i="3"/>
  <c r="R5" i="3" s="1"/>
  <c r="R17" i="3" s="1"/>
  <c r="R29" i="3" s="1"/>
  <c r="R41" i="3" s="1"/>
  <c r="R53" i="3" s="1"/>
  <c r="R65" i="3" s="1"/>
  <c r="R77" i="3" s="1"/>
  <c r="R89" i="3" s="1"/>
  <c r="R101" i="3" s="1"/>
  <c r="R113" i="3" s="1"/>
  <c r="R125" i="3" s="1"/>
  <c r="R137" i="3" s="1"/>
  <c r="R149" i="3" s="1"/>
  <c r="I156" i="3"/>
  <c r="R6" i="3" s="1"/>
  <c r="R18" i="3" s="1"/>
  <c r="R30" i="3" s="1"/>
  <c r="R42" i="3" s="1"/>
  <c r="R54" i="3" s="1"/>
  <c r="R66" i="3" s="1"/>
  <c r="R78" i="3" s="1"/>
  <c r="R90" i="3" s="1"/>
  <c r="R102" i="3" s="1"/>
  <c r="R114" i="3" s="1"/>
  <c r="R126" i="3" s="1"/>
  <c r="R138" i="3" s="1"/>
  <c r="R150" i="3" s="1"/>
  <c r="K156" i="3"/>
  <c r="R8" i="3" s="1"/>
  <c r="R20" i="3" s="1"/>
  <c r="R32" i="3" s="1"/>
  <c r="R44" i="3" s="1"/>
  <c r="R56" i="3" s="1"/>
  <c r="R68" i="3" s="1"/>
  <c r="R80" i="3" s="1"/>
  <c r="R92" i="3" s="1"/>
  <c r="R104" i="3" s="1"/>
  <c r="R116" i="3" s="1"/>
  <c r="R128" i="3" s="1"/>
  <c r="R140" i="3" s="1"/>
  <c r="R152" i="3" s="1"/>
  <c r="N156" i="3"/>
  <c r="R11" i="3" s="1"/>
  <c r="R23" i="3" s="1"/>
  <c r="R35" i="3" s="1"/>
  <c r="R47" i="3" s="1"/>
  <c r="R59" i="3" s="1"/>
  <c r="R71" i="3" s="1"/>
  <c r="R83" i="3" s="1"/>
  <c r="R95" i="3" s="1"/>
  <c r="R107" i="3" s="1"/>
  <c r="R119" i="3" s="1"/>
  <c r="R131" i="3" s="1"/>
  <c r="R143" i="3" s="1"/>
  <c r="G156" i="3"/>
  <c r="R4" i="3" s="1"/>
  <c r="R16" i="3" s="1"/>
  <c r="R28" i="3" s="1"/>
  <c r="R40" i="3" s="1"/>
  <c r="R52" i="3" s="1"/>
  <c r="R64" i="3" s="1"/>
  <c r="R76" i="3" s="1"/>
  <c r="R88" i="3" s="1"/>
  <c r="R100" i="3" s="1"/>
  <c r="R112" i="3" s="1"/>
  <c r="R124" i="3" s="1"/>
  <c r="R136" i="3" s="1"/>
  <c r="R148" i="3" s="1"/>
  <c r="L156" i="3"/>
  <c r="R9" i="3" s="1"/>
  <c r="R21" i="3" s="1"/>
  <c r="R33" i="3" s="1"/>
  <c r="R45" i="3" s="1"/>
  <c r="R57" i="3" s="1"/>
  <c r="R69" i="3" s="1"/>
  <c r="R81" i="3" s="1"/>
  <c r="R93" i="3" s="1"/>
  <c r="R105" i="3" s="1"/>
  <c r="R117" i="3" s="1"/>
  <c r="R129" i="3" s="1"/>
  <c r="R141" i="3" s="1"/>
  <c r="R153" i="3" s="1"/>
  <c r="M156" i="3"/>
  <c r="R10" i="3" s="1"/>
  <c r="R22" i="3" s="1"/>
  <c r="R34" i="3" s="1"/>
  <c r="R46" i="3" s="1"/>
  <c r="R58" i="3" s="1"/>
  <c r="R70" i="3" s="1"/>
  <c r="R82" i="3" s="1"/>
  <c r="R94" i="3" s="1"/>
  <c r="R106" i="3" s="1"/>
  <c r="R118" i="3" s="1"/>
  <c r="R130" i="3" s="1"/>
  <c r="R142" i="3" s="1"/>
  <c r="R154" i="3" s="1"/>
  <c r="O156" i="3"/>
  <c r="R12" i="3" s="1"/>
  <c r="R24" i="3" s="1"/>
  <c r="R36" i="3" s="1"/>
  <c r="R48" i="3" s="1"/>
  <c r="R60" i="3" s="1"/>
  <c r="R72" i="3" s="1"/>
  <c r="R84" i="3" s="1"/>
  <c r="R96" i="3" s="1"/>
  <c r="R108" i="3" s="1"/>
  <c r="R120" i="3" s="1"/>
  <c r="R132" i="3" s="1"/>
  <c r="R144" i="3" s="1"/>
  <c r="Q156" i="3"/>
  <c r="R2" i="3" s="1"/>
  <c r="H169" i="2"/>
  <c r="R4" i="2" s="1"/>
  <c r="I169" i="2"/>
  <c r="R5" i="2" s="1"/>
  <c r="Q169" i="2"/>
  <c r="R13" i="2" s="1"/>
  <c r="P169" i="2"/>
  <c r="R12" i="2" s="1"/>
  <c r="J169" i="2"/>
  <c r="R6" i="2" s="1"/>
  <c r="L169" i="2"/>
  <c r="R8" i="2" s="1"/>
  <c r="K169" i="2"/>
  <c r="R7" i="2" s="1"/>
  <c r="G169" i="2"/>
  <c r="R3" i="2" s="1"/>
  <c r="N169" i="2"/>
  <c r="R10" i="2" s="1"/>
  <c r="M169" i="2"/>
  <c r="R9" i="2" s="1"/>
  <c r="R14" i="2" l="1"/>
  <c r="R26" i="2" s="1"/>
  <c r="R23" i="2"/>
  <c r="R35" i="2" s="1"/>
  <c r="R14" i="3"/>
  <c r="R26" i="3" s="1"/>
  <c r="R38" i="3" s="1"/>
  <c r="R50" i="3" s="1"/>
  <c r="R62" i="3" s="1"/>
  <c r="R74" i="3" s="1"/>
  <c r="R86" i="3" s="1"/>
  <c r="R98" i="3" s="1"/>
  <c r="R110" i="3" s="1"/>
  <c r="R122" i="3" s="1"/>
  <c r="R134" i="3" s="1"/>
  <c r="R146" i="3" s="1"/>
  <c r="S2" i="3"/>
  <c r="S6" i="3"/>
  <c r="S3" i="3"/>
  <c r="S4" i="3"/>
  <c r="S7" i="3"/>
  <c r="S5" i="3"/>
  <c r="S11" i="3"/>
  <c r="S9" i="3"/>
  <c r="S10" i="3"/>
  <c r="S13" i="3"/>
  <c r="S12" i="3"/>
  <c r="S8" i="3"/>
  <c r="S18" i="3"/>
  <c r="S3" i="2"/>
  <c r="R15" i="2"/>
  <c r="R20" i="2"/>
  <c r="S8" i="2"/>
  <c r="S9" i="2"/>
  <c r="R21" i="2"/>
  <c r="S10" i="2"/>
  <c r="R22" i="2"/>
  <c r="R16" i="2"/>
  <c r="S4" i="2"/>
  <c r="R18" i="2"/>
  <c r="S6" i="2"/>
  <c r="R24" i="2"/>
  <c r="S12" i="2"/>
  <c r="R25" i="2"/>
  <c r="S13" i="2"/>
  <c r="R17" i="2"/>
  <c r="S5" i="2"/>
  <c r="R19" i="2"/>
  <c r="S7" i="2"/>
  <c r="S23" i="2" l="1"/>
  <c r="S14" i="2"/>
  <c r="S20" i="3"/>
  <c r="S19" i="3"/>
  <c r="S25" i="3"/>
  <c r="S15" i="3"/>
  <c r="S30" i="3"/>
  <c r="S17" i="3"/>
  <c r="S14" i="3"/>
  <c r="S22" i="3"/>
  <c r="S21" i="3"/>
  <c r="S24" i="3"/>
  <c r="S16" i="3"/>
  <c r="S23" i="3"/>
  <c r="S19" i="2"/>
  <c r="R31" i="2"/>
  <c r="S26" i="2"/>
  <c r="R38" i="2"/>
  <c r="R29" i="2"/>
  <c r="S17" i="2"/>
  <c r="R27" i="2"/>
  <c r="S15" i="2"/>
  <c r="R34" i="2"/>
  <c r="S22" i="2"/>
  <c r="R36" i="2"/>
  <c r="S24" i="2"/>
  <c r="R33" i="2"/>
  <c r="S21" i="2"/>
  <c r="S18" i="2"/>
  <c r="R30" i="2"/>
  <c r="S35" i="2"/>
  <c r="R47" i="2"/>
  <c r="R32" i="2"/>
  <c r="S20" i="2"/>
  <c r="R37" i="2"/>
  <c r="S25" i="2"/>
  <c r="R28" i="2"/>
  <c r="S16" i="2"/>
  <c r="S35" i="3" l="1"/>
  <c r="S34" i="3"/>
  <c r="S37" i="3"/>
  <c r="S26" i="3"/>
  <c r="S36" i="3"/>
  <c r="S29" i="3"/>
  <c r="S33" i="3"/>
  <c r="S27" i="3"/>
  <c r="S28" i="3"/>
  <c r="S31" i="3"/>
  <c r="S42" i="3"/>
  <c r="S32" i="3"/>
  <c r="S27" i="2"/>
  <c r="R39" i="2"/>
  <c r="R45" i="2"/>
  <c r="S33" i="2"/>
  <c r="S29" i="2"/>
  <c r="R41" i="2"/>
  <c r="S32" i="2"/>
  <c r="R44" i="2"/>
  <c r="S36" i="2"/>
  <c r="R48" i="2"/>
  <c r="R43" i="2"/>
  <c r="S31" i="2"/>
  <c r="S30" i="2"/>
  <c r="R42" i="2"/>
  <c r="S28" i="2"/>
  <c r="R40" i="2"/>
  <c r="S37" i="2"/>
  <c r="R49" i="2"/>
  <c r="S38" i="2"/>
  <c r="R50" i="2"/>
  <c r="R59" i="2"/>
  <c r="S47" i="2"/>
  <c r="R46" i="2"/>
  <c r="S34" i="2"/>
  <c r="S44" i="3" l="1"/>
  <c r="S39" i="3"/>
  <c r="S54" i="3"/>
  <c r="S49" i="3"/>
  <c r="S46" i="3"/>
  <c r="S41" i="3"/>
  <c r="S40" i="3"/>
  <c r="S38" i="3"/>
  <c r="S45" i="3"/>
  <c r="S43" i="3"/>
  <c r="S48" i="3"/>
  <c r="S47" i="3"/>
  <c r="S44" i="2"/>
  <c r="R56" i="2"/>
  <c r="R53" i="2"/>
  <c r="S41" i="2"/>
  <c r="S50" i="2"/>
  <c r="R62" i="2"/>
  <c r="S43" i="2"/>
  <c r="R55" i="2"/>
  <c r="R61" i="2"/>
  <c r="S49" i="2"/>
  <c r="R60" i="2"/>
  <c r="S48" i="2"/>
  <c r="R51" i="2"/>
  <c r="S39" i="2"/>
  <c r="R52" i="2"/>
  <c r="S40" i="2"/>
  <c r="R58" i="2"/>
  <c r="S46" i="2"/>
  <c r="S42" i="2"/>
  <c r="R54" i="2"/>
  <c r="S59" i="2"/>
  <c r="R71" i="2"/>
  <c r="S45" i="2"/>
  <c r="R57" i="2"/>
  <c r="S61" i="3" l="1"/>
  <c r="S60" i="3"/>
  <c r="S66" i="3"/>
  <c r="S53" i="3"/>
  <c r="S56" i="3"/>
  <c r="S59" i="3"/>
  <c r="S50" i="3"/>
  <c r="S52" i="3"/>
  <c r="S55" i="3"/>
  <c r="S51" i="3"/>
  <c r="S57" i="3"/>
  <c r="S58" i="3"/>
  <c r="S56" i="2"/>
  <c r="R68" i="2"/>
  <c r="R69" i="2"/>
  <c r="S57" i="2"/>
  <c r="R67" i="2"/>
  <c r="S55" i="2"/>
  <c r="S52" i="2"/>
  <c r="R64" i="2"/>
  <c r="R83" i="2"/>
  <c r="S71" i="2"/>
  <c r="R74" i="2"/>
  <c r="S62" i="2"/>
  <c r="S51" i="2"/>
  <c r="R63" i="2"/>
  <c r="S54" i="2"/>
  <c r="R66" i="2"/>
  <c r="S60" i="2"/>
  <c r="R72" i="2"/>
  <c r="R65" i="2"/>
  <c r="S53" i="2"/>
  <c r="S58" i="2"/>
  <c r="R70" i="2"/>
  <c r="S61" i="2"/>
  <c r="R73" i="2"/>
  <c r="S64" i="3" l="1"/>
  <c r="S65" i="3"/>
  <c r="S63" i="3"/>
  <c r="S72" i="3"/>
  <c r="S71" i="3"/>
  <c r="S73" i="3"/>
  <c r="S70" i="3"/>
  <c r="S62" i="3"/>
  <c r="S69" i="3"/>
  <c r="S78" i="3"/>
  <c r="S67" i="3"/>
  <c r="S68" i="3"/>
  <c r="R85" i="2"/>
  <c r="S73" i="2"/>
  <c r="R76" i="2"/>
  <c r="S64" i="2"/>
  <c r="R75" i="2"/>
  <c r="S63" i="2"/>
  <c r="S74" i="2"/>
  <c r="R86" i="2"/>
  <c r="R84" i="2"/>
  <c r="S72" i="2"/>
  <c r="S68" i="2"/>
  <c r="R80" i="2"/>
  <c r="S66" i="2"/>
  <c r="R78" i="2"/>
  <c r="R82" i="2"/>
  <c r="S70" i="2"/>
  <c r="R79" i="2"/>
  <c r="S67" i="2"/>
  <c r="R77" i="2"/>
  <c r="S65" i="2"/>
  <c r="R81" i="2"/>
  <c r="S69" i="2"/>
  <c r="R95" i="2"/>
  <c r="S83" i="2"/>
  <c r="S74" i="3" l="1"/>
  <c r="S80" i="3"/>
  <c r="S84" i="3"/>
  <c r="S79" i="3"/>
  <c r="S75" i="3"/>
  <c r="S85" i="3"/>
  <c r="S82" i="3"/>
  <c r="S90" i="3"/>
  <c r="S77" i="3"/>
  <c r="S81" i="3"/>
  <c r="S83" i="3"/>
  <c r="S76" i="3"/>
  <c r="R107" i="2"/>
  <c r="S95" i="2"/>
  <c r="S78" i="2"/>
  <c r="R90" i="2"/>
  <c r="R87" i="2"/>
  <c r="S75" i="2"/>
  <c r="R92" i="2"/>
  <c r="S80" i="2"/>
  <c r="S86" i="2"/>
  <c r="R98" i="2"/>
  <c r="R94" i="2"/>
  <c r="S82" i="2"/>
  <c r="R93" i="2"/>
  <c r="S81" i="2"/>
  <c r="S77" i="2"/>
  <c r="R89" i="2"/>
  <c r="S76" i="2"/>
  <c r="R88" i="2"/>
  <c r="S79" i="2"/>
  <c r="R91" i="2"/>
  <c r="S84" i="2"/>
  <c r="R96" i="2"/>
  <c r="R97" i="2"/>
  <c r="S85" i="2"/>
  <c r="S88" i="3" l="1"/>
  <c r="S91" i="3"/>
  <c r="S94" i="3"/>
  <c r="S95" i="3"/>
  <c r="S89" i="3"/>
  <c r="S86" i="3"/>
  <c r="S102" i="3"/>
  <c r="S96" i="3"/>
  <c r="S97" i="3"/>
  <c r="S93" i="3"/>
  <c r="S92" i="3"/>
  <c r="S87" i="3"/>
  <c r="R109" i="2"/>
  <c r="S97" i="2"/>
  <c r="R108" i="2"/>
  <c r="S96" i="2"/>
  <c r="S93" i="2"/>
  <c r="R105" i="2"/>
  <c r="S98" i="2"/>
  <c r="R110" i="2"/>
  <c r="R101" i="2"/>
  <c r="S89" i="2"/>
  <c r="R104" i="2"/>
  <c r="S92" i="2"/>
  <c r="R99" i="2"/>
  <c r="S87" i="2"/>
  <c r="R103" i="2"/>
  <c r="S91" i="2"/>
  <c r="S90" i="2"/>
  <c r="R102" i="2"/>
  <c r="S94" i="2"/>
  <c r="R106" i="2"/>
  <c r="R100" i="2"/>
  <c r="S88" i="2"/>
  <c r="R119" i="2"/>
  <c r="S107" i="2"/>
  <c r="S108" i="3" l="1"/>
  <c r="S106" i="3"/>
  <c r="S105" i="3"/>
  <c r="S103" i="3"/>
  <c r="S98" i="3"/>
  <c r="S109" i="3"/>
  <c r="S100" i="3"/>
  <c r="S99" i="3"/>
  <c r="S107" i="3"/>
  <c r="S104" i="3"/>
  <c r="S114" i="3"/>
  <c r="S101" i="3"/>
  <c r="R131" i="2"/>
  <c r="S119" i="2"/>
  <c r="S100" i="2"/>
  <c r="R112" i="2"/>
  <c r="R111" i="2"/>
  <c r="S99" i="2"/>
  <c r="R116" i="2"/>
  <c r="S104" i="2"/>
  <c r="S102" i="2"/>
  <c r="R114" i="2"/>
  <c r="S110" i="2"/>
  <c r="R122" i="2"/>
  <c r="R115" i="2"/>
  <c r="S103" i="2"/>
  <c r="R117" i="2"/>
  <c r="S105" i="2"/>
  <c r="S106" i="2"/>
  <c r="R118" i="2"/>
  <c r="R120" i="2"/>
  <c r="S108" i="2"/>
  <c r="S101" i="2"/>
  <c r="R113" i="2"/>
  <c r="S109" i="2"/>
  <c r="R121" i="2"/>
  <c r="S111" i="3" l="1"/>
  <c r="S126" i="3"/>
  <c r="S117" i="3"/>
  <c r="S112" i="3"/>
  <c r="S116" i="3"/>
  <c r="S118" i="3"/>
  <c r="S119" i="3"/>
  <c r="S110" i="3"/>
  <c r="S120" i="3"/>
  <c r="S113" i="3"/>
  <c r="S115" i="3"/>
  <c r="S121" i="3"/>
  <c r="R133" i="2"/>
  <c r="S121" i="2"/>
  <c r="S116" i="2"/>
  <c r="R128" i="2"/>
  <c r="R123" i="2"/>
  <c r="S111" i="2"/>
  <c r="S122" i="2"/>
  <c r="R134" i="2"/>
  <c r="S114" i="2"/>
  <c r="R126" i="2"/>
  <c r="S117" i="2"/>
  <c r="R129" i="2"/>
  <c r="R125" i="2"/>
  <c r="S113" i="2"/>
  <c r="S115" i="2"/>
  <c r="R127" i="2"/>
  <c r="S112" i="2"/>
  <c r="R124" i="2"/>
  <c r="S120" i="2"/>
  <c r="R132" i="2"/>
  <c r="S118" i="2"/>
  <c r="R130" i="2"/>
  <c r="S131" i="2"/>
  <c r="R143" i="2"/>
  <c r="S133" i="3" l="1"/>
  <c r="S124" i="3"/>
  <c r="S129" i="3"/>
  <c r="S130" i="3"/>
  <c r="S123" i="3"/>
  <c r="S122" i="3"/>
  <c r="S127" i="3"/>
  <c r="S131" i="3"/>
  <c r="S125" i="3"/>
  <c r="S138" i="3"/>
  <c r="S132" i="3"/>
  <c r="S128" i="3"/>
  <c r="R139" i="2"/>
  <c r="S127" i="2"/>
  <c r="R146" i="2"/>
  <c r="S134" i="2"/>
  <c r="S130" i="2"/>
  <c r="R142" i="2"/>
  <c r="S125" i="2"/>
  <c r="R137" i="2"/>
  <c r="S132" i="2"/>
  <c r="R144" i="2"/>
  <c r="R140" i="2"/>
  <c r="S128" i="2"/>
  <c r="R138" i="2"/>
  <c r="S126" i="2"/>
  <c r="R155" i="2"/>
  <c r="S143" i="2"/>
  <c r="S123" i="2"/>
  <c r="R135" i="2"/>
  <c r="R141" i="2"/>
  <c r="S129" i="2"/>
  <c r="S124" i="2"/>
  <c r="R136" i="2"/>
  <c r="S133" i="2"/>
  <c r="R145" i="2"/>
  <c r="S140" i="3" l="1"/>
  <c r="S142" i="3"/>
  <c r="S141" i="3"/>
  <c r="S150" i="3"/>
  <c r="S134" i="3"/>
  <c r="S143" i="3"/>
  <c r="S139" i="3"/>
  <c r="S144" i="3"/>
  <c r="S136" i="3"/>
  <c r="S137" i="3"/>
  <c r="S135" i="3"/>
  <c r="S145" i="3"/>
  <c r="R157" i="2"/>
  <c r="S157" i="2" s="1"/>
  <c r="S145" i="2"/>
  <c r="S137" i="2"/>
  <c r="R149" i="2"/>
  <c r="S140" i="2"/>
  <c r="R152" i="2"/>
  <c r="R147" i="2"/>
  <c r="S135" i="2"/>
  <c r="R156" i="2"/>
  <c r="S156" i="2" s="1"/>
  <c r="S144" i="2"/>
  <c r="S155" i="2"/>
  <c r="R167" i="2"/>
  <c r="S167" i="2" s="1"/>
  <c r="R148" i="2"/>
  <c r="S136" i="2"/>
  <c r="S142" i="2"/>
  <c r="R154" i="2"/>
  <c r="S138" i="2"/>
  <c r="R150" i="2"/>
  <c r="R153" i="2"/>
  <c r="S141" i="2"/>
  <c r="S146" i="2"/>
  <c r="R158" i="2"/>
  <c r="S158" i="2" s="1"/>
  <c r="S139" i="2"/>
  <c r="R151" i="2"/>
  <c r="S153" i="3" l="1"/>
  <c r="S154" i="3"/>
  <c r="S148" i="3"/>
  <c r="S146" i="3"/>
  <c r="S147" i="3"/>
  <c r="S151" i="3"/>
  <c r="S149" i="3"/>
  <c r="S152" i="3"/>
  <c r="S154" i="2"/>
  <c r="R166" i="2"/>
  <c r="S166" i="2" s="1"/>
  <c r="S147" i="2"/>
  <c r="R159" i="2"/>
  <c r="S159" i="2" s="1"/>
  <c r="S149" i="2"/>
  <c r="R161" i="2"/>
  <c r="S161" i="2" s="1"/>
  <c r="R162" i="2"/>
  <c r="S162" i="2" s="1"/>
  <c r="S150" i="2"/>
  <c r="S151" i="2"/>
  <c r="R163" i="2"/>
  <c r="S163" i="2" s="1"/>
  <c r="R164" i="2"/>
  <c r="S164" i="2" s="1"/>
  <c r="S152" i="2"/>
  <c r="R160" i="2"/>
  <c r="S160" i="2" s="1"/>
  <c r="S148" i="2"/>
  <c r="S153" i="2"/>
  <c r="R165" i="2"/>
  <c r="S165" i="2" s="1"/>
</calcChain>
</file>

<file path=xl/comments1.xml><?xml version="1.0" encoding="utf-8"?>
<comments xmlns="http://schemas.openxmlformats.org/spreadsheetml/2006/main">
  <authors>
    <author/>
  </authors>
  <commentList>
    <comment ref="O165" authorId="0">
      <text>
        <r>
          <rPr>
            <sz val="10"/>
            <rFont val="Arial"/>
            <family val="2"/>
          </rPr>
          <t xml:space="preserve">*  preliminary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H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N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T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Z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AF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AL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AR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AX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BD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BJ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BP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BV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CB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CH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CN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CT4" authorId="0">
      <text>
        <r>
          <rPr>
            <sz val="10"/>
            <rFont val="Arial"/>
            <family val="2"/>
          </rPr>
          <t xml:space="preserve">*  These estimates are not seasonally adjusted
</t>
        </r>
      </text>
    </comment>
    <comment ref="D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J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P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V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AB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AH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AN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AT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AZ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BF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BL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BR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BX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CD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CJ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CP165" authorId="0">
      <text>
        <r>
          <rPr>
            <sz val="10"/>
            <rFont val="Arial"/>
            <family val="2"/>
          </rPr>
          <t xml:space="preserve">*  preliminary
</t>
        </r>
      </text>
    </comment>
    <comment ref="CV165" authorId="0">
      <text>
        <r>
          <rPr>
            <sz val="10"/>
            <rFont val="Arial"/>
            <family val="2"/>
          </rPr>
          <t xml:space="preserve">*  preliminary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G155" authorId="0">
      <text>
        <r>
          <rPr>
            <sz val="10"/>
            <rFont val="Arial"/>
            <family val="2"/>
          </rPr>
          <t xml:space="preserve">*  preliminary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54" authorId="0">
      <text>
        <r>
          <rPr>
            <sz val="10"/>
            <rFont val="Arial"/>
            <family val="2"/>
          </rPr>
          <t xml:space="preserve">*  preliminary
</t>
        </r>
      </text>
    </comment>
    <comment ref="U154" authorId="0">
      <text>
        <r>
          <rPr>
            <sz val="10"/>
            <rFont val="Arial"/>
            <family val="2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<sst xmlns="http://schemas.openxmlformats.org/spreadsheetml/2006/main" count="13884" uniqueCount="256">
  <si>
    <t>Job Openings and Labor Turnover Survey</t>
  </si>
  <si>
    <t>Original Data Value</t>
  </si>
  <si>
    <t>Series Id:</t>
  </si>
  <si>
    <t>JTU23000000JOL</t>
  </si>
  <si>
    <t>Not seasonally adjusted</t>
  </si>
  <si>
    <t>Industry:</t>
  </si>
  <si>
    <t>Construction</t>
  </si>
  <si>
    <t>Region:</t>
  </si>
  <si>
    <t>Total US</t>
  </si>
  <si>
    <t>Data Element:</t>
  </si>
  <si>
    <t>Job openings</t>
  </si>
  <si>
    <t>Rate/Level:</t>
  </si>
  <si>
    <t>Level - In Thousands</t>
  </si>
  <si>
    <t>Years:</t>
  </si>
  <si>
    <t>2000 to 2013</t>
  </si>
  <si>
    <t>Series ID</t>
  </si>
  <si>
    <t>Year</t>
  </si>
  <si>
    <t>Period</t>
  </si>
  <si>
    <t>Value</t>
  </si>
  <si>
    <t>M12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</si>
  <si>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</si>
  <si>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</si>
  <si>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</si>
  <si>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</si>
  <si>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</si>
  <si>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</si>
  <si>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</si>
  <si>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</si>
  <si>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</si>
  <si>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</si>
  <si>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</si>
  <si>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JTU32000000JOL</t>
  </si>
  <si>
    <t>Durable goods manufacturing</t>
  </si>
  <si>
    <t>JTU34000000JOL</t>
  </si>
  <si>
    <t>Nondurable goods manufacturing</t>
  </si>
  <si>
    <t>JTU42000000JOL</t>
  </si>
  <si>
    <t>Wholesale trade</t>
  </si>
  <si>
    <t>Date</t>
  </si>
  <si>
    <t>Month</t>
  </si>
  <si>
    <t>x</t>
  </si>
  <si>
    <t>ma</t>
  </si>
  <si>
    <t>x/ma</t>
  </si>
  <si>
    <t>sa factor</t>
  </si>
  <si>
    <t>sa x</t>
  </si>
  <si>
    <t>JOB OPENINGS</t>
  </si>
  <si>
    <t>X-12 BLS</t>
  </si>
  <si>
    <t>MA</t>
  </si>
  <si>
    <t>JTU44000000JOL</t>
  </si>
  <si>
    <t>Retail trade</t>
  </si>
  <si>
    <t>JTU48009900JOL</t>
  </si>
  <si>
    <t>Transportation, warehousing, and utilities</t>
  </si>
  <si>
    <t>JTU51000000JOL</t>
  </si>
  <si>
    <t>Information</t>
  </si>
  <si>
    <t>JTU52000000JOL</t>
  </si>
  <si>
    <t>Finance and insurance</t>
  </si>
  <si>
    <t>JTU53000000JOL</t>
  </si>
  <si>
    <t>Real estate and rental and leasing</t>
  </si>
  <si>
    <t>JTU54009900JOL</t>
  </si>
  <si>
    <t>Professional and business services</t>
  </si>
  <si>
    <t>Prof/bus services</t>
  </si>
  <si>
    <t>JTU61000000JOL</t>
  </si>
  <si>
    <t>Educational services</t>
  </si>
  <si>
    <t>JTU62000000JOL</t>
  </si>
  <si>
    <t>Health care and social assistance</t>
  </si>
  <si>
    <t>JTU71000000JOL</t>
  </si>
  <si>
    <t>Arts, entertainment, and recreation</t>
  </si>
  <si>
    <t>JTU72000000JOL</t>
  </si>
  <si>
    <t>Accommodation and food services</t>
  </si>
  <si>
    <t>JTU81000000JOL</t>
  </si>
  <si>
    <t>Other services</t>
  </si>
  <si>
    <t>Labor Force Statistics from the Current Population Survey</t>
  </si>
  <si>
    <t>LNU03032231</t>
  </si>
  <si>
    <t>LNU03032236</t>
  </si>
  <si>
    <t>LNU03032237</t>
  </si>
  <si>
    <t>LNU03032239</t>
  </si>
  <si>
    <t>LNU03034253</t>
  </si>
  <si>
    <t>LNU03034256</t>
  </si>
  <si>
    <t>Not Seasonally Adjusted</t>
  </si>
  <si>
    <t>Series title:</t>
  </si>
  <si>
    <t>(Unadj) Unemployment Level - Construction Industry, Private Wage and Salary Workers</t>
  </si>
  <si>
    <t>(Unadj) Unemployment Level - Transportation and Utilities Industry, Private Wage and Salary Workers</t>
  </si>
  <si>
    <t>(Unadj) Unemployment Level - Information Industry, Private Wage and Salary Workers</t>
  </si>
  <si>
    <t>(Unadj) Unemployment Level - Professional and Business Services Industry, Private Wage and Salary Workers</t>
  </si>
  <si>
    <t>(Unadj) Unemployment Level - Nonagricultural Private Wage and Salary Workers, Arts, Entertainment, and Recreation</t>
  </si>
  <si>
    <t>(Unadj) Unemployment Level - Nonagricultural Private Wage and Salary Workers, Accommodation and Food Services</t>
  </si>
  <si>
    <t>Labor force status:</t>
  </si>
  <si>
    <t>Unemployed</t>
  </si>
  <si>
    <t>Type of data:</t>
  </si>
  <si>
    <t>Number in thousands</t>
  </si>
  <si>
    <t>Age:</t>
  </si>
  <si>
    <t>16 years and over</t>
  </si>
  <si>
    <t>Class of worker:</t>
  </si>
  <si>
    <t>Private wage and salary workers</t>
  </si>
  <si>
    <t>Labor force experience:</t>
  </si>
  <si>
    <t>Experienced</t>
  </si>
  <si>
    <t>Transportation and utilities</t>
  </si>
  <si>
    <t>M13</t>
  </si>
  <si>
    <t>Durable mfg</t>
  </si>
  <si>
    <t>Nondurable mfg</t>
  </si>
  <si>
    <t>Wholesale</t>
  </si>
  <si>
    <t>Retail</t>
  </si>
  <si>
    <t>Info</t>
  </si>
  <si>
    <t>Transp/Util</t>
  </si>
  <si>
    <t>Fin/Insurance</t>
  </si>
  <si>
    <t>Real estate</t>
  </si>
  <si>
    <t>Educ</t>
  </si>
  <si>
    <t>Health</t>
  </si>
  <si>
    <t>Arts</t>
  </si>
  <si>
    <t>Accommodation</t>
  </si>
  <si>
    <t>Other</t>
  </si>
  <si>
    <t>month</t>
  </si>
  <si>
    <t>date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</si>
  <si>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</si>
  <si>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</si>
  <si>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</si>
  <si>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</si>
  <si>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</si>
  <si>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</si>
  <si>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</si>
  <si>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</si>
  <si>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</si>
  <si>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</si>
  <si>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</si>
  <si>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</si>
  <si>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</si>
  <si>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</si>
  <si>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</si>
  <si>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</si>
  <si>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</si>
  <si>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</si>
  <si>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</si>
  <si>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</si>
  <si>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</si>
  <si>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</si>
  <si>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</si>
  <si>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</si>
  <si>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</si>
  <si>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</si>
  <si>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</si>
  <si>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</si>
  <si>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</si>
  <si>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</si>
  <si>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</si>
  <si>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</si>
  <si>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</si>
  <si>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</si>
  <si>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</si>
  <si>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</si>
  <si>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</si>
  <si>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</si>
  <si>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</si>
  <si>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</si>
  <si>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</si>
  <si>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</si>
  <si>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</si>
  <si>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</si>
  <si>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</si>
  <si>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</si>
  <si>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</si>
  <si>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</si>
  <si>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</si>
  <si>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</si>
  <si>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UNEMPLOYMENT</t>
  </si>
  <si>
    <t>ALL</t>
  </si>
  <si>
    <t>LNU03032233</t>
  </si>
  <si>
    <t>(Unadj) Unemployment Level - Durable Goods Industry, Private Wage and Salary Workers</t>
  </si>
  <si>
    <t>LNU03032234</t>
  </si>
  <si>
    <t>(Unadj) Unemployment Level - Non Durable Goods Industry, Private Wage and Salary Workers</t>
  </si>
  <si>
    <t>LNU03034154</t>
  </si>
  <si>
    <t>(Unadj) Unemployment Level - Nonagricultural Private Wage and Salary Workers, Wholesale Trade</t>
  </si>
  <si>
    <t>LNU03034163</t>
  </si>
  <si>
    <t>(Unadj) Unemployment Level - Nonagricultural Private Wage and Salary Workers, Retail Trade</t>
  </si>
  <si>
    <t>LNU03034199</t>
  </si>
  <si>
    <t>(Unadj) Unemployment Level - Nonagricultural Private Wage and Salary Workers, Finance and Insurance</t>
  </si>
  <si>
    <t>LNU03034208</t>
  </si>
  <si>
    <t>(Unadj) Unemployment Level - Nonagricultural Private Wage and Salary Workers, Real Estate and Rental and Leasing</t>
  </si>
  <si>
    <t>LNU03034236</t>
  </si>
  <si>
    <t>(Unadj) Unemployment Level - Nonagricultural Private Wage and Salary Workers, Educational Services</t>
  </si>
  <si>
    <t>LNU03034239</t>
  </si>
  <si>
    <t>(Unadj) Unemployment Level - Nonagricultural Private Wage and Salary Workers, Health Care and Social Assistance</t>
  </si>
  <si>
    <t>LNU03032230</t>
  </si>
  <si>
    <t>(Unadj) Unemployment Level - Mining, quarrying, and oil and gas extraction, Nonagricultural Private Wage and Salary Workers</t>
  </si>
  <si>
    <t>Mining, quarrying, and oil and gas extraction</t>
  </si>
  <si>
    <t>LNU03032242</t>
  </si>
  <si>
    <t>(Unadj) Unemployment Level - Other Services Industry, Private Wage and Salary Workers</t>
  </si>
  <si>
    <t>JTU11009900JOL</t>
  </si>
  <si>
    <t>Mining and logging</t>
  </si>
  <si>
    <t>Mining</t>
  </si>
  <si>
    <t>TIGHTNESS</t>
  </si>
  <si>
    <t>2013q3</t>
  </si>
  <si>
    <t>UNEMPLOYMENT SHARES</t>
  </si>
  <si>
    <t>ALL Vacancies</t>
  </si>
  <si>
    <t>ALL Unemp</t>
  </si>
  <si>
    <t>BLS X-12 Aggregates</t>
  </si>
  <si>
    <t>Vacancies</t>
  </si>
  <si>
    <t>My SA data</t>
  </si>
  <si>
    <t>ALL Experienced Unemp</t>
  </si>
  <si>
    <t>Unemployment</t>
  </si>
  <si>
    <t>LNU03000000</t>
  </si>
  <si>
    <t>(Unadj) Unemployment Level</t>
  </si>
  <si>
    <t>LNS13000000</t>
  </si>
  <si>
    <t>Seasonally Adjusted</t>
  </si>
  <si>
    <t>(Seas) Unemployment Level</t>
  </si>
  <si>
    <t>JTS00000000JOL</t>
  </si>
  <si>
    <t>Seasonally adjusted</t>
  </si>
  <si>
    <t>Total nonfarm</t>
  </si>
  <si>
    <t>JTU90000000JOL</t>
  </si>
  <si>
    <t>Government</t>
  </si>
  <si>
    <t>LNU03028615</t>
  </si>
  <si>
    <t>(Unadj) Unemployment Level All Industries Government Wage &amp; Salary Workers</t>
  </si>
  <si>
    <t>Government wage and salary workers</t>
  </si>
  <si>
    <t>U</t>
  </si>
  <si>
    <t>Monthly data</t>
  </si>
  <si>
    <t>ALL U -MA SA</t>
  </si>
  <si>
    <t>ALL U - BLS X-12</t>
  </si>
  <si>
    <t>ALL V - BLS X-12</t>
  </si>
  <si>
    <t>Govt</t>
  </si>
  <si>
    <t>Compare Vacancies</t>
  </si>
  <si>
    <t>Experienced /Total</t>
  </si>
  <si>
    <t>OMEGA</t>
  </si>
  <si>
    <t>ALPHA=</t>
  </si>
  <si>
    <t>NBER</t>
  </si>
  <si>
    <t>RELATIVE TIGHTNESS</t>
  </si>
  <si>
    <t>RANK 1</t>
  </si>
  <si>
    <t>RANK 3</t>
  </si>
  <si>
    <t>RANK 2</t>
  </si>
  <si>
    <t>RANK 4</t>
  </si>
  <si>
    <t>RANK 5</t>
  </si>
  <si>
    <t>RANK 6</t>
  </si>
  <si>
    <t>RANK 7</t>
  </si>
  <si>
    <t>RANK 8</t>
  </si>
  <si>
    <t>RANK 9</t>
  </si>
  <si>
    <t>RANK 10</t>
  </si>
  <si>
    <t>V</t>
  </si>
  <si>
    <t>L</t>
  </si>
  <si>
    <t>Unemp by industry</t>
  </si>
  <si>
    <t>Indicator</t>
  </si>
  <si>
    <t>[ Next cols</t>
  </si>
  <si>
    <t xml:space="preserve">compute weighted </t>
  </si>
  <si>
    <t xml:space="preserve">relative market </t>
  </si>
  <si>
    <t xml:space="preserve">tightness for </t>
  </si>
  <si>
    <t xml:space="preserve">each industry, </t>
  </si>
  <si>
    <r>
      <t xml:space="preserve">an input into </t>
    </r>
    <r>
      <rPr>
        <i/>
        <sz val="11"/>
        <color theme="1"/>
        <rFont val="Calibri"/>
        <family val="2"/>
      </rPr>
      <t>Ω. ]</t>
    </r>
  </si>
  <si>
    <t>Sahin et al Mismatch Index</t>
  </si>
  <si>
    <t>This sheet uses qtly SA</t>
  </si>
  <si>
    <r>
      <t xml:space="preserve">data to compute </t>
    </r>
    <r>
      <rPr>
        <b/>
        <sz val="13"/>
        <color theme="1"/>
        <rFont val="Calibri"/>
        <family val="2"/>
      </rPr>
      <t>Ω.</t>
    </r>
  </si>
  <si>
    <t>Log change</t>
  </si>
  <si>
    <t>Scaled log change</t>
  </si>
  <si>
    <t>Cumulated (scaled) log changes</t>
  </si>
  <si>
    <t>Counterfactual V/L</t>
  </si>
  <si>
    <t>Next set of spreadsheets read in and seasonally adjusted CPS data on unemployment.</t>
  </si>
  <si>
    <t>First few spreadsheets read in and seasonally adjusted JOLTS data on job openings.</t>
  </si>
  <si>
    <r>
      <t xml:space="preserve">Spreadsheet "All SA qtly" provides all quarterly seasonally adjusted time series and computes </t>
    </r>
    <r>
      <rPr>
        <sz val="11"/>
        <color theme="1"/>
        <rFont val="Calibri"/>
        <family val="2"/>
      </rPr>
      <t>Ω.</t>
    </r>
  </si>
  <si>
    <r>
      <t xml:space="preserve">Spreadsheet "Decomp" computes counter-factual V/L series based on </t>
    </r>
    <r>
      <rPr>
        <sz val="11"/>
        <color theme="1"/>
        <rFont val="Calibri"/>
        <family val="2"/>
      </rPr>
      <t>Ω.</t>
    </r>
  </si>
  <si>
    <t>U/L</t>
  </si>
  <si>
    <t>V/L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</si>
</sst>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3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NumberFormat="1" applyFont="1"/>
    <xf numFmtId="17" fontId="0" fillId="0" borderId="0" xfId="0" applyNumberFormat="1"/>
    <xf numFmtId="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top" wrapText="1"/>
    </xf>
    <xf numFmtId="164" fontId="4" fillId="2" borderId="0" xfId="0" applyNumberFormat="1" applyFont="1" applyFill="1" applyAlignment="1">
      <alignment horizontal="right"/>
    </xf>
    <xf numFmtId="0" fontId="1" fillId="0" borderId="0" xfId="0" applyNumberFormat="1" applyFont="1"/>
    <xf numFmtId="0" fontId="7" fillId="0" borderId="0" xfId="0" applyFont="1"/>
    <xf numFmtId="0" fontId="0" fillId="0" borderId="0" xfId="0"/>
    <xf numFmtId="0" fontId="8" fillId="0" borderId="0" xfId="0" applyFont="1"/>
    <xf numFmtId="0" fontId="10" fillId="2" borderId="0" xfId="0" applyFont="1" applyFill="1" applyAlignment="1">
      <alignment horizontal="center"/>
    </xf>
    <xf numFmtId="0" fontId="0" fillId="0" borderId="2" xfId="0" applyBorder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6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image" Target="../media/image1.emf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sa jolts'!$G$3:$G$153</c:f>
              <c:numCache>
                <c:formatCode>#0</c:formatCode>
                <c:ptCount val="151"/>
                <c:pt idx="0">
                  <c:v>231</c:v>
                </c:pt>
                <c:pt idx="1">
                  <c:v>184</c:v>
                </c:pt>
                <c:pt idx="2">
                  <c:v>242</c:v>
                </c:pt>
                <c:pt idx="3">
                  <c:v>211</c:v>
                </c:pt>
                <c:pt idx="4">
                  <c:v>230</c:v>
                </c:pt>
                <c:pt idx="5">
                  <c:v>216</c:v>
                </c:pt>
                <c:pt idx="6">
                  <c:v>189</c:v>
                </c:pt>
                <c:pt idx="7">
                  <c:v>160</c:v>
                </c:pt>
                <c:pt idx="8">
                  <c:v>131</c:v>
                </c:pt>
                <c:pt idx="9">
                  <c:v>142</c:v>
                </c:pt>
                <c:pt idx="10">
                  <c:v>112</c:v>
                </c:pt>
                <c:pt idx="11">
                  <c:v>135</c:v>
                </c:pt>
                <c:pt idx="12">
                  <c:v>127</c:v>
                </c:pt>
                <c:pt idx="13">
                  <c:v>103</c:v>
                </c:pt>
                <c:pt idx="14">
                  <c:v>111</c:v>
                </c:pt>
                <c:pt idx="15">
                  <c:v>130</c:v>
                </c:pt>
                <c:pt idx="16">
                  <c:v>91</c:v>
                </c:pt>
                <c:pt idx="17">
                  <c:v>108</c:v>
                </c:pt>
                <c:pt idx="18">
                  <c:v>127</c:v>
                </c:pt>
                <c:pt idx="19">
                  <c:v>95</c:v>
                </c:pt>
                <c:pt idx="20">
                  <c:v>117</c:v>
                </c:pt>
                <c:pt idx="21">
                  <c:v>127</c:v>
                </c:pt>
                <c:pt idx="22">
                  <c:v>126</c:v>
                </c:pt>
                <c:pt idx="23">
                  <c:v>112</c:v>
                </c:pt>
                <c:pt idx="24">
                  <c:v>96</c:v>
                </c:pt>
                <c:pt idx="25">
                  <c:v>115</c:v>
                </c:pt>
                <c:pt idx="26">
                  <c:v>94</c:v>
                </c:pt>
                <c:pt idx="27">
                  <c:v>89</c:v>
                </c:pt>
                <c:pt idx="28">
                  <c:v>143</c:v>
                </c:pt>
                <c:pt idx="29">
                  <c:v>97</c:v>
                </c:pt>
                <c:pt idx="30">
                  <c:v>107</c:v>
                </c:pt>
                <c:pt idx="31">
                  <c:v>127</c:v>
                </c:pt>
                <c:pt idx="32">
                  <c:v>105</c:v>
                </c:pt>
                <c:pt idx="33">
                  <c:v>54</c:v>
                </c:pt>
                <c:pt idx="34">
                  <c:v>79</c:v>
                </c:pt>
                <c:pt idx="35">
                  <c:v>104</c:v>
                </c:pt>
                <c:pt idx="36">
                  <c:v>108</c:v>
                </c:pt>
                <c:pt idx="37">
                  <c:v>126</c:v>
                </c:pt>
                <c:pt idx="38">
                  <c:v>118</c:v>
                </c:pt>
                <c:pt idx="39">
                  <c:v>124</c:v>
                </c:pt>
                <c:pt idx="40">
                  <c:v>131</c:v>
                </c:pt>
                <c:pt idx="41">
                  <c:v>135</c:v>
                </c:pt>
                <c:pt idx="42">
                  <c:v>114</c:v>
                </c:pt>
                <c:pt idx="43">
                  <c:v>113</c:v>
                </c:pt>
                <c:pt idx="44">
                  <c:v>131</c:v>
                </c:pt>
                <c:pt idx="45">
                  <c:v>113</c:v>
                </c:pt>
                <c:pt idx="46">
                  <c:v>144</c:v>
                </c:pt>
                <c:pt idx="47">
                  <c:v>149</c:v>
                </c:pt>
                <c:pt idx="48">
                  <c:v>148</c:v>
                </c:pt>
                <c:pt idx="49">
                  <c:v>140</c:v>
                </c:pt>
                <c:pt idx="50">
                  <c:v>154</c:v>
                </c:pt>
                <c:pt idx="51">
                  <c:v>148</c:v>
                </c:pt>
                <c:pt idx="52">
                  <c:v>143</c:v>
                </c:pt>
                <c:pt idx="53">
                  <c:v>142</c:v>
                </c:pt>
                <c:pt idx="54">
                  <c:v>142</c:v>
                </c:pt>
                <c:pt idx="55">
                  <c:v>147</c:v>
                </c:pt>
                <c:pt idx="56">
                  <c:v>149</c:v>
                </c:pt>
                <c:pt idx="57">
                  <c:v>161</c:v>
                </c:pt>
                <c:pt idx="58">
                  <c:v>171</c:v>
                </c:pt>
                <c:pt idx="59">
                  <c:v>232</c:v>
                </c:pt>
                <c:pt idx="60">
                  <c:v>161</c:v>
                </c:pt>
                <c:pt idx="61">
                  <c:v>140</c:v>
                </c:pt>
                <c:pt idx="62">
                  <c:v>141</c:v>
                </c:pt>
                <c:pt idx="63">
                  <c:v>183</c:v>
                </c:pt>
                <c:pt idx="64">
                  <c:v>186</c:v>
                </c:pt>
                <c:pt idx="65">
                  <c:v>182</c:v>
                </c:pt>
                <c:pt idx="66">
                  <c:v>187</c:v>
                </c:pt>
                <c:pt idx="67">
                  <c:v>208</c:v>
                </c:pt>
                <c:pt idx="68">
                  <c:v>202</c:v>
                </c:pt>
                <c:pt idx="69">
                  <c:v>185</c:v>
                </c:pt>
                <c:pt idx="70">
                  <c:v>164</c:v>
                </c:pt>
                <c:pt idx="71">
                  <c:v>160</c:v>
                </c:pt>
                <c:pt idx="72">
                  <c:v>128</c:v>
                </c:pt>
                <c:pt idx="73">
                  <c:v>251</c:v>
                </c:pt>
                <c:pt idx="74">
                  <c:v>267</c:v>
                </c:pt>
                <c:pt idx="75">
                  <c:v>211</c:v>
                </c:pt>
                <c:pt idx="76">
                  <c:v>178</c:v>
                </c:pt>
                <c:pt idx="77">
                  <c:v>166</c:v>
                </c:pt>
                <c:pt idx="78">
                  <c:v>157</c:v>
                </c:pt>
                <c:pt idx="79">
                  <c:v>158</c:v>
                </c:pt>
                <c:pt idx="80">
                  <c:v>159</c:v>
                </c:pt>
                <c:pt idx="81">
                  <c:v>124</c:v>
                </c:pt>
                <c:pt idx="82">
                  <c:v>143</c:v>
                </c:pt>
                <c:pt idx="83">
                  <c:v>132</c:v>
                </c:pt>
                <c:pt idx="84">
                  <c:v>127</c:v>
                </c:pt>
                <c:pt idx="85">
                  <c:v>125</c:v>
                </c:pt>
                <c:pt idx="86">
                  <c:v>126</c:v>
                </c:pt>
                <c:pt idx="87">
                  <c:v>98</c:v>
                </c:pt>
                <c:pt idx="88">
                  <c:v>88</c:v>
                </c:pt>
                <c:pt idx="89">
                  <c:v>156</c:v>
                </c:pt>
                <c:pt idx="90">
                  <c:v>110</c:v>
                </c:pt>
                <c:pt idx="91">
                  <c:v>109</c:v>
                </c:pt>
                <c:pt idx="92">
                  <c:v>86</c:v>
                </c:pt>
                <c:pt idx="93">
                  <c:v>129</c:v>
                </c:pt>
                <c:pt idx="94">
                  <c:v>71</c:v>
                </c:pt>
                <c:pt idx="95">
                  <c:v>68</c:v>
                </c:pt>
                <c:pt idx="96">
                  <c:v>87</c:v>
                </c:pt>
                <c:pt idx="97">
                  <c:v>32</c:v>
                </c:pt>
                <c:pt idx="98">
                  <c:v>67</c:v>
                </c:pt>
                <c:pt idx="99">
                  <c:v>50</c:v>
                </c:pt>
                <c:pt idx="100">
                  <c:v>21</c:v>
                </c:pt>
                <c:pt idx="101">
                  <c:v>37</c:v>
                </c:pt>
                <c:pt idx="102">
                  <c:v>58</c:v>
                </c:pt>
                <c:pt idx="103">
                  <c:v>42</c:v>
                </c:pt>
                <c:pt idx="104">
                  <c:v>61</c:v>
                </c:pt>
                <c:pt idx="105">
                  <c:v>67</c:v>
                </c:pt>
                <c:pt idx="106">
                  <c:v>63</c:v>
                </c:pt>
                <c:pt idx="107">
                  <c:v>67</c:v>
                </c:pt>
                <c:pt idx="108">
                  <c:v>68</c:v>
                </c:pt>
                <c:pt idx="109">
                  <c:v>56</c:v>
                </c:pt>
                <c:pt idx="110">
                  <c:v>68</c:v>
                </c:pt>
                <c:pt idx="111">
                  <c:v>79</c:v>
                </c:pt>
                <c:pt idx="112">
                  <c:v>78</c:v>
                </c:pt>
                <c:pt idx="113">
                  <c:v>76</c:v>
                </c:pt>
                <c:pt idx="114">
                  <c:v>76</c:v>
                </c:pt>
                <c:pt idx="115">
                  <c:v>94</c:v>
                </c:pt>
                <c:pt idx="116">
                  <c:v>57</c:v>
                </c:pt>
                <c:pt idx="117">
                  <c:v>72</c:v>
                </c:pt>
                <c:pt idx="118">
                  <c:v>73</c:v>
                </c:pt>
                <c:pt idx="119">
                  <c:v>86</c:v>
                </c:pt>
                <c:pt idx="120">
                  <c:v>47</c:v>
                </c:pt>
                <c:pt idx="121">
                  <c:v>64</c:v>
                </c:pt>
                <c:pt idx="122">
                  <c:v>49</c:v>
                </c:pt>
                <c:pt idx="123">
                  <c:v>68</c:v>
                </c:pt>
                <c:pt idx="124">
                  <c:v>88</c:v>
                </c:pt>
                <c:pt idx="125">
                  <c:v>91</c:v>
                </c:pt>
                <c:pt idx="126">
                  <c:v>61</c:v>
                </c:pt>
                <c:pt idx="127">
                  <c:v>75</c:v>
                </c:pt>
                <c:pt idx="128">
                  <c:v>101</c:v>
                </c:pt>
                <c:pt idx="129">
                  <c:v>77</c:v>
                </c:pt>
                <c:pt idx="130">
                  <c:v>71</c:v>
                </c:pt>
                <c:pt idx="131">
                  <c:v>78</c:v>
                </c:pt>
                <c:pt idx="132">
                  <c:v>69</c:v>
                </c:pt>
                <c:pt idx="133">
                  <c:v>77</c:v>
                </c:pt>
                <c:pt idx="134">
                  <c:v>74</c:v>
                </c:pt>
                <c:pt idx="135">
                  <c:v>96</c:v>
                </c:pt>
                <c:pt idx="136">
                  <c:v>67</c:v>
                </c:pt>
                <c:pt idx="137">
                  <c:v>70</c:v>
                </c:pt>
                <c:pt idx="138">
                  <c:v>77</c:v>
                </c:pt>
                <c:pt idx="139">
                  <c:v>70</c:v>
                </c:pt>
                <c:pt idx="140">
                  <c:v>79</c:v>
                </c:pt>
                <c:pt idx="141">
                  <c:v>83</c:v>
                </c:pt>
                <c:pt idx="142">
                  <c:v>100</c:v>
                </c:pt>
                <c:pt idx="143">
                  <c:v>96</c:v>
                </c:pt>
                <c:pt idx="144">
                  <c:v>95</c:v>
                </c:pt>
                <c:pt idx="145">
                  <c:v>104</c:v>
                </c:pt>
                <c:pt idx="146">
                  <c:v>116</c:v>
                </c:pt>
                <c:pt idx="147">
                  <c:v>108</c:v>
                </c:pt>
                <c:pt idx="148">
                  <c:v>99</c:v>
                </c:pt>
                <c:pt idx="149">
                  <c:v>102</c:v>
                </c:pt>
                <c:pt idx="150">
                  <c:v>120</c:v>
                </c:pt>
              </c:numCache>
            </c:numRef>
          </c: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sa jolts'!$H$3:$H$153</c:f>
              <c:numCache>
                <c:formatCode>General</c:formatCode>
                <c:ptCount val="151"/>
                <c:pt idx="0">
                  <c:v>227.21977389285485</c:v>
                </c:pt>
                <c:pt idx="1">
                  <c:v>188.7517503233594</c:v>
                </c:pt>
                <c:pt idx="2">
                  <c:v>211.34822896315242</c:v>
                </c:pt>
                <c:pt idx="3">
                  <c:v>198.48514888549116</c:v>
                </c:pt>
                <c:pt idx="4">
                  <c:v>242.4592682795512</c:v>
                </c:pt>
                <c:pt idx="5">
                  <c:v>223.82920816050688</c:v>
                </c:pt>
                <c:pt idx="6">
                  <c:v>188.97183101898491</c:v>
                </c:pt>
                <c:pt idx="7">
                  <c:v>152.968338530784</c:v>
                </c:pt>
                <c:pt idx="8">
                  <c:v>120.17717129180735</c:v>
                </c:pt>
                <c:pt idx="9">
                  <c:v>143.75103333623611</c:v>
                </c:pt>
                <c:pt idx="10">
                  <c:v>115.02454874456295</c:v>
                </c:pt>
                <c:pt idx="11">
                  <c:v>133.72199322233834</c:v>
                </c:pt>
                <c:pt idx="12">
                  <c:v>126.55278545931156</c:v>
                </c:pt>
                <c:pt idx="13">
                  <c:v>105.65994719188053</c:v>
                </c:pt>
                <c:pt idx="14">
                  <c:v>98.350165953150139</c:v>
                </c:pt>
                <c:pt idx="15">
                  <c:v>122.96397028515793</c:v>
                </c:pt>
                <c:pt idx="16">
                  <c:v>96.007361265057185</c:v>
                </c:pt>
                <c:pt idx="17">
                  <c:v>111.91460408025344</c:v>
                </c:pt>
                <c:pt idx="18">
                  <c:v>125.67092210622148</c:v>
                </c:pt>
                <c:pt idx="19">
                  <c:v>91.448463252099117</c:v>
                </c:pt>
                <c:pt idx="20">
                  <c:v>107.57795172089206</c:v>
                </c:pt>
                <c:pt idx="21">
                  <c:v>126.50090933588778</c:v>
                </c:pt>
                <c:pt idx="22">
                  <c:v>130.42962223713835</c:v>
                </c:pt>
                <c:pt idx="23">
                  <c:v>111.21433099679624</c:v>
                </c:pt>
                <c:pt idx="24">
                  <c:v>96.352688929248572</c:v>
                </c:pt>
                <c:pt idx="25">
                  <c:v>118.99566868211788</c:v>
                </c:pt>
                <c:pt idx="26">
                  <c:v>82.655990535094261</c:v>
                </c:pt>
                <c:pt idx="27">
                  <c:v>85.203380984991327</c:v>
                </c:pt>
                <c:pt idx="28">
                  <c:v>149.70639383703832</c:v>
                </c:pt>
                <c:pt idx="29">
                  <c:v>99.292656251653426</c:v>
                </c:pt>
                <c:pt idx="30">
                  <c:v>104.26032056219857</c:v>
                </c:pt>
                <c:pt idx="31">
                  <c:v>123.8711002232979</c:v>
                </c:pt>
                <c:pt idx="32">
                  <c:v>98.855415094873791</c:v>
                </c:pt>
                <c:pt idx="33">
                  <c:v>52.708712223286575</c:v>
                </c:pt>
                <c:pt idx="34">
                  <c:v>81.133387060897078</c:v>
                </c:pt>
                <c:pt idx="35">
                  <c:v>99.298509818568078</c:v>
                </c:pt>
                <c:pt idx="36">
                  <c:v>110.73368727689761</c:v>
                </c:pt>
                <c:pt idx="37">
                  <c:v>133.3572149023735</c:v>
                </c:pt>
                <c:pt idx="38">
                  <c:v>105.67411448157621</c:v>
                </c:pt>
                <c:pt idx="39">
                  <c:v>121.99575004669212</c:v>
                </c:pt>
                <c:pt idx="40">
                  <c:v>135.06120313558893</c:v>
                </c:pt>
                <c:pt idx="41">
                  <c:v>135.47557336030681</c:v>
                </c:pt>
                <c:pt idx="42">
                  <c:v>107.98390343941995</c:v>
                </c:pt>
                <c:pt idx="43">
                  <c:v>112.23220490030346</c:v>
                </c:pt>
                <c:pt idx="44">
                  <c:v>127.93053718160137</c:v>
                </c:pt>
                <c:pt idx="45">
                  <c:v>105.41742444657315</c:v>
                </c:pt>
                <c:pt idx="46">
                  <c:v>146.86170062921877</c:v>
                </c:pt>
                <c:pt idx="47">
                  <c:v>136.36995348416681</c:v>
                </c:pt>
                <c:pt idx="48">
                  <c:v>156.75288198937454</c:v>
                </c:pt>
                <c:pt idx="49">
                  <c:v>148.74458585264736</c:v>
                </c:pt>
                <c:pt idx="50">
                  <c:v>143.34013548491029</c:v>
                </c:pt>
                <c:pt idx="51">
                  <c:v>146.20125600833737</c:v>
                </c:pt>
                <c:pt idx="52">
                  <c:v>144.01104189758578</c:v>
                </c:pt>
                <c:pt idx="53">
                  <c:v>139.68288930317348</c:v>
                </c:pt>
                <c:pt idx="54">
                  <c:v>134.04898357996959</c:v>
                </c:pt>
                <c:pt idx="55">
                  <c:v>151.30563919892762</c:v>
                </c:pt>
                <c:pt idx="56">
                  <c:v>149.25229337853494</c:v>
                </c:pt>
                <c:pt idx="57">
                  <c:v>146.62605400296084</c:v>
                </c:pt>
                <c:pt idx="58">
                  <c:v>171.50981821733939</c:v>
                </c:pt>
                <c:pt idx="59">
                  <c:v>202.56896002987887</c:v>
                </c:pt>
                <c:pt idx="60">
                  <c:v>176.88627967608321</c:v>
                </c:pt>
                <c:pt idx="61">
                  <c:v>149.77041058266562</c:v>
                </c:pt>
                <c:pt idx="62">
                  <c:v>138.10874367889167</c:v>
                </c:pt>
                <c:pt idx="63">
                  <c:v>180.08896435464075</c:v>
                </c:pt>
                <c:pt idx="64">
                  <c:v>183.06488376811751</c:v>
                </c:pt>
                <c:pt idx="65">
                  <c:v>174.18288003468018</c:v>
                </c:pt>
                <c:pt idx="66">
                  <c:v>178.73197810662612</c:v>
                </c:pt>
                <c:pt idx="67">
                  <c:v>214.48821380946885</c:v>
                </c:pt>
                <c:pt idx="68">
                  <c:v>204.49502534331734</c:v>
                </c:pt>
                <c:pt idx="69">
                  <c:v>170.58455955900018</c:v>
                </c:pt>
                <c:pt idx="70">
                  <c:v>160.2127643227841</c:v>
                </c:pt>
                <c:pt idx="71">
                  <c:v>137.69393361508105</c:v>
                </c:pt>
                <c:pt idx="72">
                  <c:v>145.24808331125533</c:v>
                </c:pt>
                <c:pt idx="73">
                  <c:v>263.63695561469223</c:v>
                </c:pt>
                <c:pt idx="74">
                  <c:v>270.98609555176472</c:v>
                </c:pt>
                <c:pt idx="75">
                  <c:v>206.23091079321762</c:v>
                </c:pt>
                <c:pt idx="76">
                  <c:v>173.30142330048457</c:v>
                </c:pt>
                <c:pt idx="77">
                  <c:v>155.67068988606681</c:v>
                </c:pt>
                <c:pt idx="78">
                  <c:v>153.59779368538182</c:v>
                </c:pt>
                <c:pt idx="79">
                  <c:v>163.77588418785024</c:v>
                </c:pt>
                <c:pt idx="80">
                  <c:v>158.94400074077745</c:v>
                </c:pt>
                <c:pt idx="81">
                  <c:v>118.83418755795519</c:v>
                </c:pt>
                <c:pt idx="82">
                  <c:v>137.61865653367352</c:v>
                </c:pt>
                <c:pt idx="83">
                  <c:v>112.53831112771049</c:v>
                </c:pt>
                <c:pt idx="84">
                  <c:v>143.8099834764904</c:v>
                </c:pt>
                <c:pt idx="85">
                  <c:v>129.25391598230047</c:v>
                </c:pt>
                <c:pt idx="86">
                  <c:v>133.92363023407677</c:v>
                </c:pt>
                <c:pt idx="87">
                  <c:v>92.949142892717802</c:v>
                </c:pt>
                <c:pt idx="88">
                  <c:v>86.243900797424246</c:v>
                </c:pt>
                <c:pt idx="89">
                  <c:v>143.0487420574668</c:v>
                </c:pt>
                <c:pt idx="90">
                  <c:v>110.77659059733598</c:v>
                </c:pt>
                <c:pt idx="91">
                  <c:v>110.56950556844711</c:v>
                </c:pt>
                <c:pt idx="92">
                  <c:v>85.287024787734254</c:v>
                </c:pt>
                <c:pt idx="93">
                  <c:v>129.37593000261251</c:v>
                </c:pt>
                <c:pt idx="94">
                  <c:v>68.809328266836758</c:v>
                </c:pt>
                <c:pt idx="95">
                  <c:v>59.579105891140841</c:v>
                </c:pt>
                <c:pt idx="96">
                  <c:v>93.476489259718775</c:v>
                </c:pt>
                <c:pt idx="97">
                  <c:v>32.826391360584246</c:v>
                </c:pt>
                <c:pt idx="98">
                  <c:v>70.100650200649568</c:v>
                </c:pt>
                <c:pt idx="99">
                  <c:v>46.474571446358901</c:v>
                </c:pt>
                <c:pt idx="100">
                  <c:v>21.154164346538025</c:v>
                </c:pt>
                <c:pt idx="101">
                  <c:v>33.658527542933371</c:v>
                </c:pt>
                <c:pt idx="102">
                  <c:v>58.646430316236696</c:v>
                </c:pt>
                <c:pt idx="103">
                  <c:v>41.567483296408689</c:v>
                </c:pt>
                <c:pt idx="104">
                  <c:v>61.057756382127927</c:v>
                </c:pt>
                <c:pt idx="105">
                  <c:v>69.00049600139333</c:v>
                </c:pt>
                <c:pt idx="106">
                  <c:v>61.620293970301582</c:v>
                </c:pt>
                <c:pt idx="107">
                  <c:v>62.227066152969321</c:v>
                </c:pt>
                <c:pt idx="108">
                  <c:v>70.466891903480303</c:v>
                </c:pt>
                <c:pt idx="109">
                  <c:v>56.420360151004168</c:v>
                </c:pt>
                <c:pt idx="110">
                  <c:v>69.054371839445835</c:v>
                </c:pt>
                <c:pt idx="111">
                  <c:v>72.616517884935789</c:v>
                </c:pt>
                <c:pt idx="112">
                  <c:v>79.734927152335629</c:v>
                </c:pt>
                <c:pt idx="113">
                  <c:v>71.524371028733398</c:v>
                </c:pt>
                <c:pt idx="114">
                  <c:v>76.333448983038238</c:v>
                </c:pt>
                <c:pt idx="115">
                  <c:v>88.954414254314599</c:v>
                </c:pt>
                <c:pt idx="116">
                  <c:v>57.181073437230914</c:v>
                </c:pt>
                <c:pt idx="117">
                  <c:v>76.667217779325924</c:v>
                </c:pt>
                <c:pt idx="118">
                  <c:v>74.971357663866925</c:v>
                </c:pt>
                <c:pt idx="119">
                  <c:v>84.73472837851142</c:v>
                </c:pt>
                <c:pt idx="120">
                  <c:v>46.019194712476931</c:v>
                </c:pt>
                <c:pt idx="121">
                  <c:v>62.57530853111372</c:v>
                </c:pt>
                <c:pt idx="122">
                  <c:v>47.082526254167618</c:v>
                </c:pt>
                <c:pt idx="123">
                  <c:v>62.934315500277677</c:v>
                </c:pt>
                <c:pt idx="124">
                  <c:v>91.939252736876796</c:v>
                </c:pt>
                <c:pt idx="125">
                  <c:v>86.670708423053426</c:v>
                </c:pt>
                <c:pt idx="126">
                  <c:v>59.577326035542036</c:v>
                </c:pt>
                <c:pt idx="127">
                  <c:v>70.664721603894776</c:v>
                </c:pt>
                <c:pt idx="128">
                  <c:v>100.79375656732229</c:v>
                </c:pt>
                <c:pt idx="129">
                  <c:v>80.500578668292221</c:v>
                </c:pt>
                <c:pt idx="130">
                  <c:v>74.971357663866925</c:v>
                </c:pt>
                <c:pt idx="131">
                  <c:v>79.43880785485446</c:v>
                </c:pt>
                <c:pt idx="132">
                  <c:v>64.714492564420681</c:v>
                </c:pt>
                <c:pt idx="133">
                  <c:v>75.911030021351067</c:v>
                </c:pt>
                <c:pt idx="134">
                  <c:v>69.054371839445835</c:v>
                </c:pt>
                <c:pt idx="135">
                  <c:v>91.01270241578618</c:v>
                </c:pt>
                <c:pt idx="136">
                  <c:v>69.97146668470269</c:v>
                </c:pt>
                <c:pt idx="137">
                  <c:v>67.317055085866741</c:v>
                </c:pt>
                <c:pt idx="138">
                  <c:v>74.471657544427543</c:v>
                </c:pt>
                <c:pt idx="139">
                  <c:v>64.845273942397554</c:v>
                </c:pt>
                <c:pt idx="140">
                  <c:v>79.472000370388727</c:v>
                </c:pt>
                <c:pt idx="141">
                  <c:v>86.250620001741666</c:v>
                </c:pt>
                <c:pt idx="142">
                  <c:v>106.80850954852274</c:v>
                </c:pt>
                <c:pt idx="143">
                  <c:v>100.62248994948231</c:v>
                </c:pt>
                <c:pt idx="144">
                  <c:v>87.724089920659154</c:v>
                </c:pt>
                <c:pt idx="145">
                  <c:v>102.58247300182576</c:v>
                </c:pt>
                <c:pt idx="146">
                  <c:v>115.09061973240973</c:v>
                </c:pt>
                <c:pt idx="147">
                  <c:v>105.53600599277334</c:v>
                </c:pt>
                <c:pt idx="148">
                  <c:v>100.88909149887365</c:v>
                </c:pt>
                <c:pt idx="149">
                  <c:v>94.243877120213426</c:v>
                </c:pt>
                <c:pt idx="150">
                  <c:v>122.87823494830546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046336"/>
        <c:axId val="228047872"/>
      </c:lineChart>
      <c:catAx>
        <c:axId val="22804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47872"/>
        <c:crosses val="autoZero"/>
        <c:auto val="1"/>
        <c:lblAlgn val="ctr"/>
        <c:lblOffset val="100"/>
        <c:noMultiLvlLbl val="0"/>
      </c:catAx>
      <c:valAx>
        <c:axId val="2280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4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sa jolts'!$R$3:$R$153</c:f>
              <c:numCache>
                <c:formatCode>#0</c:formatCode>
                <c:ptCount val="151"/>
                <c:pt idx="0">
                  <c:v>841</c:v>
                </c:pt>
                <c:pt idx="1">
                  <c:v>760</c:v>
                </c:pt>
                <c:pt idx="2">
                  <c:v>714</c:v>
                </c:pt>
                <c:pt idx="3">
                  <c:v>893</c:v>
                </c:pt>
                <c:pt idx="4">
                  <c:v>842</c:v>
                </c:pt>
                <c:pt idx="5">
                  <c:v>825</c:v>
                </c:pt>
                <c:pt idx="6">
                  <c:v>739</c:v>
                </c:pt>
                <c:pt idx="7">
                  <c:v>633</c:v>
                </c:pt>
                <c:pt idx="8">
                  <c:v>602</c:v>
                </c:pt>
                <c:pt idx="9">
                  <c:v>635</c:v>
                </c:pt>
                <c:pt idx="10">
                  <c:v>539</c:v>
                </c:pt>
                <c:pt idx="11">
                  <c:v>562</c:v>
                </c:pt>
                <c:pt idx="12">
                  <c:v>502</c:v>
                </c:pt>
                <c:pt idx="13">
                  <c:v>586</c:v>
                </c:pt>
                <c:pt idx="14">
                  <c:v>494</c:v>
                </c:pt>
                <c:pt idx="15">
                  <c:v>545</c:v>
                </c:pt>
                <c:pt idx="16">
                  <c:v>530</c:v>
                </c:pt>
                <c:pt idx="17">
                  <c:v>629</c:v>
                </c:pt>
                <c:pt idx="18">
                  <c:v>531</c:v>
                </c:pt>
                <c:pt idx="19">
                  <c:v>591</c:v>
                </c:pt>
                <c:pt idx="20">
                  <c:v>600</c:v>
                </c:pt>
                <c:pt idx="21">
                  <c:v>564</c:v>
                </c:pt>
                <c:pt idx="22">
                  <c:v>692</c:v>
                </c:pt>
                <c:pt idx="23">
                  <c:v>667</c:v>
                </c:pt>
                <c:pt idx="24">
                  <c:v>566</c:v>
                </c:pt>
                <c:pt idx="25">
                  <c:v>894</c:v>
                </c:pt>
                <c:pt idx="26">
                  <c:v>787</c:v>
                </c:pt>
                <c:pt idx="27">
                  <c:v>634</c:v>
                </c:pt>
                <c:pt idx="28">
                  <c:v>496</c:v>
                </c:pt>
                <c:pt idx="29">
                  <c:v>605</c:v>
                </c:pt>
                <c:pt idx="30">
                  <c:v>601</c:v>
                </c:pt>
                <c:pt idx="31">
                  <c:v>676</c:v>
                </c:pt>
                <c:pt idx="32">
                  <c:v>765</c:v>
                </c:pt>
                <c:pt idx="33">
                  <c:v>657</c:v>
                </c:pt>
                <c:pt idx="34">
                  <c:v>573</c:v>
                </c:pt>
                <c:pt idx="35">
                  <c:v>648</c:v>
                </c:pt>
                <c:pt idx="36">
                  <c:v>622</c:v>
                </c:pt>
                <c:pt idx="37">
                  <c:v>586</c:v>
                </c:pt>
                <c:pt idx="38">
                  <c:v>679</c:v>
                </c:pt>
                <c:pt idx="39">
                  <c:v>547</c:v>
                </c:pt>
                <c:pt idx="40">
                  <c:v>691</c:v>
                </c:pt>
                <c:pt idx="41">
                  <c:v>666</c:v>
                </c:pt>
                <c:pt idx="42">
                  <c:v>710</c:v>
                </c:pt>
                <c:pt idx="43">
                  <c:v>754</c:v>
                </c:pt>
                <c:pt idx="44">
                  <c:v>685</c:v>
                </c:pt>
                <c:pt idx="45">
                  <c:v>706</c:v>
                </c:pt>
                <c:pt idx="46">
                  <c:v>732</c:v>
                </c:pt>
                <c:pt idx="47">
                  <c:v>607</c:v>
                </c:pt>
                <c:pt idx="48">
                  <c:v>705</c:v>
                </c:pt>
                <c:pt idx="49">
                  <c:v>646</c:v>
                </c:pt>
                <c:pt idx="50">
                  <c:v>686</c:v>
                </c:pt>
                <c:pt idx="51">
                  <c:v>739</c:v>
                </c:pt>
                <c:pt idx="52">
                  <c:v>796</c:v>
                </c:pt>
                <c:pt idx="53">
                  <c:v>790</c:v>
                </c:pt>
                <c:pt idx="54">
                  <c:v>883</c:v>
                </c:pt>
                <c:pt idx="55">
                  <c:v>851</c:v>
                </c:pt>
                <c:pt idx="56">
                  <c:v>871</c:v>
                </c:pt>
                <c:pt idx="57">
                  <c:v>831</c:v>
                </c:pt>
                <c:pt idx="58">
                  <c:v>842</c:v>
                </c:pt>
                <c:pt idx="59">
                  <c:v>849</c:v>
                </c:pt>
                <c:pt idx="60">
                  <c:v>831</c:v>
                </c:pt>
                <c:pt idx="61">
                  <c:v>875</c:v>
                </c:pt>
                <c:pt idx="62">
                  <c:v>847</c:v>
                </c:pt>
                <c:pt idx="63">
                  <c:v>746</c:v>
                </c:pt>
                <c:pt idx="64">
                  <c:v>713</c:v>
                </c:pt>
                <c:pt idx="65">
                  <c:v>868</c:v>
                </c:pt>
                <c:pt idx="66">
                  <c:v>754</c:v>
                </c:pt>
                <c:pt idx="67">
                  <c:v>618</c:v>
                </c:pt>
                <c:pt idx="68">
                  <c:v>749</c:v>
                </c:pt>
                <c:pt idx="69">
                  <c:v>692</c:v>
                </c:pt>
                <c:pt idx="70">
                  <c:v>714</c:v>
                </c:pt>
                <c:pt idx="71">
                  <c:v>803</c:v>
                </c:pt>
                <c:pt idx="72">
                  <c:v>701</c:v>
                </c:pt>
                <c:pt idx="73">
                  <c:v>782</c:v>
                </c:pt>
                <c:pt idx="74">
                  <c:v>710</c:v>
                </c:pt>
                <c:pt idx="75">
                  <c:v>811</c:v>
                </c:pt>
                <c:pt idx="76">
                  <c:v>790</c:v>
                </c:pt>
                <c:pt idx="77">
                  <c:v>795</c:v>
                </c:pt>
                <c:pt idx="78">
                  <c:v>805</c:v>
                </c:pt>
                <c:pt idx="79">
                  <c:v>699</c:v>
                </c:pt>
                <c:pt idx="80">
                  <c:v>766</c:v>
                </c:pt>
                <c:pt idx="81">
                  <c:v>776</c:v>
                </c:pt>
                <c:pt idx="82">
                  <c:v>749</c:v>
                </c:pt>
                <c:pt idx="83">
                  <c:v>750</c:v>
                </c:pt>
                <c:pt idx="84">
                  <c:v>783</c:v>
                </c:pt>
                <c:pt idx="85">
                  <c:v>753</c:v>
                </c:pt>
                <c:pt idx="86">
                  <c:v>772</c:v>
                </c:pt>
                <c:pt idx="87">
                  <c:v>788</c:v>
                </c:pt>
                <c:pt idx="88">
                  <c:v>775</c:v>
                </c:pt>
                <c:pt idx="89">
                  <c:v>674</c:v>
                </c:pt>
                <c:pt idx="90">
                  <c:v>746</c:v>
                </c:pt>
                <c:pt idx="91">
                  <c:v>657</c:v>
                </c:pt>
                <c:pt idx="92">
                  <c:v>675</c:v>
                </c:pt>
                <c:pt idx="93">
                  <c:v>610</c:v>
                </c:pt>
                <c:pt idx="94">
                  <c:v>613</c:v>
                </c:pt>
                <c:pt idx="95">
                  <c:v>583</c:v>
                </c:pt>
                <c:pt idx="96">
                  <c:v>551</c:v>
                </c:pt>
                <c:pt idx="97">
                  <c:v>502</c:v>
                </c:pt>
                <c:pt idx="98">
                  <c:v>535</c:v>
                </c:pt>
                <c:pt idx="99">
                  <c:v>448</c:v>
                </c:pt>
                <c:pt idx="100">
                  <c:v>421</c:v>
                </c:pt>
                <c:pt idx="101">
                  <c:v>401</c:v>
                </c:pt>
                <c:pt idx="102">
                  <c:v>370</c:v>
                </c:pt>
                <c:pt idx="103">
                  <c:v>425</c:v>
                </c:pt>
                <c:pt idx="104">
                  <c:v>345</c:v>
                </c:pt>
                <c:pt idx="105">
                  <c:v>441</c:v>
                </c:pt>
                <c:pt idx="106">
                  <c:v>425</c:v>
                </c:pt>
                <c:pt idx="107">
                  <c:v>422</c:v>
                </c:pt>
                <c:pt idx="108">
                  <c:v>439</c:v>
                </c:pt>
                <c:pt idx="109">
                  <c:v>431</c:v>
                </c:pt>
                <c:pt idx="110">
                  <c:v>401</c:v>
                </c:pt>
                <c:pt idx="111">
                  <c:v>388</c:v>
                </c:pt>
                <c:pt idx="112">
                  <c:v>516</c:v>
                </c:pt>
                <c:pt idx="113">
                  <c:v>579</c:v>
                </c:pt>
                <c:pt idx="114">
                  <c:v>483</c:v>
                </c:pt>
                <c:pt idx="115">
                  <c:v>518</c:v>
                </c:pt>
                <c:pt idx="116">
                  <c:v>596</c:v>
                </c:pt>
                <c:pt idx="117">
                  <c:v>552</c:v>
                </c:pt>
                <c:pt idx="118">
                  <c:v>595</c:v>
                </c:pt>
                <c:pt idx="119">
                  <c:v>718</c:v>
                </c:pt>
                <c:pt idx="120">
                  <c:v>599</c:v>
                </c:pt>
                <c:pt idx="121">
                  <c:v>467</c:v>
                </c:pt>
                <c:pt idx="122">
                  <c:v>607</c:v>
                </c:pt>
                <c:pt idx="123">
                  <c:v>591</c:v>
                </c:pt>
                <c:pt idx="124">
                  <c:v>556</c:v>
                </c:pt>
                <c:pt idx="125">
                  <c:v>556</c:v>
                </c:pt>
                <c:pt idx="126">
                  <c:v>620</c:v>
                </c:pt>
                <c:pt idx="127">
                  <c:v>674</c:v>
                </c:pt>
                <c:pt idx="128">
                  <c:v>589</c:v>
                </c:pt>
                <c:pt idx="129">
                  <c:v>706</c:v>
                </c:pt>
                <c:pt idx="130">
                  <c:v>593</c:v>
                </c:pt>
                <c:pt idx="131">
                  <c:v>505</c:v>
                </c:pt>
                <c:pt idx="132">
                  <c:v>628</c:v>
                </c:pt>
                <c:pt idx="133">
                  <c:v>674</c:v>
                </c:pt>
                <c:pt idx="134">
                  <c:v>668</c:v>
                </c:pt>
                <c:pt idx="135">
                  <c:v>786</c:v>
                </c:pt>
                <c:pt idx="136">
                  <c:v>668</c:v>
                </c:pt>
                <c:pt idx="137">
                  <c:v>746</c:v>
                </c:pt>
                <c:pt idx="138">
                  <c:v>751</c:v>
                </c:pt>
                <c:pt idx="139">
                  <c:v>625</c:v>
                </c:pt>
                <c:pt idx="140">
                  <c:v>709</c:v>
                </c:pt>
                <c:pt idx="141">
                  <c:v>609</c:v>
                </c:pt>
                <c:pt idx="142">
                  <c:v>661</c:v>
                </c:pt>
                <c:pt idx="143">
                  <c:v>649</c:v>
                </c:pt>
                <c:pt idx="144">
                  <c:v>575</c:v>
                </c:pt>
                <c:pt idx="145">
                  <c:v>690</c:v>
                </c:pt>
                <c:pt idx="146">
                  <c:v>709</c:v>
                </c:pt>
                <c:pt idx="147">
                  <c:v>692</c:v>
                </c:pt>
                <c:pt idx="148">
                  <c:v>731</c:v>
                </c:pt>
                <c:pt idx="149">
                  <c:v>632</c:v>
                </c:pt>
                <c:pt idx="150">
                  <c:v>685</c:v>
                </c:pt>
              </c:numCache>
            </c:numRef>
          </c: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sa jolts'!$S$3:$S$153</c:f>
              <c:numCache>
                <c:formatCode>General</c:formatCode>
                <c:ptCount val="151"/>
                <c:pt idx="0">
                  <c:v>902.16578045790357</c:v>
                </c:pt>
                <c:pt idx="1">
                  <c:v>726.02656509553003</c:v>
                </c:pt>
                <c:pt idx="2">
                  <c:v>692.58677186517946</c:v>
                </c:pt>
                <c:pt idx="3">
                  <c:v>906.99240267513665</c:v>
                </c:pt>
                <c:pt idx="4">
                  <c:v>888.36174490291853</c:v>
                </c:pt>
                <c:pt idx="5">
                  <c:v>847.31230449025441</c:v>
                </c:pt>
                <c:pt idx="6">
                  <c:v>706.35446130818832</c:v>
                </c:pt>
                <c:pt idx="7">
                  <c:v>647.16244070111509</c:v>
                </c:pt>
                <c:pt idx="8">
                  <c:v>564.62729689802723</c:v>
                </c:pt>
                <c:pt idx="9">
                  <c:v>630.80519910314547</c:v>
                </c:pt>
                <c:pt idx="10">
                  <c:v>533.64909848826483</c:v>
                </c:pt>
                <c:pt idx="11">
                  <c:v>549.92082215763071</c:v>
                </c:pt>
                <c:pt idx="12">
                  <c:v>536.48207818491835</c:v>
                </c:pt>
                <c:pt idx="13">
                  <c:v>561.52944299203511</c:v>
                </c:pt>
                <c:pt idx="14">
                  <c:v>480.42469742047058</c:v>
                </c:pt>
                <c:pt idx="15">
                  <c:v>552.26703675769443</c:v>
                </c:pt>
                <c:pt idx="16">
                  <c:v>557.80853749718142</c:v>
                </c:pt>
                <c:pt idx="17">
                  <c:v>640.9668373967454</c:v>
                </c:pt>
                <c:pt idx="18">
                  <c:v>513.51862797970853</c:v>
                </c:pt>
                <c:pt idx="19">
                  <c:v>601.8799375616785</c:v>
                </c:pt>
                <c:pt idx="20">
                  <c:v>566.63664670905223</c:v>
                </c:pt>
                <c:pt idx="21">
                  <c:v>559.48805079689805</c:v>
                </c:pt>
                <c:pt idx="22">
                  <c:v>685.85510223100471</c:v>
                </c:pt>
                <c:pt idx="23">
                  <c:v>653.23927965391283</c:v>
                </c:pt>
                <c:pt idx="24">
                  <c:v>602.17376122796964</c:v>
                </c:pt>
                <c:pt idx="25">
                  <c:v>863.82520141259397</c:v>
                </c:pt>
                <c:pt idx="26">
                  <c:v>768.06750988877775</c:v>
                </c:pt>
                <c:pt idx="27">
                  <c:v>642.54145622770227</c:v>
                </c:pt>
                <c:pt idx="28">
                  <c:v>521.18474463120481</c:v>
                </c:pt>
                <c:pt idx="29">
                  <c:v>610.06485923298317</c:v>
                </c:pt>
                <c:pt idx="30">
                  <c:v>585.96523939593294</c:v>
                </c:pt>
                <c:pt idx="31">
                  <c:v>683.01108901983582</c:v>
                </c:pt>
                <c:pt idx="32">
                  <c:v>727.38463159105288</c:v>
                </c:pt>
                <c:pt idx="33">
                  <c:v>650.89453665420103</c:v>
                </c:pt>
                <c:pt idx="34">
                  <c:v>567.98825786924886</c:v>
                </c:pt>
                <c:pt idx="35">
                  <c:v>635.46406115992875</c:v>
                </c:pt>
                <c:pt idx="36">
                  <c:v>659.10655319861405</c:v>
                </c:pt>
                <c:pt idx="37">
                  <c:v>567.55813333090668</c:v>
                </c:pt>
                <c:pt idx="38">
                  <c:v>666.06651255959082</c:v>
                </c:pt>
                <c:pt idx="39">
                  <c:v>555.45319273898883</c:v>
                </c:pt>
                <c:pt idx="40">
                  <c:v>723.08514120004997</c:v>
                </c:pt>
                <c:pt idx="41">
                  <c:v>663.8941115182464</c:v>
                </c:pt>
                <c:pt idx="42">
                  <c:v>694.63515652026967</c:v>
                </c:pt>
                <c:pt idx="43">
                  <c:v>756.5951566214203</c:v>
                </c:pt>
                <c:pt idx="44">
                  <c:v>654.04336348864013</c:v>
                </c:pt>
                <c:pt idx="45">
                  <c:v>700.11341365428723</c:v>
                </c:pt>
                <c:pt idx="46">
                  <c:v>728.54703011006586</c:v>
                </c:pt>
                <c:pt idx="47">
                  <c:v>597.69172186021274</c:v>
                </c:pt>
                <c:pt idx="48">
                  <c:v>745.60060253863151</c:v>
                </c:pt>
                <c:pt idx="49">
                  <c:v>629.56751967358537</c:v>
                </c:pt>
                <c:pt idx="50">
                  <c:v>677.28662226580138</c:v>
                </c:pt>
                <c:pt idx="51">
                  <c:v>747.68460361041707</c:v>
                </c:pt>
                <c:pt idx="52">
                  <c:v>830.13930496213527</c:v>
                </c:pt>
                <c:pt idx="53">
                  <c:v>776.5368061151861</c:v>
                </c:pt>
                <c:pt idx="54">
                  <c:v>864.03238027291206</c:v>
                </c:pt>
                <c:pt idx="55">
                  <c:v>852.82047579272319</c:v>
                </c:pt>
                <c:pt idx="56">
                  <c:v>837.89887119742832</c:v>
                </c:pt>
                <c:pt idx="57">
                  <c:v>823.66283959327905</c:v>
                </c:pt>
                <c:pt idx="58">
                  <c:v>843.62961830579604</c:v>
                </c:pt>
                <c:pt idx="59">
                  <c:v>838.76812268487106</c:v>
                </c:pt>
                <c:pt idx="60">
                  <c:v>875.88910724068307</c:v>
                </c:pt>
                <c:pt idx="61">
                  <c:v>854.35154516579576</c:v>
                </c:pt>
                <c:pt idx="62">
                  <c:v>841.50822796579246</c:v>
                </c:pt>
                <c:pt idx="63">
                  <c:v>750.87075959171148</c:v>
                </c:pt>
                <c:pt idx="64">
                  <c:v>739.049358603168</c:v>
                </c:pt>
                <c:pt idx="65">
                  <c:v>841.33127645855848</c:v>
                </c:pt>
                <c:pt idx="66">
                  <c:v>738.31620163887555</c:v>
                </c:pt>
                <c:pt idx="67">
                  <c:v>618.86087623896719</c:v>
                </c:pt>
                <c:pt idx="68">
                  <c:v>722.36125706349037</c:v>
                </c:pt>
                <c:pt idx="69">
                  <c:v>691.07321175631216</c:v>
                </c:pt>
                <c:pt idx="70">
                  <c:v>718.33809083463825</c:v>
                </c:pt>
                <c:pt idx="71">
                  <c:v>796.55197876165892</c:v>
                </c:pt>
                <c:pt idx="72">
                  <c:v>735.74685008217375</c:v>
                </c:pt>
                <c:pt idx="73">
                  <c:v>764.78243155970426</c:v>
                </c:pt>
                <c:pt idx="74">
                  <c:v>705.84690151797372</c:v>
                </c:pt>
                <c:pt idx="75">
                  <c:v>813.53182722383451</c:v>
                </c:pt>
                <c:pt idx="76">
                  <c:v>813.23601594706918</c:v>
                </c:pt>
                <c:pt idx="77">
                  <c:v>764.57475005179424</c:v>
                </c:pt>
                <c:pt idx="78">
                  <c:v>793.71655154540008</c:v>
                </c:pt>
                <c:pt idx="79">
                  <c:v>698.10525673298139</c:v>
                </c:pt>
                <c:pt idx="80">
                  <c:v>743.45943007925302</c:v>
                </c:pt>
                <c:pt idx="81">
                  <c:v>776.4528963482984</c:v>
                </c:pt>
                <c:pt idx="82">
                  <c:v>756.38959177032325</c:v>
                </c:pt>
                <c:pt idx="83">
                  <c:v>745.44822559145496</c:v>
                </c:pt>
                <c:pt idx="84">
                  <c:v>818.95631527003866</c:v>
                </c:pt>
                <c:pt idx="85">
                  <c:v>744.11263611214474</c:v>
                </c:pt>
                <c:pt idx="86">
                  <c:v>759.90743010244285</c:v>
                </c:pt>
                <c:pt idx="87">
                  <c:v>797.6010473173626</c:v>
                </c:pt>
                <c:pt idx="88">
                  <c:v>790.69829726031446</c:v>
                </c:pt>
                <c:pt idx="89">
                  <c:v>629.00478133335355</c:v>
                </c:pt>
                <c:pt idx="90">
                  <c:v>738.31620163887555</c:v>
                </c:pt>
                <c:pt idx="91">
                  <c:v>649.99259714732989</c:v>
                </c:pt>
                <c:pt idx="92">
                  <c:v>675.14153650440267</c:v>
                </c:pt>
                <c:pt idx="93">
                  <c:v>610.71586155208979</c:v>
                </c:pt>
                <c:pt idx="94">
                  <c:v>619.96103963506243</c:v>
                </c:pt>
                <c:pt idx="95">
                  <c:v>588.8041126132207</c:v>
                </c:pt>
                <c:pt idx="96">
                  <c:v>567.13819693834228</c:v>
                </c:pt>
                <c:pt idx="97">
                  <c:v>498.65881517237477</c:v>
                </c:pt>
                <c:pt idx="98">
                  <c:v>523.26511629872914</c:v>
                </c:pt>
                <c:pt idx="99">
                  <c:v>456.68235731886273</c:v>
                </c:pt>
                <c:pt idx="100">
                  <c:v>423.52129698860068</c:v>
                </c:pt>
                <c:pt idx="101">
                  <c:v>374.81108998627724</c:v>
                </c:pt>
                <c:pt idx="102">
                  <c:v>364.36383976983467</c:v>
                </c:pt>
                <c:pt idx="103">
                  <c:v>421.69331048600361</c:v>
                </c:pt>
                <c:pt idx="104">
                  <c:v>350.63154202386391</c:v>
                </c:pt>
                <c:pt idx="105">
                  <c:v>441.96542612322293</c:v>
                </c:pt>
                <c:pt idx="106">
                  <c:v>431.5597057339881</c:v>
                </c:pt>
                <c:pt idx="107">
                  <c:v>427.71619501149053</c:v>
                </c:pt>
                <c:pt idx="108">
                  <c:v>443.4188605405958</c:v>
                </c:pt>
                <c:pt idx="109">
                  <c:v>429.75949701384286</c:v>
                </c:pt>
                <c:pt idx="110">
                  <c:v>391.68382974407791</c:v>
                </c:pt>
                <c:pt idx="111">
                  <c:v>396.14539367426931</c:v>
                </c:pt>
                <c:pt idx="112">
                  <c:v>511.7940285117237</c:v>
                </c:pt>
                <c:pt idx="113">
                  <c:v>546.2672268948935</c:v>
                </c:pt>
                <c:pt idx="114">
                  <c:v>478.36071361595253</c:v>
                </c:pt>
                <c:pt idx="115">
                  <c:v>519.80540062144962</c:v>
                </c:pt>
                <c:pt idx="116">
                  <c:v>608.83299274057742</c:v>
                </c:pt>
                <c:pt idx="117">
                  <c:v>552.45678265402864</c:v>
                </c:pt>
                <c:pt idx="118">
                  <c:v>601.39933186155758</c:v>
                </c:pt>
                <c:pt idx="119">
                  <c:v>723.22920247397485</c:v>
                </c:pt>
                <c:pt idx="120">
                  <c:v>592.32000877151188</c:v>
                </c:pt>
                <c:pt idx="121">
                  <c:v>468.51536347801704</c:v>
                </c:pt>
                <c:pt idx="122">
                  <c:v>591.60578450928438</c:v>
                </c:pt>
                <c:pt idx="123">
                  <c:v>604.30758445216952</c:v>
                </c:pt>
                <c:pt idx="124">
                  <c:v>546.53967815380406</c:v>
                </c:pt>
                <c:pt idx="125">
                  <c:v>535.30200883678424</c:v>
                </c:pt>
                <c:pt idx="126">
                  <c:v>620.05776241533272</c:v>
                </c:pt>
                <c:pt idx="127">
                  <c:v>675.46400516326298</c:v>
                </c:pt>
                <c:pt idx="128">
                  <c:v>608.83299274057742</c:v>
                </c:pt>
                <c:pt idx="129">
                  <c:v>699.10894677673446</c:v>
                </c:pt>
                <c:pt idx="130">
                  <c:v>596.75890491818132</c:v>
                </c:pt>
                <c:pt idx="131">
                  <c:v>506.59372707854459</c:v>
                </c:pt>
                <c:pt idx="132">
                  <c:v>608.74292953227473</c:v>
                </c:pt>
                <c:pt idx="133">
                  <c:v>679.51952533852102</c:v>
                </c:pt>
                <c:pt idx="134">
                  <c:v>652.80638290679656</c:v>
                </c:pt>
                <c:pt idx="135">
                  <c:v>805.03541127371614</c:v>
                </c:pt>
                <c:pt idx="136">
                  <c:v>649.83755546809687</c:v>
                </c:pt>
                <c:pt idx="137">
                  <c:v>728.68858186161879</c:v>
                </c:pt>
                <c:pt idx="138">
                  <c:v>762.82020255906912</c:v>
                </c:pt>
                <c:pt idx="139">
                  <c:v>627.3513455776116</c:v>
                </c:pt>
                <c:pt idx="140">
                  <c:v>732.40800611861539</c:v>
                </c:pt>
                <c:pt idx="141">
                  <c:v>601.67565965411484</c:v>
                </c:pt>
                <c:pt idx="142">
                  <c:v>658.01254057074743</c:v>
                </c:pt>
                <c:pt idx="143">
                  <c:v>646.57357271866874</c:v>
                </c:pt>
                <c:pt idx="144">
                  <c:v>552.9049989456812</c:v>
                </c:pt>
                <c:pt idx="145">
                  <c:v>688.99318158531923</c:v>
                </c:pt>
                <c:pt idx="146">
                  <c:v>704.82689154468187</c:v>
                </c:pt>
                <c:pt idx="147">
                  <c:v>731.75382370394516</c:v>
                </c:pt>
                <c:pt idx="148">
                  <c:v>732.4758573195312</c:v>
                </c:pt>
                <c:pt idx="149">
                  <c:v>606.07750721185255</c:v>
                </c:pt>
                <c:pt idx="150">
                  <c:v>720.20454878481939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215936"/>
        <c:axId val="218217472"/>
      </c:lineChart>
      <c:catAx>
        <c:axId val="218215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7472"/>
        <c:crosses val="autoZero"/>
        <c:auto val="1"/>
        <c:lblAlgn val="ctr"/>
        <c:lblOffset val="100"/>
        <c:noMultiLvlLbl val="0"/>
      </c:catAx>
      <c:valAx>
        <c:axId val="2182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635608048993871E-2"/>
                  <c:y val="0.278112848741129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0.9793x + 14.738</a:t>
                    </a:r>
                    <a:br>
                      <a:rPr lang="en-US" b="1" baseline="0"/>
                    </a:br>
                    <a:r>
                      <a:rPr lang="en-US" b="1" baseline="0"/>
                      <a:t>R² = 0.9775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'Compare sa jolts'!$S$3:$S$153</c:f>
              <c:numCache>
                <c:formatCode>General</c:formatCode>
                <c:ptCount val="151"/>
                <c:pt idx="0">
                  <c:v>902.16578045790357</c:v>
                </c:pt>
                <c:pt idx="1">
                  <c:v>726.02656509553003</c:v>
                </c:pt>
                <c:pt idx="2">
                  <c:v>692.58677186517946</c:v>
                </c:pt>
                <c:pt idx="3">
                  <c:v>906.99240267513665</c:v>
                </c:pt>
                <c:pt idx="4">
                  <c:v>888.36174490291853</c:v>
                </c:pt>
                <c:pt idx="5">
                  <c:v>847.31230449025441</c:v>
                </c:pt>
                <c:pt idx="6">
                  <c:v>706.35446130818832</c:v>
                </c:pt>
                <c:pt idx="7">
                  <c:v>647.16244070111509</c:v>
                </c:pt>
                <c:pt idx="8">
                  <c:v>564.62729689802723</c:v>
                </c:pt>
                <c:pt idx="9">
                  <c:v>630.80519910314547</c:v>
                </c:pt>
                <c:pt idx="10">
                  <c:v>533.64909848826483</c:v>
                </c:pt>
                <c:pt idx="11">
                  <c:v>549.92082215763071</c:v>
                </c:pt>
                <c:pt idx="12">
                  <c:v>536.48207818491835</c:v>
                </c:pt>
                <c:pt idx="13">
                  <c:v>561.52944299203511</c:v>
                </c:pt>
                <c:pt idx="14">
                  <c:v>480.42469742047058</c:v>
                </c:pt>
                <c:pt idx="15">
                  <c:v>552.26703675769443</c:v>
                </c:pt>
                <c:pt idx="16">
                  <c:v>557.80853749718142</c:v>
                </c:pt>
                <c:pt idx="17">
                  <c:v>640.9668373967454</c:v>
                </c:pt>
                <c:pt idx="18">
                  <c:v>513.51862797970853</c:v>
                </c:pt>
                <c:pt idx="19">
                  <c:v>601.8799375616785</c:v>
                </c:pt>
                <c:pt idx="20">
                  <c:v>566.63664670905223</c:v>
                </c:pt>
                <c:pt idx="21">
                  <c:v>559.48805079689805</c:v>
                </c:pt>
                <c:pt idx="22">
                  <c:v>685.85510223100471</c:v>
                </c:pt>
                <c:pt idx="23">
                  <c:v>653.23927965391283</c:v>
                </c:pt>
                <c:pt idx="24">
                  <c:v>602.17376122796964</c:v>
                </c:pt>
                <c:pt idx="25">
                  <c:v>863.82520141259397</c:v>
                </c:pt>
                <c:pt idx="26">
                  <c:v>768.06750988877775</c:v>
                </c:pt>
                <c:pt idx="27">
                  <c:v>642.54145622770227</c:v>
                </c:pt>
                <c:pt idx="28">
                  <c:v>521.18474463120481</c:v>
                </c:pt>
                <c:pt idx="29">
                  <c:v>610.06485923298317</c:v>
                </c:pt>
                <c:pt idx="30">
                  <c:v>585.96523939593294</c:v>
                </c:pt>
                <c:pt idx="31">
                  <c:v>683.01108901983582</c:v>
                </c:pt>
                <c:pt idx="32">
                  <c:v>727.38463159105288</c:v>
                </c:pt>
                <c:pt idx="33">
                  <c:v>650.89453665420103</c:v>
                </c:pt>
                <c:pt idx="34">
                  <c:v>567.98825786924886</c:v>
                </c:pt>
                <c:pt idx="35">
                  <c:v>635.46406115992875</c:v>
                </c:pt>
                <c:pt idx="36">
                  <c:v>659.10655319861405</c:v>
                </c:pt>
                <c:pt idx="37">
                  <c:v>567.55813333090668</c:v>
                </c:pt>
                <c:pt idx="38">
                  <c:v>666.06651255959082</c:v>
                </c:pt>
                <c:pt idx="39">
                  <c:v>555.45319273898883</c:v>
                </c:pt>
                <c:pt idx="40">
                  <c:v>723.08514120004997</c:v>
                </c:pt>
                <c:pt idx="41">
                  <c:v>663.8941115182464</c:v>
                </c:pt>
                <c:pt idx="42">
                  <c:v>694.63515652026967</c:v>
                </c:pt>
                <c:pt idx="43">
                  <c:v>756.5951566214203</c:v>
                </c:pt>
                <c:pt idx="44">
                  <c:v>654.04336348864013</c:v>
                </c:pt>
                <c:pt idx="45">
                  <c:v>700.11341365428723</c:v>
                </c:pt>
                <c:pt idx="46">
                  <c:v>728.54703011006586</c:v>
                </c:pt>
                <c:pt idx="47">
                  <c:v>597.69172186021274</c:v>
                </c:pt>
                <c:pt idx="48">
                  <c:v>745.60060253863151</c:v>
                </c:pt>
                <c:pt idx="49">
                  <c:v>629.56751967358537</c:v>
                </c:pt>
                <c:pt idx="50">
                  <c:v>677.28662226580138</c:v>
                </c:pt>
                <c:pt idx="51">
                  <c:v>747.68460361041707</c:v>
                </c:pt>
                <c:pt idx="52">
                  <c:v>830.13930496213527</c:v>
                </c:pt>
                <c:pt idx="53">
                  <c:v>776.5368061151861</c:v>
                </c:pt>
                <c:pt idx="54">
                  <c:v>864.03238027291206</c:v>
                </c:pt>
                <c:pt idx="55">
                  <c:v>852.82047579272319</c:v>
                </c:pt>
                <c:pt idx="56">
                  <c:v>837.89887119742832</c:v>
                </c:pt>
                <c:pt idx="57">
                  <c:v>823.66283959327905</c:v>
                </c:pt>
                <c:pt idx="58">
                  <c:v>843.62961830579604</c:v>
                </c:pt>
                <c:pt idx="59">
                  <c:v>838.76812268487106</c:v>
                </c:pt>
                <c:pt idx="60">
                  <c:v>875.88910724068307</c:v>
                </c:pt>
                <c:pt idx="61">
                  <c:v>854.35154516579576</c:v>
                </c:pt>
                <c:pt idx="62">
                  <c:v>841.50822796579246</c:v>
                </c:pt>
                <c:pt idx="63">
                  <c:v>750.87075959171148</c:v>
                </c:pt>
                <c:pt idx="64">
                  <c:v>739.049358603168</c:v>
                </c:pt>
                <c:pt idx="65">
                  <c:v>841.33127645855848</c:v>
                </c:pt>
                <c:pt idx="66">
                  <c:v>738.31620163887555</c:v>
                </c:pt>
                <c:pt idx="67">
                  <c:v>618.86087623896719</c:v>
                </c:pt>
                <c:pt idx="68">
                  <c:v>722.36125706349037</c:v>
                </c:pt>
                <c:pt idx="69">
                  <c:v>691.07321175631216</c:v>
                </c:pt>
                <c:pt idx="70">
                  <c:v>718.33809083463825</c:v>
                </c:pt>
                <c:pt idx="71">
                  <c:v>796.55197876165892</c:v>
                </c:pt>
                <c:pt idx="72">
                  <c:v>735.74685008217375</c:v>
                </c:pt>
                <c:pt idx="73">
                  <c:v>764.78243155970426</c:v>
                </c:pt>
                <c:pt idx="74">
                  <c:v>705.84690151797372</c:v>
                </c:pt>
                <c:pt idx="75">
                  <c:v>813.53182722383451</c:v>
                </c:pt>
                <c:pt idx="76">
                  <c:v>813.23601594706918</c:v>
                </c:pt>
                <c:pt idx="77">
                  <c:v>764.57475005179424</c:v>
                </c:pt>
                <c:pt idx="78">
                  <c:v>793.71655154540008</c:v>
                </c:pt>
                <c:pt idx="79">
                  <c:v>698.10525673298139</c:v>
                </c:pt>
                <c:pt idx="80">
                  <c:v>743.45943007925302</c:v>
                </c:pt>
                <c:pt idx="81">
                  <c:v>776.4528963482984</c:v>
                </c:pt>
                <c:pt idx="82">
                  <c:v>756.38959177032325</c:v>
                </c:pt>
                <c:pt idx="83">
                  <c:v>745.44822559145496</c:v>
                </c:pt>
                <c:pt idx="84">
                  <c:v>818.95631527003866</c:v>
                </c:pt>
                <c:pt idx="85">
                  <c:v>744.11263611214474</c:v>
                </c:pt>
                <c:pt idx="86">
                  <c:v>759.90743010244285</c:v>
                </c:pt>
                <c:pt idx="87">
                  <c:v>797.6010473173626</c:v>
                </c:pt>
                <c:pt idx="88">
                  <c:v>790.69829726031446</c:v>
                </c:pt>
                <c:pt idx="89">
                  <c:v>629.00478133335355</c:v>
                </c:pt>
                <c:pt idx="90">
                  <c:v>738.31620163887555</c:v>
                </c:pt>
                <c:pt idx="91">
                  <c:v>649.99259714732989</c:v>
                </c:pt>
                <c:pt idx="92">
                  <c:v>675.14153650440267</c:v>
                </c:pt>
                <c:pt idx="93">
                  <c:v>610.71586155208979</c:v>
                </c:pt>
                <c:pt idx="94">
                  <c:v>619.96103963506243</c:v>
                </c:pt>
                <c:pt idx="95">
                  <c:v>588.8041126132207</c:v>
                </c:pt>
                <c:pt idx="96">
                  <c:v>567.13819693834228</c:v>
                </c:pt>
                <c:pt idx="97">
                  <c:v>498.65881517237477</c:v>
                </c:pt>
                <c:pt idx="98">
                  <c:v>523.26511629872914</c:v>
                </c:pt>
                <c:pt idx="99">
                  <c:v>456.68235731886273</c:v>
                </c:pt>
                <c:pt idx="100">
                  <c:v>423.52129698860068</c:v>
                </c:pt>
                <c:pt idx="101">
                  <c:v>374.81108998627724</c:v>
                </c:pt>
                <c:pt idx="102">
                  <c:v>364.36383976983467</c:v>
                </c:pt>
                <c:pt idx="103">
                  <c:v>421.69331048600361</c:v>
                </c:pt>
                <c:pt idx="104">
                  <c:v>350.63154202386391</c:v>
                </c:pt>
                <c:pt idx="105">
                  <c:v>441.96542612322293</c:v>
                </c:pt>
                <c:pt idx="106">
                  <c:v>431.5597057339881</c:v>
                </c:pt>
                <c:pt idx="107">
                  <c:v>427.71619501149053</c:v>
                </c:pt>
                <c:pt idx="108">
                  <c:v>443.4188605405958</c:v>
                </c:pt>
                <c:pt idx="109">
                  <c:v>429.75949701384286</c:v>
                </c:pt>
                <c:pt idx="110">
                  <c:v>391.68382974407791</c:v>
                </c:pt>
                <c:pt idx="111">
                  <c:v>396.14539367426931</c:v>
                </c:pt>
                <c:pt idx="112">
                  <c:v>511.7940285117237</c:v>
                </c:pt>
                <c:pt idx="113">
                  <c:v>546.2672268948935</c:v>
                </c:pt>
                <c:pt idx="114">
                  <c:v>478.36071361595253</c:v>
                </c:pt>
                <c:pt idx="115">
                  <c:v>519.80540062144962</c:v>
                </c:pt>
                <c:pt idx="116">
                  <c:v>608.83299274057742</c:v>
                </c:pt>
                <c:pt idx="117">
                  <c:v>552.45678265402864</c:v>
                </c:pt>
                <c:pt idx="118">
                  <c:v>601.39933186155758</c:v>
                </c:pt>
                <c:pt idx="119">
                  <c:v>723.22920247397485</c:v>
                </c:pt>
                <c:pt idx="120">
                  <c:v>592.32000877151188</c:v>
                </c:pt>
                <c:pt idx="121">
                  <c:v>468.51536347801704</c:v>
                </c:pt>
                <c:pt idx="122">
                  <c:v>591.60578450928438</c:v>
                </c:pt>
                <c:pt idx="123">
                  <c:v>604.30758445216952</c:v>
                </c:pt>
                <c:pt idx="124">
                  <c:v>546.53967815380406</c:v>
                </c:pt>
                <c:pt idx="125">
                  <c:v>535.30200883678424</c:v>
                </c:pt>
                <c:pt idx="126">
                  <c:v>620.05776241533272</c:v>
                </c:pt>
                <c:pt idx="127">
                  <c:v>675.46400516326298</c:v>
                </c:pt>
                <c:pt idx="128">
                  <c:v>608.83299274057742</c:v>
                </c:pt>
                <c:pt idx="129">
                  <c:v>699.10894677673446</c:v>
                </c:pt>
                <c:pt idx="130">
                  <c:v>596.75890491818132</c:v>
                </c:pt>
                <c:pt idx="131">
                  <c:v>506.59372707854459</c:v>
                </c:pt>
                <c:pt idx="132">
                  <c:v>608.74292953227473</c:v>
                </c:pt>
                <c:pt idx="133">
                  <c:v>679.51952533852102</c:v>
                </c:pt>
                <c:pt idx="134">
                  <c:v>652.80638290679656</c:v>
                </c:pt>
                <c:pt idx="135">
                  <c:v>805.03541127371614</c:v>
                </c:pt>
                <c:pt idx="136">
                  <c:v>649.83755546809687</c:v>
                </c:pt>
                <c:pt idx="137">
                  <c:v>728.68858186161879</c:v>
                </c:pt>
                <c:pt idx="138">
                  <c:v>762.82020255906912</c:v>
                </c:pt>
                <c:pt idx="139">
                  <c:v>627.3513455776116</c:v>
                </c:pt>
                <c:pt idx="140">
                  <c:v>732.40800611861539</c:v>
                </c:pt>
                <c:pt idx="141">
                  <c:v>601.67565965411484</c:v>
                </c:pt>
                <c:pt idx="142">
                  <c:v>658.01254057074743</c:v>
                </c:pt>
                <c:pt idx="143">
                  <c:v>646.57357271866874</c:v>
                </c:pt>
                <c:pt idx="144">
                  <c:v>552.9049989456812</c:v>
                </c:pt>
                <c:pt idx="145">
                  <c:v>688.99318158531923</c:v>
                </c:pt>
                <c:pt idx="146">
                  <c:v>704.82689154468187</c:v>
                </c:pt>
                <c:pt idx="147">
                  <c:v>731.75382370394516</c:v>
                </c:pt>
                <c:pt idx="148">
                  <c:v>732.4758573195312</c:v>
                </c:pt>
                <c:pt idx="149">
                  <c:v>606.07750721185255</c:v>
                </c:pt>
                <c:pt idx="150">
                  <c:v>720.20454878481939</c:v>
                </c:pt>
              </c:numCache>
            </c:numRef>
          </c:xVal>
          <c:yVal>
            <c:numRef>
              <c:f>'Compare sa jolts'!$R$3:$R$153</c:f>
              <c:numCache>
                <c:formatCode>#0</c:formatCode>
                <c:ptCount val="151"/>
                <c:pt idx="0">
                  <c:v>841</c:v>
                </c:pt>
                <c:pt idx="1">
                  <c:v>760</c:v>
                </c:pt>
                <c:pt idx="2">
                  <c:v>714</c:v>
                </c:pt>
                <c:pt idx="3">
                  <c:v>893</c:v>
                </c:pt>
                <c:pt idx="4">
                  <c:v>842</c:v>
                </c:pt>
                <c:pt idx="5">
                  <c:v>825</c:v>
                </c:pt>
                <c:pt idx="6">
                  <c:v>739</c:v>
                </c:pt>
                <c:pt idx="7">
                  <c:v>633</c:v>
                </c:pt>
                <c:pt idx="8">
                  <c:v>602</c:v>
                </c:pt>
                <c:pt idx="9">
                  <c:v>635</c:v>
                </c:pt>
                <c:pt idx="10">
                  <c:v>539</c:v>
                </c:pt>
                <c:pt idx="11">
                  <c:v>562</c:v>
                </c:pt>
                <c:pt idx="12">
                  <c:v>502</c:v>
                </c:pt>
                <c:pt idx="13">
                  <c:v>586</c:v>
                </c:pt>
                <c:pt idx="14">
                  <c:v>494</c:v>
                </c:pt>
                <c:pt idx="15">
                  <c:v>545</c:v>
                </c:pt>
                <c:pt idx="16">
                  <c:v>530</c:v>
                </c:pt>
                <c:pt idx="17">
                  <c:v>629</c:v>
                </c:pt>
                <c:pt idx="18">
                  <c:v>531</c:v>
                </c:pt>
                <c:pt idx="19">
                  <c:v>591</c:v>
                </c:pt>
                <c:pt idx="20">
                  <c:v>600</c:v>
                </c:pt>
                <c:pt idx="21">
                  <c:v>564</c:v>
                </c:pt>
                <c:pt idx="22">
                  <c:v>692</c:v>
                </c:pt>
                <c:pt idx="23">
                  <c:v>667</c:v>
                </c:pt>
                <c:pt idx="24">
                  <c:v>566</c:v>
                </c:pt>
                <c:pt idx="25">
                  <c:v>894</c:v>
                </c:pt>
                <c:pt idx="26">
                  <c:v>787</c:v>
                </c:pt>
                <c:pt idx="27">
                  <c:v>634</c:v>
                </c:pt>
                <c:pt idx="28">
                  <c:v>496</c:v>
                </c:pt>
                <c:pt idx="29">
                  <c:v>605</c:v>
                </c:pt>
                <c:pt idx="30">
                  <c:v>601</c:v>
                </c:pt>
                <c:pt idx="31">
                  <c:v>676</c:v>
                </c:pt>
                <c:pt idx="32">
                  <c:v>765</c:v>
                </c:pt>
                <c:pt idx="33">
                  <c:v>657</c:v>
                </c:pt>
                <c:pt idx="34">
                  <c:v>573</c:v>
                </c:pt>
                <c:pt idx="35">
                  <c:v>648</c:v>
                </c:pt>
                <c:pt idx="36">
                  <c:v>622</c:v>
                </c:pt>
                <c:pt idx="37">
                  <c:v>586</c:v>
                </c:pt>
                <c:pt idx="38">
                  <c:v>679</c:v>
                </c:pt>
                <c:pt idx="39">
                  <c:v>547</c:v>
                </c:pt>
                <c:pt idx="40">
                  <c:v>691</c:v>
                </c:pt>
                <c:pt idx="41">
                  <c:v>666</c:v>
                </c:pt>
                <c:pt idx="42">
                  <c:v>710</c:v>
                </c:pt>
                <c:pt idx="43">
                  <c:v>754</c:v>
                </c:pt>
                <c:pt idx="44">
                  <c:v>685</c:v>
                </c:pt>
                <c:pt idx="45">
                  <c:v>706</c:v>
                </c:pt>
                <c:pt idx="46">
                  <c:v>732</c:v>
                </c:pt>
                <c:pt idx="47">
                  <c:v>607</c:v>
                </c:pt>
                <c:pt idx="48">
                  <c:v>705</c:v>
                </c:pt>
                <c:pt idx="49">
                  <c:v>646</c:v>
                </c:pt>
                <c:pt idx="50">
                  <c:v>686</c:v>
                </c:pt>
                <c:pt idx="51">
                  <c:v>739</c:v>
                </c:pt>
                <c:pt idx="52">
                  <c:v>796</c:v>
                </c:pt>
                <c:pt idx="53">
                  <c:v>790</c:v>
                </c:pt>
                <c:pt idx="54">
                  <c:v>883</c:v>
                </c:pt>
                <c:pt idx="55">
                  <c:v>851</c:v>
                </c:pt>
                <c:pt idx="56">
                  <c:v>871</c:v>
                </c:pt>
                <c:pt idx="57">
                  <c:v>831</c:v>
                </c:pt>
                <c:pt idx="58">
                  <c:v>842</c:v>
                </c:pt>
                <c:pt idx="59">
                  <c:v>849</c:v>
                </c:pt>
                <c:pt idx="60">
                  <c:v>831</c:v>
                </c:pt>
                <c:pt idx="61">
                  <c:v>875</c:v>
                </c:pt>
                <c:pt idx="62">
                  <c:v>847</c:v>
                </c:pt>
                <c:pt idx="63">
                  <c:v>746</c:v>
                </c:pt>
                <c:pt idx="64">
                  <c:v>713</c:v>
                </c:pt>
                <c:pt idx="65">
                  <c:v>868</c:v>
                </c:pt>
                <c:pt idx="66">
                  <c:v>754</c:v>
                </c:pt>
                <c:pt idx="67">
                  <c:v>618</c:v>
                </c:pt>
                <c:pt idx="68">
                  <c:v>749</c:v>
                </c:pt>
                <c:pt idx="69">
                  <c:v>692</c:v>
                </c:pt>
                <c:pt idx="70">
                  <c:v>714</c:v>
                </c:pt>
                <c:pt idx="71">
                  <c:v>803</c:v>
                </c:pt>
                <c:pt idx="72">
                  <c:v>701</c:v>
                </c:pt>
                <c:pt idx="73">
                  <c:v>782</c:v>
                </c:pt>
                <c:pt idx="74">
                  <c:v>710</c:v>
                </c:pt>
                <c:pt idx="75">
                  <c:v>811</c:v>
                </c:pt>
                <c:pt idx="76">
                  <c:v>790</c:v>
                </c:pt>
                <c:pt idx="77">
                  <c:v>795</c:v>
                </c:pt>
                <c:pt idx="78">
                  <c:v>805</c:v>
                </c:pt>
                <c:pt idx="79">
                  <c:v>699</c:v>
                </c:pt>
                <c:pt idx="80">
                  <c:v>766</c:v>
                </c:pt>
                <c:pt idx="81">
                  <c:v>776</c:v>
                </c:pt>
                <c:pt idx="82">
                  <c:v>749</c:v>
                </c:pt>
                <c:pt idx="83">
                  <c:v>750</c:v>
                </c:pt>
                <c:pt idx="84">
                  <c:v>783</c:v>
                </c:pt>
                <c:pt idx="85">
                  <c:v>753</c:v>
                </c:pt>
                <c:pt idx="86">
                  <c:v>772</c:v>
                </c:pt>
                <c:pt idx="87">
                  <c:v>788</c:v>
                </c:pt>
                <c:pt idx="88">
                  <c:v>775</c:v>
                </c:pt>
                <c:pt idx="89">
                  <c:v>674</c:v>
                </c:pt>
                <c:pt idx="90">
                  <c:v>746</c:v>
                </c:pt>
                <c:pt idx="91">
                  <c:v>657</c:v>
                </c:pt>
                <c:pt idx="92">
                  <c:v>675</c:v>
                </c:pt>
                <c:pt idx="93">
                  <c:v>610</c:v>
                </c:pt>
                <c:pt idx="94">
                  <c:v>613</c:v>
                </c:pt>
                <c:pt idx="95">
                  <c:v>583</c:v>
                </c:pt>
                <c:pt idx="96">
                  <c:v>551</c:v>
                </c:pt>
                <c:pt idx="97">
                  <c:v>502</c:v>
                </c:pt>
                <c:pt idx="98">
                  <c:v>535</c:v>
                </c:pt>
                <c:pt idx="99">
                  <c:v>448</c:v>
                </c:pt>
                <c:pt idx="100">
                  <c:v>421</c:v>
                </c:pt>
                <c:pt idx="101">
                  <c:v>401</c:v>
                </c:pt>
                <c:pt idx="102">
                  <c:v>370</c:v>
                </c:pt>
                <c:pt idx="103">
                  <c:v>425</c:v>
                </c:pt>
                <c:pt idx="104">
                  <c:v>345</c:v>
                </c:pt>
                <c:pt idx="105">
                  <c:v>441</c:v>
                </c:pt>
                <c:pt idx="106">
                  <c:v>425</c:v>
                </c:pt>
                <c:pt idx="107">
                  <c:v>422</c:v>
                </c:pt>
                <c:pt idx="108">
                  <c:v>439</c:v>
                </c:pt>
                <c:pt idx="109">
                  <c:v>431</c:v>
                </c:pt>
                <c:pt idx="110">
                  <c:v>401</c:v>
                </c:pt>
                <c:pt idx="111">
                  <c:v>388</c:v>
                </c:pt>
                <c:pt idx="112">
                  <c:v>516</c:v>
                </c:pt>
                <c:pt idx="113">
                  <c:v>579</c:v>
                </c:pt>
                <c:pt idx="114">
                  <c:v>483</c:v>
                </c:pt>
                <c:pt idx="115">
                  <c:v>518</c:v>
                </c:pt>
                <c:pt idx="116">
                  <c:v>596</c:v>
                </c:pt>
                <c:pt idx="117">
                  <c:v>552</c:v>
                </c:pt>
                <c:pt idx="118">
                  <c:v>595</c:v>
                </c:pt>
                <c:pt idx="119">
                  <c:v>718</c:v>
                </c:pt>
                <c:pt idx="120">
                  <c:v>599</c:v>
                </c:pt>
                <c:pt idx="121">
                  <c:v>467</c:v>
                </c:pt>
                <c:pt idx="122">
                  <c:v>607</c:v>
                </c:pt>
                <c:pt idx="123">
                  <c:v>591</c:v>
                </c:pt>
                <c:pt idx="124">
                  <c:v>556</c:v>
                </c:pt>
                <c:pt idx="125">
                  <c:v>556</c:v>
                </c:pt>
                <c:pt idx="126">
                  <c:v>620</c:v>
                </c:pt>
                <c:pt idx="127">
                  <c:v>674</c:v>
                </c:pt>
                <c:pt idx="128">
                  <c:v>589</c:v>
                </c:pt>
                <c:pt idx="129">
                  <c:v>706</c:v>
                </c:pt>
                <c:pt idx="130">
                  <c:v>593</c:v>
                </c:pt>
                <c:pt idx="131">
                  <c:v>505</c:v>
                </c:pt>
                <c:pt idx="132">
                  <c:v>628</c:v>
                </c:pt>
                <c:pt idx="133">
                  <c:v>674</c:v>
                </c:pt>
                <c:pt idx="134">
                  <c:v>668</c:v>
                </c:pt>
                <c:pt idx="135">
                  <c:v>786</c:v>
                </c:pt>
                <c:pt idx="136">
                  <c:v>668</c:v>
                </c:pt>
                <c:pt idx="137">
                  <c:v>746</c:v>
                </c:pt>
                <c:pt idx="138">
                  <c:v>751</c:v>
                </c:pt>
                <c:pt idx="139">
                  <c:v>625</c:v>
                </c:pt>
                <c:pt idx="140">
                  <c:v>709</c:v>
                </c:pt>
                <c:pt idx="141">
                  <c:v>609</c:v>
                </c:pt>
                <c:pt idx="142">
                  <c:v>661</c:v>
                </c:pt>
                <c:pt idx="143">
                  <c:v>649</c:v>
                </c:pt>
                <c:pt idx="144">
                  <c:v>575</c:v>
                </c:pt>
                <c:pt idx="145">
                  <c:v>690</c:v>
                </c:pt>
                <c:pt idx="146">
                  <c:v>709</c:v>
                </c:pt>
                <c:pt idx="147">
                  <c:v>692</c:v>
                </c:pt>
                <c:pt idx="148">
                  <c:v>731</c:v>
                </c:pt>
                <c:pt idx="149">
                  <c:v>632</c:v>
                </c:pt>
                <c:pt idx="150">
                  <c:v>685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94368"/>
        <c:axId val="228795904"/>
      </c:scatterChart>
      <c:valAx>
        <c:axId val="22879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95904"/>
        <c:crosses val="autoZero"/>
        <c:crossBetween val="midCat"/>
      </c:valAx>
      <c:valAx>
        <c:axId val="2287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9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'All SA qtly'!$C$3:$C$52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8963456"/>
        <c:axId val="22896499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qtly'!$CR$3:$CR$52</c:f>
              <c:numCache>
                <c:formatCode>General</c:formatCode>
                <c:ptCount val="50"/>
                <c:pt idx="0">
                  <c:v>0.9688860434102875</c:v>
                </c:pt>
                <c:pt idx="1">
                  <c:v>0.96582546380689871</c:v>
                </c:pt>
                <c:pt idx="2">
                  <c:v>0.95686261570928299</c:v>
                </c:pt>
                <c:pt idx="3">
                  <c:v>0.95398627160987637</c:v>
                </c:pt>
                <c:pt idx="4">
                  <c:v>0.94937807391569207</c:v>
                </c:pt>
                <c:pt idx="5">
                  <c:v>0.95484034899175807</c:v>
                </c:pt>
                <c:pt idx="6">
                  <c:v>0.95503837327314056</c:v>
                </c:pt>
                <c:pt idx="7">
                  <c:v>0.95038200949441576</c:v>
                </c:pt>
                <c:pt idx="8">
                  <c:v>0.95085845828291193</c:v>
                </c:pt>
                <c:pt idx="9">
                  <c:v>0.95785797515762727</c:v>
                </c:pt>
                <c:pt idx="10">
                  <c:v>0.95547264095036333</c:v>
                </c:pt>
                <c:pt idx="11">
                  <c:v>0.96721679733330723</c:v>
                </c:pt>
                <c:pt idx="12">
                  <c:v>0.96849866198214052</c:v>
                </c:pt>
                <c:pt idx="13">
                  <c:v>0.96683731930683825</c:v>
                </c:pt>
                <c:pt idx="14">
                  <c:v>0.96759795664891035</c:v>
                </c:pt>
                <c:pt idx="15">
                  <c:v>0.97005113337415028</c:v>
                </c:pt>
                <c:pt idx="16">
                  <c:v>0.97116982009317487</c:v>
                </c:pt>
                <c:pt idx="17">
                  <c:v>0.97187047266987403</c:v>
                </c:pt>
                <c:pt idx="18">
                  <c:v>0.97190679107143962</c:v>
                </c:pt>
                <c:pt idx="19">
                  <c:v>0.97433627346329621</c:v>
                </c:pt>
                <c:pt idx="20">
                  <c:v>0.96790501547201857</c:v>
                </c:pt>
                <c:pt idx="21">
                  <c:v>0.9722375637637144</c:v>
                </c:pt>
                <c:pt idx="22">
                  <c:v>0.97200524002421473</c:v>
                </c:pt>
                <c:pt idx="23">
                  <c:v>0.9712913138713174</c:v>
                </c:pt>
                <c:pt idx="24">
                  <c:v>0.97486791736842382</c:v>
                </c:pt>
                <c:pt idx="25">
                  <c:v>0.96554827165715007</c:v>
                </c:pt>
                <c:pt idx="26">
                  <c:v>0.96749292094182815</c:v>
                </c:pt>
                <c:pt idx="27">
                  <c:v>0.96222968198682846</c:v>
                </c:pt>
                <c:pt idx="28">
                  <c:v>0.95481165028165726</c:v>
                </c:pt>
                <c:pt idx="29">
                  <c:v>0.95666652309657674</c:v>
                </c:pt>
                <c:pt idx="30">
                  <c:v>0.95618607312140125</c:v>
                </c:pt>
                <c:pt idx="31">
                  <c:v>0.94241524270930366</c:v>
                </c:pt>
                <c:pt idx="32">
                  <c:v>0.9224782600113175</c:v>
                </c:pt>
                <c:pt idx="33">
                  <c:v>0.91573941258940816</c:v>
                </c:pt>
                <c:pt idx="34">
                  <c:v>0.92715250572091767</c:v>
                </c:pt>
                <c:pt idx="35">
                  <c:v>0.92840960522819382</c:v>
                </c:pt>
                <c:pt idx="36">
                  <c:v>0.94374287574783722</c:v>
                </c:pt>
                <c:pt idx="37">
                  <c:v>0.94774113079070588</c:v>
                </c:pt>
                <c:pt idx="38">
                  <c:v>0.95321841039956756</c:v>
                </c:pt>
                <c:pt idx="39">
                  <c:v>0.9489953113088172</c:v>
                </c:pt>
                <c:pt idx="40">
                  <c:v>0.95895211464931673</c:v>
                </c:pt>
                <c:pt idx="41">
                  <c:v>0.96070174658532514</c:v>
                </c:pt>
                <c:pt idx="42">
                  <c:v>0.96314758617402929</c:v>
                </c:pt>
                <c:pt idx="43">
                  <c:v>0.96468562028900484</c:v>
                </c:pt>
                <c:pt idx="44">
                  <c:v>0.96986526778758364</c:v>
                </c:pt>
                <c:pt idx="45">
                  <c:v>0.96371898942892587</c:v>
                </c:pt>
                <c:pt idx="46">
                  <c:v>0.96319967274441021</c:v>
                </c:pt>
                <c:pt idx="47">
                  <c:v>0.97194915594396714</c:v>
                </c:pt>
                <c:pt idx="48">
                  <c:v>0.97600974226203374</c:v>
                </c:pt>
                <c:pt idx="49">
                  <c:v>0.97239435428515608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63456"/>
        <c:axId val="228964992"/>
      </c:lineChart>
      <c:catAx>
        <c:axId val="22896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499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28964992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</a:rPr>
                  <a:t>Ω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4450650699912511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3456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'All SA qtly'!$C$3:$C$52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9644160"/>
        <c:axId val="22964569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qtly'!$CS$3:$CS$52</c:f>
              <c:numCache>
                <c:formatCode>General</c:formatCode>
                <c:ptCount val="50"/>
                <c:pt idx="0">
                  <c:v>3.1113956589712499E-2</c:v>
                </c:pt>
                <c:pt idx="1">
                  <c:v>3.417453619310129E-2</c:v>
                </c:pt>
                <c:pt idx="2">
                  <c:v>4.3137384290717007E-2</c:v>
                </c:pt>
                <c:pt idx="3">
                  <c:v>4.6013728390123632E-2</c:v>
                </c:pt>
                <c:pt idx="4">
                  <c:v>5.0621926084307933E-2</c:v>
                </c:pt>
                <c:pt idx="5">
                  <c:v>4.515965100824193E-2</c:v>
                </c:pt>
                <c:pt idx="6">
                  <c:v>4.4961626726859438E-2</c:v>
                </c:pt>
                <c:pt idx="7">
                  <c:v>4.9617990505584242E-2</c:v>
                </c:pt>
                <c:pt idx="8">
                  <c:v>4.9141541717088066E-2</c:v>
                </c:pt>
                <c:pt idx="9">
                  <c:v>4.2142024842372727E-2</c:v>
                </c:pt>
                <c:pt idx="10">
                  <c:v>4.4527359049636672E-2</c:v>
                </c:pt>
                <c:pt idx="11">
                  <c:v>3.2783202666692768E-2</c:v>
                </c:pt>
                <c:pt idx="12">
                  <c:v>3.1501338017859482E-2</c:v>
                </c:pt>
                <c:pt idx="13">
                  <c:v>3.316268069316175E-2</c:v>
                </c:pt>
                <c:pt idx="14">
                  <c:v>3.2402043351089649E-2</c:v>
                </c:pt>
                <c:pt idx="15">
                  <c:v>2.9948866625849724E-2</c:v>
                </c:pt>
                <c:pt idx="16">
                  <c:v>2.8830179906825126E-2</c:v>
                </c:pt>
                <c:pt idx="17">
                  <c:v>2.812952733012597E-2</c:v>
                </c:pt>
                <c:pt idx="18">
                  <c:v>2.8093208928560376E-2</c:v>
                </c:pt>
                <c:pt idx="19">
                  <c:v>2.566372653670379E-2</c:v>
                </c:pt>
                <c:pt idx="20">
                  <c:v>3.2094984527981429E-2</c:v>
                </c:pt>
                <c:pt idx="21">
                  <c:v>2.7762436236285604E-2</c:v>
                </c:pt>
                <c:pt idx="22">
                  <c:v>2.7994759975785266E-2</c:v>
                </c:pt>
                <c:pt idx="23">
                  <c:v>2.8708686128682603E-2</c:v>
                </c:pt>
                <c:pt idx="24">
                  <c:v>2.513208263157618E-2</c:v>
                </c:pt>
                <c:pt idx="25">
                  <c:v>3.445172834284993E-2</c:v>
                </c:pt>
                <c:pt idx="26">
                  <c:v>3.2507079058171851E-2</c:v>
                </c:pt>
                <c:pt idx="27">
                  <c:v>3.7770318013171544E-2</c:v>
                </c:pt>
                <c:pt idx="28">
                  <c:v>4.5188349718342735E-2</c:v>
                </c:pt>
                <c:pt idx="29">
                  <c:v>4.3333476903423263E-2</c:v>
                </c:pt>
                <c:pt idx="30">
                  <c:v>4.3813926878598752E-2</c:v>
                </c:pt>
                <c:pt idx="31">
                  <c:v>5.7584757290696342E-2</c:v>
                </c:pt>
                <c:pt idx="32">
                  <c:v>7.7521739988682503E-2</c:v>
                </c:pt>
                <c:pt idx="33">
                  <c:v>8.4260587410591836E-2</c:v>
                </c:pt>
                <c:pt idx="34">
                  <c:v>7.2847494279082325E-2</c:v>
                </c:pt>
                <c:pt idx="35">
                  <c:v>7.1590394771806176E-2</c:v>
                </c:pt>
                <c:pt idx="36">
                  <c:v>5.6257124252162782E-2</c:v>
                </c:pt>
                <c:pt idx="37">
                  <c:v>5.2258869209294123E-2</c:v>
                </c:pt>
                <c:pt idx="38">
                  <c:v>4.6781589600432438E-2</c:v>
                </c:pt>
                <c:pt idx="39">
                  <c:v>5.1004688691182798E-2</c:v>
                </c:pt>
                <c:pt idx="40">
                  <c:v>4.1047885350683266E-2</c:v>
                </c:pt>
                <c:pt idx="41">
                  <c:v>3.9298253414674855E-2</c:v>
                </c:pt>
                <c:pt idx="42">
                  <c:v>3.6852413825970709E-2</c:v>
                </c:pt>
                <c:pt idx="43">
                  <c:v>3.5314379710995158E-2</c:v>
                </c:pt>
                <c:pt idx="44">
                  <c:v>3.013473221241636E-2</c:v>
                </c:pt>
                <c:pt idx="45">
                  <c:v>3.6281010571074135E-2</c:v>
                </c:pt>
                <c:pt idx="46">
                  <c:v>3.6800327255589793E-2</c:v>
                </c:pt>
                <c:pt idx="47">
                  <c:v>2.8050844056032864E-2</c:v>
                </c:pt>
                <c:pt idx="48">
                  <c:v>2.3990257737966258E-2</c:v>
                </c:pt>
                <c:pt idx="49">
                  <c:v>2.7605645714843918E-2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644160"/>
        <c:axId val="229645696"/>
      </c:lineChart>
      <c:catAx>
        <c:axId val="2296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45696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29645696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alibri" panose="020F0502020204030204" pitchFamily="34" charset="0"/>
                  </a:rPr>
                  <a:t>1-</a:t>
                </a:r>
                <a:r>
                  <a:rPr lang="el-GR">
                    <a:latin typeface="Calibri" panose="020F0502020204030204" pitchFamily="34" charset="0"/>
                  </a:rPr>
                  <a:t>Ω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4450650699912511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44160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X: Slack markets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3"/>
          <c:tx>
            <c:v>NBER recession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qtly'!$C$3:$C$52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9787904"/>
        <c:axId val="229801984"/>
      </c:barChart>
      <c:lineChart>
        <c:grouping val="standard"/>
        <c:varyColors val="0"/>
        <c:ser>
          <c:idx val="0"/>
          <c:order val="0"/>
          <c:tx>
            <c:v>Construction</c:v>
          </c:tx>
          <c:spPr>
            <a:ln w="15875" cap="rnd">
              <a:solidFill>
                <a:srgbClr val="436B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36BED"/>
              </a:solidFill>
              <a:ln w="9525">
                <a:solidFill>
                  <a:srgbClr val="436BED"/>
                </a:solidFill>
              </a:ln>
              <a:effectLst/>
            </c:spPr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qtly'!$DD$3:$DD$52</c:f>
              <c:numCache>
                <c:formatCode>General</c:formatCode>
                <c:ptCount val="50"/>
                <c:pt idx="0">
                  <c:v>0.37466508356725042</c:v>
                </c:pt>
                <c:pt idx="1">
                  <c:v>0.50181101289458152</c:v>
                </c:pt>
                <c:pt idx="2">
                  <c:v>0.35190707943188632</c:v>
                </c:pt>
                <c:pt idx="3">
                  <c:v>0.35937210793676089</c:v>
                </c:pt>
                <c:pt idx="4">
                  <c:v>0.28213717444030278</c:v>
                </c:pt>
                <c:pt idx="5">
                  <c:v>0.34140970688802474</c:v>
                </c:pt>
                <c:pt idx="6">
                  <c:v>0.3173431875276696</c:v>
                </c:pt>
                <c:pt idx="7">
                  <c:v>0.30428960178404563</c:v>
                </c:pt>
                <c:pt idx="8">
                  <c:v>0.2608793580942505</c:v>
                </c:pt>
                <c:pt idx="9">
                  <c:v>0.381957352285892</c:v>
                </c:pt>
                <c:pt idx="10">
                  <c:v>0.2860783810146848</c:v>
                </c:pt>
                <c:pt idx="11">
                  <c:v>0.29885021635876263</c:v>
                </c:pt>
                <c:pt idx="12">
                  <c:v>0.34591425347537014</c:v>
                </c:pt>
                <c:pt idx="13">
                  <c:v>0.33130373872479707</c:v>
                </c:pt>
                <c:pt idx="14">
                  <c:v>0.29267582699393352</c:v>
                </c:pt>
                <c:pt idx="15">
                  <c:v>0.35544867666793473</c:v>
                </c:pt>
                <c:pt idx="16">
                  <c:v>0.32923035605999929</c:v>
                </c:pt>
                <c:pt idx="17">
                  <c:v>0.35463134213858732</c:v>
                </c:pt>
                <c:pt idx="18">
                  <c:v>0.34954782894750508</c:v>
                </c:pt>
                <c:pt idx="19">
                  <c:v>0.41267555796578026</c:v>
                </c:pt>
                <c:pt idx="20">
                  <c:v>0.34608084563201408</c:v>
                </c:pt>
                <c:pt idx="21">
                  <c:v>0.36905639119151235</c:v>
                </c:pt>
                <c:pt idx="22">
                  <c:v>0.36892312989842962</c:v>
                </c:pt>
                <c:pt idx="23">
                  <c:v>0.29954280038950193</c:v>
                </c:pt>
                <c:pt idx="24">
                  <c:v>0.43262194878701554</c:v>
                </c:pt>
                <c:pt idx="25">
                  <c:v>0.28158035834198081</c:v>
                </c:pt>
                <c:pt idx="26">
                  <c:v>0.28406091429974023</c:v>
                </c:pt>
                <c:pt idx="27">
                  <c:v>0.24510068076921648</c:v>
                </c:pt>
                <c:pt idx="28">
                  <c:v>0.22317257716720956</c:v>
                </c:pt>
                <c:pt idx="29">
                  <c:v>0.22101580783113492</c:v>
                </c:pt>
                <c:pt idx="30">
                  <c:v>0.23673485117834675</c:v>
                </c:pt>
                <c:pt idx="31">
                  <c:v>0.16408105366454895</c:v>
                </c:pt>
                <c:pt idx="32">
                  <c:v>0.14014963661818464</c:v>
                </c:pt>
                <c:pt idx="33">
                  <c:v>0.11336691631745273</c:v>
                </c:pt>
                <c:pt idx="34">
                  <c:v>0.16637901140507463</c:v>
                </c:pt>
                <c:pt idx="35">
                  <c:v>0.18134190933559363</c:v>
                </c:pt>
                <c:pt idx="36">
                  <c:v>0.18834054163708283</c:v>
                </c:pt>
                <c:pt idx="37">
                  <c:v>0.17813804519088106</c:v>
                </c:pt>
                <c:pt idx="38">
                  <c:v>0.18149189943024574</c:v>
                </c:pt>
                <c:pt idx="39">
                  <c:v>0.17197205932443005</c:v>
                </c:pt>
                <c:pt idx="40">
                  <c:v>0.16519155550146428</c:v>
                </c:pt>
                <c:pt idx="41">
                  <c:v>0.21048487489458925</c:v>
                </c:pt>
                <c:pt idx="42">
                  <c:v>0.21778675909010659</c:v>
                </c:pt>
                <c:pt idx="43">
                  <c:v>0.20459445365836709</c:v>
                </c:pt>
                <c:pt idx="44">
                  <c:v>0.21473000808314335</c:v>
                </c:pt>
                <c:pt idx="45">
                  <c:v>0.17198796158508436</c:v>
                </c:pt>
                <c:pt idx="46">
                  <c:v>0.19456886032742665</c:v>
                </c:pt>
                <c:pt idx="47">
                  <c:v>0.25815094767825902</c:v>
                </c:pt>
                <c:pt idx="48">
                  <c:v>0.296651136988484</c:v>
                </c:pt>
                <c:pt idx="49">
                  <c:v>0.27329955429158609</c:v>
                </c:pt>
              </c:numCache>
            </c:numRef>
          </c:val>
          <c:smooth val="0"/>
        </c:ser>
        <c:ser>
          <c:idx val="1"/>
          <c:order val="1"/>
          <c:tx>
            <c:v>Durable mfg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qtly'!$DE$3:$DE$52</c:f>
              <c:numCache>
                <c:formatCode>General</c:formatCode>
                <c:ptCount val="50"/>
                <c:pt idx="0">
                  <c:v>0.60870461314103907</c:v>
                </c:pt>
                <c:pt idx="1">
                  <c:v>0.43960423270843851</c:v>
                </c:pt>
                <c:pt idx="2">
                  <c:v>0.3759573774672802</c:v>
                </c:pt>
                <c:pt idx="3">
                  <c:v>0.34317749668148945</c:v>
                </c:pt>
                <c:pt idx="4">
                  <c:v>0.36639129821669414</c:v>
                </c:pt>
                <c:pt idx="5">
                  <c:v>0.41123290734100365</c:v>
                </c:pt>
                <c:pt idx="6">
                  <c:v>0.43208538532150009</c:v>
                </c:pt>
                <c:pt idx="7">
                  <c:v>0.40317481759257628</c:v>
                </c:pt>
                <c:pt idx="8">
                  <c:v>0.38081184996363798</c:v>
                </c:pt>
                <c:pt idx="9">
                  <c:v>0.32980028596336652</c:v>
                </c:pt>
                <c:pt idx="10">
                  <c:v>0.37133600234335601</c:v>
                </c:pt>
                <c:pt idx="11">
                  <c:v>0.46121868147634421</c:v>
                </c:pt>
                <c:pt idx="12">
                  <c:v>0.50476259665593093</c:v>
                </c:pt>
                <c:pt idx="13">
                  <c:v>0.61386816713469827</c:v>
                </c:pt>
                <c:pt idx="14">
                  <c:v>0.51963137750554611</c:v>
                </c:pt>
                <c:pt idx="15">
                  <c:v>0.58447004250768408</c:v>
                </c:pt>
                <c:pt idx="16">
                  <c:v>0.66979251660282424</c:v>
                </c:pt>
                <c:pt idx="17">
                  <c:v>0.6689287578551758</c:v>
                </c:pt>
                <c:pt idx="18">
                  <c:v>0.65811413545145059</c:v>
                </c:pt>
                <c:pt idx="19">
                  <c:v>0.68847830050139691</c:v>
                </c:pt>
                <c:pt idx="20">
                  <c:v>0.83824156492467838</c:v>
                </c:pt>
                <c:pt idx="21">
                  <c:v>0.78024493944062701</c:v>
                </c:pt>
                <c:pt idx="22">
                  <c:v>0.701093944781783</c:v>
                </c:pt>
                <c:pt idx="23">
                  <c:v>0.70298251692182434</c:v>
                </c:pt>
                <c:pt idx="24">
                  <c:v>0.65307507680897248</c:v>
                </c:pt>
                <c:pt idx="25">
                  <c:v>0.63712552512258147</c:v>
                </c:pt>
                <c:pt idx="26">
                  <c:v>0.75186963797783191</c:v>
                </c:pt>
                <c:pt idx="27">
                  <c:v>0.56709883762843527</c:v>
                </c:pt>
                <c:pt idx="28">
                  <c:v>0.56090046540267113</c:v>
                </c:pt>
                <c:pt idx="29">
                  <c:v>0.52726712513409257</c:v>
                </c:pt>
                <c:pt idx="30">
                  <c:v>0.48161385098182002</c:v>
                </c:pt>
                <c:pt idx="31">
                  <c:v>0.39700460743595084</c:v>
                </c:pt>
                <c:pt idx="32">
                  <c:v>0.20338686267190406</c:v>
                </c:pt>
                <c:pt idx="33">
                  <c:v>0.19669625810811125</c:v>
                </c:pt>
                <c:pt idx="34">
                  <c:v>0.25141670148924028</c:v>
                </c:pt>
                <c:pt idx="35">
                  <c:v>0.31650220814024815</c:v>
                </c:pt>
                <c:pt idx="36">
                  <c:v>0.37588073502835895</c:v>
                </c:pt>
                <c:pt idx="37">
                  <c:v>0.5107065189628337</c:v>
                </c:pt>
                <c:pt idx="38">
                  <c:v>0.60864574481262523</c:v>
                </c:pt>
                <c:pt idx="39">
                  <c:v>0.6017563093975844</c:v>
                </c:pt>
                <c:pt idx="40">
                  <c:v>0.63174316461141644</c:v>
                </c:pt>
                <c:pt idx="41">
                  <c:v>0.59542188101255378</c:v>
                </c:pt>
                <c:pt idx="42">
                  <c:v>0.65168263252871894</c:v>
                </c:pt>
                <c:pt idx="43">
                  <c:v>0.75117952755258044</c:v>
                </c:pt>
                <c:pt idx="44">
                  <c:v>0.78602392659017006</c:v>
                </c:pt>
                <c:pt idx="45">
                  <c:v>0.8077399902558865</c:v>
                </c:pt>
                <c:pt idx="46">
                  <c:v>0.65589237232168396</c:v>
                </c:pt>
                <c:pt idx="47">
                  <c:v>0.67317412503060325</c:v>
                </c:pt>
                <c:pt idx="48">
                  <c:v>0.76188053120601051</c:v>
                </c:pt>
                <c:pt idx="49">
                  <c:v>0.59851301660508482</c:v>
                </c:pt>
              </c:numCache>
            </c:numRef>
          </c:val>
          <c:smooth val="0"/>
        </c:ser>
        <c:ser>
          <c:idx val="3"/>
          <c:order val="2"/>
          <c:tx>
            <c:v>Transportation/utilities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qtly'!$DI$3:$DI$52</c:f>
              <c:numCache>
                <c:formatCode>General</c:formatCode>
                <c:ptCount val="50"/>
                <c:pt idx="0">
                  <c:v>0.89533169920226241</c:v>
                </c:pt>
                <c:pt idx="1">
                  <c:v>0.69848073066917271</c:v>
                </c:pt>
                <c:pt idx="2">
                  <c:v>0.77319229972629255</c:v>
                </c:pt>
                <c:pt idx="3">
                  <c:v>0.67255813341874804</c:v>
                </c:pt>
                <c:pt idx="4">
                  <c:v>0.58754813873406919</c:v>
                </c:pt>
                <c:pt idx="5">
                  <c:v>0.82696321825570018</c:v>
                </c:pt>
                <c:pt idx="6">
                  <c:v>0.68328498758825851</c:v>
                </c:pt>
                <c:pt idx="7">
                  <c:v>0.84804149896984315</c:v>
                </c:pt>
                <c:pt idx="8">
                  <c:v>0.80386925631068284</c:v>
                </c:pt>
                <c:pt idx="9">
                  <c:v>0.679863379451632</c:v>
                </c:pt>
                <c:pt idx="10">
                  <c:v>0.73696375219757215</c:v>
                </c:pt>
                <c:pt idx="11">
                  <c:v>0.73453010873148805</c:v>
                </c:pt>
                <c:pt idx="12">
                  <c:v>0.86934460716265072</c:v>
                </c:pt>
                <c:pt idx="13">
                  <c:v>0.7771003828443529</c:v>
                </c:pt>
                <c:pt idx="14">
                  <c:v>0.68002297004443812</c:v>
                </c:pt>
                <c:pt idx="15">
                  <c:v>0.73487412716391831</c:v>
                </c:pt>
                <c:pt idx="16">
                  <c:v>0.77334609133559429</c:v>
                </c:pt>
                <c:pt idx="17">
                  <c:v>0.82317311788344827</c:v>
                </c:pt>
                <c:pt idx="18">
                  <c:v>0.88357481039173003</c:v>
                </c:pt>
                <c:pt idx="19">
                  <c:v>0.77979886807332432</c:v>
                </c:pt>
                <c:pt idx="20">
                  <c:v>0.61413353329124243</c:v>
                </c:pt>
                <c:pt idx="21">
                  <c:v>0.85364727712287347</c:v>
                </c:pt>
                <c:pt idx="22">
                  <c:v>0.96390244993021224</c:v>
                </c:pt>
                <c:pt idx="23">
                  <c:v>1.0262300421718569</c:v>
                </c:pt>
                <c:pt idx="24">
                  <c:v>0.99796817254647985</c:v>
                </c:pt>
                <c:pt idx="25">
                  <c:v>0.86774823534425838</c:v>
                </c:pt>
                <c:pt idx="26">
                  <c:v>0.91806022589711334</c:v>
                </c:pt>
                <c:pt idx="27">
                  <c:v>0.91468959088832791</c:v>
                </c:pt>
                <c:pt idx="28">
                  <c:v>0.87676162272918712</c:v>
                </c:pt>
                <c:pt idx="29">
                  <c:v>0.71449172284219387</c:v>
                </c:pt>
                <c:pt idx="30">
                  <c:v>0.78613340612568883</c:v>
                </c:pt>
                <c:pt idx="31">
                  <c:v>0.61715099272243024</c:v>
                </c:pt>
                <c:pt idx="32">
                  <c:v>0.4742432042342829</c:v>
                </c:pt>
                <c:pt idx="33">
                  <c:v>0.69377461211555624</c:v>
                </c:pt>
                <c:pt idx="34">
                  <c:v>0.60818416388992913</c:v>
                </c:pt>
                <c:pt idx="35">
                  <c:v>0.47491412263210714</c:v>
                </c:pt>
                <c:pt idx="36">
                  <c:v>0.51203677899571975</c:v>
                </c:pt>
                <c:pt idx="37">
                  <c:v>0.70512510160171304</c:v>
                </c:pt>
                <c:pt idx="38">
                  <c:v>0.80821937910724495</c:v>
                </c:pt>
                <c:pt idx="39">
                  <c:v>0.82615995722523716</c:v>
                </c:pt>
                <c:pt idx="40">
                  <c:v>0.97996188813787577</c:v>
                </c:pt>
                <c:pt idx="41">
                  <c:v>0.86116235453239409</c:v>
                </c:pt>
                <c:pt idx="42">
                  <c:v>0.73086950235547687</c:v>
                </c:pt>
                <c:pt idx="43">
                  <c:v>0.88037212355450956</c:v>
                </c:pt>
                <c:pt idx="44">
                  <c:v>0.9763581226947462</c:v>
                </c:pt>
                <c:pt idx="45">
                  <c:v>0.6628723839120837</c:v>
                </c:pt>
                <c:pt idx="46">
                  <c:v>0.80152948022170578</c:v>
                </c:pt>
                <c:pt idx="47">
                  <c:v>0.78257289417446774</c:v>
                </c:pt>
                <c:pt idx="48">
                  <c:v>0.82148977240084164</c:v>
                </c:pt>
                <c:pt idx="49">
                  <c:v>0.94631687943342024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787904"/>
        <c:axId val="229801984"/>
      </c:lineChart>
      <c:catAx>
        <c:axId val="22978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01984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29801984"/>
        <c:scaling>
          <c:orientation val="minMax"/>
          <c:max val="1.1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</a:rPr>
                  <a:t>θ</a:t>
                </a:r>
                <a:r>
                  <a:rPr lang="en-US" baseline="-25000">
                    <a:latin typeface="Calibri" panose="020F0502020204030204" pitchFamily="34" charset="0"/>
                  </a:rPr>
                  <a:t>j</a:t>
                </a:r>
                <a:r>
                  <a:rPr lang="en-US">
                    <a:latin typeface="Calibri" panose="020F0502020204030204" pitchFamily="34" charset="0"/>
                  </a:rPr>
                  <a:t> /</a:t>
                </a:r>
                <a:r>
                  <a:rPr lang="el-GR">
                    <a:latin typeface="Calibri" panose="020F0502020204030204" pitchFamily="34" charset="0"/>
                  </a:rPr>
                  <a:t>θ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48839368616527E-2"/>
              <c:y val="0.401395188504662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8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X: Tight(er)</a:t>
            </a:r>
            <a:r>
              <a:rPr lang="en-US" baseline="0"/>
              <a:t> markets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3"/>
          <c:tx>
            <c:v>NBER recession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qtly'!$DT$3:$DT$52</c:f>
              <c:numCache>
                <c:formatCode>General</c:formatCode>
                <c:ptCount val="50"/>
                <c:pt idx="0">
                  <c:v>3.25</c:v>
                </c:pt>
                <c:pt idx="1">
                  <c:v>3.25</c:v>
                </c:pt>
                <c:pt idx="2">
                  <c:v>3.25</c:v>
                </c:pt>
                <c:pt idx="3">
                  <c:v>3.25</c:v>
                </c:pt>
                <c:pt idx="28">
                  <c:v>3.25</c:v>
                </c:pt>
                <c:pt idx="29">
                  <c:v>3.25</c:v>
                </c:pt>
                <c:pt idx="30">
                  <c:v>3.25</c:v>
                </c:pt>
                <c:pt idx="31">
                  <c:v>3.25</c:v>
                </c:pt>
                <c:pt idx="32">
                  <c:v>3.25</c:v>
                </c:pt>
                <c:pt idx="33">
                  <c:v>3.25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9846016"/>
        <c:axId val="229856000"/>
      </c:barChart>
      <c:lineChart>
        <c:grouping val="standard"/>
        <c:varyColors val="0"/>
        <c:ser>
          <c:idx val="0"/>
          <c:order val="0"/>
          <c:tx>
            <c:v>Other services</c:v>
          </c:tx>
          <c:spPr>
            <a:ln w="15875" cap="rnd">
              <a:solidFill>
                <a:srgbClr val="436B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36BED"/>
              </a:solidFill>
              <a:ln w="9525">
                <a:solidFill>
                  <a:srgbClr val="436BED"/>
                </a:solidFill>
              </a:ln>
              <a:effectLst/>
            </c:spPr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qtly'!$DR$3:$DR$52</c:f>
              <c:numCache>
                <c:formatCode>General</c:formatCode>
                <c:ptCount val="50"/>
                <c:pt idx="0">
                  <c:v>1.143736192165983</c:v>
                </c:pt>
                <c:pt idx="1">
                  <c:v>1.1695838172726454</c:v>
                </c:pt>
                <c:pt idx="2">
                  <c:v>1.7468026585534651</c:v>
                </c:pt>
                <c:pt idx="3">
                  <c:v>1.4090238041458563</c:v>
                </c:pt>
                <c:pt idx="4">
                  <c:v>1.0024074114122092</c:v>
                </c:pt>
                <c:pt idx="5">
                  <c:v>1.0353927653552526</c:v>
                </c:pt>
                <c:pt idx="6">
                  <c:v>1.0156481818158565</c:v>
                </c:pt>
                <c:pt idx="7">
                  <c:v>1.2190520058820313</c:v>
                </c:pt>
                <c:pt idx="8">
                  <c:v>0.97585421944687611</c:v>
                </c:pt>
                <c:pt idx="9">
                  <c:v>1.0341403716407649</c:v>
                </c:pt>
                <c:pt idx="10">
                  <c:v>0.79252622891908064</c:v>
                </c:pt>
                <c:pt idx="11">
                  <c:v>0.87493117907650253</c:v>
                </c:pt>
                <c:pt idx="12">
                  <c:v>0.99686846671077267</c:v>
                </c:pt>
                <c:pt idx="13">
                  <c:v>0.77541126059499788</c:v>
                </c:pt>
                <c:pt idx="14">
                  <c:v>0.9382428704792638</c:v>
                </c:pt>
                <c:pt idx="15">
                  <c:v>0.93283773333096232</c:v>
                </c:pt>
                <c:pt idx="16">
                  <c:v>0.86009216253442011</c:v>
                </c:pt>
                <c:pt idx="17">
                  <c:v>0.75047181774683014</c:v>
                </c:pt>
                <c:pt idx="18">
                  <c:v>0.84726081800277875</c:v>
                </c:pt>
                <c:pt idx="19">
                  <c:v>0.69063352060485295</c:v>
                </c:pt>
                <c:pt idx="20">
                  <c:v>0.591362325511405</c:v>
                </c:pt>
                <c:pt idx="21">
                  <c:v>0.85110939980927058</c:v>
                </c:pt>
                <c:pt idx="22">
                  <c:v>0.88525105433246321</c:v>
                </c:pt>
                <c:pt idx="23">
                  <c:v>0.79752946222157584</c:v>
                </c:pt>
                <c:pt idx="24">
                  <c:v>1.1063828324317102</c:v>
                </c:pt>
                <c:pt idx="25">
                  <c:v>1.1560786884005232</c:v>
                </c:pt>
                <c:pt idx="26">
                  <c:v>1.0397150015725543</c:v>
                </c:pt>
                <c:pt idx="27">
                  <c:v>1.2242140842820193</c:v>
                </c:pt>
                <c:pt idx="28">
                  <c:v>0.95769746086268492</c:v>
                </c:pt>
                <c:pt idx="29">
                  <c:v>1.1921345214212364</c:v>
                </c:pt>
                <c:pt idx="30">
                  <c:v>1.1594848430754876</c:v>
                </c:pt>
                <c:pt idx="31">
                  <c:v>1.4856795072363917</c:v>
                </c:pt>
                <c:pt idx="32">
                  <c:v>1.4950043594580862</c:v>
                </c:pt>
                <c:pt idx="33">
                  <c:v>1.462996833389766</c:v>
                </c:pt>
                <c:pt idx="34">
                  <c:v>1.2002970246905413</c:v>
                </c:pt>
                <c:pt idx="35">
                  <c:v>1.281710981829765</c:v>
                </c:pt>
                <c:pt idx="36">
                  <c:v>1.6015878313995389</c:v>
                </c:pt>
                <c:pt idx="37">
                  <c:v>1.2372693485769881</c:v>
                </c:pt>
                <c:pt idx="38">
                  <c:v>1.2578720261496124</c:v>
                </c:pt>
                <c:pt idx="39">
                  <c:v>0.98316950149563631</c:v>
                </c:pt>
                <c:pt idx="40">
                  <c:v>1.0219128238498676</c:v>
                </c:pt>
                <c:pt idx="41">
                  <c:v>0.78577615840330672</c:v>
                </c:pt>
                <c:pt idx="42">
                  <c:v>0.71310855506180992</c:v>
                </c:pt>
                <c:pt idx="43">
                  <c:v>0.6999985693512083</c:v>
                </c:pt>
                <c:pt idx="44">
                  <c:v>0.81798229967325231</c:v>
                </c:pt>
                <c:pt idx="45">
                  <c:v>0.9225948476010094</c:v>
                </c:pt>
                <c:pt idx="46">
                  <c:v>0.7571783703186783</c:v>
                </c:pt>
                <c:pt idx="47">
                  <c:v>0.87698154010966212</c:v>
                </c:pt>
                <c:pt idx="48">
                  <c:v>0.8617039266894998</c:v>
                </c:pt>
                <c:pt idx="49">
                  <c:v>0.81502762072024038</c:v>
                </c:pt>
              </c:numCache>
            </c:numRef>
          </c:val>
          <c:smooth val="0"/>
        </c:ser>
        <c:ser>
          <c:idx val="1"/>
          <c:order val="1"/>
          <c:tx>
            <c:v>Government</c:v>
          </c:tx>
          <c:spPr>
            <a:ln w="317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rgbClr val="436BED"/>
                </a:solidFill>
              </a:ln>
              <a:effectLst/>
            </c:spPr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qtly'!$DS$3:$DS$52</c:f>
              <c:numCache>
                <c:formatCode>General</c:formatCode>
                <c:ptCount val="50"/>
                <c:pt idx="0">
                  <c:v>1.2447020772671697</c:v>
                </c:pt>
                <c:pt idx="1">
                  <c:v>1.3613267167428102</c:v>
                </c:pt>
                <c:pt idx="2">
                  <c:v>1.5237497053643687</c:v>
                </c:pt>
                <c:pt idx="3">
                  <c:v>1.8117725738445818</c:v>
                </c:pt>
                <c:pt idx="4">
                  <c:v>1.646638575779285</c:v>
                </c:pt>
                <c:pt idx="5">
                  <c:v>1.7029596795080122</c:v>
                </c:pt>
                <c:pt idx="6">
                  <c:v>1.8219717522039189</c:v>
                </c:pt>
                <c:pt idx="7">
                  <c:v>1.703901869431834</c:v>
                </c:pt>
                <c:pt idx="8">
                  <c:v>1.5235041058939034</c:v>
                </c:pt>
                <c:pt idx="9">
                  <c:v>1.6001657985375703</c:v>
                </c:pt>
                <c:pt idx="10">
                  <c:v>1.3608276390356842</c:v>
                </c:pt>
                <c:pt idx="11">
                  <c:v>1.2599271128181697</c:v>
                </c:pt>
                <c:pt idx="12">
                  <c:v>1.3218281080887315</c:v>
                </c:pt>
                <c:pt idx="13">
                  <c:v>1.3600076368192873</c:v>
                </c:pt>
                <c:pt idx="14">
                  <c:v>1.1462711694413896</c:v>
                </c:pt>
                <c:pt idx="15">
                  <c:v>1.2546545384020542</c:v>
                </c:pt>
                <c:pt idx="16">
                  <c:v>1.1345437062045123</c:v>
                </c:pt>
                <c:pt idx="17">
                  <c:v>1.0518249230776271</c:v>
                </c:pt>
                <c:pt idx="18">
                  <c:v>1.1760607995513845</c:v>
                </c:pt>
                <c:pt idx="19">
                  <c:v>1.1490276336798046</c:v>
                </c:pt>
                <c:pt idx="20">
                  <c:v>1.109054769857462</c:v>
                </c:pt>
                <c:pt idx="21">
                  <c:v>1.171422962905657</c:v>
                </c:pt>
                <c:pt idx="22">
                  <c:v>1.5152460308921771</c:v>
                </c:pt>
                <c:pt idx="23">
                  <c:v>1.2280969159858646</c:v>
                </c:pt>
                <c:pt idx="24">
                  <c:v>1.1998879576167805</c:v>
                </c:pt>
                <c:pt idx="25">
                  <c:v>1.1532010839025857</c:v>
                </c:pt>
                <c:pt idx="26">
                  <c:v>1.212741185404691</c:v>
                </c:pt>
                <c:pt idx="27">
                  <c:v>1.2582976503112737</c:v>
                </c:pt>
                <c:pt idx="28">
                  <c:v>1.4272063275612776</c:v>
                </c:pt>
                <c:pt idx="29">
                  <c:v>1.4344463910654006</c:v>
                </c:pt>
                <c:pt idx="30">
                  <c:v>1.6847389387733445</c:v>
                </c:pt>
                <c:pt idx="31">
                  <c:v>1.8334409454696456</c:v>
                </c:pt>
                <c:pt idx="32">
                  <c:v>2.3432808517638462</c:v>
                </c:pt>
                <c:pt idx="33">
                  <c:v>2.1321062279089071</c:v>
                </c:pt>
                <c:pt idx="34">
                  <c:v>1.8652634856100176</c:v>
                </c:pt>
                <c:pt idx="35">
                  <c:v>2.3602457809610486</c:v>
                </c:pt>
                <c:pt idx="36">
                  <c:v>1.9724716082123954</c:v>
                </c:pt>
                <c:pt idx="37">
                  <c:v>2.1620753207655183</c:v>
                </c:pt>
                <c:pt idx="38">
                  <c:v>1.4056877514642039</c:v>
                </c:pt>
                <c:pt idx="39">
                  <c:v>1.444377341618158</c:v>
                </c:pt>
                <c:pt idx="40">
                  <c:v>1.1665479323728132</c:v>
                </c:pt>
                <c:pt idx="41">
                  <c:v>1.2719888368746224</c:v>
                </c:pt>
                <c:pt idx="42">
                  <c:v>1.2452396342358183</c:v>
                </c:pt>
                <c:pt idx="43">
                  <c:v>1.1988635992845</c:v>
                </c:pt>
                <c:pt idx="44">
                  <c:v>1.2320377432265939</c:v>
                </c:pt>
                <c:pt idx="45">
                  <c:v>1.1057825570197195</c:v>
                </c:pt>
                <c:pt idx="46">
                  <c:v>1.3301980364735164</c:v>
                </c:pt>
                <c:pt idx="47">
                  <c:v>1.1132117083149036</c:v>
                </c:pt>
                <c:pt idx="48">
                  <c:v>1.1825860814712155</c:v>
                </c:pt>
                <c:pt idx="49">
                  <c:v>1.1215124781620955</c:v>
                </c:pt>
              </c:numCache>
            </c:numRef>
          </c:val>
          <c:smooth val="0"/>
        </c:ser>
        <c:ser>
          <c:idx val="3"/>
          <c:order val="2"/>
          <c:tx>
            <c:v>Health care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'All SA qtly'!$A$3:$A$52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'All SA qtly'!$DO$3:$DO$52</c:f>
              <c:numCache>
                <c:formatCode>General</c:formatCode>
                <c:ptCount val="50"/>
                <c:pt idx="0">
                  <c:v>2.2740954967262401</c:v>
                </c:pt>
                <c:pt idx="1">
                  <c:v>2.5893423761010959</c:v>
                </c:pt>
                <c:pt idx="2">
                  <c:v>2.952959795662863</c:v>
                </c:pt>
                <c:pt idx="3">
                  <c:v>3.0814036016759578</c:v>
                </c:pt>
                <c:pt idx="4">
                  <c:v>3.0801132993413822</c:v>
                </c:pt>
                <c:pt idx="5">
                  <c:v>3.2251234189781899</c:v>
                </c:pt>
                <c:pt idx="6">
                  <c:v>3.1009380708782173</c:v>
                </c:pt>
                <c:pt idx="7">
                  <c:v>3.1391683959749512</c:v>
                </c:pt>
                <c:pt idx="8">
                  <c:v>2.848633667427928</c:v>
                </c:pt>
                <c:pt idx="9">
                  <c:v>2.838027705199206</c:v>
                </c:pt>
                <c:pt idx="10">
                  <c:v>2.424896297895331</c:v>
                </c:pt>
                <c:pt idx="11">
                  <c:v>2.1951896472022936</c:v>
                </c:pt>
                <c:pt idx="12">
                  <c:v>2.3934751147834135</c:v>
                </c:pt>
                <c:pt idx="13">
                  <c:v>2.0927872380091301</c:v>
                </c:pt>
                <c:pt idx="14">
                  <c:v>2.0778531584939022</c:v>
                </c:pt>
                <c:pt idx="15">
                  <c:v>2.217332375075697</c:v>
                </c:pt>
                <c:pt idx="16">
                  <c:v>2.1021867094957223</c:v>
                </c:pt>
                <c:pt idx="17">
                  <c:v>1.8550290068799546</c:v>
                </c:pt>
                <c:pt idx="18">
                  <c:v>1.9186557717510211</c:v>
                </c:pt>
                <c:pt idx="19">
                  <c:v>1.6311704126168416</c:v>
                </c:pt>
                <c:pt idx="20">
                  <c:v>1.9069365231377462</c:v>
                </c:pt>
                <c:pt idx="21">
                  <c:v>1.8983403775079508</c:v>
                </c:pt>
                <c:pt idx="22">
                  <c:v>2.0431773188640086</c:v>
                </c:pt>
                <c:pt idx="23">
                  <c:v>2.0329797275808614</c:v>
                </c:pt>
                <c:pt idx="24">
                  <c:v>2.0352747766311978</c:v>
                </c:pt>
                <c:pt idx="25">
                  <c:v>2.0611949870835011</c:v>
                </c:pt>
                <c:pt idx="26">
                  <c:v>2.1137889411554989</c:v>
                </c:pt>
                <c:pt idx="27">
                  <c:v>2.2800350797750322</c:v>
                </c:pt>
                <c:pt idx="28">
                  <c:v>2.4490965811681926</c:v>
                </c:pt>
                <c:pt idx="29">
                  <c:v>2.5155018764279076</c:v>
                </c:pt>
                <c:pt idx="30">
                  <c:v>2.4986179169730711</c:v>
                </c:pt>
                <c:pt idx="31">
                  <c:v>2.774329824972352</c:v>
                </c:pt>
                <c:pt idx="32">
                  <c:v>3.0664758939243923</c:v>
                </c:pt>
                <c:pt idx="33">
                  <c:v>3.0137809827341115</c:v>
                </c:pt>
                <c:pt idx="34">
                  <c:v>3.2037806424865622</c:v>
                </c:pt>
                <c:pt idx="35">
                  <c:v>2.7717058257571048</c:v>
                </c:pt>
                <c:pt idx="36">
                  <c:v>2.5393176362455838</c:v>
                </c:pt>
                <c:pt idx="37">
                  <c:v>2.074554558806796</c:v>
                </c:pt>
                <c:pt idx="38">
                  <c:v>1.9702370917577965</c:v>
                </c:pt>
                <c:pt idx="39">
                  <c:v>2.125289948972926</c:v>
                </c:pt>
                <c:pt idx="40">
                  <c:v>1.9999317539632671</c:v>
                </c:pt>
                <c:pt idx="41">
                  <c:v>2.0586440894631997</c:v>
                </c:pt>
                <c:pt idx="42">
                  <c:v>2.0451715335544414</c:v>
                </c:pt>
                <c:pt idx="43">
                  <c:v>2.0305102909366397</c:v>
                </c:pt>
                <c:pt idx="44">
                  <c:v>1.8197636698944082</c:v>
                </c:pt>
                <c:pt idx="45">
                  <c:v>1.9464062294960747</c:v>
                </c:pt>
                <c:pt idx="46">
                  <c:v>1.9328338195303258</c:v>
                </c:pt>
                <c:pt idx="47">
                  <c:v>1.8290407278636189</c:v>
                </c:pt>
                <c:pt idx="48">
                  <c:v>1.673458310118642</c:v>
                </c:pt>
                <c:pt idx="49">
                  <c:v>1.8994817523083851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46016"/>
        <c:axId val="229856000"/>
      </c:lineChart>
      <c:catAx>
        <c:axId val="2298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56000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29856000"/>
        <c:scaling>
          <c:orientation val="minMax"/>
          <c:max val="3.2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</a:rPr>
                  <a:t>θ</a:t>
                </a:r>
                <a:r>
                  <a:rPr lang="en-US" baseline="-25000">
                    <a:latin typeface="Calibri" panose="020F0502020204030204" pitchFamily="34" charset="0"/>
                  </a:rPr>
                  <a:t>j</a:t>
                </a:r>
                <a:r>
                  <a:rPr lang="en-US">
                    <a:latin typeface="Calibri" panose="020F0502020204030204" pitchFamily="34" charset="0"/>
                  </a:rPr>
                  <a:t> /</a:t>
                </a:r>
                <a:r>
                  <a:rPr lang="el-GR">
                    <a:latin typeface="Calibri" panose="020F0502020204030204" pitchFamily="34" charset="0"/>
                  </a:rPr>
                  <a:t>θ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48839368616527E-2"/>
              <c:y val="0.401395188504662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4601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5003965256959821E-2"/>
          <c:y val="5.0076954581915106E-2"/>
          <c:w val="0.96999206948608041"/>
          <c:h val="0.94992304416840068"/>
        </c:manualLayout>
      </c:layout>
      <c:lineChart>
        <c:grouping val="standard"/>
        <c:varyColors val="0"/>
        <c:ser>
          <c:idx val="0"/>
          <c:order val="0"/>
          <c:tx>
            <c:strRef>
              <c:f>'All SA qtly'!$CR$1:$CR$2</c:f>
              <c:strCache>
                <c:ptCount val="1"/>
                <c:pt idx="0">
                  <c:v>OMEGA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'All SA qtly'!$B$3:$B$54</c:f>
              <c:numCache>
                <c:formatCode>m/d/yyyy</c:formatCode>
                <c:ptCount val="52"/>
                <c:pt idx="0">
                  <c:v>36951</c:v>
                </c:pt>
                <c:pt idx="1">
                  <c:v>37043</c:v>
                </c:pt>
                <c:pt idx="2">
                  <c:v>37135</c:v>
                </c:pt>
                <c:pt idx="3">
                  <c:v>37226</c:v>
                </c:pt>
                <c:pt idx="4">
                  <c:v>37316</c:v>
                </c:pt>
                <c:pt idx="5">
                  <c:v>37408</c:v>
                </c:pt>
                <c:pt idx="6">
                  <c:v>37500</c:v>
                </c:pt>
                <c:pt idx="7">
                  <c:v>37591</c:v>
                </c:pt>
                <c:pt idx="8">
                  <c:v>37681</c:v>
                </c:pt>
                <c:pt idx="9">
                  <c:v>37773</c:v>
                </c:pt>
                <c:pt idx="10">
                  <c:v>37865</c:v>
                </c:pt>
                <c:pt idx="11">
                  <c:v>37956</c:v>
                </c:pt>
                <c:pt idx="12">
                  <c:v>38047</c:v>
                </c:pt>
                <c:pt idx="13">
                  <c:v>38139</c:v>
                </c:pt>
                <c:pt idx="14">
                  <c:v>38231</c:v>
                </c:pt>
                <c:pt idx="15">
                  <c:v>38322</c:v>
                </c:pt>
                <c:pt idx="16">
                  <c:v>38412</c:v>
                </c:pt>
                <c:pt idx="17">
                  <c:v>38504</c:v>
                </c:pt>
                <c:pt idx="18">
                  <c:v>38596</c:v>
                </c:pt>
                <c:pt idx="19">
                  <c:v>38687</c:v>
                </c:pt>
                <c:pt idx="20">
                  <c:v>38777</c:v>
                </c:pt>
                <c:pt idx="21">
                  <c:v>38869</c:v>
                </c:pt>
                <c:pt idx="22">
                  <c:v>38961</c:v>
                </c:pt>
                <c:pt idx="23">
                  <c:v>39052</c:v>
                </c:pt>
                <c:pt idx="24">
                  <c:v>39142</c:v>
                </c:pt>
                <c:pt idx="25">
                  <c:v>39234</c:v>
                </c:pt>
                <c:pt idx="26">
                  <c:v>39326</c:v>
                </c:pt>
                <c:pt idx="27">
                  <c:v>39417</c:v>
                </c:pt>
                <c:pt idx="28">
                  <c:v>39508</c:v>
                </c:pt>
                <c:pt idx="29">
                  <c:v>39600</c:v>
                </c:pt>
                <c:pt idx="30">
                  <c:v>39692</c:v>
                </c:pt>
                <c:pt idx="31">
                  <c:v>39783</c:v>
                </c:pt>
                <c:pt idx="32">
                  <c:v>39873</c:v>
                </c:pt>
                <c:pt idx="33">
                  <c:v>39965</c:v>
                </c:pt>
                <c:pt idx="34">
                  <c:v>40057</c:v>
                </c:pt>
                <c:pt idx="35">
                  <c:v>40148</c:v>
                </c:pt>
                <c:pt idx="36">
                  <c:v>40238</c:v>
                </c:pt>
                <c:pt idx="37">
                  <c:v>40330</c:v>
                </c:pt>
                <c:pt idx="38">
                  <c:v>40422</c:v>
                </c:pt>
                <c:pt idx="39">
                  <c:v>40513</c:v>
                </c:pt>
                <c:pt idx="40">
                  <c:v>40603</c:v>
                </c:pt>
                <c:pt idx="41">
                  <c:v>40695</c:v>
                </c:pt>
                <c:pt idx="42">
                  <c:v>40787</c:v>
                </c:pt>
                <c:pt idx="43">
                  <c:v>40878</c:v>
                </c:pt>
                <c:pt idx="44">
                  <c:v>40969</c:v>
                </c:pt>
                <c:pt idx="45">
                  <c:v>41061</c:v>
                </c:pt>
                <c:pt idx="46">
                  <c:v>41153</c:v>
                </c:pt>
                <c:pt idx="47">
                  <c:v>41244</c:v>
                </c:pt>
                <c:pt idx="48">
                  <c:v>41334</c:v>
                </c:pt>
                <c:pt idx="49">
                  <c:v>41426</c:v>
                </c:pt>
                <c:pt idx="50">
                  <c:v>41518</c:v>
                </c:pt>
              </c:numCache>
            </c:numRef>
          </c:cat>
          <c:val>
            <c:numRef>
              <c:f>'All SA qtly'!$CR$3:$CR$54</c:f>
              <c:numCache>
                <c:formatCode>General</c:formatCode>
                <c:ptCount val="52"/>
                <c:pt idx="0">
                  <c:v>0.9688860434102875</c:v>
                </c:pt>
                <c:pt idx="1">
                  <c:v>0.96582546380689871</c:v>
                </c:pt>
                <c:pt idx="2">
                  <c:v>0.95686261570928299</c:v>
                </c:pt>
                <c:pt idx="3">
                  <c:v>0.95398627160987637</c:v>
                </c:pt>
                <c:pt idx="4">
                  <c:v>0.94937807391569207</c:v>
                </c:pt>
                <c:pt idx="5">
                  <c:v>0.95484034899175807</c:v>
                </c:pt>
                <c:pt idx="6">
                  <c:v>0.95503837327314056</c:v>
                </c:pt>
                <c:pt idx="7">
                  <c:v>0.95038200949441576</c:v>
                </c:pt>
                <c:pt idx="8">
                  <c:v>0.95085845828291193</c:v>
                </c:pt>
                <c:pt idx="9">
                  <c:v>0.95785797515762727</c:v>
                </c:pt>
                <c:pt idx="10">
                  <c:v>0.95547264095036333</c:v>
                </c:pt>
                <c:pt idx="11">
                  <c:v>0.96721679733330723</c:v>
                </c:pt>
                <c:pt idx="12">
                  <c:v>0.96849866198214052</c:v>
                </c:pt>
                <c:pt idx="13">
                  <c:v>0.96683731930683825</c:v>
                </c:pt>
                <c:pt idx="14">
                  <c:v>0.96759795664891035</c:v>
                </c:pt>
                <c:pt idx="15">
                  <c:v>0.97005113337415028</c:v>
                </c:pt>
                <c:pt idx="16">
                  <c:v>0.97116982009317487</c:v>
                </c:pt>
                <c:pt idx="17">
                  <c:v>0.97187047266987403</c:v>
                </c:pt>
                <c:pt idx="18">
                  <c:v>0.97190679107143962</c:v>
                </c:pt>
                <c:pt idx="19">
                  <c:v>0.97433627346329621</c:v>
                </c:pt>
                <c:pt idx="20">
                  <c:v>0.96790501547201857</c:v>
                </c:pt>
                <c:pt idx="21">
                  <c:v>0.9722375637637144</c:v>
                </c:pt>
                <c:pt idx="22">
                  <c:v>0.97200524002421473</c:v>
                </c:pt>
                <c:pt idx="23">
                  <c:v>0.9712913138713174</c:v>
                </c:pt>
                <c:pt idx="24">
                  <c:v>0.97486791736842382</c:v>
                </c:pt>
                <c:pt idx="25">
                  <c:v>0.96554827165715007</c:v>
                </c:pt>
                <c:pt idx="26">
                  <c:v>0.96749292094182815</c:v>
                </c:pt>
                <c:pt idx="27">
                  <c:v>0.96222968198682846</c:v>
                </c:pt>
                <c:pt idx="28">
                  <c:v>0.95481165028165726</c:v>
                </c:pt>
                <c:pt idx="29">
                  <c:v>0.95666652309657674</c:v>
                </c:pt>
                <c:pt idx="30">
                  <c:v>0.95618607312140125</c:v>
                </c:pt>
                <c:pt idx="31">
                  <c:v>0.94241524270930366</c:v>
                </c:pt>
                <c:pt idx="32">
                  <c:v>0.9224782600113175</c:v>
                </c:pt>
                <c:pt idx="33">
                  <c:v>0.91573941258940816</c:v>
                </c:pt>
                <c:pt idx="34">
                  <c:v>0.92715250572091767</c:v>
                </c:pt>
                <c:pt idx="35">
                  <c:v>0.92840960522819382</c:v>
                </c:pt>
                <c:pt idx="36">
                  <c:v>0.94374287574783722</c:v>
                </c:pt>
                <c:pt idx="37">
                  <c:v>0.94774113079070588</c:v>
                </c:pt>
                <c:pt idx="38">
                  <c:v>0.95321841039956756</c:v>
                </c:pt>
                <c:pt idx="39">
                  <c:v>0.9489953113088172</c:v>
                </c:pt>
                <c:pt idx="40">
                  <c:v>0.95895211464931673</c:v>
                </c:pt>
                <c:pt idx="41">
                  <c:v>0.96070174658532514</c:v>
                </c:pt>
                <c:pt idx="42">
                  <c:v>0.96314758617402929</c:v>
                </c:pt>
                <c:pt idx="43">
                  <c:v>0.96468562028900484</c:v>
                </c:pt>
                <c:pt idx="44">
                  <c:v>0.96986526778758364</c:v>
                </c:pt>
                <c:pt idx="45">
                  <c:v>0.96371898942892587</c:v>
                </c:pt>
                <c:pt idx="46">
                  <c:v>0.96319967274441021</c:v>
                </c:pt>
                <c:pt idx="47">
                  <c:v>0.97194915594396714</c:v>
                </c:pt>
                <c:pt idx="48">
                  <c:v>0.97600974226203374</c:v>
                </c:pt>
                <c:pt idx="49">
                  <c:v>0.97239435428515608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89984"/>
        <c:axId val="229291520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ED7D31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98944"/>
        <c:axId val="229293056"/>
      </c:lineChart>
      <c:dateAx>
        <c:axId val="229289984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291520"/>
        <c:crosses val="min"/>
        <c:auto val="1"/>
        <c:lblOffset val="100"/>
        <c:baseTimeUnit val="months"/>
        <c:majorUnit val="12"/>
        <c:majorTimeUnit val="months"/>
      </c:dateAx>
      <c:valAx>
        <c:axId val="229291520"/>
        <c:scaling>
          <c:orientation val="minMax"/>
          <c:max val="1"/>
          <c:min val="0.9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289984"/>
        <c:crosses val="autoZero"/>
        <c:crossBetween val="between"/>
        <c:majorUnit val="2.0000000000000004E-2"/>
      </c:valAx>
      <c:valAx>
        <c:axId val="229293056"/>
        <c:scaling>
          <c:orientation val="minMax"/>
          <c:max val="1"/>
          <c:min val="0.9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298944"/>
        <c:crosses val="max"/>
        <c:crossBetween val="between"/>
        <c:majorUnit val="2.0000000000000004E-2"/>
        <c:minorUnit val="4.000000000000001E-3"/>
      </c:valAx>
      <c:catAx>
        <c:axId val="22929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293056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5003965256959821E-2"/>
          <c:y val="5.09507129078835E-2"/>
          <c:w val="0.96999206948608041"/>
          <c:h val="0.9156310923262605"/>
        </c:manualLayout>
      </c:layout>
      <c:lineChart>
        <c:grouping val="standard"/>
        <c:varyColors val="0"/>
        <c:ser>
          <c:idx val="2"/>
          <c:order val="2"/>
          <c:tx>
            <c:v>_FRBDummySeriesRight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17824"/>
        <c:axId val="229911936"/>
      </c:lineChart>
      <c:scatterChart>
        <c:scatterStyle val="lineMarker"/>
        <c:varyColors val="0"/>
        <c:ser>
          <c:idx val="0"/>
          <c:order val="0"/>
          <c:tx>
            <c:strRef>
              <c:f>Decomp!$L$1</c:f>
              <c:strCache>
                <c:ptCount val="1"/>
                <c:pt idx="0">
                  <c:v>V/L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Decomp!$K$2:$K$51</c:f>
              <c:numCache>
                <c:formatCode>General</c:formatCode>
                <c:ptCount val="50"/>
                <c:pt idx="0">
                  <c:v>4.230862838268528E-2</c:v>
                </c:pt>
                <c:pt idx="1">
                  <c:v>4.4116826730878293E-2</c:v>
                </c:pt>
                <c:pt idx="2">
                  <c:v>4.8191457021722929E-2</c:v>
                </c:pt>
                <c:pt idx="3">
                  <c:v>5.5370512052996659E-2</c:v>
                </c:pt>
                <c:pt idx="4">
                  <c:v>5.7043949775643907E-2</c:v>
                </c:pt>
                <c:pt idx="5">
                  <c:v>5.8441184797144115E-2</c:v>
                </c:pt>
                <c:pt idx="6">
                  <c:v>5.7296882608575808E-2</c:v>
                </c:pt>
                <c:pt idx="7">
                  <c:v>5.8488221744013261E-2</c:v>
                </c:pt>
                <c:pt idx="8">
                  <c:v>5.8727249069189316E-2</c:v>
                </c:pt>
                <c:pt idx="9">
                  <c:v>6.1507169965684158E-2</c:v>
                </c:pt>
                <c:pt idx="10">
                  <c:v>6.1047649387885129E-2</c:v>
                </c:pt>
                <c:pt idx="11">
                  <c:v>5.817979543416317E-2</c:v>
                </c:pt>
                <c:pt idx="12">
                  <c:v>5.6817898046515852E-2</c:v>
                </c:pt>
                <c:pt idx="13">
                  <c:v>5.5888983290852443E-2</c:v>
                </c:pt>
                <c:pt idx="14">
                  <c:v>5.4336064481296492E-2</c:v>
                </c:pt>
                <c:pt idx="15">
                  <c:v>5.3887940470345536E-2</c:v>
                </c:pt>
                <c:pt idx="16">
                  <c:v>5.2836882621677038E-2</c:v>
                </c:pt>
                <c:pt idx="17">
                  <c:v>5.1063306699446843E-2</c:v>
                </c:pt>
                <c:pt idx="18">
                  <c:v>4.9656584996604816E-2</c:v>
                </c:pt>
                <c:pt idx="19">
                  <c:v>4.9540542462052542E-2</c:v>
                </c:pt>
                <c:pt idx="20">
                  <c:v>4.7202812685423812E-2</c:v>
                </c:pt>
                <c:pt idx="21">
                  <c:v>4.6549335545241162E-2</c:v>
                </c:pt>
                <c:pt idx="22">
                  <c:v>4.6427197062154348E-2</c:v>
                </c:pt>
                <c:pt idx="23">
                  <c:v>4.4536166359347214E-2</c:v>
                </c:pt>
                <c:pt idx="24">
                  <c:v>4.5241714542073007E-2</c:v>
                </c:pt>
                <c:pt idx="25">
                  <c:v>4.4952918938504317E-2</c:v>
                </c:pt>
                <c:pt idx="26">
                  <c:v>4.6570575566671095E-2</c:v>
                </c:pt>
                <c:pt idx="27">
                  <c:v>4.7993647708141692E-2</c:v>
                </c:pt>
                <c:pt idx="28">
                  <c:v>4.9832764327677942E-2</c:v>
                </c:pt>
                <c:pt idx="29">
                  <c:v>5.3217556797906504E-2</c:v>
                </c:pt>
                <c:pt idx="30">
                  <c:v>6.0103951000690124E-2</c:v>
                </c:pt>
                <c:pt idx="31">
                  <c:v>6.8720511881422752E-2</c:v>
                </c:pt>
                <c:pt idx="32">
                  <c:v>8.2914236336141714E-2</c:v>
                </c:pt>
                <c:pt idx="33">
                  <c:v>9.2735773207653735E-2</c:v>
                </c:pt>
                <c:pt idx="34">
                  <c:v>9.6042107993601675E-2</c:v>
                </c:pt>
                <c:pt idx="35">
                  <c:v>9.9172979811679857E-2</c:v>
                </c:pt>
                <c:pt idx="36">
                  <c:v>9.8209348169770366E-2</c:v>
                </c:pt>
                <c:pt idx="37">
                  <c:v>9.6498020808548371E-2</c:v>
                </c:pt>
                <c:pt idx="38">
                  <c:v>9.483858253221962E-2</c:v>
                </c:pt>
                <c:pt idx="39">
                  <c:v>9.5416820161657312E-2</c:v>
                </c:pt>
                <c:pt idx="40">
                  <c:v>9.0255745633014473E-2</c:v>
                </c:pt>
                <c:pt idx="41">
                  <c:v>9.0588815353638913E-2</c:v>
                </c:pt>
                <c:pt idx="42">
                  <c:v>9.0139794320611741E-2</c:v>
                </c:pt>
                <c:pt idx="43">
                  <c:v>8.6722028520661132E-2</c:v>
                </c:pt>
                <c:pt idx="44">
                  <c:v>8.2433690890904687E-2</c:v>
                </c:pt>
                <c:pt idx="45">
                  <c:v>8.1606033603244088E-2</c:v>
                </c:pt>
                <c:pt idx="46">
                  <c:v>8.0288703631175504E-2</c:v>
                </c:pt>
                <c:pt idx="47">
                  <c:v>7.8249422177244732E-2</c:v>
                </c:pt>
                <c:pt idx="48">
                  <c:v>7.7446450710630069E-2</c:v>
                </c:pt>
                <c:pt idx="49">
                  <c:v>7.5409604247414469E-2</c:v>
                </c:pt>
              </c:numCache>
            </c:numRef>
          </c:xVal>
          <c:yVal>
            <c:numRef>
              <c:f>Decomp!$L$2:$L$51</c:f>
              <c:numCache>
                <c:formatCode>General</c:formatCode>
                <c:ptCount val="50"/>
                <c:pt idx="0">
                  <c:v>3.3985049545112125E-2</c:v>
                </c:pt>
                <c:pt idx="1">
                  <c:v>3.124273667965155E-2</c:v>
                </c:pt>
                <c:pt idx="2">
                  <c:v>2.871948148990432E-2</c:v>
                </c:pt>
                <c:pt idx="3">
                  <c:v>2.4686164421874528E-2</c:v>
                </c:pt>
                <c:pt idx="4">
                  <c:v>2.4253089370625171E-2</c:v>
                </c:pt>
                <c:pt idx="5">
                  <c:v>2.3260470779407603E-2</c:v>
                </c:pt>
                <c:pt idx="6">
                  <c:v>2.3217353754559404E-2</c:v>
                </c:pt>
                <c:pt idx="7">
                  <c:v>2.3262543607221516E-2</c:v>
                </c:pt>
                <c:pt idx="8">
                  <c:v>2.2946680698262108E-2</c:v>
                </c:pt>
                <c:pt idx="9">
                  <c:v>2.1387178146944529E-2</c:v>
                </c:pt>
                <c:pt idx="10">
                  <c:v>2.1251080871979248E-2</c:v>
                </c:pt>
                <c:pt idx="11">
                  <c:v>2.1980042911146681E-2</c:v>
                </c:pt>
                <c:pt idx="12">
                  <c:v>2.2999125983268823E-2</c:v>
                </c:pt>
                <c:pt idx="13">
                  <c:v>2.3941093174738037E-2</c:v>
                </c:pt>
                <c:pt idx="14">
                  <c:v>2.5264812919753046E-2</c:v>
                </c:pt>
                <c:pt idx="15">
                  <c:v>2.4834802506227282E-2</c:v>
                </c:pt>
                <c:pt idx="16">
                  <c:v>2.5430321234576784E-2</c:v>
                </c:pt>
                <c:pt idx="17">
                  <c:v>2.6815667430295582E-2</c:v>
                </c:pt>
                <c:pt idx="18">
                  <c:v>2.7900660113766657E-2</c:v>
                </c:pt>
                <c:pt idx="19">
                  <c:v>2.8740535352458144E-2</c:v>
                </c:pt>
                <c:pt idx="20">
                  <c:v>2.8892903637184834E-2</c:v>
                </c:pt>
                <c:pt idx="21">
                  <c:v>2.9247480719340659E-2</c:v>
                </c:pt>
                <c:pt idx="22">
                  <c:v>2.88880825939242E-2</c:v>
                </c:pt>
                <c:pt idx="23">
                  <c:v>3.001450197843733E-2</c:v>
                </c:pt>
                <c:pt idx="24">
                  <c:v>3.0036282226064834E-2</c:v>
                </c:pt>
                <c:pt idx="25">
                  <c:v>2.9831101875821244E-2</c:v>
                </c:pt>
                <c:pt idx="26">
                  <c:v>2.9247610606750185E-2</c:v>
                </c:pt>
                <c:pt idx="27">
                  <c:v>2.8045108214589443E-2</c:v>
                </c:pt>
                <c:pt idx="28">
                  <c:v>2.6543247318163703E-2</c:v>
                </c:pt>
                <c:pt idx="29">
                  <c:v>2.5152200006488098E-2</c:v>
                </c:pt>
                <c:pt idx="30">
                  <c:v>2.2989993098688752E-2</c:v>
                </c:pt>
                <c:pt idx="31">
                  <c:v>2.0574358532434237E-2</c:v>
                </c:pt>
                <c:pt idx="32">
                  <c:v>1.773601209764528E-2</c:v>
                </c:pt>
                <c:pt idx="33">
                  <c:v>1.5269512061060806E-2</c:v>
                </c:pt>
                <c:pt idx="34">
                  <c:v>1.499718991829147E-2</c:v>
                </c:pt>
                <c:pt idx="35">
                  <c:v>1.5733131370561902E-2</c:v>
                </c:pt>
                <c:pt idx="36">
                  <c:v>1.7223394496407637E-2</c:v>
                </c:pt>
                <c:pt idx="37">
                  <c:v>1.8680106422097723E-2</c:v>
                </c:pt>
                <c:pt idx="38">
                  <c:v>1.8648498223075977E-2</c:v>
                </c:pt>
                <c:pt idx="39">
                  <c:v>1.9533230762563112E-2</c:v>
                </c:pt>
                <c:pt idx="40">
                  <c:v>1.954678594649369E-2</c:v>
                </c:pt>
                <c:pt idx="41">
                  <c:v>1.9856689523652309E-2</c:v>
                </c:pt>
                <c:pt idx="42">
                  <c:v>2.1519997571057412E-2</c:v>
                </c:pt>
                <c:pt idx="43">
                  <c:v>2.1231422505307854E-2</c:v>
                </c:pt>
                <c:pt idx="44">
                  <c:v>2.3257769116683338E-2</c:v>
                </c:pt>
                <c:pt idx="45">
                  <c:v>2.3867946052286062E-2</c:v>
                </c:pt>
                <c:pt idx="46">
                  <c:v>2.309887281632372E-2</c:v>
                </c:pt>
                <c:pt idx="47">
                  <c:v>2.3685372829680581E-2</c:v>
                </c:pt>
                <c:pt idx="48">
                  <c:v>2.4420535128248027E-2</c:v>
                </c:pt>
                <c:pt idx="49">
                  <c:v>2.4802295112173821E-2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Decomp!$F$1</c:f>
              <c:strCache>
                <c:ptCount val="1"/>
                <c:pt idx="0">
                  <c:v>Counterfactual V/L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Decomp!$K$2:$K$51</c:f>
              <c:numCache>
                <c:formatCode>General</c:formatCode>
                <c:ptCount val="50"/>
                <c:pt idx="0">
                  <c:v>4.230862838268528E-2</c:v>
                </c:pt>
                <c:pt idx="1">
                  <c:v>4.4116826730878293E-2</c:v>
                </c:pt>
                <c:pt idx="2">
                  <c:v>4.8191457021722929E-2</c:v>
                </c:pt>
                <c:pt idx="3">
                  <c:v>5.5370512052996659E-2</c:v>
                </c:pt>
                <c:pt idx="4">
                  <c:v>5.7043949775643907E-2</c:v>
                </c:pt>
                <c:pt idx="5">
                  <c:v>5.8441184797144115E-2</c:v>
                </c:pt>
                <c:pt idx="6">
                  <c:v>5.7296882608575808E-2</c:v>
                </c:pt>
                <c:pt idx="7">
                  <c:v>5.8488221744013261E-2</c:v>
                </c:pt>
                <c:pt idx="8">
                  <c:v>5.8727249069189316E-2</c:v>
                </c:pt>
                <c:pt idx="9">
                  <c:v>6.1507169965684158E-2</c:v>
                </c:pt>
                <c:pt idx="10">
                  <c:v>6.1047649387885129E-2</c:v>
                </c:pt>
                <c:pt idx="11">
                  <c:v>5.817979543416317E-2</c:v>
                </c:pt>
                <c:pt idx="12">
                  <c:v>5.6817898046515852E-2</c:v>
                </c:pt>
                <c:pt idx="13">
                  <c:v>5.5888983290852443E-2</c:v>
                </c:pt>
                <c:pt idx="14">
                  <c:v>5.4336064481296492E-2</c:v>
                </c:pt>
                <c:pt idx="15">
                  <c:v>5.3887940470345536E-2</c:v>
                </c:pt>
                <c:pt idx="16">
                  <c:v>5.2836882621677038E-2</c:v>
                </c:pt>
                <c:pt idx="17">
                  <c:v>5.1063306699446843E-2</c:v>
                </c:pt>
                <c:pt idx="18">
                  <c:v>4.9656584996604816E-2</c:v>
                </c:pt>
                <c:pt idx="19">
                  <c:v>4.9540542462052542E-2</c:v>
                </c:pt>
                <c:pt idx="20">
                  <c:v>4.7202812685423812E-2</c:v>
                </c:pt>
                <c:pt idx="21">
                  <c:v>4.6549335545241162E-2</c:v>
                </c:pt>
                <c:pt idx="22">
                  <c:v>4.6427197062154348E-2</c:v>
                </c:pt>
                <c:pt idx="23">
                  <c:v>4.4536166359347214E-2</c:v>
                </c:pt>
                <c:pt idx="24">
                  <c:v>4.5241714542073007E-2</c:v>
                </c:pt>
                <c:pt idx="25">
                  <c:v>4.4952918938504317E-2</c:v>
                </c:pt>
                <c:pt idx="26">
                  <c:v>4.6570575566671095E-2</c:v>
                </c:pt>
                <c:pt idx="27">
                  <c:v>4.7993647708141692E-2</c:v>
                </c:pt>
                <c:pt idx="28">
                  <c:v>4.9832764327677942E-2</c:v>
                </c:pt>
                <c:pt idx="29">
                  <c:v>5.3217556797906504E-2</c:v>
                </c:pt>
                <c:pt idx="30">
                  <c:v>6.0103951000690124E-2</c:v>
                </c:pt>
                <c:pt idx="31">
                  <c:v>6.8720511881422752E-2</c:v>
                </c:pt>
                <c:pt idx="32">
                  <c:v>8.2914236336141714E-2</c:v>
                </c:pt>
                <c:pt idx="33">
                  <c:v>9.2735773207653735E-2</c:v>
                </c:pt>
                <c:pt idx="34">
                  <c:v>9.6042107993601675E-2</c:v>
                </c:pt>
                <c:pt idx="35">
                  <c:v>9.9172979811679857E-2</c:v>
                </c:pt>
                <c:pt idx="36">
                  <c:v>9.8209348169770366E-2</c:v>
                </c:pt>
                <c:pt idx="37">
                  <c:v>9.6498020808548371E-2</c:v>
                </c:pt>
                <c:pt idx="38">
                  <c:v>9.483858253221962E-2</c:v>
                </c:pt>
                <c:pt idx="39">
                  <c:v>9.5416820161657312E-2</c:v>
                </c:pt>
                <c:pt idx="40">
                  <c:v>9.0255745633014473E-2</c:v>
                </c:pt>
                <c:pt idx="41">
                  <c:v>9.0588815353638913E-2</c:v>
                </c:pt>
                <c:pt idx="42">
                  <c:v>9.0139794320611741E-2</c:v>
                </c:pt>
                <c:pt idx="43">
                  <c:v>8.6722028520661132E-2</c:v>
                </c:pt>
                <c:pt idx="44">
                  <c:v>8.2433690890904687E-2</c:v>
                </c:pt>
                <c:pt idx="45">
                  <c:v>8.1606033603244088E-2</c:v>
                </c:pt>
                <c:pt idx="46">
                  <c:v>8.0288703631175504E-2</c:v>
                </c:pt>
                <c:pt idx="47">
                  <c:v>7.8249422177244732E-2</c:v>
                </c:pt>
                <c:pt idx="48">
                  <c:v>7.7446450710630069E-2</c:v>
                </c:pt>
                <c:pt idx="49">
                  <c:v>7.5409604247414469E-2</c:v>
                </c:pt>
              </c:numCache>
            </c:numRef>
          </c:xVal>
          <c:yVal>
            <c:numRef>
              <c:f>Decomp!$F$2:$F$51</c:f>
              <c:numCache>
                <c:formatCode>General</c:formatCode>
                <c:ptCount val="50"/>
                <c:pt idx="0">
                  <c:v>3.3985049545112125E-2</c:v>
                </c:pt>
                <c:pt idx="1">
                  <c:v>3.1045665297345228E-2</c:v>
                </c:pt>
                <c:pt idx="2">
                  <c:v>2.8011113227243416E-2</c:v>
                </c:pt>
                <c:pt idx="3">
                  <c:v>2.3932742450836562E-2</c:v>
                </c:pt>
                <c:pt idx="4">
                  <c:v>2.32862771353659E-2</c:v>
                </c:pt>
                <c:pt idx="5">
                  <c:v>2.2590956846743504E-2</c:v>
                </c:pt>
                <c:pt idx="6">
                  <c:v>2.2558434748530667E-2</c:v>
                </c:pt>
                <c:pt idx="7">
                  <c:v>2.2382480429461966E-2</c:v>
                </c:pt>
                <c:pt idx="8">
                  <c:v>2.2100709728996967E-2</c:v>
                </c:pt>
                <c:pt idx="9">
                  <c:v>2.0903082082917003E-2</c:v>
                </c:pt>
                <c:pt idx="10">
                  <c:v>2.0666747616446823E-2</c:v>
                </c:pt>
                <c:pt idx="11">
                  <c:v>2.1904371484426175E-2</c:v>
                </c:pt>
                <c:pt idx="12">
                  <c:v>2.2980738571790182E-2</c:v>
                </c:pt>
                <c:pt idx="13">
                  <c:v>2.3839952616708158E-2</c:v>
                </c:pt>
                <c:pt idx="14">
                  <c:v>2.5197680899582842E-2</c:v>
                </c:pt>
                <c:pt idx="15">
                  <c:v>2.4894566348331388E-2</c:v>
                </c:pt>
                <c:pt idx="16">
                  <c:v>2.555034695356569E-2</c:v>
                </c:pt>
                <c:pt idx="17">
                  <c:v>2.6981120775732382E-2</c:v>
                </c:pt>
                <c:pt idx="18">
                  <c:v>2.8074906069341005E-2</c:v>
                </c:pt>
                <c:pt idx="19">
                  <c:v>2.9064790423713766E-2</c:v>
                </c:pt>
                <c:pt idx="20">
                  <c:v>2.8834423290811435E-2</c:v>
                </c:pt>
                <c:pt idx="21">
                  <c:v>2.9450173423060541E-2</c:v>
                </c:pt>
                <c:pt idx="22">
                  <c:v>2.9074384491055809E-2</c:v>
                </c:pt>
                <c:pt idx="23">
                  <c:v>3.0163709628733149E-2</c:v>
                </c:pt>
                <c:pt idx="24">
                  <c:v>3.0408313393960048E-2</c:v>
                </c:pt>
                <c:pt idx="25">
                  <c:v>2.9625922115694953E-2</c:v>
                </c:pt>
                <c:pt idx="26">
                  <c:v>2.9163563136776795E-2</c:v>
                </c:pt>
                <c:pt idx="27">
                  <c:v>2.7661085498054711E-2</c:v>
                </c:pt>
                <c:pt idx="28">
                  <c:v>2.5777694507070698E-2</c:v>
                </c:pt>
                <c:pt idx="29">
                  <c:v>2.4521765298874291E-2</c:v>
                </c:pt>
                <c:pt idx="30">
                  <c:v>2.2391246375895117E-2</c:v>
                </c:pt>
                <c:pt idx="31">
                  <c:v>1.9465497469130788E-2</c:v>
                </c:pt>
                <c:pt idx="32">
                  <c:v>1.6077660590250491E-2</c:v>
                </c:pt>
                <c:pt idx="33">
                  <c:v>1.3640288994305722E-2</c:v>
                </c:pt>
                <c:pt idx="34">
                  <c:v>1.3733045024315008E-2</c:v>
                </c:pt>
                <c:pt idx="35">
                  <c:v>1.4446046846464593E-2</c:v>
                </c:pt>
                <c:pt idx="36">
                  <c:v>1.6341078692173248E-2</c:v>
                </c:pt>
                <c:pt idx="37">
                  <c:v>1.7873656355395715E-2</c:v>
                </c:pt>
                <c:pt idx="38">
                  <c:v>1.8050253551950692E-2</c:v>
                </c:pt>
                <c:pt idx="39">
                  <c:v>1.8739448873363707E-2</c:v>
                </c:pt>
                <c:pt idx="40">
                  <c:v>1.9148016780188955E-2</c:v>
                </c:pt>
                <c:pt idx="41">
                  <c:v>1.9522642690113501E-2</c:v>
                </c:pt>
                <c:pt idx="42">
                  <c:v>2.1265837894529925E-2</c:v>
                </c:pt>
                <c:pt idx="43">
                  <c:v>2.1047731874271575E-2</c:v>
                </c:pt>
                <c:pt idx="44">
                  <c:v>2.3304804747816453E-2</c:v>
                </c:pt>
                <c:pt idx="45">
                  <c:v>2.3614050114508945E-2</c:v>
                </c:pt>
                <c:pt idx="46">
                  <c:v>2.2828534911815527E-2</c:v>
                </c:pt>
                <c:pt idx="47">
                  <c:v>2.3835371164433648E-2</c:v>
                </c:pt>
                <c:pt idx="48">
                  <c:v>2.4780957436238312E-2</c:v>
                </c:pt>
                <c:pt idx="49">
                  <c:v>2.4982237222500998E-2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08480"/>
        <c:axId val="229910400"/>
      </c:scatterChart>
      <c:valAx>
        <c:axId val="229908480"/>
        <c:scaling>
          <c:orientation val="minMax"/>
          <c:min val="3.0000000000000006E-2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0400"/>
        <c:crosses val="min"/>
        <c:crossBetween val="midCat"/>
      </c:valAx>
      <c:valAx>
        <c:axId val="229910400"/>
        <c:scaling>
          <c:orientation val="minMax"/>
          <c:min val="5.000000000000001E-3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08480"/>
        <c:crosses val="autoZero"/>
        <c:crossBetween val="midCat"/>
      </c:valAx>
      <c:valAx>
        <c:axId val="229911936"/>
        <c:scaling>
          <c:orientation val="minMax"/>
          <c:max val="0.04"/>
          <c:min val="5.000000000000001E-3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7824"/>
        <c:crosses val="max"/>
        <c:crossBetween val="between"/>
        <c:majorUnit val="5.0000000000000001E-3"/>
        <c:minorUnit val="1E-3"/>
      </c:valAx>
      <c:catAx>
        <c:axId val="229917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911936"/>
        <c:crosses val="min"/>
        <c:auto val="1"/>
        <c:lblAlgn val="ctr"/>
        <c:lblOffset val="100"/>
        <c:noMultiLvlLbl val="0"/>
      </c:catAx>
      <c:spPr>
        <a:noFill/>
        <a:ln w="22225">
          <a:solidFill>
            <a:srgbClr val="00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Z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controlling for mismatch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Decomp!$K$2:$K$51</c:f>
              <c:numCache>
                <c:formatCode>General</c:formatCode>
                <c:ptCount val="50"/>
                <c:pt idx="0">
                  <c:v>4.230862838268528E-2</c:v>
                </c:pt>
                <c:pt idx="1">
                  <c:v>4.4116826730878293E-2</c:v>
                </c:pt>
                <c:pt idx="2">
                  <c:v>4.8191457021722929E-2</c:v>
                </c:pt>
                <c:pt idx="3">
                  <c:v>5.5370512052996659E-2</c:v>
                </c:pt>
                <c:pt idx="4">
                  <c:v>5.7043949775643907E-2</c:v>
                </c:pt>
                <c:pt idx="5">
                  <c:v>5.8441184797144115E-2</c:v>
                </c:pt>
                <c:pt idx="6">
                  <c:v>5.7296882608575808E-2</c:v>
                </c:pt>
                <c:pt idx="7">
                  <c:v>5.8488221744013261E-2</c:v>
                </c:pt>
                <c:pt idx="8">
                  <c:v>5.8727249069189316E-2</c:v>
                </c:pt>
                <c:pt idx="9">
                  <c:v>6.1507169965684158E-2</c:v>
                </c:pt>
                <c:pt idx="10">
                  <c:v>6.1047649387885129E-2</c:v>
                </c:pt>
                <c:pt idx="11">
                  <c:v>5.817979543416317E-2</c:v>
                </c:pt>
                <c:pt idx="12">
                  <c:v>5.6817898046515852E-2</c:v>
                </c:pt>
                <c:pt idx="13">
                  <c:v>5.5888983290852443E-2</c:v>
                </c:pt>
                <c:pt idx="14">
                  <c:v>5.4336064481296492E-2</c:v>
                </c:pt>
                <c:pt idx="15">
                  <c:v>5.3887940470345536E-2</c:v>
                </c:pt>
                <c:pt idx="16">
                  <c:v>5.2836882621677038E-2</c:v>
                </c:pt>
                <c:pt idx="17">
                  <c:v>5.1063306699446843E-2</c:v>
                </c:pt>
                <c:pt idx="18">
                  <c:v>4.9656584996604816E-2</c:v>
                </c:pt>
                <c:pt idx="19">
                  <c:v>4.9540542462052542E-2</c:v>
                </c:pt>
                <c:pt idx="20">
                  <c:v>4.7202812685423812E-2</c:v>
                </c:pt>
                <c:pt idx="21">
                  <c:v>4.6549335545241162E-2</c:v>
                </c:pt>
                <c:pt idx="22">
                  <c:v>4.6427197062154348E-2</c:v>
                </c:pt>
                <c:pt idx="23">
                  <c:v>4.4536166359347214E-2</c:v>
                </c:pt>
                <c:pt idx="24">
                  <c:v>4.5241714542073007E-2</c:v>
                </c:pt>
                <c:pt idx="25">
                  <c:v>4.4952918938504317E-2</c:v>
                </c:pt>
                <c:pt idx="26">
                  <c:v>4.6570575566671095E-2</c:v>
                </c:pt>
                <c:pt idx="27">
                  <c:v>4.7993647708141692E-2</c:v>
                </c:pt>
                <c:pt idx="28">
                  <c:v>4.9832764327677942E-2</c:v>
                </c:pt>
                <c:pt idx="29">
                  <c:v>5.3217556797906504E-2</c:v>
                </c:pt>
                <c:pt idx="30">
                  <c:v>6.0103951000690124E-2</c:v>
                </c:pt>
                <c:pt idx="31">
                  <c:v>6.8720511881422752E-2</c:v>
                </c:pt>
                <c:pt idx="32">
                  <c:v>8.2914236336141714E-2</c:v>
                </c:pt>
                <c:pt idx="33">
                  <c:v>9.2735773207653735E-2</c:v>
                </c:pt>
                <c:pt idx="34">
                  <c:v>9.6042107993601675E-2</c:v>
                </c:pt>
                <c:pt idx="35">
                  <c:v>9.9172979811679857E-2</c:v>
                </c:pt>
                <c:pt idx="36">
                  <c:v>9.8209348169770366E-2</c:v>
                </c:pt>
                <c:pt idx="37">
                  <c:v>9.6498020808548371E-2</c:v>
                </c:pt>
                <c:pt idx="38">
                  <c:v>9.483858253221962E-2</c:v>
                </c:pt>
                <c:pt idx="39">
                  <c:v>9.5416820161657312E-2</c:v>
                </c:pt>
                <c:pt idx="40">
                  <c:v>9.0255745633014473E-2</c:v>
                </c:pt>
                <c:pt idx="41">
                  <c:v>9.0588815353638913E-2</c:v>
                </c:pt>
                <c:pt idx="42">
                  <c:v>9.0139794320611741E-2</c:v>
                </c:pt>
                <c:pt idx="43">
                  <c:v>8.6722028520661132E-2</c:v>
                </c:pt>
                <c:pt idx="44">
                  <c:v>8.2433690890904687E-2</c:v>
                </c:pt>
                <c:pt idx="45">
                  <c:v>8.1606033603244088E-2</c:v>
                </c:pt>
                <c:pt idx="46">
                  <c:v>8.0288703631175504E-2</c:v>
                </c:pt>
                <c:pt idx="47">
                  <c:v>7.8249422177244732E-2</c:v>
                </c:pt>
                <c:pt idx="48">
                  <c:v>7.7446450710630069E-2</c:v>
                </c:pt>
                <c:pt idx="49">
                  <c:v>7.5409604247414469E-2</c:v>
                </c:pt>
              </c:numCache>
            </c:numRef>
          </c:xVal>
          <c:yVal>
            <c:numRef>
              <c:f>Decomp!$F$2:$F$51</c:f>
              <c:numCache>
                <c:formatCode>General</c:formatCode>
                <c:ptCount val="50"/>
                <c:pt idx="0">
                  <c:v>3.3985049545112125E-2</c:v>
                </c:pt>
                <c:pt idx="1">
                  <c:v>3.1045665297345228E-2</c:v>
                </c:pt>
                <c:pt idx="2">
                  <c:v>2.8011113227243416E-2</c:v>
                </c:pt>
                <c:pt idx="3">
                  <c:v>2.3932742450836562E-2</c:v>
                </c:pt>
                <c:pt idx="4">
                  <c:v>2.32862771353659E-2</c:v>
                </c:pt>
                <c:pt idx="5">
                  <c:v>2.2590956846743504E-2</c:v>
                </c:pt>
                <c:pt idx="6">
                  <c:v>2.2558434748530667E-2</c:v>
                </c:pt>
                <c:pt idx="7">
                  <c:v>2.2382480429461966E-2</c:v>
                </c:pt>
                <c:pt idx="8">
                  <c:v>2.2100709728996967E-2</c:v>
                </c:pt>
                <c:pt idx="9">
                  <c:v>2.0903082082917003E-2</c:v>
                </c:pt>
                <c:pt idx="10">
                  <c:v>2.0666747616446823E-2</c:v>
                </c:pt>
                <c:pt idx="11">
                  <c:v>2.1904371484426175E-2</c:v>
                </c:pt>
                <c:pt idx="12">
                  <c:v>2.2980738571790182E-2</c:v>
                </c:pt>
                <c:pt idx="13">
                  <c:v>2.3839952616708158E-2</c:v>
                </c:pt>
                <c:pt idx="14">
                  <c:v>2.5197680899582842E-2</c:v>
                </c:pt>
                <c:pt idx="15">
                  <c:v>2.4894566348331388E-2</c:v>
                </c:pt>
                <c:pt idx="16">
                  <c:v>2.555034695356569E-2</c:v>
                </c:pt>
                <c:pt idx="17">
                  <c:v>2.6981120775732382E-2</c:v>
                </c:pt>
                <c:pt idx="18">
                  <c:v>2.8074906069341005E-2</c:v>
                </c:pt>
                <c:pt idx="19">
                  <c:v>2.9064790423713766E-2</c:v>
                </c:pt>
                <c:pt idx="20">
                  <c:v>2.8834423290811435E-2</c:v>
                </c:pt>
                <c:pt idx="21">
                  <c:v>2.9450173423060541E-2</c:v>
                </c:pt>
                <c:pt idx="22">
                  <c:v>2.9074384491055809E-2</c:v>
                </c:pt>
                <c:pt idx="23">
                  <c:v>3.0163709628733149E-2</c:v>
                </c:pt>
                <c:pt idx="24">
                  <c:v>3.0408313393960048E-2</c:v>
                </c:pt>
                <c:pt idx="25">
                  <c:v>2.9625922115694953E-2</c:v>
                </c:pt>
                <c:pt idx="26">
                  <c:v>2.9163563136776795E-2</c:v>
                </c:pt>
                <c:pt idx="27">
                  <c:v>2.7661085498054711E-2</c:v>
                </c:pt>
                <c:pt idx="28">
                  <c:v>2.5777694507070698E-2</c:v>
                </c:pt>
                <c:pt idx="29">
                  <c:v>2.4521765298874291E-2</c:v>
                </c:pt>
                <c:pt idx="30">
                  <c:v>2.2391246375895117E-2</c:v>
                </c:pt>
                <c:pt idx="31">
                  <c:v>1.9465497469130788E-2</c:v>
                </c:pt>
                <c:pt idx="32">
                  <c:v>1.6077660590250491E-2</c:v>
                </c:pt>
                <c:pt idx="33">
                  <c:v>1.3640288994305722E-2</c:v>
                </c:pt>
                <c:pt idx="34">
                  <c:v>1.3733045024315008E-2</c:v>
                </c:pt>
                <c:pt idx="35">
                  <c:v>1.4446046846464593E-2</c:v>
                </c:pt>
                <c:pt idx="36">
                  <c:v>1.6341078692173248E-2</c:v>
                </c:pt>
                <c:pt idx="37">
                  <c:v>1.7873656355395715E-2</c:v>
                </c:pt>
                <c:pt idx="38">
                  <c:v>1.8050253551950692E-2</c:v>
                </c:pt>
                <c:pt idx="39">
                  <c:v>1.8739448873363707E-2</c:v>
                </c:pt>
                <c:pt idx="40">
                  <c:v>1.9148016780188955E-2</c:v>
                </c:pt>
                <c:pt idx="41">
                  <c:v>1.9522642690113501E-2</c:v>
                </c:pt>
                <c:pt idx="42">
                  <c:v>2.1265837894529925E-2</c:v>
                </c:pt>
                <c:pt idx="43">
                  <c:v>2.1047731874271575E-2</c:v>
                </c:pt>
                <c:pt idx="44">
                  <c:v>2.3304804747816453E-2</c:v>
                </c:pt>
                <c:pt idx="45">
                  <c:v>2.3614050114508945E-2</c:v>
                </c:pt>
                <c:pt idx="46">
                  <c:v>2.2828534911815527E-2</c:v>
                </c:pt>
                <c:pt idx="47">
                  <c:v>2.3835371164433648E-2</c:v>
                </c:pt>
                <c:pt idx="48">
                  <c:v>2.4780957436238312E-2</c:v>
                </c:pt>
                <c:pt idx="49">
                  <c:v>2.4982237222500998E-2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40128"/>
        <c:axId val="229512320"/>
      </c:scatterChart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Decomp!$K$2:$K$51</c:f>
              <c:numCache>
                <c:formatCode>General</c:formatCode>
                <c:ptCount val="50"/>
                <c:pt idx="0">
                  <c:v>4.230862838268528E-2</c:v>
                </c:pt>
                <c:pt idx="1">
                  <c:v>4.4116826730878293E-2</c:v>
                </c:pt>
                <c:pt idx="2">
                  <c:v>4.8191457021722929E-2</c:v>
                </c:pt>
                <c:pt idx="3">
                  <c:v>5.5370512052996659E-2</c:v>
                </c:pt>
                <c:pt idx="4">
                  <c:v>5.7043949775643907E-2</c:v>
                </c:pt>
                <c:pt idx="5">
                  <c:v>5.8441184797144115E-2</c:v>
                </c:pt>
                <c:pt idx="6">
                  <c:v>5.7296882608575808E-2</c:v>
                </c:pt>
                <c:pt idx="7">
                  <c:v>5.8488221744013261E-2</c:v>
                </c:pt>
                <c:pt idx="8">
                  <c:v>5.8727249069189316E-2</c:v>
                </c:pt>
                <c:pt idx="9">
                  <c:v>6.1507169965684158E-2</c:v>
                </c:pt>
                <c:pt idx="10">
                  <c:v>6.1047649387885129E-2</c:v>
                </c:pt>
                <c:pt idx="11">
                  <c:v>5.817979543416317E-2</c:v>
                </c:pt>
                <c:pt idx="12">
                  <c:v>5.6817898046515852E-2</c:v>
                </c:pt>
                <c:pt idx="13">
                  <c:v>5.5888983290852443E-2</c:v>
                </c:pt>
                <c:pt idx="14">
                  <c:v>5.4336064481296492E-2</c:v>
                </c:pt>
                <c:pt idx="15">
                  <c:v>5.3887940470345536E-2</c:v>
                </c:pt>
                <c:pt idx="16">
                  <c:v>5.2836882621677038E-2</c:v>
                </c:pt>
                <c:pt idx="17">
                  <c:v>5.1063306699446843E-2</c:v>
                </c:pt>
                <c:pt idx="18">
                  <c:v>4.9656584996604816E-2</c:v>
                </c:pt>
                <c:pt idx="19">
                  <c:v>4.9540542462052542E-2</c:v>
                </c:pt>
                <c:pt idx="20">
                  <c:v>4.7202812685423812E-2</c:v>
                </c:pt>
                <c:pt idx="21">
                  <c:v>4.6549335545241162E-2</c:v>
                </c:pt>
                <c:pt idx="22">
                  <c:v>4.6427197062154348E-2</c:v>
                </c:pt>
                <c:pt idx="23">
                  <c:v>4.4536166359347214E-2</c:v>
                </c:pt>
                <c:pt idx="24">
                  <c:v>4.5241714542073007E-2</c:v>
                </c:pt>
                <c:pt idx="25">
                  <c:v>4.4952918938504317E-2</c:v>
                </c:pt>
                <c:pt idx="26">
                  <c:v>4.6570575566671095E-2</c:v>
                </c:pt>
                <c:pt idx="27">
                  <c:v>4.7993647708141692E-2</c:v>
                </c:pt>
                <c:pt idx="28">
                  <c:v>4.9832764327677942E-2</c:v>
                </c:pt>
                <c:pt idx="29">
                  <c:v>5.3217556797906504E-2</c:v>
                </c:pt>
                <c:pt idx="30">
                  <c:v>6.0103951000690124E-2</c:v>
                </c:pt>
                <c:pt idx="31">
                  <c:v>6.8720511881422752E-2</c:v>
                </c:pt>
                <c:pt idx="32">
                  <c:v>8.2914236336141714E-2</c:v>
                </c:pt>
                <c:pt idx="33">
                  <c:v>9.2735773207653735E-2</c:v>
                </c:pt>
                <c:pt idx="34">
                  <c:v>9.6042107993601675E-2</c:v>
                </c:pt>
                <c:pt idx="35">
                  <c:v>9.9172979811679857E-2</c:v>
                </c:pt>
                <c:pt idx="36">
                  <c:v>9.8209348169770366E-2</c:v>
                </c:pt>
                <c:pt idx="37">
                  <c:v>9.6498020808548371E-2</c:v>
                </c:pt>
                <c:pt idx="38">
                  <c:v>9.483858253221962E-2</c:v>
                </c:pt>
                <c:pt idx="39">
                  <c:v>9.5416820161657312E-2</c:v>
                </c:pt>
                <c:pt idx="40">
                  <c:v>9.0255745633014473E-2</c:v>
                </c:pt>
                <c:pt idx="41">
                  <c:v>9.0588815353638913E-2</c:v>
                </c:pt>
                <c:pt idx="42">
                  <c:v>9.0139794320611741E-2</c:v>
                </c:pt>
                <c:pt idx="43">
                  <c:v>8.6722028520661132E-2</c:v>
                </c:pt>
                <c:pt idx="44">
                  <c:v>8.2433690890904687E-2</c:v>
                </c:pt>
                <c:pt idx="45">
                  <c:v>8.1606033603244088E-2</c:v>
                </c:pt>
                <c:pt idx="46">
                  <c:v>8.0288703631175504E-2</c:v>
                </c:pt>
                <c:pt idx="47">
                  <c:v>7.8249422177244732E-2</c:v>
                </c:pt>
                <c:pt idx="48">
                  <c:v>7.7446450710630069E-2</c:v>
                </c:pt>
                <c:pt idx="49">
                  <c:v>7.5409604247414469E-2</c:v>
                </c:pt>
              </c:numCache>
            </c:numRef>
          </c:xVal>
          <c:yVal>
            <c:numRef>
              <c:f>Decomp!$L$2:$L$51</c:f>
              <c:numCache>
                <c:formatCode>General</c:formatCode>
                <c:ptCount val="50"/>
                <c:pt idx="0">
                  <c:v>3.3985049545112125E-2</c:v>
                </c:pt>
                <c:pt idx="1">
                  <c:v>3.124273667965155E-2</c:v>
                </c:pt>
                <c:pt idx="2">
                  <c:v>2.871948148990432E-2</c:v>
                </c:pt>
                <c:pt idx="3">
                  <c:v>2.4686164421874528E-2</c:v>
                </c:pt>
                <c:pt idx="4">
                  <c:v>2.4253089370625171E-2</c:v>
                </c:pt>
                <c:pt idx="5">
                  <c:v>2.3260470779407603E-2</c:v>
                </c:pt>
                <c:pt idx="6">
                  <c:v>2.3217353754559404E-2</c:v>
                </c:pt>
                <c:pt idx="7">
                  <c:v>2.3262543607221516E-2</c:v>
                </c:pt>
                <c:pt idx="8">
                  <c:v>2.2946680698262108E-2</c:v>
                </c:pt>
                <c:pt idx="9">
                  <c:v>2.1387178146944529E-2</c:v>
                </c:pt>
                <c:pt idx="10">
                  <c:v>2.1251080871979248E-2</c:v>
                </c:pt>
                <c:pt idx="11">
                  <c:v>2.1980042911146681E-2</c:v>
                </c:pt>
                <c:pt idx="12">
                  <c:v>2.2999125983268823E-2</c:v>
                </c:pt>
                <c:pt idx="13">
                  <c:v>2.3941093174738037E-2</c:v>
                </c:pt>
                <c:pt idx="14">
                  <c:v>2.5264812919753046E-2</c:v>
                </c:pt>
                <c:pt idx="15">
                  <c:v>2.4834802506227282E-2</c:v>
                </c:pt>
                <c:pt idx="16">
                  <c:v>2.5430321234576784E-2</c:v>
                </c:pt>
                <c:pt idx="17">
                  <c:v>2.6815667430295582E-2</c:v>
                </c:pt>
                <c:pt idx="18">
                  <c:v>2.7900660113766657E-2</c:v>
                </c:pt>
                <c:pt idx="19">
                  <c:v>2.8740535352458144E-2</c:v>
                </c:pt>
                <c:pt idx="20">
                  <c:v>2.8892903637184834E-2</c:v>
                </c:pt>
                <c:pt idx="21">
                  <c:v>2.9247480719340659E-2</c:v>
                </c:pt>
                <c:pt idx="22">
                  <c:v>2.88880825939242E-2</c:v>
                </c:pt>
                <c:pt idx="23">
                  <c:v>3.001450197843733E-2</c:v>
                </c:pt>
                <c:pt idx="24">
                  <c:v>3.0036282226064834E-2</c:v>
                </c:pt>
                <c:pt idx="25">
                  <c:v>2.9831101875821244E-2</c:v>
                </c:pt>
                <c:pt idx="26">
                  <c:v>2.9247610606750185E-2</c:v>
                </c:pt>
                <c:pt idx="27">
                  <c:v>2.8045108214589443E-2</c:v>
                </c:pt>
                <c:pt idx="28">
                  <c:v>2.6543247318163703E-2</c:v>
                </c:pt>
                <c:pt idx="29">
                  <c:v>2.5152200006488098E-2</c:v>
                </c:pt>
                <c:pt idx="30">
                  <c:v>2.2989993098688752E-2</c:v>
                </c:pt>
                <c:pt idx="31">
                  <c:v>2.0574358532434237E-2</c:v>
                </c:pt>
                <c:pt idx="32">
                  <c:v>1.773601209764528E-2</c:v>
                </c:pt>
                <c:pt idx="33">
                  <c:v>1.5269512061060806E-2</c:v>
                </c:pt>
                <c:pt idx="34">
                  <c:v>1.499718991829147E-2</c:v>
                </c:pt>
                <c:pt idx="35">
                  <c:v>1.5733131370561902E-2</c:v>
                </c:pt>
                <c:pt idx="36">
                  <c:v>1.7223394496407637E-2</c:v>
                </c:pt>
                <c:pt idx="37">
                  <c:v>1.8680106422097723E-2</c:v>
                </c:pt>
                <c:pt idx="38">
                  <c:v>1.8648498223075977E-2</c:v>
                </c:pt>
                <c:pt idx="39">
                  <c:v>1.9533230762563112E-2</c:v>
                </c:pt>
                <c:pt idx="40">
                  <c:v>1.954678594649369E-2</c:v>
                </c:pt>
                <c:pt idx="41">
                  <c:v>1.9856689523652309E-2</c:v>
                </c:pt>
                <c:pt idx="42">
                  <c:v>2.1519997571057412E-2</c:v>
                </c:pt>
                <c:pt idx="43">
                  <c:v>2.1231422505307854E-2</c:v>
                </c:pt>
                <c:pt idx="44">
                  <c:v>2.3257769116683338E-2</c:v>
                </c:pt>
                <c:pt idx="45">
                  <c:v>2.3867946052286062E-2</c:v>
                </c:pt>
                <c:pt idx="46">
                  <c:v>2.309887281632372E-2</c:v>
                </c:pt>
                <c:pt idx="47">
                  <c:v>2.3685372829680581E-2</c:v>
                </c:pt>
                <c:pt idx="48">
                  <c:v>2.4420535128248027E-2</c:v>
                </c:pt>
                <c:pt idx="49">
                  <c:v>2.4802295112173821E-2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40128"/>
        <c:axId val="229512320"/>
      </c:scatterChart>
      <c:valAx>
        <c:axId val="22944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2320"/>
        <c:crosses val="autoZero"/>
        <c:crossBetween val="midCat"/>
      </c:valAx>
      <c:valAx>
        <c:axId val="2295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V/L</a:t>
                </a:r>
              </a:p>
            </c:rich>
          </c:tx>
          <c:layout>
            <c:manualLayout>
              <c:xMode val="edge"/>
              <c:yMode val="edge"/>
              <c:x val="2.2259321090706732E-2"/>
              <c:y val="0.418176371728237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4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0662192893667921"/>
          <c:y val="0.17157444005270095"/>
          <c:w val="0.33351583347574043"/>
          <c:h val="0.1111667859699355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Experienced share of Unemployment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'Compare aggregates'!$A$3:$A$52</c:f>
              <c:strCache>
                <c:ptCount val="50"/>
                <c:pt idx="0">
                  <c:v>2001q1</c:v>
                </c:pt>
                <c:pt idx="1">
                  <c:v>2001q2</c:v>
                </c:pt>
                <c:pt idx="2">
                  <c:v>2001q3</c:v>
                </c:pt>
                <c:pt idx="3">
                  <c:v>2001q4</c:v>
                </c:pt>
                <c:pt idx="4">
                  <c:v>2002q1</c:v>
                </c:pt>
                <c:pt idx="5">
                  <c:v>2002q2</c:v>
                </c:pt>
                <c:pt idx="6">
                  <c:v>2002q3</c:v>
                </c:pt>
                <c:pt idx="7">
                  <c:v>2002q4</c:v>
                </c:pt>
                <c:pt idx="8">
                  <c:v>2003q1</c:v>
                </c:pt>
                <c:pt idx="9">
                  <c:v>2003q2</c:v>
                </c:pt>
                <c:pt idx="10">
                  <c:v>2003q3</c:v>
                </c:pt>
                <c:pt idx="11">
                  <c:v>2003q4</c:v>
                </c:pt>
                <c:pt idx="12">
                  <c:v>2004q1</c:v>
                </c:pt>
                <c:pt idx="13">
                  <c:v>2004q2</c:v>
                </c:pt>
                <c:pt idx="14">
                  <c:v>2004q3</c:v>
                </c:pt>
                <c:pt idx="15">
                  <c:v>2004q4</c:v>
                </c:pt>
                <c:pt idx="16">
                  <c:v>2005q1</c:v>
                </c:pt>
                <c:pt idx="17">
                  <c:v>2005q2</c:v>
                </c:pt>
                <c:pt idx="18">
                  <c:v>2005q3</c:v>
                </c:pt>
                <c:pt idx="19">
                  <c:v>2005q4</c:v>
                </c:pt>
                <c:pt idx="20">
                  <c:v>2006q1</c:v>
                </c:pt>
                <c:pt idx="21">
                  <c:v>2006q2</c:v>
                </c:pt>
                <c:pt idx="22">
                  <c:v>2006q3</c:v>
                </c:pt>
                <c:pt idx="23">
                  <c:v>2006q4</c:v>
                </c:pt>
                <c:pt idx="24">
                  <c:v>2007q1</c:v>
                </c:pt>
                <c:pt idx="25">
                  <c:v>2007q2</c:v>
                </c:pt>
                <c:pt idx="26">
                  <c:v>2007q3</c:v>
                </c:pt>
                <c:pt idx="27">
                  <c:v>2007q4</c:v>
                </c:pt>
                <c:pt idx="28">
                  <c:v>2008q1</c:v>
                </c:pt>
                <c:pt idx="29">
                  <c:v>2008q2</c:v>
                </c:pt>
                <c:pt idx="30">
                  <c:v>2008q3</c:v>
                </c:pt>
                <c:pt idx="31">
                  <c:v>2008q4</c:v>
                </c:pt>
                <c:pt idx="32">
                  <c:v>2009q1</c:v>
                </c:pt>
                <c:pt idx="33">
                  <c:v>2009q2</c:v>
                </c:pt>
                <c:pt idx="34">
                  <c:v>2009q3</c:v>
                </c:pt>
                <c:pt idx="35">
                  <c:v>2009q4</c:v>
                </c:pt>
                <c:pt idx="36">
                  <c:v>2010q1</c:v>
                </c:pt>
                <c:pt idx="37">
                  <c:v>2010q2</c:v>
                </c:pt>
                <c:pt idx="38">
                  <c:v>2010q3</c:v>
                </c:pt>
                <c:pt idx="39">
                  <c:v>2010q4</c:v>
                </c:pt>
                <c:pt idx="40">
                  <c:v>2011q1</c:v>
                </c:pt>
                <c:pt idx="41">
                  <c:v>2011q2</c:v>
                </c:pt>
                <c:pt idx="42">
                  <c:v>2011q3</c:v>
                </c:pt>
                <c:pt idx="43">
                  <c:v>2011q4</c:v>
                </c:pt>
                <c:pt idx="44">
                  <c:v>2012q1</c:v>
                </c:pt>
                <c:pt idx="45">
                  <c:v>2012q2</c:v>
                </c:pt>
                <c:pt idx="46">
                  <c:v>2012q3</c:v>
                </c:pt>
                <c:pt idx="47">
                  <c:v>2012q4</c:v>
                </c:pt>
                <c:pt idx="48">
                  <c:v>2013q1</c:v>
                </c:pt>
                <c:pt idx="49">
                  <c:v>2013q2</c:v>
                </c:pt>
              </c:strCache>
            </c:strRef>
          </c:cat>
          <c:val>
            <c:numRef>
              <c:f>'Compare aggregates'!$E$3:$E$52</c:f>
              <c:numCache>
                <c:formatCode>General</c:formatCode>
                <c:ptCount val="50"/>
                <c:pt idx="0">
                  <c:v>0.86793596018947694</c:v>
                </c:pt>
                <c:pt idx="1">
                  <c:v>0.86454302128027105</c:v>
                </c:pt>
                <c:pt idx="2">
                  <c:v>0.87841988064879761</c:v>
                </c:pt>
                <c:pt idx="3">
                  <c:v>0.88530694448193092</c:v>
                </c:pt>
                <c:pt idx="4">
                  <c:v>0.88197804213767028</c:v>
                </c:pt>
                <c:pt idx="5">
                  <c:v>0.88627860429204941</c:v>
                </c:pt>
                <c:pt idx="6">
                  <c:v>0.88508482148920842</c:v>
                </c:pt>
                <c:pt idx="7">
                  <c:v>0.88563186356273726</c:v>
                </c:pt>
                <c:pt idx="8">
                  <c:v>0.87645646728822746</c:v>
                </c:pt>
                <c:pt idx="9">
                  <c:v>0.87622835090734696</c:v>
                </c:pt>
                <c:pt idx="10">
                  <c:v>0.87276003947928116</c:v>
                </c:pt>
                <c:pt idx="11">
                  <c:v>0.87158970511041745</c:v>
                </c:pt>
                <c:pt idx="12">
                  <c:v>0.8738298183537192</c:v>
                </c:pt>
                <c:pt idx="13">
                  <c:v>0.86149020315065628</c:v>
                </c:pt>
                <c:pt idx="14">
                  <c:v>0.84954547518863677</c:v>
                </c:pt>
                <c:pt idx="15">
                  <c:v>0.85283455189275736</c:v>
                </c:pt>
                <c:pt idx="16">
                  <c:v>0.85614681748189359</c:v>
                </c:pt>
                <c:pt idx="17">
                  <c:v>0.8496710051110683</c:v>
                </c:pt>
                <c:pt idx="18">
                  <c:v>0.85860838346690083</c:v>
                </c:pt>
                <c:pt idx="19">
                  <c:v>0.85593200459838348</c:v>
                </c:pt>
                <c:pt idx="20">
                  <c:v>0.85267972975874895</c:v>
                </c:pt>
                <c:pt idx="21">
                  <c:v>0.85711826052776707</c:v>
                </c:pt>
                <c:pt idx="22">
                  <c:v>0.85250877161224325</c:v>
                </c:pt>
                <c:pt idx="23">
                  <c:v>0.85496526638538672</c:v>
                </c:pt>
                <c:pt idx="24">
                  <c:v>0.84880151412082683</c:v>
                </c:pt>
                <c:pt idx="25">
                  <c:v>0.85570611711612721</c:v>
                </c:pt>
                <c:pt idx="26">
                  <c:v>0.85385838897874122</c:v>
                </c:pt>
                <c:pt idx="27">
                  <c:v>0.85104860618263722</c:v>
                </c:pt>
                <c:pt idx="28">
                  <c:v>0.85014011873491424</c:v>
                </c:pt>
                <c:pt idx="29">
                  <c:v>0.84418851227580638</c:v>
                </c:pt>
                <c:pt idx="30">
                  <c:v>0.85394316292628591</c:v>
                </c:pt>
                <c:pt idx="31">
                  <c:v>0.86713113124297503</c:v>
                </c:pt>
                <c:pt idx="32">
                  <c:v>0.85904251938329546</c:v>
                </c:pt>
                <c:pt idx="33">
                  <c:v>0.88164418406665601</c:v>
                </c:pt>
                <c:pt idx="34">
                  <c:v>0.87860197535286322</c:v>
                </c:pt>
                <c:pt idx="35">
                  <c:v>0.86596966286734645</c:v>
                </c:pt>
                <c:pt idx="36">
                  <c:v>0.85664619761122418</c:v>
                </c:pt>
                <c:pt idx="37">
                  <c:v>0.8632924872612997</c:v>
                </c:pt>
                <c:pt idx="38">
                  <c:v>0.86127717169867402</c:v>
                </c:pt>
                <c:pt idx="39">
                  <c:v>0.85589100173353294</c:v>
                </c:pt>
                <c:pt idx="40">
                  <c:v>0.85082505894283933</c:v>
                </c:pt>
                <c:pt idx="41">
                  <c:v>0.84906169960127309</c:v>
                </c:pt>
                <c:pt idx="42">
                  <c:v>0.83849422641072724</c:v>
                </c:pt>
                <c:pt idx="43">
                  <c:v>0.84695784595395485</c:v>
                </c:pt>
                <c:pt idx="44">
                  <c:v>0.83977720512699405</c:v>
                </c:pt>
                <c:pt idx="45">
                  <c:v>0.83308436576562339</c:v>
                </c:pt>
                <c:pt idx="46">
                  <c:v>0.83071539099968106</c:v>
                </c:pt>
                <c:pt idx="47">
                  <c:v>0.83346189038107221</c:v>
                </c:pt>
                <c:pt idx="48">
                  <c:v>0.84368737202383592</c:v>
                </c:pt>
                <c:pt idx="49">
                  <c:v>0.83105862990480772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624064"/>
        <c:axId val="229625856"/>
      </c:lineChart>
      <c:catAx>
        <c:axId val="22962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25856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2962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tabSelected="1"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1</xdr:row>
      <xdr:rowOff>167640</xdr:rowOff>
    </xdr:from>
    <xdr:to>
      <xdr:col>15</xdr:col>
      <xdr:colOff>312420</xdr:colOff>
      <xdr:row>20</xdr:row>
      <xdr:rowOff>7620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274320</xdr:colOff>
      <xdr:row>1</xdr:row>
      <xdr:rowOff>175260</xdr:rowOff>
    </xdr:from>
    <xdr:to>
      <xdr:col>26</xdr:col>
      <xdr:colOff>579120</xdr:colOff>
      <xdr:row>21</xdr:row>
      <xdr:rowOff>7620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289560</xdr:colOff>
      <xdr:row>22</xdr:row>
      <xdr:rowOff>0</xdr:rowOff>
    </xdr:from>
    <xdr:to>
      <xdr:col>26</xdr:col>
      <xdr:colOff>594360</xdr:colOff>
      <xdr:row>40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1</xdr:row>
      <xdr:rowOff>175260</xdr:rowOff>
    </xdr:from>
    <xdr:to>
      <xdr:col>3</xdr:col>
      <xdr:colOff>350520</xdr:colOff>
      <xdr:row>19</xdr:row>
      <xdr:rowOff>0</xdr:rowOff>
    </xdr:to>
    <xdr:sp macro="" textlink="">
      <xdr:nvSpPr>
        <xdr:cNvPr id="2" name="TextBox 1"/>
        <xdr:cNvSpPr txBox="1"/>
      </xdr:nvSpPr>
      <xdr:spPr>
        <a:xfrm>
          <a:off x="304800" y="358140"/>
          <a:ext cx="1874520" cy="3116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/>
            <a:t>NOTE: BLS provides seasonally adjusted industry data for only</a:t>
          </a:r>
          <a:r>
            <a:rPr lang="en-US" sz="1300" baseline="0"/>
            <a:t> a</a:t>
          </a:r>
          <a:r>
            <a:rPr lang="en-US" sz="1300"/>
            <a:t> sub-sample of</a:t>
          </a:r>
          <a:r>
            <a:rPr lang="en-US" sz="1300" baseline="0"/>
            <a:t> industries. </a:t>
          </a:r>
        </a:p>
        <a:p>
          <a:endParaRPr lang="en-US" sz="1300" baseline="0"/>
        </a:p>
        <a:p>
          <a:r>
            <a:rPr lang="en-US" sz="1300" baseline="0"/>
            <a:t>I seasonally adjust ALL industry data with MA procedure (see spreadsheet "jolts sa"). </a:t>
          </a:r>
        </a:p>
        <a:p>
          <a:endParaRPr lang="en-US" sz="1300" baseline="0"/>
        </a:p>
        <a:p>
          <a:r>
            <a:rPr lang="en-US" sz="1300" baseline="0"/>
            <a:t>I compare results with X-12-adjusted series for several industries for SA BLS data is available. </a:t>
          </a:r>
          <a:endParaRPr lang="en-US" sz="13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97</xdr:col>
      <xdr:colOff>281940</xdr:colOff>
      <xdr:row>3</xdr:row>
      <xdr:rowOff>0</xdr:rowOff>
    </xdr:from>
    <xdr:to>
      <xdr:col>104</xdr:col>
      <xdr:colOff>586740</xdr:colOff>
      <xdr:row>21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97</xdr:col>
      <xdr:colOff>274320</xdr:colOff>
      <xdr:row>21</xdr:row>
      <xdr:rowOff>167640</xdr:rowOff>
    </xdr:from>
    <xdr:to>
      <xdr:col>104</xdr:col>
      <xdr:colOff>579120</xdr:colOff>
      <xdr:row>39</xdr:row>
      <xdr:rowOff>167640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125</xdr:col>
      <xdr:colOff>304800</xdr:colOff>
      <xdr:row>2</xdr:row>
      <xdr:rowOff>175260</xdr:rowOff>
    </xdr:from>
    <xdr:to>
      <xdr:col>134</xdr:col>
      <xdr:colOff>289560</xdr:colOff>
      <xdr:row>21</xdr:row>
      <xdr:rowOff>7620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125</xdr:col>
      <xdr:colOff>304800</xdr:colOff>
      <xdr:row>21</xdr:row>
      <xdr:rowOff>99060</xdr:rowOff>
    </xdr:from>
    <xdr:to>
      <xdr:col>134</xdr:col>
      <xdr:colOff>289560</xdr:colOff>
      <xdr:row>39</xdr:row>
      <xdr:rowOff>114300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0.96869</cdr:y>
    </cdr:from>
    <cdr:to>
      <cdr:x>0.92169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93686"/>
          <a:ext cx="8442054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0.92169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442054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0.07349</cdr:x>
      <cdr:y>0.00833</cdr:y>
    </cdr:from>
    <cdr:to>
      <cdr:x>0.89314</cdr:x>
      <cdr:y>0.06678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471561" y="50800"/>
          <a:ext cx="5259202" cy="356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OMEGA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0.8251</cdr:x>
      <cdr:y>0.0501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5008" y="50923"/>
          <a:ext cx="5259202" cy="2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0.47181</cdr:x>
      <cdr:y>0.00833</cdr:y>
    </cdr:from>
    <cdr:to>
      <cdr:x>1</cdr:x>
      <cdr:y>0.05085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027326" y="50800"/>
          <a:ext cx="3389127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Implied match efficiency, </a:t>
          </a:r>
          <a:r>
            <a:rPr lang="el-GR" sz="1600" b="0" i="0" u="none">
              <a:solidFill>
                <a:srgbClr val="000000"/>
              </a:solidFill>
              <a:latin typeface="Arial"/>
            </a:rPr>
            <a:t>Ω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1" name="FRBMDSeriesMarkers: OMEGA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01/03/2001!*FRB*!01/10/2013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0.07349</cdr:x>
      <cdr:y>0.06869</cdr:y>
    </cdr:from>
    <cdr:to>
      <cdr:x>0.89314</cdr:x>
      <cdr:y>0.06869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471561" y="418923"/>
          <a:ext cx="5259202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0.07349</cdr:x>
      <cdr:y>0.06869</cdr:y>
    </cdr:from>
    <cdr:to>
      <cdr:x>0.07349</cdr:x>
      <cdr:y>0.89803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471561" y="418923"/>
          <a:ext cx="0" cy="5058121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0.39367</cdr:x>
      <cdr:y>0.46632</cdr:y>
    </cdr:from>
    <cdr:to>
      <cdr:x>0.51447</cdr:x>
      <cdr:y>0.50501</cdr:y>
    </cdr:to>
    <cdr:sp macro="" textlink="">
      <cdr:nvSpPr>
        <cdr:cNvPr id="21" name="SeriesLabel: OMEGA" hidden="1"/>
        <cdr:cNvSpPr txBox="1"/>
      </cdr:nvSpPr>
      <cdr:spPr>
        <a:xfrm xmlns:a="http://schemas.openxmlformats.org/drawingml/2006/main">
          <a:off x="2525944" y="2844051"/>
          <a:ext cx="775149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OMEGA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0.02926</cdr:x>
      <cdr:y>0.96869</cdr:y>
    </cdr:from>
    <cdr:to>
      <cdr:x>0.90955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272415" y="5893686"/>
          <a:ext cx="8196309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0.02926</cdr:x>
      <cdr:y>0.00835</cdr:y>
    </cdr:from>
    <cdr:to>
      <cdr:x>0.90955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272415" y="50800"/>
          <a:ext cx="8196309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0.03569</cdr:x>
      <cdr:y>0.00833</cdr:y>
    </cdr:from>
    <cdr:to>
      <cdr:x>0.87552</cdr:x>
      <cdr:y>0.06678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228987" y="50800"/>
          <a:ext cx="5388746" cy="356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0.03569</cdr:x>
      <cdr:y>0.95825</cdr:y>
    </cdr:from>
    <cdr:to>
      <cdr:x>0.87552</cdr:x>
      <cdr:y>1</cdr:y>
    </cdr:to>
    <cdr:sp macro="" textlink="">
      <cdr:nvSpPr>
        <cdr:cNvPr id="8" name="xlabel"/>
        <cdr:cNvSpPr txBox="1"/>
      </cdr:nvSpPr>
      <cdr:spPr>
        <a:xfrm xmlns:a="http://schemas.openxmlformats.org/drawingml/2006/main">
          <a:off x="228987" y="5895137"/>
          <a:ext cx="5388746" cy="2546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Unemployment rate (U/L, CPS)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0.458</cdr:x>
      <cdr:y>0.00833</cdr:y>
    </cdr:from>
    <cdr:to>
      <cdr:x>1</cdr:x>
      <cdr:y>0.05085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2938722" y="50800"/>
          <a:ext cx="3477731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 rate (V/L,JOLTS,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CPS)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1" name="FRBMDSeriesMarkers: V/L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0.43628</cdr:x>
      <cdr:y>0.35835</cdr:y>
    </cdr:from>
    <cdr:to>
      <cdr:x>0.79178</cdr:x>
      <cdr:y>0.39704</cdr:y>
    </cdr:to>
    <cdr:sp macro="" textlink="">
      <cdr:nvSpPr>
        <cdr:cNvPr id="12" name="SeriesLabel: V/L"/>
        <cdr:cNvSpPr txBox="1"/>
      </cdr:nvSpPr>
      <cdr:spPr>
        <a:xfrm xmlns:a="http://schemas.openxmlformats.org/drawingml/2006/main">
          <a:off x="2799386" y="2185551"/>
          <a:ext cx="228101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Actual</a:t>
          </a:r>
          <a:r>
            <a:rPr lang="en-GB" sz="1600" b="1" i="0" u="none" baseline="0">
              <a:solidFill>
                <a:srgbClr val="000000"/>
              </a:solidFill>
              <a:latin typeface="Arial"/>
            </a:rPr>
            <a:t> Beveridge curve</a:t>
          </a:r>
          <a:endParaRPr lang="en-GB" sz="1600" b="1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3" name="FRBMDSeriesMarkers: Counterfactual V/L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0.49626</cdr:x>
      <cdr:y>0.73247</cdr:y>
    </cdr:from>
    <cdr:to>
      <cdr:x>0.80545</cdr:x>
      <cdr:y>0.80984</cdr:y>
    </cdr:to>
    <cdr:sp macro="" textlink="">
      <cdr:nvSpPr>
        <cdr:cNvPr id="14" name="SeriesLabel: Counterfactual V/L"/>
        <cdr:cNvSpPr txBox="1"/>
      </cdr:nvSpPr>
      <cdr:spPr>
        <a:xfrm xmlns:a="http://schemas.openxmlformats.org/drawingml/2006/main">
          <a:off x="3184200" y="4467279"/>
          <a:ext cx="1983941" cy="471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Implied</a:t>
          </a:r>
          <a:r>
            <a:rPr lang="en-GB" sz="1600" b="1" i="0" u="none" baseline="0">
              <a:solidFill>
                <a:srgbClr val="000000"/>
              </a:solidFill>
              <a:latin typeface="Arial"/>
            </a:rPr>
            <a:t> by constant </a:t>
          </a:r>
        </a:p>
        <a:p xmlns:a="http://schemas.openxmlformats.org/drawingml/2006/main">
          <a:pPr algn="ctr"/>
          <a:r>
            <a:rPr lang="en-GB" sz="1600" b="1" i="0" u="none" baseline="0">
              <a:solidFill>
                <a:srgbClr val="000000"/>
              </a:solidFill>
              <a:latin typeface="Arial"/>
            </a:rPr>
            <a:t>mismatch index</a:t>
          </a:r>
          <a:endParaRPr lang="en-GB" sz="1600" b="1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0.03569</cdr:x>
      <cdr:y>0.06956</cdr:y>
    </cdr:from>
    <cdr:to>
      <cdr:x>0.87552</cdr:x>
      <cdr:y>0.06956</cdr:y>
    </cdr:to>
    <cdr:cxnSp macro="">
      <cdr:nvCxnSpPr>
        <cdr:cNvPr id="19" name="FRBMDHlineConnector" hidden="1"/>
        <cdr:cNvCxnSpPr/>
      </cdr:nvCxnSpPr>
      <cdr:spPr>
        <a:xfrm xmlns:a="http://schemas.openxmlformats.org/drawingml/2006/main">
          <a:off x="228987" y="424252"/>
          <a:ext cx="5388746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0.03569</cdr:x>
      <cdr:y>0.06956</cdr:y>
    </cdr:from>
    <cdr:to>
      <cdr:x>0.03569</cdr:x>
      <cdr:y>0.90613</cdr:y>
    </cdr:to>
    <cdr:cxnSp macro="">
      <cdr:nvCxnSpPr>
        <cdr:cNvPr id="21" name="FRBMDVlineConnector" hidden="1"/>
        <cdr:cNvCxnSpPr/>
      </cdr:nvCxnSpPr>
      <cdr:spPr>
        <a:xfrm xmlns:a="http://schemas.openxmlformats.org/drawingml/2006/main">
          <a:off x="228987" y="424252"/>
          <a:ext cx="0" cy="5102182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0.60414</cdr:x>
      <cdr:y>0.65012</cdr:y>
    </cdr:from>
    <cdr:to>
      <cdr:x>0.65085</cdr:x>
      <cdr:y>0.73247</cdr:y>
    </cdr:to>
    <cdr:cxnSp macro="">
      <cdr:nvCxnSpPr>
        <cdr:cNvPr id="24" name="Straight Connector 23"/>
        <cdr:cNvCxnSpPr>
          <a:stCxn xmlns:a="http://schemas.openxmlformats.org/drawingml/2006/main" id="14" idx="0"/>
        </cdr:cNvCxnSpPr>
      </cdr:nvCxnSpPr>
      <cdr:spPr>
        <a:xfrm xmlns:a="http://schemas.openxmlformats.org/drawingml/2006/main" flipH="1" flipV="1">
          <a:off x="3876453" y="3965058"/>
          <a:ext cx="299718" cy="50222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0.45224</cdr:x>
      <cdr:y>0.39588</cdr:y>
    </cdr:from>
    <cdr:to>
      <cdr:x>0.45339</cdr:x>
      <cdr:y>0.52542</cdr:y>
    </cdr:to>
    <cdr:cxnSp macro="">
      <cdr:nvCxnSpPr>
        <cdr:cNvPr id="26" name="Straight Connector 25"/>
        <cdr:cNvCxnSpPr/>
      </cdr:nvCxnSpPr>
      <cdr:spPr>
        <a:xfrm xmlns:a="http://schemas.openxmlformats.org/drawingml/2006/main">
          <a:off x="2901803" y="2414476"/>
          <a:ext cx="7383" cy="79005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297180</xdr:colOff>
      <xdr:row>23</xdr:row>
      <xdr:rowOff>15240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297180</xdr:colOff>
      <xdr:row>20</xdr:row>
      <xdr:rowOff>15240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workbookViewId="0"/>
  </sheetViews>
  <sheetFormatPr defaultRowHeight="15" x14ac:dyDescent="0.25"/>
  <sheetData>
    <row r="2" spans="1:1" ht="14.45" x14ac:dyDescent="0.3">
      <c r="A2" t="s">
        <v>251</v>
      </c>
    </row>
    <row r="3" spans="1:1" ht="14.45" x14ac:dyDescent="0.3">
      <c r="A3" t="s">
        <v>250</v>
      </c>
    </row>
    <row r="4" spans="1:1" x14ac:dyDescent="0.25">
      <c r="A4" t="s">
        <v>252</v>
      </c>
    </row>
    <row r="5" spans="1:1" x14ac:dyDescent="0.25">
      <c r="A5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91"/>
  <sheetViews>
    <sheetView workbookViewId="0">
      <selection sqref="A1:E1"/>
    </sheetView>
  </sheetViews>
  <sheetFormatPr defaultRowHeight="15" x14ac:dyDescent="0.25"/>
  <cols>
    <col min="1" max="1" width="20" customWidth="1"/>
    <col min="2" max="4" width="10" customWidth="1"/>
    <col min="7" max="7" width="20" customWidth="1"/>
    <col min="8" max="10" width="10" customWidth="1"/>
    <col min="12" max="12" width="20" customWidth="1"/>
    <col min="13" max="15" width="10" customWidth="1"/>
  </cols>
  <sheetData>
    <row r="1" spans="1:17" ht="15.6" x14ac:dyDescent="0.3">
      <c r="A1" s="27" t="s">
        <v>70</v>
      </c>
      <c r="B1" s="28"/>
      <c r="C1" s="28"/>
      <c r="D1" s="28"/>
      <c r="E1" s="28"/>
      <c r="G1" s="27" t="s">
        <v>70</v>
      </c>
      <c r="H1" s="28"/>
      <c r="I1" s="28"/>
      <c r="J1" s="28"/>
      <c r="K1" s="28"/>
      <c r="L1" s="27" t="s">
        <v>0</v>
      </c>
      <c r="M1" s="28"/>
      <c r="N1" s="28"/>
      <c r="O1" s="28"/>
      <c r="P1" s="28"/>
      <c r="Q1" s="28"/>
    </row>
    <row r="2" spans="1:17" ht="15.6" x14ac:dyDescent="0.3">
      <c r="A2" s="27" t="s">
        <v>1</v>
      </c>
      <c r="B2" s="28"/>
      <c r="C2" s="28"/>
      <c r="D2" s="28"/>
      <c r="E2" s="28"/>
      <c r="G2" s="27" t="s">
        <v>1</v>
      </c>
      <c r="H2" s="28"/>
      <c r="I2" s="28"/>
      <c r="J2" s="28"/>
      <c r="K2" s="28"/>
      <c r="L2" s="27" t="s">
        <v>1</v>
      </c>
      <c r="M2" s="28"/>
      <c r="N2" s="28"/>
      <c r="O2" s="28"/>
      <c r="P2" s="28"/>
      <c r="Q2" s="28"/>
    </row>
    <row r="3" spans="1:17" ht="14.45" x14ac:dyDescent="0.3">
      <c r="A3" s="28"/>
      <c r="B3" s="28"/>
      <c r="C3" s="28"/>
      <c r="D3" s="28"/>
      <c r="E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14.45" x14ac:dyDescent="0.3">
      <c r="A4" s="2" t="s">
        <v>2</v>
      </c>
      <c r="B4" s="29" t="s">
        <v>198</v>
      </c>
      <c r="C4" s="28"/>
      <c r="D4" s="28"/>
      <c r="E4" s="28"/>
      <c r="G4" s="2" t="s">
        <v>2</v>
      </c>
      <c r="H4" s="29" t="s">
        <v>200</v>
      </c>
      <c r="I4" s="28"/>
      <c r="J4" s="28"/>
      <c r="K4" s="28"/>
      <c r="L4" s="2" t="s">
        <v>2</v>
      </c>
      <c r="M4" s="29" t="s">
        <v>203</v>
      </c>
      <c r="N4" s="28"/>
      <c r="O4" s="28"/>
      <c r="P4" s="28"/>
      <c r="Q4" s="28"/>
    </row>
    <row r="5" spans="1:17" ht="14.45" x14ac:dyDescent="0.3">
      <c r="A5" s="30" t="s">
        <v>77</v>
      </c>
      <c r="B5" s="28"/>
      <c r="C5" s="28"/>
      <c r="D5" s="28"/>
      <c r="E5" s="28"/>
      <c r="G5" s="30" t="s">
        <v>201</v>
      </c>
      <c r="H5" s="28"/>
      <c r="I5" s="28"/>
      <c r="J5" s="28"/>
      <c r="K5" s="28"/>
      <c r="L5" s="30" t="s">
        <v>204</v>
      </c>
      <c r="M5" s="28"/>
      <c r="N5" s="28"/>
      <c r="O5" s="28"/>
      <c r="P5" s="28"/>
      <c r="Q5" s="28"/>
    </row>
    <row r="6" spans="1:17" ht="14.45" x14ac:dyDescent="0.3">
      <c r="A6" s="2" t="s">
        <v>78</v>
      </c>
      <c r="B6" s="29" t="s">
        <v>199</v>
      </c>
      <c r="C6" s="28"/>
      <c r="D6" s="28"/>
      <c r="E6" s="28"/>
      <c r="G6" s="2" t="s">
        <v>78</v>
      </c>
      <c r="H6" s="29" t="s">
        <v>202</v>
      </c>
      <c r="I6" s="28"/>
      <c r="J6" s="28"/>
      <c r="K6" s="28"/>
      <c r="L6" s="2" t="s">
        <v>5</v>
      </c>
      <c r="M6" s="29" t="s">
        <v>205</v>
      </c>
      <c r="N6" s="28"/>
      <c r="O6" s="28"/>
      <c r="P6" s="28"/>
      <c r="Q6" s="28"/>
    </row>
    <row r="7" spans="1:17" ht="14.45" x14ac:dyDescent="0.3">
      <c r="A7" s="2" t="s">
        <v>85</v>
      </c>
      <c r="B7" s="29" t="s">
        <v>86</v>
      </c>
      <c r="C7" s="28"/>
      <c r="D7" s="28"/>
      <c r="E7" s="28"/>
      <c r="G7" s="2" t="s">
        <v>85</v>
      </c>
      <c r="H7" s="29" t="s">
        <v>86</v>
      </c>
      <c r="I7" s="28"/>
      <c r="J7" s="28"/>
      <c r="K7" s="28"/>
      <c r="L7" s="2" t="s">
        <v>7</v>
      </c>
      <c r="M7" s="29" t="s">
        <v>8</v>
      </c>
      <c r="N7" s="28"/>
      <c r="O7" s="28"/>
      <c r="P7" s="28"/>
      <c r="Q7" s="28"/>
    </row>
    <row r="8" spans="1:17" ht="14.45" x14ac:dyDescent="0.3">
      <c r="A8" s="2" t="s">
        <v>87</v>
      </c>
      <c r="B8" s="29" t="s">
        <v>88</v>
      </c>
      <c r="C8" s="28"/>
      <c r="D8" s="28"/>
      <c r="E8" s="28"/>
      <c r="G8" s="2" t="s">
        <v>87</v>
      </c>
      <c r="H8" s="29" t="s">
        <v>88</v>
      </c>
      <c r="I8" s="28"/>
      <c r="J8" s="28"/>
      <c r="K8" s="28"/>
      <c r="L8" s="2" t="s">
        <v>9</v>
      </c>
      <c r="M8" s="29" t="s">
        <v>10</v>
      </c>
      <c r="N8" s="28"/>
      <c r="O8" s="28"/>
      <c r="P8" s="28"/>
      <c r="Q8" s="28"/>
    </row>
    <row r="9" spans="1:17" ht="14.45" x14ac:dyDescent="0.3">
      <c r="A9" s="2" t="s">
        <v>89</v>
      </c>
      <c r="B9" s="29" t="s">
        <v>90</v>
      </c>
      <c r="C9" s="28"/>
      <c r="D9" s="28"/>
      <c r="E9" s="28"/>
      <c r="G9" s="2" t="s">
        <v>89</v>
      </c>
      <c r="H9" s="29" t="s">
        <v>90</v>
      </c>
      <c r="I9" s="28"/>
      <c r="J9" s="28"/>
      <c r="K9" s="28"/>
      <c r="L9" s="2" t="s">
        <v>11</v>
      </c>
      <c r="M9" s="29" t="s">
        <v>12</v>
      </c>
      <c r="N9" s="28"/>
      <c r="O9" s="28"/>
      <c r="P9" s="28"/>
      <c r="Q9" s="28"/>
    </row>
    <row r="10" spans="1:17" ht="14.45" x14ac:dyDescent="0.3">
      <c r="A10" s="2" t="s">
        <v>13</v>
      </c>
      <c r="B10" s="31" t="s">
        <v>14</v>
      </c>
      <c r="C10" s="28"/>
      <c r="D10" s="28"/>
      <c r="E10" s="28"/>
      <c r="G10" s="2" t="s">
        <v>13</v>
      </c>
      <c r="H10" s="31" t="s">
        <v>14</v>
      </c>
      <c r="I10" s="28"/>
      <c r="J10" s="28"/>
      <c r="K10" s="28"/>
      <c r="L10" s="2" t="s">
        <v>13</v>
      </c>
      <c r="M10" s="31" t="s">
        <v>14</v>
      </c>
      <c r="N10" s="28"/>
      <c r="O10" s="28"/>
      <c r="P10" s="28"/>
      <c r="Q10" s="28"/>
    </row>
    <row r="12" spans="1:17" thickBot="1" x14ac:dyDescent="0.35">
      <c r="A12" s="3" t="s">
        <v>15</v>
      </c>
      <c r="B12" s="3" t="s">
        <v>16</v>
      </c>
      <c r="C12" s="3" t="s">
        <v>17</v>
      </c>
      <c r="D12" s="3" t="s">
        <v>18</v>
      </c>
      <c r="G12" s="3" t="s">
        <v>15</v>
      </c>
      <c r="H12" s="3" t="s">
        <v>16</v>
      </c>
      <c r="I12" s="3" t="s">
        <v>17</v>
      </c>
      <c r="J12" s="3" t="s">
        <v>18</v>
      </c>
      <c r="L12" s="3" t="s">
        <v>15</v>
      </c>
      <c r="M12" s="3" t="s">
        <v>16</v>
      </c>
      <c r="N12" s="3" t="s">
        <v>17</v>
      </c>
      <c r="O12" s="3" t="s">
        <v>18</v>
      </c>
    </row>
    <row r="13" spans="1:17" thickTop="1" x14ac:dyDescent="0.3">
      <c r="A13" s="4" t="s">
        <v>198</v>
      </c>
      <c r="B13" s="4">
        <v>2000</v>
      </c>
      <c r="C13" s="4" t="s">
        <v>20</v>
      </c>
      <c r="D13" s="5">
        <v>6316</v>
      </c>
      <c r="E13">
        <f>IF(C13="M13","",D13)</f>
        <v>6316</v>
      </c>
      <c r="G13" s="4" t="s">
        <v>200</v>
      </c>
      <c r="H13" s="4">
        <v>2000</v>
      </c>
      <c r="I13" s="4" t="s">
        <v>20</v>
      </c>
      <c r="J13" s="5">
        <v>5708</v>
      </c>
      <c r="L13" s="4" t="s">
        <v>203</v>
      </c>
      <c r="M13" s="4">
        <v>2000</v>
      </c>
      <c r="N13" s="4" t="s">
        <v>19</v>
      </c>
      <c r="O13" s="5">
        <v>5191</v>
      </c>
    </row>
    <row r="14" spans="1:17" ht="14.45" x14ac:dyDescent="0.3">
      <c r="A14" s="4" t="s">
        <v>198</v>
      </c>
      <c r="B14" s="4">
        <v>2000</v>
      </c>
      <c r="C14" s="4" t="s">
        <v>21</v>
      </c>
      <c r="D14" s="5">
        <v>6284</v>
      </c>
      <c r="E14">
        <f t="shared" ref="E14:E77" si="0">IF(C14="M13","",D14)</f>
        <v>6284</v>
      </c>
      <c r="G14" s="4" t="s">
        <v>200</v>
      </c>
      <c r="H14" s="4">
        <v>2000</v>
      </c>
      <c r="I14" s="4" t="s">
        <v>21</v>
      </c>
      <c r="J14" s="5">
        <v>5858</v>
      </c>
      <c r="L14" s="4" t="s">
        <v>203</v>
      </c>
      <c r="M14" s="4">
        <v>2001</v>
      </c>
      <c r="N14" s="4" t="s">
        <v>20</v>
      </c>
      <c r="O14" s="5">
        <v>5186</v>
      </c>
    </row>
    <row r="15" spans="1:17" ht="14.45" x14ac:dyDescent="0.3">
      <c r="A15" s="4" t="s">
        <v>198</v>
      </c>
      <c r="B15" s="4">
        <v>2000</v>
      </c>
      <c r="C15" s="4" t="s">
        <v>22</v>
      </c>
      <c r="D15" s="5">
        <v>6069</v>
      </c>
      <c r="E15">
        <f t="shared" si="0"/>
        <v>6069</v>
      </c>
      <c r="G15" s="4" t="s">
        <v>200</v>
      </c>
      <c r="H15" s="4">
        <v>2000</v>
      </c>
      <c r="I15" s="4" t="s">
        <v>22</v>
      </c>
      <c r="J15" s="5">
        <v>5733</v>
      </c>
      <c r="L15" s="4" t="s">
        <v>203</v>
      </c>
      <c r="M15" s="4">
        <v>2001</v>
      </c>
      <c r="N15" s="4" t="s">
        <v>21</v>
      </c>
      <c r="O15" s="5">
        <v>4702</v>
      </c>
    </row>
    <row r="16" spans="1:17" ht="14.45" x14ac:dyDescent="0.3">
      <c r="A16" s="4" t="s">
        <v>198</v>
      </c>
      <c r="B16" s="4">
        <v>2000</v>
      </c>
      <c r="C16" s="4" t="s">
        <v>23</v>
      </c>
      <c r="D16" s="5">
        <v>5212</v>
      </c>
      <c r="E16">
        <f t="shared" si="0"/>
        <v>5212</v>
      </c>
      <c r="G16" s="4" t="s">
        <v>200</v>
      </c>
      <c r="H16" s="4">
        <v>2000</v>
      </c>
      <c r="I16" s="4" t="s">
        <v>23</v>
      </c>
      <c r="J16" s="5">
        <v>5481</v>
      </c>
      <c r="L16" s="4" t="s">
        <v>203</v>
      </c>
      <c r="M16" s="4">
        <v>2001</v>
      </c>
      <c r="N16" s="4" t="s">
        <v>22</v>
      </c>
      <c r="O16" s="5">
        <v>4774</v>
      </c>
    </row>
    <row r="17" spans="1:15" ht="14.45" x14ac:dyDescent="0.3">
      <c r="A17" s="4" t="s">
        <v>198</v>
      </c>
      <c r="B17" s="4">
        <v>2000</v>
      </c>
      <c r="C17" s="4" t="s">
        <v>24</v>
      </c>
      <c r="D17" s="5">
        <v>5460</v>
      </c>
      <c r="E17">
        <f t="shared" si="0"/>
        <v>5460</v>
      </c>
      <c r="G17" s="4" t="s">
        <v>200</v>
      </c>
      <c r="H17" s="4">
        <v>2000</v>
      </c>
      <c r="I17" s="4" t="s">
        <v>24</v>
      </c>
      <c r="J17" s="5">
        <v>5758</v>
      </c>
      <c r="L17" s="4" t="s">
        <v>203</v>
      </c>
      <c r="M17" s="4">
        <v>2001</v>
      </c>
      <c r="N17" s="4" t="s">
        <v>23</v>
      </c>
      <c r="O17" s="5">
        <v>4653</v>
      </c>
    </row>
    <row r="18" spans="1:15" ht="14.45" x14ac:dyDescent="0.3">
      <c r="A18" s="4" t="s">
        <v>198</v>
      </c>
      <c r="B18" s="4">
        <v>2000</v>
      </c>
      <c r="C18" s="4" t="s">
        <v>25</v>
      </c>
      <c r="D18" s="5">
        <v>5959</v>
      </c>
      <c r="E18">
        <f t="shared" si="0"/>
        <v>5959</v>
      </c>
      <c r="G18" s="4" t="s">
        <v>200</v>
      </c>
      <c r="H18" s="4">
        <v>2000</v>
      </c>
      <c r="I18" s="4" t="s">
        <v>25</v>
      </c>
      <c r="J18" s="5">
        <v>5651</v>
      </c>
      <c r="L18" s="4" t="s">
        <v>203</v>
      </c>
      <c r="M18" s="4">
        <v>2001</v>
      </c>
      <c r="N18" s="4" t="s">
        <v>24</v>
      </c>
      <c r="O18" s="5">
        <v>4452</v>
      </c>
    </row>
    <row r="19" spans="1:15" ht="14.45" x14ac:dyDescent="0.3">
      <c r="A19" s="4" t="s">
        <v>198</v>
      </c>
      <c r="B19" s="4">
        <v>2000</v>
      </c>
      <c r="C19" s="4" t="s">
        <v>26</v>
      </c>
      <c r="D19" s="5">
        <v>6028</v>
      </c>
      <c r="E19">
        <f t="shared" si="0"/>
        <v>6028</v>
      </c>
      <c r="G19" s="4" t="s">
        <v>200</v>
      </c>
      <c r="H19" s="4">
        <v>2000</v>
      </c>
      <c r="I19" s="4" t="s">
        <v>26</v>
      </c>
      <c r="J19" s="5">
        <v>5747</v>
      </c>
      <c r="L19" s="4" t="s">
        <v>203</v>
      </c>
      <c r="M19" s="4">
        <v>2001</v>
      </c>
      <c r="N19" s="4" t="s">
        <v>25</v>
      </c>
      <c r="O19" s="5">
        <v>4337</v>
      </c>
    </row>
    <row r="20" spans="1:15" ht="14.45" x14ac:dyDescent="0.3">
      <c r="A20" s="4" t="s">
        <v>198</v>
      </c>
      <c r="B20" s="4">
        <v>2000</v>
      </c>
      <c r="C20" s="4" t="s">
        <v>27</v>
      </c>
      <c r="D20" s="5">
        <v>5863</v>
      </c>
      <c r="E20">
        <f t="shared" si="0"/>
        <v>5863</v>
      </c>
      <c r="G20" s="4" t="s">
        <v>200</v>
      </c>
      <c r="H20" s="4">
        <v>2000</v>
      </c>
      <c r="I20" s="4" t="s">
        <v>27</v>
      </c>
      <c r="J20" s="5">
        <v>5853</v>
      </c>
      <c r="L20" s="4" t="s">
        <v>203</v>
      </c>
      <c r="M20" s="4">
        <v>2001</v>
      </c>
      <c r="N20" s="4" t="s">
        <v>26</v>
      </c>
      <c r="O20" s="5">
        <v>4231</v>
      </c>
    </row>
    <row r="21" spans="1:15" ht="14.45" x14ac:dyDescent="0.3">
      <c r="A21" s="4" t="s">
        <v>198</v>
      </c>
      <c r="B21" s="4">
        <v>2000</v>
      </c>
      <c r="C21" s="4" t="s">
        <v>28</v>
      </c>
      <c r="D21" s="5">
        <v>5359</v>
      </c>
      <c r="E21">
        <f t="shared" si="0"/>
        <v>5359</v>
      </c>
      <c r="G21" s="4" t="s">
        <v>200</v>
      </c>
      <c r="H21" s="4">
        <v>2000</v>
      </c>
      <c r="I21" s="4" t="s">
        <v>28</v>
      </c>
      <c r="J21" s="5">
        <v>5625</v>
      </c>
      <c r="L21" s="4" t="s">
        <v>203</v>
      </c>
      <c r="M21" s="4">
        <v>2001</v>
      </c>
      <c r="N21" s="4" t="s">
        <v>27</v>
      </c>
      <c r="O21" s="5">
        <v>4139</v>
      </c>
    </row>
    <row r="22" spans="1:15" ht="14.45" x14ac:dyDescent="0.3">
      <c r="A22" s="4" t="s">
        <v>198</v>
      </c>
      <c r="B22" s="4">
        <v>2000</v>
      </c>
      <c r="C22" s="4" t="s">
        <v>29</v>
      </c>
      <c r="D22" s="5">
        <v>5153</v>
      </c>
      <c r="E22">
        <f t="shared" si="0"/>
        <v>5153</v>
      </c>
      <c r="G22" s="4" t="s">
        <v>200</v>
      </c>
      <c r="H22" s="4">
        <v>2000</v>
      </c>
      <c r="I22" s="4" t="s">
        <v>29</v>
      </c>
      <c r="J22" s="5">
        <v>5534</v>
      </c>
      <c r="L22" s="4" t="s">
        <v>203</v>
      </c>
      <c r="M22" s="4">
        <v>2001</v>
      </c>
      <c r="N22" s="4" t="s">
        <v>28</v>
      </c>
      <c r="O22" s="5">
        <v>4006</v>
      </c>
    </row>
    <row r="23" spans="1:15" ht="14.45" x14ac:dyDescent="0.3">
      <c r="A23" s="4" t="s">
        <v>198</v>
      </c>
      <c r="B23" s="4">
        <v>2000</v>
      </c>
      <c r="C23" s="4" t="s">
        <v>30</v>
      </c>
      <c r="D23" s="5">
        <v>5336</v>
      </c>
      <c r="E23">
        <f t="shared" si="0"/>
        <v>5336</v>
      </c>
      <c r="G23" s="4" t="s">
        <v>200</v>
      </c>
      <c r="H23" s="4">
        <v>2000</v>
      </c>
      <c r="I23" s="4" t="s">
        <v>30</v>
      </c>
      <c r="J23" s="5">
        <v>5639</v>
      </c>
      <c r="L23" s="4" t="s">
        <v>203</v>
      </c>
      <c r="M23" s="4">
        <v>2001</v>
      </c>
      <c r="N23" s="4" t="s">
        <v>29</v>
      </c>
      <c r="O23" s="5">
        <v>3583</v>
      </c>
    </row>
    <row r="24" spans="1:15" ht="14.45" x14ac:dyDescent="0.3">
      <c r="A24" s="4" t="s">
        <v>198</v>
      </c>
      <c r="B24" s="4">
        <v>2000</v>
      </c>
      <c r="C24" s="4" t="s">
        <v>19</v>
      </c>
      <c r="D24" s="5">
        <v>5264</v>
      </c>
      <c r="E24">
        <f t="shared" si="0"/>
        <v>5264</v>
      </c>
      <c r="G24" s="4" t="s">
        <v>200</v>
      </c>
      <c r="H24" s="4">
        <v>2000</v>
      </c>
      <c r="I24" s="4" t="s">
        <v>19</v>
      </c>
      <c r="J24" s="5">
        <v>5634</v>
      </c>
      <c r="L24" s="4" t="s">
        <v>203</v>
      </c>
      <c r="M24" s="4">
        <v>2001</v>
      </c>
      <c r="N24" s="4" t="s">
        <v>30</v>
      </c>
      <c r="O24" s="5">
        <v>3538</v>
      </c>
    </row>
    <row r="25" spans="1:15" ht="14.45" x14ac:dyDescent="0.3">
      <c r="A25" s="4" t="s">
        <v>198</v>
      </c>
      <c r="B25" s="4">
        <v>2000</v>
      </c>
      <c r="C25" s="4" t="s">
        <v>96</v>
      </c>
      <c r="D25" s="5">
        <v>5692</v>
      </c>
      <c r="E25" t="str">
        <f t="shared" si="0"/>
        <v/>
      </c>
      <c r="G25" s="4" t="s">
        <v>200</v>
      </c>
      <c r="H25" s="4">
        <v>2001</v>
      </c>
      <c r="I25" s="4" t="s">
        <v>20</v>
      </c>
      <c r="J25" s="5">
        <v>6023</v>
      </c>
      <c r="L25" s="4" t="s">
        <v>203</v>
      </c>
      <c r="M25" s="4">
        <v>2001</v>
      </c>
      <c r="N25" s="4" t="s">
        <v>19</v>
      </c>
      <c r="O25" s="5">
        <v>3559</v>
      </c>
    </row>
    <row r="26" spans="1:15" ht="14.45" x14ac:dyDescent="0.3">
      <c r="A26" s="4" t="s">
        <v>198</v>
      </c>
      <c r="B26" s="4">
        <v>2001</v>
      </c>
      <c r="C26" s="4" t="s">
        <v>20</v>
      </c>
      <c r="D26" s="5">
        <v>6647</v>
      </c>
      <c r="E26">
        <f t="shared" si="0"/>
        <v>6647</v>
      </c>
      <c r="G26" s="4" t="s">
        <v>200</v>
      </c>
      <c r="H26" s="4">
        <v>2001</v>
      </c>
      <c r="I26" s="4" t="s">
        <v>21</v>
      </c>
      <c r="J26" s="5">
        <v>6089</v>
      </c>
      <c r="L26" s="4" t="s">
        <v>203</v>
      </c>
      <c r="M26" s="4">
        <v>2002</v>
      </c>
      <c r="N26" s="4" t="s">
        <v>20</v>
      </c>
      <c r="O26" s="5">
        <v>3572</v>
      </c>
    </row>
    <row r="27" spans="1:15" ht="14.45" x14ac:dyDescent="0.3">
      <c r="A27" s="4" t="s">
        <v>198</v>
      </c>
      <c r="B27" s="4">
        <v>2001</v>
      </c>
      <c r="C27" s="4" t="s">
        <v>21</v>
      </c>
      <c r="D27" s="5">
        <v>6523</v>
      </c>
      <c r="E27">
        <f t="shared" si="0"/>
        <v>6523</v>
      </c>
      <c r="G27" s="4" t="s">
        <v>200</v>
      </c>
      <c r="H27" s="4">
        <v>2001</v>
      </c>
      <c r="I27" s="4" t="s">
        <v>22</v>
      </c>
      <c r="J27" s="5">
        <v>6141</v>
      </c>
      <c r="L27" s="4" t="s">
        <v>203</v>
      </c>
      <c r="M27" s="4">
        <v>2002</v>
      </c>
      <c r="N27" s="4" t="s">
        <v>21</v>
      </c>
      <c r="O27" s="5">
        <v>3370</v>
      </c>
    </row>
    <row r="28" spans="1:15" ht="14.45" x14ac:dyDescent="0.3">
      <c r="A28" s="4" t="s">
        <v>198</v>
      </c>
      <c r="B28" s="4">
        <v>2001</v>
      </c>
      <c r="C28" s="4" t="s">
        <v>22</v>
      </c>
      <c r="D28" s="5">
        <v>6509</v>
      </c>
      <c r="E28">
        <f t="shared" si="0"/>
        <v>6509</v>
      </c>
      <c r="G28" s="4" t="s">
        <v>200</v>
      </c>
      <c r="H28" s="4">
        <v>2001</v>
      </c>
      <c r="I28" s="4" t="s">
        <v>23</v>
      </c>
      <c r="J28" s="5">
        <v>6271</v>
      </c>
      <c r="L28" s="4" t="s">
        <v>203</v>
      </c>
      <c r="M28" s="4">
        <v>2002</v>
      </c>
      <c r="N28" s="4" t="s">
        <v>22</v>
      </c>
      <c r="O28" s="5">
        <v>3560</v>
      </c>
    </row>
    <row r="29" spans="1:15" x14ac:dyDescent="0.25">
      <c r="A29" s="4" t="s">
        <v>198</v>
      </c>
      <c r="B29" s="4">
        <v>2001</v>
      </c>
      <c r="C29" s="4" t="s">
        <v>23</v>
      </c>
      <c r="D29" s="5">
        <v>6004</v>
      </c>
      <c r="E29">
        <f t="shared" si="0"/>
        <v>6004</v>
      </c>
      <c r="G29" s="4" t="s">
        <v>200</v>
      </c>
      <c r="H29" s="4">
        <v>2001</v>
      </c>
      <c r="I29" s="4" t="s">
        <v>24</v>
      </c>
      <c r="J29" s="5">
        <v>6226</v>
      </c>
      <c r="L29" s="4" t="s">
        <v>203</v>
      </c>
      <c r="M29" s="4">
        <v>2002</v>
      </c>
      <c r="N29" s="4" t="s">
        <v>23</v>
      </c>
      <c r="O29" s="5">
        <v>3373</v>
      </c>
    </row>
    <row r="30" spans="1:15" x14ac:dyDescent="0.25">
      <c r="A30" s="4" t="s">
        <v>198</v>
      </c>
      <c r="B30" s="4">
        <v>2001</v>
      </c>
      <c r="C30" s="4" t="s">
        <v>24</v>
      </c>
      <c r="D30" s="5">
        <v>5901</v>
      </c>
      <c r="E30">
        <f t="shared" si="0"/>
        <v>5901</v>
      </c>
      <c r="G30" s="4" t="s">
        <v>200</v>
      </c>
      <c r="H30" s="4">
        <v>2001</v>
      </c>
      <c r="I30" s="4" t="s">
        <v>25</v>
      </c>
      <c r="J30" s="5">
        <v>6484</v>
      </c>
      <c r="L30" s="4" t="s">
        <v>203</v>
      </c>
      <c r="M30" s="4">
        <v>2002</v>
      </c>
      <c r="N30" s="4" t="s">
        <v>24</v>
      </c>
      <c r="O30" s="5">
        <v>3482</v>
      </c>
    </row>
    <row r="31" spans="1:15" x14ac:dyDescent="0.25">
      <c r="A31" s="4" t="s">
        <v>198</v>
      </c>
      <c r="B31" s="4">
        <v>2001</v>
      </c>
      <c r="C31" s="4" t="s">
        <v>25</v>
      </c>
      <c r="D31" s="5">
        <v>6816</v>
      </c>
      <c r="E31">
        <f t="shared" si="0"/>
        <v>6816</v>
      </c>
      <c r="G31" s="4" t="s">
        <v>200</v>
      </c>
      <c r="H31" s="4">
        <v>2001</v>
      </c>
      <c r="I31" s="4" t="s">
        <v>26</v>
      </c>
      <c r="J31" s="5">
        <v>6583</v>
      </c>
      <c r="L31" s="4" t="s">
        <v>203</v>
      </c>
      <c r="M31" s="4">
        <v>2002</v>
      </c>
      <c r="N31" s="4" t="s">
        <v>25</v>
      </c>
      <c r="O31" s="5">
        <v>3251</v>
      </c>
    </row>
    <row r="32" spans="1:15" x14ac:dyDescent="0.25">
      <c r="A32" s="4" t="s">
        <v>198</v>
      </c>
      <c r="B32" s="4">
        <v>2001</v>
      </c>
      <c r="C32" s="4" t="s">
        <v>26</v>
      </c>
      <c r="D32" s="5">
        <v>6858</v>
      </c>
      <c r="E32">
        <f t="shared" si="0"/>
        <v>6858</v>
      </c>
      <c r="G32" s="4" t="s">
        <v>200</v>
      </c>
      <c r="H32" s="4">
        <v>2001</v>
      </c>
      <c r="I32" s="4" t="s">
        <v>27</v>
      </c>
      <c r="J32" s="5">
        <v>7042</v>
      </c>
      <c r="L32" s="4" t="s">
        <v>203</v>
      </c>
      <c r="M32" s="4">
        <v>2002</v>
      </c>
      <c r="N32" s="4" t="s">
        <v>26</v>
      </c>
      <c r="O32" s="5">
        <v>3403</v>
      </c>
    </row>
    <row r="33" spans="1:15" x14ac:dyDescent="0.25">
      <c r="A33" s="4" t="s">
        <v>198</v>
      </c>
      <c r="B33" s="4">
        <v>2001</v>
      </c>
      <c r="C33" s="4" t="s">
        <v>27</v>
      </c>
      <c r="D33" s="5">
        <v>7017</v>
      </c>
      <c r="E33">
        <f t="shared" si="0"/>
        <v>7017</v>
      </c>
      <c r="G33" s="4" t="s">
        <v>200</v>
      </c>
      <c r="H33" s="4">
        <v>2001</v>
      </c>
      <c r="I33" s="4" t="s">
        <v>28</v>
      </c>
      <c r="J33" s="5">
        <v>7142</v>
      </c>
      <c r="L33" s="4" t="s">
        <v>203</v>
      </c>
      <c r="M33" s="4">
        <v>2002</v>
      </c>
      <c r="N33" s="4" t="s">
        <v>27</v>
      </c>
      <c r="O33" s="5">
        <v>3415</v>
      </c>
    </row>
    <row r="34" spans="1:15" x14ac:dyDescent="0.25">
      <c r="A34" s="4" t="s">
        <v>198</v>
      </c>
      <c r="B34" s="4">
        <v>2001</v>
      </c>
      <c r="C34" s="4" t="s">
        <v>28</v>
      </c>
      <c r="D34" s="5">
        <v>6766</v>
      </c>
      <c r="E34">
        <f t="shared" si="0"/>
        <v>6766</v>
      </c>
      <c r="G34" s="4" t="s">
        <v>200</v>
      </c>
      <c r="H34" s="4">
        <v>2001</v>
      </c>
      <c r="I34" s="4" t="s">
        <v>29</v>
      </c>
      <c r="J34" s="5">
        <v>7694</v>
      </c>
      <c r="L34" s="4" t="s">
        <v>203</v>
      </c>
      <c r="M34" s="4">
        <v>2002</v>
      </c>
      <c r="N34" s="4" t="s">
        <v>28</v>
      </c>
      <c r="O34" s="5">
        <v>3290</v>
      </c>
    </row>
    <row r="35" spans="1:15" x14ac:dyDescent="0.25">
      <c r="A35" s="4" t="s">
        <v>198</v>
      </c>
      <c r="B35" s="4">
        <v>2001</v>
      </c>
      <c r="C35" s="4" t="s">
        <v>29</v>
      </c>
      <c r="D35" s="5">
        <v>7175</v>
      </c>
      <c r="E35">
        <f t="shared" si="0"/>
        <v>7175</v>
      </c>
      <c r="G35" s="4" t="s">
        <v>200</v>
      </c>
      <c r="H35" s="4">
        <v>2001</v>
      </c>
      <c r="I35" s="4" t="s">
        <v>30</v>
      </c>
      <c r="J35" s="5">
        <v>8003</v>
      </c>
      <c r="L35" s="4" t="s">
        <v>203</v>
      </c>
      <c r="M35" s="4">
        <v>2002</v>
      </c>
      <c r="N35" s="4" t="s">
        <v>29</v>
      </c>
      <c r="O35" s="5">
        <v>3560</v>
      </c>
    </row>
    <row r="36" spans="1:15" x14ac:dyDescent="0.25">
      <c r="A36" s="4" t="s">
        <v>198</v>
      </c>
      <c r="B36" s="4">
        <v>2001</v>
      </c>
      <c r="C36" s="4" t="s">
        <v>30</v>
      </c>
      <c r="D36" s="5">
        <v>7617</v>
      </c>
      <c r="E36">
        <f t="shared" si="0"/>
        <v>7617</v>
      </c>
      <c r="G36" s="4" t="s">
        <v>200</v>
      </c>
      <c r="H36" s="4">
        <v>2001</v>
      </c>
      <c r="I36" s="4" t="s">
        <v>19</v>
      </c>
      <c r="J36" s="5">
        <v>8258</v>
      </c>
      <c r="L36" s="4" t="s">
        <v>203</v>
      </c>
      <c r="M36" s="4">
        <v>2002</v>
      </c>
      <c r="N36" s="4" t="s">
        <v>30</v>
      </c>
      <c r="O36" s="5">
        <v>3513</v>
      </c>
    </row>
    <row r="37" spans="1:15" x14ac:dyDescent="0.25">
      <c r="A37" s="4" t="s">
        <v>198</v>
      </c>
      <c r="B37" s="4">
        <v>2001</v>
      </c>
      <c r="C37" s="4" t="s">
        <v>19</v>
      </c>
      <c r="D37" s="5">
        <v>7773</v>
      </c>
      <c r="E37">
        <f t="shared" si="0"/>
        <v>7773</v>
      </c>
      <c r="G37" s="4" t="s">
        <v>200</v>
      </c>
      <c r="H37" s="4">
        <v>2002</v>
      </c>
      <c r="I37" s="4" t="s">
        <v>20</v>
      </c>
      <c r="J37" s="5">
        <v>8182</v>
      </c>
      <c r="L37" s="4" t="s">
        <v>203</v>
      </c>
      <c r="M37" s="4">
        <v>2002</v>
      </c>
      <c r="N37" s="4" t="s">
        <v>19</v>
      </c>
      <c r="O37" s="5">
        <v>3056</v>
      </c>
    </row>
    <row r="38" spans="1:15" x14ac:dyDescent="0.25">
      <c r="A38" s="4" t="s">
        <v>198</v>
      </c>
      <c r="B38" s="4">
        <v>2001</v>
      </c>
      <c r="C38" s="4" t="s">
        <v>96</v>
      </c>
      <c r="D38" s="5">
        <v>6801</v>
      </c>
      <c r="E38" t="str">
        <f t="shared" si="0"/>
        <v/>
      </c>
      <c r="G38" s="4" t="s">
        <v>200</v>
      </c>
      <c r="H38" s="4">
        <v>2002</v>
      </c>
      <c r="I38" s="4" t="s">
        <v>21</v>
      </c>
      <c r="J38" s="5">
        <v>8215</v>
      </c>
      <c r="L38" s="4" t="s">
        <v>203</v>
      </c>
      <c r="M38" s="4">
        <v>2003</v>
      </c>
      <c r="N38" s="4" t="s">
        <v>20</v>
      </c>
      <c r="O38" s="5">
        <v>3618</v>
      </c>
    </row>
    <row r="39" spans="1:15" x14ac:dyDescent="0.25">
      <c r="A39" s="4" t="s">
        <v>198</v>
      </c>
      <c r="B39" s="4">
        <v>2002</v>
      </c>
      <c r="C39" s="4" t="s">
        <v>20</v>
      </c>
      <c r="D39" s="5">
        <v>9051</v>
      </c>
      <c r="E39">
        <f t="shared" si="0"/>
        <v>9051</v>
      </c>
      <c r="G39" s="4" t="s">
        <v>200</v>
      </c>
      <c r="H39" s="4">
        <v>2002</v>
      </c>
      <c r="I39" s="4" t="s">
        <v>22</v>
      </c>
      <c r="J39" s="5">
        <v>8304</v>
      </c>
      <c r="L39" s="4" t="s">
        <v>203</v>
      </c>
      <c r="M39" s="4">
        <v>2003</v>
      </c>
      <c r="N39" s="4" t="s">
        <v>21</v>
      </c>
      <c r="O39" s="5">
        <v>3378</v>
      </c>
    </row>
    <row r="40" spans="1:15" x14ac:dyDescent="0.25">
      <c r="A40" s="4" t="s">
        <v>198</v>
      </c>
      <c r="B40" s="4">
        <v>2002</v>
      </c>
      <c r="C40" s="4" t="s">
        <v>21</v>
      </c>
      <c r="D40" s="5">
        <v>8823</v>
      </c>
      <c r="E40">
        <f t="shared" si="0"/>
        <v>8823</v>
      </c>
      <c r="G40" s="4" t="s">
        <v>200</v>
      </c>
      <c r="H40" s="4">
        <v>2002</v>
      </c>
      <c r="I40" s="4" t="s">
        <v>23</v>
      </c>
      <c r="J40" s="5">
        <v>8599</v>
      </c>
      <c r="L40" s="4" t="s">
        <v>203</v>
      </c>
      <c r="M40" s="4">
        <v>2003</v>
      </c>
      <c r="N40" s="4" t="s">
        <v>22</v>
      </c>
      <c r="O40" s="5">
        <v>3056</v>
      </c>
    </row>
    <row r="41" spans="1:15" x14ac:dyDescent="0.25">
      <c r="A41" s="4" t="s">
        <v>198</v>
      </c>
      <c r="B41" s="4">
        <v>2002</v>
      </c>
      <c r="C41" s="4" t="s">
        <v>22</v>
      </c>
      <c r="D41" s="5">
        <v>8776</v>
      </c>
      <c r="E41">
        <f t="shared" si="0"/>
        <v>8776</v>
      </c>
      <c r="G41" s="4" t="s">
        <v>200</v>
      </c>
      <c r="H41" s="4">
        <v>2002</v>
      </c>
      <c r="I41" s="4" t="s">
        <v>24</v>
      </c>
      <c r="J41" s="5">
        <v>8399</v>
      </c>
      <c r="L41" s="4" t="s">
        <v>203</v>
      </c>
      <c r="M41" s="4">
        <v>2003</v>
      </c>
      <c r="N41" s="4" t="s">
        <v>23</v>
      </c>
      <c r="O41" s="5">
        <v>3107</v>
      </c>
    </row>
    <row r="42" spans="1:15" x14ac:dyDescent="0.25">
      <c r="A42" s="4" t="s">
        <v>198</v>
      </c>
      <c r="B42" s="4">
        <v>2002</v>
      </c>
      <c r="C42" s="4" t="s">
        <v>23</v>
      </c>
      <c r="D42" s="5">
        <v>8255</v>
      </c>
      <c r="E42">
        <f t="shared" si="0"/>
        <v>8255</v>
      </c>
      <c r="G42" s="4" t="s">
        <v>200</v>
      </c>
      <c r="H42" s="4">
        <v>2002</v>
      </c>
      <c r="I42" s="4" t="s">
        <v>25</v>
      </c>
      <c r="J42" s="5">
        <v>8393</v>
      </c>
      <c r="L42" s="4" t="s">
        <v>203</v>
      </c>
      <c r="M42" s="4">
        <v>2003</v>
      </c>
      <c r="N42" s="4" t="s">
        <v>24</v>
      </c>
      <c r="O42" s="5">
        <v>3108</v>
      </c>
    </row>
    <row r="43" spans="1:15" x14ac:dyDescent="0.25">
      <c r="A43" s="4" t="s">
        <v>198</v>
      </c>
      <c r="B43" s="4">
        <v>2002</v>
      </c>
      <c r="C43" s="4" t="s">
        <v>24</v>
      </c>
      <c r="D43" s="5">
        <v>7969</v>
      </c>
      <c r="E43">
        <f t="shared" si="0"/>
        <v>7969</v>
      </c>
      <c r="G43" s="4" t="s">
        <v>200</v>
      </c>
      <c r="H43" s="4">
        <v>2002</v>
      </c>
      <c r="I43" s="4" t="s">
        <v>26</v>
      </c>
      <c r="J43" s="5">
        <v>8390</v>
      </c>
      <c r="L43" s="4" t="s">
        <v>203</v>
      </c>
      <c r="M43" s="4">
        <v>2003</v>
      </c>
      <c r="N43" s="4" t="s">
        <v>25</v>
      </c>
      <c r="O43" s="5">
        <v>3196</v>
      </c>
    </row>
    <row r="44" spans="1:15" x14ac:dyDescent="0.25">
      <c r="A44" s="4" t="s">
        <v>198</v>
      </c>
      <c r="B44" s="4">
        <v>2002</v>
      </c>
      <c r="C44" s="4" t="s">
        <v>25</v>
      </c>
      <c r="D44" s="5">
        <v>8758</v>
      </c>
      <c r="E44">
        <f t="shared" si="0"/>
        <v>8758</v>
      </c>
      <c r="G44" s="4" t="s">
        <v>200</v>
      </c>
      <c r="H44" s="4">
        <v>2002</v>
      </c>
      <c r="I44" s="4" t="s">
        <v>27</v>
      </c>
      <c r="J44" s="5">
        <v>8304</v>
      </c>
      <c r="L44" s="4" t="s">
        <v>203</v>
      </c>
      <c r="M44" s="4">
        <v>2003</v>
      </c>
      <c r="N44" s="4" t="s">
        <v>26</v>
      </c>
      <c r="O44" s="5">
        <v>3106</v>
      </c>
    </row>
    <row r="45" spans="1:15" x14ac:dyDescent="0.25">
      <c r="A45" s="4" t="s">
        <v>198</v>
      </c>
      <c r="B45" s="4">
        <v>2002</v>
      </c>
      <c r="C45" s="4" t="s">
        <v>26</v>
      </c>
      <c r="D45" s="5">
        <v>8693</v>
      </c>
      <c r="E45">
        <f t="shared" si="0"/>
        <v>8693</v>
      </c>
      <c r="G45" s="4" t="s">
        <v>200</v>
      </c>
      <c r="H45" s="4">
        <v>2002</v>
      </c>
      <c r="I45" s="4" t="s">
        <v>28</v>
      </c>
      <c r="J45" s="5">
        <v>8251</v>
      </c>
      <c r="L45" s="4" t="s">
        <v>203</v>
      </c>
      <c r="M45" s="4">
        <v>2003</v>
      </c>
      <c r="N45" s="4" t="s">
        <v>27</v>
      </c>
      <c r="O45" s="5">
        <v>3182</v>
      </c>
    </row>
    <row r="46" spans="1:15" x14ac:dyDescent="0.25">
      <c r="A46" s="4" t="s">
        <v>198</v>
      </c>
      <c r="B46" s="4">
        <v>2002</v>
      </c>
      <c r="C46" s="4" t="s">
        <v>27</v>
      </c>
      <c r="D46" s="5">
        <v>8271</v>
      </c>
      <c r="E46">
        <f t="shared" si="0"/>
        <v>8271</v>
      </c>
      <c r="G46" s="4" t="s">
        <v>200</v>
      </c>
      <c r="H46" s="4">
        <v>2002</v>
      </c>
      <c r="I46" s="4" t="s">
        <v>29</v>
      </c>
      <c r="J46" s="5">
        <v>8307</v>
      </c>
      <c r="L46" s="4" t="s">
        <v>203</v>
      </c>
      <c r="M46" s="4">
        <v>2003</v>
      </c>
      <c r="N46" s="4" t="s">
        <v>28</v>
      </c>
      <c r="O46" s="5">
        <v>3051</v>
      </c>
    </row>
    <row r="47" spans="1:15" x14ac:dyDescent="0.25">
      <c r="A47" s="4" t="s">
        <v>198</v>
      </c>
      <c r="B47" s="4">
        <v>2002</v>
      </c>
      <c r="C47" s="4" t="s">
        <v>28</v>
      </c>
      <c r="D47" s="5">
        <v>7790</v>
      </c>
      <c r="E47">
        <f t="shared" si="0"/>
        <v>7790</v>
      </c>
      <c r="G47" s="4" t="s">
        <v>200</v>
      </c>
      <c r="H47" s="4">
        <v>2002</v>
      </c>
      <c r="I47" s="4" t="s">
        <v>30</v>
      </c>
      <c r="J47" s="5">
        <v>8520</v>
      </c>
      <c r="L47" s="4" t="s">
        <v>203</v>
      </c>
      <c r="M47" s="4">
        <v>2003</v>
      </c>
      <c r="N47" s="4" t="s">
        <v>29</v>
      </c>
      <c r="O47" s="5">
        <v>3140</v>
      </c>
    </row>
    <row r="48" spans="1:15" x14ac:dyDescent="0.25">
      <c r="A48" s="4" t="s">
        <v>198</v>
      </c>
      <c r="B48" s="4">
        <v>2002</v>
      </c>
      <c r="C48" s="4" t="s">
        <v>29</v>
      </c>
      <c r="D48" s="5">
        <v>7769</v>
      </c>
      <c r="E48">
        <f t="shared" si="0"/>
        <v>7769</v>
      </c>
      <c r="G48" s="4" t="s">
        <v>200</v>
      </c>
      <c r="H48" s="4">
        <v>2002</v>
      </c>
      <c r="I48" s="4" t="s">
        <v>19</v>
      </c>
      <c r="J48" s="5">
        <v>8640</v>
      </c>
      <c r="L48" s="4" t="s">
        <v>203</v>
      </c>
      <c r="M48" s="4">
        <v>2003</v>
      </c>
      <c r="N48" s="4" t="s">
        <v>30</v>
      </c>
      <c r="O48" s="5">
        <v>3286</v>
      </c>
    </row>
    <row r="49" spans="1:15" x14ac:dyDescent="0.25">
      <c r="A49" s="4" t="s">
        <v>198</v>
      </c>
      <c r="B49" s="4">
        <v>2002</v>
      </c>
      <c r="C49" s="4" t="s">
        <v>30</v>
      </c>
      <c r="D49" s="5">
        <v>8170</v>
      </c>
      <c r="E49">
        <f t="shared" si="0"/>
        <v>8170</v>
      </c>
      <c r="G49" s="4" t="s">
        <v>200</v>
      </c>
      <c r="H49" s="4">
        <v>2003</v>
      </c>
      <c r="I49" s="4" t="s">
        <v>20</v>
      </c>
      <c r="J49" s="5">
        <v>8520</v>
      </c>
      <c r="L49" s="4" t="s">
        <v>203</v>
      </c>
      <c r="M49" s="4">
        <v>2003</v>
      </c>
      <c r="N49" s="4" t="s">
        <v>19</v>
      </c>
      <c r="O49" s="5">
        <v>3255</v>
      </c>
    </row>
    <row r="50" spans="1:15" x14ac:dyDescent="0.25">
      <c r="A50" s="4" t="s">
        <v>198</v>
      </c>
      <c r="B50" s="4">
        <v>2002</v>
      </c>
      <c r="C50" s="4" t="s">
        <v>19</v>
      </c>
      <c r="D50" s="5">
        <v>8209</v>
      </c>
      <c r="E50">
        <f t="shared" si="0"/>
        <v>8209</v>
      </c>
      <c r="G50" s="4" t="s">
        <v>200</v>
      </c>
      <c r="H50" s="4">
        <v>2003</v>
      </c>
      <c r="I50" s="4" t="s">
        <v>21</v>
      </c>
      <c r="J50" s="5">
        <v>8618</v>
      </c>
      <c r="L50" s="4" t="s">
        <v>203</v>
      </c>
      <c r="M50" s="4">
        <v>2004</v>
      </c>
      <c r="N50" s="4" t="s">
        <v>20</v>
      </c>
      <c r="O50" s="5">
        <v>3322</v>
      </c>
    </row>
    <row r="51" spans="1:15" x14ac:dyDescent="0.25">
      <c r="A51" s="4" t="s">
        <v>198</v>
      </c>
      <c r="B51" s="4">
        <v>2002</v>
      </c>
      <c r="C51" s="4" t="s">
        <v>96</v>
      </c>
      <c r="D51" s="5">
        <v>8378</v>
      </c>
      <c r="E51" t="str">
        <f t="shared" si="0"/>
        <v/>
      </c>
      <c r="G51" s="4" t="s">
        <v>200</v>
      </c>
      <c r="H51" s="4">
        <v>2003</v>
      </c>
      <c r="I51" s="4" t="s">
        <v>22</v>
      </c>
      <c r="J51" s="5">
        <v>8588</v>
      </c>
      <c r="L51" s="4" t="s">
        <v>203</v>
      </c>
      <c r="M51" s="4">
        <v>2004</v>
      </c>
      <c r="N51" s="4" t="s">
        <v>21</v>
      </c>
      <c r="O51" s="5">
        <v>3415</v>
      </c>
    </row>
    <row r="52" spans="1:15" x14ac:dyDescent="0.25">
      <c r="A52" s="4" t="s">
        <v>198</v>
      </c>
      <c r="B52" s="4">
        <v>2003</v>
      </c>
      <c r="C52" s="4" t="s">
        <v>20</v>
      </c>
      <c r="D52" s="5">
        <v>9395</v>
      </c>
      <c r="E52">
        <f t="shared" si="0"/>
        <v>9395</v>
      </c>
      <c r="G52" s="4" t="s">
        <v>200</v>
      </c>
      <c r="H52" s="4">
        <v>2003</v>
      </c>
      <c r="I52" s="4" t="s">
        <v>23</v>
      </c>
      <c r="J52" s="5">
        <v>8842</v>
      </c>
      <c r="L52" s="4" t="s">
        <v>203</v>
      </c>
      <c r="M52" s="4">
        <v>2004</v>
      </c>
      <c r="N52" s="4" t="s">
        <v>22</v>
      </c>
      <c r="O52" s="5">
        <v>3394</v>
      </c>
    </row>
    <row r="53" spans="1:15" x14ac:dyDescent="0.25">
      <c r="A53" s="4" t="s">
        <v>198</v>
      </c>
      <c r="B53" s="4">
        <v>2003</v>
      </c>
      <c r="C53" s="4" t="s">
        <v>21</v>
      </c>
      <c r="D53" s="5">
        <v>9260</v>
      </c>
      <c r="E53">
        <f t="shared" si="0"/>
        <v>9260</v>
      </c>
      <c r="G53" s="4" t="s">
        <v>200</v>
      </c>
      <c r="H53" s="4">
        <v>2003</v>
      </c>
      <c r="I53" s="4" t="s">
        <v>24</v>
      </c>
      <c r="J53" s="5">
        <v>8957</v>
      </c>
      <c r="L53" s="4" t="s">
        <v>203</v>
      </c>
      <c r="M53" s="4">
        <v>2004</v>
      </c>
      <c r="N53" s="4" t="s">
        <v>23</v>
      </c>
      <c r="O53" s="5">
        <v>3524</v>
      </c>
    </row>
    <row r="54" spans="1:15" x14ac:dyDescent="0.25">
      <c r="A54" s="4" t="s">
        <v>198</v>
      </c>
      <c r="B54" s="4">
        <v>2003</v>
      </c>
      <c r="C54" s="4" t="s">
        <v>22</v>
      </c>
      <c r="D54" s="5">
        <v>9018</v>
      </c>
      <c r="E54">
        <f t="shared" si="0"/>
        <v>9018</v>
      </c>
      <c r="G54" s="4" t="s">
        <v>200</v>
      </c>
      <c r="H54" s="4">
        <v>2003</v>
      </c>
      <c r="I54" s="4" t="s">
        <v>25</v>
      </c>
      <c r="J54" s="5">
        <v>9266</v>
      </c>
      <c r="L54" s="4" t="s">
        <v>203</v>
      </c>
      <c r="M54" s="4">
        <v>2004</v>
      </c>
      <c r="N54" s="4" t="s">
        <v>24</v>
      </c>
      <c r="O54" s="5">
        <v>3620</v>
      </c>
    </row>
    <row r="55" spans="1:15" x14ac:dyDescent="0.25">
      <c r="A55" s="4" t="s">
        <v>198</v>
      </c>
      <c r="B55" s="4">
        <v>2003</v>
      </c>
      <c r="C55" s="4" t="s">
        <v>23</v>
      </c>
      <c r="D55" s="5">
        <v>8501</v>
      </c>
      <c r="E55">
        <f t="shared" si="0"/>
        <v>8501</v>
      </c>
      <c r="G55" s="4" t="s">
        <v>200</v>
      </c>
      <c r="H55" s="4">
        <v>2003</v>
      </c>
      <c r="I55" s="4" t="s">
        <v>26</v>
      </c>
      <c r="J55" s="5">
        <v>9011</v>
      </c>
      <c r="L55" s="4" t="s">
        <v>203</v>
      </c>
      <c r="M55" s="4">
        <v>2004</v>
      </c>
      <c r="N55" s="4" t="s">
        <v>25</v>
      </c>
      <c r="O55" s="5">
        <v>3423</v>
      </c>
    </row>
    <row r="56" spans="1:15" x14ac:dyDescent="0.25">
      <c r="A56" s="4" t="s">
        <v>198</v>
      </c>
      <c r="B56" s="4">
        <v>2003</v>
      </c>
      <c r="C56" s="4" t="s">
        <v>24</v>
      </c>
      <c r="D56" s="5">
        <v>8500</v>
      </c>
      <c r="E56">
        <f t="shared" si="0"/>
        <v>8500</v>
      </c>
      <c r="G56" s="4" t="s">
        <v>200</v>
      </c>
      <c r="H56" s="4">
        <v>2003</v>
      </c>
      <c r="I56" s="4" t="s">
        <v>27</v>
      </c>
      <c r="J56" s="5">
        <v>8896</v>
      </c>
      <c r="L56" s="4" t="s">
        <v>203</v>
      </c>
      <c r="M56" s="4">
        <v>2004</v>
      </c>
      <c r="N56" s="4" t="s">
        <v>26</v>
      </c>
      <c r="O56" s="5">
        <v>3807</v>
      </c>
    </row>
    <row r="57" spans="1:15" x14ac:dyDescent="0.25">
      <c r="A57" s="4" t="s">
        <v>198</v>
      </c>
      <c r="B57" s="4">
        <v>2003</v>
      </c>
      <c r="C57" s="4" t="s">
        <v>25</v>
      </c>
      <c r="D57" s="5">
        <v>9649</v>
      </c>
      <c r="E57">
        <f t="shared" si="0"/>
        <v>9649</v>
      </c>
      <c r="G57" s="4" t="s">
        <v>200</v>
      </c>
      <c r="H57" s="4">
        <v>2003</v>
      </c>
      <c r="I57" s="4" t="s">
        <v>28</v>
      </c>
      <c r="J57" s="5">
        <v>8921</v>
      </c>
      <c r="L57" s="4" t="s">
        <v>203</v>
      </c>
      <c r="M57" s="4">
        <v>2004</v>
      </c>
      <c r="N57" s="4" t="s">
        <v>27</v>
      </c>
      <c r="O57" s="5">
        <v>3623</v>
      </c>
    </row>
    <row r="58" spans="1:15" x14ac:dyDescent="0.25">
      <c r="A58" s="4" t="s">
        <v>198</v>
      </c>
      <c r="B58" s="4">
        <v>2003</v>
      </c>
      <c r="C58" s="4" t="s">
        <v>26</v>
      </c>
      <c r="D58" s="5">
        <v>9319</v>
      </c>
      <c r="E58">
        <f t="shared" si="0"/>
        <v>9319</v>
      </c>
      <c r="G58" s="4" t="s">
        <v>200</v>
      </c>
      <c r="H58" s="4">
        <v>2003</v>
      </c>
      <c r="I58" s="4" t="s">
        <v>29</v>
      </c>
      <c r="J58" s="5">
        <v>8732</v>
      </c>
      <c r="L58" s="4" t="s">
        <v>203</v>
      </c>
      <c r="M58" s="4">
        <v>2004</v>
      </c>
      <c r="N58" s="4" t="s">
        <v>28</v>
      </c>
      <c r="O58" s="5">
        <v>3754</v>
      </c>
    </row>
    <row r="59" spans="1:15" x14ac:dyDescent="0.25">
      <c r="A59" s="4" t="s">
        <v>198</v>
      </c>
      <c r="B59" s="4">
        <v>2003</v>
      </c>
      <c r="C59" s="4" t="s">
        <v>27</v>
      </c>
      <c r="D59" s="5">
        <v>8830</v>
      </c>
      <c r="E59">
        <f t="shared" si="0"/>
        <v>8830</v>
      </c>
      <c r="G59" s="4" t="s">
        <v>200</v>
      </c>
      <c r="H59" s="4">
        <v>2003</v>
      </c>
      <c r="I59" s="4" t="s">
        <v>30</v>
      </c>
      <c r="J59" s="5">
        <v>8576</v>
      </c>
      <c r="L59" s="4" t="s">
        <v>203</v>
      </c>
      <c r="M59" s="4">
        <v>2004</v>
      </c>
      <c r="N59" s="4" t="s">
        <v>29</v>
      </c>
      <c r="O59" s="5">
        <v>3836</v>
      </c>
    </row>
    <row r="60" spans="1:15" x14ac:dyDescent="0.25">
      <c r="A60" s="4" t="s">
        <v>198</v>
      </c>
      <c r="B60" s="4">
        <v>2003</v>
      </c>
      <c r="C60" s="4" t="s">
        <v>28</v>
      </c>
      <c r="D60" s="5">
        <v>8436</v>
      </c>
      <c r="E60">
        <f t="shared" si="0"/>
        <v>8436</v>
      </c>
      <c r="G60" s="4" t="s">
        <v>200</v>
      </c>
      <c r="H60" s="4">
        <v>2003</v>
      </c>
      <c r="I60" s="4" t="s">
        <v>19</v>
      </c>
      <c r="J60" s="5">
        <v>8317</v>
      </c>
      <c r="L60" s="4" t="s">
        <v>203</v>
      </c>
      <c r="M60" s="4">
        <v>2004</v>
      </c>
      <c r="N60" s="4" t="s">
        <v>30</v>
      </c>
      <c r="O60" s="5">
        <v>3383</v>
      </c>
    </row>
    <row r="61" spans="1:15" x14ac:dyDescent="0.25">
      <c r="A61" s="4" t="s">
        <v>198</v>
      </c>
      <c r="B61" s="4">
        <v>2003</v>
      </c>
      <c r="C61" s="4" t="s">
        <v>29</v>
      </c>
      <c r="D61" s="5">
        <v>8169</v>
      </c>
      <c r="E61">
        <f t="shared" si="0"/>
        <v>8169</v>
      </c>
      <c r="G61" s="4" t="s">
        <v>200</v>
      </c>
      <c r="H61" s="4">
        <v>2004</v>
      </c>
      <c r="I61" s="4" t="s">
        <v>20</v>
      </c>
      <c r="J61" s="5">
        <v>8370</v>
      </c>
      <c r="L61" s="4" t="s">
        <v>203</v>
      </c>
      <c r="M61" s="4">
        <v>2004</v>
      </c>
      <c r="N61" s="4" t="s">
        <v>19</v>
      </c>
      <c r="O61" s="5">
        <v>3808</v>
      </c>
    </row>
    <row r="62" spans="1:15" x14ac:dyDescent="0.25">
      <c r="A62" s="4" t="s">
        <v>198</v>
      </c>
      <c r="B62" s="4">
        <v>2003</v>
      </c>
      <c r="C62" s="4" t="s">
        <v>30</v>
      </c>
      <c r="D62" s="5">
        <v>8269</v>
      </c>
      <c r="E62">
        <f t="shared" si="0"/>
        <v>8269</v>
      </c>
      <c r="G62" s="4" t="s">
        <v>200</v>
      </c>
      <c r="H62" s="4">
        <v>2004</v>
      </c>
      <c r="I62" s="4" t="s">
        <v>21</v>
      </c>
      <c r="J62" s="5">
        <v>8167</v>
      </c>
      <c r="L62" s="4" t="s">
        <v>203</v>
      </c>
      <c r="M62" s="4">
        <v>2005</v>
      </c>
      <c r="N62" s="4" t="s">
        <v>20</v>
      </c>
      <c r="O62" s="5">
        <v>3638</v>
      </c>
    </row>
    <row r="63" spans="1:15" x14ac:dyDescent="0.25">
      <c r="A63" s="4" t="s">
        <v>198</v>
      </c>
      <c r="B63" s="4">
        <v>2003</v>
      </c>
      <c r="C63" s="4" t="s">
        <v>19</v>
      </c>
      <c r="D63" s="5">
        <v>7945</v>
      </c>
      <c r="E63">
        <f t="shared" si="0"/>
        <v>7945</v>
      </c>
      <c r="G63" s="4" t="s">
        <v>200</v>
      </c>
      <c r="H63" s="4">
        <v>2004</v>
      </c>
      <c r="I63" s="4" t="s">
        <v>22</v>
      </c>
      <c r="J63" s="5">
        <v>8491</v>
      </c>
      <c r="L63" s="4" t="s">
        <v>203</v>
      </c>
      <c r="M63" s="4">
        <v>2005</v>
      </c>
      <c r="N63" s="4" t="s">
        <v>21</v>
      </c>
      <c r="O63" s="5">
        <v>3757</v>
      </c>
    </row>
    <row r="64" spans="1:15" x14ac:dyDescent="0.25">
      <c r="A64" s="4" t="s">
        <v>198</v>
      </c>
      <c r="B64" s="4">
        <v>2003</v>
      </c>
      <c r="C64" s="4" t="s">
        <v>96</v>
      </c>
      <c r="D64" s="5">
        <v>8774</v>
      </c>
      <c r="E64" t="str">
        <f t="shared" si="0"/>
        <v/>
      </c>
      <c r="G64" s="4" t="s">
        <v>200</v>
      </c>
      <c r="H64" s="4">
        <v>2004</v>
      </c>
      <c r="I64" s="4" t="s">
        <v>23</v>
      </c>
      <c r="J64" s="5">
        <v>8170</v>
      </c>
      <c r="L64" s="4" t="s">
        <v>203</v>
      </c>
      <c r="M64" s="4">
        <v>2005</v>
      </c>
      <c r="N64" s="4" t="s">
        <v>22</v>
      </c>
      <c r="O64" s="5">
        <v>3916</v>
      </c>
    </row>
    <row r="65" spans="1:15" x14ac:dyDescent="0.25">
      <c r="A65" s="4" t="s">
        <v>198</v>
      </c>
      <c r="B65" s="4">
        <v>2004</v>
      </c>
      <c r="C65" s="4" t="s">
        <v>20</v>
      </c>
      <c r="D65" s="5">
        <v>9144</v>
      </c>
      <c r="E65">
        <f t="shared" si="0"/>
        <v>9144</v>
      </c>
      <c r="G65" s="4" t="s">
        <v>200</v>
      </c>
      <c r="H65" s="4">
        <v>2004</v>
      </c>
      <c r="I65" s="4" t="s">
        <v>24</v>
      </c>
      <c r="J65" s="5">
        <v>8212</v>
      </c>
      <c r="L65" s="4" t="s">
        <v>203</v>
      </c>
      <c r="M65" s="4">
        <v>2005</v>
      </c>
      <c r="N65" s="4" t="s">
        <v>23</v>
      </c>
      <c r="O65" s="5">
        <v>4057</v>
      </c>
    </row>
    <row r="66" spans="1:15" x14ac:dyDescent="0.25">
      <c r="A66" s="4" t="s">
        <v>198</v>
      </c>
      <c r="B66" s="4">
        <v>2004</v>
      </c>
      <c r="C66" s="4" t="s">
        <v>21</v>
      </c>
      <c r="D66" s="5">
        <v>8770</v>
      </c>
      <c r="E66">
        <f t="shared" si="0"/>
        <v>8770</v>
      </c>
      <c r="G66" s="4" t="s">
        <v>200</v>
      </c>
      <c r="H66" s="4">
        <v>2004</v>
      </c>
      <c r="I66" s="4" t="s">
        <v>25</v>
      </c>
      <c r="J66" s="5">
        <v>8286</v>
      </c>
      <c r="L66" s="4" t="s">
        <v>203</v>
      </c>
      <c r="M66" s="4">
        <v>2005</v>
      </c>
      <c r="N66" s="4" t="s">
        <v>24</v>
      </c>
      <c r="O66" s="5">
        <v>3877</v>
      </c>
    </row>
    <row r="67" spans="1:15" x14ac:dyDescent="0.25">
      <c r="A67" s="4" t="s">
        <v>198</v>
      </c>
      <c r="B67" s="4">
        <v>2004</v>
      </c>
      <c r="C67" s="4" t="s">
        <v>22</v>
      </c>
      <c r="D67" s="5">
        <v>8834</v>
      </c>
      <c r="E67">
        <f t="shared" si="0"/>
        <v>8834</v>
      </c>
      <c r="G67" s="4" t="s">
        <v>200</v>
      </c>
      <c r="H67" s="4">
        <v>2004</v>
      </c>
      <c r="I67" s="4" t="s">
        <v>26</v>
      </c>
      <c r="J67" s="5">
        <v>8136</v>
      </c>
      <c r="L67" s="4" t="s">
        <v>203</v>
      </c>
      <c r="M67" s="4">
        <v>2005</v>
      </c>
      <c r="N67" s="4" t="s">
        <v>25</v>
      </c>
      <c r="O67" s="5">
        <v>4064</v>
      </c>
    </row>
    <row r="68" spans="1:15" x14ac:dyDescent="0.25">
      <c r="A68" s="4" t="s">
        <v>198</v>
      </c>
      <c r="B68" s="4">
        <v>2004</v>
      </c>
      <c r="C68" s="4" t="s">
        <v>23</v>
      </c>
      <c r="D68" s="5">
        <v>7837</v>
      </c>
      <c r="E68">
        <f t="shared" si="0"/>
        <v>7837</v>
      </c>
      <c r="G68" s="4" t="s">
        <v>200</v>
      </c>
      <c r="H68" s="4">
        <v>2004</v>
      </c>
      <c r="I68" s="4" t="s">
        <v>27</v>
      </c>
      <c r="J68" s="5">
        <v>7990</v>
      </c>
      <c r="L68" s="4" t="s">
        <v>203</v>
      </c>
      <c r="M68" s="4">
        <v>2005</v>
      </c>
      <c r="N68" s="4" t="s">
        <v>26</v>
      </c>
      <c r="O68" s="5">
        <v>4155</v>
      </c>
    </row>
    <row r="69" spans="1:15" x14ac:dyDescent="0.25">
      <c r="A69" s="4" t="s">
        <v>198</v>
      </c>
      <c r="B69" s="4">
        <v>2004</v>
      </c>
      <c r="C69" s="4" t="s">
        <v>24</v>
      </c>
      <c r="D69" s="5">
        <v>7792</v>
      </c>
      <c r="E69">
        <f t="shared" si="0"/>
        <v>7792</v>
      </c>
      <c r="G69" s="4" t="s">
        <v>200</v>
      </c>
      <c r="H69" s="4">
        <v>2004</v>
      </c>
      <c r="I69" s="4" t="s">
        <v>28</v>
      </c>
      <c r="J69" s="5">
        <v>7927</v>
      </c>
      <c r="L69" s="4" t="s">
        <v>203</v>
      </c>
      <c r="M69" s="4">
        <v>2005</v>
      </c>
      <c r="N69" s="4" t="s">
        <v>27</v>
      </c>
      <c r="O69" s="5">
        <v>4102</v>
      </c>
    </row>
    <row r="70" spans="1:15" x14ac:dyDescent="0.25">
      <c r="A70" s="4" t="s">
        <v>198</v>
      </c>
      <c r="B70" s="4">
        <v>2004</v>
      </c>
      <c r="C70" s="4" t="s">
        <v>25</v>
      </c>
      <c r="D70" s="5">
        <v>8616</v>
      </c>
      <c r="E70">
        <f t="shared" si="0"/>
        <v>8616</v>
      </c>
      <c r="G70" s="4" t="s">
        <v>200</v>
      </c>
      <c r="H70" s="4">
        <v>2004</v>
      </c>
      <c r="I70" s="4" t="s">
        <v>29</v>
      </c>
      <c r="J70" s="5">
        <v>8061</v>
      </c>
      <c r="L70" s="4" t="s">
        <v>203</v>
      </c>
      <c r="M70" s="4">
        <v>2005</v>
      </c>
      <c r="N70" s="4" t="s">
        <v>28</v>
      </c>
      <c r="O70" s="5">
        <v>4275</v>
      </c>
    </row>
    <row r="71" spans="1:15" x14ac:dyDescent="0.25">
      <c r="A71" s="4" t="s">
        <v>198</v>
      </c>
      <c r="B71" s="4">
        <v>2004</v>
      </c>
      <c r="C71" s="4" t="s">
        <v>26</v>
      </c>
      <c r="D71" s="5">
        <v>8518</v>
      </c>
      <c r="E71">
        <f t="shared" si="0"/>
        <v>8518</v>
      </c>
      <c r="G71" s="4" t="s">
        <v>200</v>
      </c>
      <c r="H71" s="4">
        <v>2004</v>
      </c>
      <c r="I71" s="4" t="s">
        <v>30</v>
      </c>
      <c r="J71" s="5">
        <v>7932</v>
      </c>
      <c r="L71" s="4" t="s">
        <v>203</v>
      </c>
      <c r="M71" s="4">
        <v>2005</v>
      </c>
      <c r="N71" s="4" t="s">
        <v>29</v>
      </c>
      <c r="O71" s="5">
        <v>4221</v>
      </c>
    </row>
    <row r="72" spans="1:15" x14ac:dyDescent="0.25">
      <c r="A72" s="4" t="s">
        <v>198</v>
      </c>
      <c r="B72" s="4">
        <v>2004</v>
      </c>
      <c r="C72" s="4" t="s">
        <v>27</v>
      </c>
      <c r="D72" s="5">
        <v>7940</v>
      </c>
      <c r="E72">
        <f t="shared" si="0"/>
        <v>7940</v>
      </c>
      <c r="G72" s="4" t="s">
        <v>200</v>
      </c>
      <c r="H72" s="4">
        <v>2004</v>
      </c>
      <c r="I72" s="4" t="s">
        <v>19</v>
      </c>
      <c r="J72" s="5">
        <v>7934</v>
      </c>
      <c r="L72" s="4" t="s">
        <v>203</v>
      </c>
      <c r="M72" s="4">
        <v>2005</v>
      </c>
      <c r="N72" s="4" t="s">
        <v>30</v>
      </c>
      <c r="O72" s="5">
        <v>4437</v>
      </c>
    </row>
    <row r="73" spans="1:15" x14ac:dyDescent="0.25">
      <c r="A73" s="4" t="s">
        <v>198</v>
      </c>
      <c r="B73" s="4">
        <v>2004</v>
      </c>
      <c r="C73" s="4" t="s">
        <v>28</v>
      </c>
      <c r="D73" s="5">
        <v>7545</v>
      </c>
      <c r="E73">
        <f t="shared" si="0"/>
        <v>7545</v>
      </c>
      <c r="G73" s="4" t="s">
        <v>200</v>
      </c>
      <c r="H73" s="4">
        <v>2005</v>
      </c>
      <c r="I73" s="4" t="s">
        <v>20</v>
      </c>
      <c r="J73" s="5">
        <v>7784</v>
      </c>
      <c r="L73" s="4" t="s">
        <v>203</v>
      </c>
      <c r="M73" s="4">
        <v>2005</v>
      </c>
      <c r="N73" s="4" t="s">
        <v>19</v>
      </c>
      <c r="O73" s="5">
        <v>4278</v>
      </c>
    </row>
    <row r="74" spans="1:15" x14ac:dyDescent="0.25">
      <c r="A74" s="4" t="s">
        <v>198</v>
      </c>
      <c r="B74" s="4">
        <v>2004</v>
      </c>
      <c r="C74" s="4" t="s">
        <v>29</v>
      </c>
      <c r="D74" s="5">
        <v>7531</v>
      </c>
      <c r="E74">
        <f t="shared" si="0"/>
        <v>7531</v>
      </c>
      <c r="G74" s="4" t="s">
        <v>200</v>
      </c>
      <c r="H74" s="4">
        <v>2005</v>
      </c>
      <c r="I74" s="4" t="s">
        <v>21</v>
      </c>
      <c r="J74" s="5">
        <v>7980</v>
      </c>
      <c r="L74" s="4" t="s">
        <v>203</v>
      </c>
      <c r="M74" s="4">
        <v>2006</v>
      </c>
      <c r="N74" s="4" t="s">
        <v>20</v>
      </c>
      <c r="O74" s="5">
        <v>4296</v>
      </c>
    </row>
    <row r="75" spans="1:15" x14ac:dyDescent="0.25">
      <c r="A75" s="4" t="s">
        <v>198</v>
      </c>
      <c r="B75" s="4">
        <v>2004</v>
      </c>
      <c r="C75" s="4" t="s">
        <v>30</v>
      </c>
      <c r="D75" s="5">
        <v>7665</v>
      </c>
      <c r="E75">
        <f t="shared" si="0"/>
        <v>7665</v>
      </c>
      <c r="G75" s="4" t="s">
        <v>200</v>
      </c>
      <c r="H75" s="4">
        <v>2005</v>
      </c>
      <c r="I75" s="4" t="s">
        <v>22</v>
      </c>
      <c r="J75" s="5">
        <v>7737</v>
      </c>
      <c r="L75" s="4" t="s">
        <v>203</v>
      </c>
      <c r="M75" s="4">
        <v>2006</v>
      </c>
      <c r="N75" s="4" t="s">
        <v>21</v>
      </c>
      <c r="O75" s="5">
        <v>4282</v>
      </c>
    </row>
    <row r="76" spans="1:15" x14ac:dyDescent="0.25">
      <c r="A76" s="4" t="s">
        <v>198</v>
      </c>
      <c r="B76" s="4">
        <v>2004</v>
      </c>
      <c r="C76" s="4" t="s">
        <v>19</v>
      </c>
      <c r="D76" s="5">
        <v>7599</v>
      </c>
      <c r="E76">
        <f t="shared" si="0"/>
        <v>7599</v>
      </c>
      <c r="G76" s="4" t="s">
        <v>200</v>
      </c>
      <c r="H76" s="4">
        <v>2005</v>
      </c>
      <c r="I76" s="4" t="s">
        <v>23</v>
      </c>
      <c r="J76" s="5">
        <v>7672</v>
      </c>
      <c r="L76" s="4" t="s">
        <v>203</v>
      </c>
      <c r="M76" s="4">
        <v>2006</v>
      </c>
      <c r="N76" s="4" t="s">
        <v>22</v>
      </c>
      <c r="O76" s="5">
        <v>4472</v>
      </c>
    </row>
    <row r="77" spans="1:15" x14ac:dyDescent="0.25">
      <c r="A77" s="4" t="s">
        <v>198</v>
      </c>
      <c r="B77" s="4">
        <v>2004</v>
      </c>
      <c r="C77" s="4" t="s">
        <v>96</v>
      </c>
      <c r="D77" s="5">
        <v>8149</v>
      </c>
      <c r="E77" t="str">
        <f t="shared" si="0"/>
        <v/>
      </c>
      <c r="G77" s="4" t="s">
        <v>200</v>
      </c>
      <c r="H77" s="4">
        <v>2005</v>
      </c>
      <c r="I77" s="4" t="s">
        <v>24</v>
      </c>
      <c r="J77" s="5">
        <v>7651</v>
      </c>
      <c r="L77" s="4" t="s">
        <v>203</v>
      </c>
      <c r="M77" s="4">
        <v>2006</v>
      </c>
      <c r="N77" s="4" t="s">
        <v>23</v>
      </c>
      <c r="O77" s="5">
        <v>4438</v>
      </c>
    </row>
    <row r="78" spans="1:15" x14ac:dyDescent="0.25">
      <c r="A78" s="4" t="s">
        <v>198</v>
      </c>
      <c r="B78" s="4">
        <v>2005</v>
      </c>
      <c r="C78" s="4" t="s">
        <v>20</v>
      </c>
      <c r="D78" s="5">
        <v>8444</v>
      </c>
      <c r="E78">
        <f t="shared" ref="E78:E141" si="1">IF(C78="M13","",D78)</f>
        <v>8444</v>
      </c>
      <c r="G78" s="4" t="s">
        <v>200</v>
      </c>
      <c r="H78" s="4">
        <v>2005</v>
      </c>
      <c r="I78" s="4" t="s">
        <v>25</v>
      </c>
      <c r="J78" s="5">
        <v>7524</v>
      </c>
      <c r="L78" s="4" t="s">
        <v>203</v>
      </c>
      <c r="M78" s="4">
        <v>2006</v>
      </c>
      <c r="N78" s="4" t="s">
        <v>24</v>
      </c>
      <c r="O78" s="5">
        <v>4487</v>
      </c>
    </row>
    <row r="79" spans="1:15" x14ac:dyDescent="0.25">
      <c r="A79" s="4" t="s">
        <v>198</v>
      </c>
      <c r="B79" s="4">
        <v>2005</v>
      </c>
      <c r="C79" s="4" t="s">
        <v>21</v>
      </c>
      <c r="D79" s="5">
        <v>8549</v>
      </c>
      <c r="E79">
        <f t="shared" si="1"/>
        <v>8549</v>
      </c>
      <c r="G79" s="4" t="s">
        <v>200</v>
      </c>
      <c r="H79" s="4">
        <v>2005</v>
      </c>
      <c r="I79" s="4" t="s">
        <v>26</v>
      </c>
      <c r="J79" s="5">
        <v>7406</v>
      </c>
      <c r="L79" s="4" t="s">
        <v>203</v>
      </c>
      <c r="M79" s="4">
        <v>2006</v>
      </c>
      <c r="N79" s="4" t="s">
        <v>25</v>
      </c>
      <c r="O79" s="5">
        <v>4333</v>
      </c>
    </row>
    <row r="80" spans="1:15" x14ac:dyDescent="0.25">
      <c r="A80" s="4" t="s">
        <v>198</v>
      </c>
      <c r="B80" s="4">
        <v>2005</v>
      </c>
      <c r="C80" s="4" t="s">
        <v>22</v>
      </c>
      <c r="D80" s="5">
        <v>7986</v>
      </c>
      <c r="E80">
        <f t="shared" si="1"/>
        <v>7986</v>
      </c>
      <c r="G80" s="4" t="s">
        <v>200</v>
      </c>
      <c r="H80" s="4">
        <v>2005</v>
      </c>
      <c r="I80" s="4" t="s">
        <v>27</v>
      </c>
      <c r="J80" s="5">
        <v>7345</v>
      </c>
      <c r="L80" s="4" t="s">
        <v>203</v>
      </c>
      <c r="M80" s="4">
        <v>2006</v>
      </c>
      <c r="N80" s="4" t="s">
        <v>26</v>
      </c>
      <c r="O80" s="5">
        <v>4076</v>
      </c>
    </row>
    <row r="81" spans="1:15" x14ac:dyDescent="0.25">
      <c r="A81" s="4" t="s">
        <v>198</v>
      </c>
      <c r="B81" s="4">
        <v>2005</v>
      </c>
      <c r="C81" s="4" t="s">
        <v>23</v>
      </c>
      <c r="D81" s="5">
        <v>7335</v>
      </c>
      <c r="E81">
        <f t="shared" si="1"/>
        <v>7335</v>
      </c>
      <c r="G81" s="4" t="s">
        <v>200</v>
      </c>
      <c r="H81" s="4">
        <v>2005</v>
      </c>
      <c r="I81" s="4" t="s">
        <v>28</v>
      </c>
      <c r="J81" s="5">
        <v>7553</v>
      </c>
      <c r="L81" s="4" t="s">
        <v>203</v>
      </c>
      <c r="M81" s="4">
        <v>2006</v>
      </c>
      <c r="N81" s="4" t="s">
        <v>27</v>
      </c>
      <c r="O81" s="5">
        <v>4498</v>
      </c>
    </row>
    <row r="82" spans="1:15" x14ac:dyDescent="0.25">
      <c r="A82" s="4" t="s">
        <v>198</v>
      </c>
      <c r="B82" s="4">
        <v>2005</v>
      </c>
      <c r="C82" s="4" t="s">
        <v>24</v>
      </c>
      <c r="D82" s="5">
        <v>7287</v>
      </c>
      <c r="E82">
        <f t="shared" si="1"/>
        <v>7287</v>
      </c>
      <c r="G82" s="4" t="s">
        <v>200</v>
      </c>
      <c r="H82" s="4">
        <v>2005</v>
      </c>
      <c r="I82" s="4" t="s">
        <v>29</v>
      </c>
      <c r="J82" s="5">
        <v>7453</v>
      </c>
      <c r="L82" s="4" t="s">
        <v>203</v>
      </c>
      <c r="M82" s="4">
        <v>2006</v>
      </c>
      <c r="N82" s="4" t="s">
        <v>28</v>
      </c>
      <c r="O82" s="5">
        <v>4563</v>
      </c>
    </row>
    <row r="83" spans="1:15" x14ac:dyDescent="0.25">
      <c r="A83" s="4" t="s">
        <v>198</v>
      </c>
      <c r="B83" s="4">
        <v>2005</v>
      </c>
      <c r="C83" s="4" t="s">
        <v>25</v>
      </c>
      <c r="D83" s="5">
        <v>7870</v>
      </c>
      <c r="E83">
        <f t="shared" si="1"/>
        <v>7870</v>
      </c>
      <c r="G83" s="4" t="s">
        <v>200</v>
      </c>
      <c r="H83" s="4">
        <v>2005</v>
      </c>
      <c r="I83" s="4" t="s">
        <v>30</v>
      </c>
      <c r="J83" s="5">
        <v>7566</v>
      </c>
      <c r="L83" s="4" t="s">
        <v>203</v>
      </c>
      <c r="M83" s="4">
        <v>2006</v>
      </c>
      <c r="N83" s="4" t="s">
        <v>29</v>
      </c>
      <c r="O83" s="5">
        <v>4434</v>
      </c>
    </row>
    <row r="84" spans="1:15" x14ac:dyDescent="0.25">
      <c r="A84" s="4" t="s">
        <v>198</v>
      </c>
      <c r="B84" s="4">
        <v>2005</v>
      </c>
      <c r="C84" s="4" t="s">
        <v>26</v>
      </c>
      <c r="D84" s="5">
        <v>7839</v>
      </c>
      <c r="E84">
        <f t="shared" si="1"/>
        <v>7839</v>
      </c>
      <c r="G84" s="4" t="s">
        <v>200</v>
      </c>
      <c r="H84" s="4">
        <v>2005</v>
      </c>
      <c r="I84" s="4" t="s">
        <v>19</v>
      </c>
      <c r="J84" s="5">
        <v>7279</v>
      </c>
      <c r="L84" s="4" t="s">
        <v>203</v>
      </c>
      <c r="M84" s="4">
        <v>2006</v>
      </c>
      <c r="N84" s="4" t="s">
        <v>30</v>
      </c>
      <c r="O84" s="5">
        <v>4705</v>
      </c>
    </row>
    <row r="85" spans="1:15" x14ac:dyDescent="0.25">
      <c r="A85" s="4" t="s">
        <v>198</v>
      </c>
      <c r="B85" s="4">
        <v>2005</v>
      </c>
      <c r="C85" s="4" t="s">
        <v>27</v>
      </c>
      <c r="D85" s="5">
        <v>7327</v>
      </c>
      <c r="E85">
        <f t="shared" si="1"/>
        <v>7327</v>
      </c>
      <c r="G85" s="4" t="s">
        <v>200</v>
      </c>
      <c r="H85" s="4">
        <v>2006</v>
      </c>
      <c r="I85" s="4" t="s">
        <v>20</v>
      </c>
      <c r="J85" s="5">
        <v>7064</v>
      </c>
      <c r="L85" s="4" t="s">
        <v>203</v>
      </c>
      <c r="M85" s="4">
        <v>2006</v>
      </c>
      <c r="N85" s="4" t="s">
        <v>19</v>
      </c>
      <c r="O85" s="5">
        <v>4583</v>
      </c>
    </row>
    <row r="86" spans="1:15" x14ac:dyDescent="0.25">
      <c r="A86" s="4" t="s">
        <v>198</v>
      </c>
      <c r="B86" s="4">
        <v>2005</v>
      </c>
      <c r="C86" s="4" t="s">
        <v>28</v>
      </c>
      <c r="D86" s="5">
        <v>7259</v>
      </c>
      <c r="E86">
        <f t="shared" si="1"/>
        <v>7259</v>
      </c>
      <c r="G86" s="4" t="s">
        <v>200</v>
      </c>
      <c r="H86" s="4">
        <v>2006</v>
      </c>
      <c r="I86" s="4" t="s">
        <v>21</v>
      </c>
      <c r="J86" s="5">
        <v>7184</v>
      </c>
      <c r="L86" s="4" t="s">
        <v>203</v>
      </c>
      <c r="M86" s="4">
        <v>2007</v>
      </c>
      <c r="N86" s="4" t="s">
        <v>20</v>
      </c>
      <c r="O86" s="5">
        <v>4602</v>
      </c>
    </row>
    <row r="87" spans="1:15" x14ac:dyDescent="0.25">
      <c r="A87" s="4" t="s">
        <v>198</v>
      </c>
      <c r="B87" s="4">
        <v>2005</v>
      </c>
      <c r="C87" s="4" t="s">
        <v>29</v>
      </c>
      <c r="D87" s="5">
        <v>6964</v>
      </c>
      <c r="E87">
        <f t="shared" si="1"/>
        <v>6964</v>
      </c>
      <c r="G87" s="4" t="s">
        <v>200</v>
      </c>
      <c r="H87" s="4">
        <v>2006</v>
      </c>
      <c r="I87" s="4" t="s">
        <v>22</v>
      </c>
      <c r="J87" s="5">
        <v>7072</v>
      </c>
      <c r="L87" s="4" t="s">
        <v>203</v>
      </c>
      <c r="M87" s="4">
        <v>2007</v>
      </c>
      <c r="N87" s="4" t="s">
        <v>21</v>
      </c>
      <c r="O87" s="5">
        <v>4483</v>
      </c>
    </row>
    <row r="88" spans="1:15" x14ac:dyDescent="0.25">
      <c r="A88" s="4" t="s">
        <v>198</v>
      </c>
      <c r="B88" s="4">
        <v>2005</v>
      </c>
      <c r="C88" s="4" t="s">
        <v>30</v>
      </c>
      <c r="D88" s="5">
        <v>7271</v>
      </c>
      <c r="E88">
        <f t="shared" si="1"/>
        <v>7271</v>
      </c>
      <c r="G88" s="4" t="s">
        <v>200</v>
      </c>
      <c r="H88" s="4">
        <v>2006</v>
      </c>
      <c r="I88" s="4" t="s">
        <v>23</v>
      </c>
      <c r="J88" s="5">
        <v>7120</v>
      </c>
      <c r="L88" s="4" t="s">
        <v>203</v>
      </c>
      <c r="M88" s="4">
        <v>2007</v>
      </c>
      <c r="N88" s="4" t="s">
        <v>22</v>
      </c>
      <c r="O88" s="5">
        <v>4707</v>
      </c>
    </row>
    <row r="89" spans="1:15" x14ac:dyDescent="0.25">
      <c r="A89" s="4" t="s">
        <v>198</v>
      </c>
      <c r="B89" s="4">
        <v>2005</v>
      </c>
      <c r="C89" s="4" t="s">
        <v>19</v>
      </c>
      <c r="D89" s="5">
        <v>6956</v>
      </c>
      <c r="E89">
        <f t="shared" si="1"/>
        <v>6956</v>
      </c>
      <c r="G89" s="4" t="s">
        <v>200</v>
      </c>
      <c r="H89" s="4">
        <v>2006</v>
      </c>
      <c r="I89" s="4" t="s">
        <v>24</v>
      </c>
      <c r="J89" s="5">
        <v>6980</v>
      </c>
      <c r="L89" s="4" t="s">
        <v>203</v>
      </c>
      <c r="M89" s="4">
        <v>2007</v>
      </c>
      <c r="N89" s="4" t="s">
        <v>23</v>
      </c>
      <c r="O89" s="5">
        <v>4498</v>
      </c>
    </row>
    <row r="90" spans="1:15" x14ac:dyDescent="0.25">
      <c r="A90" s="4" t="s">
        <v>198</v>
      </c>
      <c r="B90" s="4">
        <v>2005</v>
      </c>
      <c r="C90" s="4" t="s">
        <v>96</v>
      </c>
      <c r="D90" s="5">
        <v>7591</v>
      </c>
      <c r="E90" t="str">
        <f t="shared" si="1"/>
        <v/>
      </c>
      <c r="G90" s="4" t="s">
        <v>200</v>
      </c>
      <c r="H90" s="4">
        <v>2006</v>
      </c>
      <c r="I90" s="4" t="s">
        <v>25</v>
      </c>
      <c r="J90" s="5">
        <v>7001</v>
      </c>
      <c r="L90" s="4" t="s">
        <v>203</v>
      </c>
      <c r="M90" s="4">
        <v>2007</v>
      </c>
      <c r="N90" s="4" t="s">
        <v>24</v>
      </c>
      <c r="O90" s="5">
        <v>4479</v>
      </c>
    </row>
    <row r="91" spans="1:15" x14ac:dyDescent="0.25">
      <c r="A91" s="4" t="s">
        <v>198</v>
      </c>
      <c r="B91" s="4">
        <v>2006</v>
      </c>
      <c r="C91" s="4" t="s">
        <v>20</v>
      </c>
      <c r="D91" s="5">
        <v>7608</v>
      </c>
      <c r="E91">
        <f t="shared" si="1"/>
        <v>7608</v>
      </c>
      <c r="G91" s="4" t="s">
        <v>200</v>
      </c>
      <c r="H91" s="4">
        <v>2006</v>
      </c>
      <c r="I91" s="4" t="s">
        <v>26</v>
      </c>
      <c r="J91" s="5">
        <v>7175</v>
      </c>
      <c r="L91" s="4" t="s">
        <v>203</v>
      </c>
      <c r="M91" s="4">
        <v>2007</v>
      </c>
      <c r="N91" s="4" t="s">
        <v>25</v>
      </c>
      <c r="O91" s="5">
        <v>4690</v>
      </c>
    </row>
    <row r="92" spans="1:15" x14ac:dyDescent="0.25">
      <c r="A92" s="4" t="s">
        <v>198</v>
      </c>
      <c r="B92" s="4">
        <v>2006</v>
      </c>
      <c r="C92" s="4" t="s">
        <v>21</v>
      </c>
      <c r="D92" s="5">
        <v>7692</v>
      </c>
      <c r="E92">
        <f t="shared" si="1"/>
        <v>7692</v>
      </c>
      <c r="G92" s="4" t="s">
        <v>200</v>
      </c>
      <c r="H92" s="4">
        <v>2006</v>
      </c>
      <c r="I92" s="4" t="s">
        <v>27</v>
      </c>
      <c r="J92" s="5">
        <v>7091</v>
      </c>
      <c r="L92" s="4" t="s">
        <v>203</v>
      </c>
      <c r="M92" s="4">
        <v>2007</v>
      </c>
      <c r="N92" s="4" t="s">
        <v>26</v>
      </c>
      <c r="O92" s="5">
        <v>4404</v>
      </c>
    </row>
    <row r="93" spans="1:15" x14ac:dyDescent="0.25">
      <c r="A93" s="4" t="s">
        <v>198</v>
      </c>
      <c r="B93" s="4">
        <v>2006</v>
      </c>
      <c r="C93" s="4" t="s">
        <v>22</v>
      </c>
      <c r="D93" s="5">
        <v>7255</v>
      </c>
      <c r="E93">
        <f t="shared" si="1"/>
        <v>7255</v>
      </c>
      <c r="G93" s="4" t="s">
        <v>200</v>
      </c>
      <c r="H93" s="4">
        <v>2006</v>
      </c>
      <c r="I93" s="4" t="s">
        <v>28</v>
      </c>
      <c r="J93" s="5">
        <v>6847</v>
      </c>
      <c r="L93" s="4" t="s">
        <v>203</v>
      </c>
      <c r="M93" s="4">
        <v>2007</v>
      </c>
      <c r="N93" s="4" t="s">
        <v>27</v>
      </c>
      <c r="O93" s="5">
        <v>4491</v>
      </c>
    </row>
    <row r="94" spans="1:15" x14ac:dyDescent="0.25">
      <c r="A94" s="4" t="s">
        <v>198</v>
      </c>
      <c r="B94" s="4">
        <v>2006</v>
      </c>
      <c r="C94" s="4" t="s">
        <v>23</v>
      </c>
      <c r="D94" s="5">
        <v>6804</v>
      </c>
      <c r="E94">
        <f t="shared" si="1"/>
        <v>6804</v>
      </c>
      <c r="G94" s="4" t="s">
        <v>200</v>
      </c>
      <c r="H94" s="4">
        <v>2006</v>
      </c>
      <c r="I94" s="4" t="s">
        <v>29</v>
      </c>
      <c r="J94" s="5">
        <v>6727</v>
      </c>
      <c r="L94" s="4" t="s">
        <v>203</v>
      </c>
      <c r="M94" s="4">
        <v>2007</v>
      </c>
      <c r="N94" s="4" t="s">
        <v>28</v>
      </c>
      <c r="O94" s="5">
        <v>4536</v>
      </c>
    </row>
    <row r="95" spans="1:15" x14ac:dyDescent="0.25">
      <c r="A95" s="4" t="s">
        <v>198</v>
      </c>
      <c r="B95" s="4">
        <v>2006</v>
      </c>
      <c r="C95" s="4" t="s">
        <v>24</v>
      </c>
      <c r="D95" s="5">
        <v>6655</v>
      </c>
      <c r="E95">
        <f t="shared" si="1"/>
        <v>6655</v>
      </c>
      <c r="G95" s="4" t="s">
        <v>200</v>
      </c>
      <c r="H95" s="4">
        <v>2006</v>
      </c>
      <c r="I95" s="4" t="s">
        <v>30</v>
      </c>
      <c r="J95" s="5">
        <v>6872</v>
      </c>
      <c r="L95" s="4" t="s">
        <v>203</v>
      </c>
      <c r="M95" s="4">
        <v>2007</v>
      </c>
      <c r="N95" s="4" t="s">
        <v>29</v>
      </c>
      <c r="O95" s="5">
        <v>4275</v>
      </c>
    </row>
    <row r="96" spans="1:15" x14ac:dyDescent="0.25">
      <c r="A96" s="4" t="s">
        <v>198</v>
      </c>
      <c r="B96" s="4">
        <v>2006</v>
      </c>
      <c r="C96" s="4" t="s">
        <v>25</v>
      </c>
      <c r="D96" s="5">
        <v>7341</v>
      </c>
      <c r="E96">
        <f t="shared" si="1"/>
        <v>7341</v>
      </c>
      <c r="G96" s="4" t="s">
        <v>200</v>
      </c>
      <c r="H96" s="4">
        <v>2006</v>
      </c>
      <c r="I96" s="4" t="s">
        <v>19</v>
      </c>
      <c r="J96" s="5">
        <v>6762</v>
      </c>
      <c r="L96" s="4" t="s">
        <v>203</v>
      </c>
      <c r="M96" s="4">
        <v>2007</v>
      </c>
      <c r="N96" s="4" t="s">
        <v>30</v>
      </c>
      <c r="O96" s="5">
        <v>4396</v>
      </c>
    </row>
    <row r="97" spans="1:15" x14ac:dyDescent="0.25">
      <c r="A97" s="4" t="s">
        <v>198</v>
      </c>
      <c r="B97" s="4">
        <v>2006</v>
      </c>
      <c r="C97" s="4" t="s">
        <v>26</v>
      </c>
      <c r="D97" s="5">
        <v>7602</v>
      </c>
      <c r="E97">
        <f t="shared" si="1"/>
        <v>7602</v>
      </c>
      <c r="G97" s="4" t="s">
        <v>200</v>
      </c>
      <c r="H97" s="4">
        <v>2007</v>
      </c>
      <c r="I97" s="4" t="s">
        <v>20</v>
      </c>
      <c r="J97" s="5">
        <v>7116</v>
      </c>
      <c r="L97" s="4" t="s">
        <v>203</v>
      </c>
      <c r="M97" s="4">
        <v>2007</v>
      </c>
      <c r="N97" s="4" t="s">
        <v>19</v>
      </c>
      <c r="O97" s="5">
        <v>4256</v>
      </c>
    </row>
    <row r="98" spans="1:15" x14ac:dyDescent="0.25">
      <c r="A98" s="4" t="s">
        <v>198</v>
      </c>
      <c r="B98" s="4">
        <v>2006</v>
      </c>
      <c r="C98" s="4" t="s">
        <v>27</v>
      </c>
      <c r="D98" s="5">
        <v>7086</v>
      </c>
      <c r="E98">
        <f t="shared" si="1"/>
        <v>7086</v>
      </c>
      <c r="G98" s="4" t="s">
        <v>200</v>
      </c>
      <c r="H98" s="4">
        <v>2007</v>
      </c>
      <c r="I98" s="4" t="s">
        <v>21</v>
      </c>
      <c r="J98" s="5">
        <v>6927</v>
      </c>
      <c r="L98" s="4" t="s">
        <v>203</v>
      </c>
      <c r="M98" s="4">
        <v>2008</v>
      </c>
      <c r="N98" s="4" t="s">
        <v>20</v>
      </c>
      <c r="O98" s="5">
        <v>4224</v>
      </c>
    </row>
    <row r="99" spans="1:15" x14ac:dyDescent="0.25">
      <c r="A99" s="4" t="s">
        <v>198</v>
      </c>
      <c r="B99" s="4">
        <v>2006</v>
      </c>
      <c r="C99" s="4" t="s">
        <v>28</v>
      </c>
      <c r="D99" s="5">
        <v>6625</v>
      </c>
      <c r="E99">
        <f t="shared" si="1"/>
        <v>6625</v>
      </c>
      <c r="G99" s="4" t="s">
        <v>200</v>
      </c>
      <c r="H99" s="4">
        <v>2007</v>
      </c>
      <c r="I99" s="4" t="s">
        <v>22</v>
      </c>
      <c r="J99" s="5">
        <v>6731</v>
      </c>
      <c r="L99" s="4" t="s">
        <v>203</v>
      </c>
      <c r="M99" s="4">
        <v>2008</v>
      </c>
      <c r="N99" s="4" t="s">
        <v>21</v>
      </c>
      <c r="O99" s="5">
        <v>4026</v>
      </c>
    </row>
    <row r="100" spans="1:15" x14ac:dyDescent="0.25">
      <c r="A100" s="4" t="s">
        <v>198</v>
      </c>
      <c r="B100" s="4">
        <v>2006</v>
      </c>
      <c r="C100" s="4" t="s">
        <v>29</v>
      </c>
      <c r="D100" s="5">
        <v>6272</v>
      </c>
      <c r="E100">
        <f t="shared" si="1"/>
        <v>6272</v>
      </c>
      <c r="G100" s="4" t="s">
        <v>200</v>
      </c>
      <c r="H100" s="4">
        <v>2007</v>
      </c>
      <c r="I100" s="4" t="s">
        <v>23</v>
      </c>
      <c r="J100" s="5">
        <v>6850</v>
      </c>
      <c r="L100" s="4" t="s">
        <v>203</v>
      </c>
      <c r="M100" s="4">
        <v>2008</v>
      </c>
      <c r="N100" s="4" t="s">
        <v>22</v>
      </c>
      <c r="O100" s="5">
        <v>4003</v>
      </c>
    </row>
    <row r="101" spans="1:15" x14ac:dyDescent="0.25">
      <c r="A101" s="4" t="s">
        <v>198</v>
      </c>
      <c r="B101" s="4">
        <v>2006</v>
      </c>
      <c r="C101" s="4" t="s">
        <v>30</v>
      </c>
      <c r="D101" s="5">
        <v>6576</v>
      </c>
      <c r="E101">
        <f t="shared" si="1"/>
        <v>6576</v>
      </c>
      <c r="G101" s="4" t="s">
        <v>200</v>
      </c>
      <c r="H101" s="4">
        <v>2007</v>
      </c>
      <c r="I101" s="4" t="s">
        <v>24</v>
      </c>
      <c r="J101" s="5">
        <v>6766</v>
      </c>
      <c r="L101" s="4" t="s">
        <v>203</v>
      </c>
      <c r="M101" s="4">
        <v>2008</v>
      </c>
      <c r="N101" s="4" t="s">
        <v>23</v>
      </c>
      <c r="O101" s="5">
        <v>3906</v>
      </c>
    </row>
    <row r="102" spans="1:15" x14ac:dyDescent="0.25">
      <c r="A102" s="4" t="s">
        <v>198</v>
      </c>
      <c r="B102" s="4">
        <v>2006</v>
      </c>
      <c r="C102" s="4" t="s">
        <v>19</v>
      </c>
      <c r="D102" s="5">
        <v>6491</v>
      </c>
      <c r="E102">
        <f t="shared" si="1"/>
        <v>6491</v>
      </c>
      <c r="G102" s="4" t="s">
        <v>200</v>
      </c>
      <c r="H102" s="4">
        <v>2007</v>
      </c>
      <c r="I102" s="4" t="s">
        <v>25</v>
      </c>
      <c r="J102" s="5">
        <v>6979</v>
      </c>
      <c r="L102" s="4" t="s">
        <v>203</v>
      </c>
      <c r="M102" s="4">
        <v>2008</v>
      </c>
      <c r="N102" s="4" t="s">
        <v>24</v>
      </c>
      <c r="O102" s="5">
        <v>3947</v>
      </c>
    </row>
    <row r="103" spans="1:15" x14ac:dyDescent="0.25">
      <c r="A103" s="4" t="s">
        <v>198</v>
      </c>
      <c r="B103" s="4">
        <v>2006</v>
      </c>
      <c r="C103" s="4" t="s">
        <v>96</v>
      </c>
      <c r="D103" s="5">
        <v>7001</v>
      </c>
      <c r="E103" t="str">
        <f t="shared" si="1"/>
        <v/>
      </c>
      <c r="G103" s="4" t="s">
        <v>200</v>
      </c>
      <c r="H103" s="4">
        <v>2007</v>
      </c>
      <c r="I103" s="4" t="s">
        <v>26</v>
      </c>
      <c r="J103" s="5">
        <v>7149</v>
      </c>
      <c r="L103" s="4" t="s">
        <v>203</v>
      </c>
      <c r="M103" s="4">
        <v>2008</v>
      </c>
      <c r="N103" s="4" t="s">
        <v>25</v>
      </c>
      <c r="O103" s="5">
        <v>3777</v>
      </c>
    </row>
    <row r="104" spans="1:15" x14ac:dyDescent="0.25">
      <c r="A104" s="4" t="s">
        <v>198</v>
      </c>
      <c r="B104" s="4">
        <v>2007</v>
      </c>
      <c r="C104" s="4" t="s">
        <v>20</v>
      </c>
      <c r="D104" s="5">
        <v>7649</v>
      </c>
      <c r="E104">
        <f t="shared" si="1"/>
        <v>7649</v>
      </c>
      <c r="G104" s="4" t="s">
        <v>200</v>
      </c>
      <c r="H104" s="4">
        <v>2007</v>
      </c>
      <c r="I104" s="4" t="s">
        <v>27</v>
      </c>
      <c r="J104" s="5">
        <v>7067</v>
      </c>
      <c r="L104" s="4" t="s">
        <v>203</v>
      </c>
      <c r="M104" s="4">
        <v>2008</v>
      </c>
      <c r="N104" s="4" t="s">
        <v>26</v>
      </c>
      <c r="O104" s="5">
        <v>3784</v>
      </c>
    </row>
    <row r="105" spans="1:15" x14ac:dyDescent="0.25">
      <c r="A105" s="4" t="s">
        <v>198</v>
      </c>
      <c r="B105" s="4">
        <v>2007</v>
      </c>
      <c r="C105" s="4" t="s">
        <v>21</v>
      </c>
      <c r="D105" s="5">
        <v>7400</v>
      </c>
      <c r="E105">
        <f t="shared" si="1"/>
        <v>7400</v>
      </c>
      <c r="G105" s="4" t="s">
        <v>200</v>
      </c>
      <c r="H105" s="4">
        <v>2007</v>
      </c>
      <c r="I105" s="4" t="s">
        <v>28</v>
      </c>
      <c r="J105" s="5">
        <v>7170</v>
      </c>
      <c r="L105" s="4" t="s">
        <v>203</v>
      </c>
      <c r="M105" s="4">
        <v>2008</v>
      </c>
      <c r="N105" s="4" t="s">
        <v>27</v>
      </c>
      <c r="O105" s="5">
        <v>3643</v>
      </c>
    </row>
    <row r="106" spans="1:15" x14ac:dyDescent="0.25">
      <c r="A106" s="4" t="s">
        <v>198</v>
      </c>
      <c r="B106" s="4">
        <v>2007</v>
      </c>
      <c r="C106" s="4" t="s">
        <v>22</v>
      </c>
      <c r="D106" s="5">
        <v>6913</v>
      </c>
      <c r="E106">
        <f t="shared" si="1"/>
        <v>6913</v>
      </c>
      <c r="G106" s="4" t="s">
        <v>200</v>
      </c>
      <c r="H106" s="4">
        <v>2007</v>
      </c>
      <c r="I106" s="4" t="s">
        <v>29</v>
      </c>
      <c r="J106" s="5">
        <v>7237</v>
      </c>
      <c r="L106" s="4" t="s">
        <v>203</v>
      </c>
      <c r="M106" s="4">
        <v>2008</v>
      </c>
      <c r="N106" s="4" t="s">
        <v>28</v>
      </c>
      <c r="O106" s="5">
        <v>3233</v>
      </c>
    </row>
    <row r="107" spans="1:15" x14ac:dyDescent="0.25">
      <c r="A107" s="4" t="s">
        <v>198</v>
      </c>
      <c r="B107" s="4">
        <v>2007</v>
      </c>
      <c r="C107" s="4" t="s">
        <v>23</v>
      </c>
      <c r="D107" s="5">
        <v>6532</v>
      </c>
      <c r="E107">
        <f t="shared" si="1"/>
        <v>6532</v>
      </c>
      <c r="G107" s="4" t="s">
        <v>200</v>
      </c>
      <c r="H107" s="4">
        <v>2007</v>
      </c>
      <c r="I107" s="4" t="s">
        <v>30</v>
      </c>
      <c r="J107" s="5">
        <v>7240</v>
      </c>
      <c r="L107" s="4" t="s">
        <v>203</v>
      </c>
      <c r="M107" s="4">
        <v>2008</v>
      </c>
      <c r="N107" s="4" t="s">
        <v>29</v>
      </c>
      <c r="O107" s="5">
        <v>3384</v>
      </c>
    </row>
    <row r="108" spans="1:15" x14ac:dyDescent="0.25">
      <c r="A108" s="4" t="s">
        <v>198</v>
      </c>
      <c r="B108" s="4">
        <v>2007</v>
      </c>
      <c r="C108" s="4" t="s">
        <v>24</v>
      </c>
      <c r="D108" s="5">
        <v>6486</v>
      </c>
      <c r="E108">
        <f t="shared" si="1"/>
        <v>6486</v>
      </c>
      <c r="G108" s="4" t="s">
        <v>200</v>
      </c>
      <c r="H108" s="4">
        <v>2007</v>
      </c>
      <c r="I108" s="4" t="s">
        <v>19</v>
      </c>
      <c r="J108" s="5">
        <v>7645</v>
      </c>
      <c r="L108" s="4" t="s">
        <v>203</v>
      </c>
      <c r="M108" s="4">
        <v>2008</v>
      </c>
      <c r="N108" s="4" t="s">
        <v>30</v>
      </c>
      <c r="O108" s="5">
        <v>3155</v>
      </c>
    </row>
    <row r="109" spans="1:15" x14ac:dyDescent="0.25">
      <c r="A109" s="4" t="s">
        <v>198</v>
      </c>
      <c r="B109" s="4">
        <v>2007</v>
      </c>
      <c r="C109" s="4" t="s">
        <v>25</v>
      </c>
      <c r="D109" s="5">
        <v>7295</v>
      </c>
      <c r="E109">
        <f t="shared" si="1"/>
        <v>7295</v>
      </c>
      <c r="G109" s="4" t="s">
        <v>200</v>
      </c>
      <c r="H109" s="4">
        <v>2008</v>
      </c>
      <c r="I109" s="4" t="s">
        <v>20</v>
      </c>
      <c r="J109" s="5">
        <v>7685</v>
      </c>
      <c r="L109" s="4" t="s">
        <v>203</v>
      </c>
      <c r="M109" s="4">
        <v>2008</v>
      </c>
      <c r="N109" s="4" t="s">
        <v>19</v>
      </c>
      <c r="O109" s="5">
        <v>3011</v>
      </c>
    </row>
    <row r="110" spans="1:15" x14ac:dyDescent="0.25">
      <c r="A110" s="4" t="s">
        <v>198</v>
      </c>
      <c r="B110" s="4">
        <v>2007</v>
      </c>
      <c r="C110" s="4" t="s">
        <v>26</v>
      </c>
      <c r="D110" s="5">
        <v>7556</v>
      </c>
      <c r="E110">
        <f t="shared" si="1"/>
        <v>7556</v>
      </c>
      <c r="G110" s="4" t="s">
        <v>200</v>
      </c>
      <c r="H110" s="4">
        <v>2008</v>
      </c>
      <c r="I110" s="4" t="s">
        <v>21</v>
      </c>
      <c r="J110" s="5">
        <v>7497</v>
      </c>
      <c r="L110" s="4" t="s">
        <v>203</v>
      </c>
      <c r="M110" s="4">
        <v>2009</v>
      </c>
      <c r="N110" s="4" t="s">
        <v>20</v>
      </c>
      <c r="O110" s="5">
        <v>2853</v>
      </c>
    </row>
    <row r="111" spans="1:15" x14ac:dyDescent="0.25">
      <c r="A111" s="4" t="s">
        <v>198</v>
      </c>
      <c r="B111" s="4">
        <v>2007</v>
      </c>
      <c r="C111" s="4" t="s">
        <v>27</v>
      </c>
      <c r="D111" s="5">
        <v>7088</v>
      </c>
      <c r="E111">
        <f t="shared" si="1"/>
        <v>7088</v>
      </c>
      <c r="G111" s="4" t="s">
        <v>200</v>
      </c>
      <c r="H111" s="4">
        <v>2008</v>
      </c>
      <c r="I111" s="4" t="s">
        <v>22</v>
      </c>
      <c r="J111" s="5">
        <v>7822</v>
      </c>
      <c r="L111" s="4" t="s">
        <v>203</v>
      </c>
      <c r="M111" s="4">
        <v>2009</v>
      </c>
      <c r="N111" s="4" t="s">
        <v>21</v>
      </c>
      <c r="O111" s="5">
        <v>2807</v>
      </c>
    </row>
    <row r="112" spans="1:15" x14ac:dyDescent="0.25">
      <c r="A112" s="4" t="s">
        <v>198</v>
      </c>
      <c r="B112" s="4">
        <v>2007</v>
      </c>
      <c r="C112" s="4" t="s">
        <v>28</v>
      </c>
      <c r="D112" s="5">
        <v>6952</v>
      </c>
      <c r="E112">
        <f t="shared" si="1"/>
        <v>6952</v>
      </c>
      <c r="G112" s="4" t="s">
        <v>200</v>
      </c>
      <c r="H112" s="4">
        <v>2008</v>
      </c>
      <c r="I112" s="4" t="s">
        <v>23</v>
      </c>
      <c r="J112" s="5">
        <v>7637</v>
      </c>
      <c r="L112" s="4" t="s">
        <v>203</v>
      </c>
      <c r="M112" s="4">
        <v>2009</v>
      </c>
      <c r="N112" s="4" t="s">
        <v>22</v>
      </c>
      <c r="O112" s="5">
        <v>2550</v>
      </c>
    </row>
    <row r="113" spans="1:15" x14ac:dyDescent="0.25">
      <c r="A113" s="4" t="s">
        <v>198</v>
      </c>
      <c r="B113" s="4">
        <v>2007</v>
      </c>
      <c r="C113" s="4" t="s">
        <v>29</v>
      </c>
      <c r="D113" s="5">
        <v>6773</v>
      </c>
      <c r="E113">
        <f t="shared" si="1"/>
        <v>6773</v>
      </c>
      <c r="G113" s="4" t="s">
        <v>200</v>
      </c>
      <c r="H113" s="4">
        <v>2008</v>
      </c>
      <c r="I113" s="4" t="s">
        <v>24</v>
      </c>
      <c r="J113" s="5">
        <v>8395</v>
      </c>
      <c r="L113" s="4" t="s">
        <v>203</v>
      </c>
      <c r="M113" s="4">
        <v>2009</v>
      </c>
      <c r="N113" s="4" t="s">
        <v>23</v>
      </c>
      <c r="O113" s="5">
        <v>2292</v>
      </c>
    </row>
    <row r="114" spans="1:15" x14ac:dyDescent="0.25">
      <c r="A114" s="4" t="s">
        <v>198</v>
      </c>
      <c r="B114" s="4">
        <v>2007</v>
      </c>
      <c r="C114" s="4" t="s">
        <v>30</v>
      </c>
      <c r="D114" s="5">
        <v>6917</v>
      </c>
      <c r="E114">
        <f t="shared" si="1"/>
        <v>6917</v>
      </c>
      <c r="G114" s="4" t="s">
        <v>200</v>
      </c>
      <c r="H114" s="4">
        <v>2008</v>
      </c>
      <c r="I114" s="4" t="s">
        <v>25</v>
      </c>
      <c r="J114" s="5">
        <v>8575</v>
      </c>
      <c r="L114" s="4" t="s">
        <v>203</v>
      </c>
      <c r="M114" s="4">
        <v>2009</v>
      </c>
      <c r="N114" s="4" t="s">
        <v>24</v>
      </c>
      <c r="O114" s="5">
        <v>2415</v>
      </c>
    </row>
    <row r="115" spans="1:15" x14ac:dyDescent="0.25">
      <c r="A115" s="4" t="s">
        <v>198</v>
      </c>
      <c r="B115" s="4">
        <v>2007</v>
      </c>
      <c r="C115" s="4" t="s">
        <v>19</v>
      </c>
      <c r="D115" s="5">
        <v>7371</v>
      </c>
      <c r="E115">
        <f t="shared" si="1"/>
        <v>7371</v>
      </c>
      <c r="G115" s="4" t="s">
        <v>200</v>
      </c>
      <c r="H115" s="4">
        <v>2008</v>
      </c>
      <c r="I115" s="4" t="s">
        <v>26</v>
      </c>
      <c r="J115" s="5">
        <v>8937</v>
      </c>
      <c r="L115" s="4" t="s">
        <v>203</v>
      </c>
      <c r="M115" s="4">
        <v>2009</v>
      </c>
      <c r="N115" s="4" t="s">
        <v>25</v>
      </c>
      <c r="O115" s="5">
        <v>2377</v>
      </c>
    </row>
    <row r="116" spans="1:15" x14ac:dyDescent="0.25">
      <c r="A116" s="4" t="s">
        <v>198</v>
      </c>
      <c r="B116" s="4">
        <v>2007</v>
      </c>
      <c r="C116" s="4" t="s">
        <v>96</v>
      </c>
      <c r="D116" s="5">
        <v>7078</v>
      </c>
      <c r="E116" t="str">
        <f t="shared" si="1"/>
        <v/>
      </c>
      <c r="G116" s="4" t="s">
        <v>200</v>
      </c>
      <c r="H116" s="4">
        <v>2008</v>
      </c>
      <c r="I116" s="4" t="s">
        <v>27</v>
      </c>
      <c r="J116" s="5">
        <v>9438</v>
      </c>
      <c r="L116" s="4" t="s">
        <v>203</v>
      </c>
      <c r="M116" s="4">
        <v>2009</v>
      </c>
      <c r="N116" s="4" t="s">
        <v>26</v>
      </c>
      <c r="O116" s="5">
        <v>2179</v>
      </c>
    </row>
    <row r="117" spans="1:15" x14ac:dyDescent="0.25">
      <c r="A117" s="4" t="s">
        <v>198</v>
      </c>
      <c r="B117" s="4">
        <v>2008</v>
      </c>
      <c r="C117" s="4" t="s">
        <v>20</v>
      </c>
      <c r="D117" s="5">
        <v>8221</v>
      </c>
      <c r="E117">
        <f t="shared" si="1"/>
        <v>8221</v>
      </c>
      <c r="G117" s="4" t="s">
        <v>200</v>
      </c>
      <c r="H117" s="4">
        <v>2008</v>
      </c>
      <c r="I117" s="4" t="s">
        <v>28</v>
      </c>
      <c r="J117" s="5">
        <v>9494</v>
      </c>
      <c r="L117" s="4" t="s">
        <v>203</v>
      </c>
      <c r="M117" s="4">
        <v>2009</v>
      </c>
      <c r="N117" s="4" t="s">
        <v>27</v>
      </c>
      <c r="O117" s="5">
        <v>2282</v>
      </c>
    </row>
    <row r="118" spans="1:15" x14ac:dyDescent="0.25">
      <c r="A118" s="4" t="s">
        <v>198</v>
      </c>
      <c r="B118" s="4">
        <v>2008</v>
      </c>
      <c r="C118" s="4" t="s">
        <v>21</v>
      </c>
      <c r="D118" s="5">
        <v>7953</v>
      </c>
      <c r="E118">
        <f t="shared" si="1"/>
        <v>7953</v>
      </c>
      <c r="G118" s="4" t="s">
        <v>200</v>
      </c>
      <c r="H118" s="4">
        <v>2008</v>
      </c>
      <c r="I118" s="4" t="s">
        <v>29</v>
      </c>
      <c r="J118" s="5">
        <v>10074</v>
      </c>
      <c r="L118" s="4" t="s">
        <v>203</v>
      </c>
      <c r="M118" s="4">
        <v>2009</v>
      </c>
      <c r="N118" s="4" t="s">
        <v>28</v>
      </c>
      <c r="O118" s="5">
        <v>2477</v>
      </c>
    </row>
    <row r="119" spans="1:15" x14ac:dyDescent="0.25">
      <c r="A119" s="4" t="s">
        <v>198</v>
      </c>
      <c r="B119" s="4">
        <v>2008</v>
      </c>
      <c r="C119" s="4" t="s">
        <v>22</v>
      </c>
      <c r="D119" s="5">
        <v>8027</v>
      </c>
      <c r="E119">
        <f t="shared" si="1"/>
        <v>8027</v>
      </c>
      <c r="G119" s="4" t="s">
        <v>200</v>
      </c>
      <c r="H119" s="4">
        <v>2008</v>
      </c>
      <c r="I119" s="4" t="s">
        <v>30</v>
      </c>
      <c r="J119" s="5">
        <v>10538</v>
      </c>
      <c r="L119" s="4" t="s">
        <v>203</v>
      </c>
      <c r="M119" s="4">
        <v>2009</v>
      </c>
      <c r="N119" s="4" t="s">
        <v>29</v>
      </c>
      <c r="O119" s="5">
        <v>2409</v>
      </c>
    </row>
    <row r="120" spans="1:15" x14ac:dyDescent="0.25">
      <c r="A120" s="4" t="s">
        <v>198</v>
      </c>
      <c r="B120" s="4">
        <v>2008</v>
      </c>
      <c r="C120" s="4" t="s">
        <v>23</v>
      </c>
      <c r="D120" s="5">
        <v>7287</v>
      </c>
      <c r="E120">
        <f t="shared" si="1"/>
        <v>7287</v>
      </c>
      <c r="G120" s="4" t="s">
        <v>200</v>
      </c>
      <c r="H120" s="4">
        <v>2008</v>
      </c>
      <c r="I120" s="4" t="s">
        <v>19</v>
      </c>
      <c r="J120" s="5">
        <v>11286</v>
      </c>
      <c r="L120" s="4" t="s">
        <v>203</v>
      </c>
      <c r="M120" s="4">
        <v>2009</v>
      </c>
      <c r="N120" s="4" t="s">
        <v>30</v>
      </c>
      <c r="O120" s="5">
        <v>2390</v>
      </c>
    </row>
    <row r="121" spans="1:15" x14ac:dyDescent="0.25">
      <c r="A121" s="4" t="s">
        <v>198</v>
      </c>
      <c r="B121" s="4">
        <v>2008</v>
      </c>
      <c r="C121" s="4" t="s">
        <v>24</v>
      </c>
      <c r="D121" s="5">
        <v>8076</v>
      </c>
      <c r="E121">
        <f t="shared" si="1"/>
        <v>8076</v>
      </c>
      <c r="G121" s="4" t="s">
        <v>200</v>
      </c>
      <c r="H121" s="4">
        <v>2009</v>
      </c>
      <c r="I121" s="4" t="s">
        <v>20</v>
      </c>
      <c r="J121" s="5">
        <v>12079</v>
      </c>
      <c r="L121" s="4" t="s">
        <v>203</v>
      </c>
      <c r="M121" s="4">
        <v>2009</v>
      </c>
      <c r="N121" s="4" t="s">
        <v>19</v>
      </c>
      <c r="O121" s="5">
        <v>2451</v>
      </c>
    </row>
    <row r="122" spans="1:15" x14ac:dyDescent="0.25">
      <c r="A122" s="4" t="s">
        <v>198</v>
      </c>
      <c r="B122" s="4">
        <v>2008</v>
      </c>
      <c r="C122" s="4" t="s">
        <v>25</v>
      </c>
      <c r="D122" s="5">
        <v>8933</v>
      </c>
      <c r="E122">
        <f t="shared" si="1"/>
        <v>8933</v>
      </c>
      <c r="G122" s="4" t="s">
        <v>200</v>
      </c>
      <c r="H122" s="4">
        <v>2009</v>
      </c>
      <c r="I122" s="4" t="s">
        <v>21</v>
      </c>
      <c r="J122" s="5">
        <v>12881</v>
      </c>
      <c r="L122" s="4" t="s">
        <v>203</v>
      </c>
      <c r="M122" s="4">
        <v>2010</v>
      </c>
      <c r="N122" s="4" t="s">
        <v>20</v>
      </c>
      <c r="O122" s="5">
        <v>2751</v>
      </c>
    </row>
    <row r="123" spans="1:15" x14ac:dyDescent="0.25">
      <c r="A123" s="4" t="s">
        <v>198</v>
      </c>
      <c r="B123" s="4">
        <v>2008</v>
      </c>
      <c r="C123" s="4" t="s">
        <v>26</v>
      </c>
      <c r="D123" s="5">
        <v>9433</v>
      </c>
      <c r="E123">
        <f t="shared" si="1"/>
        <v>9433</v>
      </c>
      <c r="G123" s="4" t="s">
        <v>200</v>
      </c>
      <c r="H123" s="4">
        <v>2009</v>
      </c>
      <c r="I123" s="4" t="s">
        <v>22</v>
      </c>
      <c r="J123" s="5">
        <v>13421</v>
      </c>
      <c r="L123" s="4" t="s">
        <v>203</v>
      </c>
      <c r="M123" s="4">
        <v>2010</v>
      </c>
      <c r="N123" s="4" t="s">
        <v>21</v>
      </c>
      <c r="O123" s="5">
        <v>2577</v>
      </c>
    </row>
    <row r="124" spans="1:15" x14ac:dyDescent="0.25">
      <c r="A124" s="4" t="s">
        <v>198</v>
      </c>
      <c r="B124" s="4">
        <v>2008</v>
      </c>
      <c r="C124" s="4" t="s">
        <v>27</v>
      </c>
      <c r="D124" s="5">
        <v>9479</v>
      </c>
      <c r="E124">
        <f t="shared" si="1"/>
        <v>9479</v>
      </c>
      <c r="G124" s="4" t="s">
        <v>200</v>
      </c>
      <c r="H124" s="4">
        <v>2009</v>
      </c>
      <c r="I124" s="4" t="s">
        <v>23</v>
      </c>
      <c r="J124" s="5">
        <v>13826</v>
      </c>
      <c r="L124" s="4" t="s">
        <v>203</v>
      </c>
      <c r="M124" s="4">
        <v>2010</v>
      </c>
      <c r="N124" s="4" t="s">
        <v>22</v>
      </c>
      <c r="O124" s="5">
        <v>2614</v>
      </c>
    </row>
    <row r="125" spans="1:15" x14ac:dyDescent="0.25">
      <c r="A125" s="4" t="s">
        <v>198</v>
      </c>
      <c r="B125" s="4">
        <v>2008</v>
      </c>
      <c r="C125" s="4" t="s">
        <v>28</v>
      </c>
      <c r="D125" s="5">
        <v>9199</v>
      </c>
      <c r="E125">
        <f t="shared" si="1"/>
        <v>9199</v>
      </c>
      <c r="G125" s="4" t="s">
        <v>200</v>
      </c>
      <c r="H125" s="4">
        <v>2009</v>
      </c>
      <c r="I125" s="4" t="s">
        <v>24</v>
      </c>
      <c r="J125" s="5">
        <v>14492</v>
      </c>
      <c r="L125" s="4" t="s">
        <v>203</v>
      </c>
      <c r="M125" s="4">
        <v>2010</v>
      </c>
      <c r="N125" s="4" t="s">
        <v>23</v>
      </c>
      <c r="O125" s="5">
        <v>3142</v>
      </c>
    </row>
    <row r="126" spans="1:15" x14ac:dyDescent="0.25">
      <c r="A126" s="4" t="s">
        <v>198</v>
      </c>
      <c r="B126" s="4">
        <v>2008</v>
      </c>
      <c r="C126" s="4" t="s">
        <v>29</v>
      </c>
      <c r="D126" s="5">
        <v>9469</v>
      </c>
      <c r="E126">
        <f t="shared" si="1"/>
        <v>9469</v>
      </c>
      <c r="G126" s="4" t="s">
        <v>200</v>
      </c>
      <c r="H126" s="4">
        <v>2009</v>
      </c>
      <c r="I126" s="4" t="s">
        <v>25</v>
      </c>
      <c r="J126" s="5">
        <v>14705</v>
      </c>
      <c r="L126" s="4" t="s">
        <v>203</v>
      </c>
      <c r="M126" s="4">
        <v>2010</v>
      </c>
      <c r="N126" s="4" t="s">
        <v>24</v>
      </c>
      <c r="O126" s="5">
        <v>2849</v>
      </c>
    </row>
    <row r="127" spans="1:15" x14ac:dyDescent="0.25">
      <c r="A127" s="4" t="s">
        <v>198</v>
      </c>
      <c r="B127" s="4">
        <v>2008</v>
      </c>
      <c r="C127" s="4" t="s">
        <v>30</v>
      </c>
      <c r="D127" s="5">
        <v>10015</v>
      </c>
      <c r="E127">
        <f t="shared" si="1"/>
        <v>10015</v>
      </c>
      <c r="G127" s="4" t="s">
        <v>200</v>
      </c>
      <c r="H127" s="4">
        <v>2009</v>
      </c>
      <c r="I127" s="4" t="s">
        <v>26</v>
      </c>
      <c r="J127" s="5">
        <v>14607</v>
      </c>
      <c r="L127" s="4" t="s">
        <v>203</v>
      </c>
      <c r="M127" s="4">
        <v>2010</v>
      </c>
      <c r="N127" s="4" t="s">
        <v>25</v>
      </c>
      <c r="O127" s="5">
        <v>2645</v>
      </c>
    </row>
    <row r="128" spans="1:15" x14ac:dyDescent="0.25">
      <c r="A128" s="4" t="s">
        <v>198</v>
      </c>
      <c r="B128" s="4">
        <v>2008</v>
      </c>
      <c r="C128" s="4" t="s">
        <v>19</v>
      </c>
      <c r="D128" s="5">
        <v>10999</v>
      </c>
      <c r="E128">
        <f t="shared" si="1"/>
        <v>10999</v>
      </c>
      <c r="G128" s="4" t="s">
        <v>200</v>
      </c>
      <c r="H128" s="4">
        <v>2009</v>
      </c>
      <c r="I128" s="4" t="s">
        <v>27</v>
      </c>
      <c r="J128" s="5">
        <v>14819</v>
      </c>
      <c r="L128" s="4" t="s">
        <v>203</v>
      </c>
      <c r="M128" s="4">
        <v>2010</v>
      </c>
      <c r="N128" s="4" t="s">
        <v>26</v>
      </c>
      <c r="O128" s="5">
        <v>2922</v>
      </c>
    </row>
    <row r="129" spans="1:15" x14ac:dyDescent="0.25">
      <c r="A129" s="4" t="s">
        <v>198</v>
      </c>
      <c r="B129" s="4">
        <v>2008</v>
      </c>
      <c r="C129" s="4" t="s">
        <v>96</v>
      </c>
      <c r="D129" s="5">
        <v>8924</v>
      </c>
      <c r="E129" t="str">
        <f t="shared" si="1"/>
        <v/>
      </c>
      <c r="G129" s="4" t="s">
        <v>200</v>
      </c>
      <c r="H129" s="4">
        <v>2009</v>
      </c>
      <c r="I129" s="4" t="s">
        <v>28</v>
      </c>
      <c r="J129" s="5">
        <v>15005</v>
      </c>
      <c r="L129" s="4" t="s">
        <v>203</v>
      </c>
      <c r="M129" s="4">
        <v>2010</v>
      </c>
      <c r="N129" s="4" t="s">
        <v>27</v>
      </c>
      <c r="O129" s="5">
        <v>2905</v>
      </c>
    </row>
    <row r="130" spans="1:15" x14ac:dyDescent="0.25">
      <c r="A130" s="4" t="s">
        <v>198</v>
      </c>
      <c r="B130" s="4">
        <v>2009</v>
      </c>
      <c r="C130" s="4" t="s">
        <v>20</v>
      </c>
      <c r="D130" s="5">
        <v>13009</v>
      </c>
      <c r="E130">
        <f t="shared" si="1"/>
        <v>13009</v>
      </c>
      <c r="G130" s="4" t="s">
        <v>200</v>
      </c>
      <c r="H130" s="4">
        <v>2009</v>
      </c>
      <c r="I130" s="4" t="s">
        <v>29</v>
      </c>
      <c r="J130" s="5">
        <v>15382</v>
      </c>
      <c r="L130" s="4" t="s">
        <v>203</v>
      </c>
      <c r="M130" s="4">
        <v>2010</v>
      </c>
      <c r="N130" s="4" t="s">
        <v>28</v>
      </c>
      <c r="O130" s="5">
        <v>2784</v>
      </c>
    </row>
    <row r="131" spans="1:15" x14ac:dyDescent="0.25">
      <c r="A131" s="4" t="s">
        <v>198</v>
      </c>
      <c r="B131" s="4">
        <v>2009</v>
      </c>
      <c r="C131" s="4" t="s">
        <v>21</v>
      </c>
      <c r="D131" s="5">
        <v>13699</v>
      </c>
      <c r="E131">
        <f t="shared" si="1"/>
        <v>13699</v>
      </c>
      <c r="G131" s="4" t="s">
        <v>200</v>
      </c>
      <c r="H131" s="4">
        <v>2009</v>
      </c>
      <c r="I131" s="4" t="s">
        <v>30</v>
      </c>
      <c r="J131" s="5">
        <v>15223</v>
      </c>
      <c r="L131" s="4" t="s">
        <v>203</v>
      </c>
      <c r="M131" s="4">
        <v>2010</v>
      </c>
      <c r="N131" s="4" t="s">
        <v>29</v>
      </c>
      <c r="O131" s="5">
        <v>3033</v>
      </c>
    </row>
    <row r="132" spans="1:15" x14ac:dyDescent="0.25">
      <c r="A132" s="4" t="s">
        <v>198</v>
      </c>
      <c r="B132" s="4">
        <v>2009</v>
      </c>
      <c r="C132" s="4" t="s">
        <v>22</v>
      </c>
      <c r="D132" s="5">
        <v>13895</v>
      </c>
      <c r="E132">
        <f t="shared" si="1"/>
        <v>13895</v>
      </c>
      <c r="G132" s="4" t="s">
        <v>200</v>
      </c>
      <c r="H132" s="4">
        <v>2009</v>
      </c>
      <c r="I132" s="4" t="s">
        <v>19</v>
      </c>
      <c r="J132" s="5">
        <v>15095</v>
      </c>
      <c r="L132" s="4" t="s">
        <v>203</v>
      </c>
      <c r="M132" s="4">
        <v>2010</v>
      </c>
      <c r="N132" s="4" t="s">
        <v>30</v>
      </c>
      <c r="O132" s="5">
        <v>3051</v>
      </c>
    </row>
    <row r="133" spans="1:15" x14ac:dyDescent="0.25">
      <c r="A133" s="4" t="s">
        <v>198</v>
      </c>
      <c r="B133" s="4">
        <v>2009</v>
      </c>
      <c r="C133" s="4" t="s">
        <v>23</v>
      </c>
      <c r="D133" s="5">
        <v>13248</v>
      </c>
      <c r="E133">
        <f t="shared" si="1"/>
        <v>13248</v>
      </c>
      <c r="G133" s="4" t="s">
        <v>200</v>
      </c>
      <c r="H133" s="4">
        <v>2010</v>
      </c>
      <c r="I133" s="4" t="s">
        <v>20</v>
      </c>
      <c r="J133" s="5">
        <v>15016</v>
      </c>
      <c r="L133" s="4" t="s">
        <v>203</v>
      </c>
      <c r="M133" s="4">
        <v>2010</v>
      </c>
      <c r="N133" s="4" t="s">
        <v>19</v>
      </c>
      <c r="O133" s="5">
        <v>2930</v>
      </c>
    </row>
    <row r="134" spans="1:15" x14ac:dyDescent="0.25">
      <c r="A134" s="4" t="s">
        <v>198</v>
      </c>
      <c r="B134" s="4">
        <v>2009</v>
      </c>
      <c r="C134" s="4" t="s">
        <v>24</v>
      </c>
      <c r="D134" s="5">
        <v>13973</v>
      </c>
      <c r="E134">
        <f t="shared" si="1"/>
        <v>13973</v>
      </c>
      <c r="G134" s="4" t="s">
        <v>200</v>
      </c>
      <c r="H134" s="4">
        <v>2010</v>
      </c>
      <c r="I134" s="4" t="s">
        <v>21</v>
      </c>
      <c r="J134" s="5">
        <v>15078</v>
      </c>
      <c r="L134" s="4" t="s">
        <v>203</v>
      </c>
      <c r="M134" s="4">
        <v>2011</v>
      </c>
      <c r="N134" s="4" t="s">
        <v>20</v>
      </c>
      <c r="O134" s="5">
        <v>2868</v>
      </c>
    </row>
    <row r="135" spans="1:15" x14ac:dyDescent="0.25">
      <c r="A135" s="4" t="s">
        <v>198</v>
      </c>
      <c r="B135" s="4">
        <v>2009</v>
      </c>
      <c r="C135" s="4" t="s">
        <v>25</v>
      </c>
      <c r="D135" s="5">
        <v>15095</v>
      </c>
      <c r="E135">
        <f t="shared" si="1"/>
        <v>15095</v>
      </c>
      <c r="G135" s="4" t="s">
        <v>200</v>
      </c>
      <c r="H135" s="4">
        <v>2010</v>
      </c>
      <c r="I135" s="4" t="s">
        <v>22</v>
      </c>
      <c r="J135" s="5">
        <v>15192</v>
      </c>
      <c r="L135" s="4" t="s">
        <v>203</v>
      </c>
      <c r="M135" s="4">
        <v>2011</v>
      </c>
      <c r="N135" s="4" t="s">
        <v>21</v>
      </c>
      <c r="O135" s="5">
        <v>3017</v>
      </c>
    </row>
    <row r="136" spans="1:15" x14ac:dyDescent="0.25">
      <c r="A136" s="4" t="s">
        <v>198</v>
      </c>
      <c r="B136" s="4">
        <v>2009</v>
      </c>
      <c r="C136" s="4" t="s">
        <v>26</v>
      </c>
      <c r="D136" s="5">
        <v>15201</v>
      </c>
      <c r="E136">
        <f t="shared" si="1"/>
        <v>15201</v>
      </c>
      <c r="G136" s="4" t="s">
        <v>200</v>
      </c>
      <c r="H136" s="4">
        <v>2010</v>
      </c>
      <c r="I136" s="4" t="s">
        <v>23</v>
      </c>
      <c r="J136" s="5">
        <v>15281</v>
      </c>
      <c r="L136" s="4" t="s">
        <v>203</v>
      </c>
      <c r="M136" s="4">
        <v>2011</v>
      </c>
      <c r="N136" s="4" t="s">
        <v>22</v>
      </c>
      <c r="O136" s="5">
        <v>3104</v>
      </c>
    </row>
    <row r="137" spans="1:15" x14ac:dyDescent="0.25">
      <c r="A137" s="4" t="s">
        <v>198</v>
      </c>
      <c r="B137" s="4">
        <v>2009</v>
      </c>
      <c r="C137" s="4" t="s">
        <v>27</v>
      </c>
      <c r="D137" s="5">
        <v>14823</v>
      </c>
      <c r="E137">
        <f t="shared" si="1"/>
        <v>14823</v>
      </c>
      <c r="G137" s="4" t="s">
        <v>200</v>
      </c>
      <c r="H137" s="4">
        <v>2010</v>
      </c>
      <c r="I137" s="4" t="s">
        <v>24</v>
      </c>
      <c r="J137" s="5">
        <v>14856</v>
      </c>
      <c r="L137" s="4" t="s">
        <v>203</v>
      </c>
      <c r="M137" s="4">
        <v>2011</v>
      </c>
      <c r="N137" s="4" t="s">
        <v>23</v>
      </c>
      <c r="O137" s="5">
        <v>3025</v>
      </c>
    </row>
    <row r="138" spans="1:15" x14ac:dyDescent="0.25">
      <c r="A138" s="4" t="s">
        <v>198</v>
      </c>
      <c r="B138" s="4">
        <v>2009</v>
      </c>
      <c r="C138" s="4" t="s">
        <v>28</v>
      </c>
      <c r="D138" s="5">
        <v>14538</v>
      </c>
      <c r="E138">
        <f t="shared" si="1"/>
        <v>14538</v>
      </c>
      <c r="G138" s="4" t="s">
        <v>200</v>
      </c>
      <c r="H138" s="4">
        <v>2010</v>
      </c>
      <c r="I138" s="4" t="s">
        <v>25</v>
      </c>
      <c r="J138" s="5">
        <v>14475</v>
      </c>
      <c r="L138" s="4" t="s">
        <v>203</v>
      </c>
      <c r="M138" s="4">
        <v>2011</v>
      </c>
      <c r="N138" s="4" t="s">
        <v>24</v>
      </c>
      <c r="O138" s="5">
        <v>2937</v>
      </c>
    </row>
    <row r="139" spans="1:15" x14ac:dyDescent="0.25">
      <c r="A139" s="4" t="s">
        <v>198</v>
      </c>
      <c r="B139" s="4">
        <v>2009</v>
      </c>
      <c r="C139" s="4" t="s">
        <v>29</v>
      </c>
      <c r="D139" s="5">
        <v>14547</v>
      </c>
      <c r="E139">
        <f t="shared" si="1"/>
        <v>14547</v>
      </c>
      <c r="G139" s="4" t="s">
        <v>200</v>
      </c>
      <c r="H139" s="4">
        <v>2010</v>
      </c>
      <c r="I139" s="4" t="s">
        <v>26</v>
      </c>
      <c r="J139" s="5">
        <v>14542</v>
      </c>
      <c r="L139" s="4" t="s">
        <v>203</v>
      </c>
      <c r="M139" s="4">
        <v>2011</v>
      </c>
      <c r="N139" s="4" t="s">
        <v>25</v>
      </c>
      <c r="O139" s="5">
        <v>3180</v>
      </c>
    </row>
    <row r="140" spans="1:15" x14ac:dyDescent="0.25">
      <c r="A140" s="4" t="s">
        <v>198</v>
      </c>
      <c r="B140" s="4">
        <v>2009</v>
      </c>
      <c r="C140" s="4" t="s">
        <v>30</v>
      </c>
      <c r="D140" s="5">
        <v>14407</v>
      </c>
      <c r="E140">
        <f t="shared" si="1"/>
        <v>14407</v>
      </c>
      <c r="G140" s="4" t="s">
        <v>200</v>
      </c>
      <c r="H140" s="4">
        <v>2010</v>
      </c>
      <c r="I140" s="4" t="s">
        <v>27</v>
      </c>
      <c r="J140" s="5">
        <v>14673</v>
      </c>
      <c r="L140" s="4" t="s">
        <v>203</v>
      </c>
      <c r="M140" s="4">
        <v>2011</v>
      </c>
      <c r="N140" s="4" t="s">
        <v>26</v>
      </c>
      <c r="O140" s="5">
        <v>3286</v>
      </c>
    </row>
    <row r="141" spans="1:15" x14ac:dyDescent="0.25">
      <c r="A141" s="4" t="s">
        <v>198</v>
      </c>
      <c r="B141" s="4">
        <v>2009</v>
      </c>
      <c r="C141" s="4" t="s">
        <v>19</v>
      </c>
      <c r="D141" s="5">
        <v>14740</v>
      </c>
      <c r="E141">
        <f t="shared" si="1"/>
        <v>14740</v>
      </c>
      <c r="G141" s="4" t="s">
        <v>200</v>
      </c>
      <c r="H141" s="4">
        <v>2010</v>
      </c>
      <c r="I141" s="4" t="s">
        <v>28</v>
      </c>
      <c r="J141" s="5">
        <v>14577</v>
      </c>
      <c r="L141" s="4" t="s">
        <v>203</v>
      </c>
      <c r="M141" s="4">
        <v>2011</v>
      </c>
      <c r="N141" s="4" t="s">
        <v>27</v>
      </c>
      <c r="O141" s="5">
        <v>3172</v>
      </c>
    </row>
    <row r="142" spans="1:15" x14ac:dyDescent="0.25">
      <c r="A142" s="4" t="s">
        <v>198</v>
      </c>
      <c r="B142" s="4">
        <v>2009</v>
      </c>
      <c r="C142" s="4" t="s">
        <v>96</v>
      </c>
      <c r="D142" s="5">
        <v>14265</v>
      </c>
      <c r="E142" t="str">
        <f t="shared" ref="E142:E191" si="2">IF(C142="M13","",D142)</f>
        <v/>
      </c>
      <c r="G142" s="4" t="s">
        <v>200</v>
      </c>
      <c r="H142" s="4">
        <v>2010</v>
      </c>
      <c r="I142" s="4" t="s">
        <v>29</v>
      </c>
      <c r="J142" s="5">
        <v>14584</v>
      </c>
      <c r="L142" s="4" t="s">
        <v>203</v>
      </c>
      <c r="M142" s="4">
        <v>2011</v>
      </c>
      <c r="N142" s="4" t="s">
        <v>28</v>
      </c>
      <c r="O142" s="5">
        <v>3465</v>
      </c>
    </row>
    <row r="143" spans="1:15" x14ac:dyDescent="0.25">
      <c r="A143" s="4" t="s">
        <v>198</v>
      </c>
      <c r="B143" s="4">
        <v>2010</v>
      </c>
      <c r="C143" s="4" t="s">
        <v>20</v>
      </c>
      <c r="D143" s="5">
        <v>16147</v>
      </c>
      <c r="E143">
        <f t="shared" si="2"/>
        <v>16147</v>
      </c>
      <c r="G143" s="4" t="s">
        <v>200</v>
      </c>
      <c r="H143" s="4">
        <v>2010</v>
      </c>
      <c r="I143" s="4" t="s">
        <v>30</v>
      </c>
      <c r="J143" s="5">
        <v>15094</v>
      </c>
      <c r="L143" s="4" t="s">
        <v>203</v>
      </c>
      <c r="M143" s="4">
        <v>2011</v>
      </c>
      <c r="N143" s="4" t="s">
        <v>29</v>
      </c>
      <c r="O143" s="5">
        <v>3308</v>
      </c>
    </row>
    <row r="144" spans="1:15" x14ac:dyDescent="0.25">
      <c r="A144" s="4" t="s">
        <v>198</v>
      </c>
      <c r="B144" s="4">
        <v>2010</v>
      </c>
      <c r="C144" s="4" t="s">
        <v>21</v>
      </c>
      <c r="D144" s="5">
        <v>15991</v>
      </c>
      <c r="E144">
        <f t="shared" si="2"/>
        <v>15991</v>
      </c>
      <c r="G144" s="4" t="s">
        <v>200</v>
      </c>
      <c r="H144" s="4">
        <v>2010</v>
      </c>
      <c r="I144" s="4" t="s">
        <v>19</v>
      </c>
      <c r="J144" s="5">
        <v>14354</v>
      </c>
      <c r="L144" s="4" t="s">
        <v>203</v>
      </c>
      <c r="M144" s="4">
        <v>2011</v>
      </c>
      <c r="N144" s="4" t="s">
        <v>30</v>
      </c>
      <c r="O144" s="5">
        <v>3118</v>
      </c>
    </row>
    <row r="145" spans="1:15" x14ac:dyDescent="0.25">
      <c r="A145" s="4" t="s">
        <v>198</v>
      </c>
      <c r="B145" s="4">
        <v>2010</v>
      </c>
      <c r="C145" s="4" t="s">
        <v>22</v>
      </c>
      <c r="D145" s="5">
        <v>15678</v>
      </c>
      <c r="E145">
        <f t="shared" si="2"/>
        <v>15678</v>
      </c>
      <c r="G145" s="4" t="s">
        <v>200</v>
      </c>
      <c r="H145" s="4">
        <v>2011</v>
      </c>
      <c r="I145" s="4" t="s">
        <v>20</v>
      </c>
      <c r="J145" s="5">
        <v>13992</v>
      </c>
      <c r="L145" s="4" t="s">
        <v>203</v>
      </c>
      <c r="M145" s="4">
        <v>2011</v>
      </c>
      <c r="N145" s="4" t="s">
        <v>19</v>
      </c>
      <c r="O145" s="5">
        <v>3384</v>
      </c>
    </row>
    <row r="146" spans="1:15" x14ac:dyDescent="0.25">
      <c r="A146" s="4" t="s">
        <v>198</v>
      </c>
      <c r="B146" s="4">
        <v>2010</v>
      </c>
      <c r="C146" s="4" t="s">
        <v>23</v>
      </c>
      <c r="D146" s="5">
        <v>14609</v>
      </c>
      <c r="E146">
        <f t="shared" si="2"/>
        <v>14609</v>
      </c>
      <c r="G146" s="4" t="s">
        <v>200</v>
      </c>
      <c r="H146" s="4">
        <v>2011</v>
      </c>
      <c r="I146" s="4" t="s">
        <v>21</v>
      </c>
      <c r="J146" s="5">
        <v>13798</v>
      </c>
      <c r="L146" s="4" t="s">
        <v>203</v>
      </c>
      <c r="M146" s="4">
        <v>2012</v>
      </c>
      <c r="N146" s="4" t="s">
        <v>20</v>
      </c>
      <c r="O146" s="5">
        <v>3415</v>
      </c>
    </row>
    <row r="147" spans="1:15" x14ac:dyDescent="0.25">
      <c r="A147" s="4" t="s">
        <v>198</v>
      </c>
      <c r="B147" s="4">
        <v>2010</v>
      </c>
      <c r="C147" s="4" t="s">
        <v>24</v>
      </c>
      <c r="D147" s="5">
        <v>14369</v>
      </c>
      <c r="E147">
        <f t="shared" si="2"/>
        <v>14369</v>
      </c>
      <c r="G147" s="4" t="s">
        <v>200</v>
      </c>
      <c r="H147" s="4">
        <v>2011</v>
      </c>
      <c r="I147" s="4" t="s">
        <v>22</v>
      </c>
      <c r="J147" s="5">
        <v>13716</v>
      </c>
      <c r="L147" s="4" t="s">
        <v>203</v>
      </c>
      <c r="M147" s="4">
        <v>2012</v>
      </c>
      <c r="N147" s="4" t="s">
        <v>21</v>
      </c>
      <c r="O147" s="5">
        <v>3526</v>
      </c>
    </row>
    <row r="148" spans="1:15" x14ac:dyDescent="0.25">
      <c r="A148" s="4" t="s">
        <v>198</v>
      </c>
      <c r="B148" s="4">
        <v>2010</v>
      </c>
      <c r="C148" s="4" t="s">
        <v>25</v>
      </c>
      <c r="D148" s="5">
        <v>14885</v>
      </c>
      <c r="E148">
        <f t="shared" si="2"/>
        <v>14885</v>
      </c>
      <c r="G148" s="4" t="s">
        <v>200</v>
      </c>
      <c r="H148" s="4">
        <v>2011</v>
      </c>
      <c r="I148" s="4" t="s">
        <v>23</v>
      </c>
      <c r="J148" s="5">
        <v>13872</v>
      </c>
      <c r="L148" s="4" t="s">
        <v>203</v>
      </c>
      <c r="M148" s="4">
        <v>2012</v>
      </c>
      <c r="N148" s="4" t="s">
        <v>22</v>
      </c>
      <c r="O148" s="5">
        <v>3848</v>
      </c>
    </row>
    <row r="149" spans="1:15" x14ac:dyDescent="0.25">
      <c r="A149" s="4" t="s">
        <v>198</v>
      </c>
      <c r="B149" s="4">
        <v>2010</v>
      </c>
      <c r="C149" s="4" t="s">
        <v>26</v>
      </c>
      <c r="D149" s="5">
        <v>15137</v>
      </c>
      <c r="E149">
        <f t="shared" si="2"/>
        <v>15137</v>
      </c>
      <c r="G149" s="4" t="s">
        <v>200</v>
      </c>
      <c r="H149" s="4">
        <v>2011</v>
      </c>
      <c r="I149" s="4" t="s">
        <v>24</v>
      </c>
      <c r="J149" s="5">
        <v>13871</v>
      </c>
      <c r="L149" s="4" t="s">
        <v>203</v>
      </c>
      <c r="M149" s="4">
        <v>2012</v>
      </c>
      <c r="N149" s="4" t="s">
        <v>23</v>
      </c>
      <c r="O149" s="5">
        <v>3523</v>
      </c>
    </row>
    <row r="150" spans="1:15" x14ac:dyDescent="0.25">
      <c r="A150" s="4" t="s">
        <v>198</v>
      </c>
      <c r="B150" s="4">
        <v>2010</v>
      </c>
      <c r="C150" s="4" t="s">
        <v>27</v>
      </c>
      <c r="D150" s="5">
        <v>14759</v>
      </c>
      <c r="E150">
        <f t="shared" si="2"/>
        <v>14759</v>
      </c>
      <c r="G150" s="4" t="s">
        <v>200</v>
      </c>
      <c r="H150" s="4">
        <v>2011</v>
      </c>
      <c r="I150" s="4" t="s">
        <v>25</v>
      </c>
      <c r="J150" s="5">
        <v>13964</v>
      </c>
      <c r="L150" s="4" t="s">
        <v>203</v>
      </c>
      <c r="M150" s="4">
        <v>2012</v>
      </c>
      <c r="N150" s="4" t="s">
        <v>24</v>
      </c>
      <c r="O150" s="5">
        <v>3774</v>
      </c>
    </row>
    <row r="151" spans="1:15" x14ac:dyDescent="0.25">
      <c r="A151" s="4" t="s">
        <v>198</v>
      </c>
      <c r="B151" s="4">
        <v>2010</v>
      </c>
      <c r="C151" s="4" t="s">
        <v>28</v>
      </c>
      <c r="D151" s="5">
        <v>14140</v>
      </c>
      <c r="E151">
        <f t="shared" si="2"/>
        <v>14140</v>
      </c>
      <c r="G151" s="4" t="s">
        <v>200</v>
      </c>
      <c r="H151" s="4">
        <v>2011</v>
      </c>
      <c r="I151" s="4" t="s">
        <v>26</v>
      </c>
      <c r="J151" s="5">
        <v>13817</v>
      </c>
      <c r="L151" s="4" t="s">
        <v>203</v>
      </c>
      <c r="M151" s="4">
        <v>2012</v>
      </c>
      <c r="N151" s="4" t="s">
        <v>25</v>
      </c>
      <c r="O151" s="5">
        <v>3792</v>
      </c>
    </row>
    <row r="152" spans="1:15" x14ac:dyDescent="0.25">
      <c r="A152" s="4" t="s">
        <v>198</v>
      </c>
      <c r="B152" s="4">
        <v>2010</v>
      </c>
      <c r="C152" s="4" t="s">
        <v>29</v>
      </c>
      <c r="D152" s="5">
        <v>13903</v>
      </c>
      <c r="E152">
        <f t="shared" si="2"/>
        <v>13903</v>
      </c>
      <c r="G152" s="4" t="s">
        <v>200</v>
      </c>
      <c r="H152" s="4">
        <v>2011</v>
      </c>
      <c r="I152" s="4" t="s">
        <v>27</v>
      </c>
      <c r="J152" s="5">
        <v>13837</v>
      </c>
      <c r="L152" s="4" t="s">
        <v>203</v>
      </c>
      <c r="M152" s="4">
        <v>2012</v>
      </c>
      <c r="N152" s="4" t="s">
        <v>26</v>
      </c>
      <c r="O152" s="5">
        <v>3499</v>
      </c>
    </row>
    <row r="153" spans="1:15" x14ac:dyDescent="0.25">
      <c r="A153" s="4" t="s">
        <v>198</v>
      </c>
      <c r="B153" s="4">
        <v>2010</v>
      </c>
      <c r="C153" s="4" t="s">
        <v>30</v>
      </c>
      <c r="D153" s="5">
        <v>14282</v>
      </c>
      <c r="E153">
        <f t="shared" si="2"/>
        <v>14282</v>
      </c>
      <c r="G153" s="4" t="s">
        <v>200</v>
      </c>
      <c r="H153" s="4">
        <v>2011</v>
      </c>
      <c r="I153" s="4" t="s">
        <v>28</v>
      </c>
      <c r="J153" s="5">
        <v>13910</v>
      </c>
      <c r="L153" s="4" t="s">
        <v>203</v>
      </c>
      <c r="M153" s="4">
        <v>2012</v>
      </c>
      <c r="N153" s="4" t="s">
        <v>27</v>
      </c>
      <c r="O153" s="5">
        <v>3632</v>
      </c>
    </row>
    <row r="154" spans="1:15" x14ac:dyDescent="0.25">
      <c r="A154" s="4" t="s">
        <v>198</v>
      </c>
      <c r="B154" s="4">
        <v>2010</v>
      </c>
      <c r="C154" s="4" t="s">
        <v>19</v>
      </c>
      <c r="D154" s="5">
        <v>13997</v>
      </c>
      <c r="E154">
        <f t="shared" si="2"/>
        <v>13997</v>
      </c>
      <c r="G154" s="4" t="s">
        <v>200</v>
      </c>
      <c r="H154" s="4">
        <v>2011</v>
      </c>
      <c r="I154" s="4" t="s">
        <v>29</v>
      </c>
      <c r="J154" s="5">
        <v>13696</v>
      </c>
      <c r="L154" s="4" t="s">
        <v>203</v>
      </c>
      <c r="M154" s="4">
        <v>2012</v>
      </c>
      <c r="N154" s="4" t="s">
        <v>28</v>
      </c>
      <c r="O154" s="5">
        <v>3603</v>
      </c>
    </row>
    <row r="155" spans="1:15" x14ac:dyDescent="0.25">
      <c r="A155" s="4" t="s">
        <v>198</v>
      </c>
      <c r="B155" s="4">
        <v>2010</v>
      </c>
      <c r="C155" s="4" t="s">
        <v>96</v>
      </c>
      <c r="D155" s="5">
        <v>14825</v>
      </c>
      <c r="E155" t="str">
        <f t="shared" si="2"/>
        <v/>
      </c>
      <c r="G155" s="4" t="s">
        <v>200</v>
      </c>
      <c r="H155" s="4">
        <v>2011</v>
      </c>
      <c r="I155" s="4" t="s">
        <v>30</v>
      </c>
      <c r="J155" s="5">
        <v>13325</v>
      </c>
      <c r="L155" s="4" t="s">
        <v>203</v>
      </c>
      <c r="M155" s="4">
        <v>2012</v>
      </c>
      <c r="N155" s="4" t="s">
        <v>29</v>
      </c>
      <c r="O155" s="5">
        <v>3646</v>
      </c>
    </row>
    <row r="156" spans="1:15" x14ac:dyDescent="0.25">
      <c r="A156" s="4" t="s">
        <v>198</v>
      </c>
      <c r="B156" s="4">
        <v>2011</v>
      </c>
      <c r="C156" s="4" t="s">
        <v>20</v>
      </c>
      <c r="D156" s="5">
        <v>14937</v>
      </c>
      <c r="E156">
        <f t="shared" si="2"/>
        <v>14937</v>
      </c>
      <c r="G156" s="4" t="s">
        <v>200</v>
      </c>
      <c r="H156" s="4">
        <v>2011</v>
      </c>
      <c r="I156" s="4" t="s">
        <v>19</v>
      </c>
      <c r="J156" s="5">
        <v>13049</v>
      </c>
      <c r="L156" s="4" t="s">
        <v>203</v>
      </c>
      <c r="M156" s="4">
        <v>2012</v>
      </c>
      <c r="N156" s="4" t="s">
        <v>30</v>
      </c>
      <c r="O156" s="5">
        <v>3789</v>
      </c>
    </row>
    <row r="157" spans="1:15" x14ac:dyDescent="0.25">
      <c r="A157" s="4" t="s">
        <v>198</v>
      </c>
      <c r="B157" s="4">
        <v>2011</v>
      </c>
      <c r="C157" s="4" t="s">
        <v>21</v>
      </c>
      <c r="D157" s="5">
        <v>14542</v>
      </c>
      <c r="E157">
        <f t="shared" si="2"/>
        <v>14542</v>
      </c>
      <c r="G157" s="4" t="s">
        <v>200</v>
      </c>
      <c r="H157" s="4">
        <v>2012</v>
      </c>
      <c r="I157" s="4" t="s">
        <v>20</v>
      </c>
      <c r="J157" s="5">
        <v>12748</v>
      </c>
      <c r="L157" s="4" t="s">
        <v>203</v>
      </c>
      <c r="M157" s="4">
        <v>2012</v>
      </c>
      <c r="N157" s="4" t="s">
        <v>19</v>
      </c>
      <c r="O157" s="5">
        <v>3612</v>
      </c>
    </row>
    <row r="158" spans="1:15" x14ac:dyDescent="0.25">
      <c r="A158" s="4" t="s">
        <v>198</v>
      </c>
      <c r="B158" s="4">
        <v>2011</v>
      </c>
      <c r="C158" s="4" t="s">
        <v>22</v>
      </c>
      <c r="D158" s="5">
        <v>14060</v>
      </c>
      <c r="E158">
        <f t="shared" si="2"/>
        <v>14060</v>
      </c>
      <c r="G158" s="4" t="s">
        <v>200</v>
      </c>
      <c r="H158" s="4">
        <v>2012</v>
      </c>
      <c r="I158" s="4" t="s">
        <v>21</v>
      </c>
      <c r="J158" s="5">
        <v>12806</v>
      </c>
      <c r="L158" s="4" t="s">
        <v>203</v>
      </c>
      <c r="M158" s="4">
        <v>2013</v>
      </c>
      <c r="N158" s="4" t="s">
        <v>20</v>
      </c>
      <c r="O158" s="5">
        <v>3611</v>
      </c>
    </row>
    <row r="159" spans="1:15" x14ac:dyDescent="0.25">
      <c r="A159" s="4" t="s">
        <v>198</v>
      </c>
      <c r="B159" s="4">
        <v>2011</v>
      </c>
      <c r="C159" s="4" t="s">
        <v>23</v>
      </c>
      <c r="D159" s="5">
        <v>13237</v>
      </c>
      <c r="E159">
        <f t="shared" si="2"/>
        <v>13237</v>
      </c>
      <c r="G159" s="4" t="s">
        <v>200</v>
      </c>
      <c r="H159" s="4">
        <v>2012</v>
      </c>
      <c r="I159" s="4" t="s">
        <v>22</v>
      </c>
      <c r="J159" s="5">
        <v>12686</v>
      </c>
      <c r="L159" s="4" t="s">
        <v>203</v>
      </c>
      <c r="M159" s="4">
        <v>2013</v>
      </c>
      <c r="N159" s="4" t="s">
        <v>21</v>
      </c>
      <c r="O159" s="5">
        <v>3899</v>
      </c>
    </row>
    <row r="160" spans="1:15" x14ac:dyDescent="0.25">
      <c r="A160" s="4" t="s">
        <v>198</v>
      </c>
      <c r="B160" s="4">
        <v>2011</v>
      </c>
      <c r="C160" s="4" t="s">
        <v>24</v>
      </c>
      <c r="D160" s="5">
        <v>13421</v>
      </c>
      <c r="E160">
        <f t="shared" si="2"/>
        <v>13421</v>
      </c>
      <c r="G160" s="4" t="s">
        <v>200</v>
      </c>
      <c r="H160" s="4">
        <v>2012</v>
      </c>
      <c r="I160" s="4" t="s">
        <v>23</v>
      </c>
      <c r="J160" s="5">
        <v>12518</v>
      </c>
      <c r="L160" s="4" t="s">
        <v>203</v>
      </c>
      <c r="M160" s="4">
        <v>2013</v>
      </c>
      <c r="N160" s="4" t="s">
        <v>22</v>
      </c>
      <c r="O160" s="5">
        <v>3875</v>
      </c>
    </row>
    <row r="161" spans="1:15" x14ac:dyDescent="0.25">
      <c r="A161" s="4" t="s">
        <v>198</v>
      </c>
      <c r="B161" s="4">
        <v>2011</v>
      </c>
      <c r="C161" s="4" t="s">
        <v>25</v>
      </c>
      <c r="D161" s="5">
        <v>14409</v>
      </c>
      <c r="E161">
        <f t="shared" si="2"/>
        <v>14409</v>
      </c>
      <c r="G161" s="4" t="s">
        <v>200</v>
      </c>
      <c r="H161" s="4">
        <v>2012</v>
      </c>
      <c r="I161" s="4" t="s">
        <v>24</v>
      </c>
      <c r="J161" s="5">
        <v>12695</v>
      </c>
      <c r="L161" s="4" t="s">
        <v>203</v>
      </c>
      <c r="M161" s="4">
        <v>2013</v>
      </c>
      <c r="N161" s="4" t="s">
        <v>23</v>
      </c>
      <c r="O161" s="5">
        <v>3800</v>
      </c>
    </row>
    <row r="162" spans="1:15" x14ac:dyDescent="0.25">
      <c r="A162" s="4" t="s">
        <v>198</v>
      </c>
      <c r="B162" s="4">
        <v>2011</v>
      </c>
      <c r="C162" s="4" t="s">
        <v>26</v>
      </c>
      <c r="D162" s="5">
        <v>14428</v>
      </c>
      <c r="E162">
        <f t="shared" si="2"/>
        <v>14428</v>
      </c>
      <c r="G162" s="4" t="s">
        <v>200</v>
      </c>
      <c r="H162" s="4">
        <v>2012</v>
      </c>
      <c r="I162" s="4" t="s">
        <v>25</v>
      </c>
      <c r="J162" s="5">
        <v>12701</v>
      </c>
      <c r="L162" s="4" t="s">
        <v>203</v>
      </c>
      <c r="M162" s="4">
        <v>2013</v>
      </c>
      <c r="N162" s="4" t="s">
        <v>24</v>
      </c>
      <c r="O162" s="5">
        <v>3907</v>
      </c>
    </row>
    <row r="163" spans="1:15" x14ac:dyDescent="0.25">
      <c r="A163" s="4" t="s">
        <v>198</v>
      </c>
      <c r="B163" s="4">
        <v>2011</v>
      </c>
      <c r="C163" s="4" t="s">
        <v>27</v>
      </c>
      <c r="D163" s="5">
        <v>14008</v>
      </c>
      <c r="E163">
        <f t="shared" si="2"/>
        <v>14008</v>
      </c>
      <c r="G163" s="4" t="s">
        <v>200</v>
      </c>
      <c r="H163" s="4">
        <v>2012</v>
      </c>
      <c r="I163" s="4" t="s">
        <v>26</v>
      </c>
      <c r="J163" s="5">
        <v>12745</v>
      </c>
      <c r="L163" s="4" t="s">
        <v>203</v>
      </c>
      <c r="M163" s="4">
        <v>2013</v>
      </c>
      <c r="N163" s="4" t="s">
        <v>25</v>
      </c>
      <c r="O163" s="5">
        <v>3869</v>
      </c>
    </row>
    <row r="164" spans="1:15" x14ac:dyDescent="0.25">
      <c r="A164" s="4" t="s">
        <v>198</v>
      </c>
      <c r="B164" s="4">
        <v>2011</v>
      </c>
      <c r="C164" s="4" t="s">
        <v>28</v>
      </c>
      <c r="D164" s="5">
        <v>13520</v>
      </c>
      <c r="E164">
        <f t="shared" si="2"/>
        <v>13520</v>
      </c>
      <c r="G164" s="4" t="s">
        <v>200</v>
      </c>
      <c r="H164" s="4">
        <v>2012</v>
      </c>
      <c r="I164" s="4" t="s">
        <v>27</v>
      </c>
      <c r="J164" s="5">
        <v>12483</v>
      </c>
      <c r="L164" s="4" t="s">
        <v>203</v>
      </c>
      <c r="M164" s="4">
        <v>2013</v>
      </c>
      <c r="N164" s="4" t="s">
        <v>26</v>
      </c>
      <c r="O164" s="5">
        <v>3808</v>
      </c>
    </row>
    <row r="165" spans="1:15" x14ac:dyDescent="0.25">
      <c r="A165" s="4" t="s">
        <v>198</v>
      </c>
      <c r="B165" s="4">
        <v>2011</v>
      </c>
      <c r="C165" s="4" t="s">
        <v>29</v>
      </c>
      <c r="D165" s="5">
        <v>13102</v>
      </c>
      <c r="E165">
        <f t="shared" si="2"/>
        <v>13102</v>
      </c>
      <c r="G165" s="4" t="s">
        <v>200</v>
      </c>
      <c r="H165" s="4">
        <v>2012</v>
      </c>
      <c r="I165" s="4" t="s">
        <v>28</v>
      </c>
      <c r="J165" s="5">
        <v>12082</v>
      </c>
      <c r="L165" s="4" t="s">
        <v>203</v>
      </c>
      <c r="M165" s="4">
        <v>2013</v>
      </c>
      <c r="N165" s="4" t="s">
        <v>27</v>
      </c>
      <c r="O165" s="5">
        <v>3883</v>
      </c>
    </row>
    <row r="166" spans="1:15" x14ac:dyDescent="0.25">
      <c r="A166" s="4" t="s">
        <v>198</v>
      </c>
      <c r="B166" s="4">
        <v>2011</v>
      </c>
      <c r="C166" s="4" t="s">
        <v>30</v>
      </c>
      <c r="D166" s="5">
        <v>12613</v>
      </c>
      <c r="E166">
        <f t="shared" si="2"/>
        <v>12613</v>
      </c>
      <c r="G166" s="4" t="s">
        <v>200</v>
      </c>
      <c r="H166" s="4">
        <v>2012</v>
      </c>
      <c r="I166" s="4" t="s">
        <v>29</v>
      </c>
      <c r="J166" s="5">
        <v>12248</v>
      </c>
    </row>
    <row r="167" spans="1:15" x14ac:dyDescent="0.25">
      <c r="A167" s="4" t="s">
        <v>198</v>
      </c>
      <c r="B167" s="4">
        <v>2011</v>
      </c>
      <c r="C167" s="4" t="s">
        <v>19</v>
      </c>
      <c r="D167" s="5">
        <v>12692</v>
      </c>
      <c r="E167">
        <f t="shared" si="2"/>
        <v>12692</v>
      </c>
      <c r="G167" s="4" t="s">
        <v>200</v>
      </c>
      <c r="H167" s="4">
        <v>2012</v>
      </c>
      <c r="I167" s="4" t="s">
        <v>30</v>
      </c>
      <c r="J167" s="5">
        <v>12042</v>
      </c>
    </row>
    <row r="168" spans="1:15" x14ac:dyDescent="0.25">
      <c r="A168" s="4" t="s">
        <v>198</v>
      </c>
      <c r="B168" s="4">
        <v>2011</v>
      </c>
      <c r="C168" s="4" t="s">
        <v>96</v>
      </c>
      <c r="D168" s="5">
        <v>13747</v>
      </c>
      <c r="E168" t="str">
        <f t="shared" si="2"/>
        <v/>
      </c>
      <c r="G168" s="4" t="s">
        <v>200</v>
      </c>
      <c r="H168" s="4">
        <v>2012</v>
      </c>
      <c r="I168" s="4" t="s">
        <v>19</v>
      </c>
      <c r="J168" s="5">
        <v>12206</v>
      </c>
    </row>
    <row r="169" spans="1:15" x14ac:dyDescent="0.25">
      <c r="A169" s="4" t="s">
        <v>198</v>
      </c>
      <c r="B169" s="4">
        <v>2012</v>
      </c>
      <c r="C169" s="4" t="s">
        <v>20</v>
      </c>
      <c r="D169" s="5">
        <v>13541</v>
      </c>
      <c r="E169">
        <f t="shared" si="2"/>
        <v>13541</v>
      </c>
      <c r="G169" s="4" t="s">
        <v>200</v>
      </c>
      <c r="H169" s="4">
        <v>2013</v>
      </c>
      <c r="I169" s="4" t="s">
        <v>20</v>
      </c>
      <c r="J169" s="5">
        <v>12332</v>
      </c>
    </row>
    <row r="170" spans="1:15" x14ac:dyDescent="0.25">
      <c r="A170" s="4" t="s">
        <v>198</v>
      </c>
      <c r="B170" s="4">
        <v>2012</v>
      </c>
      <c r="C170" s="4" t="s">
        <v>21</v>
      </c>
      <c r="D170" s="5">
        <v>13430</v>
      </c>
      <c r="E170">
        <f t="shared" si="2"/>
        <v>13430</v>
      </c>
      <c r="G170" s="4" t="s">
        <v>200</v>
      </c>
      <c r="H170" s="4">
        <v>2013</v>
      </c>
      <c r="I170" s="4" t="s">
        <v>21</v>
      </c>
      <c r="J170" s="5">
        <v>12032</v>
      </c>
    </row>
    <row r="171" spans="1:15" x14ac:dyDescent="0.25">
      <c r="A171" s="4" t="s">
        <v>198</v>
      </c>
      <c r="B171" s="4">
        <v>2012</v>
      </c>
      <c r="C171" s="4" t="s">
        <v>22</v>
      </c>
      <c r="D171" s="5">
        <v>12904</v>
      </c>
      <c r="E171">
        <f t="shared" si="2"/>
        <v>12904</v>
      </c>
      <c r="G171" s="4" t="s">
        <v>200</v>
      </c>
      <c r="H171" s="4">
        <v>2013</v>
      </c>
      <c r="I171" s="4" t="s">
        <v>22</v>
      </c>
      <c r="J171" s="5">
        <v>11742</v>
      </c>
    </row>
    <row r="172" spans="1:15" x14ac:dyDescent="0.25">
      <c r="A172" s="4" t="s">
        <v>198</v>
      </c>
      <c r="B172" s="4">
        <v>2012</v>
      </c>
      <c r="C172" s="4" t="s">
        <v>23</v>
      </c>
      <c r="D172" s="5">
        <v>11910</v>
      </c>
      <c r="E172">
        <f t="shared" si="2"/>
        <v>11910</v>
      </c>
      <c r="G172" s="4" t="s">
        <v>200</v>
      </c>
      <c r="H172" s="4">
        <v>2013</v>
      </c>
      <c r="I172" s="4" t="s">
        <v>23</v>
      </c>
      <c r="J172" s="5">
        <v>11659</v>
      </c>
    </row>
    <row r="173" spans="1:15" x14ac:dyDescent="0.25">
      <c r="A173" s="4" t="s">
        <v>198</v>
      </c>
      <c r="B173" s="4">
        <v>2012</v>
      </c>
      <c r="C173" s="4" t="s">
        <v>24</v>
      </c>
      <c r="D173" s="5">
        <v>12271</v>
      </c>
      <c r="E173">
        <f t="shared" si="2"/>
        <v>12271</v>
      </c>
      <c r="G173" s="4" t="s">
        <v>200</v>
      </c>
      <c r="H173" s="4">
        <v>2013</v>
      </c>
      <c r="I173" s="4" t="s">
        <v>24</v>
      </c>
      <c r="J173" s="5">
        <v>11760</v>
      </c>
    </row>
    <row r="174" spans="1:15" x14ac:dyDescent="0.25">
      <c r="A174" s="4" t="s">
        <v>198</v>
      </c>
      <c r="B174" s="4">
        <v>2012</v>
      </c>
      <c r="C174" s="4" t="s">
        <v>25</v>
      </c>
      <c r="D174" s="5">
        <v>13184</v>
      </c>
      <c r="E174">
        <f t="shared" si="2"/>
        <v>13184</v>
      </c>
      <c r="G174" s="4" t="s">
        <v>200</v>
      </c>
      <c r="H174" s="4">
        <v>2013</v>
      </c>
      <c r="I174" s="4" t="s">
        <v>25</v>
      </c>
      <c r="J174" s="5">
        <v>11777</v>
      </c>
    </row>
    <row r="175" spans="1:15" x14ac:dyDescent="0.25">
      <c r="A175" s="4" t="s">
        <v>198</v>
      </c>
      <c r="B175" s="4">
        <v>2012</v>
      </c>
      <c r="C175" s="4" t="s">
        <v>26</v>
      </c>
      <c r="D175" s="5">
        <v>13400</v>
      </c>
      <c r="E175">
        <f t="shared" si="2"/>
        <v>13400</v>
      </c>
      <c r="G175" s="4" t="s">
        <v>200</v>
      </c>
      <c r="H175" s="4">
        <v>2013</v>
      </c>
      <c r="I175" s="4" t="s">
        <v>26</v>
      </c>
      <c r="J175" s="5">
        <v>11514</v>
      </c>
    </row>
    <row r="176" spans="1:15" x14ac:dyDescent="0.25">
      <c r="A176" s="4" t="s">
        <v>198</v>
      </c>
      <c r="B176" s="4">
        <v>2012</v>
      </c>
      <c r="C176" s="4" t="s">
        <v>27</v>
      </c>
      <c r="D176" s="5">
        <v>12696</v>
      </c>
      <c r="E176">
        <f t="shared" si="2"/>
        <v>12696</v>
      </c>
      <c r="G176" s="4" t="s">
        <v>200</v>
      </c>
      <c r="H176" s="4">
        <v>2013</v>
      </c>
      <c r="I176" s="4" t="s">
        <v>27</v>
      </c>
      <c r="J176" s="5">
        <v>11316</v>
      </c>
    </row>
    <row r="177" spans="1:10" x14ac:dyDescent="0.25">
      <c r="A177" s="4" t="s">
        <v>198</v>
      </c>
      <c r="B177" s="4">
        <v>2012</v>
      </c>
      <c r="C177" s="4" t="s">
        <v>28</v>
      </c>
      <c r="D177" s="5">
        <v>11742</v>
      </c>
      <c r="E177">
        <f t="shared" si="2"/>
        <v>11742</v>
      </c>
      <c r="G177" s="4" t="s">
        <v>200</v>
      </c>
      <c r="H177" s="4">
        <v>2013</v>
      </c>
      <c r="I177" s="4" t="s">
        <v>28</v>
      </c>
      <c r="J177" s="5">
        <v>11255</v>
      </c>
    </row>
    <row r="178" spans="1:10" x14ac:dyDescent="0.25">
      <c r="A178" s="4" t="s">
        <v>198</v>
      </c>
      <c r="B178" s="4">
        <v>2012</v>
      </c>
      <c r="C178" s="4" t="s">
        <v>29</v>
      </c>
      <c r="D178" s="5">
        <v>11741</v>
      </c>
      <c r="E178">
        <f t="shared" si="2"/>
        <v>11741</v>
      </c>
      <c r="G178" s="4" t="s">
        <v>200</v>
      </c>
      <c r="H178" s="4">
        <v>2013</v>
      </c>
      <c r="I178" s="4" t="s">
        <v>29</v>
      </c>
      <c r="J178" s="5">
        <v>11272</v>
      </c>
    </row>
    <row r="179" spans="1:10" x14ac:dyDescent="0.25">
      <c r="A179" s="4" t="s">
        <v>198</v>
      </c>
      <c r="B179" s="4">
        <v>2012</v>
      </c>
      <c r="C179" s="4" t="s">
        <v>30</v>
      </c>
      <c r="D179" s="5">
        <v>11404</v>
      </c>
      <c r="E179">
        <f t="shared" si="2"/>
        <v>11404</v>
      </c>
    </row>
    <row r="180" spans="1:10" x14ac:dyDescent="0.25">
      <c r="A180" s="4" t="s">
        <v>198</v>
      </c>
      <c r="B180" s="4">
        <v>2012</v>
      </c>
      <c r="C180" s="4" t="s">
        <v>19</v>
      </c>
      <c r="D180" s="5">
        <v>11844</v>
      </c>
      <c r="E180">
        <f t="shared" si="2"/>
        <v>11844</v>
      </c>
    </row>
    <row r="181" spans="1:10" x14ac:dyDescent="0.25">
      <c r="A181" s="4" t="s">
        <v>198</v>
      </c>
      <c r="B181" s="4">
        <v>2012</v>
      </c>
      <c r="C181" s="4" t="s">
        <v>96</v>
      </c>
      <c r="D181" s="5">
        <v>12506</v>
      </c>
      <c r="E181" t="str">
        <f t="shared" si="2"/>
        <v/>
      </c>
    </row>
    <row r="182" spans="1:10" x14ac:dyDescent="0.25">
      <c r="A182" s="4" t="s">
        <v>198</v>
      </c>
      <c r="B182" s="4">
        <v>2013</v>
      </c>
      <c r="C182" s="4" t="s">
        <v>20</v>
      </c>
      <c r="D182" s="5">
        <v>13181</v>
      </c>
      <c r="E182">
        <f t="shared" si="2"/>
        <v>13181</v>
      </c>
    </row>
    <row r="183" spans="1:10" x14ac:dyDescent="0.25">
      <c r="A183" s="4" t="s">
        <v>198</v>
      </c>
      <c r="B183" s="4">
        <v>2013</v>
      </c>
      <c r="C183" s="4" t="s">
        <v>21</v>
      </c>
      <c r="D183" s="5">
        <v>12500</v>
      </c>
      <c r="E183">
        <f t="shared" si="2"/>
        <v>12500</v>
      </c>
    </row>
    <row r="184" spans="1:10" x14ac:dyDescent="0.25">
      <c r="A184" s="4" t="s">
        <v>198</v>
      </c>
      <c r="B184" s="4">
        <v>2013</v>
      </c>
      <c r="C184" s="4" t="s">
        <v>22</v>
      </c>
      <c r="D184" s="5">
        <v>11815</v>
      </c>
      <c r="E184">
        <f t="shared" si="2"/>
        <v>11815</v>
      </c>
    </row>
    <row r="185" spans="1:10" x14ac:dyDescent="0.25">
      <c r="A185" s="4" t="s">
        <v>198</v>
      </c>
      <c r="B185" s="4">
        <v>2013</v>
      </c>
      <c r="C185" s="4" t="s">
        <v>23</v>
      </c>
      <c r="D185" s="5">
        <v>11014</v>
      </c>
      <c r="E185">
        <f t="shared" si="2"/>
        <v>11014</v>
      </c>
    </row>
    <row r="186" spans="1:10" x14ac:dyDescent="0.25">
      <c r="A186" s="4" t="s">
        <v>198</v>
      </c>
      <c r="B186" s="4">
        <v>2013</v>
      </c>
      <c r="C186" s="4" t="s">
        <v>24</v>
      </c>
      <c r="D186" s="5">
        <v>11302</v>
      </c>
      <c r="E186">
        <f t="shared" si="2"/>
        <v>11302</v>
      </c>
    </row>
    <row r="187" spans="1:10" x14ac:dyDescent="0.25">
      <c r="A187" s="4" t="s">
        <v>198</v>
      </c>
      <c r="B187" s="4">
        <v>2013</v>
      </c>
      <c r="C187" s="4" t="s">
        <v>25</v>
      </c>
      <c r="D187" s="5">
        <v>12248</v>
      </c>
      <c r="E187">
        <f t="shared" si="2"/>
        <v>12248</v>
      </c>
    </row>
    <row r="188" spans="1:10" x14ac:dyDescent="0.25">
      <c r="A188" s="4" t="s">
        <v>198</v>
      </c>
      <c r="B188" s="4">
        <v>2013</v>
      </c>
      <c r="C188" s="4" t="s">
        <v>26</v>
      </c>
      <c r="D188" s="5">
        <v>12083</v>
      </c>
      <c r="E188">
        <f t="shared" si="2"/>
        <v>12083</v>
      </c>
    </row>
    <row r="189" spans="1:10" x14ac:dyDescent="0.25">
      <c r="A189" s="4" t="s">
        <v>198</v>
      </c>
      <c r="B189" s="4">
        <v>2013</v>
      </c>
      <c r="C189" s="4" t="s">
        <v>27</v>
      </c>
      <c r="D189" s="5">
        <v>11462</v>
      </c>
      <c r="E189">
        <f t="shared" si="2"/>
        <v>11462</v>
      </c>
    </row>
    <row r="190" spans="1:10" x14ac:dyDescent="0.25">
      <c r="A190" s="4" t="s">
        <v>198</v>
      </c>
      <c r="B190" s="4">
        <v>2013</v>
      </c>
      <c r="C190" s="4" t="s">
        <v>28</v>
      </c>
      <c r="D190" s="5">
        <v>10885</v>
      </c>
      <c r="E190">
        <f t="shared" si="2"/>
        <v>10885</v>
      </c>
    </row>
    <row r="191" spans="1:10" x14ac:dyDescent="0.25">
      <c r="A191" s="4" t="s">
        <v>198</v>
      </c>
      <c r="B191" s="4">
        <v>2013</v>
      </c>
      <c r="C191" s="4" t="s">
        <v>29</v>
      </c>
      <c r="D191" s="5">
        <v>10773</v>
      </c>
      <c r="E191">
        <f t="shared" si="2"/>
        <v>10773</v>
      </c>
    </row>
  </sheetData>
  <mergeCells count="30">
    <mergeCell ref="L1:Q1"/>
    <mergeCell ref="L2:Q2"/>
    <mergeCell ref="L3:Q3"/>
    <mergeCell ref="M4:Q4"/>
    <mergeCell ref="L5:Q5"/>
    <mergeCell ref="M6:Q6"/>
    <mergeCell ref="B7:E7"/>
    <mergeCell ref="B8:E8"/>
    <mergeCell ref="B9:E9"/>
    <mergeCell ref="B10:E10"/>
    <mergeCell ref="H6:K6"/>
    <mergeCell ref="B6:E6"/>
    <mergeCell ref="M7:Q7"/>
    <mergeCell ref="M8:Q8"/>
    <mergeCell ref="M9:Q9"/>
    <mergeCell ref="M10:Q10"/>
    <mergeCell ref="H7:K7"/>
    <mergeCell ref="H8:K8"/>
    <mergeCell ref="H9:K9"/>
    <mergeCell ref="H10:K10"/>
    <mergeCell ref="G1:K1"/>
    <mergeCell ref="G2:K2"/>
    <mergeCell ref="G3:K3"/>
    <mergeCell ref="H4:K4"/>
    <mergeCell ref="G5:K5"/>
    <mergeCell ref="A1:E1"/>
    <mergeCell ref="A2:E2"/>
    <mergeCell ref="A3:E3"/>
    <mergeCell ref="B4:E4"/>
    <mergeCell ref="A5:E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X165"/>
  <sheetViews>
    <sheetView workbookViewId="0">
      <selection sqref="A1:F1"/>
    </sheetView>
  </sheetViews>
  <sheetFormatPr defaultRowHeight="15" x14ac:dyDescent="0.25"/>
  <cols>
    <col min="1" max="1" width="20" customWidth="1"/>
    <col min="2" max="4" width="10" customWidth="1"/>
    <col min="7" max="7" width="20" customWidth="1"/>
    <col min="8" max="10" width="10" customWidth="1"/>
    <col min="13" max="13" width="20" customWidth="1"/>
    <col min="14" max="16" width="10" customWidth="1"/>
    <col min="19" max="19" width="20" customWidth="1"/>
    <col min="20" max="22" width="10" customWidth="1"/>
    <col min="25" max="25" width="20" customWidth="1"/>
    <col min="26" max="28" width="10" customWidth="1"/>
    <col min="31" max="31" width="20" customWidth="1"/>
    <col min="32" max="34" width="10" customWidth="1"/>
    <col min="37" max="37" width="20" customWidth="1"/>
    <col min="38" max="40" width="10" customWidth="1"/>
    <col min="43" max="43" width="20" customWidth="1"/>
    <col min="44" max="46" width="10" customWidth="1"/>
    <col min="49" max="49" width="20" customWidth="1"/>
    <col min="50" max="52" width="10" customWidth="1"/>
    <col min="55" max="55" width="20" customWidth="1"/>
    <col min="56" max="58" width="10" customWidth="1"/>
    <col min="61" max="61" width="20" customWidth="1"/>
    <col min="62" max="64" width="10" customWidth="1"/>
    <col min="67" max="67" width="20" customWidth="1"/>
    <col min="68" max="70" width="10" customWidth="1"/>
    <col min="73" max="73" width="20" customWidth="1"/>
    <col min="74" max="76" width="10" customWidth="1"/>
    <col min="79" max="79" width="20" customWidth="1"/>
    <col min="80" max="82" width="10" customWidth="1"/>
    <col min="85" max="85" width="20" customWidth="1"/>
    <col min="86" max="88" width="10" customWidth="1"/>
    <col min="97" max="97" width="20" customWidth="1"/>
    <col min="98" max="100" width="10" customWidth="1"/>
  </cols>
  <sheetData>
    <row r="1" spans="1:102" ht="15.6" x14ac:dyDescent="0.3">
      <c r="A1" s="27" t="s">
        <v>0</v>
      </c>
      <c r="B1" s="28"/>
      <c r="C1" s="28"/>
      <c r="D1" s="28"/>
      <c r="E1" s="28"/>
      <c r="F1" s="28"/>
      <c r="G1" s="27" t="s">
        <v>0</v>
      </c>
      <c r="H1" s="28"/>
      <c r="I1" s="28"/>
      <c r="J1" s="28"/>
      <c r="K1" s="28"/>
      <c r="L1" s="28"/>
      <c r="M1" s="27" t="s">
        <v>0</v>
      </c>
      <c r="N1" s="28"/>
      <c r="O1" s="28"/>
      <c r="P1" s="28"/>
      <c r="Q1" s="28"/>
      <c r="R1" s="28"/>
      <c r="S1" s="27" t="s">
        <v>0</v>
      </c>
      <c r="T1" s="28"/>
      <c r="U1" s="28"/>
      <c r="V1" s="28"/>
      <c r="W1" s="28"/>
      <c r="X1" s="28"/>
      <c r="Y1" s="27" t="s">
        <v>0</v>
      </c>
      <c r="Z1" s="28"/>
      <c r="AA1" s="28"/>
      <c r="AB1" s="28"/>
      <c r="AC1" s="28"/>
      <c r="AD1" s="28"/>
      <c r="AE1" s="27" t="s">
        <v>0</v>
      </c>
      <c r="AF1" s="28"/>
      <c r="AG1" s="28"/>
      <c r="AH1" s="28"/>
      <c r="AI1" s="28"/>
      <c r="AJ1" s="28"/>
      <c r="AK1" s="27" t="s">
        <v>0</v>
      </c>
      <c r="AL1" s="28"/>
      <c r="AM1" s="28"/>
      <c r="AN1" s="28"/>
      <c r="AO1" s="28"/>
      <c r="AP1" s="28"/>
      <c r="AQ1" s="27" t="s">
        <v>0</v>
      </c>
      <c r="AR1" s="28"/>
      <c r="AS1" s="28"/>
      <c r="AT1" s="28"/>
      <c r="AU1" s="28"/>
      <c r="AV1" s="28"/>
      <c r="AW1" s="27" t="s">
        <v>0</v>
      </c>
      <c r="AX1" s="28"/>
      <c r="AY1" s="28"/>
      <c r="AZ1" s="28"/>
      <c r="BA1" s="28"/>
      <c r="BB1" s="28"/>
      <c r="BC1" s="27" t="s">
        <v>0</v>
      </c>
      <c r="BD1" s="28"/>
      <c r="BE1" s="28"/>
      <c r="BF1" s="28"/>
      <c r="BG1" s="28"/>
      <c r="BH1" s="28"/>
      <c r="BI1" s="27" t="s">
        <v>0</v>
      </c>
      <c r="BJ1" s="28"/>
      <c r="BK1" s="28"/>
      <c r="BL1" s="28"/>
      <c r="BM1" s="28"/>
      <c r="BN1" s="28"/>
      <c r="BO1" s="27" t="s">
        <v>0</v>
      </c>
      <c r="BP1" s="28"/>
      <c r="BQ1" s="28"/>
      <c r="BR1" s="28"/>
      <c r="BS1" s="28"/>
      <c r="BT1" s="28"/>
      <c r="BU1" s="27" t="s">
        <v>0</v>
      </c>
      <c r="BV1" s="28"/>
      <c r="BW1" s="28"/>
      <c r="BX1" s="28"/>
      <c r="BY1" s="28"/>
      <c r="BZ1" s="28"/>
      <c r="CA1" s="27" t="s">
        <v>0</v>
      </c>
      <c r="CB1" s="28"/>
      <c r="CC1" s="28"/>
      <c r="CD1" s="28"/>
      <c r="CE1" s="28"/>
      <c r="CF1" s="28"/>
      <c r="CG1" s="27" t="s">
        <v>0</v>
      </c>
      <c r="CH1" s="28"/>
      <c r="CI1" s="28"/>
      <c r="CJ1" s="28"/>
      <c r="CK1" s="28"/>
      <c r="CL1" s="28"/>
      <c r="CM1" s="27" t="s">
        <v>0</v>
      </c>
      <c r="CN1" s="28"/>
      <c r="CO1" s="28"/>
      <c r="CP1" s="28"/>
      <c r="CQ1" s="28"/>
      <c r="CR1" s="28"/>
      <c r="CS1" s="27" t="s">
        <v>0</v>
      </c>
      <c r="CT1" s="28"/>
      <c r="CU1" s="28"/>
      <c r="CV1" s="28"/>
      <c r="CW1" s="28"/>
      <c r="CX1" s="28"/>
    </row>
    <row r="2" spans="1:102" ht="15.6" x14ac:dyDescent="0.3">
      <c r="A2" s="27" t="s">
        <v>1</v>
      </c>
      <c r="B2" s="28"/>
      <c r="C2" s="28"/>
      <c r="D2" s="28"/>
      <c r="E2" s="28"/>
      <c r="F2" s="28"/>
      <c r="G2" s="27" t="s">
        <v>1</v>
      </c>
      <c r="H2" s="28"/>
      <c r="I2" s="28"/>
      <c r="J2" s="28"/>
      <c r="K2" s="28"/>
      <c r="L2" s="28"/>
      <c r="M2" s="27" t="s">
        <v>1</v>
      </c>
      <c r="N2" s="28"/>
      <c r="O2" s="28"/>
      <c r="P2" s="28"/>
      <c r="Q2" s="28"/>
      <c r="R2" s="28"/>
      <c r="S2" s="27" t="s">
        <v>1</v>
      </c>
      <c r="T2" s="28"/>
      <c r="U2" s="28"/>
      <c r="V2" s="28"/>
      <c r="W2" s="28"/>
      <c r="X2" s="28"/>
      <c r="Y2" s="27" t="s">
        <v>1</v>
      </c>
      <c r="Z2" s="28"/>
      <c r="AA2" s="28"/>
      <c r="AB2" s="28"/>
      <c r="AC2" s="28"/>
      <c r="AD2" s="28"/>
      <c r="AE2" s="27" t="s">
        <v>1</v>
      </c>
      <c r="AF2" s="28"/>
      <c r="AG2" s="28"/>
      <c r="AH2" s="28"/>
      <c r="AI2" s="28"/>
      <c r="AJ2" s="28"/>
      <c r="AK2" s="27" t="s">
        <v>1</v>
      </c>
      <c r="AL2" s="28"/>
      <c r="AM2" s="28"/>
      <c r="AN2" s="28"/>
      <c r="AO2" s="28"/>
      <c r="AP2" s="28"/>
      <c r="AQ2" s="27" t="s">
        <v>1</v>
      </c>
      <c r="AR2" s="28"/>
      <c r="AS2" s="28"/>
      <c r="AT2" s="28"/>
      <c r="AU2" s="28"/>
      <c r="AV2" s="28"/>
      <c r="AW2" s="27" t="s">
        <v>1</v>
      </c>
      <c r="AX2" s="28"/>
      <c r="AY2" s="28"/>
      <c r="AZ2" s="28"/>
      <c r="BA2" s="28"/>
      <c r="BB2" s="28"/>
      <c r="BC2" s="27" t="s">
        <v>1</v>
      </c>
      <c r="BD2" s="28"/>
      <c r="BE2" s="28"/>
      <c r="BF2" s="28"/>
      <c r="BG2" s="28"/>
      <c r="BH2" s="28"/>
      <c r="BI2" s="27" t="s">
        <v>1</v>
      </c>
      <c r="BJ2" s="28"/>
      <c r="BK2" s="28"/>
      <c r="BL2" s="28"/>
      <c r="BM2" s="28"/>
      <c r="BN2" s="28"/>
      <c r="BO2" s="27" t="s">
        <v>1</v>
      </c>
      <c r="BP2" s="28"/>
      <c r="BQ2" s="28"/>
      <c r="BR2" s="28"/>
      <c r="BS2" s="28"/>
      <c r="BT2" s="28"/>
      <c r="BU2" s="27" t="s">
        <v>1</v>
      </c>
      <c r="BV2" s="28"/>
      <c r="BW2" s="28"/>
      <c r="BX2" s="28"/>
      <c r="BY2" s="28"/>
      <c r="BZ2" s="28"/>
      <c r="CA2" s="27" t="s">
        <v>1</v>
      </c>
      <c r="CB2" s="28"/>
      <c r="CC2" s="28"/>
      <c r="CD2" s="28"/>
      <c r="CE2" s="28"/>
      <c r="CF2" s="28"/>
      <c r="CG2" s="27" t="s">
        <v>1</v>
      </c>
      <c r="CH2" s="28"/>
      <c r="CI2" s="28"/>
      <c r="CJ2" s="28"/>
      <c r="CK2" s="28"/>
      <c r="CL2" s="28"/>
      <c r="CM2" s="27" t="s">
        <v>1</v>
      </c>
      <c r="CN2" s="28"/>
      <c r="CO2" s="28"/>
      <c r="CP2" s="28"/>
      <c r="CQ2" s="28"/>
      <c r="CR2" s="28"/>
      <c r="CS2" s="27" t="s">
        <v>1</v>
      </c>
      <c r="CT2" s="28"/>
      <c r="CU2" s="28"/>
      <c r="CV2" s="28"/>
      <c r="CW2" s="28"/>
      <c r="CX2" s="28"/>
    </row>
    <row r="3" spans="1:102" ht="14.45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</row>
    <row r="4" spans="1:102" ht="14.45" customHeight="1" x14ac:dyDescent="0.3">
      <c r="A4" s="2" t="s">
        <v>2</v>
      </c>
      <c r="B4" s="29" t="s">
        <v>185</v>
      </c>
      <c r="C4" s="28"/>
      <c r="D4" s="28"/>
      <c r="E4" s="28"/>
      <c r="F4" s="28"/>
      <c r="G4" s="2" t="s">
        <v>2</v>
      </c>
      <c r="H4" s="29" t="s">
        <v>3</v>
      </c>
      <c r="I4" s="28"/>
      <c r="J4" s="28"/>
      <c r="K4" s="28"/>
      <c r="L4" s="28"/>
      <c r="M4" s="2" t="s">
        <v>2</v>
      </c>
      <c r="N4" s="29" t="s">
        <v>31</v>
      </c>
      <c r="O4" s="28"/>
      <c r="P4" s="28"/>
      <c r="Q4" s="28"/>
      <c r="R4" s="28"/>
      <c r="S4" s="2" t="s">
        <v>2</v>
      </c>
      <c r="T4" s="29" t="s">
        <v>33</v>
      </c>
      <c r="U4" s="28"/>
      <c r="V4" s="28"/>
      <c r="W4" s="28"/>
      <c r="X4" s="28"/>
      <c r="Y4" s="2" t="s">
        <v>2</v>
      </c>
      <c r="Z4" s="29" t="s">
        <v>35</v>
      </c>
      <c r="AA4" s="28"/>
      <c r="AB4" s="28"/>
      <c r="AC4" s="28"/>
      <c r="AD4" s="28"/>
      <c r="AE4" s="2" t="s">
        <v>2</v>
      </c>
      <c r="AF4" s="29" t="s">
        <v>47</v>
      </c>
      <c r="AG4" s="28"/>
      <c r="AH4" s="28"/>
      <c r="AI4" s="28"/>
      <c r="AJ4" s="28"/>
      <c r="AK4" s="2" t="s">
        <v>2</v>
      </c>
      <c r="AL4" s="29" t="s">
        <v>49</v>
      </c>
      <c r="AM4" s="28"/>
      <c r="AN4" s="28"/>
      <c r="AO4" s="28"/>
      <c r="AP4" s="28"/>
      <c r="AQ4" s="2" t="s">
        <v>2</v>
      </c>
      <c r="AR4" s="29" t="s">
        <v>51</v>
      </c>
      <c r="AS4" s="28"/>
      <c r="AT4" s="28"/>
      <c r="AU4" s="28"/>
      <c r="AV4" s="28"/>
      <c r="AW4" s="2" t="s">
        <v>2</v>
      </c>
      <c r="AX4" s="29" t="s">
        <v>53</v>
      </c>
      <c r="AY4" s="28"/>
      <c r="AZ4" s="28"/>
      <c r="BA4" s="28"/>
      <c r="BB4" s="28"/>
      <c r="BC4" s="2" t="s">
        <v>2</v>
      </c>
      <c r="BD4" s="29" t="s">
        <v>55</v>
      </c>
      <c r="BE4" s="28"/>
      <c r="BF4" s="28"/>
      <c r="BG4" s="28"/>
      <c r="BH4" s="28"/>
      <c r="BI4" s="2" t="s">
        <v>2</v>
      </c>
      <c r="BJ4" s="29" t="s">
        <v>57</v>
      </c>
      <c r="BK4" s="28"/>
      <c r="BL4" s="28"/>
      <c r="BM4" s="28"/>
      <c r="BN4" s="28"/>
      <c r="BO4" s="2" t="s">
        <v>2</v>
      </c>
      <c r="BP4" s="29" t="s">
        <v>60</v>
      </c>
      <c r="BQ4" s="28"/>
      <c r="BR4" s="28"/>
      <c r="BS4" s="28"/>
      <c r="BT4" s="28"/>
      <c r="BU4" s="2" t="s">
        <v>2</v>
      </c>
      <c r="BV4" s="29" t="s">
        <v>62</v>
      </c>
      <c r="BW4" s="28"/>
      <c r="BX4" s="28"/>
      <c r="BY4" s="28"/>
      <c r="BZ4" s="28"/>
      <c r="CA4" s="2" t="s">
        <v>2</v>
      </c>
      <c r="CB4" s="29" t="s">
        <v>64</v>
      </c>
      <c r="CC4" s="28"/>
      <c r="CD4" s="28"/>
      <c r="CE4" s="28"/>
      <c r="CF4" s="28"/>
      <c r="CG4" s="2" t="s">
        <v>2</v>
      </c>
      <c r="CH4" s="29" t="s">
        <v>66</v>
      </c>
      <c r="CI4" s="28"/>
      <c r="CJ4" s="28"/>
      <c r="CK4" s="28"/>
      <c r="CL4" s="28"/>
      <c r="CM4" s="2" t="s">
        <v>2</v>
      </c>
      <c r="CN4" s="29" t="s">
        <v>68</v>
      </c>
      <c r="CO4" s="28"/>
      <c r="CP4" s="28"/>
      <c r="CQ4" s="28"/>
      <c r="CR4" s="28"/>
      <c r="CS4" s="2" t="s">
        <v>2</v>
      </c>
      <c r="CT4" s="29" t="s">
        <v>206</v>
      </c>
      <c r="CU4" s="28"/>
      <c r="CV4" s="28"/>
      <c r="CW4" s="28"/>
      <c r="CX4" s="28"/>
    </row>
    <row r="5" spans="1:102" ht="14.45" customHeight="1" x14ac:dyDescent="0.3">
      <c r="A5" s="30" t="s">
        <v>4</v>
      </c>
      <c r="B5" s="28"/>
      <c r="C5" s="28"/>
      <c r="D5" s="28"/>
      <c r="E5" s="28"/>
      <c r="F5" s="28"/>
      <c r="G5" s="30" t="s">
        <v>4</v>
      </c>
      <c r="H5" s="28"/>
      <c r="I5" s="28"/>
      <c r="J5" s="28"/>
      <c r="K5" s="28"/>
      <c r="L5" s="28"/>
      <c r="M5" s="30" t="s">
        <v>4</v>
      </c>
      <c r="N5" s="28"/>
      <c r="O5" s="28"/>
      <c r="P5" s="28"/>
      <c r="Q5" s="28"/>
      <c r="R5" s="28"/>
      <c r="S5" s="30" t="s">
        <v>4</v>
      </c>
      <c r="T5" s="28"/>
      <c r="U5" s="28"/>
      <c r="V5" s="28"/>
      <c r="W5" s="28"/>
      <c r="X5" s="28"/>
      <c r="Y5" s="30" t="s">
        <v>4</v>
      </c>
      <c r="Z5" s="28"/>
      <c r="AA5" s="28"/>
      <c r="AB5" s="28"/>
      <c r="AC5" s="28"/>
      <c r="AD5" s="28"/>
      <c r="AE5" s="30" t="s">
        <v>4</v>
      </c>
      <c r="AF5" s="28"/>
      <c r="AG5" s="28"/>
      <c r="AH5" s="28"/>
      <c r="AI5" s="28"/>
      <c r="AJ5" s="28"/>
      <c r="AK5" s="30" t="s">
        <v>4</v>
      </c>
      <c r="AL5" s="28"/>
      <c r="AM5" s="28"/>
      <c r="AN5" s="28"/>
      <c r="AO5" s="28"/>
      <c r="AP5" s="28"/>
      <c r="AQ5" s="30" t="s">
        <v>4</v>
      </c>
      <c r="AR5" s="28"/>
      <c r="AS5" s="28"/>
      <c r="AT5" s="28"/>
      <c r="AU5" s="28"/>
      <c r="AV5" s="28"/>
      <c r="AW5" s="30" t="s">
        <v>4</v>
      </c>
      <c r="AX5" s="28"/>
      <c r="AY5" s="28"/>
      <c r="AZ5" s="28"/>
      <c r="BA5" s="28"/>
      <c r="BB5" s="28"/>
      <c r="BC5" s="30" t="s">
        <v>4</v>
      </c>
      <c r="BD5" s="28"/>
      <c r="BE5" s="28"/>
      <c r="BF5" s="28"/>
      <c r="BG5" s="28"/>
      <c r="BH5" s="28"/>
      <c r="BI5" s="30" t="s">
        <v>4</v>
      </c>
      <c r="BJ5" s="28"/>
      <c r="BK5" s="28"/>
      <c r="BL5" s="28"/>
      <c r="BM5" s="28"/>
      <c r="BN5" s="28"/>
      <c r="BO5" s="30" t="s">
        <v>4</v>
      </c>
      <c r="BP5" s="28"/>
      <c r="BQ5" s="28"/>
      <c r="BR5" s="28"/>
      <c r="BS5" s="28"/>
      <c r="BT5" s="28"/>
      <c r="BU5" s="30" t="s">
        <v>4</v>
      </c>
      <c r="BV5" s="28"/>
      <c r="BW5" s="28"/>
      <c r="BX5" s="28"/>
      <c r="BY5" s="28"/>
      <c r="BZ5" s="28"/>
      <c r="CA5" s="30" t="s">
        <v>4</v>
      </c>
      <c r="CB5" s="28"/>
      <c r="CC5" s="28"/>
      <c r="CD5" s="28"/>
      <c r="CE5" s="28"/>
      <c r="CF5" s="28"/>
      <c r="CG5" s="30" t="s">
        <v>4</v>
      </c>
      <c r="CH5" s="28"/>
      <c r="CI5" s="28"/>
      <c r="CJ5" s="28"/>
      <c r="CK5" s="28"/>
      <c r="CL5" s="28"/>
      <c r="CM5" s="30" t="s">
        <v>4</v>
      </c>
      <c r="CN5" s="28"/>
      <c r="CO5" s="28"/>
      <c r="CP5" s="28"/>
      <c r="CQ5" s="28"/>
      <c r="CR5" s="28"/>
      <c r="CS5" s="30" t="s">
        <v>4</v>
      </c>
      <c r="CT5" s="28"/>
      <c r="CU5" s="28"/>
      <c r="CV5" s="28"/>
      <c r="CW5" s="28"/>
      <c r="CX5" s="28"/>
    </row>
    <row r="6" spans="1:102" ht="14.45" customHeight="1" x14ac:dyDescent="0.3">
      <c r="A6" s="2" t="s">
        <v>5</v>
      </c>
      <c r="B6" s="29" t="s">
        <v>186</v>
      </c>
      <c r="C6" s="28"/>
      <c r="D6" s="28"/>
      <c r="E6" s="28"/>
      <c r="F6" s="28"/>
      <c r="G6" s="2" t="s">
        <v>5</v>
      </c>
      <c r="H6" s="29" t="s">
        <v>6</v>
      </c>
      <c r="I6" s="28"/>
      <c r="J6" s="28"/>
      <c r="K6" s="28"/>
      <c r="L6" s="28"/>
      <c r="M6" s="2" t="s">
        <v>5</v>
      </c>
      <c r="N6" s="29" t="s">
        <v>32</v>
      </c>
      <c r="O6" s="28"/>
      <c r="P6" s="28"/>
      <c r="Q6" s="28"/>
      <c r="R6" s="28"/>
      <c r="S6" s="2" t="s">
        <v>5</v>
      </c>
      <c r="T6" s="29" t="s">
        <v>34</v>
      </c>
      <c r="U6" s="28"/>
      <c r="V6" s="28"/>
      <c r="W6" s="28"/>
      <c r="X6" s="28"/>
      <c r="Y6" s="2" t="s">
        <v>5</v>
      </c>
      <c r="Z6" s="29" t="s">
        <v>36</v>
      </c>
      <c r="AA6" s="28"/>
      <c r="AB6" s="28"/>
      <c r="AC6" s="28"/>
      <c r="AD6" s="28"/>
      <c r="AE6" s="2" t="s">
        <v>5</v>
      </c>
      <c r="AF6" s="29" t="s">
        <v>48</v>
      </c>
      <c r="AG6" s="28"/>
      <c r="AH6" s="28"/>
      <c r="AI6" s="28"/>
      <c r="AJ6" s="28"/>
      <c r="AK6" s="2" t="s">
        <v>5</v>
      </c>
      <c r="AL6" s="29" t="s">
        <v>50</v>
      </c>
      <c r="AM6" s="28"/>
      <c r="AN6" s="28"/>
      <c r="AO6" s="28"/>
      <c r="AP6" s="28"/>
      <c r="AQ6" s="2" t="s">
        <v>5</v>
      </c>
      <c r="AR6" s="29" t="s">
        <v>52</v>
      </c>
      <c r="AS6" s="28"/>
      <c r="AT6" s="28"/>
      <c r="AU6" s="28"/>
      <c r="AV6" s="28"/>
      <c r="AW6" s="2" t="s">
        <v>5</v>
      </c>
      <c r="AX6" s="29" t="s">
        <v>54</v>
      </c>
      <c r="AY6" s="28"/>
      <c r="AZ6" s="28"/>
      <c r="BA6" s="28"/>
      <c r="BB6" s="28"/>
      <c r="BC6" s="2" t="s">
        <v>5</v>
      </c>
      <c r="BD6" s="29" t="s">
        <v>56</v>
      </c>
      <c r="BE6" s="28"/>
      <c r="BF6" s="28"/>
      <c r="BG6" s="28"/>
      <c r="BH6" s="28"/>
      <c r="BI6" s="2" t="s">
        <v>5</v>
      </c>
      <c r="BJ6" s="29" t="s">
        <v>58</v>
      </c>
      <c r="BK6" s="28"/>
      <c r="BL6" s="28"/>
      <c r="BM6" s="28"/>
      <c r="BN6" s="28"/>
      <c r="BO6" s="2" t="s">
        <v>5</v>
      </c>
      <c r="BP6" s="29" t="s">
        <v>61</v>
      </c>
      <c r="BQ6" s="28"/>
      <c r="BR6" s="28"/>
      <c r="BS6" s="28"/>
      <c r="BT6" s="28"/>
      <c r="BU6" s="2" t="s">
        <v>5</v>
      </c>
      <c r="BV6" s="29" t="s">
        <v>63</v>
      </c>
      <c r="BW6" s="28"/>
      <c r="BX6" s="28"/>
      <c r="BY6" s="28"/>
      <c r="BZ6" s="28"/>
      <c r="CA6" s="2" t="s">
        <v>5</v>
      </c>
      <c r="CB6" s="29" t="s">
        <v>65</v>
      </c>
      <c r="CC6" s="28"/>
      <c r="CD6" s="28"/>
      <c r="CE6" s="28"/>
      <c r="CF6" s="28"/>
      <c r="CG6" s="2" t="s">
        <v>5</v>
      </c>
      <c r="CH6" s="29" t="s">
        <v>67</v>
      </c>
      <c r="CI6" s="28"/>
      <c r="CJ6" s="28"/>
      <c r="CK6" s="28"/>
      <c r="CL6" s="28"/>
      <c r="CM6" s="2" t="s">
        <v>5</v>
      </c>
      <c r="CN6" s="29" t="s">
        <v>69</v>
      </c>
      <c r="CO6" s="28"/>
      <c r="CP6" s="28"/>
      <c r="CQ6" s="28"/>
      <c r="CR6" s="28"/>
      <c r="CS6" s="2" t="s">
        <v>5</v>
      </c>
      <c r="CT6" s="29" t="s">
        <v>207</v>
      </c>
      <c r="CU6" s="28"/>
      <c r="CV6" s="28"/>
      <c r="CW6" s="28"/>
      <c r="CX6" s="28"/>
    </row>
    <row r="7" spans="1:102" ht="14.45" x14ac:dyDescent="0.3">
      <c r="A7" s="2" t="s">
        <v>7</v>
      </c>
      <c r="B7" s="29" t="s">
        <v>8</v>
      </c>
      <c r="C7" s="28"/>
      <c r="D7" s="28"/>
      <c r="E7" s="28"/>
      <c r="F7" s="28"/>
      <c r="G7" s="2" t="s">
        <v>7</v>
      </c>
      <c r="H7" s="29" t="s">
        <v>8</v>
      </c>
      <c r="I7" s="28"/>
      <c r="J7" s="28"/>
      <c r="K7" s="28"/>
      <c r="L7" s="28"/>
      <c r="M7" s="2" t="s">
        <v>7</v>
      </c>
      <c r="N7" s="29" t="s">
        <v>8</v>
      </c>
      <c r="O7" s="28"/>
      <c r="P7" s="28"/>
      <c r="Q7" s="28"/>
      <c r="R7" s="28"/>
      <c r="S7" s="2" t="s">
        <v>7</v>
      </c>
      <c r="T7" s="29" t="s">
        <v>8</v>
      </c>
      <c r="U7" s="28"/>
      <c r="V7" s="28"/>
      <c r="W7" s="28"/>
      <c r="X7" s="28"/>
      <c r="Y7" s="2" t="s">
        <v>7</v>
      </c>
      <c r="Z7" s="29" t="s">
        <v>8</v>
      </c>
      <c r="AA7" s="28"/>
      <c r="AB7" s="28"/>
      <c r="AC7" s="28"/>
      <c r="AD7" s="28"/>
      <c r="AE7" s="2" t="s">
        <v>7</v>
      </c>
      <c r="AF7" s="29" t="s">
        <v>8</v>
      </c>
      <c r="AG7" s="28"/>
      <c r="AH7" s="28"/>
      <c r="AI7" s="28"/>
      <c r="AJ7" s="28"/>
      <c r="AK7" s="2" t="s">
        <v>7</v>
      </c>
      <c r="AL7" s="29" t="s">
        <v>8</v>
      </c>
      <c r="AM7" s="28"/>
      <c r="AN7" s="28"/>
      <c r="AO7" s="28"/>
      <c r="AP7" s="28"/>
      <c r="AQ7" s="2" t="s">
        <v>7</v>
      </c>
      <c r="AR7" s="29" t="s">
        <v>8</v>
      </c>
      <c r="AS7" s="28"/>
      <c r="AT7" s="28"/>
      <c r="AU7" s="28"/>
      <c r="AV7" s="28"/>
      <c r="AW7" s="2" t="s">
        <v>7</v>
      </c>
      <c r="AX7" s="29" t="s">
        <v>8</v>
      </c>
      <c r="AY7" s="28"/>
      <c r="AZ7" s="28"/>
      <c r="BA7" s="28"/>
      <c r="BB7" s="28"/>
      <c r="BC7" s="2" t="s">
        <v>7</v>
      </c>
      <c r="BD7" s="29" t="s">
        <v>8</v>
      </c>
      <c r="BE7" s="28"/>
      <c r="BF7" s="28"/>
      <c r="BG7" s="28"/>
      <c r="BH7" s="28"/>
      <c r="BI7" s="2" t="s">
        <v>7</v>
      </c>
      <c r="BJ7" s="29" t="s">
        <v>8</v>
      </c>
      <c r="BK7" s="28"/>
      <c r="BL7" s="28"/>
      <c r="BM7" s="28"/>
      <c r="BN7" s="28"/>
      <c r="BO7" s="2" t="s">
        <v>7</v>
      </c>
      <c r="BP7" s="29" t="s">
        <v>8</v>
      </c>
      <c r="BQ7" s="28"/>
      <c r="BR7" s="28"/>
      <c r="BS7" s="28"/>
      <c r="BT7" s="28"/>
      <c r="BU7" s="2" t="s">
        <v>7</v>
      </c>
      <c r="BV7" s="29" t="s">
        <v>8</v>
      </c>
      <c r="BW7" s="28"/>
      <c r="BX7" s="28"/>
      <c r="BY7" s="28"/>
      <c r="BZ7" s="28"/>
      <c r="CA7" s="2" t="s">
        <v>7</v>
      </c>
      <c r="CB7" s="29" t="s">
        <v>8</v>
      </c>
      <c r="CC7" s="28"/>
      <c r="CD7" s="28"/>
      <c r="CE7" s="28"/>
      <c r="CF7" s="28"/>
      <c r="CG7" s="2" t="s">
        <v>7</v>
      </c>
      <c r="CH7" s="29" t="s">
        <v>8</v>
      </c>
      <c r="CI7" s="28"/>
      <c r="CJ7" s="28"/>
      <c r="CK7" s="28"/>
      <c r="CL7" s="28"/>
      <c r="CM7" s="2" t="s">
        <v>7</v>
      </c>
      <c r="CN7" s="29" t="s">
        <v>8</v>
      </c>
      <c r="CO7" s="28"/>
      <c r="CP7" s="28"/>
      <c r="CQ7" s="28"/>
      <c r="CR7" s="28"/>
      <c r="CS7" s="2" t="s">
        <v>7</v>
      </c>
      <c r="CT7" s="29" t="s">
        <v>8</v>
      </c>
      <c r="CU7" s="28"/>
      <c r="CV7" s="28"/>
      <c r="CW7" s="28"/>
      <c r="CX7" s="28"/>
    </row>
    <row r="8" spans="1:102" ht="14.45" customHeight="1" x14ac:dyDescent="0.3">
      <c r="A8" s="2" t="s">
        <v>9</v>
      </c>
      <c r="B8" s="29" t="s">
        <v>10</v>
      </c>
      <c r="C8" s="28"/>
      <c r="D8" s="28"/>
      <c r="E8" s="28"/>
      <c r="F8" s="28"/>
      <c r="G8" s="2" t="s">
        <v>9</v>
      </c>
      <c r="H8" s="29" t="s">
        <v>10</v>
      </c>
      <c r="I8" s="28"/>
      <c r="J8" s="28"/>
      <c r="K8" s="28"/>
      <c r="L8" s="28"/>
      <c r="M8" s="2" t="s">
        <v>9</v>
      </c>
      <c r="N8" s="29" t="s">
        <v>10</v>
      </c>
      <c r="O8" s="28"/>
      <c r="P8" s="28"/>
      <c r="Q8" s="28"/>
      <c r="R8" s="28"/>
      <c r="S8" s="2" t="s">
        <v>9</v>
      </c>
      <c r="T8" s="29" t="s">
        <v>10</v>
      </c>
      <c r="U8" s="28"/>
      <c r="V8" s="28"/>
      <c r="W8" s="28"/>
      <c r="X8" s="28"/>
      <c r="Y8" s="2" t="s">
        <v>9</v>
      </c>
      <c r="Z8" s="29" t="s">
        <v>10</v>
      </c>
      <c r="AA8" s="28"/>
      <c r="AB8" s="28"/>
      <c r="AC8" s="28"/>
      <c r="AD8" s="28"/>
      <c r="AE8" s="2" t="s">
        <v>9</v>
      </c>
      <c r="AF8" s="29" t="s">
        <v>10</v>
      </c>
      <c r="AG8" s="28"/>
      <c r="AH8" s="28"/>
      <c r="AI8" s="28"/>
      <c r="AJ8" s="28"/>
      <c r="AK8" s="2" t="s">
        <v>9</v>
      </c>
      <c r="AL8" s="29" t="s">
        <v>10</v>
      </c>
      <c r="AM8" s="28"/>
      <c r="AN8" s="28"/>
      <c r="AO8" s="28"/>
      <c r="AP8" s="28"/>
      <c r="AQ8" s="2" t="s">
        <v>9</v>
      </c>
      <c r="AR8" s="29" t="s">
        <v>10</v>
      </c>
      <c r="AS8" s="28"/>
      <c r="AT8" s="28"/>
      <c r="AU8" s="28"/>
      <c r="AV8" s="28"/>
      <c r="AW8" s="2" t="s">
        <v>9</v>
      </c>
      <c r="AX8" s="29" t="s">
        <v>10</v>
      </c>
      <c r="AY8" s="28"/>
      <c r="AZ8" s="28"/>
      <c r="BA8" s="28"/>
      <c r="BB8" s="28"/>
      <c r="BC8" s="2" t="s">
        <v>9</v>
      </c>
      <c r="BD8" s="29" t="s">
        <v>10</v>
      </c>
      <c r="BE8" s="28"/>
      <c r="BF8" s="28"/>
      <c r="BG8" s="28"/>
      <c r="BH8" s="28"/>
      <c r="BI8" s="2" t="s">
        <v>9</v>
      </c>
      <c r="BJ8" s="29" t="s">
        <v>10</v>
      </c>
      <c r="BK8" s="28"/>
      <c r="BL8" s="28"/>
      <c r="BM8" s="28"/>
      <c r="BN8" s="28"/>
      <c r="BO8" s="2" t="s">
        <v>9</v>
      </c>
      <c r="BP8" s="29" t="s">
        <v>10</v>
      </c>
      <c r="BQ8" s="28"/>
      <c r="BR8" s="28"/>
      <c r="BS8" s="28"/>
      <c r="BT8" s="28"/>
      <c r="BU8" s="2" t="s">
        <v>9</v>
      </c>
      <c r="BV8" s="29" t="s">
        <v>10</v>
      </c>
      <c r="BW8" s="28"/>
      <c r="BX8" s="28"/>
      <c r="BY8" s="28"/>
      <c r="BZ8" s="28"/>
      <c r="CA8" s="2" t="s">
        <v>9</v>
      </c>
      <c r="CB8" s="29" t="s">
        <v>10</v>
      </c>
      <c r="CC8" s="28"/>
      <c r="CD8" s="28"/>
      <c r="CE8" s="28"/>
      <c r="CF8" s="28"/>
      <c r="CG8" s="2" t="s">
        <v>9</v>
      </c>
      <c r="CH8" s="29" t="s">
        <v>10</v>
      </c>
      <c r="CI8" s="28"/>
      <c r="CJ8" s="28"/>
      <c r="CK8" s="28"/>
      <c r="CL8" s="28"/>
      <c r="CM8" s="2" t="s">
        <v>9</v>
      </c>
      <c r="CN8" s="29" t="s">
        <v>10</v>
      </c>
      <c r="CO8" s="28"/>
      <c r="CP8" s="28"/>
      <c r="CQ8" s="28"/>
      <c r="CR8" s="28"/>
      <c r="CS8" s="2" t="s">
        <v>9</v>
      </c>
      <c r="CT8" s="29" t="s">
        <v>10</v>
      </c>
      <c r="CU8" s="28"/>
      <c r="CV8" s="28"/>
      <c r="CW8" s="28"/>
      <c r="CX8" s="28"/>
    </row>
    <row r="9" spans="1:102" ht="14.45" customHeight="1" x14ac:dyDescent="0.3">
      <c r="A9" s="2" t="s">
        <v>11</v>
      </c>
      <c r="B9" s="29" t="s">
        <v>12</v>
      </c>
      <c r="C9" s="28"/>
      <c r="D9" s="28"/>
      <c r="E9" s="28"/>
      <c r="F9" s="28"/>
      <c r="G9" s="2" t="s">
        <v>11</v>
      </c>
      <c r="H9" s="29" t="s">
        <v>12</v>
      </c>
      <c r="I9" s="28"/>
      <c r="J9" s="28"/>
      <c r="K9" s="28"/>
      <c r="L9" s="28"/>
      <c r="M9" s="2" t="s">
        <v>11</v>
      </c>
      <c r="N9" s="29" t="s">
        <v>12</v>
      </c>
      <c r="O9" s="28"/>
      <c r="P9" s="28"/>
      <c r="Q9" s="28"/>
      <c r="R9" s="28"/>
      <c r="S9" s="2" t="s">
        <v>11</v>
      </c>
      <c r="T9" s="29" t="s">
        <v>12</v>
      </c>
      <c r="U9" s="28"/>
      <c r="V9" s="28"/>
      <c r="W9" s="28"/>
      <c r="X9" s="28"/>
      <c r="Y9" s="2" t="s">
        <v>11</v>
      </c>
      <c r="Z9" s="29" t="s">
        <v>12</v>
      </c>
      <c r="AA9" s="28"/>
      <c r="AB9" s="28"/>
      <c r="AC9" s="28"/>
      <c r="AD9" s="28"/>
      <c r="AE9" s="2" t="s">
        <v>11</v>
      </c>
      <c r="AF9" s="29" t="s">
        <v>12</v>
      </c>
      <c r="AG9" s="28"/>
      <c r="AH9" s="28"/>
      <c r="AI9" s="28"/>
      <c r="AJ9" s="28"/>
      <c r="AK9" s="2" t="s">
        <v>11</v>
      </c>
      <c r="AL9" s="29" t="s">
        <v>12</v>
      </c>
      <c r="AM9" s="28"/>
      <c r="AN9" s="28"/>
      <c r="AO9" s="28"/>
      <c r="AP9" s="28"/>
      <c r="AQ9" s="2" t="s">
        <v>11</v>
      </c>
      <c r="AR9" s="29" t="s">
        <v>12</v>
      </c>
      <c r="AS9" s="28"/>
      <c r="AT9" s="28"/>
      <c r="AU9" s="28"/>
      <c r="AV9" s="28"/>
      <c r="AW9" s="2" t="s">
        <v>11</v>
      </c>
      <c r="AX9" s="29" t="s">
        <v>12</v>
      </c>
      <c r="AY9" s="28"/>
      <c r="AZ9" s="28"/>
      <c r="BA9" s="28"/>
      <c r="BB9" s="28"/>
      <c r="BC9" s="2" t="s">
        <v>11</v>
      </c>
      <c r="BD9" s="29" t="s">
        <v>12</v>
      </c>
      <c r="BE9" s="28"/>
      <c r="BF9" s="28"/>
      <c r="BG9" s="28"/>
      <c r="BH9" s="28"/>
      <c r="BI9" s="2" t="s">
        <v>11</v>
      </c>
      <c r="BJ9" s="29" t="s">
        <v>12</v>
      </c>
      <c r="BK9" s="28"/>
      <c r="BL9" s="28"/>
      <c r="BM9" s="28"/>
      <c r="BN9" s="28"/>
      <c r="BO9" s="2" t="s">
        <v>11</v>
      </c>
      <c r="BP9" s="29" t="s">
        <v>12</v>
      </c>
      <c r="BQ9" s="28"/>
      <c r="BR9" s="28"/>
      <c r="BS9" s="28"/>
      <c r="BT9" s="28"/>
      <c r="BU9" s="2" t="s">
        <v>11</v>
      </c>
      <c r="BV9" s="29" t="s">
        <v>12</v>
      </c>
      <c r="BW9" s="28"/>
      <c r="BX9" s="28"/>
      <c r="BY9" s="28"/>
      <c r="BZ9" s="28"/>
      <c r="CA9" s="2" t="s">
        <v>11</v>
      </c>
      <c r="CB9" s="29" t="s">
        <v>12</v>
      </c>
      <c r="CC9" s="28"/>
      <c r="CD9" s="28"/>
      <c r="CE9" s="28"/>
      <c r="CF9" s="28"/>
      <c r="CG9" s="2" t="s">
        <v>11</v>
      </c>
      <c r="CH9" s="29" t="s">
        <v>12</v>
      </c>
      <c r="CI9" s="28"/>
      <c r="CJ9" s="28"/>
      <c r="CK9" s="28"/>
      <c r="CL9" s="28"/>
      <c r="CM9" s="2" t="s">
        <v>11</v>
      </c>
      <c r="CN9" s="29" t="s">
        <v>12</v>
      </c>
      <c r="CO9" s="28"/>
      <c r="CP9" s="28"/>
      <c r="CQ9" s="28"/>
      <c r="CR9" s="28"/>
      <c r="CS9" s="2" t="s">
        <v>11</v>
      </c>
      <c r="CT9" s="29" t="s">
        <v>12</v>
      </c>
      <c r="CU9" s="28"/>
      <c r="CV9" s="28"/>
      <c r="CW9" s="28"/>
      <c r="CX9" s="28"/>
    </row>
    <row r="10" spans="1:102" ht="14.45" x14ac:dyDescent="0.3">
      <c r="A10" s="2" t="s">
        <v>13</v>
      </c>
      <c r="B10" s="31" t="s">
        <v>14</v>
      </c>
      <c r="C10" s="28"/>
      <c r="D10" s="28"/>
      <c r="E10" s="28"/>
      <c r="F10" s="28"/>
      <c r="G10" s="2" t="s">
        <v>13</v>
      </c>
      <c r="H10" s="31" t="s">
        <v>14</v>
      </c>
      <c r="I10" s="28"/>
      <c r="J10" s="28"/>
      <c r="K10" s="28"/>
      <c r="L10" s="28"/>
      <c r="M10" s="2" t="s">
        <v>13</v>
      </c>
      <c r="N10" s="31" t="s">
        <v>14</v>
      </c>
      <c r="O10" s="28"/>
      <c r="P10" s="28"/>
      <c r="Q10" s="28"/>
      <c r="R10" s="28"/>
      <c r="S10" s="2" t="s">
        <v>13</v>
      </c>
      <c r="T10" s="31" t="s">
        <v>14</v>
      </c>
      <c r="U10" s="28"/>
      <c r="V10" s="28"/>
      <c r="W10" s="28"/>
      <c r="X10" s="28"/>
      <c r="Y10" s="2" t="s">
        <v>13</v>
      </c>
      <c r="Z10" s="31" t="s">
        <v>14</v>
      </c>
      <c r="AA10" s="28"/>
      <c r="AB10" s="28"/>
      <c r="AC10" s="28"/>
      <c r="AD10" s="28"/>
      <c r="AE10" s="2" t="s">
        <v>13</v>
      </c>
      <c r="AF10" s="31" t="s">
        <v>14</v>
      </c>
      <c r="AG10" s="28"/>
      <c r="AH10" s="28"/>
      <c r="AI10" s="28"/>
      <c r="AJ10" s="28"/>
      <c r="AK10" s="2" t="s">
        <v>13</v>
      </c>
      <c r="AL10" s="31" t="s">
        <v>14</v>
      </c>
      <c r="AM10" s="28"/>
      <c r="AN10" s="28"/>
      <c r="AO10" s="28"/>
      <c r="AP10" s="28"/>
      <c r="AQ10" s="2" t="s">
        <v>13</v>
      </c>
      <c r="AR10" s="31" t="s">
        <v>14</v>
      </c>
      <c r="AS10" s="28"/>
      <c r="AT10" s="28"/>
      <c r="AU10" s="28"/>
      <c r="AV10" s="28"/>
      <c r="AW10" s="2" t="s">
        <v>13</v>
      </c>
      <c r="AX10" s="31" t="s">
        <v>14</v>
      </c>
      <c r="AY10" s="28"/>
      <c r="AZ10" s="28"/>
      <c r="BA10" s="28"/>
      <c r="BB10" s="28"/>
      <c r="BC10" s="2" t="s">
        <v>13</v>
      </c>
      <c r="BD10" s="31" t="s">
        <v>14</v>
      </c>
      <c r="BE10" s="28"/>
      <c r="BF10" s="28"/>
      <c r="BG10" s="28"/>
      <c r="BH10" s="28"/>
      <c r="BI10" s="2" t="s">
        <v>13</v>
      </c>
      <c r="BJ10" s="31" t="s">
        <v>14</v>
      </c>
      <c r="BK10" s="28"/>
      <c r="BL10" s="28"/>
      <c r="BM10" s="28"/>
      <c r="BN10" s="28"/>
      <c r="BO10" s="2" t="s">
        <v>13</v>
      </c>
      <c r="BP10" s="31" t="s">
        <v>14</v>
      </c>
      <c r="BQ10" s="28"/>
      <c r="BR10" s="28"/>
      <c r="BS10" s="28"/>
      <c r="BT10" s="28"/>
      <c r="BU10" s="2" t="s">
        <v>13</v>
      </c>
      <c r="BV10" s="31" t="s">
        <v>14</v>
      </c>
      <c r="BW10" s="28"/>
      <c r="BX10" s="28"/>
      <c r="BY10" s="28"/>
      <c r="BZ10" s="28"/>
      <c r="CA10" s="2" t="s">
        <v>13</v>
      </c>
      <c r="CB10" s="31" t="s">
        <v>14</v>
      </c>
      <c r="CC10" s="28"/>
      <c r="CD10" s="28"/>
      <c r="CE10" s="28"/>
      <c r="CF10" s="28"/>
      <c r="CG10" s="2" t="s">
        <v>13</v>
      </c>
      <c r="CH10" s="31" t="s">
        <v>14</v>
      </c>
      <c r="CI10" s="28"/>
      <c r="CJ10" s="28"/>
      <c r="CK10" s="28"/>
      <c r="CL10" s="28"/>
      <c r="CM10" s="2" t="s">
        <v>13</v>
      </c>
      <c r="CN10" s="31" t="s">
        <v>14</v>
      </c>
      <c r="CO10" s="28"/>
      <c r="CP10" s="28"/>
      <c r="CQ10" s="28"/>
      <c r="CR10" s="28"/>
      <c r="CS10" s="2" t="s">
        <v>13</v>
      </c>
      <c r="CT10" s="31" t="s">
        <v>14</v>
      </c>
      <c r="CU10" s="28"/>
      <c r="CV10" s="28"/>
      <c r="CW10" s="28"/>
      <c r="CX10" s="28"/>
    </row>
    <row r="12" spans="1:102" thickBot="1" x14ac:dyDescent="0.35">
      <c r="A12" s="3" t="s">
        <v>15</v>
      </c>
      <c r="B12" s="3" t="s">
        <v>16</v>
      </c>
      <c r="C12" s="3" t="s">
        <v>17</v>
      </c>
      <c r="D12" s="3" t="s">
        <v>18</v>
      </c>
      <c r="G12" s="3" t="s">
        <v>15</v>
      </c>
      <c r="H12" s="3" t="s">
        <v>16</v>
      </c>
      <c r="I12" s="3" t="s">
        <v>17</v>
      </c>
      <c r="J12" s="3" t="s">
        <v>18</v>
      </c>
      <c r="M12" s="3" t="s">
        <v>15</v>
      </c>
      <c r="N12" s="3" t="s">
        <v>16</v>
      </c>
      <c r="O12" s="3" t="s">
        <v>17</v>
      </c>
      <c r="P12" s="3" t="s">
        <v>18</v>
      </c>
      <c r="S12" s="3" t="s">
        <v>15</v>
      </c>
      <c r="T12" s="3" t="s">
        <v>16</v>
      </c>
      <c r="U12" s="3" t="s">
        <v>17</v>
      </c>
      <c r="V12" s="3" t="s">
        <v>18</v>
      </c>
      <c r="Y12" s="3" t="s">
        <v>15</v>
      </c>
      <c r="Z12" s="3" t="s">
        <v>16</v>
      </c>
      <c r="AA12" s="3" t="s">
        <v>17</v>
      </c>
      <c r="AB12" s="3" t="s">
        <v>18</v>
      </c>
      <c r="AE12" s="3" t="s">
        <v>15</v>
      </c>
      <c r="AF12" s="3" t="s">
        <v>16</v>
      </c>
      <c r="AG12" s="3" t="s">
        <v>17</v>
      </c>
      <c r="AH12" s="3" t="s">
        <v>18</v>
      </c>
      <c r="AK12" s="3" t="s">
        <v>15</v>
      </c>
      <c r="AL12" s="3" t="s">
        <v>16</v>
      </c>
      <c r="AM12" s="3" t="s">
        <v>17</v>
      </c>
      <c r="AN12" s="3" t="s">
        <v>18</v>
      </c>
      <c r="AQ12" s="3" t="s">
        <v>15</v>
      </c>
      <c r="AR12" s="3" t="s">
        <v>16</v>
      </c>
      <c r="AS12" s="3" t="s">
        <v>17</v>
      </c>
      <c r="AT12" s="3" t="s">
        <v>18</v>
      </c>
      <c r="AW12" s="3" t="s">
        <v>15</v>
      </c>
      <c r="AX12" s="3" t="s">
        <v>16</v>
      </c>
      <c r="AY12" s="3" t="s">
        <v>17</v>
      </c>
      <c r="AZ12" s="3" t="s">
        <v>18</v>
      </c>
      <c r="BC12" s="3" t="s">
        <v>15</v>
      </c>
      <c r="BD12" s="3" t="s">
        <v>16</v>
      </c>
      <c r="BE12" s="3" t="s">
        <v>17</v>
      </c>
      <c r="BF12" s="3" t="s">
        <v>18</v>
      </c>
      <c r="BI12" s="3" t="s">
        <v>15</v>
      </c>
      <c r="BJ12" s="3" t="s">
        <v>16</v>
      </c>
      <c r="BK12" s="3" t="s">
        <v>17</v>
      </c>
      <c r="BL12" s="3" t="s">
        <v>18</v>
      </c>
      <c r="BO12" s="3" t="s">
        <v>15</v>
      </c>
      <c r="BP12" s="3" t="s">
        <v>16</v>
      </c>
      <c r="BQ12" s="3" t="s">
        <v>17</v>
      </c>
      <c r="BR12" s="3" t="s">
        <v>18</v>
      </c>
      <c r="BU12" s="3" t="s">
        <v>15</v>
      </c>
      <c r="BV12" s="3" t="s">
        <v>16</v>
      </c>
      <c r="BW12" s="3" t="s">
        <v>17</v>
      </c>
      <c r="BX12" s="3" t="s">
        <v>18</v>
      </c>
      <c r="CA12" s="3" t="s">
        <v>15</v>
      </c>
      <c r="CB12" s="3" t="s">
        <v>16</v>
      </c>
      <c r="CC12" s="3" t="s">
        <v>17</v>
      </c>
      <c r="CD12" s="3" t="s">
        <v>18</v>
      </c>
      <c r="CG12" s="3" t="s">
        <v>15</v>
      </c>
      <c r="CH12" s="3" t="s">
        <v>16</v>
      </c>
      <c r="CI12" s="3" t="s">
        <v>17</v>
      </c>
      <c r="CJ12" s="3" t="s">
        <v>18</v>
      </c>
      <c r="CM12" s="3" t="s">
        <v>15</v>
      </c>
      <c r="CN12" s="3" t="s">
        <v>16</v>
      </c>
      <c r="CO12" s="3" t="s">
        <v>17</v>
      </c>
      <c r="CP12" s="3" t="s">
        <v>18</v>
      </c>
      <c r="CS12" s="3" t="s">
        <v>15</v>
      </c>
      <c r="CT12" s="3" t="s">
        <v>16</v>
      </c>
      <c r="CU12" s="3" t="s">
        <v>17</v>
      </c>
      <c r="CV12" s="3" t="s">
        <v>18</v>
      </c>
    </row>
    <row r="13" spans="1:102" thickTop="1" x14ac:dyDescent="0.3">
      <c r="A13" s="4" t="s">
        <v>185</v>
      </c>
      <c r="B13" s="4">
        <v>2000</v>
      </c>
      <c r="C13" s="4" t="s">
        <v>19</v>
      </c>
      <c r="D13" s="5">
        <v>6</v>
      </c>
      <c r="G13" s="4" t="s">
        <v>3</v>
      </c>
      <c r="H13" s="4">
        <v>2000</v>
      </c>
      <c r="I13" s="4" t="s">
        <v>19</v>
      </c>
      <c r="J13" s="5">
        <v>158</v>
      </c>
      <c r="M13" s="4" t="s">
        <v>31</v>
      </c>
      <c r="N13" s="4">
        <v>2000</v>
      </c>
      <c r="O13" s="4" t="s">
        <v>19</v>
      </c>
      <c r="P13" s="5">
        <v>260</v>
      </c>
      <c r="S13" s="4" t="s">
        <v>33</v>
      </c>
      <c r="T13" s="4">
        <v>2000</v>
      </c>
      <c r="U13" s="4" t="s">
        <v>19</v>
      </c>
      <c r="V13" s="5">
        <v>101</v>
      </c>
      <c r="Y13" s="4" t="s">
        <v>35</v>
      </c>
      <c r="Z13" s="4">
        <v>2000</v>
      </c>
      <c r="AA13" s="4" t="s">
        <v>19</v>
      </c>
      <c r="AB13" s="5">
        <v>159</v>
      </c>
      <c r="AE13" s="4" t="s">
        <v>47</v>
      </c>
      <c r="AF13" s="4">
        <v>2000</v>
      </c>
      <c r="AG13" s="4" t="s">
        <v>19</v>
      </c>
      <c r="AH13" s="5">
        <v>354</v>
      </c>
      <c r="AK13" s="4" t="s">
        <v>49</v>
      </c>
      <c r="AL13" s="4">
        <v>2000</v>
      </c>
      <c r="AM13" s="4" t="s">
        <v>19</v>
      </c>
      <c r="AN13" s="5">
        <v>88</v>
      </c>
      <c r="AQ13" s="4" t="s">
        <v>51</v>
      </c>
      <c r="AR13" s="4">
        <v>2000</v>
      </c>
      <c r="AS13" s="4" t="s">
        <v>19</v>
      </c>
      <c r="AT13" s="5">
        <v>172</v>
      </c>
      <c r="AW13" s="4" t="s">
        <v>53</v>
      </c>
      <c r="AX13" s="4">
        <v>2000</v>
      </c>
      <c r="AY13" s="4" t="s">
        <v>19</v>
      </c>
      <c r="AZ13" s="5">
        <v>208</v>
      </c>
      <c r="BC13" s="4" t="s">
        <v>55</v>
      </c>
      <c r="BD13" s="4">
        <v>2000</v>
      </c>
      <c r="BE13" s="4" t="s">
        <v>19</v>
      </c>
      <c r="BF13" s="5">
        <v>61</v>
      </c>
      <c r="BI13" s="4" t="s">
        <v>57</v>
      </c>
      <c r="BJ13" s="4">
        <v>2000</v>
      </c>
      <c r="BK13" s="4" t="s">
        <v>19</v>
      </c>
      <c r="BL13" s="5">
        <v>824</v>
      </c>
      <c r="BO13" s="4" t="s">
        <v>60</v>
      </c>
      <c r="BP13" s="4">
        <v>2000</v>
      </c>
      <c r="BQ13" s="4" t="s">
        <v>19</v>
      </c>
      <c r="BR13" s="5">
        <v>50</v>
      </c>
      <c r="BU13" s="4" t="s">
        <v>62</v>
      </c>
      <c r="BV13" s="4">
        <v>2000</v>
      </c>
      <c r="BW13" s="4" t="s">
        <v>19</v>
      </c>
      <c r="BX13" s="5">
        <v>748</v>
      </c>
      <c r="CA13" s="4" t="s">
        <v>64</v>
      </c>
      <c r="CB13" s="4">
        <v>2000</v>
      </c>
      <c r="CC13" s="4" t="s">
        <v>19</v>
      </c>
      <c r="CD13" s="5">
        <v>24</v>
      </c>
      <c r="CG13" s="4" t="s">
        <v>66</v>
      </c>
      <c r="CH13" s="4">
        <v>2000</v>
      </c>
      <c r="CI13" s="4" t="s">
        <v>19</v>
      </c>
      <c r="CJ13" s="5">
        <v>415</v>
      </c>
      <c r="CM13" s="4" t="s">
        <v>68</v>
      </c>
      <c r="CN13" s="4">
        <v>2000</v>
      </c>
      <c r="CO13" s="4" t="s">
        <v>19</v>
      </c>
      <c r="CP13" s="5">
        <v>338</v>
      </c>
      <c r="CS13" s="4" t="s">
        <v>206</v>
      </c>
      <c r="CT13" s="4">
        <v>2000</v>
      </c>
      <c r="CU13" s="4" t="s">
        <v>19</v>
      </c>
      <c r="CV13" s="5">
        <v>429</v>
      </c>
    </row>
    <row r="14" spans="1:102" ht="14.45" x14ac:dyDescent="0.3">
      <c r="A14" s="4" t="s">
        <v>185</v>
      </c>
      <c r="B14" s="4">
        <v>2001</v>
      </c>
      <c r="C14" s="4" t="s">
        <v>20</v>
      </c>
      <c r="D14" s="5">
        <v>17</v>
      </c>
      <c r="G14" s="4" t="s">
        <v>3</v>
      </c>
      <c r="H14" s="4">
        <v>2001</v>
      </c>
      <c r="I14" s="4" t="s">
        <v>20</v>
      </c>
      <c r="J14" s="5">
        <v>184</v>
      </c>
      <c r="M14" s="4" t="s">
        <v>31</v>
      </c>
      <c r="N14" s="4">
        <v>2001</v>
      </c>
      <c r="O14" s="4" t="s">
        <v>20</v>
      </c>
      <c r="P14" s="5">
        <v>339</v>
      </c>
      <c r="S14" s="4" t="s">
        <v>33</v>
      </c>
      <c r="T14" s="4">
        <v>2001</v>
      </c>
      <c r="U14" s="4" t="s">
        <v>20</v>
      </c>
      <c r="V14" s="5">
        <v>137</v>
      </c>
      <c r="Y14" s="4" t="s">
        <v>35</v>
      </c>
      <c r="Z14" s="4">
        <v>2001</v>
      </c>
      <c r="AA14" s="4" t="s">
        <v>20</v>
      </c>
      <c r="AB14" s="5">
        <v>324</v>
      </c>
      <c r="AE14" s="4" t="s">
        <v>47</v>
      </c>
      <c r="AF14" s="4">
        <v>2001</v>
      </c>
      <c r="AG14" s="4" t="s">
        <v>20</v>
      </c>
      <c r="AH14" s="5">
        <v>468</v>
      </c>
      <c r="AK14" s="4" t="s">
        <v>49</v>
      </c>
      <c r="AL14" s="4">
        <v>2001</v>
      </c>
      <c r="AM14" s="4" t="s">
        <v>20</v>
      </c>
      <c r="AN14" s="5">
        <v>168</v>
      </c>
      <c r="AQ14" s="4" t="s">
        <v>51</v>
      </c>
      <c r="AR14" s="4">
        <v>2001</v>
      </c>
      <c r="AS14" s="4" t="s">
        <v>20</v>
      </c>
      <c r="AT14" s="5">
        <v>453</v>
      </c>
      <c r="AW14" s="4" t="s">
        <v>53</v>
      </c>
      <c r="AX14" s="4">
        <v>2001</v>
      </c>
      <c r="AY14" s="4" t="s">
        <v>20</v>
      </c>
      <c r="AZ14" s="5">
        <v>305</v>
      </c>
      <c r="BC14" s="4" t="s">
        <v>55</v>
      </c>
      <c r="BD14" s="4">
        <v>2001</v>
      </c>
      <c r="BE14" s="4" t="s">
        <v>20</v>
      </c>
      <c r="BF14" s="5">
        <v>34</v>
      </c>
      <c r="BI14" s="4" t="s">
        <v>57</v>
      </c>
      <c r="BJ14" s="4">
        <v>2001</v>
      </c>
      <c r="BK14" s="4" t="s">
        <v>20</v>
      </c>
      <c r="BL14" s="5">
        <v>843</v>
      </c>
      <c r="BO14" s="4" t="s">
        <v>60</v>
      </c>
      <c r="BP14" s="4">
        <v>2001</v>
      </c>
      <c r="BQ14" s="4" t="s">
        <v>20</v>
      </c>
      <c r="BR14" s="5">
        <v>39</v>
      </c>
      <c r="BU14" s="4" t="s">
        <v>62</v>
      </c>
      <c r="BV14" s="4">
        <v>2001</v>
      </c>
      <c r="BW14" s="4" t="s">
        <v>20</v>
      </c>
      <c r="BX14" s="5">
        <v>878</v>
      </c>
      <c r="CA14" s="4" t="s">
        <v>64</v>
      </c>
      <c r="CB14" s="4">
        <v>2001</v>
      </c>
      <c r="CC14" s="4" t="s">
        <v>20</v>
      </c>
      <c r="CD14" s="5">
        <v>67</v>
      </c>
      <c r="CG14" s="4" t="s">
        <v>66</v>
      </c>
      <c r="CH14" s="4">
        <v>2001</v>
      </c>
      <c r="CI14" s="4" t="s">
        <v>20</v>
      </c>
      <c r="CJ14" s="5">
        <v>647</v>
      </c>
      <c r="CM14" s="4" t="s">
        <v>68</v>
      </c>
      <c r="CN14" s="4">
        <v>2001</v>
      </c>
      <c r="CO14" s="4" t="s">
        <v>20</v>
      </c>
      <c r="CP14" s="5">
        <v>401</v>
      </c>
      <c r="CS14" s="4" t="s">
        <v>206</v>
      </c>
      <c r="CT14" s="4">
        <v>2001</v>
      </c>
      <c r="CU14" s="4" t="s">
        <v>20</v>
      </c>
      <c r="CV14" s="5">
        <v>468</v>
      </c>
    </row>
    <row r="15" spans="1:102" ht="14.45" x14ac:dyDescent="0.3">
      <c r="A15" s="4" t="s">
        <v>185</v>
      </c>
      <c r="B15" s="4">
        <v>2001</v>
      </c>
      <c r="C15" s="4" t="s">
        <v>21</v>
      </c>
      <c r="D15" s="5">
        <v>8</v>
      </c>
      <c r="G15" s="4" t="s">
        <v>3</v>
      </c>
      <c r="H15" s="4">
        <v>2001</v>
      </c>
      <c r="I15" s="4" t="s">
        <v>21</v>
      </c>
      <c r="J15" s="5">
        <v>202</v>
      </c>
      <c r="M15" s="4" t="s">
        <v>31</v>
      </c>
      <c r="N15" s="4">
        <v>2001</v>
      </c>
      <c r="O15" s="4" t="s">
        <v>21</v>
      </c>
      <c r="P15" s="5">
        <v>270</v>
      </c>
      <c r="S15" s="4" t="s">
        <v>33</v>
      </c>
      <c r="T15" s="4">
        <v>2001</v>
      </c>
      <c r="U15" s="4" t="s">
        <v>21</v>
      </c>
      <c r="V15" s="5">
        <v>116</v>
      </c>
      <c r="Y15" s="4" t="s">
        <v>35</v>
      </c>
      <c r="Z15" s="4">
        <v>2001</v>
      </c>
      <c r="AA15" s="4" t="s">
        <v>21</v>
      </c>
      <c r="AB15" s="5">
        <v>214</v>
      </c>
      <c r="AE15" s="4" t="s">
        <v>47</v>
      </c>
      <c r="AF15" s="4">
        <v>2001</v>
      </c>
      <c r="AG15" s="4" t="s">
        <v>21</v>
      </c>
      <c r="AH15" s="5">
        <v>461</v>
      </c>
      <c r="AK15" s="4" t="s">
        <v>49</v>
      </c>
      <c r="AL15" s="4">
        <v>2001</v>
      </c>
      <c r="AM15" s="4" t="s">
        <v>21</v>
      </c>
      <c r="AN15" s="5">
        <v>137</v>
      </c>
      <c r="AQ15" s="4" t="s">
        <v>51</v>
      </c>
      <c r="AR15" s="4">
        <v>2001</v>
      </c>
      <c r="AS15" s="4" t="s">
        <v>21</v>
      </c>
      <c r="AT15" s="5">
        <v>172</v>
      </c>
      <c r="AW15" s="4" t="s">
        <v>53</v>
      </c>
      <c r="AX15" s="4">
        <v>2001</v>
      </c>
      <c r="AY15" s="4" t="s">
        <v>21</v>
      </c>
      <c r="AZ15" s="5">
        <v>228</v>
      </c>
      <c r="BC15" s="4" t="s">
        <v>55</v>
      </c>
      <c r="BD15" s="4">
        <v>2001</v>
      </c>
      <c r="BE15" s="4" t="s">
        <v>21</v>
      </c>
      <c r="BF15" s="5">
        <v>30</v>
      </c>
      <c r="BI15" s="4" t="s">
        <v>57</v>
      </c>
      <c r="BJ15" s="4">
        <v>2001</v>
      </c>
      <c r="BK15" s="4" t="s">
        <v>21</v>
      </c>
      <c r="BL15" s="5">
        <v>679</v>
      </c>
      <c r="BO15" s="4" t="s">
        <v>60</v>
      </c>
      <c r="BP15" s="4">
        <v>2001</v>
      </c>
      <c r="BQ15" s="4" t="s">
        <v>21</v>
      </c>
      <c r="BR15" s="5">
        <v>56</v>
      </c>
      <c r="BU15" s="4" t="s">
        <v>62</v>
      </c>
      <c r="BV15" s="4">
        <v>2001</v>
      </c>
      <c r="BW15" s="4" t="s">
        <v>21</v>
      </c>
      <c r="BX15" s="5">
        <v>708</v>
      </c>
      <c r="CA15" s="4" t="s">
        <v>64</v>
      </c>
      <c r="CB15" s="4">
        <v>2001</v>
      </c>
      <c r="CC15" s="4" t="s">
        <v>21</v>
      </c>
      <c r="CD15" s="5">
        <v>55</v>
      </c>
      <c r="CG15" s="4" t="s">
        <v>66</v>
      </c>
      <c r="CH15" s="4">
        <v>2001</v>
      </c>
      <c r="CI15" s="4" t="s">
        <v>21</v>
      </c>
      <c r="CJ15" s="5">
        <v>508</v>
      </c>
      <c r="CM15" s="4" t="s">
        <v>68</v>
      </c>
      <c r="CN15" s="4">
        <v>2001</v>
      </c>
      <c r="CO15" s="4" t="s">
        <v>21</v>
      </c>
      <c r="CP15" s="5">
        <v>146</v>
      </c>
      <c r="CS15" s="4" t="s">
        <v>206</v>
      </c>
      <c r="CT15" s="4">
        <v>2001</v>
      </c>
      <c r="CU15" s="4" t="s">
        <v>21</v>
      </c>
      <c r="CV15" s="5">
        <v>398</v>
      </c>
    </row>
    <row r="16" spans="1:102" ht="14.45" x14ac:dyDescent="0.3">
      <c r="A16" s="4" t="s">
        <v>185</v>
      </c>
      <c r="B16" s="4">
        <v>2001</v>
      </c>
      <c r="C16" s="4" t="s">
        <v>22</v>
      </c>
      <c r="D16" s="5">
        <v>19</v>
      </c>
      <c r="G16" s="4" t="s">
        <v>3</v>
      </c>
      <c r="H16" s="4">
        <v>2001</v>
      </c>
      <c r="I16" s="4" t="s">
        <v>22</v>
      </c>
      <c r="J16" s="5">
        <v>205</v>
      </c>
      <c r="M16" s="4" t="s">
        <v>31</v>
      </c>
      <c r="N16" s="4">
        <v>2001</v>
      </c>
      <c r="O16" s="4" t="s">
        <v>22</v>
      </c>
      <c r="P16" s="5">
        <v>229</v>
      </c>
      <c r="S16" s="4" t="s">
        <v>33</v>
      </c>
      <c r="T16" s="4">
        <v>2001</v>
      </c>
      <c r="U16" s="4" t="s">
        <v>22</v>
      </c>
      <c r="V16" s="5">
        <v>149</v>
      </c>
      <c r="Y16" s="4" t="s">
        <v>35</v>
      </c>
      <c r="Z16" s="4">
        <v>2001</v>
      </c>
      <c r="AA16" s="4" t="s">
        <v>22</v>
      </c>
      <c r="AB16" s="5">
        <v>105</v>
      </c>
      <c r="AE16" s="4" t="s">
        <v>47</v>
      </c>
      <c r="AF16" s="4">
        <v>2001</v>
      </c>
      <c r="AG16" s="4" t="s">
        <v>22</v>
      </c>
      <c r="AH16" s="5">
        <v>410</v>
      </c>
      <c r="AK16" s="4" t="s">
        <v>49</v>
      </c>
      <c r="AL16" s="4">
        <v>2001</v>
      </c>
      <c r="AM16" s="4" t="s">
        <v>22</v>
      </c>
      <c r="AN16" s="5">
        <v>106</v>
      </c>
      <c r="AQ16" s="4" t="s">
        <v>51</v>
      </c>
      <c r="AR16" s="4">
        <v>2001</v>
      </c>
      <c r="AS16" s="4" t="s">
        <v>22</v>
      </c>
      <c r="AT16" s="5">
        <v>189</v>
      </c>
      <c r="AW16" s="4" t="s">
        <v>53</v>
      </c>
      <c r="AX16" s="4">
        <v>2001</v>
      </c>
      <c r="AY16" s="4" t="s">
        <v>22</v>
      </c>
      <c r="AZ16" s="5">
        <v>224</v>
      </c>
      <c r="BC16" s="4" t="s">
        <v>55</v>
      </c>
      <c r="BD16" s="4">
        <v>2001</v>
      </c>
      <c r="BE16" s="4" t="s">
        <v>22</v>
      </c>
      <c r="BF16" s="5">
        <v>77</v>
      </c>
      <c r="BI16" s="4" t="s">
        <v>57</v>
      </c>
      <c r="BJ16" s="4">
        <v>2001</v>
      </c>
      <c r="BK16" s="4" t="s">
        <v>22</v>
      </c>
      <c r="BL16" s="5">
        <v>854</v>
      </c>
      <c r="BO16" s="4" t="s">
        <v>60</v>
      </c>
      <c r="BP16" s="4">
        <v>2001</v>
      </c>
      <c r="BQ16" s="4" t="s">
        <v>22</v>
      </c>
      <c r="BR16" s="5">
        <v>41</v>
      </c>
      <c r="BU16" s="4" t="s">
        <v>62</v>
      </c>
      <c r="BV16" s="4">
        <v>2001</v>
      </c>
      <c r="BW16" s="4" t="s">
        <v>22</v>
      </c>
      <c r="BX16" s="5">
        <v>684</v>
      </c>
      <c r="CA16" s="4" t="s">
        <v>64</v>
      </c>
      <c r="CB16" s="4">
        <v>2001</v>
      </c>
      <c r="CC16" s="4" t="s">
        <v>22</v>
      </c>
      <c r="CD16" s="5">
        <v>122</v>
      </c>
      <c r="CG16" s="4" t="s">
        <v>66</v>
      </c>
      <c r="CH16" s="4">
        <v>2001</v>
      </c>
      <c r="CI16" s="4" t="s">
        <v>22</v>
      </c>
      <c r="CJ16" s="5">
        <v>587</v>
      </c>
      <c r="CM16" s="4" t="s">
        <v>68</v>
      </c>
      <c r="CN16" s="4">
        <v>2001</v>
      </c>
      <c r="CO16" s="4" t="s">
        <v>22</v>
      </c>
      <c r="CP16" s="5">
        <v>127</v>
      </c>
      <c r="CS16" s="4" t="s">
        <v>206</v>
      </c>
      <c r="CT16" s="4">
        <v>2001</v>
      </c>
      <c r="CU16" s="4" t="s">
        <v>22</v>
      </c>
      <c r="CV16" s="5">
        <v>441</v>
      </c>
    </row>
    <row r="17" spans="1:100" ht="14.45" x14ac:dyDescent="0.3">
      <c r="A17" s="4" t="s">
        <v>185</v>
      </c>
      <c r="B17" s="4">
        <v>2001</v>
      </c>
      <c r="C17" s="4" t="s">
        <v>23</v>
      </c>
      <c r="D17" s="5">
        <v>21</v>
      </c>
      <c r="G17" s="4" t="s">
        <v>3</v>
      </c>
      <c r="H17" s="4">
        <v>2001</v>
      </c>
      <c r="I17" s="4" t="s">
        <v>23</v>
      </c>
      <c r="J17" s="5">
        <v>298</v>
      </c>
      <c r="M17" s="4" t="s">
        <v>31</v>
      </c>
      <c r="N17" s="4">
        <v>2001</v>
      </c>
      <c r="O17" s="4" t="s">
        <v>23</v>
      </c>
      <c r="P17" s="5">
        <v>245</v>
      </c>
      <c r="S17" s="4" t="s">
        <v>33</v>
      </c>
      <c r="T17" s="4">
        <v>2001</v>
      </c>
      <c r="U17" s="4" t="s">
        <v>23</v>
      </c>
      <c r="V17" s="5">
        <v>94</v>
      </c>
      <c r="Y17" s="4" t="s">
        <v>35</v>
      </c>
      <c r="Z17" s="4">
        <v>2001</v>
      </c>
      <c r="AA17" s="4" t="s">
        <v>23</v>
      </c>
      <c r="AB17" s="5">
        <v>233</v>
      </c>
      <c r="AE17" s="4" t="s">
        <v>47</v>
      </c>
      <c r="AF17" s="4">
        <v>2001</v>
      </c>
      <c r="AG17" s="4" t="s">
        <v>23</v>
      </c>
      <c r="AH17" s="5">
        <v>512</v>
      </c>
      <c r="AK17" s="4" t="s">
        <v>49</v>
      </c>
      <c r="AL17" s="4">
        <v>2001</v>
      </c>
      <c r="AM17" s="4" t="s">
        <v>23</v>
      </c>
      <c r="AN17" s="5">
        <v>168</v>
      </c>
      <c r="AQ17" s="4" t="s">
        <v>51</v>
      </c>
      <c r="AR17" s="4">
        <v>2001</v>
      </c>
      <c r="AS17" s="4" t="s">
        <v>23</v>
      </c>
      <c r="AT17" s="5">
        <v>200</v>
      </c>
      <c r="AW17" s="4" t="s">
        <v>53</v>
      </c>
      <c r="AX17" s="4">
        <v>2001</v>
      </c>
      <c r="AY17" s="4" t="s">
        <v>23</v>
      </c>
      <c r="AZ17" s="5">
        <v>234</v>
      </c>
      <c r="BC17" s="4" t="s">
        <v>55</v>
      </c>
      <c r="BD17" s="4">
        <v>2001</v>
      </c>
      <c r="BE17" s="4" t="s">
        <v>23</v>
      </c>
      <c r="BF17" s="5">
        <v>56</v>
      </c>
      <c r="BI17" s="4" t="s">
        <v>57</v>
      </c>
      <c r="BJ17" s="4">
        <v>2001</v>
      </c>
      <c r="BK17" s="4" t="s">
        <v>23</v>
      </c>
      <c r="BL17" s="5">
        <v>946</v>
      </c>
      <c r="BO17" s="4" t="s">
        <v>60</v>
      </c>
      <c r="BP17" s="4">
        <v>2001</v>
      </c>
      <c r="BQ17" s="4" t="s">
        <v>23</v>
      </c>
      <c r="BR17" s="5">
        <v>68</v>
      </c>
      <c r="BU17" s="4" t="s">
        <v>62</v>
      </c>
      <c r="BV17" s="4">
        <v>2001</v>
      </c>
      <c r="BW17" s="4" t="s">
        <v>23</v>
      </c>
      <c r="BX17" s="5">
        <v>758</v>
      </c>
      <c r="CA17" s="4" t="s">
        <v>64</v>
      </c>
      <c r="CB17" s="4">
        <v>2001</v>
      </c>
      <c r="CC17" s="4" t="s">
        <v>23</v>
      </c>
      <c r="CD17" s="5">
        <v>62</v>
      </c>
      <c r="CG17" s="4" t="s">
        <v>66</v>
      </c>
      <c r="CH17" s="4">
        <v>2001</v>
      </c>
      <c r="CI17" s="4" t="s">
        <v>23</v>
      </c>
      <c r="CJ17" s="5">
        <v>691</v>
      </c>
      <c r="CM17" s="4" t="s">
        <v>68</v>
      </c>
      <c r="CN17" s="4">
        <v>2001</v>
      </c>
      <c r="CO17" s="4" t="s">
        <v>23</v>
      </c>
      <c r="CP17" s="5">
        <v>210</v>
      </c>
      <c r="CS17" s="4" t="s">
        <v>206</v>
      </c>
      <c r="CT17" s="4">
        <v>2001</v>
      </c>
      <c r="CU17" s="4" t="s">
        <v>23</v>
      </c>
      <c r="CV17" s="5">
        <v>467</v>
      </c>
    </row>
    <row r="18" spans="1:100" ht="14.45" x14ac:dyDescent="0.3">
      <c r="A18" s="4" t="s">
        <v>185</v>
      </c>
      <c r="B18" s="4">
        <v>2001</v>
      </c>
      <c r="C18" s="4" t="s">
        <v>24</v>
      </c>
      <c r="D18" s="5">
        <v>7</v>
      </c>
      <c r="G18" s="4" t="s">
        <v>3</v>
      </c>
      <c r="H18" s="4">
        <v>2001</v>
      </c>
      <c r="I18" s="4" t="s">
        <v>24</v>
      </c>
      <c r="J18" s="5">
        <v>266</v>
      </c>
      <c r="M18" s="4" t="s">
        <v>31</v>
      </c>
      <c r="N18" s="4">
        <v>2001</v>
      </c>
      <c r="O18" s="4" t="s">
        <v>24</v>
      </c>
      <c r="P18" s="5">
        <v>208</v>
      </c>
      <c r="S18" s="4" t="s">
        <v>33</v>
      </c>
      <c r="T18" s="4">
        <v>2001</v>
      </c>
      <c r="U18" s="4" t="s">
        <v>24</v>
      </c>
      <c r="V18" s="5">
        <v>97</v>
      </c>
      <c r="Y18" s="4" t="s">
        <v>35</v>
      </c>
      <c r="Z18" s="4">
        <v>2001</v>
      </c>
      <c r="AA18" s="4" t="s">
        <v>24</v>
      </c>
      <c r="AB18" s="5">
        <v>110</v>
      </c>
      <c r="AE18" s="4" t="s">
        <v>47</v>
      </c>
      <c r="AF18" s="4">
        <v>2001</v>
      </c>
      <c r="AG18" s="4" t="s">
        <v>24</v>
      </c>
      <c r="AH18" s="5">
        <v>447</v>
      </c>
      <c r="AK18" s="4" t="s">
        <v>49</v>
      </c>
      <c r="AL18" s="4">
        <v>2001</v>
      </c>
      <c r="AM18" s="4" t="s">
        <v>24</v>
      </c>
      <c r="AN18" s="5">
        <v>109</v>
      </c>
      <c r="AQ18" s="4" t="s">
        <v>51</v>
      </c>
      <c r="AR18" s="4">
        <v>2001</v>
      </c>
      <c r="AS18" s="4" t="s">
        <v>24</v>
      </c>
      <c r="AT18" s="5">
        <v>101</v>
      </c>
      <c r="AW18" s="4" t="s">
        <v>53</v>
      </c>
      <c r="AX18" s="4">
        <v>2001</v>
      </c>
      <c r="AY18" s="4" t="s">
        <v>24</v>
      </c>
      <c r="AZ18" s="5">
        <v>213</v>
      </c>
      <c r="BC18" s="4" t="s">
        <v>55</v>
      </c>
      <c r="BD18" s="4">
        <v>2001</v>
      </c>
      <c r="BE18" s="4" t="s">
        <v>24</v>
      </c>
      <c r="BF18" s="5">
        <v>56</v>
      </c>
      <c r="BI18" s="4" t="s">
        <v>57</v>
      </c>
      <c r="BJ18" s="4">
        <v>2001</v>
      </c>
      <c r="BK18" s="4" t="s">
        <v>24</v>
      </c>
      <c r="BL18" s="5">
        <v>850</v>
      </c>
      <c r="BO18" s="4" t="s">
        <v>60</v>
      </c>
      <c r="BP18" s="4">
        <v>2001</v>
      </c>
      <c r="BQ18" s="4" t="s">
        <v>24</v>
      </c>
      <c r="BR18" s="5">
        <v>81</v>
      </c>
      <c r="BU18" s="4" t="s">
        <v>62</v>
      </c>
      <c r="BV18" s="4">
        <v>2001</v>
      </c>
      <c r="BW18" s="4" t="s">
        <v>24</v>
      </c>
      <c r="BX18" s="5">
        <v>650</v>
      </c>
      <c r="CA18" s="4" t="s">
        <v>64</v>
      </c>
      <c r="CB18" s="4">
        <v>2001</v>
      </c>
      <c r="CC18" s="4" t="s">
        <v>24</v>
      </c>
      <c r="CD18" s="5">
        <v>77</v>
      </c>
      <c r="CG18" s="4" t="s">
        <v>66</v>
      </c>
      <c r="CH18" s="4">
        <v>2001</v>
      </c>
      <c r="CI18" s="4" t="s">
        <v>24</v>
      </c>
      <c r="CJ18" s="5">
        <v>518</v>
      </c>
      <c r="CM18" s="4" t="s">
        <v>68</v>
      </c>
      <c r="CN18" s="4">
        <v>2001</v>
      </c>
      <c r="CO18" s="4" t="s">
        <v>24</v>
      </c>
      <c r="CP18" s="5">
        <v>237</v>
      </c>
      <c r="CS18" s="4" t="s">
        <v>206</v>
      </c>
      <c r="CT18" s="4">
        <v>2001</v>
      </c>
      <c r="CU18" s="4" t="s">
        <v>24</v>
      </c>
      <c r="CV18" s="5">
        <v>521</v>
      </c>
    </row>
    <row r="19" spans="1:100" ht="14.45" x14ac:dyDescent="0.3">
      <c r="A19" s="4" t="s">
        <v>185</v>
      </c>
      <c r="B19" s="4">
        <v>2001</v>
      </c>
      <c r="C19" s="4" t="s">
        <v>25</v>
      </c>
      <c r="D19" s="5">
        <v>17</v>
      </c>
      <c r="G19" s="4" t="s">
        <v>3</v>
      </c>
      <c r="H19" s="4">
        <v>2001</v>
      </c>
      <c r="I19" s="4" t="s">
        <v>25</v>
      </c>
      <c r="J19" s="5">
        <v>203</v>
      </c>
      <c r="M19" s="4" t="s">
        <v>31</v>
      </c>
      <c r="N19" s="4">
        <v>2001</v>
      </c>
      <c r="O19" s="4" t="s">
        <v>25</v>
      </c>
      <c r="P19" s="5">
        <v>204</v>
      </c>
      <c r="S19" s="4" t="s">
        <v>33</v>
      </c>
      <c r="T19" s="4">
        <v>2001</v>
      </c>
      <c r="U19" s="4" t="s">
        <v>25</v>
      </c>
      <c r="V19" s="5">
        <v>127</v>
      </c>
      <c r="Y19" s="4" t="s">
        <v>35</v>
      </c>
      <c r="Z19" s="4">
        <v>2001</v>
      </c>
      <c r="AA19" s="4" t="s">
        <v>25</v>
      </c>
      <c r="AB19" s="5">
        <v>153</v>
      </c>
      <c r="AE19" s="4" t="s">
        <v>47</v>
      </c>
      <c r="AF19" s="4">
        <v>2001</v>
      </c>
      <c r="AG19" s="4" t="s">
        <v>25</v>
      </c>
      <c r="AH19" s="5">
        <v>399</v>
      </c>
      <c r="AK19" s="4" t="s">
        <v>49</v>
      </c>
      <c r="AL19" s="4">
        <v>2001</v>
      </c>
      <c r="AM19" s="4" t="s">
        <v>25</v>
      </c>
      <c r="AN19" s="5">
        <v>101</v>
      </c>
      <c r="AQ19" s="4" t="s">
        <v>51</v>
      </c>
      <c r="AR19" s="4">
        <v>2001</v>
      </c>
      <c r="AS19" s="4" t="s">
        <v>25</v>
      </c>
      <c r="AT19" s="5">
        <v>96</v>
      </c>
      <c r="AW19" s="4" t="s">
        <v>53</v>
      </c>
      <c r="AX19" s="4">
        <v>2001</v>
      </c>
      <c r="AY19" s="4" t="s">
        <v>25</v>
      </c>
      <c r="AZ19" s="5">
        <v>245</v>
      </c>
      <c r="BC19" s="4" t="s">
        <v>55</v>
      </c>
      <c r="BD19" s="4">
        <v>2001</v>
      </c>
      <c r="BE19" s="4" t="s">
        <v>25</v>
      </c>
      <c r="BF19" s="5">
        <v>37</v>
      </c>
      <c r="BI19" s="4" t="s">
        <v>57</v>
      </c>
      <c r="BJ19" s="4">
        <v>2001</v>
      </c>
      <c r="BK19" s="4" t="s">
        <v>25</v>
      </c>
      <c r="BL19" s="5">
        <v>663</v>
      </c>
      <c r="BO19" s="4" t="s">
        <v>60</v>
      </c>
      <c r="BP19" s="4">
        <v>2001</v>
      </c>
      <c r="BQ19" s="4" t="s">
        <v>25</v>
      </c>
      <c r="BR19" s="5">
        <v>39</v>
      </c>
      <c r="BU19" s="4" t="s">
        <v>62</v>
      </c>
      <c r="BV19" s="4">
        <v>2001</v>
      </c>
      <c r="BW19" s="4" t="s">
        <v>25</v>
      </c>
      <c r="BX19" s="5">
        <v>702</v>
      </c>
      <c r="CA19" s="4" t="s">
        <v>64</v>
      </c>
      <c r="CB19" s="4">
        <v>2001</v>
      </c>
      <c r="CC19" s="4" t="s">
        <v>25</v>
      </c>
      <c r="CD19" s="5">
        <v>63</v>
      </c>
      <c r="CG19" s="4" t="s">
        <v>66</v>
      </c>
      <c r="CH19" s="4">
        <v>2001</v>
      </c>
      <c r="CI19" s="4" t="s">
        <v>25</v>
      </c>
      <c r="CJ19" s="5">
        <v>411</v>
      </c>
      <c r="CM19" s="4" t="s">
        <v>68</v>
      </c>
      <c r="CN19" s="4">
        <v>2001</v>
      </c>
      <c r="CO19" s="4" t="s">
        <v>25</v>
      </c>
      <c r="CP19" s="5">
        <v>210</v>
      </c>
      <c r="CS19" s="4" t="s">
        <v>206</v>
      </c>
      <c r="CT19" s="4">
        <v>2001</v>
      </c>
      <c r="CU19" s="4" t="s">
        <v>25</v>
      </c>
      <c r="CV19" s="5">
        <v>574</v>
      </c>
    </row>
    <row r="20" spans="1:100" ht="14.45" x14ac:dyDescent="0.3">
      <c r="A20" s="4" t="s">
        <v>185</v>
      </c>
      <c r="B20" s="4">
        <v>2001</v>
      </c>
      <c r="C20" s="4" t="s">
        <v>26</v>
      </c>
      <c r="D20" s="5">
        <v>16</v>
      </c>
      <c r="G20" s="4" t="s">
        <v>3</v>
      </c>
      <c r="H20" s="4">
        <v>2001</v>
      </c>
      <c r="I20" s="4" t="s">
        <v>26</v>
      </c>
      <c r="J20" s="5">
        <v>184</v>
      </c>
      <c r="M20" s="4" t="s">
        <v>31</v>
      </c>
      <c r="N20" s="4">
        <v>2001</v>
      </c>
      <c r="O20" s="4" t="s">
        <v>26</v>
      </c>
      <c r="P20" s="5">
        <v>211</v>
      </c>
      <c r="S20" s="4" t="s">
        <v>33</v>
      </c>
      <c r="T20" s="4">
        <v>2001</v>
      </c>
      <c r="U20" s="4" t="s">
        <v>26</v>
      </c>
      <c r="V20" s="5">
        <v>123</v>
      </c>
      <c r="Y20" s="4" t="s">
        <v>35</v>
      </c>
      <c r="Z20" s="4">
        <v>2001</v>
      </c>
      <c r="AA20" s="4" t="s">
        <v>26</v>
      </c>
      <c r="AB20" s="5">
        <v>145</v>
      </c>
      <c r="AE20" s="4" t="s">
        <v>47</v>
      </c>
      <c r="AF20" s="4">
        <v>2001</v>
      </c>
      <c r="AG20" s="4" t="s">
        <v>26</v>
      </c>
      <c r="AH20" s="5">
        <v>415</v>
      </c>
      <c r="AK20" s="4" t="s">
        <v>49</v>
      </c>
      <c r="AL20" s="4">
        <v>2001</v>
      </c>
      <c r="AM20" s="4" t="s">
        <v>26</v>
      </c>
      <c r="AN20" s="5">
        <v>170</v>
      </c>
      <c r="AQ20" s="4" t="s">
        <v>51</v>
      </c>
      <c r="AR20" s="4">
        <v>2001</v>
      </c>
      <c r="AS20" s="4" t="s">
        <v>26</v>
      </c>
      <c r="AT20" s="5">
        <v>122</v>
      </c>
      <c r="AW20" s="4" t="s">
        <v>53</v>
      </c>
      <c r="AX20" s="4">
        <v>2001</v>
      </c>
      <c r="AY20" s="4" t="s">
        <v>26</v>
      </c>
      <c r="AZ20" s="5">
        <v>235</v>
      </c>
      <c r="BC20" s="4" t="s">
        <v>55</v>
      </c>
      <c r="BD20" s="4">
        <v>2001</v>
      </c>
      <c r="BE20" s="4" t="s">
        <v>26</v>
      </c>
      <c r="BF20" s="5">
        <v>63</v>
      </c>
      <c r="BI20" s="4" t="s">
        <v>57</v>
      </c>
      <c r="BJ20" s="4">
        <v>2001</v>
      </c>
      <c r="BK20" s="4" t="s">
        <v>26</v>
      </c>
      <c r="BL20" s="5">
        <v>686</v>
      </c>
      <c r="BO20" s="4" t="s">
        <v>60</v>
      </c>
      <c r="BP20" s="4">
        <v>2001</v>
      </c>
      <c r="BQ20" s="4" t="s">
        <v>26</v>
      </c>
      <c r="BR20" s="5">
        <v>60</v>
      </c>
      <c r="BU20" s="4" t="s">
        <v>62</v>
      </c>
      <c r="BV20" s="4">
        <v>2001</v>
      </c>
      <c r="BW20" s="4" t="s">
        <v>26</v>
      </c>
      <c r="BX20" s="5">
        <v>791</v>
      </c>
      <c r="CA20" s="4" t="s">
        <v>64</v>
      </c>
      <c r="CB20" s="4">
        <v>2001</v>
      </c>
      <c r="CC20" s="4" t="s">
        <v>26</v>
      </c>
      <c r="CD20" s="5">
        <v>89</v>
      </c>
      <c r="CG20" s="4" t="s">
        <v>66</v>
      </c>
      <c r="CH20" s="4">
        <v>2001</v>
      </c>
      <c r="CI20" s="4" t="s">
        <v>26</v>
      </c>
      <c r="CJ20" s="5">
        <v>599</v>
      </c>
      <c r="CM20" s="4" t="s">
        <v>68</v>
      </c>
      <c r="CN20" s="4">
        <v>2001</v>
      </c>
      <c r="CO20" s="4" t="s">
        <v>26</v>
      </c>
      <c r="CP20" s="5">
        <v>280</v>
      </c>
      <c r="CS20" s="4" t="s">
        <v>206</v>
      </c>
      <c r="CT20" s="4">
        <v>2001</v>
      </c>
      <c r="CU20" s="4" t="s">
        <v>26</v>
      </c>
      <c r="CV20" s="5">
        <v>477</v>
      </c>
    </row>
    <row r="21" spans="1:100" ht="14.45" x14ac:dyDescent="0.3">
      <c r="A21" s="4" t="s">
        <v>185</v>
      </c>
      <c r="B21" s="4">
        <v>2001</v>
      </c>
      <c r="C21" s="4" t="s">
        <v>27</v>
      </c>
      <c r="D21" s="5">
        <v>18</v>
      </c>
      <c r="G21" s="4" t="s">
        <v>3</v>
      </c>
      <c r="H21" s="4">
        <v>2001</v>
      </c>
      <c r="I21" s="4" t="s">
        <v>27</v>
      </c>
      <c r="J21" s="5">
        <v>124</v>
      </c>
      <c r="M21" s="4" t="s">
        <v>31</v>
      </c>
      <c r="N21" s="4">
        <v>2001</v>
      </c>
      <c r="O21" s="4" t="s">
        <v>27</v>
      </c>
      <c r="P21" s="5">
        <v>150</v>
      </c>
      <c r="S21" s="4" t="s">
        <v>33</v>
      </c>
      <c r="T21" s="4">
        <v>2001</v>
      </c>
      <c r="U21" s="4" t="s">
        <v>27</v>
      </c>
      <c r="V21" s="5">
        <v>113</v>
      </c>
      <c r="Y21" s="4" t="s">
        <v>35</v>
      </c>
      <c r="Z21" s="4">
        <v>2001</v>
      </c>
      <c r="AA21" s="4" t="s">
        <v>27</v>
      </c>
      <c r="AB21" s="5">
        <v>104</v>
      </c>
      <c r="AE21" s="4" t="s">
        <v>47</v>
      </c>
      <c r="AF21" s="4">
        <v>2001</v>
      </c>
      <c r="AG21" s="4" t="s">
        <v>27</v>
      </c>
      <c r="AH21" s="5">
        <v>405</v>
      </c>
      <c r="AK21" s="4" t="s">
        <v>49</v>
      </c>
      <c r="AL21" s="4">
        <v>2001</v>
      </c>
      <c r="AM21" s="4" t="s">
        <v>27</v>
      </c>
      <c r="AN21" s="5">
        <v>123</v>
      </c>
      <c r="AQ21" s="4" t="s">
        <v>51</v>
      </c>
      <c r="AR21" s="4">
        <v>2001</v>
      </c>
      <c r="AS21" s="4" t="s">
        <v>27</v>
      </c>
      <c r="AT21" s="5">
        <v>117</v>
      </c>
      <c r="AW21" s="4" t="s">
        <v>53</v>
      </c>
      <c r="AX21" s="4">
        <v>2001</v>
      </c>
      <c r="AY21" s="4" t="s">
        <v>27</v>
      </c>
      <c r="AZ21" s="5">
        <v>167</v>
      </c>
      <c r="BC21" s="4" t="s">
        <v>55</v>
      </c>
      <c r="BD21" s="4">
        <v>2001</v>
      </c>
      <c r="BE21" s="4" t="s">
        <v>27</v>
      </c>
      <c r="BF21" s="5">
        <v>71</v>
      </c>
      <c r="BI21" s="4" t="s">
        <v>57</v>
      </c>
      <c r="BJ21" s="4">
        <v>2001</v>
      </c>
      <c r="BK21" s="4" t="s">
        <v>27</v>
      </c>
      <c r="BL21" s="5">
        <v>562</v>
      </c>
      <c r="BO21" s="4" t="s">
        <v>60</v>
      </c>
      <c r="BP21" s="4">
        <v>2001</v>
      </c>
      <c r="BQ21" s="4" t="s">
        <v>27</v>
      </c>
      <c r="BR21" s="5">
        <v>54</v>
      </c>
      <c r="BU21" s="4" t="s">
        <v>62</v>
      </c>
      <c r="BV21" s="4">
        <v>2001</v>
      </c>
      <c r="BW21" s="4" t="s">
        <v>27</v>
      </c>
      <c r="BX21" s="5">
        <v>779</v>
      </c>
      <c r="CA21" s="4" t="s">
        <v>64</v>
      </c>
      <c r="CB21" s="4">
        <v>2001</v>
      </c>
      <c r="CC21" s="4" t="s">
        <v>27</v>
      </c>
      <c r="CD21" s="5">
        <v>70</v>
      </c>
      <c r="CG21" s="4" t="s">
        <v>66</v>
      </c>
      <c r="CH21" s="4">
        <v>2001</v>
      </c>
      <c r="CI21" s="4" t="s">
        <v>27</v>
      </c>
      <c r="CJ21" s="5">
        <v>530</v>
      </c>
      <c r="CM21" s="4" t="s">
        <v>68</v>
      </c>
      <c r="CN21" s="4">
        <v>2001</v>
      </c>
      <c r="CO21" s="4" t="s">
        <v>27</v>
      </c>
      <c r="CP21" s="5">
        <v>273</v>
      </c>
      <c r="CS21" s="4" t="s">
        <v>206</v>
      </c>
      <c r="CT21" s="4">
        <v>2001</v>
      </c>
      <c r="CU21" s="4" t="s">
        <v>27</v>
      </c>
      <c r="CV21" s="5">
        <v>492</v>
      </c>
    </row>
    <row r="22" spans="1:100" ht="14.45" x14ac:dyDescent="0.3">
      <c r="A22" s="4" t="s">
        <v>185</v>
      </c>
      <c r="B22" s="4">
        <v>2001</v>
      </c>
      <c r="C22" s="4" t="s">
        <v>28</v>
      </c>
      <c r="D22" s="5">
        <v>11</v>
      </c>
      <c r="G22" s="4" t="s">
        <v>3</v>
      </c>
      <c r="H22" s="4">
        <v>2001</v>
      </c>
      <c r="I22" s="4" t="s">
        <v>28</v>
      </c>
      <c r="J22" s="5">
        <v>150</v>
      </c>
      <c r="M22" s="4" t="s">
        <v>31</v>
      </c>
      <c r="N22" s="4">
        <v>2001</v>
      </c>
      <c r="O22" s="4" t="s">
        <v>28</v>
      </c>
      <c r="P22" s="5">
        <v>183</v>
      </c>
      <c r="S22" s="4" t="s">
        <v>33</v>
      </c>
      <c r="T22" s="4">
        <v>2001</v>
      </c>
      <c r="U22" s="4" t="s">
        <v>28</v>
      </c>
      <c r="V22" s="5">
        <v>125</v>
      </c>
      <c r="Y22" s="4" t="s">
        <v>35</v>
      </c>
      <c r="Z22" s="4">
        <v>2001</v>
      </c>
      <c r="AA22" s="4" t="s">
        <v>28</v>
      </c>
      <c r="AB22" s="5">
        <v>88</v>
      </c>
      <c r="AE22" s="4" t="s">
        <v>47</v>
      </c>
      <c r="AF22" s="4">
        <v>2001</v>
      </c>
      <c r="AG22" s="4" t="s">
        <v>28</v>
      </c>
      <c r="AH22" s="5">
        <v>440</v>
      </c>
      <c r="AK22" s="4" t="s">
        <v>49</v>
      </c>
      <c r="AL22" s="4">
        <v>2001</v>
      </c>
      <c r="AM22" s="4" t="s">
        <v>28</v>
      </c>
      <c r="AN22" s="5">
        <v>98</v>
      </c>
      <c r="AQ22" s="4" t="s">
        <v>51</v>
      </c>
      <c r="AR22" s="4">
        <v>2001</v>
      </c>
      <c r="AS22" s="4" t="s">
        <v>28</v>
      </c>
      <c r="AT22" s="5">
        <v>74</v>
      </c>
      <c r="AW22" s="4" t="s">
        <v>53</v>
      </c>
      <c r="AX22" s="4">
        <v>2001</v>
      </c>
      <c r="AY22" s="4" t="s">
        <v>28</v>
      </c>
      <c r="AZ22" s="5">
        <v>201</v>
      </c>
      <c r="BC22" s="4" t="s">
        <v>55</v>
      </c>
      <c r="BD22" s="4">
        <v>2001</v>
      </c>
      <c r="BE22" s="4" t="s">
        <v>28</v>
      </c>
      <c r="BF22" s="5">
        <v>56</v>
      </c>
      <c r="BI22" s="4" t="s">
        <v>57</v>
      </c>
      <c r="BJ22" s="4">
        <v>2001</v>
      </c>
      <c r="BK22" s="4" t="s">
        <v>28</v>
      </c>
      <c r="BL22" s="5">
        <v>628</v>
      </c>
      <c r="BO22" s="4" t="s">
        <v>60</v>
      </c>
      <c r="BP22" s="4">
        <v>2001</v>
      </c>
      <c r="BQ22" s="4" t="s">
        <v>28</v>
      </c>
      <c r="BR22" s="5">
        <v>39</v>
      </c>
      <c r="BU22" s="4" t="s">
        <v>62</v>
      </c>
      <c r="BV22" s="4">
        <v>2001</v>
      </c>
      <c r="BW22" s="4" t="s">
        <v>28</v>
      </c>
      <c r="BX22" s="5">
        <v>636</v>
      </c>
      <c r="CA22" s="4" t="s">
        <v>64</v>
      </c>
      <c r="CB22" s="4">
        <v>2001</v>
      </c>
      <c r="CC22" s="4" t="s">
        <v>28</v>
      </c>
      <c r="CD22" s="5">
        <v>65</v>
      </c>
      <c r="CG22" s="4" t="s">
        <v>66</v>
      </c>
      <c r="CH22" s="4">
        <v>2001</v>
      </c>
      <c r="CI22" s="4" t="s">
        <v>28</v>
      </c>
      <c r="CJ22" s="5">
        <v>469</v>
      </c>
      <c r="CM22" s="4" t="s">
        <v>68</v>
      </c>
      <c r="CN22" s="4">
        <v>2001</v>
      </c>
      <c r="CO22" s="4" t="s">
        <v>28</v>
      </c>
      <c r="CP22" s="5">
        <v>267</v>
      </c>
      <c r="CS22" s="4" t="s">
        <v>206</v>
      </c>
      <c r="CT22" s="4">
        <v>2001</v>
      </c>
      <c r="CU22" s="4" t="s">
        <v>28</v>
      </c>
      <c r="CV22" s="5">
        <v>349</v>
      </c>
    </row>
    <row r="23" spans="1:100" ht="14.45" x14ac:dyDescent="0.3">
      <c r="A23" s="4" t="s">
        <v>185</v>
      </c>
      <c r="B23" s="4">
        <v>2001</v>
      </c>
      <c r="C23" s="4" t="s">
        <v>29</v>
      </c>
      <c r="D23" s="5">
        <v>18</v>
      </c>
      <c r="G23" s="4" t="s">
        <v>3</v>
      </c>
      <c r="H23" s="4">
        <v>2001</v>
      </c>
      <c r="I23" s="4" t="s">
        <v>29</v>
      </c>
      <c r="J23" s="5">
        <v>112</v>
      </c>
      <c r="M23" s="4" t="s">
        <v>31</v>
      </c>
      <c r="N23" s="4">
        <v>2001</v>
      </c>
      <c r="O23" s="4" t="s">
        <v>29</v>
      </c>
      <c r="P23" s="5">
        <v>153</v>
      </c>
      <c r="S23" s="4" t="s">
        <v>33</v>
      </c>
      <c r="T23" s="4">
        <v>2001</v>
      </c>
      <c r="U23" s="4" t="s">
        <v>29</v>
      </c>
      <c r="V23" s="5">
        <v>114</v>
      </c>
      <c r="Y23" s="4" t="s">
        <v>35</v>
      </c>
      <c r="Z23" s="4">
        <v>2001</v>
      </c>
      <c r="AA23" s="4" t="s">
        <v>29</v>
      </c>
      <c r="AB23" s="5">
        <v>86</v>
      </c>
      <c r="AE23" s="4" t="s">
        <v>47</v>
      </c>
      <c r="AF23" s="4">
        <v>2001</v>
      </c>
      <c r="AG23" s="4" t="s">
        <v>29</v>
      </c>
      <c r="AH23" s="5">
        <v>465</v>
      </c>
      <c r="AK23" s="4" t="s">
        <v>49</v>
      </c>
      <c r="AL23" s="4">
        <v>2001</v>
      </c>
      <c r="AM23" s="4" t="s">
        <v>29</v>
      </c>
      <c r="AN23" s="5">
        <v>127</v>
      </c>
      <c r="AQ23" s="4" t="s">
        <v>51</v>
      </c>
      <c r="AR23" s="4">
        <v>2001</v>
      </c>
      <c r="AS23" s="4" t="s">
        <v>29</v>
      </c>
      <c r="AT23" s="5">
        <v>65</v>
      </c>
      <c r="AW23" s="4" t="s">
        <v>53</v>
      </c>
      <c r="AX23" s="4">
        <v>2001</v>
      </c>
      <c r="AY23" s="4" t="s">
        <v>29</v>
      </c>
      <c r="AZ23" s="5">
        <v>195</v>
      </c>
      <c r="BC23" s="4" t="s">
        <v>55</v>
      </c>
      <c r="BD23" s="4">
        <v>2001</v>
      </c>
      <c r="BE23" s="4" t="s">
        <v>29</v>
      </c>
      <c r="BF23" s="5">
        <v>54</v>
      </c>
      <c r="BI23" s="4" t="s">
        <v>57</v>
      </c>
      <c r="BJ23" s="4">
        <v>2001</v>
      </c>
      <c r="BK23" s="4" t="s">
        <v>29</v>
      </c>
      <c r="BL23" s="5">
        <v>575</v>
      </c>
      <c r="BO23" s="4" t="s">
        <v>60</v>
      </c>
      <c r="BP23" s="4">
        <v>2001</v>
      </c>
      <c r="BQ23" s="4" t="s">
        <v>29</v>
      </c>
      <c r="BR23" s="5">
        <v>47</v>
      </c>
      <c r="BU23" s="4" t="s">
        <v>62</v>
      </c>
      <c r="BV23" s="4">
        <v>2001</v>
      </c>
      <c r="BW23" s="4" t="s">
        <v>29</v>
      </c>
      <c r="BX23" s="5">
        <v>731</v>
      </c>
      <c r="CA23" s="4" t="s">
        <v>64</v>
      </c>
      <c r="CB23" s="4">
        <v>2001</v>
      </c>
      <c r="CC23" s="4" t="s">
        <v>29</v>
      </c>
      <c r="CD23" s="5">
        <v>53</v>
      </c>
      <c r="CG23" s="4" t="s">
        <v>66</v>
      </c>
      <c r="CH23" s="4">
        <v>2001</v>
      </c>
      <c r="CI23" s="4" t="s">
        <v>29</v>
      </c>
      <c r="CJ23" s="5">
        <v>395</v>
      </c>
      <c r="CM23" s="4" t="s">
        <v>68</v>
      </c>
      <c r="CN23" s="4">
        <v>2001</v>
      </c>
      <c r="CO23" s="4" t="s">
        <v>29</v>
      </c>
      <c r="CP23" s="5">
        <v>209</v>
      </c>
      <c r="CS23" s="4" t="s">
        <v>206</v>
      </c>
      <c r="CT23" s="4">
        <v>2001</v>
      </c>
      <c r="CU23" s="4" t="s">
        <v>29</v>
      </c>
      <c r="CV23" s="5">
        <v>418</v>
      </c>
    </row>
    <row r="24" spans="1:100" ht="14.45" x14ac:dyDescent="0.3">
      <c r="A24" s="4" t="s">
        <v>185</v>
      </c>
      <c r="B24" s="4">
        <v>2001</v>
      </c>
      <c r="C24" s="4" t="s">
        <v>30</v>
      </c>
      <c r="D24" s="5">
        <v>5</v>
      </c>
      <c r="G24" s="4" t="s">
        <v>3</v>
      </c>
      <c r="H24" s="4">
        <v>2001</v>
      </c>
      <c r="I24" s="4" t="s">
        <v>30</v>
      </c>
      <c r="J24" s="5">
        <v>101</v>
      </c>
      <c r="M24" s="4" t="s">
        <v>31</v>
      </c>
      <c r="N24" s="4">
        <v>2001</v>
      </c>
      <c r="O24" s="4" t="s">
        <v>30</v>
      </c>
      <c r="P24" s="5">
        <v>107</v>
      </c>
      <c r="S24" s="4" t="s">
        <v>33</v>
      </c>
      <c r="T24" s="4">
        <v>2001</v>
      </c>
      <c r="U24" s="4" t="s">
        <v>30</v>
      </c>
      <c r="V24" s="5">
        <v>77</v>
      </c>
      <c r="Y24" s="4" t="s">
        <v>35</v>
      </c>
      <c r="Z24" s="4">
        <v>2001</v>
      </c>
      <c r="AA24" s="4" t="s">
        <v>30</v>
      </c>
      <c r="AB24" s="5">
        <v>71</v>
      </c>
      <c r="AE24" s="4" t="s">
        <v>47</v>
      </c>
      <c r="AF24" s="4">
        <v>2001</v>
      </c>
      <c r="AG24" s="4" t="s">
        <v>30</v>
      </c>
      <c r="AH24" s="5">
        <v>308</v>
      </c>
      <c r="AK24" s="4" t="s">
        <v>49</v>
      </c>
      <c r="AL24" s="4">
        <v>2001</v>
      </c>
      <c r="AM24" s="4" t="s">
        <v>30</v>
      </c>
      <c r="AN24" s="5">
        <v>119</v>
      </c>
      <c r="AQ24" s="4" t="s">
        <v>51</v>
      </c>
      <c r="AR24" s="4">
        <v>2001</v>
      </c>
      <c r="AS24" s="4" t="s">
        <v>30</v>
      </c>
      <c r="AT24" s="5">
        <v>86</v>
      </c>
      <c r="AW24" s="4" t="s">
        <v>53</v>
      </c>
      <c r="AX24" s="4">
        <v>2001</v>
      </c>
      <c r="AY24" s="4" t="s">
        <v>30</v>
      </c>
      <c r="AZ24" s="5">
        <v>147</v>
      </c>
      <c r="BC24" s="4" t="s">
        <v>55</v>
      </c>
      <c r="BD24" s="4">
        <v>2001</v>
      </c>
      <c r="BE24" s="4" t="s">
        <v>30</v>
      </c>
      <c r="BF24" s="5">
        <v>46</v>
      </c>
      <c r="BI24" s="4" t="s">
        <v>57</v>
      </c>
      <c r="BJ24" s="4">
        <v>2001</v>
      </c>
      <c r="BK24" s="4" t="s">
        <v>30</v>
      </c>
      <c r="BL24" s="5">
        <v>495</v>
      </c>
      <c r="BO24" s="4" t="s">
        <v>60</v>
      </c>
      <c r="BP24" s="4">
        <v>2001</v>
      </c>
      <c r="BQ24" s="4" t="s">
        <v>30</v>
      </c>
      <c r="BR24" s="5">
        <v>34</v>
      </c>
      <c r="BU24" s="4" t="s">
        <v>62</v>
      </c>
      <c r="BV24" s="4">
        <v>2001</v>
      </c>
      <c r="BW24" s="4" t="s">
        <v>30</v>
      </c>
      <c r="BX24" s="5">
        <v>588</v>
      </c>
      <c r="CA24" s="4" t="s">
        <v>64</v>
      </c>
      <c r="CB24" s="4">
        <v>2001</v>
      </c>
      <c r="CC24" s="4" t="s">
        <v>30</v>
      </c>
      <c r="CD24" s="5">
        <v>54</v>
      </c>
      <c r="CG24" s="4" t="s">
        <v>66</v>
      </c>
      <c r="CH24" s="4">
        <v>2001</v>
      </c>
      <c r="CI24" s="4" t="s">
        <v>30</v>
      </c>
      <c r="CJ24" s="5">
        <v>363</v>
      </c>
      <c r="CM24" s="4" t="s">
        <v>68</v>
      </c>
      <c r="CN24" s="4">
        <v>2001</v>
      </c>
      <c r="CO24" s="4" t="s">
        <v>30</v>
      </c>
      <c r="CP24" s="5">
        <v>129</v>
      </c>
      <c r="CS24" s="4" t="s">
        <v>206</v>
      </c>
      <c r="CT24" s="4">
        <v>2001</v>
      </c>
      <c r="CU24" s="4" t="s">
        <v>30</v>
      </c>
      <c r="CV24" s="5">
        <v>395</v>
      </c>
    </row>
    <row r="25" spans="1:100" ht="14.45" x14ac:dyDescent="0.3">
      <c r="A25" s="4" t="s">
        <v>185</v>
      </c>
      <c r="B25" s="4">
        <v>2001</v>
      </c>
      <c r="C25" s="4" t="s">
        <v>19</v>
      </c>
      <c r="D25" s="5">
        <v>10</v>
      </c>
      <c r="G25" s="4" t="s">
        <v>3</v>
      </c>
      <c r="H25" s="4">
        <v>2001</v>
      </c>
      <c r="I25" s="4" t="s">
        <v>19</v>
      </c>
      <c r="J25" s="5">
        <v>88</v>
      </c>
      <c r="M25" s="4" t="s">
        <v>31</v>
      </c>
      <c r="N25" s="4">
        <v>2001</v>
      </c>
      <c r="O25" s="4" t="s">
        <v>19</v>
      </c>
      <c r="P25" s="5">
        <v>108</v>
      </c>
      <c r="S25" s="4" t="s">
        <v>33</v>
      </c>
      <c r="T25" s="4">
        <v>2001</v>
      </c>
      <c r="U25" s="4" t="s">
        <v>19</v>
      </c>
      <c r="V25" s="5">
        <v>64</v>
      </c>
      <c r="Y25" s="4" t="s">
        <v>35</v>
      </c>
      <c r="Z25" s="4">
        <v>2001</v>
      </c>
      <c r="AA25" s="4" t="s">
        <v>19</v>
      </c>
      <c r="AB25" s="5">
        <v>74</v>
      </c>
      <c r="AE25" s="4" t="s">
        <v>47</v>
      </c>
      <c r="AF25" s="4">
        <v>2001</v>
      </c>
      <c r="AG25" s="4" t="s">
        <v>19</v>
      </c>
      <c r="AH25" s="5">
        <v>272</v>
      </c>
      <c r="AK25" s="4" t="s">
        <v>49</v>
      </c>
      <c r="AL25" s="4">
        <v>2001</v>
      </c>
      <c r="AM25" s="4" t="s">
        <v>19</v>
      </c>
      <c r="AN25" s="5">
        <v>86</v>
      </c>
      <c r="AQ25" s="4" t="s">
        <v>51</v>
      </c>
      <c r="AR25" s="4">
        <v>2001</v>
      </c>
      <c r="AS25" s="4" t="s">
        <v>19</v>
      </c>
      <c r="AT25" s="5">
        <v>80</v>
      </c>
      <c r="AW25" s="4" t="s">
        <v>53</v>
      </c>
      <c r="AX25" s="4">
        <v>2001</v>
      </c>
      <c r="AY25" s="4" t="s">
        <v>19</v>
      </c>
      <c r="AZ25" s="5">
        <v>148</v>
      </c>
      <c r="BC25" s="4" t="s">
        <v>55</v>
      </c>
      <c r="BD25" s="4">
        <v>2001</v>
      </c>
      <c r="BE25" s="4" t="s">
        <v>19</v>
      </c>
      <c r="BF25" s="5">
        <v>36</v>
      </c>
      <c r="BI25" s="4" t="s">
        <v>57</v>
      </c>
      <c r="BJ25" s="4">
        <v>2001</v>
      </c>
      <c r="BK25" s="4" t="s">
        <v>19</v>
      </c>
      <c r="BL25" s="5">
        <v>490</v>
      </c>
      <c r="BO25" s="4" t="s">
        <v>60</v>
      </c>
      <c r="BP25" s="4">
        <v>2001</v>
      </c>
      <c r="BQ25" s="4" t="s">
        <v>19</v>
      </c>
      <c r="BR25" s="5">
        <v>32</v>
      </c>
      <c r="BU25" s="4" t="s">
        <v>62</v>
      </c>
      <c r="BV25" s="4">
        <v>2001</v>
      </c>
      <c r="BW25" s="4" t="s">
        <v>19</v>
      </c>
      <c r="BX25" s="5">
        <v>627</v>
      </c>
      <c r="CA25" s="4" t="s">
        <v>64</v>
      </c>
      <c r="CB25" s="4">
        <v>2001</v>
      </c>
      <c r="CC25" s="4" t="s">
        <v>19</v>
      </c>
      <c r="CD25" s="5">
        <v>46</v>
      </c>
      <c r="CG25" s="4" t="s">
        <v>66</v>
      </c>
      <c r="CH25" s="4">
        <v>2001</v>
      </c>
      <c r="CI25" s="4" t="s">
        <v>19</v>
      </c>
      <c r="CJ25" s="5">
        <v>300</v>
      </c>
      <c r="CM25" s="4" t="s">
        <v>68</v>
      </c>
      <c r="CN25" s="4">
        <v>2001</v>
      </c>
      <c r="CO25" s="4" t="s">
        <v>19</v>
      </c>
      <c r="CP25" s="5">
        <v>187</v>
      </c>
      <c r="CS25" s="4" t="s">
        <v>206</v>
      </c>
      <c r="CT25" s="4">
        <v>2001</v>
      </c>
      <c r="CU25" s="4" t="s">
        <v>19</v>
      </c>
      <c r="CV25" s="5">
        <v>365</v>
      </c>
    </row>
    <row r="26" spans="1:100" ht="14.45" x14ac:dyDescent="0.3">
      <c r="A26" s="4" t="s">
        <v>185</v>
      </c>
      <c r="B26" s="4">
        <v>2002</v>
      </c>
      <c r="C26" s="4" t="s">
        <v>20</v>
      </c>
      <c r="D26" s="5">
        <v>16</v>
      </c>
      <c r="G26" s="4" t="s">
        <v>3</v>
      </c>
      <c r="H26" s="4">
        <v>2002</v>
      </c>
      <c r="I26" s="4" t="s">
        <v>20</v>
      </c>
      <c r="J26" s="5">
        <v>103</v>
      </c>
      <c r="M26" s="4" t="s">
        <v>31</v>
      </c>
      <c r="N26" s="4">
        <v>2002</v>
      </c>
      <c r="O26" s="4" t="s">
        <v>20</v>
      </c>
      <c r="P26" s="5">
        <v>168</v>
      </c>
      <c r="S26" s="4" t="s">
        <v>33</v>
      </c>
      <c r="T26" s="4">
        <v>2002</v>
      </c>
      <c r="U26" s="4" t="s">
        <v>20</v>
      </c>
      <c r="V26" s="5">
        <v>110</v>
      </c>
      <c r="Y26" s="4" t="s">
        <v>35</v>
      </c>
      <c r="Z26" s="4">
        <v>2002</v>
      </c>
      <c r="AA26" s="4" t="s">
        <v>20</v>
      </c>
      <c r="AB26" s="5">
        <v>134</v>
      </c>
      <c r="AE26" s="4" t="s">
        <v>47</v>
      </c>
      <c r="AF26" s="4">
        <v>2002</v>
      </c>
      <c r="AG26" s="4" t="s">
        <v>20</v>
      </c>
      <c r="AH26" s="5">
        <v>359</v>
      </c>
      <c r="AK26" s="4" t="s">
        <v>49</v>
      </c>
      <c r="AL26" s="4">
        <v>2002</v>
      </c>
      <c r="AM26" s="4" t="s">
        <v>20</v>
      </c>
      <c r="AN26" s="5">
        <v>93</v>
      </c>
      <c r="AQ26" s="4" t="s">
        <v>51</v>
      </c>
      <c r="AR26" s="4">
        <v>2002</v>
      </c>
      <c r="AS26" s="4" t="s">
        <v>20</v>
      </c>
      <c r="AT26" s="5">
        <v>133</v>
      </c>
      <c r="AW26" s="4" t="s">
        <v>53</v>
      </c>
      <c r="AX26" s="4">
        <v>2002</v>
      </c>
      <c r="AY26" s="4" t="s">
        <v>20</v>
      </c>
      <c r="AZ26" s="5">
        <v>322</v>
      </c>
      <c r="BC26" s="4" t="s">
        <v>55</v>
      </c>
      <c r="BD26" s="4">
        <v>2002</v>
      </c>
      <c r="BE26" s="4" t="s">
        <v>20</v>
      </c>
      <c r="BF26" s="5">
        <v>65</v>
      </c>
      <c r="BI26" s="4" t="s">
        <v>57</v>
      </c>
      <c r="BJ26" s="4">
        <v>2002</v>
      </c>
      <c r="BK26" s="4" t="s">
        <v>20</v>
      </c>
      <c r="BL26" s="5">
        <v>652</v>
      </c>
      <c r="BO26" s="4" t="s">
        <v>60</v>
      </c>
      <c r="BP26" s="4">
        <v>2002</v>
      </c>
      <c r="BQ26" s="4" t="s">
        <v>20</v>
      </c>
      <c r="BR26" s="5">
        <v>63</v>
      </c>
      <c r="BU26" s="4" t="s">
        <v>62</v>
      </c>
      <c r="BV26" s="4">
        <v>2002</v>
      </c>
      <c r="BW26" s="4" t="s">
        <v>20</v>
      </c>
      <c r="BX26" s="5">
        <v>777</v>
      </c>
      <c r="CA26" s="4" t="s">
        <v>64</v>
      </c>
      <c r="CB26" s="4">
        <v>2002</v>
      </c>
      <c r="CC26" s="4" t="s">
        <v>20</v>
      </c>
      <c r="CD26" s="5">
        <v>49</v>
      </c>
      <c r="CG26" s="4" t="s">
        <v>66</v>
      </c>
      <c r="CH26" s="4">
        <v>2002</v>
      </c>
      <c r="CI26" s="4" t="s">
        <v>20</v>
      </c>
      <c r="CJ26" s="5">
        <v>344</v>
      </c>
      <c r="CM26" s="4" t="s">
        <v>68</v>
      </c>
      <c r="CN26" s="4">
        <v>2002</v>
      </c>
      <c r="CO26" s="4" t="s">
        <v>20</v>
      </c>
      <c r="CP26" s="5">
        <v>171</v>
      </c>
      <c r="CS26" s="4" t="s">
        <v>206</v>
      </c>
      <c r="CT26" s="4">
        <v>2002</v>
      </c>
      <c r="CU26" s="4" t="s">
        <v>20</v>
      </c>
      <c r="CV26" s="5">
        <v>361</v>
      </c>
    </row>
    <row r="27" spans="1:100" ht="14.45" x14ac:dyDescent="0.3">
      <c r="A27" s="4" t="s">
        <v>185</v>
      </c>
      <c r="B27" s="4">
        <v>2002</v>
      </c>
      <c r="C27" s="4" t="s">
        <v>21</v>
      </c>
      <c r="D27" s="5">
        <v>16</v>
      </c>
      <c r="G27" s="4" t="s">
        <v>3</v>
      </c>
      <c r="H27" s="4">
        <v>2002</v>
      </c>
      <c r="I27" s="4" t="s">
        <v>21</v>
      </c>
      <c r="J27" s="5">
        <v>94</v>
      </c>
      <c r="M27" s="4" t="s">
        <v>31</v>
      </c>
      <c r="N27" s="4">
        <v>2002</v>
      </c>
      <c r="O27" s="4" t="s">
        <v>21</v>
      </c>
      <c r="P27" s="5">
        <v>137</v>
      </c>
      <c r="S27" s="4" t="s">
        <v>33</v>
      </c>
      <c r="T27" s="4">
        <v>2002</v>
      </c>
      <c r="U27" s="4" t="s">
        <v>21</v>
      </c>
      <c r="V27" s="5">
        <v>103</v>
      </c>
      <c r="Y27" s="4" t="s">
        <v>35</v>
      </c>
      <c r="Z27" s="4">
        <v>2002</v>
      </c>
      <c r="AA27" s="4" t="s">
        <v>21</v>
      </c>
      <c r="AB27" s="5">
        <v>103</v>
      </c>
      <c r="AE27" s="4" t="s">
        <v>47</v>
      </c>
      <c r="AF27" s="4">
        <v>2002</v>
      </c>
      <c r="AG27" s="4" t="s">
        <v>21</v>
      </c>
      <c r="AH27" s="5">
        <v>278</v>
      </c>
      <c r="AK27" s="4" t="s">
        <v>49</v>
      </c>
      <c r="AL27" s="4">
        <v>2002</v>
      </c>
      <c r="AM27" s="4" t="s">
        <v>21</v>
      </c>
      <c r="AN27" s="5">
        <v>76</v>
      </c>
      <c r="AQ27" s="4" t="s">
        <v>51</v>
      </c>
      <c r="AR27" s="4">
        <v>2002</v>
      </c>
      <c r="AS27" s="4" t="s">
        <v>21</v>
      </c>
      <c r="AT27" s="5">
        <v>89</v>
      </c>
      <c r="AW27" s="4" t="s">
        <v>53</v>
      </c>
      <c r="AX27" s="4">
        <v>2002</v>
      </c>
      <c r="AY27" s="4" t="s">
        <v>21</v>
      </c>
      <c r="AZ27" s="5">
        <v>124</v>
      </c>
      <c r="BC27" s="4" t="s">
        <v>55</v>
      </c>
      <c r="BD27" s="4">
        <v>2002</v>
      </c>
      <c r="BE27" s="4" t="s">
        <v>21</v>
      </c>
      <c r="BF27" s="5">
        <v>58</v>
      </c>
      <c r="BI27" s="4" t="s">
        <v>57</v>
      </c>
      <c r="BJ27" s="4">
        <v>2002</v>
      </c>
      <c r="BK27" s="4" t="s">
        <v>21</v>
      </c>
      <c r="BL27" s="5">
        <v>471</v>
      </c>
      <c r="BO27" s="4" t="s">
        <v>60</v>
      </c>
      <c r="BP27" s="4">
        <v>2002</v>
      </c>
      <c r="BQ27" s="4" t="s">
        <v>21</v>
      </c>
      <c r="BR27" s="5">
        <v>67</v>
      </c>
      <c r="BU27" s="4" t="s">
        <v>62</v>
      </c>
      <c r="BV27" s="4">
        <v>2002</v>
      </c>
      <c r="BW27" s="4" t="s">
        <v>21</v>
      </c>
      <c r="BX27" s="5">
        <v>652</v>
      </c>
      <c r="CA27" s="4" t="s">
        <v>64</v>
      </c>
      <c r="CB27" s="4">
        <v>2002</v>
      </c>
      <c r="CC27" s="4" t="s">
        <v>21</v>
      </c>
      <c r="CD27" s="5">
        <v>44</v>
      </c>
      <c r="CG27" s="4" t="s">
        <v>66</v>
      </c>
      <c r="CH27" s="4">
        <v>2002</v>
      </c>
      <c r="CI27" s="4" t="s">
        <v>21</v>
      </c>
      <c r="CJ27" s="5">
        <v>308</v>
      </c>
      <c r="CM27" s="4" t="s">
        <v>68</v>
      </c>
      <c r="CN27" s="4">
        <v>2002</v>
      </c>
      <c r="CO27" s="4" t="s">
        <v>21</v>
      </c>
      <c r="CP27" s="5">
        <v>136</v>
      </c>
      <c r="CS27" s="4" t="s">
        <v>206</v>
      </c>
      <c r="CT27" s="4">
        <v>2002</v>
      </c>
      <c r="CU27" s="4" t="s">
        <v>21</v>
      </c>
      <c r="CV27" s="5">
        <v>409</v>
      </c>
    </row>
    <row r="28" spans="1:100" ht="14.45" x14ac:dyDescent="0.3">
      <c r="A28" s="4" t="s">
        <v>185</v>
      </c>
      <c r="B28" s="4">
        <v>2002</v>
      </c>
      <c r="C28" s="4" t="s">
        <v>22</v>
      </c>
      <c r="D28" s="5">
        <v>4</v>
      </c>
      <c r="G28" s="4" t="s">
        <v>3</v>
      </c>
      <c r="H28" s="4">
        <v>2002</v>
      </c>
      <c r="I28" s="4" t="s">
        <v>22</v>
      </c>
      <c r="J28" s="5">
        <v>127</v>
      </c>
      <c r="M28" s="4" t="s">
        <v>31</v>
      </c>
      <c r="N28" s="4">
        <v>2002</v>
      </c>
      <c r="O28" s="4" t="s">
        <v>22</v>
      </c>
      <c r="P28" s="5">
        <v>124</v>
      </c>
      <c r="S28" s="4" t="s">
        <v>33</v>
      </c>
      <c r="T28" s="4">
        <v>2002</v>
      </c>
      <c r="U28" s="4" t="s">
        <v>22</v>
      </c>
      <c r="V28" s="5">
        <v>93</v>
      </c>
      <c r="Y28" s="4" t="s">
        <v>35</v>
      </c>
      <c r="Z28" s="4">
        <v>2002</v>
      </c>
      <c r="AA28" s="4" t="s">
        <v>22</v>
      </c>
      <c r="AB28" s="5">
        <v>133</v>
      </c>
      <c r="AE28" s="4" t="s">
        <v>47</v>
      </c>
      <c r="AF28" s="4">
        <v>2002</v>
      </c>
      <c r="AG28" s="4" t="s">
        <v>22</v>
      </c>
      <c r="AH28" s="5">
        <v>331</v>
      </c>
      <c r="AK28" s="4" t="s">
        <v>49</v>
      </c>
      <c r="AL28" s="4">
        <v>2002</v>
      </c>
      <c r="AM28" s="4" t="s">
        <v>22</v>
      </c>
      <c r="AN28" s="5">
        <v>76</v>
      </c>
      <c r="AQ28" s="4" t="s">
        <v>51</v>
      </c>
      <c r="AR28" s="4">
        <v>2002</v>
      </c>
      <c r="AS28" s="4" t="s">
        <v>22</v>
      </c>
      <c r="AT28" s="5">
        <v>71</v>
      </c>
      <c r="AW28" s="4" t="s">
        <v>53</v>
      </c>
      <c r="AX28" s="4">
        <v>2002</v>
      </c>
      <c r="AY28" s="4" t="s">
        <v>22</v>
      </c>
      <c r="AZ28" s="5">
        <v>188</v>
      </c>
      <c r="BC28" s="4" t="s">
        <v>55</v>
      </c>
      <c r="BD28" s="4">
        <v>2002</v>
      </c>
      <c r="BE28" s="4" t="s">
        <v>22</v>
      </c>
      <c r="BF28" s="5">
        <v>28</v>
      </c>
      <c r="BI28" s="4" t="s">
        <v>57</v>
      </c>
      <c r="BJ28" s="4">
        <v>2002</v>
      </c>
      <c r="BK28" s="4" t="s">
        <v>22</v>
      </c>
      <c r="BL28" s="5">
        <v>520</v>
      </c>
      <c r="BO28" s="4" t="s">
        <v>60</v>
      </c>
      <c r="BP28" s="4">
        <v>2002</v>
      </c>
      <c r="BQ28" s="4" t="s">
        <v>22</v>
      </c>
      <c r="BR28" s="5">
        <v>44</v>
      </c>
      <c r="BU28" s="4" t="s">
        <v>62</v>
      </c>
      <c r="BV28" s="4">
        <v>2002</v>
      </c>
      <c r="BW28" s="4" t="s">
        <v>22</v>
      </c>
      <c r="BX28" s="5">
        <v>656</v>
      </c>
      <c r="CA28" s="4" t="s">
        <v>64</v>
      </c>
      <c r="CB28" s="4">
        <v>2002</v>
      </c>
      <c r="CC28" s="4" t="s">
        <v>22</v>
      </c>
      <c r="CD28" s="5">
        <v>100</v>
      </c>
      <c r="CG28" s="4" t="s">
        <v>66</v>
      </c>
      <c r="CH28" s="4">
        <v>2002</v>
      </c>
      <c r="CI28" s="4" t="s">
        <v>22</v>
      </c>
      <c r="CJ28" s="5">
        <v>359</v>
      </c>
      <c r="CM28" s="4" t="s">
        <v>68</v>
      </c>
      <c r="CN28" s="4">
        <v>2002</v>
      </c>
      <c r="CO28" s="4" t="s">
        <v>22</v>
      </c>
      <c r="CP28" s="5">
        <v>137</v>
      </c>
      <c r="CS28" s="4" t="s">
        <v>206</v>
      </c>
      <c r="CT28" s="4">
        <v>2002</v>
      </c>
      <c r="CU28" s="4" t="s">
        <v>22</v>
      </c>
      <c r="CV28" s="5">
        <v>425</v>
      </c>
    </row>
    <row r="29" spans="1:100" x14ac:dyDescent="0.25">
      <c r="A29" s="4" t="s">
        <v>185</v>
      </c>
      <c r="B29" s="4">
        <v>2002</v>
      </c>
      <c r="C29" s="4" t="s">
        <v>23</v>
      </c>
      <c r="D29" s="5">
        <v>8</v>
      </c>
      <c r="G29" s="4" t="s">
        <v>3</v>
      </c>
      <c r="H29" s="4">
        <v>2002</v>
      </c>
      <c r="I29" s="4" t="s">
        <v>23</v>
      </c>
      <c r="J29" s="5">
        <v>118</v>
      </c>
      <c r="M29" s="4" t="s">
        <v>31</v>
      </c>
      <c r="N29" s="4">
        <v>2002</v>
      </c>
      <c r="O29" s="4" t="s">
        <v>23</v>
      </c>
      <c r="P29" s="5">
        <v>160</v>
      </c>
      <c r="S29" s="4" t="s">
        <v>33</v>
      </c>
      <c r="T29" s="4">
        <v>2002</v>
      </c>
      <c r="U29" s="4" t="s">
        <v>23</v>
      </c>
      <c r="V29" s="5">
        <v>101</v>
      </c>
      <c r="Y29" s="4" t="s">
        <v>35</v>
      </c>
      <c r="Z29" s="4">
        <v>2002</v>
      </c>
      <c r="AA29" s="4" t="s">
        <v>23</v>
      </c>
      <c r="AB29" s="5">
        <v>141</v>
      </c>
      <c r="AE29" s="4" t="s">
        <v>47</v>
      </c>
      <c r="AF29" s="4">
        <v>2002</v>
      </c>
      <c r="AG29" s="4" t="s">
        <v>23</v>
      </c>
      <c r="AH29" s="5">
        <v>339</v>
      </c>
      <c r="AK29" s="4" t="s">
        <v>49</v>
      </c>
      <c r="AL29" s="4">
        <v>2002</v>
      </c>
      <c r="AM29" s="4" t="s">
        <v>23</v>
      </c>
      <c r="AN29" s="5">
        <v>127</v>
      </c>
      <c r="AQ29" s="4" t="s">
        <v>51</v>
      </c>
      <c r="AR29" s="4">
        <v>2002</v>
      </c>
      <c r="AS29" s="4" t="s">
        <v>23</v>
      </c>
      <c r="AT29" s="5">
        <v>90</v>
      </c>
      <c r="AW29" s="4" t="s">
        <v>53</v>
      </c>
      <c r="AX29" s="4">
        <v>2002</v>
      </c>
      <c r="AY29" s="4" t="s">
        <v>23</v>
      </c>
      <c r="AZ29" s="5">
        <v>195</v>
      </c>
      <c r="BC29" s="4" t="s">
        <v>55</v>
      </c>
      <c r="BD29" s="4">
        <v>2002</v>
      </c>
      <c r="BE29" s="4" t="s">
        <v>23</v>
      </c>
      <c r="BF29" s="5">
        <v>70</v>
      </c>
      <c r="BI29" s="4" t="s">
        <v>57</v>
      </c>
      <c r="BJ29" s="4">
        <v>2002</v>
      </c>
      <c r="BK29" s="4" t="s">
        <v>23</v>
      </c>
      <c r="BL29" s="5">
        <v>594</v>
      </c>
      <c r="BO29" s="4" t="s">
        <v>60</v>
      </c>
      <c r="BP29" s="4">
        <v>2002</v>
      </c>
      <c r="BQ29" s="4" t="s">
        <v>23</v>
      </c>
      <c r="BR29" s="5">
        <v>69</v>
      </c>
      <c r="BU29" s="4" t="s">
        <v>62</v>
      </c>
      <c r="BV29" s="4">
        <v>2002</v>
      </c>
      <c r="BW29" s="4" t="s">
        <v>23</v>
      </c>
      <c r="BX29" s="5">
        <v>727</v>
      </c>
      <c r="CA29" s="4" t="s">
        <v>64</v>
      </c>
      <c r="CB29" s="4">
        <v>2002</v>
      </c>
      <c r="CC29" s="4" t="s">
        <v>23</v>
      </c>
      <c r="CD29" s="5">
        <v>72</v>
      </c>
      <c r="CG29" s="4" t="s">
        <v>66</v>
      </c>
      <c r="CH29" s="4">
        <v>2002</v>
      </c>
      <c r="CI29" s="4" t="s">
        <v>23</v>
      </c>
      <c r="CJ29" s="5">
        <v>445</v>
      </c>
      <c r="CM29" s="4" t="s">
        <v>68</v>
      </c>
      <c r="CN29" s="4">
        <v>2002</v>
      </c>
      <c r="CO29" s="4" t="s">
        <v>23</v>
      </c>
      <c r="CP29" s="5">
        <v>158</v>
      </c>
      <c r="CS29" s="4" t="s">
        <v>206</v>
      </c>
      <c r="CT29" s="4">
        <v>2002</v>
      </c>
      <c r="CU29" s="4" t="s">
        <v>23</v>
      </c>
      <c r="CV29" s="5">
        <v>393</v>
      </c>
    </row>
    <row r="30" spans="1:100" x14ac:dyDescent="0.25">
      <c r="A30" s="4" t="s">
        <v>185</v>
      </c>
      <c r="B30" s="4">
        <v>2002</v>
      </c>
      <c r="C30" s="4" t="s">
        <v>24</v>
      </c>
      <c r="D30" s="5">
        <v>4</v>
      </c>
      <c r="G30" s="4" t="s">
        <v>3</v>
      </c>
      <c r="H30" s="4">
        <v>2002</v>
      </c>
      <c r="I30" s="4" t="s">
        <v>24</v>
      </c>
      <c r="J30" s="5">
        <v>133</v>
      </c>
      <c r="M30" s="4" t="s">
        <v>31</v>
      </c>
      <c r="N30" s="4">
        <v>2002</v>
      </c>
      <c r="O30" s="4" t="s">
        <v>24</v>
      </c>
      <c r="P30" s="5">
        <v>158</v>
      </c>
      <c r="S30" s="4" t="s">
        <v>33</v>
      </c>
      <c r="T30" s="4">
        <v>2002</v>
      </c>
      <c r="U30" s="4" t="s">
        <v>24</v>
      </c>
      <c r="V30" s="5">
        <v>93</v>
      </c>
      <c r="Y30" s="4" t="s">
        <v>35</v>
      </c>
      <c r="Z30" s="4">
        <v>2002</v>
      </c>
      <c r="AA30" s="4" t="s">
        <v>24</v>
      </c>
      <c r="AB30" s="5">
        <v>102</v>
      </c>
      <c r="AE30" s="4" t="s">
        <v>47</v>
      </c>
      <c r="AF30" s="4">
        <v>2002</v>
      </c>
      <c r="AG30" s="4" t="s">
        <v>24</v>
      </c>
      <c r="AH30" s="5">
        <v>317</v>
      </c>
      <c r="AK30" s="4" t="s">
        <v>49</v>
      </c>
      <c r="AL30" s="4">
        <v>2002</v>
      </c>
      <c r="AM30" s="4" t="s">
        <v>24</v>
      </c>
      <c r="AN30" s="5">
        <v>102</v>
      </c>
      <c r="AQ30" s="4" t="s">
        <v>51</v>
      </c>
      <c r="AR30" s="4">
        <v>2002</v>
      </c>
      <c r="AS30" s="4" t="s">
        <v>24</v>
      </c>
      <c r="AT30" s="5">
        <v>78</v>
      </c>
      <c r="AW30" s="4" t="s">
        <v>53</v>
      </c>
      <c r="AX30" s="4">
        <v>2002</v>
      </c>
      <c r="AY30" s="4" t="s">
        <v>24</v>
      </c>
      <c r="AZ30" s="5">
        <v>143</v>
      </c>
      <c r="BC30" s="4" t="s">
        <v>55</v>
      </c>
      <c r="BD30" s="4">
        <v>2002</v>
      </c>
      <c r="BE30" s="4" t="s">
        <v>24</v>
      </c>
      <c r="BF30" s="5">
        <v>45</v>
      </c>
      <c r="BI30" s="4" t="s">
        <v>57</v>
      </c>
      <c r="BJ30" s="4">
        <v>2002</v>
      </c>
      <c r="BK30" s="4" t="s">
        <v>24</v>
      </c>
      <c r="BL30" s="5">
        <v>643</v>
      </c>
      <c r="BO30" s="4" t="s">
        <v>60</v>
      </c>
      <c r="BP30" s="4">
        <v>2002</v>
      </c>
      <c r="BQ30" s="4" t="s">
        <v>24</v>
      </c>
      <c r="BR30" s="5">
        <v>63</v>
      </c>
      <c r="BU30" s="4" t="s">
        <v>62</v>
      </c>
      <c r="BV30" s="4">
        <v>2002</v>
      </c>
      <c r="BW30" s="4" t="s">
        <v>24</v>
      </c>
      <c r="BX30" s="5">
        <v>570</v>
      </c>
      <c r="CA30" s="4" t="s">
        <v>64</v>
      </c>
      <c r="CB30" s="4">
        <v>2002</v>
      </c>
      <c r="CC30" s="4" t="s">
        <v>24</v>
      </c>
      <c r="CD30" s="5">
        <v>72</v>
      </c>
      <c r="CG30" s="4" t="s">
        <v>66</v>
      </c>
      <c r="CH30" s="4">
        <v>2002</v>
      </c>
      <c r="CI30" s="4" t="s">
        <v>24</v>
      </c>
      <c r="CJ30" s="5">
        <v>379</v>
      </c>
      <c r="CM30" s="4" t="s">
        <v>68</v>
      </c>
      <c r="CN30" s="4">
        <v>2002</v>
      </c>
      <c r="CO30" s="4" t="s">
        <v>24</v>
      </c>
      <c r="CP30" s="5">
        <v>172</v>
      </c>
      <c r="CS30" s="4" t="s">
        <v>206</v>
      </c>
      <c r="CT30" s="4">
        <v>2002</v>
      </c>
      <c r="CU30" s="4" t="s">
        <v>24</v>
      </c>
      <c r="CV30" s="5">
        <v>472</v>
      </c>
    </row>
    <row r="31" spans="1:100" x14ac:dyDescent="0.25">
      <c r="A31" s="4" t="s">
        <v>185</v>
      </c>
      <c r="B31" s="4">
        <v>2002</v>
      </c>
      <c r="C31" s="4" t="s">
        <v>25</v>
      </c>
      <c r="D31" s="5">
        <v>9</v>
      </c>
      <c r="G31" s="4" t="s">
        <v>3</v>
      </c>
      <c r="H31" s="4">
        <v>2002</v>
      </c>
      <c r="I31" s="4" t="s">
        <v>25</v>
      </c>
      <c r="J31" s="5">
        <v>135</v>
      </c>
      <c r="M31" s="4" t="s">
        <v>31</v>
      </c>
      <c r="N31" s="4">
        <v>2002</v>
      </c>
      <c r="O31" s="4" t="s">
        <v>25</v>
      </c>
      <c r="P31" s="5">
        <v>153</v>
      </c>
      <c r="S31" s="4" t="s">
        <v>33</v>
      </c>
      <c r="T31" s="4">
        <v>2002</v>
      </c>
      <c r="U31" s="4" t="s">
        <v>25</v>
      </c>
      <c r="V31" s="5">
        <v>100</v>
      </c>
      <c r="Y31" s="4" t="s">
        <v>35</v>
      </c>
      <c r="Z31" s="4">
        <v>2002</v>
      </c>
      <c r="AA31" s="4" t="s">
        <v>25</v>
      </c>
      <c r="AB31" s="5">
        <v>121</v>
      </c>
      <c r="AE31" s="4" t="s">
        <v>47</v>
      </c>
      <c r="AF31" s="4">
        <v>2002</v>
      </c>
      <c r="AG31" s="4" t="s">
        <v>25</v>
      </c>
      <c r="AH31" s="5">
        <v>300</v>
      </c>
      <c r="AK31" s="4" t="s">
        <v>49</v>
      </c>
      <c r="AL31" s="4">
        <v>2002</v>
      </c>
      <c r="AM31" s="4" t="s">
        <v>25</v>
      </c>
      <c r="AN31" s="5">
        <v>77</v>
      </c>
      <c r="AQ31" s="4" t="s">
        <v>51</v>
      </c>
      <c r="AR31" s="4">
        <v>2002</v>
      </c>
      <c r="AS31" s="4" t="s">
        <v>25</v>
      </c>
      <c r="AT31" s="5">
        <v>55</v>
      </c>
      <c r="AW31" s="4" t="s">
        <v>53</v>
      </c>
      <c r="AX31" s="4">
        <v>2002</v>
      </c>
      <c r="AY31" s="4" t="s">
        <v>25</v>
      </c>
      <c r="AZ31" s="5">
        <v>159</v>
      </c>
      <c r="BC31" s="4" t="s">
        <v>55</v>
      </c>
      <c r="BD31" s="4">
        <v>2002</v>
      </c>
      <c r="BE31" s="4" t="s">
        <v>25</v>
      </c>
      <c r="BF31" s="5">
        <v>53</v>
      </c>
      <c r="BI31" s="4" t="s">
        <v>57</v>
      </c>
      <c r="BJ31" s="4">
        <v>2002</v>
      </c>
      <c r="BK31" s="4" t="s">
        <v>25</v>
      </c>
      <c r="BL31" s="5">
        <v>482</v>
      </c>
      <c r="BO31" s="4" t="s">
        <v>60</v>
      </c>
      <c r="BP31" s="4">
        <v>2002</v>
      </c>
      <c r="BQ31" s="4" t="s">
        <v>25</v>
      </c>
      <c r="BR31" s="5">
        <v>83</v>
      </c>
      <c r="BU31" s="4" t="s">
        <v>62</v>
      </c>
      <c r="BV31" s="4">
        <v>2002</v>
      </c>
      <c r="BW31" s="4" t="s">
        <v>25</v>
      </c>
      <c r="BX31" s="5">
        <v>609</v>
      </c>
      <c r="CA31" s="4" t="s">
        <v>64</v>
      </c>
      <c r="CB31" s="4">
        <v>2002</v>
      </c>
      <c r="CC31" s="4" t="s">
        <v>25</v>
      </c>
      <c r="CD31" s="5">
        <v>47</v>
      </c>
      <c r="CG31" s="4" t="s">
        <v>66</v>
      </c>
      <c r="CH31" s="4">
        <v>2002</v>
      </c>
      <c r="CI31" s="4" t="s">
        <v>25</v>
      </c>
      <c r="CJ31" s="5">
        <v>279</v>
      </c>
      <c r="CM31" s="4" t="s">
        <v>68</v>
      </c>
      <c r="CN31" s="4">
        <v>2002</v>
      </c>
      <c r="CO31" s="4" t="s">
        <v>25</v>
      </c>
      <c r="CP31" s="5">
        <v>109</v>
      </c>
      <c r="CS31" s="4" t="s">
        <v>206</v>
      </c>
      <c r="CT31" s="4">
        <v>2002</v>
      </c>
      <c r="CU31" s="4" t="s">
        <v>25</v>
      </c>
      <c r="CV31" s="5">
        <v>423</v>
      </c>
    </row>
    <row r="32" spans="1:100" x14ac:dyDescent="0.25">
      <c r="A32" s="4" t="s">
        <v>185</v>
      </c>
      <c r="B32" s="4">
        <v>2002</v>
      </c>
      <c r="C32" s="4" t="s">
        <v>26</v>
      </c>
      <c r="D32" s="5">
        <v>7</v>
      </c>
      <c r="G32" s="4" t="s">
        <v>3</v>
      </c>
      <c r="H32" s="4">
        <v>2002</v>
      </c>
      <c r="I32" s="4" t="s">
        <v>26</v>
      </c>
      <c r="J32" s="5">
        <v>110</v>
      </c>
      <c r="M32" s="4" t="s">
        <v>31</v>
      </c>
      <c r="N32" s="4">
        <v>2002</v>
      </c>
      <c r="O32" s="4" t="s">
        <v>26</v>
      </c>
      <c r="P32" s="5">
        <v>182</v>
      </c>
      <c r="S32" s="4" t="s">
        <v>33</v>
      </c>
      <c r="T32" s="4">
        <v>2002</v>
      </c>
      <c r="U32" s="4" t="s">
        <v>26</v>
      </c>
      <c r="V32" s="5">
        <v>100</v>
      </c>
      <c r="Y32" s="4" t="s">
        <v>35</v>
      </c>
      <c r="Z32" s="4">
        <v>2002</v>
      </c>
      <c r="AA32" s="4" t="s">
        <v>26</v>
      </c>
      <c r="AB32" s="5">
        <v>109</v>
      </c>
      <c r="AE32" s="4" t="s">
        <v>47</v>
      </c>
      <c r="AF32" s="4">
        <v>2002</v>
      </c>
      <c r="AG32" s="4" t="s">
        <v>26</v>
      </c>
      <c r="AH32" s="5">
        <v>369</v>
      </c>
      <c r="AK32" s="4" t="s">
        <v>49</v>
      </c>
      <c r="AL32" s="4">
        <v>2002</v>
      </c>
      <c r="AM32" s="4" t="s">
        <v>26</v>
      </c>
      <c r="AN32" s="5">
        <v>93</v>
      </c>
      <c r="AQ32" s="4" t="s">
        <v>51</v>
      </c>
      <c r="AR32" s="4">
        <v>2002</v>
      </c>
      <c r="AS32" s="4" t="s">
        <v>26</v>
      </c>
      <c r="AT32" s="5">
        <v>105</v>
      </c>
      <c r="AW32" s="4" t="s">
        <v>53</v>
      </c>
      <c r="AX32" s="4">
        <v>2002</v>
      </c>
      <c r="AY32" s="4" t="s">
        <v>26</v>
      </c>
      <c r="AZ32" s="5">
        <v>181</v>
      </c>
      <c r="BC32" s="4" t="s">
        <v>55</v>
      </c>
      <c r="BD32" s="4">
        <v>2002</v>
      </c>
      <c r="BE32" s="4" t="s">
        <v>26</v>
      </c>
      <c r="BF32" s="5">
        <v>43</v>
      </c>
      <c r="BI32" s="4" t="s">
        <v>57</v>
      </c>
      <c r="BJ32" s="4">
        <v>2002</v>
      </c>
      <c r="BK32" s="4" t="s">
        <v>26</v>
      </c>
      <c r="BL32" s="5">
        <v>638</v>
      </c>
      <c r="BO32" s="4" t="s">
        <v>60</v>
      </c>
      <c r="BP32" s="4">
        <v>2002</v>
      </c>
      <c r="BQ32" s="4" t="s">
        <v>26</v>
      </c>
      <c r="BR32" s="5">
        <v>63</v>
      </c>
      <c r="BU32" s="4" t="s">
        <v>62</v>
      </c>
      <c r="BV32" s="4">
        <v>2002</v>
      </c>
      <c r="BW32" s="4" t="s">
        <v>26</v>
      </c>
      <c r="BX32" s="5">
        <v>660</v>
      </c>
      <c r="CA32" s="4" t="s">
        <v>64</v>
      </c>
      <c r="CB32" s="4">
        <v>2002</v>
      </c>
      <c r="CC32" s="4" t="s">
        <v>26</v>
      </c>
      <c r="CD32" s="5">
        <v>44</v>
      </c>
      <c r="CG32" s="4" t="s">
        <v>66</v>
      </c>
      <c r="CH32" s="4">
        <v>2002</v>
      </c>
      <c r="CI32" s="4" t="s">
        <v>26</v>
      </c>
      <c r="CJ32" s="5">
        <v>440</v>
      </c>
      <c r="CM32" s="4" t="s">
        <v>68</v>
      </c>
      <c r="CN32" s="4">
        <v>2002</v>
      </c>
      <c r="CO32" s="4" t="s">
        <v>26</v>
      </c>
      <c r="CP32" s="5">
        <v>159</v>
      </c>
      <c r="CS32" s="4" t="s">
        <v>206</v>
      </c>
      <c r="CT32" s="4">
        <v>2002</v>
      </c>
      <c r="CU32" s="4" t="s">
        <v>26</v>
      </c>
      <c r="CV32" s="5">
        <v>436</v>
      </c>
    </row>
    <row r="33" spans="1:100" x14ac:dyDescent="0.25">
      <c r="A33" s="4" t="s">
        <v>185</v>
      </c>
      <c r="B33" s="4">
        <v>2002</v>
      </c>
      <c r="C33" s="4" t="s">
        <v>27</v>
      </c>
      <c r="D33" s="5">
        <v>9</v>
      </c>
      <c r="G33" s="4" t="s">
        <v>3</v>
      </c>
      <c r="H33" s="4">
        <v>2002</v>
      </c>
      <c r="I33" s="4" t="s">
        <v>27</v>
      </c>
      <c r="J33" s="5">
        <v>111</v>
      </c>
      <c r="M33" s="4" t="s">
        <v>31</v>
      </c>
      <c r="N33" s="4">
        <v>2002</v>
      </c>
      <c r="O33" s="4" t="s">
        <v>27</v>
      </c>
      <c r="P33" s="5">
        <v>145</v>
      </c>
      <c r="S33" s="4" t="s">
        <v>33</v>
      </c>
      <c r="T33" s="4">
        <v>2002</v>
      </c>
      <c r="U33" s="4" t="s">
        <v>27</v>
      </c>
      <c r="V33" s="5">
        <v>91</v>
      </c>
      <c r="Y33" s="4" t="s">
        <v>35</v>
      </c>
      <c r="Z33" s="4">
        <v>2002</v>
      </c>
      <c r="AA33" s="4" t="s">
        <v>27</v>
      </c>
      <c r="AB33" s="5">
        <v>109</v>
      </c>
      <c r="AE33" s="4" t="s">
        <v>47</v>
      </c>
      <c r="AF33" s="4">
        <v>2002</v>
      </c>
      <c r="AG33" s="4" t="s">
        <v>27</v>
      </c>
      <c r="AH33" s="5">
        <v>346</v>
      </c>
      <c r="AK33" s="4" t="s">
        <v>49</v>
      </c>
      <c r="AL33" s="4">
        <v>2002</v>
      </c>
      <c r="AM33" s="4" t="s">
        <v>27</v>
      </c>
      <c r="AN33" s="5">
        <v>88</v>
      </c>
      <c r="AQ33" s="4" t="s">
        <v>51</v>
      </c>
      <c r="AR33" s="4">
        <v>2002</v>
      </c>
      <c r="AS33" s="4" t="s">
        <v>27</v>
      </c>
      <c r="AT33" s="5">
        <v>78</v>
      </c>
      <c r="AW33" s="4" t="s">
        <v>53</v>
      </c>
      <c r="AX33" s="4">
        <v>2002</v>
      </c>
      <c r="AY33" s="4" t="s">
        <v>27</v>
      </c>
      <c r="AZ33" s="5">
        <v>159</v>
      </c>
      <c r="BC33" s="4" t="s">
        <v>55</v>
      </c>
      <c r="BD33" s="4">
        <v>2002</v>
      </c>
      <c r="BE33" s="4" t="s">
        <v>27</v>
      </c>
      <c r="BF33" s="5">
        <v>38</v>
      </c>
      <c r="BI33" s="4" t="s">
        <v>57</v>
      </c>
      <c r="BJ33" s="4">
        <v>2002</v>
      </c>
      <c r="BK33" s="4" t="s">
        <v>27</v>
      </c>
      <c r="BL33" s="5">
        <v>564</v>
      </c>
      <c r="BO33" s="4" t="s">
        <v>60</v>
      </c>
      <c r="BP33" s="4">
        <v>2002</v>
      </c>
      <c r="BQ33" s="4" t="s">
        <v>27</v>
      </c>
      <c r="BR33" s="5">
        <v>46</v>
      </c>
      <c r="BU33" s="4" t="s">
        <v>62</v>
      </c>
      <c r="BV33" s="4">
        <v>2002</v>
      </c>
      <c r="BW33" s="4" t="s">
        <v>27</v>
      </c>
      <c r="BX33" s="5">
        <v>621</v>
      </c>
      <c r="CA33" s="4" t="s">
        <v>64</v>
      </c>
      <c r="CB33" s="4">
        <v>2002</v>
      </c>
      <c r="CC33" s="4" t="s">
        <v>27</v>
      </c>
      <c r="CD33" s="5">
        <v>56</v>
      </c>
      <c r="CG33" s="4" t="s">
        <v>66</v>
      </c>
      <c r="CH33" s="4">
        <v>2002</v>
      </c>
      <c r="CI33" s="4" t="s">
        <v>27</v>
      </c>
      <c r="CJ33" s="5">
        <v>377</v>
      </c>
      <c r="CM33" s="4" t="s">
        <v>68</v>
      </c>
      <c r="CN33" s="4">
        <v>2002</v>
      </c>
      <c r="CO33" s="4" t="s">
        <v>27</v>
      </c>
      <c r="CP33" s="5">
        <v>141</v>
      </c>
      <c r="CS33" s="4" t="s">
        <v>206</v>
      </c>
      <c r="CT33" s="4">
        <v>2002</v>
      </c>
      <c r="CU33" s="4" t="s">
        <v>27</v>
      </c>
      <c r="CV33" s="5">
        <v>439</v>
      </c>
    </row>
    <row r="34" spans="1:100" x14ac:dyDescent="0.25">
      <c r="A34" s="4" t="s">
        <v>185</v>
      </c>
      <c r="B34" s="4">
        <v>2002</v>
      </c>
      <c r="C34" s="4" t="s">
        <v>28</v>
      </c>
      <c r="D34" s="5">
        <v>6</v>
      </c>
      <c r="G34" s="4" t="s">
        <v>3</v>
      </c>
      <c r="H34" s="4">
        <v>2002</v>
      </c>
      <c r="I34" s="4" t="s">
        <v>28</v>
      </c>
      <c r="J34" s="5">
        <v>132</v>
      </c>
      <c r="M34" s="4" t="s">
        <v>31</v>
      </c>
      <c r="N34" s="4">
        <v>2002</v>
      </c>
      <c r="O34" s="4" t="s">
        <v>28</v>
      </c>
      <c r="P34" s="5">
        <v>141</v>
      </c>
      <c r="S34" s="4" t="s">
        <v>33</v>
      </c>
      <c r="T34" s="4">
        <v>2002</v>
      </c>
      <c r="U34" s="4" t="s">
        <v>28</v>
      </c>
      <c r="V34" s="5">
        <v>92</v>
      </c>
      <c r="Y34" s="4" t="s">
        <v>35</v>
      </c>
      <c r="Z34" s="4">
        <v>2002</v>
      </c>
      <c r="AA34" s="4" t="s">
        <v>28</v>
      </c>
      <c r="AB34" s="5">
        <v>90</v>
      </c>
      <c r="AE34" s="4" t="s">
        <v>47</v>
      </c>
      <c r="AF34" s="4">
        <v>2002</v>
      </c>
      <c r="AG34" s="4" t="s">
        <v>28</v>
      </c>
      <c r="AH34" s="5">
        <v>394</v>
      </c>
      <c r="AK34" s="4" t="s">
        <v>49</v>
      </c>
      <c r="AL34" s="4">
        <v>2002</v>
      </c>
      <c r="AM34" s="4" t="s">
        <v>28</v>
      </c>
      <c r="AN34" s="5">
        <v>69</v>
      </c>
      <c r="AQ34" s="4" t="s">
        <v>51</v>
      </c>
      <c r="AR34" s="4">
        <v>2002</v>
      </c>
      <c r="AS34" s="4" t="s">
        <v>28</v>
      </c>
      <c r="AT34" s="5">
        <v>64</v>
      </c>
      <c r="AW34" s="4" t="s">
        <v>53</v>
      </c>
      <c r="AX34" s="4">
        <v>2002</v>
      </c>
      <c r="AY34" s="4" t="s">
        <v>28</v>
      </c>
      <c r="AZ34" s="5">
        <v>117</v>
      </c>
      <c r="BC34" s="4" t="s">
        <v>55</v>
      </c>
      <c r="BD34" s="4">
        <v>2002</v>
      </c>
      <c r="BE34" s="4" t="s">
        <v>28</v>
      </c>
      <c r="BF34" s="5">
        <v>30</v>
      </c>
      <c r="BI34" s="4" t="s">
        <v>57</v>
      </c>
      <c r="BJ34" s="4">
        <v>2002</v>
      </c>
      <c r="BK34" s="4" t="s">
        <v>28</v>
      </c>
      <c r="BL34" s="5">
        <v>557</v>
      </c>
      <c r="BO34" s="4" t="s">
        <v>60</v>
      </c>
      <c r="BP34" s="4">
        <v>2002</v>
      </c>
      <c r="BQ34" s="4" t="s">
        <v>28</v>
      </c>
      <c r="BR34" s="5">
        <v>35</v>
      </c>
      <c r="BU34" s="4" t="s">
        <v>62</v>
      </c>
      <c r="BV34" s="4">
        <v>2002</v>
      </c>
      <c r="BW34" s="4" t="s">
        <v>28</v>
      </c>
      <c r="BX34" s="5">
        <v>618</v>
      </c>
      <c r="CA34" s="4" t="s">
        <v>64</v>
      </c>
      <c r="CB34" s="4">
        <v>2002</v>
      </c>
      <c r="CC34" s="4" t="s">
        <v>28</v>
      </c>
      <c r="CD34" s="5">
        <v>36</v>
      </c>
      <c r="CG34" s="4" t="s">
        <v>66</v>
      </c>
      <c r="CH34" s="4">
        <v>2002</v>
      </c>
      <c r="CI34" s="4" t="s">
        <v>28</v>
      </c>
      <c r="CJ34" s="5">
        <v>304</v>
      </c>
      <c r="CM34" s="4" t="s">
        <v>68</v>
      </c>
      <c r="CN34" s="4">
        <v>2002</v>
      </c>
      <c r="CO34" s="4" t="s">
        <v>28</v>
      </c>
      <c r="CP34" s="5">
        <v>160</v>
      </c>
      <c r="CS34" s="4" t="s">
        <v>206</v>
      </c>
      <c r="CT34" s="4">
        <v>2002</v>
      </c>
      <c r="CU34" s="4" t="s">
        <v>28</v>
      </c>
      <c r="CV34" s="5">
        <v>364</v>
      </c>
    </row>
    <row r="35" spans="1:100" x14ac:dyDescent="0.25">
      <c r="A35" s="4" t="s">
        <v>185</v>
      </c>
      <c r="B35" s="4">
        <v>2002</v>
      </c>
      <c r="C35" s="4" t="s">
        <v>29</v>
      </c>
      <c r="D35" s="5">
        <v>10</v>
      </c>
      <c r="G35" s="4" t="s">
        <v>3</v>
      </c>
      <c r="H35" s="4">
        <v>2002</v>
      </c>
      <c r="I35" s="4" t="s">
        <v>29</v>
      </c>
      <c r="J35" s="5">
        <v>127</v>
      </c>
      <c r="M35" s="4" t="s">
        <v>31</v>
      </c>
      <c r="N35" s="4">
        <v>2002</v>
      </c>
      <c r="O35" s="4" t="s">
        <v>29</v>
      </c>
      <c r="P35" s="5">
        <v>153</v>
      </c>
      <c r="S35" s="4" t="s">
        <v>33</v>
      </c>
      <c r="T35" s="4">
        <v>2002</v>
      </c>
      <c r="U35" s="4" t="s">
        <v>29</v>
      </c>
      <c r="V35" s="5">
        <v>82</v>
      </c>
      <c r="Y35" s="4" t="s">
        <v>35</v>
      </c>
      <c r="Z35" s="4">
        <v>2002</v>
      </c>
      <c r="AA35" s="4" t="s">
        <v>29</v>
      </c>
      <c r="AB35" s="5">
        <v>85</v>
      </c>
      <c r="AE35" s="4" t="s">
        <v>47</v>
      </c>
      <c r="AF35" s="4">
        <v>2002</v>
      </c>
      <c r="AG35" s="4" t="s">
        <v>29</v>
      </c>
      <c r="AH35" s="5">
        <v>543</v>
      </c>
      <c r="AK35" s="4" t="s">
        <v>49</v>
      </c>
      <c r="AL35" s="4">
        <v>2002</v>
      </c>
      <c r="AM35" s="4" t="s">
        <v>29</v>
      </c>
      <c r="AN35" s="5">
        <v>107</v>
      </c>
      <c r="AQ35" s="4" t="s">
        <v>51</v>
      </c>
      <c r="AR35" s="4">
        <v>2002</v>
      </c>
      <c r="AS35" s="4" t="s">
        <v>29</v>
      </c>
      <c r="AT35" s="5">
        <v>98</v>
      </c>
      <c r="AW35" s="4" t="s">
        <v>53</v>
      </c>
      <c r="AX35" s="4">
        <v>2002</v>
      </c>
      <c r="AY35" s="4" t="s">
        <v>29</v>
      </c>
      <c r="AZ35" s="5">
        <v>197</v>
      </c>
      <c r="BC35" s="4" t="s">
        <v>55</v>
      </c>
      <c r="BD35" s="4">
        <v>2002</v>
      </c>
      <c r="BE35" s="4" t="s">
        <v>29</v>
      </c>
      <c r="BF35" s="5">
        <v>57</v>
      </c>
      <c r="BI35" s="4" t="s">
        <v>57</v>
      </c>
      <c r="BJ35" s="4">
        <v>2002</v>
      </c>
      <c r="BK35" s="4" t="s">
        <v>29</v>
      </c>
      <c r="BL35" s="5">
        <v>739</v>
      </c>
      <c r="BO35" s="4" t="s">
        <v>60</v>
      </c>
      <c r="BP35" s="4">
        <v>2002</v>
      </c>
      <c r="BQ35" s="4" t="s">
        <v>29</v>
      </c>
      <c r="BR35" s="5">
        <v>43</v>
      </c>
      <c r="BU35" s="4" t="s">
        <v>62</v>
      </c>
      <c r="BV35" s="4">
        <v>2002</v>
      </c>
      <c r="BW35" s="4" t="s">
        <v>29</v>
      </c>
      <c r="BX35" s="5">
        <v>646</v>
      </c>
      <c r="CA35" s="4" t="s">
        <v>64</v>
      </c>
      <c r="CB35" s="4">
        <v>2002</v>
      </c>
      <c r="CC35" s="4" t="s">
        <v>29</v>
      </c>
      <c r="CD35" s="5">
        <v>43</v>
      </c>
      <c r="CG35" s="4" t="s">
        <v>66</v>
      </c>
      <c r="CH35" s="4">
        <v>2002</v>
      </c>
      <c r="CI35" s="4" t="s">
        <v>29</v>
      </c>
      <c r="CJ35" s="5">
        <v>347</v>
      </c>
      <c r="CM35" s="4" t="s">
        <v>68</v>
      </c>
      <c r="CN35" s="4">
        <v>2002</v>
      </c>
      <c r="CO35" s="4" t="s">
        <v>29</v>
      </c>
      <c r="CP35" s="5">
        <v>167</v>
      </c>
      <c r="CS35" s="4" t="s">
        <v>206</v>
      </c>
      <c r="CT35" s="4">
        <v>2002</v>
      </c>
      <c r="CU35" s="4" t="s">
        <v>29</v>
      </c>
      <c r="CV35" s="5">
        <v>383</v>
      </c>
    </row>
    <row r="36" spans="1:100" x14ac:dyDescent="0.25">
      <c r="A36" s="4" t="s">
        <v>185</v>
      </c>
      <c r="B36" s="4">
        <v>2002</v>
      </c>
      <c r="C36" s="4" t="s">
        <v>30</v>
      </c>
      <c r="D36" s="5">
        <v>5</v>
      </c>
      <c r="G36" s="4" t="s">
        <v>3</v>
      </c>
      <c r="H36" s="4">
        <v>2002</v>
      </c>
      <c r="I36" s="4" t="s">
        <v>30</v>
      </c>
      <c r="J36" s="5">
        <v>84</v>
      </c>
      <c r="M36" s="4" t="s">
        <v>31</v>
      </c>
      <c r="N36" s="4">
        <v>2002</v>
      </c>
      <c r="O36" s="4" t="s">
        <v>30</v>
      </c>
      <c r="P36" s="5">
        <v>115</v>
      </c>
      <c r="S36" s="4" t="s">
        <v>33</v>
      </c>
      <c r="T36" s="4">
        <v>2002</v>
      </c>
      <c r="U36" s="4" t="s">
        <v>30</v>
      </c>
      <c r="V36" s="5">
        <v>68</v>
      </c>
      <c r="Y36" s="4" t="s">
        <v>35</v>
      </c>
      <c r="Z36" s="4">
        <v>2002</v>
      </c>
      <c r="AA36" s="4" t="s">
        <v>30</v>
      </c>
      <c r="AB36" s="5">
        <v>76</v>
      </c>
      <c r="AE36" s="4" t="s">
        <v>47</v>
      </c>
      <c r="AF36" s="4">
        <v>2002</v>
      </c>
      <c r="AG36" s="4" t="s">
        <v>30</v>
      </c>
      <c r="AH36" s="5">
        <v>273</v>
      </c>
      <c r="AK36" s="4" t="s">
        <v>49</v>
      </c>
      <c r="AL36" s="4">
        <v>2002</v>
      </c>
      <c r="AM36" s="4" t="s">
        <v>30</v>
      </c>
      <c r="AN36" s="5">
        <v>102</v>
      </c>
      <c r="AQ36" s="4" t="s">
        <v>51</v>
      </c>
      <c r="AR36" s="4">
        <v>2002</v>
      </c>
      <c r="AS36" s="4" t="s">
        <v>30</v>
      </c>
      <c r="AT36" s="5">
        <v>66</v>
      </c>
      <c r="AW36" s="4" t="s">
        <v>53</v>
      </c>
      <c r="AX36" s="4">
        <v>2002</v>
      </c>
      <c r="AY36" s="4" t="s">
        <v>30</v>
      </c>
      <c r="AZ36" s="5">
        <v>166</v>
      </c>
      <c r="BC36" s="4" t="s">
        <v>55</v>
      </c>
      <c r="BD36" s="4">
        <v>2002</v>
      </c>
      <c r="BE36" s="4" t="s">
        <v>30</v>
      </c>
      <c r="BF36" s="5">
        <v>28</v>
      </c>
      <c r="BI36" s="4" t="s">
        <v>57</v>
      </c>
      <c r="BJ36" s="4">
        <v>2002</v>
      </c>
      <c r="BK36" s="4" t="s">
        <v>30</v>
      </c>
      <c r="BL36" s="5">
        <v>588</v>
      </c>
      <c r="BO36" s="4" t="s">
        <v>60</v>
      </c>
      <c r="BP36" s="4">
        <v>2002</v>
      </c>
      <c r="BQ36" s="4" t="s">
        <v>30</v>
      </c>
      <c r="BR36" s="5">
        <v>41</v>
      </c>
      <c r="BU36" s="4" t="s">
        <v>62</v>
      </c>
      <c r="BV36" s="4">
        <v>2002</v>
      </c>
      <c r="BW36" s="4" t="s">
        <v>30</v>
      </c>
      <c r="BX36" s="5">
        <v>603</v>
      </c>
      <c r="CA36" s="4" t="s">
        <v>64</v>
      </c>
      <c r="CB36" s="4">
        <v>2002</v>
      </c>
      <c r="CC36" s="4" t="s">
        <v>30</v>
      </c>
      <c r="CD36" s="5">
        <v>40</v>
      </c>
      <c r="CG36" s="4" t="s">
        <v>66</v>
      </c>
      <c r="CH36" s="4">
        <v>2002</v>
      </c>
      <c r="CI36" s="4" t="s">
        <v>30</v>
      </c>
      <c r="CJ36" s="5">
        <v>327</v>
      </c>
      <c r="CM36" s="4" t="s">
        <v>68</v>
      </c>
      <c r="CN36" s="4">
        <v>2002</v>
      </c>
      <c r="CO36" s="4" t="s">
        <v>30</v>
      </c>
      <c r="CP36" s="5">
        <v>128</v>
      </c>
      <c r="CS36" s="4" t="s">
        <v>206</v>
      </c>
      <c r="CT36" s="4">
        <v>2002</v>
      </c>
      <c r="CU36" s="4" t="s">
        <v>30</v>
      </c>
      <c r="CV36" s="5">
        <v>393</v>
      </c>
    </row>
    <row r="37" spans="1:100" x14ac:dyDescent="0.25">
      <c r="A37" s="4" t="s">
        <v>185</v>
      </c>
      <c r="B37" s="4">
        <v>2002</v>
      </c>
      <c r="C37" s="4" t="s">
        <v>19</v>
      </c>
      <c r="D37" s="5">
        <v>3</v>
      </c>
      <c r="G37" s="4" t="s">
        <v>3</v>
      </c>
      <c r="H37" s="4">
        <v>2002</v>
      </c>
      <c r="I37" s="4" t="s">
        <v>19</v>
      </c>
      <c r="J37" s="5">
        <v>67</v>
      </c>
      <c r="M37" s="4" t="s">
        <v>31</v>
      </c>
      <c r="N37" s="4">
        <v>2002</v>
      </c>
      <c r="O37" s="4" t="s">
        <v>19</v>
      </c>
      <c r="P37" s="5">
        <v>112</v>
      </c>
      <c r="S37" s="4" t="s">
        <v>33</v>
      </c>
      <c r="T37" s="4">
        <v>2002</v>
      </c>
      <c r="U37" s="4" t="s">
        <v>19</v>
      </c>
      <c r="V37" s="5">
        <v>62</v>
      </c>
      <c r="Y37" s="4" t="s">
        <v>35</v>
      </c>
      <c r="Z37" s="4">
        <v>2002</v>
      </c>
      <c r="AA37" s="4" t="s">
        <v>19</v>
      </c>
      <c r="AB37" s="5">
        <v>78</v>
      </c>
      <c r="AE37" s="4" t="s">
        <v>47</v>
      </c>
      <c r="AF37" s="4">
        <v>2002</v>
      </c>
      <c r="AG37" s="4" t="s">
        <v>19</v>
      </c>
      <c r="AH37" s="5">
        <v>170</v>
      </c>
      <c r="AK37" s="4" t="s">
        <v>49</v>
      </c>
      <c r="AL37" s="4">
        <v>2002</v>
      </c>
      <c r="AM37" s="4" t="s">
        <v>19</v>
      </c>
      <c r="AN37" s="5">
        <v>83</v>
      </c>
      <c r="AQ37" s="4" t="s">
        <v>51</v>
      </c>
      <c r="AR37" s="4">
        <v>2002</v>
      </c>
      <c r="AS37" s="4" t="s">
        <v>19</v>
      </c>
      <c r="AT37" s="5">
        <v>46</v>
      </c>
      <c r="AW37" s="4" t="s">
        <v>53</v>
      </c>
      <c r="AX37" s="4">
        <v>2002</v>
      </c>
      <c r="AY37" s="4" t="s">
        <v>19</v>
      </c>
      <c r="AZ37" s="5">
        <v>133</v>
      </c>
      <c r="BC37" s="4" t="s">
        <v>55</v>
      </c>
      <c r="BD37" s="4">
        <v>2002</v>
      </c>
      <c r="BE37" s="4" t="s">
        <v>19</v>
      </c>
      <c r="BF37" s="5">
        <v>41</v>
      </c>
      <c r="BI37" s="4" t="s">
        <v>57</v>
      </c>
      <c r="BJ37" s="4">
        <v>2002</v>
      </c>
      <c r="BK37" s="4" t="s">
        <v>19</v>
      </c>
      <c r="BL37" s="5">
        <v>550</v>
      </c>
      <c r="BO37" s="4" t="s">
        <v>60</v>
      </c>
      <c r="BP37" s="4">
        <v>2002</v>
      </c>
      <c r="BQ37" s="4" t="s">
        <v>19</v>
      </c>
      <c r="BR37" s="5">
        <v>40</v>
      </c>
      <c r="BU37" s="4" t="s">
        <v>62</v>
      </c>
      <c r="BV37" s="4">
        <v>2002</v>
      </c>
      <c r="BW37" s="4" t="s">
        <v>19</v>
      </c>
      <c r="BX37" s="5">
        <v>528</v>
      </c>
      <c r="CA37" s="4" t="s">
        <v>64</v>
      </c>
      <c r="CB37" s="4">
        <v>2002</v>
      </c>
      <c r="CC37" s="4" t="s">
        <v>19</v>
      </c>
      <c r="CD37" s="5">
        <v>23</v>
      </c>
      <c r="CG37" s="4" t="s">
        <v>66</v>
      </c>
      <c r="CH37" s="4">
        <v>2002</v>
      </c>
      <c r="CI37" s="4" t="s">
        <v>19</v>
      </c>
      <c r="CJ37" s="5">
        <v>254</v>
      </c>
      <c r="CM37" s="4" t="s">
        <v>68</v>
      </c>
      <c r="CN37" s="4">
        <v>2002</v>
      </c>
      <c r="CO37" s="4" t="s">
        <v>19</v>
      </c>
      <c r="CP37" s="5">
        <v>120</v>
      </c>
      <c r="CS37" s="4" t="s">
        <v>206</v>
      </c>
      <c r="CT37" s="4">
        <v>2002</v>
      </c>
      <c r="CU37" s="4" t="s">
        <v>19</v>
      </c>
      <c r="CV37" s="5">
        <v>319</v>
      </c>
    </row>
    <row r="38" spans="1:100" x14ac:dyDescent="0.25">
      <c r="A38" s="4" t="s">
        <v>185</v>
      </c>
      <c r="B38" s="4">
        <v>2003</v>
      </c>
      <c r="C38" s="4" t="s">
        <v>20</v>
      </c>
      <c r="D38" s="5">
        <v>7</v>
      </c>
      <c r="G38" s="4" t="s">
        <v>3</v>
      </c>
      <c r="H38" s="4">
        <v>2003</v>
      </c>
      <c r="I38" s="4" t="s">
        <v>20</v>
      </c>
      <c r="J38" s="5">
        <v>116</v>
      </c>
      <c r="M38" s="4" t="s">
        <v>31</v>
      </c>
      <c r="N38" s="4">
        <v>2003</v>
      </c>
      <c r="O38" s="4" t="s">
        <v>20</v>
      </c>
      <c r="P38" s="5">
        <v>139</v>
      </c>
      <c r="S38" s="4" t="s">
        <v>33</v>
      </c>
      <c r="T38" s="4">
        <v>2003</v>
      </c>
      <c r="U38" s="4" t="s">
        <v>20</v>
      </c>
      <c r="V38" s="5">
        <v>95</v>
      </c>
      <c r="Y38" s="4" t="s">
        <v>35</v>
      </c>
      <c r="Z38" s="4">
        <v>2003</v>
      </c>
      <c r="AA38" s="4" t="s">
        <v>20</v>
      </c>
      <c r="AB38" s="5">
        <v>122</v>
      </c>
      <c r="AE38" s="4" t="s">
        <v>47</v>
      </c>
      <c r="AF38" s="4">
        <v>2003</v>
      </c>
      <c r="AG38" s="4" t="s">
        <v>20</v>
      </c>
      <c r="AH38" s="5">
        <v>294</v>
      </c>
      <c r="AK38" s="4" t="s">
        <v>49</v>
      </c>
      <c r="AL38" s="4">
        <v>2003</v>
      </c>
      <c r="AM38" s="4" t="s">
        <v>20</v>
      </c>
      <c r="AN38" s="5">
        <v>112</v>
      </c>
      <c r="AQ38" s="4" t="s">
        <v>51</v>
      </c>
      <c r="AR38" s="4">
        <v>2003</v>
      </c>
      <c r="AS38" s="4" t="s">
        <v>20</v>
      </c>
      <c r="AT38" s="5">
        <v>149</v>
      </c>
      <c r="AW38" s="4" t="s">
        <v>53</v>
      </c>
      <c r="AX38" s="4">
        <v>2003</v>
      </c>
      <c r="AY38" s="4" t="s">
        <v>20</v>
      </c>
      <c r="AZ38" s="5">
        <v>229</v>
      </c>
      <c r="BC38" s="4" t="s">
        <v>55</v>
      </c>
      <c r="BD38" s="4">
        <v>2003</v>
      </c>
      <c r="BE38" s="4" t="s">
        <v>20</v>
      </c>
      <c r="BF38" s="5">
        <v>50</v>
      </c>
      <c r="BI38" s="4" t="s">
        <v>57</v>
      </c>
      <c r="BJ38" s="4">
        <v>2003</v>
      </c>
      <c r="BK38" s="4" t="s">
        <v>20</v>
      </c>
      <c r="BL38" s="5">
        <v>1003</v>
      </c>
      <c r="BO38" s="4" t="s">
        <v>60</v>
      </c>
      <c r="BP38" s="4">
        <v>2003</v>
      </c>
      <c r="BQ38" s="4" t="s">
        <v>20</v>
      </c>
      <c r="BR38" s="5">
        <v>47</v>
      </c>
      <c r="BU38" s="4" t="s">
        <v>62</v>
      </c>
      <c r="BV38" s="4">
        <v>2003</v>
      </c>
      <c r="BW38" s="4" t="s">
        <v>20</v>
      </c>
      <c r="BX38" s="5">
        <v>628</v>
      </c>
      <c r="CA38" s="4" t="s">
        <v>64</v>
      </c>
      <c r="CB38" s="4">
        <v>2003</v>
      </c>
      <c r="CC38" s="4" t="s">
        <v>20</v>
      </c>
      <c r="CD38" s="5">
        <v>33</v>
      </c>
      <c r="CG38" s="4" t="s">
        <v>66</v>
      </c>
      <c r="CH38" s="4">
        <v>2003</v>
      </c>
      <c r="CI38" s="4" t="s">
        <v>20</v>
      </c>
      <c r="CJ38" s="5">
        <v>378</v>
      </c>
      <c r="CM38" s="4" t="s">
        <v>68</v>
      </c>
      <c r="CN38" s="4">
        <v>2003</v>
      </c>
      <c r="CO38" s="4" t="s">
        <v>20</v>
      </c>
      <c r="CP38" s="5">
        <v>140</v>
      </c>
      <c r="CS38" s="4" t="s">
        <v>206</v>
      </c>
      <c r="CT38" s="4">
        <v>2003</v>
      </c>
      <c r="CU38" s="4" t="s">
        <v>20</v>
      </c>
      <c r="CV38" s="5">
        <v>394</v>
      </c>
    </row>
    <row r="39" spans="1:100" x14ac:dyDescent="0.25">
      <c r="A39" s="4" t="s">
        <v>185</v>
      </c>
      <c r="B39" s="4">
        <v>2003</v>
      </c>
      <c r="C39" s="4" t="s">
        <v>21</v>
      </c>
      <c r="D39" s="5">
        <v>6</v>
      </c>
      <c r="G39" s="4" t="s">
        <v>3</v>
      </c>
      <c r="H39" s="4">
        <v>2003</v>
      </c>
      <c r="I39" s="4" t="s">
        <v>21</v>
      </c>
      <c r="J39" s="5">
        <v>79</v>
      </c>
      <c r="M39" s="4" t="s">
        <v>31</v>
      </c>
      <c r="N39" s="4">
        <v>2003</v>
      </c>
      <c r="O39" s="4" t="s">
        <v>21</v>
      </c>
      <c r="P39" s="5">
        <v>117</v>
      </c>
      <c r="S39" s="4" t="s">
        <v>33</v>
      </c>
      <c r="T39" s="4">
        <v>2003</v>
      </c>
      <c r="U39" s="4" t="s">
        <v>21</v>
      </c>
      <c r="V39" s="5">
        <v>73</v>
      </c>
      <c r="Y39" s="4" t="s">
        <v>35</v>
      </c>
      <c r="Z39" s="4">
        <v>2003</v>
      </c>
      <c r="AA39" s="4" t="s">
        <v>21</v>
      </c>
      <c r="AB39" s="5">
        <v>93</v>
      </c>
      <c r="AE39" s="4" t="s">
        <v>47</v>
      </c>
      <c r="AF39" s="4">
        <v>2003</v>
      </c>
      <c r="AG39" s="4" t="s">
        <v>21</v>
      </c>
      <c r="AH39" s="5">
        <v>290</v>
      </c>
      <c r="AK39" s="4" t="s">
        <v>49</v>
      </c>
      <c r="AL39" s="4">
        <v>2003</v>
      </c>
      <c r="AM39" s="4" t="s">
        <v>21</v>
      </c>
      <c r="AN39" s="5">
        <v>101</v>
      </c>
      <c r="AQ39" s="4" t="s">
        <v>51</v>
      </c>
      <c r="AR39" s="4">
        <v>2003</v>
      </c>
      <c r="AS39" s="4" t="s">
        <v>21</v>
      </c>
      <c r="AT39" s="5">
        <v>69</v>
      </c>
      <c r="AW39" s="4" t="s">
        <v>53</v>
      </c>
      <c r="AX39" s="4">
        <v>2003</v>
      </c>
      <c r="AY39" s="4" t="s">
        <v>21</v>
      </c>
      <c r="AZ39" s="5">
        <v>133</v>
      </c>
      <c r="BC39" s="4" t="s">
        <v>55</v>
      </c>
      <c r="BD39" s="4">
        <v>2003</v>
      </c>
      <c r="BE39" s="4" t="s">
        <v>21</v>
      </c>
      <c r="BF39" s="5">
        <v>50</v>
      </c>
      <c r="BI39" s="4" t="s">
        <v>57</v>
      </c>
      <c r="BJ39" s="4">
        <v>2003</v>
      </c>
      <c r="BK39" s="4" t="s">
        <v>21</v>
      </c>
      <c r="BL39" s="5">
        <v>753</v>
      </c>
      <c r="BO39" s="4" t="s">
        <v>60</v>
      </c>
      <c r="BP39" s="4">
        <v>2003</v>
      </c>
      <c r="BQ39" s="4" t="s">
        <v>21</v>
      </c>
      <c r="BR39" s="5">
        <v>37</v>
      </c>
      <c r="BU39" s="4" t="s">
        <v>62</v>
      </c>
      <c r="BV39" s="4">
        <v>2003</v>
      </c>
      <c r="BW39" s="4" t="s">
        <v>21</v>
      </c>
      <c r="BX39" s="5">
        <v>525</v>
      </c>
      <c r="CA39" s="4" t="s">
        <v>64</v>
      </c>
      <c r="CB39" s="4">
        <v>2003</v>
      </c>
      <c r="CC39" s="4" t="s">
        <v>21</v>
      </c>
      <c r="CD39" s="5">
        <v>55</v>
      </c>
      <c r="CG39" s="4" t="s">
        <v>66</v>
      </c>
      <c r="CH39" s="4">
        <v>2003</v>
      </c>
      <c r="CI39" s="4" t="s">
        <v>21</v>
      </c>
      <c r="CJ39" s="5">
        <v>269</v>
      </c>
      <c r="CM39" s="4" t="s">
        <v>68</v>
      </c>
      <c r="CN39" s="4">
        <v>2003</v>
      </c>
      <c r="CO39" s="4" t="s">
        <v>21</v>
      </c>
      <c r="CP39" s="5">
        <v>173</v>
      </c>
      <c r="CS39" s="4" t="s">
        <v>206</v>
      </c>
      <c r="CT39" s="4">
        <v>2003</v>
      </c>
      <c r="CU39" s="4" t="s">
        <v>21</v>
      </c>
      <c r="CV39" s="5">
        <v>351</v>
      </c>
    </row>
    <row r="40" spans="1:100" x14ac:dyDescent="0.25">
      <c r="A40" s="4" t="s">
        <v>185</v>
      </c>
      <c r="B40" s="4">
        <v>2003</v>
      </c>
      <c r="C40" s="4" t="s">
        <v>22</v>
      </c>
      <c r="D40" s="5">
        <v>4</v>
      </c>
      <c r="G40" s="4" t="s">
        <v>3</v>
      </c>
      <c r="H40" s="4">
        <v>2003</v>
      </c>
      <c r="I40" s="4" t="s">
        <v>22</v>
      </c>
      <c r="J40" s="5">
        <v>88</v>
      </c>
      <c r="M40" s="4" t="s">
        <v>31</v>
      </c>
      <c r="N40" s="4">
        <v>2003</v>
      </c>
      <c r="O40" s="4" t="s">
        <v>22</v>
      </c>
      <c r="P40" s="5">
        <v>120</v>
      </c>
      <c r="S40" s="4" t="s">
        <v>33</v>
      </c>
      <c r="T40" s="4">
        <v>2003</v>
      </c>
      <c r="U40" s="4" t="s">
        <v>22</v>
      </c>
      <c r="V40" s="5">
        <v>64</v>
      </c>
      <c r="Y40" s="4" t="s">
        <v>35</v>
      </c>
      <c r="Z40" s="4">
        <v>2003</v>
      </c>
      <c r="AA40" s="4" t="s">
        <v>22</v>
      </c>
      <c r="AB40" s="5">
        <v>74</v>
      </c>
      <c r="AE40" s="4" t="s">
        <v>47</v>
      </c>
      <c r="AF40" s="4">
        <v>2003</v>
      </c>
      <c r="AG40" s="4" t="s">
        <v>22</v>
      </c>
      <c r="AH40" s="5">
        <v>290</v>
      </c>
      <c r="AK40" s="4" t="s">
        <v>49</v>
      </c>
      <c r="AL40" s="4">
        <v>2003</v>
      </c>
      <c r="AM40" s="4" t="s">
        <v>22</v>
      </c>
      <c r="AN40" s="5">
        <v>84</v>
      </c>
      <c r="AQ40" s="4" t="s">
        <v>51</v>
      </c>
      <c r="AR40" s="4">
        <v>2003</v>
      </c>
      <c r="AS40" s="4" t="s">
        <v>22</v>
      </c>
      <c r="AT40" s="5">
        <v>59</v>
      </c>
      <c r="AW40" s="4" t="s">
        <v>53</v>
      </c>
      <c r="AX40" s="4">
        <v>2003</v>
      </c>
      <c r="AY40" s="4" t="s">
        <v>22</v>
      </c>
      <c r="AZ40" s="5">
        <v>129</v>
      </c>
      <c r="BC40" s="4" t="s">
        <v>55</v>
      </c>
      <c r="BD40" s="4">
        <v>2003</v>
      </c>
      <c r="BE40" s="4" t="s">
        <v>22</v>
      </c>
      <c r="BF40" s="5">
        <v>59</v>
      </c>
      <c r="BI40" s="4" t="s">
        <v>57</v>
      </c>
      <c r="BJ40" s="4">
        <v>2003</v>
      </c>
      <c r="BK40" s="4" t="s">
        <v>22</v>
      </c>
      <c r="BL40" s="5">
        <v>605</v>
      </c>
      <c r="BO40" s="4" t="s">
        <v>60</v>
      </c>
      <c r="BP40" s="4">
        <v>2003</v>
      </c>
      <c r="BQ40" s="4" t="s">
        <v>22</v>
      </c>
      <c r="BR40" s="5">
        <v>33</v>
      </c>
      <c r="BU40" s="4" t="s">
        <v>62</v>
      </c>
      <c r="BV40" s="4">
        <v>2003</v>
      </c>
      <c r="BW40" s="4" t="s">
        <v>22</v>
      </c>
      <c r="BX40" s="5">
        <v>520</v>
      </c>
      <c r="CA40" s="4" t="s">
        <v>64</v>
      </c>
      <c r="CB40" s="4">
        <v>2003</v>
      </c>
      <c r="CC40" s="4" t="s">
        <v>22</v>
      </c>
      <c r="CD40" s="5">
        <v>30</v>
      </c>
      <c r="CG40" s="4" t="s">
        <v>66</v>
      </c>
      <c r="CH40" s="4">
        <v>2003</v>
      </c>
      <c r="CI40" s="4" t="s">
        <v>22</v>
      </c>
      <c r="CJ40" s="5">
        <v>339</v>
      </c>
      <c r="CM40" s="4" t="s">
        <v>68</v>
      </c>
      <c r="CN40" s="4">
        <v>2003</v>
      </c>
      <c r="CO40" s="4" t="s">
        <v>22</v>
      </c>
      <c r="CP40" s="5">
        <v>106</v>
      </c>
      <c r="CS40" s="4" t="s">
        <v>206</v>
      </c>
      <c r="CT40" s="4">
        <v>2003</v>
      </c>
      <c r="CU40" s="4" t="s">
        <v>22</v>
      </c>
      <c r="CV40" s="5">
        <v>350</v>
      </c>
    </row>
    <row r="41" spans="1:100" x14ac:dyDescent="0.25">
      <c r="A41" s="4" t="s">
        <v>185</v>
      </c>
      <c r="B41" s="4">
        <v>2003</v>
      </c>
      <c r="C41" s="4" t="s">
        <v>23</v>
      </c>
      <c r="D41" s="5">
        <v>3</v>
      </c>
      <c r="G41" s="4" t="s">
        <v>3</v>
      </c>
      <c r="H41" s="4">
        <v>2003</v>
      </c>
      <c r="I41" s="4" t="s">
        <v>23</v>
      </c>
      <c r="J41" s="5">
        <v>184</v>
      </c>
      <c r="M41" s="4" t="s">
        <v>31</v>
      </c>
      <c r="N41" s="4">
        <v>2003</v>
      </c>
      <c r="O41" s="4" t="s">
        <v>23</v>
      </c>
      <c r="P41" s="5">
        <v>118</v>
      </c>
      <c r="S41" s="4" t="s">
        <v>33</v>
      </c>
      <c r="T41" s="4">
        <v>2003</v>
      </c>
      <c r="U41" s="4" t="s">
        <v>23</v>
      </c>
      <c r="V41" s="5">
        <v>92</v>
      </c>
      <c r="Y41" s="4" t="s">
        <v>35</v>
      </c>
      <c r="Z41" s="4">
        <v>2003</v>
      </c>
      <c r="AA41" s="4" t="s">
        <v>23</v>
      </c>
      <c r="AB41" s="5">
        <v>101</v>
      </c>
      <c r="AE41" s="4" t="s">
        <v>47</v>
      </c>
      <c r="AF41" s="4">
        <v>2003</v>
      </c>
      <c r="AG41" s="4" t="s">
        <v>23</v>
      </c>
      <c r="AH41" s="5">
        <v>322</v>
      </c>
      <c r="AK41" s="4" t="s">
        <v>49</v>
      </c>
      <c r="AL41" s="4">
        <v>2003</v>
      </c>
      <c r="AM41" s="4" t="s">
        <v>23</v>
      </c>
      <c r="AN41" s="5">
        <v>58</v>
      </c>
      <c r="AQ41" s="4" t="s">
        <v>51</v>
      </c>
      <c r="AR41" s="4">
        <v>2003</v>
      </c>
      <c r="AS41" s="4" t="s">
        <v>23</v>
      </c>
      <c r="AT41" s="5">
        <v>55</v>
      </c>
      <c r="AW41" s="4" t="s">
        <v>53</v>
      </c>
      <c r="AX41" s="4">
        <v>2003</v>
      </c>
      <c r="AY41" s="4" t="s">
        <v>23</v>
      </c>
      <c r="AZ41" s="5">
        <v>229</v>
      </c>
      <c r="BC41" s="4" t="s">
        <v>55</v>
      </c>
      <c r="BD41" s="4">
        <v>2003</v>
      </c>
      <c r="BE41" s="4" t="s">
        <v>23</v>
      </c>
      <c r="BF41" s="5">
        <v>36</v>
      </c>
      <c r="BI41" s="4" t="s">
        <v>57</v>
      </c>
      <c r="BJ41" s="4">
        <v>2003</v>
      </c>
      <c r="BK41" s="4" t="s">
        <v>23</v>
      </c>
      <c r="BL41" s="5">
        <v>555</v>
      </c>
      <c r="BO41" s="4" t="s">
        <v>60</v>
      </c>
      <c r="BP41" s="4">
        <v>2003</v>
      </c>
      <c r="BQ41" s="4" t="s">
        <v>23</v>
      </c>
      <c r="BR41" s="5">
        <v>57</v>
      </c>
      <c r="BU41" s="4" t="s">
        <v>62</v>
      </c>
      <c r="BV41" s="4">
        <v>2003</v>
      </c>
      <c r="BW41" s="4" t="s">
        <v>23</v>
      </c>
      <c r="BX41" s="5">
        <v>648</v>
      </c>
      <c r="CA41" s="4" t="s">
        <v>64</v>
      </c>
      <c r="CB41" s="4">
        <v>2003</v>
      </c>
      <c r="CC41" s="4" t="s">
        <v>23</v>
      </c>
      <c r="CD41" s="5">
        <v>113</v>
      </c>
      <c r="CG41" s="4" t="s">
        <v>66</v>
      </c>
      <c r="CH41" s="4">
        <v>2003</v>
      </c>
      <c r="CI41" s="4" t="s">
        <v>23</v>
      </c>
      <c r="CJ41" s="5">
        <v>424</v>
      </c>
      <c r="CM41" s="4" t="s">
        <v>68</v>
      </c>
      <c r="CN41" s="4">
        <v>2003</v>
      </c>
      <c r="CO41" s="4" t="s">
        <v>23</v>
      </c>
      <c r="CP41" s="5">
        <v>183</v>
      </c>
      <c r="CS41" s="4" t="s">
        <v>206</v>
      </c>
      <c r="CT41" s="4">
        <v>2003</v>
      </c>
      <c r="CU41" s="4" t="s">
        <v>23</v>
      </c>
      <c r="CV41" s="5">
        <v>351</v>
      </c>
    </row>
    <row r="42" spans="1:100" x14ac:dyDescent="0.25">
      <c r="A42" s="4" t="s">
        <v>185</v>
      </c>
      <c r="B42" s="4">
        <v>2003</v>
      </c>
      <c r="C42" s="4" t="s">
        <v>24</v>
      </c>
      <c r="D42" s="5">
        <v>5</v>
      </c>
      <c r="G42" s="4" t="s">
        <v>3</v>
      </c>
      <c r="H42" s="4">
        <v>2003</v>
      </c>
      <c r="I42" s="4" t="s">
        <v>24</v>
      </c>
      <c r="J42" s="5">
        <v>118</v>
      </c>
      <c r="M42" s="4" t="s">
        <v>31</v>
      </c>
      <c r="N42" s="4">
        <v>2003</v>
      </c>
      <c r="O42" s="4" t="s">
        <v>24</v>
      </c>
      <c r="P42" s="5">
        <v>104</v>
      </c>
      <c r="S42" s="4" t="s">
        <v>33</v>
      </c>
      <c r="T42" s="4">
        <v>2003</v>
      </c>
      <c r="U42" s="4" t="s">
        <v>24</v>
      </c>
      <c r="V42" s="5">
        <v>94</v>
      </c>
      <c r="Y42" s="4" t="s">
        <v>35</v>
      </c>
      <c r="Z42" s="4">
        <v>2003</v>
      </c>
      <c r="AA42" s="4" t="s">
        <v>24</v>
      </c>
      <c r="AB42" s="5">
        <v>88</v>
      </c>
      <c r="AE42" s="4" t="s">
        <v>47</v>
      </c>
      <c r="AF42" s="4">
        <v>2003</v>
      </c>
      <c r="AG42" s="4" t="s">
        <v>24</v>
      </c>
      <c r="AH42" s="5">
        <v>312</v>
      </c>
      <c r="AK42" s="4" t="s">
        <v>49</v>
      </c>
      <c r="AL42" s="4">
        <v>2003</v>
      </c>
      <c r="AM42" s="4" t="s">
        <v>24</v>
      </c>
      <c r="AN42" s="5">
        <v>78</v>
      </c>
      <c r="AQ42" s="4" t="s">
        <v>51</v>
      </c>
      <c r="AR42" s="4">
        <v>2003</v>
      </c>
      <c r="AS42" s="4" t="s">
        <v>24</v>
      </c>
      <c r="AT42" s="5">
        <v>42</v>
      </c>
      <c r="AW42" s="4" t="s">
        <v>53</v>
      </c>
      <c r="AX42" s="4">
        <v>2003</v>
      </c>
      <c r="AY42" s="4" t="s">
        <v>24</v>
      </c>
      <c r="AZ42" s="5">
        <v>139</v>
      </c>
      <c r="BC42" s="4" t="s">
        <v>55</v>
      </c>
      <c r="BD42" s="4">
        <v>2003</v>
      </c>
      <c r="BE42" s="4" t="s">
        <v>24</v>
      </c>
      <c r="BF42" s="5">
        <v>33</v>
      </c>
      <c r="BI42" s="4" t="s">
        <v>57</v>
      </c>
      <c r="BJ42" s="4">
        <v>2003</v>
      </c>
      <c r="BK42" s="4" t="s">
        <v>24</v>
      </c>
      <c r="BL42" s="5">
        <v>612</v>
      </c>
      <c r="BO42" s="4" t="s">
        <v>60</v>
      </c>
      <c r="BP42" s="4">
        <v>2003</v>
      </c>
      <c r="BQ42" s="4" t="s">
        <v>24</v>
      </c>
      <c r="BR42" s="5">
        <v>61</v>
      </c>
      <c r="BU42" s="4" t="s">
        <v>62</v>
      </c>
      <c r="BV42" s="4">
        <v>2003</v>
      </c>
      <c r="BW42" s="4" t="s">
        <v>24</v>
      </c>
      <c r="BX42" s="5">
        <v>555</v>
      </c>
      <c r="CA42" s="4" t="s">
        <v>64</v>
      </c>
      <c r="CB42" s="4">
        <v>2003</v>
      </c>
      <c r="CC42" s="4" t="s">
        <v>24</v>
      </c>
      <c r="CD42" s="5">
        <v>43</v>
      </c>
      <c r="CG42" s="4" t="s">
        <v>66</v>
      </c>
      <c r="CH42" s="4">
        <v>2003</v>
      </c>
      <c r="CI42" s="4" t="s">
        <v>24</v>
      </c>
      <c r="CJ42" s="5">
        <v>372</v>
      </c>
      <c r="CM42" s="4" t="s">
        <v>68</v>
      </c>
      <c r="CN42" s="4">
        <v>2003</v>
      </c>
      <c r="CO42" s="4" t="s">
        <v>24</v>
      </c>
      <c r="CP42" s="5">
        <v>157</v>
      </c>
      <c r="CS42" s="4" t="s">
        <v>206</v>
      </c>
      <c r="CT42" s="4">
        <v>2003</v>
      </c>
      <c r="CU42" s="4" t="s">
        <v>24</v>
      </c>
      <c r="CV42" s="5">
        <v>352</v>
      </c>
    </row>
    <row r="43" spans="1:100" x14ac:dyDescent="0.25">
      <c r="A43" s="4" t="s">
        <v>185</v>
      </c>
      <c r="B43" s="4">
        <v>2003</v>
      </c>
      <c r="C43" s="4" t="s">
        <v>25</v>
      </c>
      <c r="D43" s="5">
        <v>6</v>
      </c>
      <c r="G43" s="4" t="s">
        <v>3</v>
      </c>
      <c r="H43" s="4">
        <v>2003</v>
      </c>
      <c r="I43" s="4" t="s">
        <v>25</v>
      </c>
      <c r="J43" s="5">
        <v>112</v>
      </c>
      <c r="M43" s="4" t="s">
        <v>31</v>
      </c>
      <c r="N43" s="4">
        <v>2003</v>
      </c>
      <c r="O43" s="4" t="s">
        <v>25</v>
      </c>
      <c r="P43" s="5">
        <v>109</v>
      </c>
      <c r="S43" s="4" t="s">
        <v>33</v>
      </c>
      <c r="T43" s="4">
        <v>2003</v>
      </c>
      <c r="U43" s="4" t="s">
        <v>25</v>
      </c>
      <c r="V43" s="5">
        <v>94</v>
      </c>
      <c r="Y43" s="4" t="s">
        <v>35</v>
      </c>
      <c r="Z43" s="4">
        <v>2003</v>
      </c>
      <c r="AA43" s="4" t="s">
        <v>25</v>
      </c>
      <c r="AB43" s="5">
        <v>93</v>
      </c>
      <c r="AE43" s="4" t="s">
        <v>47</v>
      </c>
      <c r="AF43" s="4">
        <v>2003</v>
      </c>
      <c r="AG43" s="4" t="s">
        <v>25</v>
      </c>
      <c r="AH43" s="5">
        <v>291</v>
      </c>
      <c r="AK43" s="4" t="s">
        <v>49</v>
      </c>
      <c r="AL43" s="4">
        <v>2003</v>
      </c>
      <c r="AM43" s="4" t="s">
        <v>25</v>
      </c>
      <c r="AN43" s="5">
        <v>90</v>
      </c>
      <c r="AQ43" s="4" t="s">
        <v>51</v>
      </c>
      <c r="AR43" s="4">
        <v>2003</v>
      </c>
      <c r="AS43" s="4" t="s">
        <v>25</v>
      </c>
      <c r="AT43" s="5">
        <v>50</v>
      </c>
      <c r="AW43" s="4" t="s">
        <v>53</v>
      </c>
      <c r="AX43" s="4">
        <v>2003</v>
      </c>
      <c r="AY43" s="4" t="s">
        <v>25</v>
      </c>
      <c r="AZ43" s="5">
        <v>129</v>
      </c>
      <c r="BC43" s="4" t="s">
        <v>55</v>
      </c>
      <c r="BD43" s="4">
        <v>2003</v>
      </c>
      <c r="BE43" s="4" t="s">
        <v>25</v>
      </c>
      <c r="BF43" s="5">
        <v>46</v>
      </c>
      <c r="BI43" s="4" t="s">
        <v>57</v>
      </c>
      <c r="BJ43" s="4">
        <v>2003</v>
      </c>
      <c r="BK43" s="4" t="s">
        <v>25</v>
      </c>
      <c r="BL43" s="5">
        <v>550</v>
      </c>
      <c r="BO43" s="4" t="s">
        <v>60</v>
      </c>
      <c r="BP43" s="4">
        <v>2003</v>
      </c>
      <c r="BQ43" s="4" t="s">
        <v>25</v>
      </c>
      <c r="BR43" s="5">
        <v>45</v>
      </c>
      <c r="BU43" s="4" t="s">
        <v>62</v>
      </c>
      <c r="BV43" s="4">
        <v>2003</v>
      </c>
      <c r="BW43" s="4" t="s">
        <v>25</v>
      </c>
      <c r="BX43" s="5">
        <v>529</v>
      </c>
      <c r="CA43" s="4" t="s">
        <v>64</v>
      </c>
      <c r="CB43" s="4">
        <v>2003</v>
      </c>
      <c r="CC43" s="4" t="s">
        <v>25</v>
      </c>
      <c r="CD43" s="5">
        <v>67</v>
      </c>
      <c r="CG43" s="4" t="s">
        <v>66</v>
      </c>
      <c r="CH43" s="4">
        <v>2003</v>
      </c>
      <c r="CI43" s="4" t="s">
        <v>25</v>
      </c>
      <c r="CJ43" s="5">
        <v>358</v>
      </c>
      <c r="CM43" s="4" t="s">
        <v>68</v>
      </c>
      <c r="CN43" s="4">
        <v>2003</v>
      </c>
      <c r="CO43" s="4" t="s">
        <v>25</v>
      </c>
      <c r="CP43" s="5">
        <v>123</v>
      </c>
      <c r="CS43" s="4" t="s">
        <v>206</v>
      </c>
      <c r="CT43" s="4">
        <v>2003</v>
      </c>
      <c r="CU43" s="4" t="s">
        <v>25</v>
      </c>
      <c r="CV43" s="5">
        <v>443</v>
      </c>
    </row>
    <row r="44" spans="1:100" x14ac:dyDescent="0.25">
      <c r="A44" s="4" t="s">
        <v>185</v>
      </c>
      <c r="B44" s="4">
        <v>2003</v>
      </c>
      <c r="C44" s="4" t="s">
        <v>26</v>
      </c>
      <c r="D44" s="5">
        <v>9</v>
      </c>
      <c r="G44" s="4" t="s">
        <v>3</v>
      </c>
      <c r="H44" s="4">
        <v>2003</v>
      </c>
      <c r="I44" s="4" t="s">
        <v>26</v>
      </c>
      <c r="J44" s="5">
        <v>149</v>
      </c>
      <c r="M44" s="4" t="s">
        <v>31</v>
      </c>
      <c r="N44" s="4">
        <v>2003</v>
      </c>
      <c r="O44" s="4" t="s">
        <v>26</v>
      </c>
      <c r="P44" s="5">
        <v>115</v>
      </c>
      <c r="S44" s="4" t="s">
        <v>33</v>
      </c>
      <c r="T44" s="4">
        <v>2003</v>
      </c>
      <c r="U44" s="4" t="s">
        <v>26</v>
      </c>
      <c r="V44" s="5">
        <v>92</v>
      </c>
      <c r="Y44" s="4" t="s">
        <v>35</v>
      </c>
      <c r="Z44" s="4">
        <v>2003</v>
      </c>
      <c r="AA44" s="4" t="s">
        <v>26</v>
      </c>
      <c r="AB44" s="5">
        <v>142</v>
      </c>
      <c r="AE44" s="4" t="s">
        <v>47</v>
      </c>
      <c r="AF44" s="4">
        <v>2003</v>
      </c>
      <c r="AG44" s="4" t="s">
        <v>26</v>
      </c>
      <c r="AH44" s="5">
        <v>317</v>
      </c>
      <c r="AK44" s="4" t="s">
        <v>49</v>
      </c>
      <c r="AL44" s="4">
        <v>2003</v>
      </c>
      <c r="AM44" s="4" t="s">
        <v>26</v>
      </c>
      <c r="AN44" s="5">
        <v>100</v>
      </c>
      <c r="AQ44" s="4" t="s">
        <v>51</v>
      </c>
      <c r="AR44" s="4">
        <v>2003</v>
      </c>
      <c r="AS44" s="4" t="s">
        <v>26</v>
      </c>
      <c r="AT44" s="5">
        <v>60</v>
      </c>
      <c r="AW44" s="4" t="s">
        <v>53</v>
      </c>
      <c r="AX44" s="4">
        <v>2003</v>
      </c>
      <c r="AY44" s="4" t="s">
        <v>26</v>
      </c>
      <c r="AZ44" s="5">
        <v>171</v>
      </c>
      <c r="BC44" s="4" t="s">
        <v>55</v>
      </c>
      <c r="BD44" s="4">
        <v>2003</v>
      </c>
      <c r="BE44" s="4" t="s">
        <v>26</v>
      </c>
      <c r="BF44" s="5">
        <v>79</v>
      </c>
      <c r="BI44" s="4" t="s">
        <v>57</v>
      </c>
      <c r="BJ44" s="4">
        <v>2003</v>
      </c>
      <c r="BK44" s="4" t="s">
        <v>26</v>
      </c>
      <c r="BL44" s="5">
        <v>724</v>
      </c>
      <c r="BO44" s="4" t="s">
        <v>60</v>
      </c>
      <c r="BP44" s="4">
        <v>2003</v>
      </c>
      <c r="BQ44" s="4" t="s">
        <v>26</v>
      </c>
      <c r="BR44" s="5">
        <v>58</v>
      </c>
      <c r="BU44" s="4" t="s">
        <v>62</v>
      </c>
      <c r="BV44" s="4">
        <v>2003</v>
      </c>
      <c r="BW44" s="4" t="s">
        <v>26</v>
      </c>
      <c r="BX44" s="5">
        <v>502</v>
      </c>
      <c r="CA44" s="4" t="s">
        <v>64</v>
      </c>
      <c r="CB44" s="4">
        <v>2003</v>
      </c>
      <c r="CC44" s="4" t="s">
        <v>26</v>
      </c>
      <c r="CD44" s="5">
        <v>55</v>
      </c>
      <c r="CG44" s="4" t="s">
        <v>66</v>
      </c>
      <c r="CH44" s="4">
        <v>2003</v>
      </c>
      <c r="CI44" s="4" t="s">
        <v>26</v>
      </c>
      <c r="CJ44" s="5">
        <v>368</v>
      </c>
      <c r="CM44" s="4" t="s">
        <v>68</v>
      </c>
      <c r="CN44" s="4">
        <v>2003</v>
      </c>
      <c r="CO44" s="4" t="s">
        <v>26</v>
      </c>
      <c r="CP44" s="5">
        <v>123</v>
      </c>
      <c r="CS44" s="4" t="s">
        <v>206</v>
      </c>
      <c r="CT44" s="4">
        <v>2003</v>
      </c>
      <c r="CU44" s="4" t="s">
        <v>26</v>
      </c>
      <c r="CV44" s="5">
        <v>344</v>
      </c>
    </row>
    <row r="45" spans="1:100" x14ac:dyDescent="0.25">
      <c r="A45" s="4" t="s">
        <v>185</v>
      </c>
      <c r="B45" s="4">
        <v>2003</v>
      </c>
      <c r="C45" s="4" t="s">
        <v>27</v>
      </c>
      <c r="D45" s="5">
        <v>7</v>
      </c>
      <c r="G45" s="4" t="s">
        <v>3</v>
      </c>
      <c r="H45" s="4">
        <v>2003</v>
      </c>
      <c r="I45" s="4" t="s">
        <v>27</v>
      </c>
      <c r="J45" s="5">
        <v>102</v>
      </c>
      <c r="M45" s="4" t="s">
        <v>31</v>
      </c>
      <c r="N45" s="4">
        <v>2003</v>
      </c>
      <c r="O45" s="4" t="s">
        <v>27</v>
      </c>
      <c r="P45" s="5">
        <v>132</v>
      </c>
      <c r="S45" s="4" t="s">
        <v>33</v>
      </c>
      <c r="T45" s="4">
        <v>2003</v>
      </c>
      <c r="U45" s="4" t="s">
        <v>27</v>
      </c>
      <c r="V45" s="5">
        <v>74</v>
      </c>
      <c r="Y45" s="4" t="s">
        <v>35</v>
      </c>
      <c r="Z45" s="4">
        <v>2003</v>
      </c>
      <c r="AA45" s="4" t="s">
        <v>27</v>
      </c>
      <c r="AB45" s="5">
        <v>112</v>
      </c>
      <c r="AE45" s="4" t="s">
        <v>47</v>
      </c>
      <c r="AF45" s="4">
        <v>2003</v>
      </c>
      <c r="AG45" s="4" t="s">
        <v>27</v>
      </c>
      <c r="AH45" s="5">
        <v>373</v>
      </c>
      <c r="AK45" s="4" t="s">
        <v>49</v>
      </c>
      <c r="AL45" s="4">
        <v>2003</v>
      </c>
      <c r="AM45" s="4" t="s">
        <v>27</v>
      </c>
      <c r="AN45" s="5">
        <v>92</v>
      </c>
      <c r="AQ45" s="4" t="s">
        <v>51</v>
      </c>
      <c r="AR45" s="4">
        <v>2003</v>
      </c>
      <c r="AS45" s="4" t="s">
        <v>27</v>
      </c>
      <c r="AT45" s="5">
        <v>44</v>
      </c>
      <c r="AW45" s="4" t="s">
        <v>53</v>
      </c>
      <c r="AX45" s="4">
        <v>2003</v>
      </c>
      <c r="AY45" s="4" t="s">
        <v>27</v>
      </c>
      <c r="AZ45" s="5">
        <v>153</v>
      </c>
      <c r="BC45" s="4" t="s">
        <v>55</v>
      </c>
      <c r="BD45" s="4">
        <v>2003</v>
      </c>
      <c r="BE45" s="4" t="s">
        <v>27</v>
      </c>
      <c r="BF45" s="5">
        <v>41</v>
      </c>
      <c r="BI45" s="4" t="s">
        <v>57</v>
      </c>
      <c r="BJ45" s="4">
        <v>2003</v>
      </c>
      <c r="BK45" s="4" t="s">
        <v>27</v>
      </c>
      <c r="BL45" s="5">
        <v>724</v>
      </c>
      <c r="BO45" s="4" t="s">
        <v>60</v>
      </c>
      <c r="BP45" s="4">
        <v>2003</v>
      </c>
      <c r="BQ45" s="4" t="s">
        <v>27</v>
      </c>
      <c r="BR45" s="5">
        <v>45</v>
      </c>
      <c r="BU45" s="4" t="s">
        <v>62</v>
      </c>
      <c r="BV45" s="4">
        <v>2003</v>
      </c>
      <c r="BW45" s="4" t="s">
        <v>27</v>
      </c>
      <c r="BX45" s="5">
        <v>483</v>
      </c>
      <c r="CA45" s="4" t="s">
        <v>64</v>
      </c>
      <c r="CB45" s="4">
        <v>2003</v>
      </c>
      <c r="CC45" s="4" t="s">
        <v>27</v>
      </c>
      <c r="CD45" s="5">
        <v>44</v>
      </c>
      <c r="CG45" s="4" t="s">
        <v>66</v>
      </c>
      <c r="CH45" s="4">
        <v>2003</v>
      </c>
      <c r="CI45" s="4" t="s">
        <v>27</v>
      </c>
      <c r="CJ45" s="5">
        <v>312</v>
      </c>
      <c r="CM45" s="4" t="s">
        <v>68</v>
      </c>
      <c r="CN45" s="4">
        <v>2003</v>
      </c>
      <c r="CO45" s="4" t="s">
        <v>27</v>
      </c>
      <c r="CP45" s="5">
        <v>126</v>
      </c>
      <c r="CS45" s="4" t="s">
        <v>206</v>
      </c>
      <c r="CT45" s="4">
        <v>2003</v>
      </c>
      <c r="CU45" s="4" t="s">
        <v>27</v>
      </c>
      <c r="CV45" s="5">
        <v>313</v>
      </c>
    </row>
    <row r="46" spans="1:100" x14ac:dyDescent="0.25">
      <c r="A46" s="4" t="s">
        <v>185</v>
      </c>
      <c r="B46" s="4">
        <v>2003</v>
      </c>
      <c r="C46" s="4" t="s">
        <v>28</v>
      </c>
      <c r="D46" s="5">
        <v>8</v>
      </c>
      <c r="G46" s="4" t="s">
        <v>3</v>
      </c>
      <c r="H46" s="4">
        <v>2003</v>
      </c>
      <c r="I46" s="4" t="s">
        <v>28</v>
      </c>
      <c r="J46" s="5">
        <v>55</v>
      </c>
      <c r="M46" s="4" t="s">
        <v>31</v>
      </c>
      <c r="N46" s="4">
        <v>2003</v>
      </c>
      <c r="O46" s="4" t="s">
        <v>28</v>
      </c>
      <c r="P46" s="5">
        <v>124</v>
      </c>
      <c r="S46" s="4" t="s">
        <v>33</v>
      </c>
      <c r="T46" s="4">
        <v>2003</v>
      </c>
      <c r="U46" s="4" t="s">
        <v>28</v>
      </c>
      <c r="V46" s="5">
        <v>80</v>
      </c>
      <c r="Y46" s="4" t="s">
        <v>35</v>
      </c>
      <c r="Z46" s="4">
        <v>2003</v>
      </c>
      <c r="AA46" s="4" t="s">
        <v>28</v>
      </c>
      <c r="AB46" s="5">
        <v>98</v>
      </c>
      <c r="AE46" s="4" t="s">
        <v>47</v>
      </c>
      <c r="AF46" s="4">
        <v>2003</v>
      </c>
      <c r="AG46" s="4" t="s">
        <v>28</v>
      </c>
      <c r="AH46" s="5">
        <v>418</v>
      </c>
      <c r="AK46" s="4" t="s">
        <v>49</v>
      </c>
      <c r="AL46" s="4">
        <v>2003</v>
      </c>
      <c r="AM46" s="4" t="s">
        <v>28</v>
      </c>
      <c r="AN46" s="5">
        <v>67</v>
      </c>
      <c r="AQ46" s="4" t="s">
        <v>51</v>
      </c>
      <c r="AR46" s="4">
        <v>2003</v>
      </c>
      <c r="AS46" s="4" t="s">
        <v>28</v>
      </c>
      <c r="AT46" s="5">
        <v>96</v>
      </c>
      <c r="AW46" s="4" t="s">
        <v>53</v>
      </c>
      <c r="AX46" s="4">
        <v>2003</v>
      </c>
      <c r="AY46" s="4" t="s">
        <v>28</v>
      </c>
      <c r="AZ46" s="5">
        <v>149</v>
      </c>
      <c r="BC46" s="4" t="s">
        <v>55</v>
      </c>
      <c r="BD46" s="4">
        <v>2003</v>
      </c>
      <c r="BE46" s="4" t="s">
        <v>28</v>
      </c>
      <c r="BF46" s="5">
        <v>33</v>
      </c>
      <c r="BI46" s="4" t="s">
        <v>57</v>
      </c>
      <c r="BJ46" s="4">
        <v>2003</v>
      </c>
      <c r="BK46" s="4" t="s">
        <v>28</v>
      </c>
      <c r="BL46" s="5">
        <v>648</v>
      </c>
      <c r="BO46" s="4" t="s">
        <v>60</v>
      </c>
      <c r="BP46" s="4">
        <v>2003</v>
      </c>
      <c r="BQ46" s="4" t="s">
        <v>28</v>
      </c>
      <c r="BR46" s="5">
        <v>31</v>
      </c>
      <c r="BU46" s="4" t="s">
        <v>62</v>
      </c>
      <c r="BV46" s="4">
        <v>2003</v>
      </c>
      <c r="BW46" s="4" t="s">
        <v>28</v>
      </c>
      <c r="BX46" s="5">
        <v>471</v>
      </c>
      <c r="CA46" s="4" t="s">
        <v>64</v>
      </c>
      <c r="CB46" s="4">
        <v>2003</v>
      </c>
      <c r="CC46" s="4" t="s">
        <v>28</v>
      </c>
      <c r="CD46" s="5">
        <v>42</v>
      </c>
      <c r="CG46" s="4" t="s">
        <v>66</v>
      </c>
      <c r="CH46" s="4">
        <v>2003</v>
      </c>
      <c r="CI46" s="4" t="s">
        <v>28</v>
      </c>
      <c r="CJ46" s="5">
        <v>295</v>
      </c>
      <c r="CM46" s="4" t="s">
        <v>68</v>
      </c>
      <c r="CN46" s="4">
        <v>2003</v>
      </c>
      <c r="CO46" s="4" t="s">
        <v>28</v>
      </c>
      <c r="CP46" s="5">
        <v>105</v>
      </c>
      <c r="CS46" s="4" t="s">
        <v>206</v>
      </c>
      <c r="CT46" s="4">
        <v>2003</v>
      </c>
      <c r="CU46" s="4" t="s">
        <v>28</v>
      </c>
      <c r="CV46" s="5">
        <v>270</v>
      </c>
    </row>
    <row r="47" spans="1:100" x14ac:dyDescent="0.25">
      <c r="A47" s="4" t="s">
        <v>185</v>
      </c>
      <c r="B47" s="4">
        <v>2003</v>
      </c>
      <c r="C47" s="4" t="s">
        <v>29</v>
      </c>
      <c r="D47" s="5">
        <v>6</v>
      </c>
      <c r="G47" s="4" t="s">
        <v>3</v>
      </c>
      <c r="H47" s="4">
        <v>2003</v>
      </c>
      <c r="I47" s="4" t="s">
        <v>29</v>
      </c>
      <c r="J47" s="5">
        <v>79</v>
      </c>
      <c r="M47" s="4" t="s">
        <v>31</v>
      </c>
      <c r="N47" s="4">
        <v>2003</v>
      </c>
      <c r="O47" s="4" t="s">
        <v>29</v>
      </c>
      <c r="P47" s="5">
        <v>130</v>
      </c>
      <c r="S47" s="4" t="s">
        <v>33</v>
      </c>
      <c r="T47" s="4">
        <v>2003</v>
      </c>
      <c r="U47" s="4" t="s">
        <v>29</v>
      </c>
      <c r="V47" s="5">
        <v>79</v>
      </c>
      <c r="Y47" s="4" t="s">
        <v>35</v>
      </c>
      <c r="Z47" s="4">
        <v>2003</v>
      </c>
      <c r="AA47" s="4" t="s">
        <v>29</v>
      </c>
      <c r="AB47" s="5">
        <v>89</v>
      </c>
      <c r="AE47" s="4" t="s">
        <v>47</v>
      </c>
      <c r="AF47" s="4">
        <v>2003</v>
      </c>
      <c r="AG47" s="4" t="s">
        <v>29</v>
      </c>
      <c r="AH47" s="5">
        <v>513</v>
      </c>
      <c r="AK47" s="4" t="s">
        <v>49</v>
      </c>
      <c r="AL47" s="4">
        <v>2003</v>
      </c>
      <c r="AM47" s="4" t="s">
        <v>29</v>
      </c>
      <c r="AN47" s="5">
        <v>111</v>
      </c>
      <c r="AQ47" s="4" t="s">
        <v>51</v>
      </c>
      <c r="AR47" s="4">
        <v>2003</v>
      </c>
      <c r="AS47" s="4" t="s">
        <v>29</v>
      </c>
      <c r="AT47" s="5">
        <v>114</v>
      </c>
      <c r="AW47" s="4" t="s">
        <v>53</v>
      </c>
      <c r="AX47" s="4">
        <v>2003</v>
      </c>
      <c r="AY47" s="4" t="s">
        <v>29</v>
      </c>
      <c r="AZ47" s="5">
        <v>182</v>
      </c>
      <c r="BC47" s="4" t="s">
        <v>55</v>
      </c>
      <c r="BD47" s="4">
        <v>2003</v>
      </c>
      <c r="BE47" s="4" t="s">
        <v>29</v>
      </c>
      <c r="BF47" s="5">
        <v>36</v>
      </c>
      <c r="BI47" s="4" t="s">
        <v>57</v>
      </c>
      <c r="BJ47" s="4">
        <v>2003</v>
      </c>
      <c r="BK47" s="4" t="s">
        <v>29</v>
      </c>
      <c r="BL47" s="5">
        <v>612</v>
      </c>
      <c r="BO47" s="4" t="s">
        <v>60</v>
      </c>
      <c r="BP47" s="4">
        <v>2003</v>
      </c>
      <c r="BQ47" s="4" t="s">
        <v>29</v>
      </c>
      <c r="BR47" s="5">
        <v>57</v>
      </c>
      <c r="BU47" s="4" t="s">
        <v>62</v>
      </c>
      <c r="BV47" s="4">
        <v>2003</v>
      </c>
      <c r="BW47" s="4" t="s">
        <v>29</v>
      </c>
      <c r="BX47" s="5">
        <v>554</v>
      </c>
      <c r="CA47" s="4" t="s">
        <v>64</v>
      </c>
      <c r="CB47" s="4">
        <v>2003</v>
      </c>
      <c r="CC47" s="4" t="s">
        <v>29</v>
      </c>
      <c r="CD47" s="5">
        <v>47</v>
      </c>
      <c r="CG47" s="4" t="s">
        <v>66</v>
      </c>
      <c r="CH47" s="4">
        <v>2003</v>
      </c>
      <c r="CI47" s="4" t="s">
        <v>29</v>
      </c>
      <c r="CJ47" s="5">
        <v>351</v>
      </c>
      <c r="CM47" s="4" t="s">
        <v>68</v>
      </c>
      <c r="CN47" s="4">
        <v>2003</v>
      </c>
      <c r="CO47" s="4" t="s">
        <v>29</v>
      </c>
      <c r="CP47" s="5">
        <v>114</v>
      </c>
      <c r="CS47" s="4" t="s">
        <v>206</v>
      </c>
      <c r="CT47" s="4">
        <v>2003</v>
      </c>
      <c r="CU47" s="4" t="s">
        <v>29</v>
      </c>
      <c r="CV47" s="5">
        <v>313</v>
      </c>
    </row>
    <row r="48" spans="1:100" x14ac:dyDescent="0.25">
      <c r="A48" s="4" t="s">
        <v>185</v>
      </c>
      <c r="B48" s="4">
        <v>2003</v>
      </c>
      <c r="C48" s="4" t="s">
        <v>30</v>
      </c>
      <c r="D48" s="5">
        <v>7</v>
      </c>
      <c r="G48" s="4" t="s">
        <v>3</v>
      </c>
      <c r="H48" s="4">
        <v>2003</v>
      </c>
      <c r="I48" s="4" t="s">
        <v>30</v>
      </c>
      <c r="J48" s="5">
        <v>75</v>
      </c>
      <c r="M48" s="4" t="s">
        <v>31</v>
      </c>
      <c r="N48" s="4">
        <v>2003</v>
      </c>
      <c r="O48" s="4" t="s">
        <v>30</v>
      </c>
      <c r="P48" s="5">
        <v>143</v>
      </c>
      <c r="S48" s="4" t="s">
        <v>33</v>
      </c>
      <c r="T48" s="4">
        <v>2003</v>
      </c>
      <c r="U48" s="4" t="s">
        <v>30</v>
      </c>
      <c r="V48" s="5">
        <v>64</v>
      </c>
      <c r="Y48" s="4" t="s">
        <v>35</v>
      </c>
      <c r="Z48" s="4">
        <v>2003</v>
      </c>
      <c r="AA48" s="4" t="s">
        <v>30</v>
      </c>
      <c r="AB48" s="5">
        <v>97</v>
      </c>
      <c r="AE48" s="4" t="s">
        <v>47</v>
      </c>
      <c r="AF48" s="4">
        <v>2003</v>
      </c>
      <c r="AG48" s="4" t="s">
        <v>30</v>
      </c>
      <c r="AH48" s="5">
        <v>342</v>
      </c>
      <c r="AK48" s="4" t="s">
        <v>49</v>
      </c>
      <c r="AL48" s="4">
        <v>2003</v>
      </c>
      <c r="AM48" s="4" t="s">
        <v>30</v>
      </c>
      <c r="AN48" s="5">
        <v>80</v>
      </c>
      <c r="AQ48" s="4" t="s">
        <v>51</v>
      </c>
      <c r="AR48" s="4">
        <v>2003</v>
      </c>
      <c r="AS48" s="4" t="s">
        <v>30</v>
      </c>
      <c r="AT48" s="5">
        <v>62</v>
      </c>
      <c r="AW48" s="4" t="s">
        <v>53</v>
      </c>
      <c r="AX48" s="4">
        <v>2003</v>
      </c>
      <c r="AY48" s="4" t="s">
        <v>30</v>
      </c>
      <c r="AZ48" s="5">
        <v>150</v>
      </c>
      <c r="BC48" s="4" t="s">
        <v>55</v>
      </c>
      <c r="BD48" s="4">
        <v>2003</v>
      </c>
      <c r="BE48" s="4" t="s">
        <v>30</v>
      </c>
      <c r="BF48" s="5">
        <v>24</v>
      </c>
      <c r="BI48" s="4" t="s">
        <v>57</v>
      </c>
      <c r="BJ48" s="4">
        <v>2003</v>
      </c>
      <c r="BK48" s="4" t="s">
        <v>30</v>
      </c>
      <c r="BL48" s="5">
        <v>572</v>
      </c>
      <c r="BO48" s="4" t="s">
        <v>60</v>
      </c>
      <c r="BP48" s="4">
        <v>2003</v>
      </c>
      <c r="BQ48" s="4" t="s">
        <v>30</v>
      </c>
      <c r="BR48" s="5">
        <v>46</v>
      </c>
      <c r="BU48" s="4" t="s">
        <v>62</v>
      </c>
      <c r="BV48" s="4">
        <v>2003</v>
      </c>
      <c r="BW48" s="4" t="s">
        <v>30</v>
      </c>
      <c r="BX48" s="5">
        <v>482</v>
      </c>
      <c r="CA48" s="4" t="s">
        <v>64</v>
      </c>
      <c r="CB48" s="4">
        <v>2003</v>
      </c>
      <c r="CC48" s="4" t="s">
        <v>30</v>
      </c>
      <c r="CD48" s="5">
        <v>32</v>
      </c>
      <c r="CG48" s="4" t="s">
        <v>66</v>
      </c>
      <c r="CH48" s="4">
        <v>2003</v>
      </c>
      <c r="CI48" s="4" t="s">
        <v>30</v>
      </c>
      <c r="CJ48" s="5">
        <v>312</v>
      </c>
      <c r="CM48" s="4" t="s">
        <v>68</v>
      </c>
      <c r="CN48" s="4">
        <v>2003</v>
      </c>
      <c r="CO48" s="4" t="s">
        <v>30</v>
      </c>
      <c r="CP48" s="5">
        <v>132</v>
      </c>
      <c r="CS48" s="4" t="s">
        <v>206</v>
      </c>
      <c r="CT48" s="4">
        <v>2003</v>
      </c>
      <c r="CU48" s="4" t="s">
        <v>30</v>
      </c>
      <c r="CV48" s="5">
        <v>274</v>
      </c>
    </row>
    <row r="49" spans="1:100" x14ac:dyDescent="0.25">
      <c r="A49" s="4" t="s">
        <v>185</v>
      </c>
      <c r="B49" s="4">
        <v>2003</v>
      </c>
      <c r="C49" s="4" t="s">
        <v>19</v>
      </c>
      <c r="D49" s="5">
        <v>7</v>
      </c>
      <c r="G49" s="4" t="s">
        <v>3</v>
      </c>
      <c r="H49" s="4">
        <v>2003</v>
      </c>
      <c r="I49" s="4" t="s">
        <v>19</v>
      </c>
      <c r="J49" s="5">
        <v>77</v>
      </c>
      <c r="M49" s="4" t="s">
        <v>31</v>
      </c>
      <c r="N49" s="4">
        <v>2003</v>
      </c>
      <c r="O49" s="4" t="s">
        <v>19</v>
      </c>
      <c r="P49" s="5">
        <v>105</v>
      </c>
      <c r="S49" s="4" t="s">
        <v>33</v>
      </c>
      <c r="T49" s="4">
        <v>2003</v>
      </c>
      <c r="U49" s="4" t="s">
        <v>19</v>
      </c>
      <c r="V49" s="5">
        <v>77</v>
      </c>
      <c r="Y49" s="4" t="s">
        <v>35</v>
      </c>
      <c r="Z49" s="4">
        <v>2003</v>
      </c>
      <c r="AA49" s="4" t="s">
        <v>19</v>
      </c>
      <c r="AB49" s="5">
        <v>129</v>
      </c>
      <c r="AE49" s="4" t="s">
        <v>47</v>
      </c>
      <c r="AF49" s="4">
        <v>2003</v>
      </c>
      <c r="AG49" s="4" t="s">
        <v>19</v>
      </c>
      <c r="AH49" s="5">
        <v>234</v>
      </c>
      <c r="AK49" s="4" t="s">
        <v>49</v>
      </c>
      <c r="AL49" s="4">
        <v>2003</v>
      </c>
      <c r="AM49" s="4" t="s">
        <v>19</v>
      </c>
      <c r="AN49" s="5">
        <v>76</v>
      </c>
      <c r="AQ49" s="4" t="s">
        <v>51</v>
      </c>
      <c r="AR49" s="4">
        <v>2003</v>
      </c>
      <c r="AS49" s="4" t="s">
        <v>19</v>
      </c>
      <c r="AT49" s="5">
        <v>70</v>
      </c>
      <c r="AW49" s="4" t="s">
        <v>53</v>
      </c>
      <c r="AX49" s="4">
        <v>2003</v>
      </c>
      <c r="AY49" s="4" t="s">
        <v>19</v>
      </c>
      <c r="AZ49" s="5">
        <v>127</v>
      </c>
      <c r="BC49" s="4" t="s">
        <v>55</v>
      </c>
      <c r="BD49" s="4">
        <v>2003</v>
      </c>
      <c r="BE49" s="4" t="s">
        <v>19</v>
      </c>
      <c r="BF49" s="5">
        <v>33</v>
      </c>
      <c r="BI49" s="4" t="s">
        <v>57</v>
      </c>
      <c r="BJ49" s="4">
        <v>2003</v>
      </c>
      <c r="BK49" s="4" t="s">
        <v>19</v>
      </c>
      <c r="BL49" s="5">
        <v>602</v>
      </c>
      <c r="BO49" s="4" t="s">
        <v>60</v>
      </c>
      <c r="BP49" s="4">
        <v>2003</v>
      </c>
      <c r="BQ49" s="4" t="s">
        <v>19</v>
      </c>
      <c r="BR49" s="5">
        <v>35</v>
      </c>
      <c r="BU49" s="4" t="s">
        <v>62</v>
      </c>
      <c r="BV49" s="4">
        <v>2003</v>
      </c>
      <c r="BW49" s="4" t="s">
        <v>19</v>
      </c>
      <c r="BX49" s="5">
        <v>447</v>
      </c>
      <c r="CA49" s="4" t="s">
        <v>64</v>
      </c>
      <c r="CB49" s="4">
        <v>2003</v>
      </c>
      <c r="CC49" s="4" t="s">
        <v>19</v>
      </c>
      <c r="CD49" s="5">
        <v>38</v>
      </c>
      <c r="CG49" s="4" t="s">
        <v>66</v>
      </c>
      <c r="CH49" s="4">
        <v>2003</v>
      </c>
      <c r="CI49" s="4" t="s">
        <v>19</v>
      </c>
      <c r="CJ49" s="5">
        <v>347</v>
      </c>
      <c r="CM49" s="4" t="s">
        <v>68</v>
      </c>
      <c r="CN49" s="4">
        <v>2003</v>
      </c>
      <c r="CO49" s="4" t="s">
        <v>19</v>
      </c>
      <c r="CP49" s="5">
        <v>111</v>
      </c>
      <c r="CS49" s="4" t="s">
        <v>206</v>
      </c>
      <c r="CT49" s="4">
        <v>2003</v>
      </c>
      <c r="CU49" s="4" t="s">
        <v>19</v>
      </c>
      <c r="CV49" s="5">
        <v>276</v>
      </c>
    </row>
    <row r="50" spans="1:100" x14ac:dyDescent="0.25">
      <c r="A50" s="4" t="s">
        <v>185</v>
      </c>
      <c r="B50" s="4">
        <v>2004</v>
      </c>
      <c r="C50" s="4" t="s">
        <v>20</v>
      </c>
      <c r="D50" s="5">
        <v>11</v>
      </c>
      <c r="G50" s="4" t="s">
        <v>3</v>
      </c>
      <c r="H50" s="4">
        <v>2004</v>
      </c>
      <c r="I50" s="4" t="s">
        <v>20</v>
      </c>
      <c r="J50" s="5">
        <v>130</v>
      </c>
      <c r="M50" s="4" t="s">
        <v>31</v>
      </c>
      <c r="N50" s="4">
        <v>2004</v>
      </c>
      <c r="O50" s="4" t="s">
        <v>20</v>
      </c>
      <c r="P50" s="5">
        <v>154</v>
      </c>
      <c r="S50" s="4" t="s">
        <v>33</v>
      </c>
      <c r="T50" s="4">
        <v>2004</v>
      </c>
      <c r="U50" s="4" t="s">
        <v>20</v>
      </c>
      <c r="V50" s="5">
        <v>97</v>
      </c>
      <c r="Y50" s="4" t="s">
        <v>35</v>
      </c>
      <c r="Z50" s="4">
        <v>2004</v>
      </c>
      <c r="AA50" s="4" t="s">
        <v>20</v>
      </c>
      <c r="AB50" s="5">
        <v>134</v>
      </c>
      <c r="AE50" s="4" t="s">
        <v>47</v>
      </c>
      <c r="AF50" s="4">
        <v>2004</v>
      </c>
      <c r="AG50" s="4" t="s">
        <v>20</v>
      </c>
      <c r="AH50" s="5">
        <v>296</v>
      </c>
      <c r="AK50" s="4" t="s">
        <v>49</v>
      </c>
      <c r="AL50" s="4">
        <v>2004</v>
      </c>
      <c r="AM50" s="4" t="s">
        <v>20</v>
      </c>
      <c r="AN50" s="5">
        <v>96</v>
      </c>
      <c r="AQ50" s="4" t="s">
        <v>51</v>
      </c>
      <c r="AR50" s="4">
        <v>2004</v>
      </c>
      <c r="AS50" s="4" t="s">
        <v>20</v>
      </c>
      <c r="AT50" s="5">
        <v>91</v>
      </c>
      <c r="AW50" s="4" t="s">
        <v>53</v>
      </c>
      <c r="AX50" s="4">
        <v>2004</v>
      </c>
      <c r="AY50" s="4" t="s">
        <v>20</v>
      </c>
      <c r="AZ50" s="5">
        <v>276</v>
      </c>
      <c r="BC50" s="4" t="s">
        <v>55</v>
      </c>
      <c r="BD50" s="4">
        <v>2004</v>
      </c>
      <c r="BE50" s="4" t="s">
        <v>20</v>
      </c>
      <c r="BF50" s="5">
        <v>60</v>
      </c>
      <c r="BI50" s="4" t="s">
        <v>57</v>
      </c>
      <c r="BJ50" s="4">
        <v>2004</v>
      </c>
      <c r="BK50" s="4" t="s">
        <v>20</v>
      </c>
      <c r="BL50" s="5">
        <v>659</v>
      </c>
      <c r="BO50" s="4" t="s">
        <v>60</v>
      </c>
      <c r="BP50" s="4">
        <v>2004</v>
      </c>
      <c r="BQ50" s="4" t="s">
        <v>20</v>
      </c>
      <c r="BR50" s="5">
        <v>47</v>
      </c>
      <c r="BU50" s="4" t="s">
        <v>62</v>
      </c>
      <c r="BV50" s="4">
        <v>2004</v>
      </c>
      <c r="BW50" s="4" t="s">
        <v>20</v>
      </c>
      <c r="BX50" s="5">
        <v>630</v>
      </c>
      <c r="CA50" s="4" t="s">
        <v>64</v>
      </c>
      <c r="CB50" s="4">
        <v>2004</v>
      </c>
      <c r="CC50" s="4" t="s">
        <v>20</v>
      </c>
      <c r="CD50" s="5">
        <v>64</v>
      </c>
      <c r="CG50" s="4" t="s">
        <v>66</v>
      </c>
      <c r="CH50" s="4">
        <v>2004</v>
      </c>
      <c r="CI50" s="4" t="s">
        <v>20</v>
      </c>
      <c r="CJ50" s="5">
        <v>364</v>
      </c>
      <c r="CM50" s="4" t="s">
        <v>68</v>
      </c>
      <c r="CN50" s="4">
        <v>2004</v>
      </c>
      <c r="CO50" s="4" t="s">
        <v>20</v>
      </c>
      <c r="CP50" s="5">
        <v>154</v>
      </c>
      <c r="CS50" s="4" t="s">
        <v>206</v>
      </c>
      <c r="CT50" s="4">
        <v>2004</v>
      </c>
      <c r="CU50" s="4" t="s">
        <v>20</v>
      </c>
      <c r="CV50" s="5">
        <v>304</v>
      </c>
    </row>
    <row r="51" spans="1:100" x14ac:dyDescent="0.25">
      <c r="A51" s="4" t="s">
        <v>185</v>
      </c>
      <c r="B51" s="4">
        <v>2004</v>
      </c>
      <c r="C51" s="4" t="s">
        <v>21</v>
      </c>
      <c r="D51" s="5">
        <v>5</v>
      </c>
      <c r="G51" s="4" t="s">
        <v>3</v>
      </c>
      <c r="H51" s="4">
        <v>2004</v>
      </c>
      <c r="I51" s="4" t="s">
        <v>21</v>
      </c>
      <c r="J51" s="5">
        <v>101</v>
      </c>
      <c r="M51" s="4" t="s">
        <v>31</v>
      </c>
      <c r="N51" s="4">
        <v>2004</v>
      </c>
      <c r="O51" s="4" t="s">
        <v>21</v>
      </c>
      <c r="P51" s="5">
        <v>130</v>
      </c>
      <c r="S51" s="4" t="s">
        <v>33</v>
      </c>
      <c r="T51" s="4">
        <v>2004</v>
      </c>
      <c r="U51" s="4" t="s">
        <v>21</v>
      </c>
      <c r="V51" s="5">
        <v>79</v>
      </c>
      <c r="Y51" s="4" t="s">
        <v>35</v>
      </c>
      <c r="Z51" s="4">
        <v>2004</v>
      </c>
      <c r="AA51" s="4" t="s">
        <v>21</v>
      </c>
      <c r="AB51" s="5">
        <v>87</v>
      </c>
      <c r="AE51" s="4" t="s">
        <v>47</v>
      </c>
      <c r="AF51" s="4">
        <v>2004</v>
      </c>
      <c r="AG51" s="4" t="s">
        <v>21</v>
      </c>
      <c r="AH51" s="5">
        <v>327</v>
      </c>
      <c r="AK51" s="4" t="s">
        <v>49</v>
      </c>
      <c r="AL51" s="4">
        <v>2004</v>
      </c>
      <c r="AM51" s="4" t="s">
        <v>21</v>
      </c>
      <c r="AN51" s="5">
        <v>79</v>
      </c>
      <c r="AQ51" s="4" t="s">
        <v>51</v>
      </c>
      <c r="AR51" s="4">
        <v>2004</v>
      </c>
      <c r="AS51" s="4" t="s">
        <v>21</v>
      </c>
      <c r="AT51" s="5">
        <v>67</v>
      </c>
      <c r="AW51" s="4" t="s">
        <v>53</v>
      </c>
      <c r="AX51" s="4">
        <v>2004</v>
      </c>
      <c r="AY51" s="4" t="s">
        <v>21</v>
      </c>
      <c r="AZ51" s="5">
        <v>204</v>
      </c>
      <c r="BC51" s="4" t="s">
        <v>55</v>
      </c>
      <c r="BD51" s="4">
        <v>2004</v>
      </c>
      <c r="BE51" s="4" t="s">
        <v>21</v>
      </c>
      <c r="BF51" s="5">
        <v>42</v>
      </c>
      <c r="BI51" s="4" t="s">
        <v>57</v>
      </c>
      <c r="BJ51" s="4">
        <v>2004</v>
      </c>
      <c r="BK51" s="4" t="s">
        <v>21</v>
      </c>
      <c r="BL51" s="5">
        <v>653</v>
      </c>
      <c r="BO51" s="4" t="s">
        <v>60</v>
      </c>
      <c r="BP51" s="4">
        <v>2004</v>
      </c>
      <c r="BQ51" s="4" t="s">
        <v>21</v>
      </c>
      <c r="BR51" s="5">
        <v>46</v>
      </c>
      <c r="BU51" s="4" t="s">
        <v>62</v>
      </c>
      <c r="BV51" s="4">
        <v>2004</v>
      </c>
      <c r="BW51" s="4" t="s">
        <v>21</v>
      </c>
      <c r="BX51" s="5">
        <v>518</v>
      </c>
      <c r="CA51" s="4" t="s">
        <v>64</v>
      </c>
      <c r="CB51" s="4">
        <v>2004</v>
      </c>
      <c r="CC51" s="4" t="s">
        <v>21</v>
      </c>
      <c r="CD51" s="5">
        <v>62</v>
      </c>
      <c r="CG51" s="4" t="s">
        <v>66</v>
      </c>
      <c r="CH51" s="4">
        <v>2004</v>
      </c>
      <c r="CI51" s="4" t="s">
        <v>21</v>
      </c>
      <c r="CJ51" s="5">
        <v>341</v>
      </c>
      <c r="CM51" s="4" t="s">
        <v>68</v>
      </c>
      <c r="CN51" s="4">
        <v>2004</v>
      </c>
      <c r="CO51" s="4" t="s">
        <v>21</v>
      </c>
      <c r="CP51" s="5">
        <v>154</v>
      </c>
      <c r="CS51" s="4" t="s">
        <v>206</v>
      </c>
      <c r="CT51" s="4">
        <v>2004</v>
      </c>
      <c r="CU51" s="4" t="s">
        <v>21</v>
      </c>
      <c r="CV51" s="5">
        <v>312</v>
      </c>
    </row>
    <row r="52" spans="1:100" x14ac:dyDescent="0.25">
      <c r="A52" s="4" t="s">
        <v>185</v>
      </c>
      <c r="B52" s="4">
        <v>2004</v>
      </c>
      <c r="C52" s="4" t="s">
        <v>22</v>
      </c>
      <c r="D52" s="5">
        <v>14</v>
      </c>
      <c r="G52" s="4" t="s">
        <v>3</v>
      </c>
      <c r="H52" s="4">
        <v>2004</v>
      </c>
      <c r="I52" s="4" t="s">
        <v>22</v>
      </c>
      <c r="J52" s="5">
        <v>126</v>
      </c>
      <c r="M52" s="4" t="s">
        <v>31</v>
      </c>
      <c r="N52" s="4">
        <v>2004</v>
      </c>
      <c r="O52" s="4" t="s">
        <v>22</v>
      </c>
      <c r="P52" s="5">
        <v>161</v>
      </c>
      <c r="S52" s="4" t="s">
        <v>33</v>
      </c>
      <c r="T52" s="4">
        <v>2004</v>
      </c>
      <c r="U52" s="4" t="s">
        <v>22</v>
      </c>
      <c r="V52" s="5">
        <v>88</v>
      </c>
      <c r="Y52" s="4" t="s">
        <v>35</v>
      </c>
      <c r="Z52" s="4">
        <v>2004</v>
      </c>
      <c r="AA52" s="4" t="s">
        <v>22</v>
      </c>
      <c r="AB52" s="5">
        <v>103</v>
      </c>
      <c r="AE52" s="4" t="s">
        <v>47</v>
      </c>
      <c r="AF52" s="4">
        <v>2004</v>
      </c>
      <c r="AG52" s="4" t="s">
        <v>22</v>
      </c>
      <c r="AH52" s="5">
        <v>359</v>
      </c>
      <c r="AK52" s="4" t="s">
        <v>49</v>
      </c>
      <c r="AL52" s="4">
        <v>2004</v>
      </c>
      <c r="AM52" s="4" t="s">
        <v>22</v>
      </c>
      <c r="AN52" s="5">
        <v>109</v>
      </c>
      <c r="AQ52" s="4" t="s">
        <v>51</v>
      </c>
      <c r="AR52" s="4">
        <v>2004</v>
      </c>
      <c r="AS52" s="4" t="s">
        <v>22</v>
      </c>
      <c r="AT52" s="5">
        <v>66</v>
      </c>
      <c r="AW52" s="4" t="s">
        <v>53</v>
      </c>
      <c r="AX52" s="4">
        <v>2004</v>
      </c>
      <c r="AY52" s="4" t="s">
        <v>22</v>
      </c>
      <c r="AZ52" s="5">
        <v>177</v>
      </c>
      <c r="BC52" s="4" t="s">
        <v>55</v>
      </c>
      <c r="BD52" s="4">
        <v>2004</v>
      </c>
      <c r="BE52" s="4" t="s">
        <v>22</v>
      </c>
      <c r="BF52" s="5">
        <v>32</v>
      </c>
      <c r="BI52" s="4" t="s">
        <v>57</v>
      </c>
      <c r="BJ52" s="4">
        <v>2004</v>
      </c>
      <c r="BK52" s="4" t="s">
        <v>22</v>
      </c>
      <c r="BL52" s="5">
        <v>523</v>
      </c>
      <c r="BO52" s="4" t="s">
        <v>60</v>
      </c>
      <c r="BP52" s="4">
        <v>2004</v>
      </c>
      <c r="BQ52" s="4" t="s">
        <v>22</v>
      </c>
      <c r="BR52" s="5">
        <v>50</v>
      </c>
      <c r="BU52" s="4" t="s">
        <v>62</v>
      </c>
      <c r="BV52" s="4">
        <v>2004</v>
      </c>
      <c r="BW52" s="4" t="s">
        <v>22</v>
      </c>
      <c r="BX52" s="5">
        <v>530</v>
      </c>
      <c r="CA52" s="4" t="s">
        <v>64</v>
      </c>
      <c r="CB52" s="4">
        <v>2004</v>
      </c>
      <c r="CC52" s="4" t="s">
        <v>22</v>
      </c>
      <c r="CD52" s="5">
        <v>44</v>
      </c>
      <c r="CG52" s="4" t="s">
        <v>66</v>
      </c>
      <c r="CH52" s="4">
        <v>2004</v>
      </c>
      <c r="CI52" s="4" t="s">
        <v>22</v>
      </c>
      <c r="CJ52" s="5">
        <v>409</v>
      </c>
      <c r="CM52" s="4" t="s">
        <v>68</v>
      </c>
      <c r="CN52" s="4">
        <v>2004</v>
      </c>
      <c r="CO52" s="4" t="s">
        <v>22</v>
      </c>
      <c r="CP52" s="5">
        <v>160</v>
      </c>
      <c r="CS52" s="4" t="s">
        <v>206</v>
      </c>
      <c r="CT52" s="4">
        <v>2004</v>
      </c>
      <c r="CU52" s="4" t="s">
        <v>22</v>
      </c>
      <c r="CV52" s="5">
        <v>351</v>
      </c>
    </row>
    <row r="53" spans="1:100" x14ac:dyDescent="0.25">
      <c r="A53" s="4" t="s">
        <v>185</v>
      </c>
      <c r="B53" s="4">
        <v>2004</v>
      </c>
      <c r="C53" s="4" t="s">
        <v>23</v>
      </c>
      <c r="D53" s="5">
        <v>7</v>
      </c>
      <c r="G53" s="4" t="s">
        <v>3</v>
      </c>
      <c r="H53" s="4">
        <v>2004</v>
      </c>
      <c r="I53" s="4" t="s">
        <v>23</v>
      </c>
      <c r="J53" s="5">
        <v>166</v>
      </c>
      <c r="M53" s="4" t="s">
        <v>31</v>
      </c>
      <c r="N53" s="4">
        <v>2004</v>
      </c>
      <c r="O53" s="4" t="s">
        <v>23</v>
      </c>
      <c r="P53" s="5">
        <v>197</v>
      </c>
      <c r="S53" s="4" t="s">
        <v>33</v>
      </c>
      <c r="T53" s="4">
        <v>2004</v>
      </c>
      <c r="U53" s="4" t="s">
        <v>23</v>
      </c>
      <c r="V53" s="5">
        <v>98</v>
      </c>
      <c r="Y53" s="4" t="s">
        <v>35</v>
      </c>
      <c r="Z53" s="4">
        <v>2004</v>
      </c>
      <c r="AA53" s="4" t="s">
        <v>23</v>
      </c>
      <c r="AB53" s="5">
        <v>159</v>
      </c>
      <c r="AE53" s="4" t="s">
        <v>47</v>
      </c>
      <c r="AF53" s="4">
        <v>2004</v>
      </c>
      <c r="AG53" s="4" t="s">
        <v>23</v>
      </c>
      <c r="AH53" s="5">
        <v>407</v>
      </c>
      <c r="AK53" s="4" t="s">
        <v>49</v>
      </c>
      <c r="AL53" s="4">
        <v>2004</v>
      </c>
      <c r="AM53" s="4" t="s">
        <v>23</v>
      </c>
      <c r="AN53" s="5">
        <v>97</v>
      </c>
      <c r="AQ53" s="4" t="s">
        <v>51</v>
      </c>
      <c r="AR53" s="4">
        <v>2004</v>
      </c>
      <c r="AS53" s="4" t="s">
        <v>23</v>
      </c>
      <c r="AT53" s="5">
        <v>95</v>
      </c>
      <c r="AW53" s="4" t="s">
        <v>53</v>
      </c>
      <c r="AX53" s="4">
        <v>2004</v>
      </c>
      <c r="AY53" s="4" t="s">
        <v>23</v>
      </c>
      <c r="AZ53" s="5">
        <v>229</v>
      </c>
      <c r="BC53" s="4" t="s">
        <v>55</v>
      </c>
      <c r="BD53" s="4">
        <v>2004</v>
      </c>
      <c r="BE53" s="4" t="s">
        <v>23</v>
      </c>
      <c r="BF53" s="5">
        <v>46</v>
      </c>
      <c r="BI53" s="4" t="s">
        <v>57</v>
      </c>
      <c r="BJ53" s="4">
        <v>2004</v>
      </c>
      <c r="BK53" s="4" t="s">
        <v>23</v>
      </c>
      <c r="BL53" s="5">
        <v>770</v>
      </c>
      <c r="BO53" s="4" t="s">
        <v>60</v>
      </c>
      <c r="BP53" s="4">
        <v>2004</v>
      </c>
      <c r="BQ53" s="4" t="s">
        <v>23</v>
      </c>
      <c r="BR53" s="5">
        <v>60</v>
      </c>
      <c r="BU53" s="4" t="s">
        <v>62</v>
      </c>
      <c r="BV53" s="4">
        <v>2004</v>
      </c>
      <c r="BW53" s="4" t="s">
        <v>23</v>
      </c>
      <c r="BX53" s="5">
        <v>622</v>
      </c>
      <c r="CA53" s="4" t="s">
        <v>64</v>
      </c>
      <c r="CB53" s="4">
        <v>2004</v>
      </c>
      <c r="CC53" s="4" t="s">
        <v>23</v>
      </c>
      <c r="CD53" s="5">
        <v>53</v>
      </c>
      <c r="CG53" s="4" t="s">
        <v>66</v>
      </c>
      <c r="CH53" s="4">
        <v>2004</v>
      </c>
      <c r="CI53" s="4" t="s">
        <v>23</v>
      </c>
      <c r="CJ53" s="5">
        <v>465</v>
      </c>
      <c r="CM53" s="4" t="s">
        <v>68</v>
      </c>
      <c r="CN53" s="4">
        <v>2004</v>
      </c>
      <c r="CO53" s="4" t="s">
        <v>23</v>
      </c>
      <c r="CP53" s="5">
        <v>149</v>
      </c>
      <c r="CS53" s="4" t="s">
        <v>206</v>
      </c>
      <c r="CT53" s="4">
        <v>2004</v>
      </c>
      <c r="CU53" s="4" t="s">
        <v>23</v>
      </c>
      <c r="CV53" s="5">
        <v>365</v>
      </c>
    </row>
    <row r="54" spans="1:100" x14ac:dyDescent="0.25">
      <c r="A54" s="4" t="s">
        <v>185</v>
      </c>
      <c r="B54" s="4">
        <v>2004</v>
      </c>
      <c r="C54" s="4" t="s">
        <v>24</v>
      </c>
      <c r="D54" s="5">
        <v>8</v>
      </c>
      <c r="G54" s="4" t="s">
        <v>3</v>
      </c>
      <c r="H54" s="4">
        <v>2004</v>
      </c>
      <c r="I54" s="4" t="s">
        <v>24</v>
      </c>
      <c r="J54" s="5">
        <v>161</v>
      </c>
      <c r="M54" s="4" t="s">
        <v>31</v>
      </c>
      <c r="N54" s="4">
        <v>2004</v>
      </c>
      <c r="O54" s="4" t="s">
        <v>24</v>
      </c>
      <c r="P54" s="5">
        <v>186</v>
      </c>
      <c r="S54" s="4" t="s">
        <v>33</v>
      </c>
      <c r="T54" s="4">
        <v>2004</v>
      </c>
      <c r="U54" s="4" t="s">
        <v>24</v>
      </c>
      <c r="V54" s="5">
        <v>116</v>
      </c>
      <c r="Y54" s="4" t="s">
        <v>35</v>
      </c>
      <c r="Z54" s="4">
        <v>2004</v>
      </c>
      <c r="AA54" s="4" t="s">
        <v>24</v>
      </c>
      <c r="AB54" s="5">
        <v>127</v>
      </c>
      <c r="AE54" s="4" t="s">
        <v>47</v>
      </c>
      <c r="AF54" s="4">
        <v>2004</v>
      </c>
      <c r="AG54" s="4" t="s">
        <v>24</v>
      </c>
      <c r="AH54" s="5">
        <v>393</v>
      </c>
      <c r="AK54" s="4" t="s">
        <v>49</v>
      </c>
      <c r="AL54" s="4">
        <v>2004</v>
      </c>
      <c r="AM54" s="4" t="s">
        <v>24</v>
      </c>
      <c r="AN54" s="5">
        <v>84</v>
      </c>
      <c r="AQ54" s="4" t="s">
        <v>51</v>
      </c>
      <c r="AR54" s="4">
        <v>2004</v>
      </c>
      <c r="AS54" s="4" t="s">
        <v>24</v>
      </c>
      <c r="AT54" s="5">
        <v>81</v>
      </c>
      <c r="AW54" s="4" t="s">
        <v>53</v>
      </c>
      <c r="AX54" s="4">
        <v>2004</v>
      </c>
      <c r="AY54" s="4" t="s">
        <v>24</v>
      </c>
      <c r="AZ54" s="5">
        <v>196</v>
      </c>
      <c r="BC54" s="4" t="s">
        <v>55</v>
      </c>
      <c r="BD54" s="4">
        <v>2004</v>
      </c>
      <c r="BE54" s="4" t="s">
        <v>24</v>
      </c>
      <c r="BF54" s="5">
        <v>36</v>
      </c>
      <c r="BI54" s="4" t="s">
        <v>57</v>
      </c>
      <c r="BJ54" s="4">
        <v>2004</v>
      </c>
      <c r="BK54" s="4" t="s">
        <v>24</v>
      </c>
      <c r="BL54" s="5">
        <v>666</v>
      </c>
      <c r="BO54" s="4" t="s">
        <v>60</v>
      </c>
      <c r="BP54" s="4">
        <v>2004</v>
      </c>
      <c r="BQ54" s="4" t="s">
        <v>24</v>
      </c>
      <c r="BR54" s="5">
        <v>50</v>
      </c>
      <c r="BU54" s="4" t="s">
        <v>62</v>
      </c>
      <c r="BV54" s="4">
        <v>2004</v>
      </c>
      <c r="BW54" s="4" t="s">
        <v>24</v>
      </c>
      <c r="BX54" s="5">
        <v>551</v>
      </c>
      <c r="CA54" s="4" t="s">
        <v>64</v>
      </c>
      <c r="CB54" s="4">
        <v>2004</v>
      </c>
      <c r="CC54" s="4" t="s">
        <v>24</v>
      </c>
      <c r="CD54" s="5">
        <v>75</v>
      </c>
      <c r="CG54" s="4" t="s">
        <v>66</v>
      </c>
      <c r="CH54" s="4">
        <v>2004</v>
      </c>
      <c r="CI54" s="4" t="s">
        <v>24</v>
      </c>
      <c r="CJ54" s="5">
        <v>380</v>
      </c>
      <c r="CM54" s="4" t="s">
        <v>68</v>
      </c>
      <c r="CN54" s="4">
        <v>2004</v>
      </c>
      <c r="CO54" s="4" t="s">
        <v>24</v>
      </c>
      <c r="CP54" s="5">
        <v>176</v>
      </c>
      <c r="CS54" s="4" t="s">
        <v>206</v>
      </c>
      <c r="CT54" s="4">
        <v>2004</v>
      </c>
      <c r="CU54" s="4" t="s">
        <v>24</v>
      </c>
      <c r="CV54" s="5">
        <v>388</v>
      </c>
    </row>
    <row r="55" spans="1:100" x14ac:dyDescent="0.25">
      <c r="A55" s="4" t="s">
        <v>185</v>
      </c>
      <c r="B55" s="4">
        <v>2004</v>
      </c>
      <c r="C55" s="4" t="s">
        <v>25</v>
      </c>
      <c r="D55" s="5">
        <v>9</v>
      </c>
      <c r="G55" s="4" t="s">
        <v>3</v>
      </c>
      <c r="H55" s="4">
        <v>2004</v>
      </c>
      <c r="I55" s="4" t="s">
        <v>25</v>
      </c>
      <c r="J55" s="5">
        <v>116</v>
      </c>
      <c r="M55" s="4" t="s">
        <v>31</v>
      </c>
      <c r="N55" s="4">
        <v>2004</v>
      </c>
      <c r="O55" s="4" t="s">
        <v>25</v>
      </c>
      <c r="P55" s="5">
        <v>171</v>
      </c>
      <c r="S55" s="4" t="s">
        <v>33</v>
      </c>
      <c r="T55" s="4">
        <v>2004</v>
      </c>
      <c r="U55" s="4" t="s">
        <v>25</v>
      </c>
      <c r="V55" s="5">
        <v>102</v>
      </c>
      <c r="Y55" s="4" t="s">
        <v>35</v>
      </c>
      <c r="Z55" s="4">
        <v>2004</v>
      </c>
      <c r="AA55" s="4" t="s">
        <v>25</v>
      </c>
      <c r="AB55" s="5">
        <v>148</v>
      </c>
      <c r="AE55" s="4" t="s">
        <v>47</v>
      </c>
      <c r="AF55" s="4">
        <v>2004</v>
      </c>
      <c r="AG55" s="4" t="s">
        <v>25</v>
      </c>
      <c r="AH55" s="5">
        <v>358</v>
      </c>
      <c r="AK55" s="4" t="s">
        <v>49</v>
      </c>
      <c r="AL55" s="4">
        <v>2004</v>
      </c>
      <c r="AM55" s="4" t="s">
        <v>25</v>
      </c>
      <c r="AN55" s="5">
        <v>91</v>
      </c>
      <c r="AQ55" s="4" t="s">
        <v>51</v>
      </c>
      <c r="AR55" s="4">
        <v>2004</v>
      </c>
      <c r="AS55" s="4" t="s">
        <v>25</v>
      </c>
      <c r="AT55" s="5">
        <v>78</v>
      </c>
      <c r="AW55" s="4" t="s">
        <v>53</v>
      </c>
      <c r="AX55" s="4">
        <v>2004</v>
      </c>
      <c r="AY55" s="4" t="s">
        <v>25</v>
      </c>
      <c r="AZ55" s="5">
        <v>156</v>
      </c>
      <c r="BC55" s="4" t="s">
        <v>55</v>
      </c>
      <c r="BD55" s="4">
        <v>2004</v>
      </c>
      <c r="BE55" s="4" t="s">
        <v>25</v>
      </c>
      <c r="BF55" s="5">
        <v>33</v>
      </c>
      <c r="BI55" s="4" t="s">
        <v>57</v>
      </c>
      <c r="BJ55" s="4">
        <v>2004</v>
      </c>
      <c r="BK55" s="4" t="s">
        <v>25</v>
      </c>
      <c r="BL55" s="5">
        <v>652</v>
      </c>
      <c r="BO55" s="4" t="s">
        <v>60</v>
      </c>
      <c r="BP55" s="4">
        <v>2004</v>
      </c>
      <c r="BQ55" s="4" t="s">
        <v>25</v>
      </c>
      <c r="BR55" s="5">
        <v>34</v>
      </c>
      <c r="BU55" s="4" t="s">
        <v>62</v>
      </c>
      <c r="BV55" s="4">
        <v>2004</v>
      </c>
      <c r="BW55" s="4" t="s">
        <v>25</v>
      </c>
      <c r="BX55" s="5">
        <v>465</v>
      </c>
      <c r="CA55" s="4" t="s">
        <v>64</v>
      </c>
      <c r="CB55" s="4">
        <v>2004</v>
      </c>
      <c r="CC55" s="4" t="s">
        <v>25</v>
      </c>
      <c r="CD55" s="5">
        <v>46</v>
      </c>
      <c r="CG55" s="4" t="s">
        <v>66</v>
      </c>
      <c r="CH55" s="4">
        <v>2004</v>
      </c>
      <c r="CI55" s="4" t="s">
        <v>25</v>
      </c>
      <c r="CJ55" s="5">
        <v>397</v>
      </c>
      <c r="CM55" s="4" t="s">
        <v>68</v>
      </c>
      <c r="CN55" s="4">
        <v>2004</v>
      </c>
      <c r="CO55" s="4" t="s">
        <v>25</v>
      </c>
      <c r="CP55" s="5">
        <v>90</v>
      </c>
      <c r="CS55" s="4" t="s">
        <v>206</v>
      </c>
      <c r="CT55" s="4">
        <v>2004</v>
      </c>
      <c r="CU55" s="4" t="s">
        <v>25</v>
      </c>
      <c r="CV55" s="5">
        <v>372</v>
      </c>
    </row>
    <row r="56" spans="1:100" x14ac:dyDescent="0.25">
      <c r="A56" s="4" t="s">
        <v>185</v>
      </c>
      <c r="B56" s="4">
        <v>2004</v>
      </c>
      <c r="C56" s="4" t="s">
        <v>26</v>
      </c>
      <c r="D56" s="5">
        <v>11</v>
      </c>
      <c r="G56" s="4" t="s">
        <v>3</v>
      </c>
      <c r="H56" s="4">
        <v>2004</v>
      </c>
      <c r="I56" s="4" t="s">
        <v>26</v>
      </c>
      <c r="J56" s="5">
        <v>135</v>
      </c>
      <c r="M56" s="4" t="s">
        <v>31</v>
      </c>
      <c r="N56" s="4">
        <v>2004</v>
      </c>
      <c r="O56" s="4" t="s">
        <v>26</v>
      </c>
      <c r="P56" s="5">
        <v>180</v>
      </c>
      <c r="S56" s="4" t="s">
        <v>33</v>
      </c>
      <c r="T56" s="4">
        <v>2004</v>
      </c>
      <c r="U56" s="4" t="s">
        <v>26</v>
      </c>
      <c r="V56" s="5">
        <v>122</v>
      </c>
      <c r="Y56" s="4" t="s">
        <v>35</v>
      </c>
      <c r="Z56" s="4">
        <v>2004</v>
      </c>
      <c r="AA56" s="4" t="s">
        <v>26</v>
      </c>
      <c r="AB56" s="5">
        <v>176</v>
      </c>
      <c r="AE56" s="4" t="s">
        <v>47</v>
      </c>
      <c r="AF56" s="4">
        <v>2004</v>
      </c>
      <c r="AG56" s="4" t="s">
        <v>26</v>
      </c>
      <c r="AH56" s="5">
        <v>455</v>
      </c>
      <c r="AK56" s="4" t="s">
        <v>49</v>
      </c>
      <c r="AL56" s="4">
        <v>2004</v>
      </c>
      <c r="AM56" s="4" t="s">
        <v>26</v>
      </c>
      <c r="AN56" s="5">
        <v>122</v>
      </c>
      <c r="AQ56" s="4" t="s">
        <v>51</v>
      </c>
      <c r="AR56" s="4">
        <v>2004</v>
      </c>
      <c r="AS56" s="4" t="s">
        <v>26</v>
      </c>
      <c r="AT56" s="5">
        <v>114</v>
      </c>
      <c r="AW56" s="4" t="s">
        <v>53</v>
      </c>
      <c r="AX56" s="4">
        <v>2004</v>
      </c>
      <c r="AY56" s="4" t="s">
        <v>26</v>
      </c>
      <c r="AZ56" s="5">
        <v>266</v>
      </c>
      <c r="BC56" s="4" t="s">
        <v>55</v>
      </c>
      <c r="BD56" s="4">
        <v>2004</v>
      </c>
      <c r="BE56" s="4" t="s">
        <v>26</v>
      </c>
      <c r="BF56" s="5">
        <v>43</v>
      </c>
      <c r="BI56" s="4" t="s">
        <v>57</v>
      </c>
      <c r="BJ56" s="4">
        <v>2004</v>
      </c>
      <c r="BK56" s="4" t="s">
        <v>26</v>
      </c>
      <c r="BL56" s="5">
        <v>802</v>
      </c>
      <c r="BO56" s="4" t="s">
        <v>60</v>
      </c>
      <c r="BP56" s="4">
        <v>2004</v>
      </c>
      <c r="BQ56" s="4" t="s">
        <v>26</v>
      </c>
      <c r="BR56" s="5">
        <v>58</v>
      </c>
      <c r="BU56" s="4" t="s">
        <v>62</v>
      </c>
      <c r="BV56" s="4">
        <v>2004</v>
      </c>
      <c r="BW56" s="4" t="s">
        <v>26</v>
      </c>
      <c r="BX56" s="5">
        <v>571</v>
      </c>
      <c r="CA56" s="4" t="s">
        <v>64</v>
      </c>
      <c r="CB56" s="4">
        <v>2004</v>
      </c>
      <c r="CC56" s="4" t="s">
        <v>26</v>
      </c>
      <c r="CD56" s="5">
        <v>46</v>
      </c>
      <c r="CG56" s="4" t="s">
        <v>66</v>
      </c>
      <c r="CH56" s="4">
        <v>2004</v>
      </c>
      <c r="CI56" s="4" t="s">
        <v>26</v>
      </c>
      <c r="CJ56" s="5">
        <v>467</v>
      </c>
      <c r="CM56" s="4" t="s">
        <v>68</v>
      </c>
      <c r="CN56" s="4">
        <v>2004</v>
      </c>
      <c r="CO56" s="4" t="s">
        <v>26</v>
      </c>
      <c r="CP56" s="5">
        <v>218</v>
      </c>
      <c r="CS56" s="4" t="s">
        <v>206</v>
      </c>
      <c r="CT56" s="4">
        <v>2004</v>
      </c>
      <c r="CU56" s="4" t="s">
        <v>26</v>
      </c>
      <c r="CV56" s="5">
        <v>368</v>
      </c>
    </row>
    <row r="57" spans="1:100" x14ac:dyDescent="0.25">
      <c r="A57" s="4" t="s">
        <v>185</v>
      </c>
      <c r="B57" s="4">
        <v>2004</v>
      </c>
      <c r="C57" s="4" t="s">
        <v>27</v>
      </c>
      <c r="D57" s="5">
        <v>8</v>
      </c>
      <c r="G57" s="4" t="s">
        <v>3</v>
      </c>
      <c r="H57" s="4">
        <v>2004</v>
      </c>
      <c r="I57" s="4" t="s">
        <v>27</v>
      </c>
      <c r="J57" s="5">
        <v>132</v>
      </c>
      <c r="M57" s="4" t="s">
        <v>31</v>
      </c>
      <c r="N57" s="4">
        <v>2004</v>
      </c>
      <c r="O57" s="4" t="s">
        <v>27</v>
      </c>
      <c r="P57" s="5">
        <v>171</v>
      </c>
      <c r="S57" s="4" t="s">
        <v>33</v>
      </c>
      <c r="T57" s="4">
        <v>2004</v>
      </c>
      <c r="U57" s="4" t="s">
        <v>27</v>
      </c>
      <c r="V57" s="5">
        <v>104</v>
      </c>
      <c r="Y57" s="4" t="s">
        <v>35</v>
      </c>
      <c r="Z57" s="4">
        <v>2004</v>
      </c>
      <c r="AA57" s="4" t="s">
        <v>27</v>
      </c>
      <c r="AB57" s="5">
        <v>127</v>
      </c>
      <c r="AE57" s="4" t="s">
        <v>47</v>
      </c>
      <c r="AF57" s="4">
        <v>2004</v>
      </c>
      <c r="AG57" s="4" t="s">
        <v>27</v>
      </c>
      <c r="AH57" s="5">
        <v>482</v>
      </c>
      <c r="AK57" s="4" t="s">
        <v>49</v>
      </c>
      <c r="AL57" s="4">
        <v>2004</v>
      </c>
      <c r="AM57" s="4" t="s">
        <v>27</v>
      </c>
      <c r="AN57" s="5">
        <v>83</v>
      </c>
      <c r="AQ57" s="4" t="s">
        <v>51</v>
      </c>
      <c r="AR57" s="4">
        <v>2004</v>
      </c>
      <c r="AS57" s="4" t="s">
        <v>27</v>
      </c>
      <c r="AT57" s="5">
        <v>95</v>
      </c>
      <c r="AW57" s="4" t="s">
        <v>53</v>
      </c>
      <c r="AX57" s="4">
        <v>2004</v>
      </c>
      <c r="AY57" s="4" t="s">
        <v>27</v>
      </c>
      <c r="AZ57" s="5">
        <v>202</v>
      </c>
      <c r="BC57" s="4" t="s">
        <v>55</v>
      </c>
      <c r="BD57" s="4">
        <v>2004</v>
      </c>
      <c r="BE57" s="4" t="s">
        <v>27</v>
      </c>
      <c r="BF57" s="5">
        <v>52</v>
      </c>
      <c r="BI57" s="4" t="s">
        <v>57</v>
      </c>
      <c r="BJ57" s="4">
        <v>2004</v>
      </c>
      <c r="BK57" s="4" t="s">
        <v>27</v>
      </c>
      <c r="BL57" s="5">
        <v>651</v>
      </c>
      <c r="BO57" s="4" t="s">
        <v>60</v>
      </c>
      <c r="BP57" s="4">
        <v>2004</v>
      </c>
      <c r="BQ57" s="4" t="s">
        <v>27</v>
      </c>
      <c r="BR57" s="5">
        <v>50</v>
      </c>
      <c r="BU57" s="4" t="s">
        <v>62</v>
      </c>
      <c r="BV57" s="4">
        <v>2004</v>
      </c>
      <c r="BW57" s="4" t="s">
        <v>27</v>
      </c>
      <c r="BX57" s="5">
        <v>531</v>
      </c>
      <c r="CA57" s="4" t="s">
        <v>64</v>
      </c>
      <c r="CB57" s="4">
        <v>2004</v>
      </c>
      <c r="CC57" s="4" t="s">
        <v>27</v>
      </c>
      <c r="CD57" s="5">
        <v>46</v>
      </c>
      <c r="CG57" s="4" t="s">
        <v>66</v>
      </c>
      <c r="CH57" s="4">
        <v>2004</v>
      </c>
      <c r="CI57" s="4" t="s">
        <v>27</v>
      </c>
      <c r="CJ57" s="5">
        <v>424</v>
      </c>
      <c r="CM57" s="4" t="s">
        <v>68</v>
      </c>
      <c r="CN57" s="4">
        <v>2004</v>
      </c>
      <c r="CO57" s="4" t="s">
        <v>27</v>
      </c>
      <c r="CP57" s="5">
        <v>151</v>
      </c>
      <c r="CS57" s="4" t="s">
        <v>206</v>
      </c>
      <c r="CT57" s="4">
        <v>2004</v>
      </c>
      <c r="CU57" s="4" t="s">
        <v>27</v>
      </c>
      <c r="CV57" s="5">
        <v>340</v>
      </c>
    </row>
    <row r="58" spans="1:100" x14ac:dyDescent="0.25">
      <c r="A58" s="4" t="s">
        <v>185</v>
      </c>
      <c r="B58" s="4">
        <v>2004</v>
      </c>
      <c r="C58" s="4" t="s">
        <v>28</v>
      </c>
      <c r="D58" s="5">
        <v>10</v>
      </c>
      <c r="G58" s="4" t="s">
        <v>3</v>
      </c>
      <c r="H58" s="4">
        <v>2004</v>
      </c>
      <c r="I58" s="4" t="s">
        <v>28</v>
      </c>
      <c r="J58" s="5">
        <v>110</v>
      </c>
      <c r="M58" s="4" t="s">
        <v>31</v>
      </c>
      <c r="N58" s="4">
        <v>2004</v>
      </c>
      <c r="O58" s="4" t="s">
        <v>28</v>
      </c>
      <c r="P58" s="5">
        <v>167</v>
      </c>
      <c r="S58" s="4" t="s">
        <v>33</v>
      </c>
      <c r="T58" s="4">
        <v>2004</v>
      </c>
      <c r="U58" s="4" t="s">
        <v>28</v>
      </c>
      <c r="V58" s="5">
        <v>103</v>
      </c>
      <c r="Y58" s="4" t="s">
        <v>35</v>
      </c>
      <c r="Z58" s="4">
        <v>2004</v>
      </c>
      <c r="AA58" s="4" t="s">
        <v>28</v>
      </c>
      <c r="AB58" s="5">
        <v>133</v>
      </c>
      <c r="AE58" s="4" t="s">
        <v>47</v>
      </c>
      <c r="AF58" s="4">
        <v>2004</v>
      </c>
      <c r="AG58" s="4" t="s">
        <v>28</v>
      </c>
      <c r="AH58" s="5">
        <v>561</v>
      </c>
      <c r="AK58" s="4" t="s">
        <v>49</v>
      </c>
      <c r="AL58" s="4">
        <v>2004</v>
      </c>
      <c r="AM58" s="4" t="s">
        <v>28</v>
      </c>
      <c r="AN58" s="5">
        <v>72</v>
      </c>
      <c r="AQ58" s="4" t="s">
        <v>51</v>
      </c>
      <c r="AR58" s="4">
        <v>2004</v>
      </c>
      <c r="AS58" s="4" t="s">
        <v>28</v>
      </c>
      <c r="AT58" s="5">
        <v>89</v>
      </c>
      <c r="AW58" s="4" t="s">
        <v>53</v>
      </c>
      <c r="AX58" s="4">
        <v>2004</v>
      </c>
      <c r="AY58" s="4" t="s">
        <v>28</v>
      </c>
      <c r="AZ58" s="5">
        <v>253</v>
      </c>
      <c r="BC58" s="4" t="s">
        <v>55</v>
      </c>
      <c r="BD58" s="4">
        <v>2004</v>
      </c>
      <c r="BE58" s="4" t="s">
        <v>28</v>
      </c>
      <c r="BF58" s="5">
        <v>53</v>
      </c>
      <c r="BI58" s="4" t="s">
        <v>57</v>
      </c>
      <c r="BJ58" s="4">
        <v>2004</v>
      </c>
      <c r="BK58" s="4" t="s">
        <v>28</v>
      </c>
      <c r="BL58" s="5">
        <v>697</v>
      </c>
      <c r="BO58" s="4" t="s">
        <v>60</v>
      </c>
      <c r="BP58" s="4">
        <v>2004</v>
      </c>
      <c r="BQ58" s="4" t="s">
        <v>28</v>
      </c>
      <c r="BR58" s="5">
        <v>42</v>
      </c>
      <c r="BU58" s="4" t="s">
        <v>62</v>
      </c>
      <c r="BV58" s="4">
        <v>2004</v>
      </c>
      <c r="BW58" s="4" t="s">
        <v>28</v>
      </c>
      <c r="BX58" s="5">
        <v>521</v>
      </c>
      <c r="CA58" s="4" t="s">
        <v>64</v>
      </c>
      <c r="CB58" s="4">
        <v>2004</v>
      </c>
      <c r="CC58" s="4" t="s">
        <v>28</v>
      </c>
      <c r="CD58" s="5">
        <v>58</v>
      </c>
      <c r="CG58" s="4" t="s">
        <v>66</v>
      </c>
      <c r="CH58" s="4">
        <v>2004</v>
      </c>
      <c r="CI58" s="4" t="s">
        <v>28</v>
      </c>
      <c r="CJ58" s="5">
        <v>371</v>
      </c>
      <c r="CM58" s="4" t="s">
        <v>68</v>
      </c>
      <c r="CN58" s="4">
        <v>2004</v>
      </c>
      <c r="CO58" s="4" t="s">
        <v>28</v>
      </c>
      <c r="CP58" s="5">
        <v>142</v>
      </c>
      <c r="CS58" s="4" t="s">
        <v>206</v>
      </c>
      <c r="CT58" s="4">
        <v>2004</v>
      </c>
      <c r="CU58" s="4" t="s">
        <v>28</v>
      </c>
      <c r="CV58" s="5">
        <v>326</v>
      </c>
    </row>
    <row r="59" spans="1:100" x14ac:dyDescent="0.25">
      <c r="A59" s="4" t="s">
        <v>185</v>
      </c>
      <c r="B59" s="4">
        <v>2004</v>
      </c>
      <c r="C59" s="4" t="s">
        <v>29</v>
      </c>
      <c r="D59" s="5">
        <v>9</v>
      </c>
      <c r="G59" s="4" t="s">
        <v>3</v>
      </c>
      <c r="H59" s="4">
        <v>2004</v>
      </c>
      <c r="I59" s="4" t="s">
        <v>29</v>
      </c>
      <c r="J59" s="5">
        <v>143</v>
      </c>
      <c r="M59" s="4" t="s">
        <v>31</v>
      </c>
      <c r="N59" s="4">
        <v>2004</v>
      </c>
      <c r="O59" s="4" t="s">
        <v>29</v>
      </c>
      <c r="P59" s="5">
        <v>186</v>
      </c>
      <c r="S59" s="4" t="s">
        <v>33</v>
      </c>
      <c r="T59" s="4">
        <v>2004</v>
      </c>
      <c r="U59" s="4" t="s">
        <v>29</v>
      </c>
      <c r="V59" s="5">
        <v>105</v>
      </c>
      <c r="Y59" s="4" t="s">
        <v>35</v>
      </c>
      <c r="Z59" s="4">
        <v>2004</v>
      </c>
      <c r="AA59" s="4" t="s">
        <v>29</v>
      </c>
      <c r="AB59" s="5">
        <v>102</v>
      </c>
      <c r="AE59" s="4" t="s">
        <v>47</v>
      </c>
      <c r="AF59" s="4">
        <v>2004</v>
      </c>
      <c r="AG59" s="4" t="s">
        <v>29</v>
      </c>
      <c r="AH59" s="5">
        <v>557</v>
      </c>
      <c r="AK59" s="4" t="s">
        <v>49</v>
      </c>
      <c r="AL59" s="4">
        <v>2004</v>
      </c>
      <c r="AM59" s="4" t="s">
        <v>29</v>
      </c>
      <c r="AN59" s="5">
        <v>106</v>
      </c>
      <c r="AQ59" s="4" t="s">
        <v>51</v>
      </c>
      <c r="AR59" s="4">
        <v>2004</v>
      </c>
      <c r="AS59" s="4" t="s">
        <v>29</v>
      </c>
      <c r="AT59" s="5">
        <v>126</v>
      </c>
      <c r="AW59" s="4" t="s">
        <v>53</v>
      </c>
      <c r="AX59" s="4">
        <v>2004</v>
      </c>
      <c r="AY59" s="4" t="s">
        <v>29</v>
      </c>
      <c r="AZ59" s="5">
        <v>252</v>
      </c>
      <c r="BC59" s="4" t="s">
        <v>55</v>
      </c>
      <c r="BD59" s="4">
        <v>2004</v>
      </c>
      <c r="BE59" s="4" t="s">
        <v>29</v>
      </c>
      <c r="BF59" s="5">
        <v>55</v>
      </c>
      <c r="BI59" s="4" t="s">
        <v>57</v>
      </c>
      <c r="BJ59" s="4">
        <v>2004</v>
      </c>
      <c r="BK59" s="4" t="s">
        <v>29</v>
      </c>
      <c r="BL59" s="5">
        <v>785</v>
      </c>
      <c r="BO59" s="4" t="s">
        <v>60</v>
      </c>
      <c r="BP59" s="4">
        <v>2004</v>
      </c>
      <c r="BQ59" s="4" t="s">
        <v>29</v>
      </c>
      <c r="BR59" s="5">
        <v>92</v>
      </c>
      <c r="BU59" s="4" t="s">
        <v>62</v>
      </c>
      <c r="BV59" s="4">
        <v>2004</v>
      </c>
      <c r="BW59" s="4" t="s">
        <v>29</v>
      </c>
      <c r="BX59" s="5">
        <v>586</v>
      </c>
      <c r="CA59" s="4" t="s">
        <v>64</v>
      </c>
      <c r="CB59" s="4">
        <v>2004</v>
      </c>
      <c r="CC59" s="4" t="s">
        <v>29</v>
      </c>
      <c r="CD59" s="5">
        <v>58</v>
      </c>
      <c r="CG59" s="4" t="s">
        <v>66</v>
      </c>
      <c r="CH59" s="4">
        <v>2004</v>
      </c>
      <c r="CI59" s="4" t="s">
        <v>29</v>
      </c>
      <c r="CJ59" s="5">
        <v>402</v>
      </c>
      <c r="CM59" s="4" t="s">
        <v>68</v>
      </c>
      <c r="CN59" s="4">
        <v>2004</v>
      </c>
      <c r="CO59" s="4" t="s">
        <v>29</v>
      </c>
      <c r="CP59" s="5">
        <v>163</v>
      </c>
      <c r="CS59" s="4" t="s">
        <v>206</v>
      </c>
      <c r="CT59" s="4">
        <v>2004</v>
      </c>
      <c r="CU59" s="4" t="s">
        <v>29</v>
      </c>
      <c r="CV59" s="5">
        <v>377</v>
      </c>
    </row>
    <row r="60" spans="1:100" x14ac:dyDescent="0.25">
      <c r="A60" s="4" t="s">
        <v>185</v>
      </c>
      <c r="B60" s="4">
        <v>2004</v>
      </c>
      <c r="C60" s="4" t="s">
        <v>30</v>
      </c>
      <c r="D60" s="5">
        <v>9</v>
      </c>
      <c r="G60" s="4" t="s">
        <v>3</v>
      </c>
      <c r="H60" s="4">
        <v>2004</v>
      </c>
      <c r="I60" s="4" t="s">
        <v>30</v>
      </c>
      <c r="J60" s="5">
        <v>103</v>
      </c>
      <c r="M60" s="4" t="s">
        <v>31</v>
      </c>
      <c r="N60" s="4">
        <v>2004</v>
      </c>
      <c r="O60" s="4" t="s">
        <v>30</v>
      </c>
      <c r="P60" s="5">
        <v>143</v>
      </c>
      <c r="S60" s="4" t="s">
        <v>33</v>
      </c>
      <c r="T60" s="4">
        <v>2004</v>
      </c>
      <c r="U60" s="4" t="s">
        <v>30</v>
      </c>
      <c r="V60" s="5">
        <v>64</v>
      </c>
      <c r="Y60" s="4" t="s">
        <v>35</v>
      </c>
      <c r="Z60" s="4">
        <v>2004</v>
      </c>
      <c r="AA60" s="4" t="s">
        <v>30</v>
      </c>
      <c r="AB60" s="5">
        <v>110</v>
      </c>
      <c r="AE60" s="4" t="s">
        <v>47</v>
      </c>
      <c r="AF60" s="4">
        <v>2004</v>
      </c>
      <c r="AG60" s="4" t="s">
        <v>30</v>
      </c>
      <c r="AH60" s="5">
        <v>291</v>
      </c>
      <c r="AK60" s="4" t="s">
        <v>49</v>
      </c>
      <c r="AL60" s="4">
        <v>2004</v>
      </c>
      <c r="AM60" s="4" t="s">
        <v>30</v>
      </c>
      <c r="AN60" s="5">
        <v>86</v>
      </c>
      <c r="AQ60" s="4" t="s">
        <v>51</v>
      </c>
      <c r="AR60" s="4">
        <v>2004</v>
      </c>
      <c r="AS60" s="4" t="s">
        <v>30</v>
      </c>
      <c r="AT60" s="5">
        <v>54</v>
      </c>
      <c r="AW60" s="4" t="s">
        <v>53</v>
      </c>
      <c r="AX60" s="4">
        <v>2004</v>
      </c>
      <c r="AY60" s="4" t="s">
        <v>30</v>
      </c>
      <c r="AZ60" s="5">
        <v>172</v>
      </c>
      <c r="BC60" s="4" t="s">
        <v>55</v>
      </c>
      <c r="BD60" s="4">
        <v>2004</v>
      </c>
      <c r="BE60" s="4" t="s">
        <v>30</v>
      </c>
      <c r="BF60" s="5">
        <v>38</v>
      </c>
      <c r="BI60" s="4" t="s">
        <v>57</v>
      </c>
      <c r="BJ60" s="4">
        <v>2004</v>
      </c>
      <c r="BK60" s="4" t="s">
        <v>30</v>
      </c>
      <c r="BL60" s="5">
        <v>538</v>
      </c>
      <c r="BO60" s="4" t="s">
        <v>60</v>
      </c>
      <c r="BP60" s="4">
        <v>2004</v>
      </c>
      <c r="BQ60" s="4" t="s">
        <v>30</v>
      </c>
      <c r="BR60" s="5">
        <v>48</v>
      </c>
      <c r="BU60" s="4" t="s">
        <v>62</v>
      </c>
      <c r="BV60" s="4">
        <v>2004</v>
      </c>
      <c r="BW60" s="4" t="s">
        <v>30</v>
      </c>
      <c r="BX60" s="5">
        <v>504</v>
      </c>
      <c r="CA60" s="4" t="s">
        <v>64</v>
      </c>
      <c r="CB60" s="4">
        <v>2004</v>
      </c>
      <c r="CC60" s="4" t="s">
        <v>30</v>
      </c>
      <c r="CD60" s="5">
        <v>44</v>
      </c>
      <c r="CG60" s="4" t="s">
        <v>66</v>
      </c>
      <c r="CH60" s="4">
        <v>2004</v>
      </c>
      <c r="CI60" s="4" t="s">
        <v>30</v>
      </c>
      <c r="CJ60" s="5">
        <v>299</v>
      </c>
      <c r="CM60" s="4" t="s">
        <v>68</v>
      </c>
      <c r="CN60" s="4">
        <v>2004</v>
      </c>
      <c r="CO60" s="4" t="s">
        <v>30</v>
      </c>
      <c r="CP60" s="5">
        <v>128</v>
      </c>
      <c r="CS60" s="4" t="s">
        <v>206</v>
      </c>
      <c r="CT60" s="4">
        <v>2004</v>
      </c>
      <c r="CU60" s="4" t="s">
        <v>30</v>
      </c>
      <c r="CV60" s="5">
        <v>343</v>
      </c>
    </row>
    <row r="61" spans="1:100" x14ac:dyDescent="0.25">
      <c r="A61" s="4" t="s">
        <v>185</v>
      </c>
      <c r="B61" s="4">
        <v>2004</v>
      </c>
      <c r="C61" s="4" t="s">
        <v>19</v>
      </c>
      <c r="D61" s="5">
        <v>11</v>
      </c>
      <c r="G61" s="4" t="s">
        <v>3</v>
      </c>
      <c r="H61" s="4">
        <v>2004</v>
      </c>
      <c r="I61" s="4" t="s">
        <v>19</v>
      </c>
      <c r="J61" s="5">
        <v>109</v>
      </c>
      <c r="M61" s="4" t="s">
        <v>31</v>
      </c>
      <c r="N61" s="4">
        <v>2004</v>
      </c>
      <c r="O61" s="4" t="s">
        <v>19</v>
      </c>
      <c r="P61" s="5">
        <v>150</v>
      </c>
      <c r="S61" s="4" t="s">
        <v>33</v>
      </c>
      <c r="T61" s="4">
        <v>2004</v>
      </c>
      <c r="U61" s="4" t="s">
        <v>19</v>
      </c>
      <c r="V61" s="5">
        <v>79</v>
      </c>
      <c r="Y61" s="4" t="s">
        <v>35</v>
      </c>
      <c r="Z61" s="4">
        <v>2004</v>
      </c>
      <c r="AA61" s="4" t="s">
        <v>19</v>
      </c>
      <c r="AB61" s="5">
        <v>129</v>
      </c>
      <c r="AE61" s="4" t="s">
        <v>47</v>
      </c>
      <c r="AF61" s="4">
        <v>2004</v>
      </c>
      <c r="AG61" s="4" t="s">
        <v>19</v>
      </c>
      <c r="AH61" s="5">
        <v>292</v>
      </c>
      <c r="AK61" s="4" t="s">
        <v>49</v>
      </c>
      <c r="AL61" s="4">
        <v>2004</v>
      </c>
      <c r="AM61" s="4" t="s">
        <v>19</v>
      </c>
      <c r="AN61" s="5">
        <v>74</v>
      </c>
      <c r="AQ61" s="4" t="s">
        <v>51</v>
      </c>
      <c r="AR61" s="4">
        <v>2004</v>
      </c>
      <c r="AS61" s="4" t="s">
        <v>19</v>
      </c>
      <c r="AT61" s="5">
        <v>106</v>
      </c>
      <c r="AW61" s="4" t="s">
        <v>53</v>
      </c>
      <c r="AX61" s="4">
        <v>2004</v>
      </c>
      <c r="AY61" s="4" t="s">
        <v>19</v>
      </c>
      <c r="AZ61" s="5">
        <v>208</v>
      </c>
      <c r="BC61" s="4" t="s">
        <v>55</v>
      </c>
      <c r="BD61" s="4">
        <v>2004</v>
      </c>
      <c r="BE61" s="4" t="s">
        <v>19</v>
      </c>
      <c r="BF61" s="5">
        <v>45</v>
      </c>
      <c r="BI61" s="4" t="s">
        <v>57</v>
      </c>
      <c r="BJ61" s="4">
        <v>2004</v>
      </c>
      <c r="BK61" s="4" t="s">
        <v>19</v>
      </c>
      <c r="BL61" s="5">
        <v>681</v>
      </c>
      <c r="BO61" s="4" t="s">
        <v>60</v>
      </c>
      <c r="BP61" s="4">
        <v>2004</v>
      </c>
      <c r="BQ61" s="4" t="s">
        <v>19</v>
      </c>
      <c r="BR61" s="5">
        <v>52</v>
      </c>
      <c r="BU61" s="4" t="s">
        <v>62</v>
      </c>
      <c r="BV61" s="4">
        <v>2004</v>
      </c>
      <c r="BW61" s="4" t="s">
        <v>19</v>
      </c>
      <c r="BX61" s="5">
        <v>529</v>
      </c>
      <c r="CA61" s="4" t="s">
        <v>64</v>
      </c>
      <c r="CB61" s="4">
        <v>2004</v>
      </c>
      <c r="CC61" s="4" t="s">
        <v>19</v>
      </c>
      <c r="CD61" s="5">
        <v>49</v>
      </c>
      <c r="CG61" s="4" t="s">
        <v>66</v>
      </c>
      <c r="CH61" s="4">
        <v>2004</v>
      </c>
      <c r="CI61" s="4" t="s">
        <v>19</v>
      </c>
      <c r="CJ61" s="5">
        <v>311</v>
      </c>
      <c r="CM61" s="4" t="s">
        <v>68</v>
      </c>
      <c r="CN61" s="4">
        <v>2004</v>
      </c>
      <c r="CO61" s="4" t="s">
        <v>19</v>
      </c>
      <c r="CP61" s="5">
        <v>126</v>
      </c>
      <c r="CS61" s="4" t="s">
        <v>206</v>
      </c>
      <c r="CT61" s="4">
        <v>2004</v>
      </c>
      <c r="CU61" s="4" t="s">
        <v>19</v>
      </c>
      <c r="CV61" s="5">
        <v>362</v>
      </c>
    </row>
    <row r="62" spans="1:100" x14ac:dyDescent="0.25">
      <c r="A62" s="4" t="s">
        <v>185</v>
      </c>
      <c r="B62" s="4">
        <v>2005</v>
      </c>
      <c r="C62" s="4" t="s">
        <v>20</v>
      </c>
      <c r="D62" s="5">
        <v>12</v>
      </c>
      <c r="G62" s="4" t="s">
        <v>3</v>
      </c>
      <c r="H62" s="4">
        <v>2005</v>
      </c>
      <c r="I62" s="4" t="s">
        <v>20</v>
      </c>
      <c r="J62" s="5">
        <v>145</v>
      </c>
      <c r="M62" s="4" t="s">
        <v>31</v>
      </c>
      <c r="N62" s="4">
        <v>2005</v>
      </c>
      <c r="O62" s="4" t="s">
        <v>20</v>
      </c>
      <c r="P62" s="5">
        <v>199</v>
      </c>
      <c r="S62" s="4" t="s">
        <v>33</v>
      </c>
      <c r="T62" s="4">
        <v>2005</v>
      </c>
      <c r="U62" s="4" t="s">
        <v>20</v>
      </c>
      <c r="V62" s="5">
        <v>101</v>
      </c>
      <c r="Y62" s="4" t="s">
        <v>35</v>
      </c>
      <c r="Z62" s="4">
        <v>2005</v>
      </c>
      <c r="AA62" s="4" t="s">
        <v>20</v>
      </c>
      <c r="AB62" s="5">
        <v>120</v>
      </c>
      <c r="AE62" s="4" t="s">
        <v>47</v>
      </c>
      <c r="AF62" s="4">
        <v>2005</v>
      </c>
      <c r="AG62" s="4" t="s">
        <v>20</v>
      </c>
      <c r="AH62" s="5">
        <v>372</v>
      </c>
      <c r="AK62" s="4" t="s">
        <v>49</v>
      </c>
      <c r="AL62" s="4">
        <v>2005</v>
      </c>
      <c r="AM62" s="4" t="s">
        <v>20</v>
      </c>
      <c r="AN62" s="5">
        <v>98</v>
      </c>
      <c r="AQ62" s="4" t="s">
        <v>51</v>
      </c>
      <c r="AR62" s="4">
        <v>2005</v>
      </c>
      <c r="AS62" s="4" t="s">
        <v>20</v>
      </c>
      <c r="AT62" s="5">
        <v>130</v>
      </c>
      <c r="AW62" s="4" t="s">
        <v>53</v>
      </c>
      <c r="AX62" s="4">
        <v>2005</v>
      </c>
      <c r="AY62" s="4" t="s">
        <v>20</v>
      </c>
      <c r="AZ62" s="5">
        <v>270</v>
      </c>
      <c r="BC62" s="4" t="s">
        <v>55</v>
      </c>
      <c r="BD62" s="4">
        <v>2005</v>
      </c>
      <c r="BE62" s="4" t="s">
        <v>20</v>
      </c>
      <c r="BF62" s="5">
        <v>46</v>
      </c>
      <c r="BI62" s="4" t="s">
        <v>57</v>
      </c>
      <c r="BJ62" s="4">
        <v>2005</v>
      </c>
      <c r="BK62" s="4" t="s">
        <v>20</v>
      </c>
      <c r="BL62" s="5">
        <v>731</v>
      </c>
      <c r="BO62" s="4" t="s">
        <v>60</v>
      </c>
      <c r="BP62" s="4">
        <v>2005</v>
      </c>
      <c r="BQ62" s="4" t="s">
        <v>20</v>
      </c>
      <c r="BR62" s="5">
        <v>61</v>
      </c>
      <c r="BU62" s="4" t="s">
        <v>62</v>
      </c>
      <c r="BV62" s="4">
        <v>2005</v>
      </c>
      <c r="BW62" s="4" t="s">
        <v>20</v>
      </c>
      <c r="BX62" s="5">
        <v>570</v>
      </c>
      <c r="CA62" s="4" t="s">
        <v>64</v>
      </c>
      <c r="CB62" s="4">
        <v>2005</v>
      </c>
      <c r="CC62" s="4" t="s">
        <v>20</v>
      </c>
      <c r="CD62" s="5">
        <v>57</v>
      </c>
      <c r="CG62" s="4" t="s">
        <v>66</v>
      </c>
      <c r="CH62" s="4">
        <v>2005</v>
      </c>
      <c r="CI62" s="4" t="s">
        <v>20</v>
      </c>
      <c r="CJ62" s="5">
        <v>474</v>
      </c>
      <c r="CM62" s="4" t="s">
        <v>68</v>
      </c>
      <c r="CN62" s="4">
        <v>2005</v>
      </c>
      <c r="CO62" s="4" t="s">
        <v>20</v>
      </c>
      <c r="CP62" s="5">
        <v>154</v>
      </c>
      <c r="CS62" s="4" t="s">
        <v>206</v>
      </c>
      <c r="CT62" s="4">
        <v>2005</v>
      </c>
      <c r="CU62" s="4" t="s">
        <v>20</v>
      </c>
      <c r="CV62" s="5">
        <v>304</v>
      </c>
    </row>
    <row r="63" spans="1:100" x14ac:dyDescent="0.25">
      <c r="A63" s="4" t="s">
        <v>185</v>
      </c>
      <c r="B63" s="4">
        <v>2005</v>
      </c>
      <c r="C63" s="4" t="s">
        <v>21</v>
      </c>
      <c r="D63" s="5">
        <v>11</v>
      </c>
      <c r="G63" s="4" t="s">
        <v>3</v>
      </c>
      <c r="H63" s="4">
        <v>2005</v>
      </c>
      <c r="I63" s="4" t="s">
        <v>21</v>
      </c>
      <c r="J63" s="5">
        <v>137</v>
      </c>
      <c r="M63" s="4" t="s">
        <v>31</v>
      </c>
      <c r="N63" s="4">
        <v>2005</v>
      </c>
      <c r="O63" s="4" t="s">
        <v>21</v>
      </c>
      <c r="P63" s="5">
        <v>183</v>
      </c>
      <c r="S63" s="4" t="s">
        <v>33</v>
      </c>
      <c r="T63" s="4">
        <v>2005</v>
      </c>
      <c r="U63" s="4" t="s">
        <v>21</v>
      </c>
      <c r="V63" s="5">
        <v>86</v>
      </c>
      <c r="Y63" s="4" t="s">
        <v>35</v>
      </c>
      <c r="Z63" s="4">
        <v>2005</v>
      </c>
      <c r="AA63" s="4" t="s">
        <v>21</v>
      </c>
      <c r="AB63" s="5">
        <v>160</v>
      </c>
      <c r="AE63" s="4" t="s">
        <v>47</v>
      </c>
      <c r="AF63" s="4">
        <v>2005</v>
      </c>
      <c r="AG63" s="4" t="s">
        <v>21</v>
      </c>
      <c r="AH63" s="5">
        <v>352</v>
      </c>
      <c r="AK63" s="4" t="s">
        <v>49</v>
      </c>
      <c r="AL63" s="4">
        <v>2005</v>
      </c>
      <c r="AM63" s="4" t="s">
        <v>21</v>
      </c>
      <c r="AN63" s="5">
        <v>105</v>
      </c>
      <c r="AQ63" s="4" t="s">
        <v>51</v>
      </c>
      <c r="AR63" s="4">
        <v>2005</v>
      </c>
      <c r="AS63" s="4" t="s">
        <v>21</v>
      </c>
      <c r="AT63" s="5">
        <v>74</v>
      </c>
      <c r="AW63" s="4" t="s">
        <v>53</v>
      </c>
      <c r="AX63" s="4">
        <v>2005</v>
      </c>
      <c r="AY63" s="4" t="s">
        <v>21</v>
      </c>
      <c r="AZ63" s="5">
        <v>204</v>
      </c>
      <c r="BC63" s="4" t="s">
        <v>55</v>
      </c>
      <c r="BD63" s="4">
        <v>2005</v>
      </c>
      <c r="BE63" s="4" t="s">
        <v>21</v>
      </c>
      <c r="BF63" s="5">
        <v>60</v>
      </c>
      <c r="BI63" s="4" t="s">
        <v>57</v>
      </c>
      <c r="BJ63" s="4">
        <v>2005</v>
      </c>
      <c r="BK63" s="4" t="s">
        <v>21</v>
      </c>
      <c r="BL63" s="5">
        <v>664</v>
      </c>
      <c r="BO63" s="4" t="s">
        <v>60</v>
      </c>
      <c r="BP63" s="4">
        <v>2005</v>
      </c>
      <c r="BQ63" s="4" t="s">
        <v>21</v>
      </c>
      <c r="BR63" s="5">
        <v>43</v>
      </c>
      <c r="BU63" s="4" t="s">
        <v>62</v>
      </c>
      <c r="BV63" s="4">
        <v>2005</v>
      </c>
      <c r="BW63" s="4" t="s">
        <v>21</v>
      </c>
      <c r="BX63" s="5">
        <v>545</v>
      </c>
      <c r="CA63" s="4" t="s">
        <v>64</v>
      </c>
      <c r="CB63" s="4">
        <v>2005</v>
      </c>
      <c r="CC63" s="4" t="s">
        <v>21</v>
      </c>
      <c r="CD63" s="5">
        <v>68</v>
      </c>
      <c r="CG63" s="4" t="s">
        <v>66</v>
      </c>
      <c r="CH63" s="4">
        <v>2005</v>
      </c>
      <c r="CI63" s="4" t="s">
        <v>21</v>
      </c>
      <c r="CJ63" s="5">
        <v>402</v>
      </c>
      <c r="CM63" s="4" t="s">
        <v>68</v>
      </c>
      <c r="CN63" s="4">
        <v>2005</v>
      </c>
      <c r="CO63" s="4" t="s">
        <v>21</v>
      </c>
      <c r="CP63" s="5">
        <v>120</v>
      </c>
      <c r="CS63" s="4" t="s">
        <v>206</v>
      </c>
      <c r="CT63" s="4">
        <v>2005</v>
      </c>
      <c r="CU63" s="4" t="s">
        <v>21</v>
      </c>
      <c r="CV63" s="5">
        <v>335</v>
      </c>
    </row>
    <row r="64" spans="1:100" x14ac:dyDescent="0.25">
      <c r="A64" s="4" t="s">
        <v>185</v>
      </c>
      <c r="B64" s="4">
        <v>2005</v>
      </c>
      <c r="C64" s="4" t="s">
        <v>22</v>
      </c>
      <c r="D64" s="5">
        <v>16</v>
      </c>
      <c r="G64" s="4" t="s">
        <v>3</v>
      </c>
      <c r="H64" s="4">
        <v>2005</v>
      </c>
      <c r="I64" s="4" t="s">
        <v>22</v>
      </c>
      <c r="J64" s="5">
        <v>151</v>
      </c>
      <c r="M64" s="4" t="s">
        <v>31</v>
      </c>
      <c r="N64" s="4">
        <v>2005</v>
      </c>
      <c r="O64" s="4" t="s">
        <v>22</v>
      </c>
      <c r="P64" s="5">
        <v>168</v>
      </c>
      <c r="S64" s="4" t="s">
        <v>33</v>
      </c>
      <c r="T64" s="4">
        <v>2005</v>
      </c>
      <c r="U64" s="4" t="s">
        <v>22</v>
      </c>
      <c r="V64" s="5">
        <v>105</v>
      </c>
      <c r="Y64" s="4" t="s">
        <v>35</v>
      </c>
      <c r="Z64" s="4">
        <v>2005</v>
      </c>
      <c r="AA64" s="4" t="s">
        <v>22</v>
      </c>
      <c r="AB64" s="5">
        <v>134</v>
      </c>
      <c r="AE64" s="4" t="s">
        <v>47</v>
      </c>
      <c r="AF64" s="4">
        <v>2005</v>
      </c>
      <c r="AG64" s="4" t="s">
        <v>22</v>
      </c>
      <c r="AH64" s="5">
        <v>444</v>
      </c>
      <c r="AK64" s="4" t="s">
        <v>49</v>
      </c>
      <c r="AL64" s="4">
        <v>2005</v>
      </c>
      <c r="AM64" s="4" t="s">
        <v>22</v>
      </c>
      <c r="AN64" s="5">
        <v>93</v>
      </c>
      <c r="AQ64" s="4" t="s">
        <v>51</v>
      </c>
      <c r="AR64" s="4">
        <v>2005</v>
      </c>
      <c r="AS64" s="4" t="s">
        <v>22</v>
      </c>
      <c r="AT64" s="5">
        <v>77</v>
      </c>
      <c r="AW64" s="4" t="s">
        <v>53</v>
      </c>
      <c r="AX64" s="4">
        <v>2005</v>
      </c>
      <c r="AY64" s="4" t="s">
        <v>22</v>
      </c>
      <c r="AZ64" s="5">
        <v>185</v>
      </c>
      <c r="BC64" s="4" t="s">
        <v>55</v>
      </c>
      <c r="BD64" s="4">
        <v>2005</v>
      </c>
      <c r="BE64" s="4" t="s">
        <v>22</v>
      </c>
      <c r="BF64" s="5">
        <v>26</v>
      </c>
      <c r="BI64" s="4" t="s">
        <v>57</v>
      </c>
      <c r="BJ64" s="4">
        <v>2005</v>
      </c>
      <c r="BK64" s="4" t="s">
        <v>22</v>
      </c>
      <c r="BL64" s="5">
        <v>704</v>
      </c>
      <c r="BO64" s="4" t="s">
        <v>60</v>
      </c>
      <c r="BP64" s="4">
        <v>2005</v>
      </c>
      <c r="BQ64" s="4" t="s">
        <v>22</v>
      </c>
      <c r="BR64" s="5">
        <v>67</v>
      </c>
      <c r="BU64" s="4" t="s">
        <v>62</v>
      </c>
      <c r="BV64" s="4">
        <v>2005</v>
      </c>
      <c r="BW64" s="4" t="s">
        <v>22</v>
      </c>
      <c r="BX64" s="5">
        <v>607</v>
      </c>
      <c r="CA64" s="4" t="s">
        <v>64</v>
      </c>
      <c r="CB64" s="4">
        <v>2005</v>
      </c>
      <c r="CC64" s="4" t="s">
        <v>22</v>
      </c>
      <c r="CD64" s="5">
        <v>63</v>
      </c>
      <c r="CG64" s="4" t="s">
        <v>66</v>
      </c>
      <c r="CH64" s="4">
        <v>2005</v>
      </c>
      <c r="CI64" s="4" t="s">
        <v>22</v>
      </c>
      <c r="CJ64" s="5">
        <v>486</v>
      </c>
      <c r="CM64" s="4" t="s">
        <v>68</v>
      </c>
      <c r="CN64" s="4">
        <v>2005</v>
      </c>
      <c r="CO64" s="4" t="s">
        <v>22</v>
      </c>
      <c r="CP64" s="5">
        <v>159</v>
      </c>
      <c r="CS64" s="4" t="s">
        <v>206</v>
      </c>
      <c r="CT64" s="4">
        <v>2005</v>
      </c>
      <c r="CU64" s="4" t="s">
        <v>22</v>
      </c>
      <c r="CV64" s="5">
        <v>345</v>
      </c>
    </row>
    <row r="65" spans="1:100" x14ac:dyDescent="0.25">
      <c r="A65" s="4" t="s">
        <v>185</v>
      </c>
      <c r="B65" s="4">
        <v>2005</v>
      </c>
      <c r="C65" s="4" t="s">
        <v>23</v>
      </c>
      <c r="D65" s="5">
        <v>12</v>
      </c>
      <c r="G65" s="4" t="s">
        <v>3</v>
      </c>
      <c r="H65" s="4">
        <v>2005</v>
      </c>
      <c r="I65" s="4" t="s">
        <v>23</v>
      </c>
      <c r="J65" s="5">
        <v>177</v>
      </c>
      <c r="M65" s="4" t="s">
        <v>31</v>
      </c>
      <c r="N65" s="4">
        <v>2005</v>
      </c>
      <c r="O65" s="4" t="s">
        <v>23</v>
      </c>
      <c r="P65" s="5">
        <v>221</v>
      </c>
      <c r="S65" s="4" t="s">
        <v>33</v>
      </c>
      <c r="T65" s="4">
        <v>2005</v>
      </c>
      <c r="U65" s="4" t="s">
        <v>23</v>
      </c>
      <c r="V65" s="5">
        <v>88</v>
      </c>
      <c r="Y65" s="4" t="s">
        <v>35</v>
      </c>
      <c r="Z65" s="4">
        <v>2005</v>
      </c>
      <c r="AA65" s="4" t="s">
        <v>23</v>
      </c>
      <c r="AB65" s="5">
        <v>151</v>
      </c>
      <c r="AE65" s="4" t="s">
        <v>47</v>
      </c>
      <c r="AF65" s="4">
        <v>2005</v>
      </c>
      <c r="AG65" s="4" t="s">
        <v>23</v>
      </c>
      <c r="AH65" s="5">
        <v>501</v>
      </c>
      <c r="AK65" s="4" t="s">
        <v>49</v>
      </c>
      <c r="AL65" s="4">
        <v>2005</v>
      </c>
      <c r="AM65" s="4" t="s">
        <v>23</v>
      </c>
      <c r="AN65" s="5">
        <v>112</v>
      </c>
      <c r="AQ65" s="4" t="s">
        <v>51</v>
      </c>
      <c r="AR65" s="4">
        <v>2005</v>
      </c>
      <c r="AS65" s="4" t="s">
        <v>23</v>
      </c>
      <c r="AT65" s="5">
        <v>103</v>
      </c>
      <c r="AW65" s="4" t="s">
        <v>53</v>
      </c>
      <c r="AX65" s="4">
        <v>2005</v>
      </c>
      <c r="AY65" s="4" t="s">
        <v>23</v>
      </c>
      <c r="AZ65" s="5">
        <v>269</v>
      </c>
      <c r="BC65" s="4" t="s">
        <v>55</v>
      </c>
      <c r="BD65" s="4">
        <v>2005</v>
      </c>
      <c r="BE65" s="4" t="s">
        <v>23</v>
      </c>
      <c r="BF65" s="5">
        <v>91</v>
      </c>
      <c r="BI65" s="4" t="s">
        <v>57</v>
      </c>
      <c r="BJ65" s="4">
        <v>2005</v>
      </c>
      <c r="BK65" s="4" t="s">
        <v>23</v>
      </c>
      <c r="BL65" s="5">
        <v>884</v>
      </c>
      <c r="BO65" s="4" t="s">
        <v>60</v>
      </c>
      <c r="BP65" s="4">
        <v>2005</v>
      </c>
      <c r="BQ65" s="4" t="s">
        <v>23</v>
      </c>
      <c r="BR65" s="5">
        <v>72</v>
      </c>
      <c r="BU65" s="4" t="s">
        <v>62</v>
      </c>
      <c r="BV65" s="4">
        <v>2005</v>
      </c>
      <c r="BW65" s="4" t="s">
        <v>23</v>
      </c>
      <c r="BX65" s="5">
        <v>653</v>
      </c>
      <c r="CA65" s="4" t="s">
        <v>64</v>
      </c>
      <c r="CB65" s="4">
        <v>2005</v>
      </c>
      <c r="CC65" s="4" t="s">
        <v>23</v>
      </c>
      <c r="CD65" s="5">
        <v>91</v>
      </c>
      <c r="CG65" s="4" t="s">
        <v>66</v>
      </c>
      <c r="CH65" s="4">
        <v>2005</v>
      </c>
      <c r="CI65" s="4" t="s">
        <v>23</v>
      </c>
      <c r="CJ65" s="5">
        <v>592</v>
      </c>
      <c r="CM65" s="4" t="s">
        <v>68</v>
      </c>
      <c r="CN65" s="4">
        <v>2005</v>
      </c>
      <c r="CO65" s="4" t="s">
        <v>23</v>
      </c>
      <c r="CP65" s="5">
        <v>183</v>
      </c>
      <c r="CS65" s="4" t="s">
        <v>206</v>
      </c>
      <c r="CT65" s="4">
        <v>2005</v>
      </c>
      <c r="CU65" s="4" t="s">
        <v>23</v>
      </c>
      <c r="CV65" s="5">
        <v>371</v>
      </c>
    </row>
    <row r="66" spans="1:100" x14ac:dyDescent="0.25">
      <c r="A66" s="4" t="s">
        <v>185</v>
      </c>
      <c r="B66" s="4">
        <v>2005</v>
      </c>
      <c r="C66" s="4" t="s">
        <v>24</v>
      </c>
      <c r="D66" s="5">
        <v>12</v>
      </c>
      <c r="G66" s="4" t="s">
        <v>3</v>
      </c>
      <c r="H66" s="4">
        <v>2005</v>
      </c>
      <c r="I66" s="4" t="s">
        <v>24</v>
      </c>
      <c r="J66" s="5">
        <v>166</v>
      </c>
      <c r="M66" s="4" t="s">
        <v>31</v>
      </c>
      <c r="N66" s="4">
        <v>2005</v>
      </c>
      <c r="O66" s="4" t="s">
        <v>24</v>
      </c>
      <c r="P66" s="5">
        <v>188</v>
      </c>
      <c r="S66" s="4" t="s">
        <v>33</v>
      </c>
      <c r="T66" s="4">
        <v>2005</v>
      </c>
      <c r="U66" s="4" t="s">
        <v>24</v>
      </c>
      <c r="V66" s="5">
        <v>86</v>
      </c>
      <c r="Y66" s="4" t="s">
        <v>35</v>
      </c>
      <c r="Z66" s="4">
        <v>2005</v>
      </c>
      <c r="AA66" s="4" t="s">
        <v>24</v>
      </c>
      <c r="AB66" s="5">
        <v>144</v>
      </c>
      <c r="AE66" s="4" t="s">
        <v>47</v>
      </c>
      <c r="AF66" s="4">
        <v>2005</v>
      </c>
      <c r="AG66" s="4" t="s">
        <v>24</v>
      </c>
      <c r="AH66" s="5">
        <v>410</v>
      </c>
      <c r="AK66" s="4" t="s">
        <v>49</v>
      </c>
      <c r="AL66" s="4">
        <v>2005</v>
      </c>
      <c r="AM66" s="4" t="s">
        <v>24</v>
      </c>
      <c r="AN66" s="5">
        <v>128</v>
      </c>
      <c r="AQ66" s="4" t="s">
        <v>51</v>
      </c>
      <c r="AR66" s="4">
        <v>2005</v>
      </c>
      <c r="AS66" s="4" t="s">
        <v>24</v>
      </c>
      <c r="AT66" s="5">
        <v>89</v>
      </c>
      <c r="AW66" s="4" t="s">
        <v>53</v>
      </c>
      <c r="AX66" s="4">
        <v>2005</v>
      </c>
      <c r="AY66" s="4" t="s">
        <v>24</v>
      </c>
      <c r="AZ66" s="5">
        <v>158</v>
      </c>
      <c r="BC66" s="4" t="s">
        <v>55</v>
      </c>
      <c r="BD66" s="4">
        <v>2005</v>
      </c>
      <c r="BE66" s="4" t="s">
        <v>24</v>
      </c>
      <c r="BF66" s="5">
        <v>60</v>
      </c>
      <c r="BI66" s="4" t="s">
        <v>57</v>
      </c>
      <c r="BJ66" s="4">
        <v>2005</v>
      </c>
      <c r="BK66" s="4" t="s">
        <v>24</v>
      </c>
      <c r="BL66" s="5">
        <v>779</v>
      </c>
      <c r="BO66" s="4" t="s">
        <v>60</v>
      </c>
      <c r="BP66" s="4">
        <v>2005</v>
      </c>
      <c r="BQ66" s="4" t="s">
        <v>24</v>
      </c>
      <c r="BR66" s="5">
        <v>82</v>
      </c>
      <c r="BU66" s="4" t="s">
        <v>62</v>
      </c>
      <c r="BV66" s="4">
        <v>2005</v>
      </c>
      <c r="BW66" s="4" t="s">
        <v>24</v>
      </c>
      <c r="BX66" s="5">
        <v>576</v>
      </c>
      <c r="CA66" s="4" t="s">
        <v>64</v>
      </c>
      <c r="CB66" s="4">
        <v>2005</v>
      </c>
      <c r="CC66" s="4" t="s">
        <v>24</v>
      </c>
      <c r="CD66" s="5">
        <v>68</v>
      </c>
      <c r="CG66" s="4" t="s">
        <v>66</v>
      </c>
      <c r="CH66" s="4">
        <v>2005</v>
      </c>
      <c r="CI66" s="4" t="s">
        <v>24</v>
      </c>
      <c r="CJ66" s="5">
        <v>447</v>
      </c>
      <c r="CM66" s="4" t="s">
        <v>68</v>
      </c>
      <c r="CN66" s="4">
        <v>2005</v>
      </c>
      <c r="CO66" s="4" t="s">
        <v>24</v>
      </c>
      <c r="CP66" s="5">
        <v>137</v>
      </c>
      <c r="CS66" s="4" t="s">
        <v>206</v>
      </c>
      <c r="CT66" s="4">
        <v>2005</v>
      </c>
      <c r="CU66" s="4" t="s">
        <v>24</v>
      </c>
      <c r="CV66" s="5">
        <v>390</v>
      </c>
    </row>
    <row r="67" spans="1:100" x14ac:dyDescent="0.25">
      <c r="A67" s="4" t="s">
        <v>185</v>
      </c>
      <c r="B67" s="4">
        <v>2005</v>
      </c>
      <c r="C67" s="4" t="s">
        <v>25</v>
      </c>
      <c r="D67" s="5">
        <v>12</v>
      </c>
      <c r="G67" s="4" t="s">
        <v>3</v>
      </c>
      <c r="H67" s="4">
        <v>2005</v>
      </c>
      <c r="I67" s="4" t="s">
        <v>25</v>
      </c>
      <c r="J67" s="5">
        <v>144</v>
      </c>
      <c r="M67" s="4" t="s">
        <v>31</v>
      </c>
      <c r="N67" s="4">
        <v>2005</v>
      </c>
      <c r="O67" s="4" t="s">
        <v>25</v>
      </c>
      <c r="P67" s="5">
        <v>177</v>
      </c>
      <c r="S67" s="4" t="s">
        <v>33</v>
      </c>
      <c r="T67" s="4">
        <v>2005</v>
      </c>
      <c r="U67" s="4" t="s">
        <v>25</v>
      </c>
      <c r="V67" s="5">
        <v>103</v>
      </c>
      <c r="Y67" s="4" t="s">
        <v>35</v>
      </c>
      <c r="Z67" s="4">
        <v>2005</v>
      </c>
      <c r="AA67" s="4" t="s">
        <v>25</v>
      </c>
      <c r="AB67" s="5">
        <v>136</v>
      </c>
      <c r="AE67" s="4" t="s">
        <v>47</v>
      </c>
      <c r="AF67" s="4">
        <v>2005</v>
      </c>
      <c r="AG67" s="4" t="s">
        <v>25</v>
      </c>
      <c r="AH67" s="5">
        <v>386</v>
      </c>
      <c r="AK67" s="4" t="s">
        <v>49</v>
      </c>
      <c r="AL67" s="4">
        <v>2005</v>
      </c>
      <c r="AM67" s="4" t="s">
        <v>25</v>
      </c>
      <c r="AN67" s="5">
        <v>130</v>
      </c>
      <c r="AQ67" s="4" t="s">
        <v>51</v>
      </c>
      <c r="AR67" s="4">
        <v>2005</v>
      </c>
      <c r="AS67" s="4" t="s">
        <v>25</v>
      </c>
      <c r="AT67" s="5">
        <v>94</v>
      </c>
      <c r="AW67" s="4" t="s">
        <v>53</v>
      </c>
      <c r="AX67" s="4">
        <v>2005</v>
      </c>
      <c r="AY67" s="4" t="s">
        <v>25</v>
      </c>
      <c r="AZ67" s="5">
        <v>223</v>
      </c>
      <c r="BC67" s="4" t="s">
        <v>55</v>
      </c>
      <c r="BD67" s="4">
        <v>2005</v>
      </c>
      <c r="BE67" s="4" t="s">
        <v>25</v>
      </c>
      <c r="BF67" s="5">
        <v>53</v>
      </c>
      <c r="BI67" s="4" t="s">
        <v>57</v>
      </c>
      <c r="BJ67" s="4">
        <v>2005</v>
      </c>
      <c r="BK67" s="4" t="s">
        <v>25</v>
      </c>
      <c r="BL67" s="5">
        <v>811</v>
      </c>
      <c r="BO67" s="4" t="s">
        <v>60</v>
      </c>
      <c r="BP67" s="4">
        <v>2005</v>
      </c>
      <c r="BQ67" s="4" t="s">
        <v>25</v>
      </c>
      <c r="BR67" s="5">
        <v>77</v>
      </c>
      <c r="BU67" s="4" t="s">
        <v>62</v>
      </c>
      <c r="BV67" s="4">
        <v>2005</v>
      </c>
      <c r="BW67" s="4" t="s">
        <v>25</v>
      </c>
      <c r="BX67" s="5">
        <v>546</v>
      </c>
      <c r="CA67" s="4" t="s">
        <v>64</v>
      </c>
      <c r="CB67" s="4">
        <v>2005</v>
      </c>
      <c r="CC67" s="4" t="s">
        <v>25</v>
      </c>
      <c r="CD67" s="5">
        <v>80</v>
      </c>
      <c r="CG67" s="4" t="s">
        <v>66</v>
      </c>
      <c r="CH67" s="4">
        <v>2005</v>
      </c>
      <c r="CI67" s="4" t="s">
        <v>25</v>
      </c>
      <c r="CJ67" s="5">
        <v>413</v>
      </c>
      <c r="CM67" s="4" t="s">
        <v>68</v>
      </c>
      <c r="CN67" s="4">
        <v>2005</v>
      </c>
      <c r="CO67" s="4" t="s">
        <v>25</v>
      </c>
      <c r="CP67" s="5">
        <v>140</v>
      </c>
      <c r="CS67" s="4" t="s">
        <v>206</v>
      </c>
      <c r="CT67" s="4">
        <v>2005</v>
      </c>
      <c r="CU67" s="4" t="s">
        <v>25</v>
      </c>
      <c r="CV67" s="5">
        <v>400</v>
      </c>
    </row>
    <row r="68" spans="1:100" x14ac:dyDescent="0.25">
      <c r="A68" s="4" t="s">
        <v>185</v>
      </c>
      <c r="B68" s="4">
        <v>2005</v>
      </c>
      <c r="C68" s="4" t="s">
        <v>26</v>
      </c>
      <c r="D68" s="5">
        <v>15</v>
      </c>
      <c r="G68" s="4" t="s">
        <v>3</v>
      </c>
      <c r="H68" s="4">
        <v>2005</v>
      </c>
      <c r="I68" s="4" t="s">
        <v>26</v>
      </c>
      <c r="J68" s="5">
        <v>182</v>
      </c>
      <c r="M68" s="4" t="s">
        <v>31</v>
      </c>
      <c r="N68" s="4">
        <v>2005</v>
      </c>
      <c r="O68" s="4" t="s">
        <v>26</v>
      </c>
      <c r="P68" s="5">
        <v>226</v>
      </c>
      <c r="S68" s="4" t="s">
        <v>33</v>
      </c>
      <c r="T68" s="4">
        <v>2005</v>
      </c>
      <c r="U68" s="4" t="s">
        <v>26</v>
      </c>
      <c r="V68" s="5">
        <v>118</v>
      </c>
      <c r="Y68" s="4" t="s">
        <v>35</v>
      </c>
      <c r="Z68" s="4">
        <v>2005</v>
      </c>
      <c r="AA68" s="4" t="s">
        <v>26</v>
      </c>
      <c r="AB68" s="5">
        <v>160</v>
      </c>
      <c r="AE68" s="4" t="s">
        <v>47</v>
      </c>
      <c r="AF68" s="4">
        <v>2005</v>
      </c>
      <c r="AG68" s="4" t="s">
        <v>26</v>
      </c>
      <c r="AH68" s="5">
        <v>462</v>
      </c>
      <c r="AK68" s="4" t="s">
        <v>49</v>
      </c>
      <c r="AL68" s="4">
        <v>2005</v>
      </c>
      <c r="AM68" s="4" t="s">
        <v>26</v>
      </c>
      <c r="AN68" s="5">
        <v>128</v>
      </c>
      <c r="AQ68" s="4" t="s">
        <v>51</v>
      </c>
      <c r="AR68" s="4">
        <v>2005</v>
      </c>
      <c r="AS68" s="4" t="s">
        <v>26</v>
      </c>
      <c r="AT68" s="5">
        <v>108</v>
      </c>
      <c r="AW68" s="4" t="s">
        <v>53</v>
      </c>
      <c r="AX68" s="4">
        <v>2005</v>
      </c>
      <c r="AY68" s="4" t="s">
        <v>26</v>
      </c>
      <c r="AZ68" s="5">
        <v>271</v>
      </c>
      <c r="BC68" s="4" t="s">
        <v>55</v>
      </c>
      <c r="BD68" s="4">
        <v>2005</v>
      </c>
      <c r="BE68" s="4" t="s">
        <v>26</v>
      </c>
      <c r="BF68" s="5">
        <v>64</v>
      </c>
      <c r="BI68" s="4" t="s">
        <v>57</v>
      </c>
      <c r="BJ68" s="4">
        <v>2005</v>
      </c>
      <c r="BK68" s="4" t="s">
        <v>26</v>
      </c>
      <c r="BL68" s="5">
        <v>904</v>
      </c>
      <c r="BO68" s="4" t="s">
        <v>60</v>
      </c>
      <c r="BP68" s="4">
        <v>2005</v>
      </c>
      <c r="BQ68" s="4" t="s">
        <v>26</v>
      </c>
      <c r="BR68" s="5">
        <v>69</v>
      </c>
      <c r="BU68" s="4" t="s">
        <v>62</v>
      </c>
      <c r="BV68" s="4">
        <v>2005</v>
      </c>
      <c r="BW68" s="4" t="s">
        <v>26</v>
      </c>
      <c r="BX68" s="5">
        <v>661</v>
      </c>
      <c r="CA68" s="4" t="s">
        <v>64</v>
      </c>
      <c r="CB68" s="4">
        <v>2005</v>
      </c>
      <c r="CC68" s="4" t="s">
        <v>26</v>
      </c>
      <c r="CD68" s="5">
        <v>90</v>
      </c>
      <c r="CG68" s="4" t="s">
        <v>66</v>
      </c>
      <c r="CH68" s="4">
        <v>2005</v>
      </c>
      <c r="CI68" s="4" t="s">
        <v>26</v>
      </c>
      <c r="CJ68" s="5">
        <v>474</v>
      </c>
      <c r="CM68" s="4" t="s">
        <v>68</v>
      </c>
      <c r="CN68" s="4">
        <v>2005</v>
      </c>
      <c r="CO68" s="4" t="s">
        <v>26</v>
      </c>
      <c r="CP68" s="5">
        <v>161</v>
      </c>
      <c r="CS68" s="4" t="s">
        <v>206</v>
      </c>
      <c r="CT68" s="4">
        <v>2005</v>
      </c>
      <c r="CU68" s="4" t="s">
        <v>26</v>
      </c>
      <c r="CV68" s="5">
        <v>437</v>
      </c>
    </row>
    <row r="69" spans="1:100" x14ac:dyDescent="0.25">
      <c r="A69" s="4" t="s">
        <v>185</v>
      </c>
      <c r="B69" s="4">
        <v>2005</v>
      </c>
      <c r="C69" s="4" t="s">
        <v>27</v>
      </c>
      <c r="D69" s="5">
        <v>13</v>
      </c>
      <c r="G69" s="4" t="s">
        <v>3</v>
      </c>
      <c r="H69" s="4">
        <v>2005</v>
      </c>
      <c r="I69" s="4" t="s">
        <v>27</v>
      </c>
      <c r="J69" s="5">
        <v>154</v>
      </c>
      <c r="M69" s="4" t="s">
        <v>31</v>
      </c>
      <c r="N69" s="4">
        <v>2005</v>
      </c>
      <c r="O69" s="4" t="s">
        <v>27</v>
      </c>
      <c r="P69" s="5">
        <v>209</v>
      </c>
      <c r="S69" s="4" t="s">
        <v>33</v>
      </c>
      <c r="T69" s="4">
        <v>2005</v>
      </c>
      <c r="U69" s="4" t="s">
        <v>27</v>
      </c>
      <c r="V69" s="5">
        <v>93</v>
      </c>
      <c r="Y69" s="4" t="s">
        <v>35</v>
      </c>
      <c r="Z69" s="4">
        <v>2005</v>
      </c>
      <c r="AA69" s="4" t="s">
        <v>27</v>
      </c>
      <c r="AB69" s="5">
        <v>140</v>
      </c>
      <c r="AE69" s="4" t="s">
        <v>47</v>
      </c>
      <c r="AF69" s="4">
        <v>2005</v>
      </c>
      <c r="AG69" s="4" t="s">
        <v>27</v>
      </c>
      <c r="AH69" s="5">
        <v>482</v>
      </c>
      <c r="AK69" s="4" t="s">
        <v>49</v>
      </c>
      <c r="AL69" s="4">
        <v>2005</v>
      </c>
      <c r="AM69" s="4" t="s">
        <v>27</v>
      </c>
      <c r="AN69" s="5">
        <v>115</v>
      </c>
      <c r="AQ69" s="4" t="s">
        <v>51</v>
      </c>
      <c r="AR69" s="4">
        <v>2005</v>
      </c>
      <c r="AS69" s="4" t="s">
        <v>27</v>
      </c>
      <c r="AT69" s="5">
        <v>116</v>
      </c>
      <c r="AW69" s="4" t="s">
        <v>53</v>
      </c>
      <c r="AX69" s="4">
        <v>2005</v>
      </c>
      <c r="AY69" s="4" t="s">
        <v>27</v>
      </c>
      <c r="AZ69" s="5">
        <v>245</v>
      </c>
      <c r="BC69" s="4" t="s">
        <v>55</v>
      </c>
      <c r="BD69" s="4">
        <v>2005</v>
      </c>
      <c r="BE69" s="4" t="s">
        <v>27</v>
      </c>
      <c r="BF69" s="5">
        <v>46</v>
      </c>
      <c r="BI69" s="4" t="s">
        <v>57</v>
      </c>
      <c r="BJ69" s="4">
        <v>2005</v>
      </c>
      <c r="BK69" s="4" t="s">
        <v>27</v>
      </c>
      <c r="BL69" s="5">
        <v>834</v>
      </c>
      <c r="BO69" s="4" t="s">
        <v>60</v>
      </c>
      <c r="BP69" s="4">
        <v>2005</v>
      </c>
      <c r="BQ69" s="4" t="s">
        <v>27</v>
      </c>
      <c r="BR69" s="5">
        <v>68</v>
      </c>
      <c r="BU69" s="4" t="s">
        <v>62</v>
      </c>
      <c r="BV69" s="4">
        <v>2005</v>
      </c>
      <c r="BW69" s="4" t="s">
        <v>27</v>
      </c>
      <c r="BX69" s="5">
        <v>573</v>
      </c>
      <c r="CA69" s="4" t="s">
        <v>64</v>
      </c>
      <c r="CB69" s="4">
        <v>2005</v>
      </c>
      <c r="CC69" s="4" t="s">
        <v>27</v>
      </c>
      <c r="CD69" s="5">
        <v>74</v>
      </c>
      <c r="CG69" s="4" t="s">
        <v>66</v>
      </c>
      <c r="CH69" s="4">
        <v>2005</v>
      </c>
      <c r="CI69" s="4" t="s">
        <v>27</v>
      </c>
      <c r="CJ69" s="5">
        <v>442</v>
      </c>
      <c r="CM69" s="4" t="s">
        <v>68</v>
      </c>
      <c r="CN69" s="4">
        <v>2005</v>
      </c>
      <c r="CO69" s="4" t="s">
        <v>27</v>
      </c>
      <c r="CP69" s="5">
        <v>150</v>
      </c>
      <c r="CS69" s="4" t="s">
        <v>206</v>
      </c>
      <c r="CT69" s="4">
        <v>2005</v>
      </c>
      <c r="CU69" s="4" t="s">
        <v>27</v>
      </c>
      <c r="CV69" s="5">
        <v>390</v>
      </c>
    </row>
    <row r="70" spans="1:100" x14ac:dyDescent="0.25">
      <c r="A70" s="4" t="s">
        <v>185</v>
      </c>
      <c r="B70" s="4">
        <v>2005</v>
      </c>
      <c r="C70" s="4" t="s">
        <v>28</v>
      </c>
      <c r="D70" s="5">
        <v>22</v>
      </c>
      <c r="G70" s="4" t="s">
        <v>3</v>
      </c>
      <c r="H70" s="4">
        <v>2005</v>
      </c>
      <c r="I70" s="4" t="s">
        <v>28</v>
      </c>
      <c r="J70" s="5">
        <v>153</v>
      </c>
      <c r="M70" s="4" t="s">
        <v>31</v>
      </c>
      <c r="N70" s="4">
        <v>2005</v>
      </c>
      <c r="O70" s="4" t="s">
        <v>28</v>
      </c>
      <c r="P70" s="5">
        <v>238</v>
      </c>
      <c r="S70" s="4" t="s">
        <v>33</v>
      </c>
      <c r="T70" s="4">
        <v>2005</v>
      </c>
      <c r="U70" s="4" t="s">
        <v>28</v>
      </c>
      <c r="V70" s="5">
        <v>112</v>
      </c>
      <c r="Y70" s="4" t="s">
        <v>35</v>
      </c>
      <c r="Z70" s="4">
        <v>2005</v>
      </c>
      <c r="AA70" s="4" t="s">
        <v>28</v>
      </c>
      <c r="AB70" s="5">
        <v>132</v>
      </c>
      <c r="AE70" s="4" t="s">
        <v>47</v>
      </c>
      <c r="AF70" s="4">
        <v>2005</v>
      </c>
      <c r="AG70" s="4" t="s">
        <v>28</v>
      </c>
      <c r="AH70" s="5">
        <v>492</v>
      </c>
      <c r="AK70" s="4" t="s">
        <v>49</v>
      </c>
      <c r="AL70" s="4">
        <v>2005</v>
      </c>
      <c r="AM70" s="4" t="s">
        <v>28</v>
      </c>
      <c r="AN70" s="5">
        <v>146</v>
      </c>
      <c r="AQ70" s="4" t="s">
        <v>51</v>
      </c>
      <c r="AR70" s="4">
        <v>2005</v>
      </c>
      <c r="AS70" s="4" t="s">
        <v>28</v>
      </c>
      <c r="AT70" s="5">
        <v>134</v>
      </c>
      <c r="AW70" s="4" t="s">
        <v>53</v>
      </c>
      <c r="AX70" s="4">
        <v>2005</v>
      </c>
      <c r="AY70" s="4" t="s">
        <v>28</v>
      </c>
      <c r="AZ70" s="5">
        <v>230</v>
      </c>
      <c r="BC70" s="4" t="s">
        <v>55</v>
      </c>
      <c r="BD70" s="4">
        <v>2005</v>
      </c>
      <c r="BE70" s="4" t="s">
        <v>28</v>
      </c>
      <c r="BF70" s="5">
        <v>80</v>
      </c>
      <c r="BI70" s="4" t="s">
        <v>57</v>
      </c>
      <c r="BJ70" s="4">
        <v>2005</v>
      </c>
      <c r="BK70" s="4" t="s">
        <v>28</v>
      </c>
      <c r="BL70" s="5">
        <v>820</v>
      </c>
      <c r="BO70" s="4" t="s">
        <v>60</v>
      </c>
      <c r="BP70" s="4">
        <v>2005</v>
      </c>
      <c r="BQ70" s="4" t="s">
        <v>28</v>
      </c>
      <c r="BR70" s="5">
        <v>68</v>
      </c>
      <c r="BU70" s="4" t="s">
        <v>62</v>
      </c>
      <c r="BV70" s="4">
        <v>2005</v>
      </c>
      <c r="BW70" s="4" t="s">
        <v>28</v>
      </c>
      <c r="BX70" s="5">
        <v>565</v>
      </c>
      <c r="CA70" s="4" t="s">
        <v>64</v>
      </c>
      <c r="CB70" s="4">
        <v>2005</v>
      </c>
      <c r="CC70" s="4" t="s">
        <v>28</v>
      </c>
      <c r="CD70" s="5">
        <v>39</v>
      </c>
      <c r="CG70" s="4" t="s">
        <v>66</v>
      </c>
      <c r="CH70" s="4">
        <v>2005</v>
      </c>
      <c r="CI70" s="4" t="s">
        <v>28</v>
      </c>
      <c r="CJ70" s="5">
        <v>421</v>
      </c>
      <c r="CM70" s="4" t="s">
        <v>68</v>
      </c>
      <c r="CN70" s="4">
        <v>2005</v>
      </c>
      <c r="CO70" s="4" t="s">
        <v>28</v>
      </c>
      <c r="CP70" s="5">
        <v>175</v>
      </c>
      <c r="CS70" s="4" t="s">
        <v>206</v>
      </c>
      <c r="CT70" s="4">
        <v>2005</v>
      </c>
      <c r="CU70" s="4" t="s">
        <v>28</v>
      </c>
      <c r="CV70" s="5">
        <v>393</v>
      </c>
    </row>
    <row r="71" spans="1:100" x14ac:dyDescent="0.25">
      <c r="A71" s="4" t="s">
        <v>185</v>
      </c>
      <c r="B71" s="4">
        <v>2005</v>
      </c>
      <c r="C71" s="4" t="s">
        <v>29</v>
      </c>
      <c r="D71" s="5">
        <v>12</v>
      </c>
      <c r="G71" s="4" t="s">
        <v>3</v>
      </c>
      <c r="H71" s="4">
        <v>2005</v>
      </c>
      <c r="I71" s="4" t="s">
        <v>29</v>
      </c>
      <c r="J71" s="5">
        <v>167</v>
      </c>
      <c r="M71" s="4" t="s">
        <v>31</v>
      </c>
      <c r="N71" s="4">
        <v>2005</v>
      </c>
      <c r="O71" s="4" t="s">
        <v>29</v>
      </c>
      <c r="P71" s="5">
        <v>196</v>
      </c>
      <c r="S71" s="4" t="s">
        <v>33</v>
      </c>
      <c r="T71" s="4">
        <v>2005</v>
      </c>
      <c r="U71" s="4" t="s">
        <v>29</v>
      </c>
      <c r="V71" s="5">
        <v>79</v>
      </c>
      <c r="Y71" s="4" t="s">
        <v>35</v>
      </c>
      <c r="Z71" s="4">
        <v>2005</v>
      </c>
      <c r="AA71" s="4" t="s">
        <v>29</v>
      </c>
      <c r="AB71" s="5">
        <v>155</v>
      </c>
      <c r="AE71" s="4" t="s">
        <v>47</v>
      </c>
      <c r="AF71" s="4">
        <v>2005</v>
      </c>
      <c r="AG71" s="4" t="s">
        <v>29</v>
      </c>
      <c r="AH71" s="5">
        <v>591</v>
      </c>
      <c r="AK71" s="4" t="s">
        <v>49</v>
      </c>
      <c r="AL71" s="4">
        <v>2005</v>
      </c>
      <c r="AM71" s="4" t="s">
        <v>29</v>
      </c>
      <c r="AN71" s="5">
        <v>147</v>
      </c>
      <c r="AQ71" s="4" t="s">
        <v>51</v>
      </c>
      <c r="AR71" s="4">
        <v>2005</v>
      </c>
      <c r="AS71" s="4" t="s">
        <v>29</v>
      </c>
      <c r="AT71" s="5">
        <v>111</v>
      </c>
      <c r="AW71" s="4" t="s">
        <v>53</v>
      </c>
      <c r="AX71" s="4">
        <v>2005</v>
      </c>
      <c r="AY71" s="4" t="s">
        <v>29</v>
      </c>
      <c r="AZ71" s="5">
        <v>312</v>
      </c>
      <c r="BC71" s="4" t="s">
        <v>55</v>
      </c>
      <c r="BD71" s="4">
        <v>2005</v>
      </c>
      <c r="BE71" s="4" t="s">
        <v>29</v>
      </c>
      <c r="BF71" s="5">
        <v>46</v>
      </c>
      <c r="BI71" s="4" t="s">
        <v>57</v>
      </c>
      <c r="BJ71" s="4">
        <v>2005</v>
      </c>
      <c r="BK71" s="4" t="s">
        <v>29</v>
      </c>
      <c r="BL71" s="5">
        <v>909</v>
      </c>
      <c r="BO71" s="4" t="s">
        <v>60</v>
      </c>
      <c r="BP71" s="4">
        <v>2005</v>
      </c>
      <c r="BQ71" s="4" t="s">
        <v>29</v>
      </c>
      <c r="BR71" s="5">
        <v>76</v>
      </c>
      <c r="BU71" s="4" t="s">
        <v>62</v>
      </c>
      <c r="BV71" s="4">
        <v>2005</v>
      </c>
      <c r="BW71" s="4" t="s">
        <v>29</v>
      </c>
      <c r="BX71" s="5">
        <v>613</v>
      </c>
      <c r="CA71" s="4" t="s">
        <v>64</v>
      </c>
      <c r="CB71" s="4">
        <v>2005</v>
      </c>
      <c r="CC71" s="4" t="s">
        <v>29</v>
      </c>
      <c r="CD71" s="5">
        <v>61</v>
      </c>
      <c r="CG71" s="4" t="s">
        <v>66</v>
      </c>
      <c r="CH71" s="4">
        <v>2005</v>
      </c>
      <c r="CI71" s="4" t="s">
        <v>29</v>
      </c>
      <c r="CJ71" s="5">
        <v>434</v>
      </c>
      <c r="CM71" s="4" t="s">
        <v>68</v>
      </c>
      <c r="CN71" s="4">
        <v>2005</v>
      </c>
      <c r="CO71" s="4" t="s">
        <v>29</v>
      </c>
      <c r="CP71" s="5">
        <v>230</v>
      </c>
      <c r="CS71" s="4" t="s">
        <v>206</v>
      </c>
      <c r="CT71" s="4">
        <v>2005</v>
      </c>
      <c r="CU71" s="4" t="s">
        <v>29</v>
      </c>
      <c r="CV71" s="5">
        <v>357</v>
      </c>
    </row>
    <row r="72" spans="1:100" x14ac:dyDescent="0.25">
      <c r="A72" s="4" t="s">
        <v>185</v>
      </c>
      <c r="B72" s="4">
        <v>2005</v>
      </c>
      <c r="C72" s="4" t="s">
        <v>30</v>
      </c>
      <c r="D72" s="5">
        <v>11</v>
      </c>
      <c r="G72" s="4" t="s">
        <v>3</v>
      </c>
      <c r="H72" s="4">
        <v>2005</v>
      </c>
      <c r="I72" s="4" t="s">
        <v>30</v>
      </c>
      <c r="J72" s="5">
        <v>153</v>
      </c>
      <c r="M72" s="4" t="s">
        <v>31</v>
      </c>
      <c r="N72" s="4">
        <v>2005</v>
      </c>
      <c r="O72" s="4" t="s">
        <v>30</v>
      </c>
      <c r="P72" s="5">
        <v>222</v>
      </c>
      <c r="S72" s="4" t="s">
        <v>33</v>
      </c>
      <c r="T72" s="4">
        <v>2005</v>
      </c>
      <c r="U72" s="4" t="s">
        <v>30</v>
      </c>
      <c r="V72" s="5">
        <v>107</v>
      </c>
      <c r="Y72" s="4" t="s">
        <v>35</v>
      </c>
      <c r="Z72" s="4">
        <v>2005</v>
      </c>
      <c r="AA72" s="4" t="s">
        <v>30</v>
      </c>
      <c r="AB72" s="5">
        <v>112</v>
      </c>
      <c r="AE72" s="4" t="s">
        <v>47</v>
      </c>
      <c r="AF72" s="4">
        <v>2005</v>
      </c>
      <c r="AG72" s="4" t="s">
        <v>30</v>
      </c>
      <c r="AH72" s="5">
        <v>505</v>
      </c>
      <c r="AK72" s="4" t="s">
        <v>49</v>
      </c>
      <c r="AL72" s="4">
        <v>2005</v>
      </c>
      <c r="AM72" s="4" t="s">
        <v>30</v>
      </c>
      <c r="AN72" s="5">
        <v>124</v>
      </c>
      <c r="AQ72" s="4" t="s">
        <v>51</v>
      </c>
      <c r="AR72" s="4">
        <v>2005</v>
      </c>
      <c r="AS72" s="4" t="s">
        <v>30</v>
      </c>
      <c r="AT72" s="5">
        <v>113</v>
      </c>
      <c r="AW72" s="4" t="s">
        <v>53</v>
      </c>
      <c r="AX72" s="4">
        <v>2005</v>
      </c>
      <c r="AY72" s="4" t="s">
        <v>30</v>
      </c>
      <c r="AZ72" s="5">
        <v>235</v>
      </c>
      <c r="BC72" s="4" t="s">
        <v>55</v>
      </c>
      <c r="BD72" s="4">
        <v>2005</v>
      </c>
      <c r="BE72" s="4" t="s">
        <v>30</v>
      </c>
      <c r="BF72" s="5">
        <v>57</v>
      </c>
      <c r="BI72" s="4" t="s">
        <v>57</v>
      </c>
      <c r="BJ72" s="4">
        <v>2005</v>
      </c>
      <c r="BK72" s="4" t="s">
        <v>30</v>
      </c>
      <c r="BL72" s="5">
        <v>755</v>
      </c>
      <c r="BO72" s="4" t="s">
        <v>60</v>
      </c>
      <c r="BP72" s="4">
        <v>2005</v>
      </c>
      <c r="BQ72" s="4" t="s">
        <v>30</v>
      </c>
      <c r="BR72" s="5">
        <v>71</v>
      </c>
      <c r="BU72" s="4" t="s">
        <v>62</v>
      </c>
      <c r="BV72" s="4">
        <v>2005</v>
      </c>
      <c r="BW72" s="4" t="s">
        <v>30</v>
      </c>
      <c r="BX72" s="5">
        <v>529</v>
      </c>
      <c r="CA72" s="4" t="s">
        <v>64</v>
      </c>
      <c r="CB72" s="4">
        <v>2005</v>
      </c>
      <c r="CC72" s="4" t="s">
        <v>30</v>
      </c>
      <c r="CD72" s="5">
        <v>58</v>
      </c>
      <c r="CG72" s="4" t="s">
        <v>66</v>
      </c>
      <c r="CH72" s="4">
        <v>2005</v>
      </c>
      <c r="CI72" s="4" t="s">
        <v>30</v>
      </c>
      <c r="CJ72" s="5">
        <v>409</v>
      </c>
      <c r="CM72" s="4" t="s">
        <v>68</v>
      </c>
      <c r="CN72" s="4">
        <v>2005</v>
      </c>
      <c r="CO72" s="4" t="s">
        <v>30</v>
      </c>
      <c r="CP72" s="5">
        <v>97</v>
      </c>
      <c r="CS72" s="4" t="s">
        <v>206</v>
      </c>
      <c r="CT72" s="4">
        <v>2005</v>
      </c>
      <c r="CU72" s="4" t="s">
        <v>30</v>
      </c>
      <c r="CV72" s="5">
        <v>347</v>
      </c>
    </row>
    <row r="73" spans="1:100" x14ac:dyDescent="0.25">
      <c r="A73" s="4" t="s">
        <v>185</v>
      </c>
      <c r="B73" s="4">
        <v>2005</v>
      </c>
      <c r="C73" s="4" t="s">
        <v>19</v>
      </c>
      <c r="D73" s="5">
        <v>12</v>
      </c>
      <c r="G73" s="4" t="s">
        <v>3</v>
      </c>
      <c r="H73" s="4">
        <v>2005</v>
      </c>
      <c r="I73" s="4" t="s">
        <v>19</v>
      </c>
      <c r="J73" s="5">
        <v>123</v>
      </c>
      <c r="M73" s="4" t="s">
        <v>31</v>
      </c>
      <c r="N73" s="4">
        <v>2005</v>
      </c>
      <c r="O73" s="4" t="s">
        <v>19</v>
      </c>
      <c r="P73" s="5">
        <v>210</v>
      </c>
      <c r="S73" s="4" t="s">
        <v>33</v>
      </c>
      <c r="T73" s="4">
        <v>2005</v>
      </c>
      <c r="U73" s="4" t="s">
        <v>19</v>
      </c>
      <c r="V73" s="5">
        <v>89</v>
      </c>
      <c r="Y73" s="4" t="s">
        <v>35</v>
      </c>
      <c r="Z73" s="4">
        <v>2005</v>
      </c>
      <c r="AA73" s="4" t="s">
        <v>19</v>
      </c>
      <c r="AB73" s="5">
        <v>111</v>
      </c>
      <c r="AE73" s="4" t="s">
        <v>47</v>
      </c>
      <c r="AF73" s="4">
        <v>2005</v>
      </c>
      <c r="AG73" s="4" t="s">
        <v>19</v>
      </c>
      <c r="AH73" s="5">
        <v>356</v>
      </c>
      <c r="AK73" s="4" t="s">
        <v>49</v>
      </c>
      <c r="AL73" s="4">
        <v>2005</v>
      </c>
      <c r="AM73" s="4" t="s">
        <v>19</v>
      </c>
      <c r="AN73" s="5">
        <v>93</v>
      </c>
      <c r="AQ73" s="4" t="s">
        <v>51</v>
      </c>
      <c r="AR73" s="4">
        <v>2005</v>
      </c>
      <c r="AS73" s="4" t="s">
        <v>19</v>
      </c>
      <c r="AT73" s="5">
        <v>90</v>
      </c>
      <c r="AW73" s="4" t="s">
        <v>53</v>
      </c>
      <c r="AX73" s="4">
        <v>2005</v>
      </c>
      <c r="AY73" s="4" t="s">
        <v>19</v>
      </c>
      <c r="AZ73" s="5">
        <v>268</v>
      </c>
      <c r="BC73" s="4" t="s">
        <v>55</v>
      </c>
      <c r="BD73" s="4">
        <v>2005</v>
      </c>
      <c r="BE73" s="4" t="s">
        <v>19</v>
      </c>
      <c r="BF73" s="5">
        <v>75</v>
      </c>
      <c r="BI73" s="4" t="s">
        <v>57</v>
      </c>
      <c r="BJ73" s="4">
        <v>2005</v>
      </c>
      <c r="BK73" s="4" t="s">
        <v>19</v>
      </c>
      <c r="BL73" s="5">
        <v>800</v>
      </c>
      <c r="BO73" s="4" t="s">
        <v>60</v>
      </c>
      <c r="BP73" s="4">
        <v>2005</v>
      </c>
      <c r="BQ73" s="4" t="s">
        <v>19</v>
      </c>
      <c r="BR73" s="5">
        <v>63</v>
      </c>
      <c r="BU73" s="4" t="s">
        <v>62</v>
      </c>
      <c r="BV73" s="4">
        <v>2005</v>
      </c>
      <c r="BW73" s="4" t="s">
        <v>19</v>
      </c>
      <c r="BX73" s="5">
        <v>541</v>
      </c>
      <c r="CA73" s="4" t="s">
        <v>64</v>
      </c>
      <c r="CB73" s="4">
        <v>2005</v>
      </c>
      <c r="CC73" s="4" t="s">
        <v>19</v>
      </c>
      <c r="CD73" s="5">
        <v>45</v>
      </c>
      <c r="CG73" s="4" t="s">
        <v>66</v>
      </c>
      <c r="CH73" s="4">
        <v>2005</v>
      </c>
      <c r="CI73" s="4" t="s">
        <v>19</v>
      </c>
      <c r="CJ73" s="5">
        <v>402</v>
      </c>
      <c r="CM73" s="4" t="s">
        <v>68</v>
      </c>
      <c r="CN73" s="4">
        <v>2005</v>
      </c>
      <c r="CO73" s="4" t="s">
        <v>19</v>
      </c>
      <c r="CP73" s="5">
        <v>87</v>
      </c>
      <c r="CS73" s="4" t="s">
        <v>206</v>
      </c>
      <c r="CT73" s="4">
        <v>2005</v>
      </c>
      <c r="CU73" s="4" t="s">
        <v>19</v>
      </c>
      <c r="CV73" s="5">
        <v>395</v>
      </c>
    </row>
    <row r="74" spans="1:100" x14ac:dyDescent="0.25">
      <c r="A74" s="4" t="s">
        <v>185</v>
      </c>
      <c r="B74" s="4">
        <v>2006</v>
      </c>
      <c r="C74" s="4" t="s">
        <v>20</v>
      </c>
      <c r="D74" s="5">
        <v>16</v>
      </c>
      <c r="G74" s="4" t="s">
        <v>3</v>
      </c>
      <c r="H74" s="4">
        <v>2006</v>
      </c>
      <c r="I74" s="4" t="s">
        <v>20</v>
      </c>
      <c r="J74" s="5">
        <v>146</v>
      </c>
      <c r="M74" s="4" t="s">
        <v>31</v>
      </c>
      <c r="N74" s="4">
        <v>2006</v>
      </c>
      <c r="O74" s="4" t="s">
        <v>20</v>
      </c>
      <c r="P74" s="5">
        <v>231</v>
      </c>
      <c r="S74" s="4" t="s">
        <v>33</v>
      </c>
      <c r="T74" s="4">
        <v>2006</v>
      </c>
      <c r="U74" s="4" t="s">
        <v>20</v>
      </c>
      <c r="V74" s="5">
        <v>98</v>
      </c>
      <c r="Y74" s="4" t="s">
        <v>35</v>
      </c>
      <c r="Z74" s="4">
        <v>2006</v>
      </c>
      <c r="AA74" s="4" t="s">
        <v>20</v>
      </c>
      <c r="AB74" s="5">
        <v>176</v>
      </c>
      <c r="AE74" s="4" t="s">
        <v>47</v>
      </c>
      <c r="AF74" s="4">
        <v>2006</v>
      </c>
      <c r="AG74" s="4" t="s">
        <v>20</v>
      </c>
      <c r="AH74" s="5">
        <v>415</v>
      </c>
      <c r="AK74" s="4" t="s">
        <v>49</v>
      </c>
      <c r="AL74" s="4">
        <v>2006</v>
      </c>
      <c r="AM74" s="4" t="s">
        <v>20</v>
      </c>
      <c r="AN74" s="5">
        <v>90</v>
      </c>
      <c r="AQ74" s="4" t="s">
        <v>51</v>
      </c>
      <c r="AR74" s="4">
        <v>2006</v>
      </c>
      <c r="AS74" s="4" t="s">
        <v>20</v>
      </c>
      <c r="AT74" s="5">
        <v>158</v>
      </c>
      <c r="AW74" s="4" t="s">
        <v>53</v>
      </c>
      <c r="AX74" s="4">
        <v>2006</v>
      </c>
      <c r="AY74" s="4" t="s">
        <v>20</v>
      </c>
      <c r="AZ74" s="5">
        <v>336</v>
      </c>
      <c r="BC74" s="4" t="s">
        <v>55</v>
      </c>
      <c r="BD74" s="4">
        <v>2006</v>
      </c>
      <c r="BE74" s="4" t="s">
        <v>20</v>
      </c>
      <c r="BF74" s="5">
        <v>139</v>
      </c>
      <c r="BI74" s="4" t="s">
        <v>57</v>
      </c>
      <c r="BJ74" s="4">
        <v>2006</v>
      </c>
      <c r="BK74" s="4" t="s">
        <v>20</v>
      </c>
      <c r="BL74" s="5">
        <v>992</v>
      </c>
      <c r="BO74" s="4" t="s">
        <v>60</v>
      </c>
      <c r="BP74" s="4">
        <v>2006</v>
      </c>
      <c r="BQ74" s="4" t="s">
        <v>20</v>
      </c>
      <c r="BR74" s="5">
        <v>72</v>
      </c>
      <c r="BU74" s="4" t="s">
        <v>62</v>
      </c>
      <c r="BV74" s="4">
        <v>2006</v>
      </c>
      <c r="BW74" s="4" t="s">
        <v>20</v>
      </c>
      <c r="BX74" s="5">
        <v>671</v>
      </c>
      <c r="CA74" s="4" t="s">
        <v>64</v>
      </c>
      <c r="CB74" s="4">
        <v>2006</v>
      </c>
      <c r="CC74" s="4" t="s">
        <v>20</v>
      </c>
      <c r="CD74" s="5">
        <v>59</v>
      </c>
      <c r="CG74" s="4" t="s">
        <v>66</v>
      </c>
      <c r="CH74" s="4">
        <v>2006</v>
      </c>
      <c r="CI74" s="4" t="s">
        <v>20</v>
      </c>
      <c r="CJ74" s="5">
        <v>477</v>
      </c>
      <c r="CM74" s="4" t="s">
        <v>68</v>
      </c>
      <c r="CN74" s="4">
        <v>2006</v>
      </c>
      <c r="CO74" s="4" t="s">
        <v>20</v>
      </c>
      <c r="CP74" s="5">
        <v>94</v>
      </c>
      <c r="CS74" s="4" t="s">
        <v>206</v>
      </c>
      <c r="CT74" s="4">
        <v>2006</v>
      </c>
      <c r="CU74" s="4" t="s">
        <v>20</v>
      </c>
      <c r="CV74" s="5">
        <v>353</v>
      </c>
    </row>
    <row r="75" spans="1:100" x14ac:dyDescent="0.25">
      <c r="A75" s="4" t="s">
        <v>185</v>
      </c>
      <c r="B75" s="4">
        <v>2006</v>
      </c>
      <c r="C75" s="4" t="s">
        <v>21</v>
      </c>
      <c r="D75" s="5">
        <v>15</v>
      </c>
      <c r="G75" s="4" t="s">
        <v>3</v>
      </c>
      <c r="H75" s="4">
        <v>2006</v>
      </c>
      <c r="I75" s="4" t="s">
        <v>21</v>
      </c>
      <c r="J75" s="5">
        <v>132</v>
      </c>
      <c r="M75" s="4" t="s">
        <v>31</v>
      </c>
      <c r="N75" s="4">
        <v>2006</v>
      </c>
      <c r="O75" s="4" t="s">
        <v>21</v>
      </c>
      <c r="P75" s="5">
        <v>260</v>
      </c>
      <c r="S75" s="4" t="s">
        <v>33</v>
      </c>
      <c r="T75" s="4">
        <v>2006</v>
      </c>
      <c r="U75" s="4" t="s">
        <v>21</v>
      </c>
      <c r="V75" s="5">
        <v>94</v>
      </c>
      <c r="Y75" s="4" t="s">
        <v>35</v>
      </c>
      <c r="Z75" s="4">
        <v>2006</v>
      </c>
      <c r="AA75" s="4" t="s">
        <v>21</v>
      </c>
      <c r="AB75" s="5">
        <v>186</v>
      </c>
      <c r="AE75" s="4" t="s">
        <v>47</v>
      </c>
      <c r="AF75" s="4">
        <v>2006</v>
      </c>
      <c r="AG75" s="4" t="s">
        <v>21</v>
      </c>
      <c r="AH75" s="5">
        <v>335</v>
      </c>
      <c r="AK75" s="4" t="s">
        <v>49</v>
      </c>
      <c r="AL75" s="4">
        <v>2006</v>
      </c>
      <c r="AM75" s="4" t="s">
        <v>21</v>
      </c>
      <c r="AN75" s="5">
        <v>105</v>
      </c>
      <c r="AQ75" s="4" t="s">
        <v>51</v>
      </c>
      <c r="AR75" s="4">
        <v>2006</v>
      </c>
      <c r="AS75" s="4" t="s">
        <v>21</v>
      </c>
      <c r="AT75" s="5">
        <v>90</v>
      </c>
      <c r="AW75" s="4" t="s">
        <v>53</v>
      </c>
      <c r="AX75" s="4">
        <v>2006</v>
      </c>
      <c r="AY75" s="4" t="s">
        <v>21</v>
      </c>
      <c r="AZ75" s="5">
        <v>293</v>
      </c>
      <c r="BC75" s="4" t="s">
        <v>55</v>
      </c>
      <c r="BD75" s="4">
        <v>2006</v>
      </c>
      <c r="BE75" s="4" t="s">
        <v>21</v>
      </c>
      <c r="BF75" s="5">
        <v>43</v>
      </c>
      <c r="BI75" s="4" t="s">
        <v>57</v>
      </c>
      <c r="BJ75" s="4">
        <v>2006</v>
      </c>
      <c r="BK75" s="4" t="s">
        <v>21</v>
      </c>
      <c r="BL75" s="5">
        <v>825</v>
      </c>
      <c r="BO75" s="4" t="s">
        <v>60</v>
      </c>
      <c r="BP75" s="4">
        <v>2006</v>
      </c>
      <c r="BQ75" s="4" t="s">
        <v>21</v>
      </c>
      <c r="BR75" s="5">
        <v>75</v>
      </c>
      <c r="BU75" s="4" t="s">
        <v>62</v>
      </c>
      <c r="BV75" s="4">
        <v>2006</v>
      </c>
      <c r="BW75" s="4" t="s">
        <v>21</v>
      </c>
      <c r="BX75" s="5">
        <v>634</v>
      </c>
      <c r="CA75" s="4" t="s">
        <v>64</v>
      </c>
      <c r="CB75" s="4">
        <v>2006</v>
      </c>
      <c r="CC75" s="4" t="s">
        <v>21</v>
      </c>
      <c r="CD75" s="5">
        <v>50</v>
      </c>
      <c r="CG75" s="4" t="s">
        <v>66</v>
      </c>
      <c r="CH75" s="4">
        <v>2006</v>
      </c>
      <c r="CI75" s="4" t="s">
        <v>21</v>
      </c>
      <c r="CJ75" s="5">
        <v>502</v>
      </c>
      <c r="CM75" s="4" t="s">
        <v>68</v>
      </c>
      <c r="CN75" s="4">
        <v>2006</v>
      </c>
      <c r="CO75" s="4" t="s">
        <v>21</v>
      </c>
      <c r="CP75" s="5">
        <v>75</v>
      </c>
      <c r="CS75" s="4" t="s">
        <v>206</v>
      </c>
      <c r="CT75" s="4">
        <v>2006</v>
      </c>
      <c r="CU75" s="4" t="s">
        <v>21</v>
      </c>
      <c r="CV75" s="5">
        <v>373</v>
      </c>
    </row>
    <row r="76" spans="1:100" x14ac:dyDescent="0.25">
      <c r="A76" s="4" t="s">
        <v>185</v>
      </c>
      <c r="B76" s="4">
        <v>2006</v>
      </c>
      <c r="C76" s="4" t="s">
        <v>22</v>
      </c>
      <c r="D76" s="5">
        <v>21</v>
      </c>
      <c r="G76" s="4" t="s">
        <v>3</v>
      </c>
      <c r="H76" s="4">
        <v>2006</v>
      </c>
      <c r="I76" s="4" t="s">
        <v>22</v>
      </c>
      <c r="J76" s="5">
        <v>186</v>
      </c>
      <c r="M76" s="4" t="s">
        <v>31</v>
      </c>
      <c r="N76" s="4">
        <v>2006</v>
      </c>
      <c r="O76" s="4" t="s">
        <v>22</v>
      </c>
      <c r="P76" s="5">
        <v>251</v>
      </c>
      <c r="S76" s="4" t="s">
        <v>33</v>
      </c>
      <c r="T76" s="4">
        <v>2006</v>
      </c>
      <c r="U76" s="4" t="s">
        <v>22</v>
      </c>
      <c r="V76" s="5">
        <v>126</v>
      </c>
      <c r="Y76" s="4" t="s">
        <v>35</v>
      </c>
      <c r="Z76" s="4">
        <v>2006</v>
      </c>
      <c r="AA76" s="4" t="s">
        <v>22</v>
      </c>
      <c r="AB76" s="5">
        <v>201</v>
      </c>
      <c r="AE76" s="4" t="s">
        <v>47</v>
      </c>
      <c r="AF76" s="4">
        <v>2006</v>
      </c>
      <c r="AG76" s="4" t="s">
        <v>22</v>
      </c>
      <c r="AH76" s="5">
        <v>386</v>
      </c>
      <c r="AK76" s="4" t="s">
        <v>49</v>
      </c>
      <c r="AL76" s="4">
        <v>2006</v>
      </c>
      <c r="AM76" s="4" t="s">
        <v>22</v>
      </c>
      <c r="AN76" s="5">
        <v>114</v>
      </c>
      <c r="AQ76" s="4" t="s">
        <v>51</v>
      </c>
      <c r="AR76" s="4">
        <v>2006</v>
      </c>
      <c r="AS76" s="4" t="s">
        <v>22</v>
      </c>
      <c r="AT76" s="5">
        <v>119</v>
      </c>
      <c r="AW76" s="4" t="s">
        <v>53</v>
      </c>
      <c r="AX76" s="4">
        <v>2006</v>
      </c>
      <c r="AY76" s="4" t="s">
        <v>22</v>
      </c>
      <c r="AZ76" s="5">
        <v>276</v>
      </c>
      <c r="BC76" s="4" t="s">
        <v>55</v>
      </c>
      <c r="BD76" s="4">
        <v>2006</v>
      </c>
      <c r="BE76" s="4" t="s">
        <v>22</v>
      </c>
      <c r="BF76" s="5">
        <v>69</v>
      </c>
      <c r="BI76" s="4" t="s">
        <v>57</v>
      </c>
      <c r="BJ76" s="4">
        <v>2006</v>
      </c>
      <c r="BK76" s="4" t="s">
        <v>22</v>
      </c>
      <c r="BL76" s="5">
        <v>707</v>
      </c>
      <c r="BO76" s="4" t="s">
        <v>60</v>
      </c>
      <c r="BP76" s="4">
        <v>2006</v>
      </c>
      <c r="BQ76" s="4" t="s">
        <v>22</v>
      </c>
      <c r="BR76" s="5">
        <v>84</v>
      </c>
      <c r="BU76" s="4" t="s">
        <v>62</v>
      </c>
      <c r="BV76" s="4">
        <v>2006</v>
      </c>
      <c r="BW76" s="4" t="s">
        <v>22</v>
      </c>
      <c r="BX76" s="5">
        <v>631</v>
      </c>
      <c r="CA76" s="4" t="s">
        <v>64</v>
      </c>
      <c r="CB76" s="4">
        <v>2006</v>
      </c>
      <c r="CC76" s="4" t="s">
        <v>22</v>
      </c>
      <c r="CD76" s="5">
        <v>57</v>
      </c>
      <c r="CG76" s="4" t="s">
        <v>66</v>
      </c>
      <c r="CH76" s="4">
        <v>2006</v>
      </c>
      <c r="CI76" s="4" t="s">
        <v>22</v>
      </c>
      <c r="CJ76" s="5">
        <v>537</v>
      </c>
      <c r="CM76" s="4" t="s">
        <v>68</v>
      </c>
      <c r="CN76" s="4">
        <v>2006</v>
      </c>
      <c r="CO76" s="4" t="s">
        <v>22</v>
      </c>
      <c r="CP76" s="5">
        <v>191</v>
      </c>
      <c r="CS76" s="4" t="s">
        <v>206</v>
      </c>
      <c r="CT76" s="4">
        <v>2006</v>
      </c>
      <c r="CU76" s="4" t="s">
        <v>22</v>
      </c>
      <c r="CV76" s="5">
        <v>427</v>
      </c>
    </row>
    <row r="77" spans="1:100" x14ac:dyDescent="0.25">
      <c r="A77" s="4" t="s">
        <v>185</v>
      </c>
      <c r="B77" s="4">
        <v>2006</v>
      </c>
      <c r="C77" s="4" t="s">
        <v>23</v>
      </c>
      <c r="D77" s="5">
        <v>16</v>
      </c>
      <c r="G77" s="4" t="s">
        <v>3</v>
      </c>
      <c r="H77" s="4">
        <v>2006</v>
      </c>
      <c r="I77" s="4" t="s">
        <v>23</v>
      </c>
      <c r="J77" s="5">
        <v>225</v>
      </c>
      <c r="M77" s="4" t="s">
        <v>31</v>
      </c>
      <c r="N77" s="4">
        <v>2006</v>
      </c>
      <c r="O77" s="4" t="s">
        <v>23</v>
      </c>
      <c r="P77" s="5">
        <v>270</v>
      </c>
      <c r="S77" s="4" t="s">
        <v>33</v>
      </c>
      <c r="T77" s="4">
        <v>2006</v>
      </c>
      <c r="U77" s="4" t="s">
        <v>23</v>
      </c>
      <c r="V77" s="5">
        <v>125</v>
      </c>
      <c r="Y77" s="4" t="s">
        <v>35</v>
      </c>
      <c r="Z77" s="4">
        <v>2006</v>
      </c>
      <c r="AA77" s="4" t="s">
        <v>23</v>
      </c>
      <c r="AB77" s="5">
        <v>187</v>
      </c>
      <c r="AE77" s="4" t="s">
        <v>47</v>
      </c>
      <c r="AF77" s="4">
        <v>2006</v>
      </c>
      <c r="AG77" s="4" t="s">
        <v>23</v>
      </c>
      <c r="AH77" s="5">
        <v>444</v>
      </c>
      <c r="AK77" s="4" t="s">
        <v>49</v>
      </c>
      <c r="AL77" s="4">
        <v>2006</v>
      </c>
      <c r="AM77" s="4" t="s">
        <v>23</v>
      </c>
      <c r="AN77" s="5">
        <v>160</v>
      </c>
      <c r="AQ77" s="4" t="s">
        <v>51</v>
      </c>
      <c r="AR77" s="4">
        <v>2006</v>
      </c>
      <c r="AS77" s="4" t="s">
        <v>23</v>
      </c>
      <c r="AT77" s="5">
        <v>188</v>
      </c>
      <c r="AW77" s="4" t="s">
        <v>53</v>
      </c>
      <c r="AX77" s="4">
        <v>2006</v>
      </c>
      <c r="AY77" s="4" t="s">
        <v>23</v>
      </c>
      <c r="AZ77" s="5">
        <v>387</v>
      </c>
      <c r="BC77" s="4" t="s">
        <v>55</v>
      </c>
      <c r="BD77" s="4">
        <v>2006</v>
      </c>
      <c r="BE77" s="4" t="s">
        <v>23</v>
      </c>
      <c r="BF77" s="5">
        <v>66</v>
      </c>
      <c r="BI77" s="4" t="s">
        <v>57</v>
      </c>
      <c r="BJ77" s="4">
        <v>2006</v>
      </c>
      <c r="BK77" s="4" t="s">
        <v>23</v>
      </c>
      <c r="BL77" s="5">
        <v>787</v>
      </c>
      <c r="BO77" s="4" t="s">
        <v>60</v>
      </c>
      <c r="BP77" s="4">
        <v>2006</v>
      </c>
      <c r="BQ77" s="4" t="s">
        <v>23</v>
      </c>
      <c r="BR77" s="5">
        <v>93</v>
      </c>
      <c r="BU77" s="4" t="s">
        <v>62</v>
      </c>
      <c r="BV77" s="4">
        <v>2006</v>
      </c>
      <c r="BW77" s="4" t="s">
        <v>23</v>
      </c>
      <c r="BX77" s="5">
        <v>704</v>
      </c>
      <c r="CA77" s="4" t="s">
        <v>64</v>
      </c>
      <c r="CB77" s="4">
        <v>2006</v>
      </c>
      <c r="CC77" s="4" t="s">
        <v>23</v>
      </c>
      <c r="CD77" s="5">
        <v>89</v>
      </c>
      <c r="CG77" s="4" t="s">
        <v>66</v>
      </c>
      <c r="CH77" s="4">
        <v>2006</v>
      </c>
      <c r="CI77" s="4" t="s">
        <v>23</v>
      </c>
      <c r="CJ77" s="5">
        <v>589</v>
      </c>
      <c r="CM77" s="4" t="s">
        <v>68</v>
      </c>
      <c r="CN77" s="4">
        <v>2006</v>
      </c>
      <c r="CO77" s="4" t="s">
        <v>23</v>
      </c>
      <c r="CP77" s="5">
        <v>177</v>
      </c>
      <c r="CS77" s="4" t="s">
        <v>206</v>
      </c>
      <c r="CT77" s="4">
        <v>2006</v>
      </c>
      <c r="CU77" s="4" t="s">
        <v>23</v>
      </c>
      <c r="CV77" s="5">
        <v>434</v>
      </c>
    </row>
    <row r="78" spans="1:100" x14ac:dyDescent="0.25">
      <c r="A78" s="4" t="s">
        <v>185</v>
      </c>
      <c r="B78" s="4">
        <v>2006</v>
      </c>
      <c r="C78" s="4" t="s">
        <v>24</v>
      </c>
      <c r="D78" s="5">
        <v>15</v>
      </c>
      <c r="G78" s="4" t="s">
        <v>3</v>
      </c>
      <c r="H78" s="4">
        <v>2006</v>
      </c>
      <c r="I78" s="4" t="s">
        <v>24</v>
      </c>
      <c r="J78" s="5">
        <v>207</v>
      </c>
      <c r="M78" s="4" t="s">
        <v>31</v>
      </c>
      <c r="N78" s="4">
        <v>2006</v>
      </c>
      <c r="O78" s="4" t="s">
        <v>24</v>
      </c>
      <c r="P78" s="5">
        <v>212</v>
      </c>
      <c r="S78" s="4" t="s">
        <v>33</v>
      </c>
      <c r="T78" s="4">
        <v>2006</v>
      </c>
      <c r="U78" s="4" t="s">
        <v>24</v>
      </c>
      <c r="V78" s="5">
        <v>109</v>
      </c>
      <c r="Y78" s="4" t="s">
        <v>35</v>
      </c>
      <c r="Z78" s="4">
        <v>2006</v>
      </c>
      <c r="AA78" s="4" t="s">
        <v>24</v>
      </c>
      <c r="AB78" s="5">
        <v>188</v>
      </c>
      <c r="AE78" s="4" t="s">
        <v>47</v>
      </c>
      <c r="AF78" s="4">
        <v>2006</v>
      </c>
      <c r="AG78" s="4" t="s">
        <v>24</v>
      </c>
      <c r="AH78" s="5">
        <v>428</v>
      </c>
      <c r="AK78" s="4" t="s">
        <v>49</v>
      </c>
      <c r="AL78" s="4">
        <v>2006</v>
      </c>
      <c r="AM78" s="4" t="s">
        <v>24</v>
      </c>
      <c r="AN78" s="5">
        <v>150</v>
      </c>
      <c r="AQ78" s="4" t="s">
        <v>51</v>
      </c>
      <c r="AR78" s="4">
        <v>2006</v>
      </c>
      <c r="AS78" s="4" t="s">
        <v>24</v>
      </c>
      <c r="AT78" s="5">
        <v>137</v>
      </c>
      <c r="AW78" s="4" t="s">
        <v>53</v>
      </c>
      <c r="AX78" s="4">
        <v>2006</v>
      </c>
      <c r="AY78" s="4" t="s">
        <v>24</v>
      </c>
      <c r="AZ78" s="5">
        <v>260</v>
      </c>
      <c r="BC78" s="4" t="s">
        <v>55</v>
      </c>
      <c r="BD78" s="4">
        <v>2006</v>
      </c>
      <c r="BE78" s="4" t="s">
        <v>24</v>
      </c>
      <c r="BF78" s="5">
        <v>59</v>
      </c>
      <c r="BI78" s="4" t="s">
        <v>57</v>
      </c>
      <c r="BJ78" s="4">
        <v>2006</v>
      </c>
      <c r="BK78" s="4" t="s">
        <v>24</v>
      </c>
      <c r="BL78" s="5">
        <v>844</v>
      </c>
      <c r="BO78" s="4" t="s">
        <v>60</v>
      </c>
      <c r="BP78" s="4">
        <v>2006</v>
      </c>
      <c r="BQ78" s="4" t="s">
        <v>24</v>
      </c>
      <c r="BR78" s="5">
        <v>71</v>
      </c>
      <c r="BU78" s="4" t="s">
        <v>62</v>
      </c>
      <c r="BV78" s="4">
        <v>2006</v>
      </c>
      <c r="BW78" s="4" t="s">
        <v>24</v>
      </c>
      <c r="BX78" s="5">
        <v>609</v>
      </c>
      <c r="CA78" s="4" t="s">
        <v>64</v>
      </c>
      <c r="CB78" s="4">
        <v>2006</v>
      </c>
      <c r="CC78" s="4" t="s">
        <v>24</v>
      </c>
      <c r="CD78" s="5">
        <v>72</v>
      </c>
      <c r="CG78" s="4" t="s">
        <v>66</v>
      </c>
      <c r="CH78" s="4">
        <v>2006</v>
      </c>
      <c r="CI78" s="4" t="s">
        <v>24</v>
      </c>
      <c r="CJ78" s="5">
        <v>540</v>
      </c>
      <c r="CM78" s="4" t="s">
        <v>68</v>
      </c>
      <c r="CN78" s="4">
        <v>2006</v>
      </c>
      <c r="CO78" s="4" t="s">
        <v>24</v>
      </c>
      <c r="CP78" s="5">
        <v>175</v>
      </c>
      <c r="CS78" s="4" t="s">
        <v>206</v>
      </c>
      <c r="CT78" s="4">
        <v>2006</v>
      </c>
      <c r="CU78" s="4" t="s">
        <v>24</v>
      </c>
      <c r="CV78" s="5">
        <v>448</v>
      </c>
    </row>
    <row r="79" spans="1:100" x14ac:dyDescent="0.25">
      <c r="A79" s="4" t="s">
        <v>185</v>
      </c>
      <c r="B79" s="4">
        <v>2006</v>
      </c>
      <c r="C79" s="4" t="s">
        <v>25</v>
      </c>
      <c r="D79" s="5">
        <v>18</v>
      </c>
      <c r="G79" s="4" t="s">
        <v>3</v>
      </c>
      <c r="H79" s="4">
        <v>2006</v>
      </c>
      <c r="I79" s="4" t="s">
        <v>25</v>
      </c>
      <c r="J79" s="5">
        <v>192</v>
      </c>
      <c r="M79" s="4" t="s">
        <v>31</v>
      </c>
      <c r="N79" s="4">
        <v>2006</v>
      </c>
      <c r="O79" s="4" t="s">
        <v>25</v>
      </c>
      <c r="P79" s="5">
        <v>228</v>
      </c>
      <c r="S79" s="4" t="s">
        <v>33</v>
      </c>
      <c r="T79" s="4">
        <v>2006</v>
      </c>
      <c r="U79" s="4" t="s">
        <v>25</v>
      </c>
      <c r="V79" s="5">
        <v>117</v>
      </c>
      <c r="Y79" s="4" t="s">
        <v>35</v>
      </c>
      <c r="Z79" s="4">
        <v>2006</v>
      </c>
      <c r="AA79" s="4" t="s">
        <v>25</v>
      </c>
      <c r="AB79" s="5">
        <v>141</v>
      </c>
      <c r="AE79" s="4" t="s">
        <v>47</v>
      </c>
      <c r="AF79" s="4">
        <v>2006</v>
      </c>
      <c r="AG79" s="4" t="s">
        <v>25</v>
      </c>
      <c r="AH79" s="5">
        <v>389</v>
      </c>
      <c r="AK79" s="4" t="s">
        <v>49</v>
      </c>
      <c r="AL79" s="4">
        <v>2006</v>
      </c>
      <c r="AM79" s="4" t="s">
        <v>25</v>
      </c>
      <c r="AN79" s="5">
        <v>143</v>
      </c>
      <c r="AQ79" s="4" t="s">
        <v>51</v>
      </c>
      <c r="AR79" s="4">
        <v>2006</v>
      </c>
      <c r="AS79" s="4" t="s">
        <v>25</v>
      </c>
      <c r="AT79" s="5">
        <v>159</v>
      </c>
      <c r="AW79" s="4" t="s">
        <v>53</v>
      </c>
      <c r="AX79" s="4">
        <v>2006</v>
      </c>
      <c r="AY79" s="4" t="s">
        <v>25</v>
      </c>
      <c r="AZ79" s="5">
        <v>242</v>
      </c>
      <c r="BC79" s="4" t="s">
        <v>55</v>
      </c>
      <c r="BD79" s="4">
        <v>2006</v>
      </c>
      <c r="BE79" s="4" t="s">
        <v>25</v>
      </c>
      <c r="BF79" s="5">
        <v>84</v>
      </c>
      <c r="BI79" s="4" t="s">
        <v>57</v>
      </c>
      <c r="BJ79" s="4">
        <v>2006</v>
      </c>
      <c r="BK79" s="4" t="s">
        <v>25</v>
      </c>
      <c r="BL79" s="5">
        <v>693</v>
      </c>
      <c r="BO79" s="4" t="s">
        <v>60</v>
      </c>
      <c r="BP79" s="4">
        <v>2006</v>
      </c>
      <c r="BQ79" s="4" t="s">
        <v>25</v>
      </c>
      <c r="BR79" s="5">
        <v>46</v>
      </c>
      <c r="BU79" s="4" t="s">
        <v>62</v>
      </c>
      <c r="BV79" s="4">
        <v>2006</v>
      </c>
      <c r="BW79" s="4" t="s">
        <v>25</v>
      </c>
      <c r="BX79" s="5">
        <v>639</v>
      </c>
      <c r="CA79" s="4" t="s">
        <v>64</v>
      </c>
      <c r="CB79" s="4">
        <v>2006</v>
      </c>
      <c r="CC79" s="4" t="s">
        <v>25</v>
      </c>
      <c r="CD79" s="5">
        <v>55</v>
      </c>
      <c r="CG79" s="4" t="s">
        <v>66</v>
      </c>
      <c r="CH79" s="4">
        <v>2006</v>
      </c>
      <c r="CI79" s="4" t="s">
        <v>25</v>
      </c>
      <c r="CJ79" s="5">
        <v>434</v>
      </c>
      <c r="CM79" s="4" t="s">
        <v>68</v>
      </c>
      <c r="CN79" s="4">
        <v>2006</v>
      </c>
      <c r="CO79" s="4" t="s">
        <v>25</v>
      </c>
      <c r="CP79" s="5">
        <v>180</v>
      </c>
      <c r="CS79" s="4" t="s">
        <v>206</v>
      </c>
      <c r="CT79" s="4">
        <v>2006</v>
      </c>
      <c r="CU79" s="4" t="s">
        <v>25</v>
      </c>
      <c r="CV79" s="5">
        <v>472</v>
      </c>
    </row>
    <row r="80" spans="1:100" x14ac:dyDescent="0.25">
      <c r="A80" s="4" t="s">
        <v>185</v>
      </c>
      <c r="B80" s="4">
        <v>2006</v>
      </c>
      <c r="C80" s="4" t="s">
        <v>26</v>
      </c>
      <c r="D80" s="5">
        <v>15</v>
      </c>
      <c r="G80" s="4" t="s">
        <v>3</v>
      </c>
      <c r="H80" s="4">
        <v>2006</v>
      </c>
      <c r="I80" s="4" t="s">
        <v>26</v>
      </c>
      <c r="J80" s="5">
        <v>258</v>
      </c>
      <c r="M80" s="4" t="s">
        <v>31</v>
      </c>
      <c r="N80" s="4">
        <v>2006</v>
      </c>
      <c r="O80" s="4" t="s">
        <v>26</v>
      </c>
      <c r="P80" s="5">
        <v>225</v>
      </c>
      <c r="S80" s="4" t="s">
        <v>33</v>
      </c>
      <c r="T80" s="4">
        <v>2006</v>
      </c>
      <c r="U80" s="4" t="s">
        <v>26</v>
      </c>
      <c r="V80" s="5">
        <v>116</v>
      </c>
      <c r="Y80" s="4" t="s">
        <v>35</v>
      </c>
      <c r="Z80" s="4">
        <v>2006</v>
      </c>
      <c r="AA80" s="4" t="s">
        <v>26</v>
      </c>
      <c r="AB80" s="5">
        <v>190</v>
      </c>
      <c r="AE80" s="4" t="s">
        <v>47</v>
      </c>
      <c r="AF80" s="4">
        <v>2006</v>
      </c>
      <c r="AG80" s="4" t="s">
        <v>26</v>
      </c>
      <c r="AH80" s="5">
        <v>403</v>
      </c>
      <c r="AK80" s="4" t="s">
        <v>49</v>
      </c>
      <c r="AL80" s="4">
        <v>2006</v>
      </c>
      <c r="AM80" s="4" t="s">
        <v>26</v>
      </c>
      <c r="AN80" s="5">
        <v>156</v>
      </c>
      <c r="AQ80" s="4" t="s">
        <v>51</v>
      </c>
      <c r="AR80" s="4">
        <v>2006</v>
      </c>
      <c r="AS80" s="4" t="s">
        <v>26</v>
      </c>
      <c r="AT80" s="5">
        <v>149</v>
      </c>
      <c r="AW80" s="4" t="s">
        <v>53</v>
      </c>
      <c r="AX80" s="4">
        <v>2006</v>
      </c>
      <c r="AY80" s="4" t="s">
        <v>26</v>
      </c>
      <c r="AZ80" s="5">
        <v>201</v>
      </c>
      <c r="BC80" s="4" t="s">
        <v>55</v>
      </c>
      <c r="BD80" s="4">
        <v>2006</v>
      </c>
      <c r="BE80" s="4" t="s">
        <v>26</v>
      </c>
      <c r="BF80" s="5">
        <v>67</v>
      </c>
      <c r="BI80" s="4" t="s">
        <v>57</v>
      </c>
      <c r="BJ80" s="4">
        <v>2006</v>
      </c>
      <c r="BK80" s="4" t="s">
        <v>26</v>
      </c>
      <c r="BL80" s="5">
        <v>656</v>
      </c>
      <c r="BO80" s="4" t="s">
        <v>60</v>
      </c>
      <c r="BP80" s="4">
        <v>2006</v>
      </c>
      <c r="BQ80" s="4" t="s">
        <v>26</v>
      </c>
      <c r="BR80" s="5">
        <v>65</v>
      </c>
      <c r="BU80" s="4" t="s">
        <v>62</v>
      </c>
      <c r="BV80" s="4">
        <v>2006</v>
      </c>
      <c r="BW80" s="4" t="s">
        <v>26</v>
      </c>
      <c r="BX80" s="5">
        <v>600</v>
      </c>
      <c r="CA80" s="4" t="s">
        <v>64</v>
      </c>
      <c r="CB80" s="4">
        <v>2006</v>
      </c>
      <c r="CC80" s="4" t="s">
        <v>26</v>
      </c>
      <c r="CD80" s="5">
        <v>64</v>
      </c>
      <c r="CG80" s="4" t="s">
        <v>66</v>
      </c>
      <c r="CH80" s="4">
        <v>2006</v>
      </c>
      <c r="CI80" s="4" t="s">
        <v>26</v>
      </c>
      <c r="CJ80" s="5">
        <v>561</v>
      </c>
      <c r="CM80" s="4" t="s">
        <v>68</v>
      </c>
      <c r="CN80" s="4">
        <v>2006</v>
      </c>
      <c r="CO80" s="4" t="s">
        <v>26</v>
      </c>
      <c r="CP80" s="5">
        <v>180</v>
      </c>
      <c r="CS80" s="4" t="s">
        <v>206</v>
      </c>
      <c r="CT80" s="4">
        <v>2006</v>
      </c>
      <c r="CU80" s="4" t="s">
        <v>26</v>
      </c>
      <c r="CV80" s="5">
        <v>536</v>
      </c>
    </row>
    <row r="81" spans="1:100" x14ac:dyDescent="0.25">
      <c r="A81" s="4" t="s">
        <v>185</v>
      </c>
      <c r="B81" s="4">
        <v>2006</v>
      </c>
      <c r="C81" s="4" t="s">
        <v>27</v>
      </c>
      <c r="D81" s="5">
        <v>16</v>
      </c>
      <c r="G81" s="4" t="s">
        <v>3</v>
      </c>
      <c r="H81" s="4">
        <v>2006</v>
      </c>
      <c r="I81" s="4" t="s">
        <v>27</v>
      </c>
      <c r="J81" s="5">
        <v>211</v>
      </c>
      <c r="M81" s="4" t="s">
        <v>31</v>
      </c>
      <c r="N81" s="4">
        <v>2006</v>
      </c>
      <c r="O81" s="4" t="s">
        <v>27</v>
      </c>
      <c r="P81" s="5">
        <v>217</v>
      </c>
      <c r="S81" s="4" t="s">
        <v>33</v>
      </c>
      <c r="T81" s="4">
        <v>2006</v>
      </c>
      <c r="U81" s="4" t="s">
        <v>27</v>
      </c>
      <c r="V81" s="5">
        <v>128</v>
      </c>
      <c r="Y81" s="4" t="s">
        <v>35</v>
      </c>
      <c r="Z81" s="4">
        <v>2006</v>
      </c>
      <c r="AA81" s="4" t="s">
        <v>27</v>
      </c>
      <c r="AB81" s="5">
        <v>159</v>
      </c>
      <c r="AE81" s="4" t="s">
        <v>47</v>
      </c>
      <c r="AF81" s="4">
        <v>2006</v>
      </c>
      <c r="AG81" s="4" t="s">
        <v>27</v>
      </c>
      <c r="AH81" s="5">
        <v>487</v>
      </c>
      <c r="AK81" s="4" t="s">
        <v>49</v>
      </c>
      <c r="AL81" s="4">
        <v>2006</v>
      </c>
      <c r="AM81" s="4" t="s">
        <v>27</v>
      </c>
      <c r="AN81" s="5">
        <v>162</v>
      </c>
      <c r="AQ81" s="4" t="s">
        <v>51</v>
      </c>
      <c r="AR81" s="4">
        <v>2006</v>
      </c>
      <c r="AS81" s="4" t="s">
        <v>27</v>
      </c>
      <c r="AT81" s="5">
        <v>177</v>
      </c>
      <c r="AW81" s="4" t="s">
        <v>53</v>
      </c>
      <c r="AX81" s="4">
        <v>2006</v>
      </c>
      <c r="AY81" s="4" t="s">
        <v>27</v>
      </c>
      <c r="AZ81" s="5">
        <v>221</v>
      </c>
      <c r="BC81" s="4" t="s">
        <v>55</v>
      </c>
      <c r="BD81" s="4">
        <v>2006</v>
      </c>
      <c r="BE81" s="4" t="s">
        <v>27</v>
      </c>
      <c r="BF81" s="5">
        <v>63</v>
      </c>
      <c r="BI81" s="4" t="s">
        <v>57</v>
      </c>
      <c r="BJ81" s="4">
        <v>2006</v>
      </c>
      <c r="BK81" s="4" t="s">
        <v>27</v>
      </c>
      <c r="BL81" s="5">
        <v>719</v>
      </c>
      <c r="BO81" s="4" t="s">
        <v>60</v>
      </c>
      <c r="BP81" s="4">
        <v>2006</v>
      </c>
      <c r="BQ81" s="4" t="s">
        <v>27</v>
      </c>
      <c r="BR81" s="5">
        <v>73</v>
      </c>
      <c r="BU81" s="4" t="s">
        <v>62</v>
      </c>
      <c r="BV81" s="4">
        <v>2006</v>
      </c>
      <c r="BW81" s="4" t="s">
        <v>27</v>
      </c>
      <c r="BX81" s="5">
        <v>697</v>
      </c>
      <c r="CA81" s="4" t="s">
        <v>64</v>
      </c>
      <c r="CB81" s="4">
        <v>2006</v>
      </c>
      <c r="CC81" s="4" t="s">
        <v>27</v>
      </c>
      <c r="CD81" s="5">
        <v>65</v>
      </c>
      <c r="CG81" s="4" t="s">
        <v>66</v>
      </c>
      <c r="CH81" s="4">
        <v>2006</v>
      </c>
      <c r="CI81" s="4" t="s">
        <v>27</v>
      </c>
      <c r="CJ81" s="5">
        <v>493</v>
      </c>
      <c r="CM81" s="4" t="s">
        <v>68</v>
      </c>
      <c r="CN81" s="4">
        <v>2006</v>
      </c>
      <c r="CO81" s="4" t="s">
        <v>27</v>
      </c>
      <c r="CP81" s="5">
        <v>213</v>
      </c>
      <c r="CS81" s="4" t="s">
        <v>206</v>
      </c>
      <c r="CT81" s="4">
        <v>2006</v>
      </c>
      <c r="CU81" s="4" t="s">
        <v>27</v>
      </c>
      <c r="CV81" s="5">
        <v>483</v>
      </c>
    </row>
    <row r="82" spans="1:100" x14ac:dyDescent="0.25">
      <c r="A82" s="4" t="s">
        <v>185</v>
      </c>
      <c r="B82" s="4">
        <v>2006</v>
      </c>
      <c r="C82" s="4" t="s">
        <v>28</v>
      </c>
      <c r="D82" s="5">
        <v>18</v>
      </c>
      <c r="G82" s="4" t="s">
        <v>3</v>
      </c>
      <c r="H82" s="4">
        <v>2006</v>
      </c>
      <c r="I82" s="4" t="s">
        <v>28</v>
      </c>
      <c r="J82" s="5">
        <v>178</v>
      </c>
      <c r="M82" s="4" t="s">
        <v>31</v>
      </c>
      <c r="N82" s="4">
        <v>2006</v>
      </c>
      <c r="O82" s="4" t="s">
        <v>28</v>
      </c>
      <c r="P82" s="5">
        <v>227</v>
      </c>
      <c r="S82" s="4" t="s">
        <v>33</v>
      </c>
      <c r="T82" s="4">
        <v>2006</v>
      </c>
      <c r="U82" s="4" t="s">
        <v>28</v>
      </c>
      <c r="V82" s="5">
        <v>128</v>
      </c>
      <c r="Y82" s="4" t="s">
        <v>35</v>
      </c>
      <c r="Z82" s="4">
        <v>2006</v>
      </c>
      <c r="AA82" s="4" t="s">
        <v>28</v>
      </c>
      <c r="AB82" s="5">
        <v>226</v>
      </c>
      <c r="AE82" s="4" t="s">
        <v>47</v>
      </c>
      <c r="AF82" s="4">
        <v>2006</v>
      </c>
      <c r="AG82" s="4" t="s">
        <v>28</v>
      </c>
      <c r="AH82" s="5">
        <v>541</v>
      </c>
      <c r="AK82" s="4" t="s">
        <v>49</v>
      </c>
      <c r="AL82" s="4">
        <v>2006</v>
      </c>
      <c r="AM82" s="4" t="s">
        <v>28</v>
      </c>
      <c r="AN82" s="5">
        <v>168</v>
      </c>
      <c r="AQ82" s="4" t="s">
        <v>51</v>
      </c>
      <c r="AR82" s="4">
        <v>2006</v>
      </c>
      <c r="AS82" s="4" t="s">
        <v>28</v>
      </c>
      <c r="AT82" s="5">
        <v>169</v>
      </c>
      <c r="AW82" s="4" t="s">
        <v>53</v>
      </c>
      <c r="AX82" s="4">
        <v>2006</v>
      </c>
      <c r="AY82" s="4" t="s">
        <v>28</v>
      </c>
      <c r="AZ82" s="5">
        <v>198</v>
      </c>
      <c r="BC82" s="4" t="s">
        <v>55</v>
      </c>
      <c r="BD82" s="4">
        <v>2006</v>
      </c>
      <c r="BE82" s="4" t="s">
        <v>28</v>
      </c>
      <c r="BF82" s="5">
        <v>47</v>
      </c>
      <c r="BI82" s="4" t="s">
        <v>57</v>
      </c>
      <c r="BJ82" s="4">
        <v>2006</v>
      </c>
      <c r="BK82" s="4" t="s">
        <v>28</v>
      </c>
      <c r="BL82" s="5">
        <v>688</v>
      </c>
      <c r="BO82" s="4" t="s">
        <v>60</v>
      </c>
      <c r="BP82" s="4">
        <v>2006</v>
      </c>
      <c r="BQ82" s="4" t="s">
        <v>28</v>
      </c>
      <c r="BR82" s="5">
        <v>79</v>
      </c>
      <c r="BU82" s="4" t="s">
        <v>62</v>
      </c>
      <c r="BV82" s="4">
        <v>2006</v>
      </c>
      <c r="BW82" s="4" t="s">
        <v>28</v>
      </c>
      <c r="BX82" s="5">
        <v>665</v>
      </c>
      <c r="CA82" s="4" t="s">
        <v>64</v>
      </c>
      <c r="CB82" s="4">
        <v>2006</v>
      </c>
      <c r="CC82" s="4" t="s">
        <v>28</v>
      </c>
      <c r="CD82" s="5">
        <v>93</v>
      </c>
      <c r="CG82" s="4" t="s">
        <v>66</v>
      </c>
      <c r="CH82" s="4">
        <v>2006</v>
      </c>
      <c r="CI82" s="4" t="s">
        <v>28</v>
      </c>
      <c r="CJ82" s="5">
        <v>431</v>
      </c>
      <c r="CM82" s="4" t="s">
        <v>68</v>
      </c>
      <c r="CN82" s="4">
        <v>2006</v>
      </c>
      <c r="CO82" s="4" t="s">
        <v>28</v>
      </c>
      <c r="CP82" s="5">
        <v>216</v>
      </c>
      <c r="CS82" s="4" t="s">
        <v>206</v>
      </c>
      <c r="CT82" s="4">
        <v>2006</v>
      </c>
      <c r="CU82" s="4" t="s">
        <v>28</v>
      </c>
      <c r="CV82" s="5">
        <v>471</v>
      </c>
    </row>
    <row r="83" spans="1:100" x14ac:dyDescent="0.25">
      <c r="A83" s="4" t="s">
        <v>185</v>
      </c>
      <c r="B83" s="4">
        <v>2006</v>
      </c>
      <c r="C83" s="4" t="s">
        <v>29</v>
      </c>
      <c r="D83" s="5">
        <v>17</v>
      </c>
      <c r="G83" s="4" t="s">
        <v>3</v>
      </c>
      <c r="H83" s="4">
        <v>2006</v>
      </c>
      <c r="I83" s="4" t="s">
        <v>29</v>
      </c>
      <c r="J83" s="5">
        <v>156</v>
      </c>
      <c r="M83" s="4" t="s">
        <v>31</v>
      </c>
      <c r="N83" s="4">
        <v>2006</v>
      </c>
      <c r="O83" s="4" t="s">
        <v>29</v>
      </c>
      <c r="P83" s="5">
        <v>215</v>
      </c>
      <c r="S83" s="4" t="s">
        <v>33</v>
      </c>
      <c r="T83" s="4">
        <v>2006</v>
      </c>
      <c r="U83" s="4" t="s">
        <v>29</v>
      </c>
      <c r="V83" s="5">
        <v>142</v>
      </c>
      <c r="Y83" s="4" t="s">
        <v>35</v>
      </c>
      <c r="Z83" s="4">
        <v>2006</v>
      </c>
      <c r="AA83" s="4" t="s">
        <v>29</v>
      </c>
      <c r="AB83" s="5">
        <v>181</v>
      </c>
      <c r="AE83" s="4" t="s">
        <v>47</v>
      </c>
      <c r="AF83" s="4">
        <v>2006</v>
      </c>
      <c r="AG83" s="4" t="s">
        <v>29</v>
      </c>
      <c r="AH83" s="5">
        <v>549</v>
      </c>
      <c r="AK83" s="4" t="s">
        <v>49</v>
      </c>
      <c r="AL83" s="4">
        <v>2006</v>
      </c>
      <c r="AM83" s="4" t="s">
        <v>29</v>
      </c>
      <c r="AN83" s="5">
        <v>184</v>
      </c>
      <c r="AQ83" s="4" t="s">
        <v>51</v>
      </c>
      <c r="AR83" s="4">
        <v>2006</v>
      </c>
      <c r="AS83" s="4" t="s">
        <v>29</v>
      </c>
      <c r="AT83" s="5">
        <v>164</v>
      </c>
      <c r="AW83" s="4" t="s">
        <v>53</v>
      </c>
      <c r="AX83" s="4">
        <v>2006</v>
      </c>
      <c r="AY83" s="4" t="s">
        <v>29</v>
      </c>
      <c r="AZ83" s="5">
        <v>250</v>
      </c>
      <c r="BC83" s="4" t="s">
        <v>55</v>
      </c>
      <c r="BD83" s="4">
        <v>2006</v>
      </c>
      <c r="BE83" s="4" t="s">
        <v>29</v>
      </c>
      <c r="BF83" s="5">
        <v>74</v>
      </c>
      <c r="BI83" s="4" t="s">
        <v>57</v>
      </c>
      <c r="BJ83" s="4">
        <v>2006</v>
      </c>
      <c r="BK83" s="4" t="s">
        <v>29</v>
      </c>
      <c r="BL83" s="5">
        <v>774</v>
      </c>
      <c r="BO83" s="4" t="s">
        <v>60</v>
      </c>
      <c r="BP83" s="4">
        <v>2006</v>
      </c>
      <c r="BQ83" s="4" t="s">
        <v>29</v>
      </c>
      <c r="BR83" s="5">
        <v>65</v>
      </c>
      <c r="BU83" s="4" t="s">
        <v>62</v>
      </c>
      <c r="BV83" s="4">
        <v>2006</v>
      </c>
      <c r="BW83" s="4" t="s">
        <v>29</v>
      </c>
      <c r="BX83" s="5">
        <v>745</v>
      </c>
      <c r="CA83" s="4" t="s">
        <v>64</v>
      </c>
      <c r="CB83" s="4">
        <v>2006</v>
      </c>
      <c r="CC83" s="4" t="s">
        <v>29</v>
      </c>
      <c r="CD83" s="5">
        <v>87</v>
      </c>
      <c r="CG83" s="4" t="s">
        <v>66</v>
      </c>
      <c r="CH83" s="4">
        <v>2006</v>
      </c>
      <c r="CI83" s="4" t="s">
        <v>29</v>
      </c>
      <c r="CJ83" s="5">
        <v>497</v>
      </c>
      <c r="CM83" s="4" t="s">
        <v>68</v>
      </c>
      <c r="CN83" s="4">
        <v>2006</v>
      </c>
      <c r="CO83" s="4" t="s">
        <v>29</v>
      </c>
      <c r="CP83" s="5">
        <v>178</v>
      </c>
      <c r="CS83" s="4" t="s">
        <v>206</v>
      </c>
      <c r="CT83" s="4">
        <v>2006</v>
      </c>
      <c r="CU83" s="4" t="s">
        <v>29</v>
      </c>
      <c r="CV83" s="5">
        <v>402</v>
      </c>
    </row>
    <row r="84" spans="1:100" x14ac:dyDescent="0.25">
      <c r="A84" s="4" t="s">
        <v>185</v>
      </c>
      <c r="B84" s="4">
        <v>2006</v>
      </c>
      <c r="C84" s="4" t="s">
        <v>30</v>
      </c>
      <c r="D84" s="5">
        <v>16</v>
      </c>
      <c r="G84" s="4" t="s">
        <v>3</v>
      </c>
      <c r="H84" s="4">
        <v>2006</v>
      </c>
      <c r="I84" s="4" t="s">
        <v>30</v>
      </c>
      <c r="J84" s="5">
        <v>104</v>
      </c>
      <c r="M84" s="4" t="s">
        <v>31</v>
      </c>
      <c r="N84" s="4">
        <v>2006</v>
      </c>
      <c r="O84" s="4" t="s">
        <v>30</v>
      </c>
      <c r="P84" s="5">
        <v>193</v>
      </c>
      <c r="S84" s="4" t="s">
        <v>33</v>
      </c>
      <c r="T84" s="4">
        <v>2006</v>
      </c>
      <c r="U84" s="4" t="s">
        <v>30</v>
      </c>
      <c r="V84" s="5">
        <v>108</v>
      </c>
      <c r="Y84" s="4" t="s">
        <v>35</v>
      </c>
      <c r="Z84" s="4">
        <v>2006</v>
      </c>
      <c r="AA84" s="4" t="s">
        <v>30</v>
      </c>
      <c r="AB84" s="5">
        <v>112</v>
      </c>
      <c r="AE84" s="4" t="s">
        <v>47</v>
      </c>
      <c r="AF84" s="4">
        <v>2006</v>
      </c>
      <c r="AG84" s="4" t="s">
        <v>30</v>
      </c>
      <c r="AH84" s="5">
        <v>426</v>
      </c>
      <c r="AK84" s="4" t="s">
        <v>49</v>
      </c>
      <c r="AL84" s="4">
        <v>2006</v>
      </c>
      <c r="AM84" s="4" t="s">
        <v>30</v>
      </c>
      <c r="AN84" s="5">
        <v>173</v>
      </c>
      <c r="AQ84" s="4" t="s">
        <v>51</v>
      </c>
      <c r="AR84" s="4">
        <v>2006</v>
      </c>
      <c r="AS84" s="4" t="s">
        <v>30</v>
      </c>
      <c r="AT84" s="5">
        <v>166</v>
      </c>
      <c r="AW84" s="4" t="s">
        <v>53</v>
      </c>
      <c r="AX84" s="4">
        <v>2006</v>
      </c>
      <c r="AY84" s="4" t="s">
        <v>30</v>
      </c>
      <c r="AZ84" s="5">
        <v>217</v>
      </c>
      <c r="BC84" s="4" t="s">
        <v>55</v>
      </c>
      <c r="BD84" s="4">
        <v>2006</v>
      </c>
      <c r="BE84" s="4" t="s">
        <v>30</v>
      </c>
      <c r="BF84" s="5">
        <v>54</v>
      </c>
      <c r="BI84" s="4" t="s">
        <v>57</v>
      </c>
      <c r="BJ84" s="4">
        <v>2006</v>
      </c>
      <c r="BK84" s="4" t="s">
        <v>30</v>
      </c>
      <c r="BL84" s="5">
        <v>717</v>
      </c>
      <c r="BO84" s="4" t="s">
        <v>60</v>
      </c>
      <c r="BP84" s="4">
        <v>2006</v>
      </c>
      <c r="BQ84" s="4" t="s">
        <v>30</v>
      </c>
      <c r="BR84" s="5">
        <v>65</v>
      </c>
      <c r="BU84" s="4" t="s">
        <v>62</v>
      </c>
      <c r="BV84" s="4">
        <v>2006</v>
      </c>
      <c r="BW84" s="4" t="s">
        <v>30</v>
      </c>
      <c r="BX84" s="5">
        <v>653</v>
      </c>
      <c r="CA84" s="4" t="s">
        <v>64</v>
      </c>
      <c r="CB84" s="4">
        <v>2006</v>
      </c>
      <c r="CC84" s="4" t="s">
        <v>30</v>
      </c>
      <c r="CD84" s="5">
        <v>74</v>
      </c>
      <c r="CG84" s="4" t="s">
        <v>66</v>
      </c>
      <c r="CH84" s="4">
        <v>2006</v>
      </c>
      <c r="CI84" s="4" t="s">
        <v>30</v>
      </c>
      <c r="CJ84" s="5">
        <v>520</v>
      </c>
      <c r="CM84" s="4" t="s">
        <v>68</v>
      </c>
      <c r="CN84" s="4">
        <v>2006</v>
      </c>
      <c r="CO84" s="4" t="s">
        <v>30</v>
      </c>
      <c r="CP84" s="5">
        <v>156</v>
      </c>
      <c r="CS84" s="4" t="s">
        <v>206</v>
      </c>
      <c r="CT84" s="4">
        <v>2006</v>
      </c>
      <c r="CU84" s="4" t="s">
        <v>30</v>
      </c>
      <c r="CV84" s="5">
        <v>409</v>
      </c>
    </row>
    <row r="85" spans="1:100" x14ac:dyDescent="0.25">
      <c r="A85" s="4" t="s">
        <v>185</v>
      </c>
      <c r="B85" s="4">
        <v>2006</v>
      </c>
      <c r="C85" s="4" t="s">
        <v>19</v>
      </c>
      <c r="D85" s="5">
        <v>14</v>
      </c>
      <c r="G85" s="4" t="s">
        <v>3</v>
      </c>
      <c r="H85" s="4">
        <v>2006</v>
      </c>
      <c r="I85" s="4" t="s">
        <v>19</v>
      </c>
      <c r="J85" s="5">
        <v>101</v>
      </c>
      <c r="M85" s="4" t="s">
        <v>31</v>
      </c>
      <c r="N85" s="4">
        <v>2006</v>
      </c>
      <c r="O85" s="4" t="s">
        <v>19</v>
      </c>
      <c r="P85" s="5">
        <v>210</v>
      </c>
      <c r="S85" s="4" t="s">
        <v>33</v>
      </c>
      <c r="T85" s="4">
        <v>2006</v>
      </c>
      <c r="U85" s="4" t="s">
        <v>19</v>
      </c>
      <c r="V85" s="5">
        <v>110</v>
      </c>
      <c r="Y85" s="4" t="s">
        <v>35</v>
      </c>
      <c r="Z85" s="4">
        <v>2006</v>
      </c>
      <c r="AA85" s="4" t="s">
        <v>19</v>
      </c>
      <c r="AB85" s="5">
        <v>160</v>
      </c>
      <c r="AE85" s="4" t="s">
        <v>47</v>
      </c>
      <c r="AF85" s="4">
        <v>2006</v>
      </c>
      <c r="AG85" s="4" t="s">
        <v>19</v>
      </c>
      <c r="AH85" s="5">
        <v>402</v>
      </c>
      <c r="AK85" s="4" t="s">
        <v>49</v>
      </c>
      <c r="AL85" s="4">
        <v>2006</v>
      </c>
      <c r="AM85" s="4" t="s">
        <v>19</v>
      </c>
      <c r="AN85" s="5">
        <v>135</v>
      </c>
      <c r="AQ85" s="4" t="s">
        <v>51</v>
      </c>
      <c r="AR85" s="4">
        <v>2006</v>
      </c>
      <c r="AS85" s="4" t="s">
        <v>19</v>
      </c>
      <c r="AT85" s="5">
        <v>152</v>
      </c>
      <c r="AW85" s="4" t="s">
        <v>53</v>
      </c>
      <c r="AX85" s="4">
        <v>2006</v>
      </c>
      <c r="AY85" s="4" t="s">
        <v>19</v>
      </c>
      <c r="AZ85" s="5">
        <v>201</v>
      </c>
      <c r="BC85" s="4" t="s">
        <v>55</v>
      </c>
      <c r="BD85" s="4">
        <v>2006</v>
      </c>
      <c r="BE85" s="4" t="s">
        <v>19</v>
      </c>
      <c r="BF85" s="5">
        <v>68</v>
      </c>
      <c r="BI85" s="4" t="s">
        <v>57</v>
      </c>
      <c r="BJ85" s="4">
        <v>2006</v>
      </c>
      <c r="BK85" s="4" t="s">
        <v>19</v>
      </c>
      <c r="BL85" s="5">
        <v>672</v>
      </c>
      <c r="BO85" s="4" t="s">
        <v>60</v>
      </c>
      <c r="BP85" s="4">
        <v>2006</v>
      </c>
      <c r="BQ85" s="4" t="s">
        <v>19</v>
      </c>
      <c r="BR85" s="5">
        <v>68</v>
      </c>
      <c r="BU85" s="4" t="s">
        <v>62</v>
      </c>
      <c r="BV85" s="4">
        <v>2006</v>
      </c>
      <c r="BW85" s="4" t="s">
        <v>19</v>
      </c>
      <c r="BX85" s="5">
        <v>658</v>
      </c>
      <c r="CA85" s="4" t="s">
        <v>64</v>
      </c>
      <c r="CB85" s="4">
        <v>2006</v>
      </c>
      <c r="CC85" s="4" t="s">
        <v>19</v>
      </c>
      <c r="CD85" s="5">
        <v>44</v>
      </c>
      <c r="CG85" s="4" t="s">
        <v>66</v>
      </c>
      <c r="CH85" s="4">
        <v>2006</v>
      </c>
      <c r="CI85" s="4" t="s">
        <v>19</v>
      </c>
      <c r="CJ85" s="5">
        <v>458</v>
      </c>
      <c r="CM85" s="4" t="s">
        <v>68</v>
      </c>
      <c r="CN85" s="4">
        <v>2006</v>
      </c>
      <c r="CO85" s="4" t="s">
        <v>19</v>
      </c>
      <c r="CP85" s="5">
        <v>190</v>
      </c>
      <c r="CS85" s="4" t="s">
        <v>206</v>
      </c>
      <c r="CT85" s="4">
        <v>2006</v>
      </c>
      <c r="CU85" s="4" t="s">
        <v>19</v>
      </c>
      <c r="CV85" s="5">
        <v>393</v>
      </c>
    </row>
    <row r="86" spans="1:100" x14ac:dyDescent="0.25">
      <c r="A86" s="4" t="s">
        <v>185</v>
      </c>
      <c r="B86" s="4">
        <v>2007</v>
      </c>
      <c r="C86" s="4" t="s">
        <v>20</v>
      </c>
      <c r="D86" s="5">
        <v>15</v>
      </c>
      <c r="G86" s="4" t="s">
        <v>3</v>
      </c>
      <c r="H86" s="4">
        <v>2007</v>
      </c>
      <c r="I86" s="4" t="s">
        <v>20</v>
      </c>
      <c r="J86" s="5">
        <v>257</v>
      </c>
      <c r="M86" s="4" t="s">
        <v>31</v>
      </c>
      <c r="N86" s="4">
        <v>2007</v>
      </c>
      <c r="O86" s="4" t="s">
        <v>20</v>
      </c>
      <c r="P86" s="5">
        <v>222</v>
      </c>
      <c r="S86" s="4" t="s">
        <v>33</v>
      </c>
      <c r="T86" s="4">
        <v>2007</v>
      </c>
      <c r="U86" s="4" t="s">
        <v>20</v>
      </c>
      <c r="V86" s="5">
        <v>143</v>
      </c>
      <c r="Y86" s="4" t="s">
        <v>35</v>
      </c>
      <c r="Z86" s="4">
        <v>2007</v>
      </c>
      <c r="AA86" s="4" t="s">
        <v>20</v>
      </c>
      <c r="AB86" s="5">
        <v>223</v>
      </c>
      <c r="AE86" s="4" t="s">
        <v>47</v>
      </c>
      <c r="AF86" s="4">
        <v>2007</v>
      </c>
      <c r="AG86" s="4" t="s">
        <v>20</v>
      </c>
      <c r="AH86" s="5">
        <v>425</v>
      </c>
      <c r="AK86" s="4" t="s">
        <v>49</v>
      </c>
      <c r="AL86" s="4">
        <v>2007</v>
      </c>
      <c r="AM86" s="4" t="s">
        <v>20</v>
      </c>
      <c r="AN86" s="5">
        <v>191</v>
      </c>
      <c r="AQ86" s="4" t="s">
        <v>51</v>
      </c>
      <c r="AR86" s="4">
        <v>2007</v>
      </c>
      <c r="AS86" s="4" t="s">
        <v>20</v>
      </c>
      <c r="AT86" s="5">
        <v>185</v>
      </c>
      <c r="AW86" s="4" t="s">
        <v>53</v>
      </c>
      <c r="AX86" s="4">
        <v>2007</v>
      </c>
      <c r="AY86" s="4" t="s">
        <v>20</v>
      </c>
      <c r="AZ86" s="5">
        <v>222</v>
      </c>
      <c r="BC86" s="4" t="s">
        <v>55</v>
      </c>
      <c r="BD86" s="4">
        <v>2007</v>
      </c>
      <c r="BE86" s="4" t="s">
        <v>20</v>
      </c>
      <c r="BF86" s="5">
        <v>43</v>
      </c>
      <c r="BI86" s="4" t="s">
        <v>57</v>
      </c>
      <c r="BJ86" s="4">
        <v>2007</v>
      </c>
      <c r="BK86" s="4" t="s">
        <v>20</v>
      </c>
      <c r="BL86" s="5">
        <v>888</v>
      </c>
      <c r="BO86" s="4" t="s">
        <v>60</v>
      </c>
      <c r="BP86" s="4">
        <v>2007</v>
      </c>
      <c r="BQ86" s="4" t="s">
        <v>20</v>
      </c>
      <c r="BR86" s="5">
        <v>57</v>
      </c>
      <c r="BU86" s="4" t="s">
        <v>62</v>
      </c>
      <c r="BV86" s="4">
        <v>2007</v>
      </c>
      <c r="BW86" s="4" t="s">
        <v>20</v>
      </c>
      <c r="BX86" s="5">
        <v>713</v>
      </c>
      <c r="CA86" s="4" t="s">
        <v>64</v>
      </c>
      <c r="CB86" s="4">
        <v>2007</v>
      </c>
      <c r="CC86" s="4" t="s">
        <v>20</v>
      </c>
      <c r="CD86" s="5">
        <v>88</v>
      </c>
      <c r="CG86" s="4" t="s">
        <v>66</v>
      </c>
      <c r="CH86" s="4">
        <v>2007</v>
      </c>
      <c r="CI86" s="4" t="s">
        <v>20</v>
      </c>
      <c r="CJ86" s="5">
        <v>465</v>
      </c>
      <c r="CM86" s="4" t="s">
        <v>68</v>
      </c>
      <c r="CN86" s="4">
        <v>2007</v>
      </c>
      <c r="CO86" s="4" t="s">
        <v>20</v>
      </c>
      <c r="CP86" s="5">
        <v>238</v>
      </c>
      <c r="CS86" s="4" t="s">
        <v>206</v>
      </c>
      <c r="CT86" s="4">
        <v>2007</v>
      </c>
      <c r="CU86" s="4" t="s">
        <v>20</v>
      </c>
      <c r="CV86" s="5">
        <v>420</v>
      </c>
    </row>
    <row r="87" spans="1:100" x14ac:dyDescent="0.25">
      <c r="A87" s="4" t="s">
        <v>185</v>
      </c>
      <c r="B87" s="4">
        <v>2007</v>
      </c>
      <c r="C87" s="4" t="s">
        <v>21</v>
      </c>
      <c r="D87" s="5">
        <v>13</v>
      </c>
      <c r="G87" s="4" t="s">
        <v>3</v>
      </c>
      <c r="H87" s="4">
        <v>2007</v>
      </c>
      <c r="I87" s="4" t="s">
        <v>21</v>
      </c>
      <c r="J87" s="5">
        <v>259</v>
      </c>
      <c r="M87" s="4" t="s">
        <v>31</v>
      </c>
      <c r="N87" s="4">
        <v>2007</v>
      </c>
      <c r="O87" s="4" t="s">
        <v>21</v>
      </c>
      <c r="P87" s="5">
        <v>233</v>
      </c>
      <c r="S87" s="4" t="s">
        <v>33</v>
      </c>
      <c r="T87" s="4">
        <v>2007</v>
      </c>
      <c r="U87" s="4" t="s">
        <v>21</v>
      </c>
      <c r="V87" s="5">
        <v>117</v>
      </c>
      <c r="Y87" s="4" t="s">
        <v>35</v>
      </c>
      <c r="Z87" s="4">
        <v>2007</v>
      </c>
      <c r="AA87" s="4" t="s">
        <v>21</v>
      </c>
      <c r="AB87" s="5">
        <v>148</v>
      </c>
      <c r="AE87" s="4" t="s">
        <v>47</v>
      </c>
      <c r="AF87" s="4">
        <v>2007</v>
      </c>
      <c r="AG87" s="4" t="s">
        <v>21</v>
      </c>
      <c r="AH87" s="5">
        <v>380</v>
      </c>
      <c r="AK87" s="4" t="s">
        <v>49</v>
      </c>
      <c r="AL87" s="4">
        <v>2007</v>
      </c>
      <c r="AM87" s="4" t="s">
        <v>21</v>
      </c>
      <c r="AN87" s="5">
        <v>151</v>
      </c>
      <c r="AQ87" s="4" t="s">
        <v>51</v>
      </c>
      <c r="AR87" s="4">
        <v>2007</v>
      </c>
      <c r="AS87" s="4" t="s">
        <v>21</v>
      </c>
      <c r="AT87" s="5">
        <v>179</v>
      </c>
      <c r="AW87" s="4" t="s">
        <v>53</v>
      </c>
      <c r="AX87" s="4">
        <v>2007</v>
      </c>
      <c r="AY87" s="4" t="s">
        <v>21</v>
      </c>
      <c r="AZ87" s="5">
        <v>214</v>
      </c>
      <c r="BC87" s="4" t="s">
        <v>55</v>
      </c>
      <c r="BD87" s="4">
        <v>2007</v>
      </c>
      <c r="BE87" s="4" t="s">
        <v>21</v>
      </c>
      <c r="BF87" s="5">
        <v>47</v>
      </c>
      <c r="BI87" s="4" t="s">
        <v>57</v>
      </c>
      <c r="BJ87" s="4">
        <v>2007</v>
      </c>
      <c r="BK87" s="4" t="s">
        <v>21</v>
      </c>
      <c r="BL87" s="5">
        <v>692</v>
      </c>
      <c r="BO87" s="4" t="s">
        <v>60</v>
      </c>
      <c r="BP87" s="4">
        <v>2007</v>
      </c>
      <c r="BQ87" s="4" t="s">
        <v>21</v>
      </c>
      <c r="BR87" s="5">
        <v>53</v>
      </c>
      <c r="BU87" s="4" t="s">
        <v>62</v>
      </c>
      <c r="BV87" s="4">
        <v>2007</v>
      </c>
      <c r="BW87" s="4" t="s">
        <v>21</v>
      </c>
      <c r="BX87" s="5">
        <v>594</v>
      </c>
      <c r="CA87" s="4" t="s">
        <v>64</v>
      </c>
      <c r="CB87" s="4">
        <v>2007</v>
      </c>
      <c r="CC87" s="4" t="s">
        <v>21</v>
      </c>
      <c r="CD87" s="5">
        <v>77</v>
      </c>
      <c r="CG87" s="4" t="s">
        <v>66</v>
      </c>
      <c r="CH87" s="4">
        <v>2007</v>
      </c>
      <c r="CI87" s="4" t="s">
        <v>21</v>
      </c>
      <c r="CJ87" s="5">
        <v>471</v>
      </c>
      <c r="CM87" s="4" t="s">
        <v>68</v>
      </c>
      <c r="CN87" s="4">
        <v>2007</v>
      </c>
      <c r="CO87" s="4" t="s">
        <v>21</v>
      </c>
      <c r="CP87" s="5">
        <v>224</v>
      </c>
      <c r="CS87" s="4" t="s">
        <v>206</v>
      </c>
      <c r="CT87" s="4">
        <v>2007</v>
      </c>
      <c r="CU87" s="4" t="s">
        <v>21</v>
      </c>
      <c r="CV87" s="5">
        <v>414</v>
      </c>
    </row>
    <row r="88" spans="1:100" x14ac:dyDescent="0.25">
      <c r="A88" s="4" t="s">
        <v>185</v>
      </c>
      <c r="B88" s="4">
        <v>2007</v>
      </c>
      <c r="C88" s="4" t="s">
        <v>22</v>
      </c>
      <c r="D88" s="5">
        <v>17</v>
      </c>
      <c r="G88" s="4" t="s">
        <v>3</v>
      </c>
      <c r="H88" s="4">
        <v>2007</v>
      </c>
      <c r="I88" s="4" t="s">
        <v>22</v>
      </c>
      <c r="J88" s="5">
        <v>213</v>
      </c>
      <c r="M88" s="4" t="s">
        <v>31</v>
      </c>
      <c r="N88" s="4">
        <v>2007</v>
      </c>
      <c r="O88" s="4" t="s">
        <v>22</v>
      </c>
      <c r="P88" s="5">
        <v>238</v>
      </c>
      <c r="S88" s="4" t="s">
        <v>33</v>
      </c>
      <c r="T88" s="4">
        <v>2007</v>
      </c>
      <c r="U88" s="4" t="s">
        <v>22</v>
      </c>
      <c r="V88" s="5">
        <v>137</v>
      </c>
      <c r="Y88" s="4" t="s">
        <v>35</v>
      </c>
      <c r="Z88" s="4">
        <v>2007</v>
      </c>
      <c r="AA88" s="4" t="s">
        <v>22</v>
      </c>
      <c r="AB88" s="5">
        <v>272</v>
      </c>
      <c r="AE88" s="4" t="s">
        <v>47</v>
      </c>
      <c r="AF88" s="4">
        <v>2007</v>
      </c>
      <c r="AG88" s="4" t="s">
        <v>22</v>
      </c>
      <c r="AH88" s="5">
        <v>402</v>
      </c>
      <c r="AK88" s="4" t="s">
        <v>49</v>
      </c>
      <c r="AL88" s="4">
        <v>2007</v>
      </c>
      <c r="AM88" s="4" t="s">
        <v>22</v>
      </c>
      <c r="AN88" s="5">
        <v>167</v>
      </c>
      <c r="AQ88" s="4" t="s">
        <v>51</v>
      </c>
      <c r="AR88" s="4">
        <v>2007</v>
      </c>
      <c r="AS88" s="4" t="s">
        <v>22</v>
      </c>
      <c r="AT88" s="5">
        <v>155</v>
      </c>
      <c r="AW88" s="4" t="s">
        <v>53</v>
      </c>
      <c r="AX88" s="4">
        <v>2007</v>
      </c>
      <c r="AY88" s="4" t="s">
        <v>22</v>
      </c>
      <c r="AZ88" s="5">
        <v>251</v>
      </c>
      <c r="BC88" s="4" t="s">
        <v>55</v>
      </c>
      <c r="BD88" s="4">
        <v>2007</v>
      </c>
      <c r="BE88" s="4" t="s">
        <v>22</v>
      </c>
      <c r="BF88" s="5">
        <v>69</v>
      </c>
      <c r="BI88" s="4" t="s">
        <v>57</v>
      </c>
      <c r="BJ88" s="4">
        <v>2007</v>
      </c>
      <c r="BK88" s="4" t="s">
        <v>22</v>
      </c>
      <c r="BL88" s="5">
        <v>766</v>
      </c>
      <c r="BO88" s="4" t="s">
        <v>60</v>
      </c>
      <c r="BP88" s="4">
        <v>2007</v>
      </c>
      <c r="BQ88" s="4" t="s">
        <v>22</v>
      </c>
      <c r="BR88" s="5">
        <v>63</v>
      </c>
      <c r="BU88" s="4" t="s">
        <v>62</v>
      </c>
      <c r="BV88" s="4">
        <v>2007</v>
      </c>
      <c r="BW88" s="4" t="s">
        <v>22</v>
      </c>
      <c r="BX88" s="5">
        <v>645</v>
      </c>
      <c r="CA88" s="4" t="s">
        <v>64</v>
      </c>
      <c r="CB88" s="4">
        <v>2007</v>
      </c>
      <c r="CC88" s="4" t="s">
        <v>22</v>
      </c>
      <c r="CD88" s="5">
        <v>75</v>
      </c>
      <c r="CG88" s="4" t="s">
        <v>66</v>
      </c>
      <c r="CH88" s="4">
        <v>2007</v>
      </c>
      <c r="CI88" s="4" t="s">
        <v>22</v>
      </c>
      <c r="CJ88" s="5">
        <v>540</v>
      </c>
      <c r="CM88" s="4" t="s">
        <v>68</v>
      </c>
      <c r="CN88" s="4">
        <v>2007</v>
      </c>
      <c r="CO88" s="4" t="s">
        <v>22</v>
      </c>
      <c r="CP88" s="5">
        <v>174</v>
      </c>
      <c r="CS88" s="4" t="s">
        <v>206</v>
      </c>
      <c r="CT88" s="4">
        <v>2007</v>
      </c>
      <c r="CU88" s="4" t="s">
        <v>22</v>
      </c>
      <c r="CV88" s="5">
        <v>431</v>
      </c>
    </row>
    <row r="89" spans="1:100" x14ac:dyDescent="0.25">
      <c r="A89" s="4" t="s">
        <v>185</v>
      </c>
      <c r="B89" s="4">
        <v>2007</v>
      </c>
      <c r="C89" s="4" t="s">
        <v>23</v>
      </c>
      <c r="D89" s="5">
        <v>19</v>
      </c>
      <c r="G89" s="4" t="s">
        <v>3</v>
      </c>
      <c r="H89" s="4">
        <v>2007</v>
      </c>
      <c r="I89" s="4" t="s">
        <v>23</v>
      </c>
      <c r="J89" s="5">
        <v>213</v>
      </c>
      <c r="M89" s="4" t="s">
        <v>31</v>
      </c>
      <c r="N89" s="4">
        <v>2007</v>
      </c>
      <c r="O89" s="4" t="s">
        <v>23</v>
      </c>
      <c r="P89" s="5">
        <v>235</v>
      </c>
      <c r="S89" s="4" t="s">
        <v>33</v>
      </c>
      <c r="T89" s="4">
        <v>2007</v>
      </c>
      <c r="U89" s="4" t="s">
        <v>23</v>
      </c>
      <c r="V89" s="5">
        <v>140</v>
      </c>
      <c r="Y89" s="4" t="s">
        <v>35</v>
      </c>
      <c r="Z89" s="4">
        <v>2007</v>
      </c>
      <c r="AA89" s="4" t="s">
        <v>23</v>
      </c>
      <c r="AB89" s="5">
        <v>295</v>
      </c>
      <c r="AE89" s="4" t="s">
        <v>47</v>
      </c>
      <c r="AF89" s="4">
        <v>2007</v>
      </c>
      <c r="AG89" s="4" t="s">
        <v>23</v>
      </c>
      <c r="AH89" s="5">
        <v>418</v>
      </c>
      <c r="AK89" s="4" t="s">
        <v>49</v>
      </c>
      <c r="AL89" s="4">
        <v>2007</v>
      </c>
      <c r="AM89" s="4" t="s">
        <v>23</v>
      </c>
      <c r="AN89" s="5">
        <v>171</v>
      </c>
      <c r="AQ89" s="4" t="s">
        <v>51</v>
      </c>
      <c r="AR89" s="4">
        <v>2007</v>
      </c>
      <c r="AS89" s="4" t="s">
        <v>23</v>
      </c>
      <c r="AT89" s="5">
        <v>169</v>
      </c>
      <c r="AW89" s="4" t="s">
        <v>53</v>
      </c>
      <c r="AX89" s="4">
        <v>2007</v>
      </c>
      <c r="AY89" s="4" t="s">
        <v>23</v>
      </c>
      <c r="AZ89" s="5">
        <v>164</v>
      </c>
      <c r="BC89" s="4" t="s">
        <v>55</v>
      </c>
      <c r="BD89" s="4">
        <v>2007</v>
      </c>
      <c r="BE89" s="4" t="s">
        <v>23</v>
      </c>
      <c r="BF89" s="5">
        <v>100</v>
      </c>
      <c r="BI89" s="4" t="s">
        <v>57</v>
      </c>
      <c r="BJ89" s="4">
        <v>2007</v>
      </c>
      <c r="BK89" s="4" t="s">
        <v>23</v>
      </c>
      <c r="BL89" s="5">
        <v>866</v>
      </c>
      <c r="BO89" s="4" t="s">
        <v>60</v>
      </c>
      <c r="BP89" s="4">
        <v>2007</v>
      </c>
      <c r="BQ89" s="4" t="s">
        <v>23</v>
      </c>
      <c r="BR89" s="5">
        <v>87</v>
      </c>
      <c r="BU89" s="4" t="s">
        <v>62</v>
      </c>
      <c r="BV89" s="4">
        <v>2007</v>
      </c>
      <c r="BW89" s="4" t="s">
        <v>23</v>
      </c>
      <c r="BX89" s="5">
        <v>734</v>
      </c>
      <c r="CA89" s="4" t="s">
        <v>64</v>
      </c>
      <c r="CB89" s="4">
        <v>2007</v>
      </c>
      <c r="CC89" s="4" t="s">
        <v>23</v>
      </c>
      <c r="CD89" s="5">
        <v>107</v>
      </c>
      <c r="CG89" s="4" t="s">
        <v>66</v>
      </c>
      <c r="CH89" s="4">
        <v>2007</v>
      </c>
      <c r="CI89" s="4" t="s">
        <v>23</v>
      </c>
      <c r="CJ89" s="5">
        <v>552</v>
      </c>
      <c r="CM89" s="4" t="s">
        <v>68</v>
      </c>
      <c r="CN89" s="4">
        <v>2007</v>
      </c>
      <c r="CO89" s="4" t="s">
        <v>23</v>
      </c>
      <c r="CP89" s="5">
        <v>234</v>
      </c>
      <c r="CS89" s="4" t="s">
        <v>206</v>
      </c>
      <c r="CT89" s="4">
        <v>2007</v>
      </c>
      <c r="CU89" s="4" t="s">
        <v>23</v>
      </c>
      <c r="CV89" s="5">
        <v>459</v>
      </c>
    </row>
    <row r="90" spans="1:100" x14ac:dyDescent="0.25">
      <c r="A90" s="4" t="s">
        <v>185</v>
      </c>
      <c r="B90" s="4">
        <v>2007</v>
      </c>
      <c r="C90" s="4" t="s">
        <v>24</v>
      </c>
      <c r="D90" s="5">
        <v>14</v>
      </c>
      <c r="G90" s="4" t="s">
        <v>3</v>
      </c>
      <c r="H90" s="4">
        <v>2007</v>
      </c>
      <c r="I90" s="4" t="s">
        <v>24</v>
      </c>
      <c r="J90" s="5">
        <v>185</v>
      </c>
      <c r="M90" s="4" t="s">
        <v>31</v>
      </c>
      <c r="N90" s="4">
        <v>2007</v>
      </c>
      <c r="O90" s="4" t="s">
        <v>24</v>
      </c>
      <c r="P90" s="5">
        <v>226</v>
      </c>
      <c r="S90" s="4" t="s">
        <v>33</v>
      </c>
      <c r="T90" s="4">
        <v>2007</v>
      </c>
      <c r="U90" s="4" t="s">
        <v>24</v>
      </c>
      <c r="V90" s="5">
        <v>137</v>
      </c>
      <c r="Y90" s="4" t="s">
        <v>35</v>
      </c>
      <c r="Z90" s="4">
        <v>2007</v>
      </c>
      <c r="AA90" s="4" t="s">
        <v>24</v>
      </c>
      <c r="AB90" s="5">
        <v>193</v>
      </c>
      <c r="AE90" s="4" t="s">
        <v>47</v>
      </c>
      <c r="AF90" s="4">
        <v>2007</v>
      </c>
      <c r="AG90" s="4" t="s">
        <v>24</v>
      </c>
      <c r="AH90" s="5">
        <v>355</v>
      </c>
      <c r="AK90" s="4" t="s">
        <v>49</v>
      </c>
      <c r="AL90" s="4">
        <v>2007</v>
      </c>
      <c r="AM90" s="4" t="s">
        <v>24</v>
      </c>
      <c r="AN90" s="5">
        <v>137</v>
      </c>
      <c r="AQ90" s="4" t="s">
        <v>51</v>
      </c>
      <c r="AR90" s="4">
        <v>2007</v>
      </c>
      <c r="AS90" s="4" t="s">
        <v>24</v>
      </c>
      <c r="AT90" s="5">
        <v>159</v>
      </c>
      <c r="AW90" s="4" t="s">
        <v>53</v>
      </c>
      <c r="AX90" s="4">
        <v>2007</v>
      </c>
      <c r="AY90" s="4" t="s">
        <v>24</v>
      </c>
      <c r="AZ90" s="5">
        <v>228</v>
      </c>
      <c r="BC90" s="4" t="s">
        <v>55</v>
      </c>
      <c r="BD90" s="4">
        <v>2007</v>
      </c>
      <c r="BE90" s="4" t="s">
        <v>24</v>
      </c>
      <c r="BF90" s="5">
        <v>51</v>
      </c>
      <c r="BI90" s="4" t="s">
        <v>57</v>
      </c>
      <c r="BJ90" s="4">
        <v>2007</v>
      </c>
      <c r="BK90" s="4" t="s">
        <v>24</v>
      </c>
      <c r="BL90" s="5">
        <v>767</v>
      </c>
      <c r="BO90" s="4" t="s">
        <v>60</v>
      </c>
      <c r="BP90" s="4">
        <v>2007</v>
      </c>
      <c r="BQ90" s="4" t="s">
        <v>24</v>
      </c>
      <c r="BR90" s="5">
        <v>62</v>
      </c>
      <c r="BU90" s="4" t="s">
        <v>62</v>
      </c>
      <c r="BV90" s="4">
        <v>2007</v>
      </c>
      <c r="BW90" s="4" t="s">
        <v>24</v>
      </c>
      <c r="BX90" s="5">
        <v>702</v>
      </c>
      <c r="CA90" s="4" t="s">
        <v>64</v>
      </c>
      <c r="CB90" s="4">
        <v>2007</v>
      </c>
      <c r="CC90" s="4" t="s">
        <v>24</v>
      </c>
      <c r="CD90" s="5">
        <v>76</v>
      </c>
      <c r="CG90" s="4" t="s">
        <v>66</v>
      </c>
      <c r="CH90" s="4">
        <v>2007</v>
      </c>
      <c r="CI90" s="4" t="s">
        <v>24</v>
      </c>
      <c r="CJ90" s="5">
        <v>572</v>
      </c>
      <c r="CM90" s="4" t="s">
        <v>68</v>
      </c>
      <c r="CN90" s="4">
        <v>2007</v>
      </c>
      <c r="CO90" s="4" t="s">
        <v>24</v>
      </c>
      <c r="CP90" s="5">
        <v>187</v>
      </c>
      <c r="CS90" s="4" t="s">
        <v>206</v>
      </c>
      <c r="CT90" s="4">
        <v>2007</v>
      </c>
      <c r="CU90" s="4" t="s">
        <v>24</v>
      </c>
      <c r="CV90" s="5">
        <v>461</v>
      </c>
    </row>
    <row r="91" spans="1:100" x14ac:dyDescent="0.25">
      <c r="A91" s="4" t="s">
        <v>185</v>
      </c>
      <c r="B91" s="4">
        <v>2007</v>
      </c>
      <c r="C91" s="4" t="s">
        <v>25</v>
      </c>
      <c r="D91" s="5">
        <v>10</v>
      </c>
      <c r="G91" s="4" t="s">
        <v>3</v>
      </c>
      <c r="H91" s="4">
        <v>2007</v>
      </c>
      <c r="I91" s="4" t="s">
        <v>25</v>
      </c>
      <c r="J91" s="5">
        <v>165</v>
      </c>
      <c r="M91" s="4" t="s">
        <v>31</v>
      </c>
      <c r="N91" s="4">
        <v>2007</v>
      </c>
      <c r="O91" s="4" t="s">
        <v>25</v>
      </c>
      <c r="P91" s="5">
        <v>229</v>
      </c>
      <c r="S91" s="4" t="s">
        <v>33</v>
      </c>
      <c r="T91" s="4">
        <v>2007</v>
      </c>
      <c r="U91" s="4" t="s">
        <v>25</v>
      </c>
      <c r="V91" s="5">
        <v>127</v>
      </c>
      <c r="Y91" s="4" t="s">
        <v>35</v>
      </c>
      <c r="Z91" s="4">
        <v>2007</v>
      </c>
      <c r="AA91" s="4" t="s">
        <v>25</v>
      </c>
      <c r="AB91" s="5">
        <v>210</v>
      </c>
      <c r="AE91" s="4" t="s">
        <v>47</v>
      </c>
      <c r="AF91" s="4">
        <v>2007</v>
      </c>
      <c r="AG91" s="4" t="s">
        <v>25</v>
      </c>
      <c r="AH91" s="5">
        <v>435</v>
      </c>
      <c r="AK91" s="4" t="s">
        <v>49</v>
      </c>
      <c r="AL91" s="4">
        <v>2007</v>
      </c>
      <c r="AM91" s="4" t="s">
        <v>25</v>
      </c>
      <c r="AN91" s="5">
        <v>128</v>
      </c>
      <c r="AQ91" s="4" t="s">
        <v>51</v>
      </c>
      <c r="AR91" s="4">
        <v>2007</v>
      </c>
      <c r="AS91" s="4" t="s">
        <v>25</v>
      </c>
      <c r="AT91" s="5">
        <v>176</v>
      </c>
      <c r="AW91" s="4" t="s">
        <v>53</v>
      </c>
      <c r="AX91" s="4">
        <v>2007</v>
      </c>
      <c r="AY91" s="4" t="s">
        <v>25</v>
      </c>
      <c r="AZ91" s="5">
        <v>194</v>
      </c>
      <c r="BC91" s="4" t="s">
        <v>55</v>
      </c>
      <c r="BD91" s="4">
        <v>2007</v>
      </c>
      <c r="BE91" s="4" t="s">
        <v>25</v>
      </c>
      <c r="BF91" s="5">
        <v>64</v>
      </c>
      <c r="BI91" s="4" t="s">
        <v>57</v>
      </c>
      <c r="BJ91" s="4">
        <v>2007</v>
      </c>
      <c r="BK91" s="4" t="s">
        <v>25</v>
      </c>
      <c r="BL91" s="5">
        <v>745</v>
      </c>
      <c r="BO91" s="4" t="s">
        <v>60</v>
      </c>
      <c r="BP91" s="4">
        <v>2007</v>
      </c>
      <c r="BQ91" s="4" t="s">
        <v>25</v>
      </c>
      <c r="BR91" s="5">
        <v>84</v>
      </c>
      <c r="BU91" s="4" t="s">
        <v>62</v>
      </c>
      <c r="BV91" s="4">
        <v>2007</v>
      </c>
      <c r="BW91" s="4" t="s">
        <v>25</v>
      </c>
      <c r="BX91" s="5">
        <v>691</v>
      </c>
      <c r="CA91" s="4" t="s">
        <v>64</v>
      </c>
      <c r="CB91" s="4">
        <v>2007</v>
      </c>
      <c r="CC91" s="4" t="s">
        <v>25</v>
      </c>
      <c r="CD91" s="5">
        <v>67</v>
      </c>
      <c r="CG91" s="4" t="s">
        <v>66</v>
      </c>
      <c r="CH91" s="4">
        <v>2007</v>
      </c>
      <c r="CI91" s="4" t="s">
        <v>25</v>
      </c>
      <c r="CJ91" s="5">
        <v>528</v>
      </c>
      <c r="CM91" s="4" t="s">
        <v>68</v>
      </c>
      <c r="CN91" s="4">
        <v>2007</v>
      </c>
      <c r="CO91" s="4" t="s">
        <v>25</v>
      </c>
      <c r="CP91" s="5">
        <v>268</v>
      </c>
      <c r="CS91" s="4" t="s">
        <v>206</v>
      </c>
      <c r="CT91" s="4">
        <v>2007</v>
      </c>
      <c r="CU91" s="4" t="s">
        <v>25</v>
      </c>
      <c r="CV91" s="5">
        <v>474</v>
      </c>
    </row>
    <row r="92" spans="1:100" x14ac:dyDescent="0.25">
      <c r="A92" s="4" t="s">
        <v>185</v>
      </c>
      <c r="B92" s="4">
        <v>2007</v>
      </c>
      <c r="C92" s="4" t="s">
        <v>26</v>
      </c>
      <c r="D92" s="5">
        <v>15</v>
      </c>
      <c r="G92" s="4" t="s">
        <v>3</v>
      </c>
      <c r="H92" s="4">
        <v>2007</v>
      </c>
      <c r="I92" s="4" t="s">
        <v>26</v>
      </c>
      <c r="J92" s="5">
        <v>197</v>
      </c>
      <c r="M92" s="4" t="s">
        <v>31</v>
      </c>
      <c r="N92" s="4">
        <v>2007</v>
      </c>
      <c r="O92" s="4" t="s">
        <v>26</v>
      </c>
      <c r="P92" s="5">
        <v>248</v>
      </c>
      <c r="S92" s="4" t="s">
        <v>33</v>
      </c>
      <c r="T92" s="4">
        <v>2007</v>
      </c>
      <c r="U92" s="4" t="s">
        <v>26</v>
      </c>
      <c r="V92" s="5">
        <v>142</v>
      </c>
      <c r="Y92" s="4" t="s">
        <v>35</v>
      </c>
      <c r="Z92" s="4">
        <v>2007</v>
      </c>
      <c r="AA92" s="4" t="s">
        <v>26</v>
      </c>
      <c r="AB92" s="5">
        <v>224</v>
      </c>
      <c r="AE92" s="4" t="s">
        <v>47</v>
      </c>
      <c r="AF92" s="4">
        <v>2007</v>
      </c>
      <c r="AG92" s="4" t="s">
        <v>26</v>
      </c>
      <c r="AH92" s="5">
        <v>478</v>
      </c>
      <c r="AK92" s="4" t="s">
        <v>49</v>
      </c>
      <c r="AL92" s="4">
        <v>2007</v>
      </c>
      <c r="AM92" s="4" t="s">
        <v>26</v>
      </c>
      <c r="AN92" s="5">
        <v>167</v>
      </c>
      <c r="AQ92" s="4" t="s">
        <v>51</v>
      </c>
      <c r="AR92" s="4">
        <v>2007</v>
      </c>
      <c r="AS92" s="4" t="s">
        <v>26</v>
      </c>
      <c r="AT92" s="5">
        <v>157</v>
      </c>
      <c r="AW92" s="4" t="s">
        <v>53</v>
      </c>
      <c r="AX92" s="4">
        <v>2007</v>
      </c>
      <c r="AY92" s="4" t="s">
        <v>26</v>
      </c>
      <c r="AZ92" s="5">
        <v>246</v>
      </c>
      <c r="BC92" s="4" t="s">
        <v>55</v>
      </c>
      <c r="BD92" s="4">
        <v>2007</v>
      </c>
      <c r="BE92" s="4" t="s">
        <v>26</v>
      </c>
      <c r="BF92" s="5">
        <v>70</v>
      </c>
      <c r="BI92" s="4" t="s">
        <v>57</v>
      </c>
      <c r="BJ92" s="4">
        <v>2007</v>
      </c>
      <c r="BK92" s="4" t="s">
        <v>26</v>
      </c>
      <c r="BL92" s="5">
        <v>740</v>
      </c>
      <c r="BO92" s="4" t="s">
        <v>60</v>
      </c>
      <c r="BP92" s="4">
        <v>2007</v>
      </c>
      <c r="BQ92" s="4" t="s">
        <v>26</v>
      </c>
      <c r="BR92" s="5">
        <v>55</v>
      </c>
      <c r="BU92" s="4" t="s">
        <v>62</v>
      </c>
      <c r="BV92" s="4">
        <v>2007</v>
      </c>
      <c r="BW92" s="4" t="s">
        <v>26</v>
      </c>
      <c r="BX92" s="5">
        <v>708</v>
      </c>
      <c r="CA92" s="4" t="s">
        <v>64</v>
      </c>
      <c r="CB92" s="4">
        <v>2007</v>
      </c>
      <c r="CC92" s="4" t="s">
        <v>26</v>
      </c>
      <c r="CD92" s="5">
        <v>59</v>
      </c>
      <c r="CG92" s="4" t="s">
        <v>66</v>
      </c>
      <c r="CH92" s="4">
        <v>2007</v>
      </c>
      <c r="CI92" s="4" t="s">
        <v>26</v>
      </c>
      <c r="CJ92" s="5">
        <v>609</v>
      </c>
      <c r="CM92" s="4" t="s">
        <v>68</v>
      </c>
      <c r="CN92" s="4">
        <v>2007</v>
      </c>
      <c r="CO92" s="4" t="s">
        <v>26</v>
      </c>
      <c r="CP92" s="5">
        <v>171</v>
      </c>
      <c r="CS92" s="4" t="s">
        <v>206</v>
      </c>
      <c r="CT92" s="4">
        <v>2007</v>
      </c>
      <c r="CU92" s="4" t="s">
        <v>26</v>
      </c>
      <c r="CV92" s="5">
        <v>493</v>
      </c>
    </row>
    <row r="93" spans="1:100" x14ac:dyDescent="0.25">
      <c r="A93" s="4" t="s">
        <v>185</v>
      </c>
      <c r="B93" s="4">
        <v>2007</v>
      </c>
      <c r="C93" s="4" t="s">
        <v>27</v>
      </c>
      <c r="D93" s="5">
        <v>10</v>
      </c>
      <c r="G93" s="4" t="s">
        <v>3</v>
      </c>
      <c r="H93" s="4">
        <v>2007</v>
      </c>
      <c r="I93" s="4" t="s">
        <v>27</v>
      </c>
      <c r="J93" s="5">
        <v>164</v>
      </c>
      <c r="M93" s="4" t="s">
        <v>31</v>
      </c>
      <c r="N93" s="4">
        <v>2007</v>
      </c>
      <c r="O93" s="4" t="s">
        <v>27</v>
      </c>
      <c r="P93" s="5">
        <v>228</v>
      </c>
      <c r="S93" s="4" t="s">
        <v>33</v>
      </c>
      <c r="T93" s="4">
        <v>2007</v>
      </c>
      <c r="U93" s="4" t="s">
        <v>27</v>
      </c>
      <c r="V93" s="5">
        <v>109</v>
      </c>
      <c r="Y93" s="4" t="s">
        <v>35</v>
      </c>
      <c r="Z93" s="4">
        <v>2007</v>
      </c>
      <c r="AA93" s="4" t="s">
        <v>27</v>
      </c>
      <c r="AB93" s="5">
        <v>238</v>
      </c>
      <c r="AE93" s="4" t="s">
        <v>47</v>
      </c>
      <c r="AF93" s="4">
        <v>2007</v>
      </c>
      <c r="AG93" s="4" t="s">
        <v>27</v>
      </c>
      <c r="AH93" s="5">
        <v>451</v>
      </c>
      <c r="AK93" s="4" t="s">
        <v>49</v>
      </c>
      <c r="AL93" s="4">
        <v>2007</v>
      </c>
      <c r="AM93" s="4" t="s">
        <v>27</v>
      </c>
      <c r="AN93" s="5">
        <v>173</v>
      </c>
      <c r="AQ93" s="4" t="s">
        <v>51</v>
      </c>
      <c r="AR93" s="4">
        <v>2007</v>
      </c>
      <c r="AS93" s="4" t="s">
        <v>27</v>
      </c>
      <c r="AT93" s="5">
        <v>111</v>
      </c>
      <c r="AW93" s="4" t="s">
        <v>53</v>
      </c>
      <c r="AX93" s="4">
        <v>2007</v>
      </c>
      <c r="AY93" s="4" t="s">
        <v>27</v>
      </c>
      <c r="AZ93" s="5">
        <v>222</v>
      </c>
      <c r="BC93" s="4" t="s">
        <v>55</v>
      </c>
      <c r="BD93" s="4">
        <v>2007</v>
      </c>
      <c r="BE93" s="4" t="s">
        <v>27</v>
      </c>
      <c r="BF93" s="5">
        <v>70</v>
      </c>
      <c r="BI93" s="4" t="s">
        <v>57</v>
      </c>
      <c r="BJ93" s="4">
        <v>2007</v>
      </c>
      <c r="BK93" s="4" t="s">
        <v>27</v>
      </c>
      <c r="BL93" s="5">
        <v>740</v>
      </c>
      <c r="BO93" s="4" t="s">
        <v>60</v>
      </c>
      <c r="BP93" s="4">
        <v>2007</v>
      </c>
      <c r="BQ93" s="4" t="s">
        <v>27</v>
      </c>
      <c r="BR93" s="5">
        <v>78</v>
      </c>
      <c r="BU93" s="4" t="s">
        <v>62</v>
      </c>
      <c r="BV93" s="4">
        <v>2007</v>
      </c>
      <c r="BW93" s="4" t="s">
        <v>27</v>
      </c>
      <c r="BX93" s="5">
        <v>687</v>
      </c>
      <c r="CA93" s="4" t="s">
        <v>64</v>
      </c>
      <c r="CB93" s="4">
        <v>2007</v>
      </c>
      <c r="CC93" s="4" t="s">
        <v>27</v>
      </c>
      <c r="CD93" s="5">
        <v>75</v>
      </c>
      <c r="CG93" s="4" t="s">
        <v>66</v>
      </c>
      <c r="CH93" s="4">
        <v>2007</v>
      </c>
      <c r="CI93" s="4" t="s">
        <v>27</v>
      </c>
      <c r="CJ93" s="5">
        <v>557</v>
      </c>
      <c r="CM93" s="4" t="s">
        <v>68</v>
      </c>
      <c r="CN93" s="4">
        <v>2007</v>
      </c>
      <c r="CO93" s="4" t="s">
        <v>27</v>
      </c>
      <c r="CP93" s="5">
        <v>188</v>
      </c>
      <c r="CS93" s="4" t="s">
        <v>206</v>
      </c>
      <c r="CT93" s="4">
        <v>2007</v>
      </c>
      <c r="CU93" s="4" t="s">
        <v>27</v>
      </c>
      <c r="CV93" s="5">
        <v>489</v>
      </c>
    </row>
    <row r="94" spans="1:100" x14ac:dyDescent="0.25">
      <c r="A94" s="4" t="s">
        <v>185</v>
      </c>
      <c r="B94" s="4">
        <v>2007</v>
      </c>
      <c r="C94" s="4" t="s">
        <v>28</v>
      </c>
      <c r="D94" s="5">
        <v>12</v>
      </c>
      <c r="G94" s="4" t="s">
        <v>3</v>
      </c>
      <c r="H94" s="4">
        <v>2007</v>
      </c>
      <c r="I94" s="4" t="s">
        <v>28</v>
      </c>
      <c r="J94" s="5">
        <v>124</v>
      </c>
      <c r="M94" s="4" t="s">
        <v>31</v>
      </c>
      <c r="N94" s="4">
        <v>2007</v>
      </c>
      <c r="O94" s="4" t="s">
        <v>28</v>
      </c>
      <c r="P94" s="5">
        <v>189</v>
      </c>
      <c r="S94" s="4" t="s">
        <v>33</v>
      </c>
      <c r="T94" s="4">
        <v>2007</v>
      </c>
      <c r="U94" s="4" t="s">
        <v>28</v>
      </c>
      <c r="V94" s="5">
        <v>137</v>
      </c>
      <c r="Y94" s="4" t="s">
        <v>35</v>
      </c>
      <c r="Z94" s="4">
        <v>2007</v>
      </c>
      <c r="AA94" s="4" t="s">
        <v>28</v>
      </c>
      <c r="AB94" s="5">
        <v>186</v>
      </c>
      <c r="AE94" s="4" t="s">
        <v>47</v>
      </c>
      <c r="AF94" s="4">
        <v>2007</v>
      </c>
      <c r="AG94" s="4" t="s">
        <v>28</v>
      </c>
      <c r="AH94" s="5">
        <v>449</v>
      </c>
      <c r="AK94" s="4" t="s">
        <v>49</v>
      </c>
      <c r="AL94" s="4">
        <v>2007</v>
      </c>
      <c r="AM94" s="4" t="s">
        <v>28</v>
      </c>
      <c r="AN94" s="5">
        <v>198</v>
      </c>
      <c r="AQ94" s="4" t="s">
        <v>51</v>
      </c>
      <c r="AR94" s="4">
        <v>2007</v>
      </c>
      <c r="AS94" s="4" t="s">
        <v>28</v>
      </c>
      <c r="AT94" s="5">
        <v>114</v>
      </c>
      <c r="AW94" s="4" t="s">
        <v>53</v>
      </c>
      <c r="AX94" s="4">
        <v>2007</v>
      </c>
      <c r="AY94" s="4" t="s">
        <v>28</v>
      </c>
      <c r="AZ94" s="5">
        <v>233</v>
      </c>
      <c r="BC94" s="4" t="s">
        <v>55</v>
      </c>
      <c r="BD94" s="4">
        <v>2007</v>
      </c>
      <c r="BE94" s="4" t="s">
        <v>28</v>
      </c>
      <c r="BF94" s="5">
        <v>39</v>
      </c>
      <c r="BI94" s="4" t="s">
        <v>57</v>
      </c>
      <c r="BJ94" s="4">
        <v>2007</v>
      </c>
      <c r="BK94" s="4" t="s">
        <v>28</v>
      </c>
      <c r="BL94" s="5">
        <v>773</v>
      </c>
      <c r="BO94" s="4" t="s">
        <v>60</v>
      </c>
      <c r="BP94" s="4">
        <v>2007</v>
      </c>
      <c r="BQ94" s="4" t="s">
        <v>28</v>
      </c>
      <c r="BR94" s="5">
        <v>68</v>
      </c>
      <c r="BU94" s="4" t="s">
        <v>62</v>
      </c>
      <c r="BV94" s="4">
        <v>2007</v>
      </c>
      <c r="BW94" s="4" t="s">
        <v>28</v>
      </c>
      <c r="BX94" s="5">
        <v>742</v>
      </c>
      <c r="CA94" s="4" t="s">
        <v>64</v>
      </c>
      <c r="CB94" s="4">
        <v>2007</v>
      </c>
      <c r="CC94" s="4" t="s">
        <v>28</v>
      </c>
      <c r="CD94" s="5">
        <v>65</v>
      </c>
      <c r="CG94" s="4" t="s">
        <v>66</v>
      </c>
      <c r="CH94" s="4">
        <v>2007</v>
      </c>
      <c r="CI94" s="4" t="s">
        <v>28</v>
      </c>
      <c r="CJ94" s="5">
        <v>565</v>
      </c>
      <c r="CM94" s="4" t="s">
        <v>68</v>
      </c>
      <c r="CN94" s="4">
        <v>2007</v>
      </c>
      <c r="CO94" s="4" t="s">
        <v>28</v>
      </c>
      <c r="CP94" s="5">
        <v>200</v>
      </c>
      <c r="CS94" s="4" t="s">
        <v>206</v>
      </c>
      <c r="CT94" s="4">
        <v>2007</v>
      </c>
      <c r="CU94" s="4" t="s">
        <v>28</v>
      </c>
      <c r="CV94" s="5">
        <v>435</v>
      </c>
    </row>
    <row r="95" spans="1:100" x14ac:dyDescent="0.25">
      <c r="A95" s="4" t="s">
        <v>185</v>
      </c>
      <c r="B95" s="4">
        <v>2007</v>
      </c>
      <c r="C95" s="4" t="s">
        <v>29</v>
      </c>
      <c r="D95" s="5">
        <v>12</v>
      </c>
      <c r="G95" s="4" t="s">
        <v>3</v>
      </c>
      <c r="H95" s="4">
        <v>2007</v>
      </c>
      <c r="I95" s="4" t="s">
        <v>29</v>
      </c>
      <c r="J95" s="5">
        <v>134</v>
      </c>
      <c r="M95" s="4" t="s">
        <v>31</v>
      </c>
      <c r="N95" s="4">
        <v>2007</v>
      </c>
      <c r="O95" s="4" t="s">
        <v>29</v>
      </c>
      <c r="P95" s="5">
        <v>166</v>
      </c>
      <c r="S95" s="4" t="s">
        <v>33</v>
      </c>
      <c r="T95" s="4">
        <v>2007</v>
      </c>
      <c r="U95" s="4" t="s">
        <v>29</v>
      </c>
      <c r="V95" s="5">
        <v>136</v>
      </c>
      <c r="Y95" s="4" t="s">
        <v>35</v>
      </c>
      <c r="Z95" s="4">
        <v>2007</v>
      </c>
      <c r="AA95" s="4" t="s">
        <v>29</v>
      </c>
      <c r="AB95" s="5">
        <v>178</v>
      </c>
      <c r="AE95" s="4" t="s">
        <v>47</v>
      </c>
      <c r="AF95" s="4">
        <v>2007</v>
      </c>
      <c r="AG95" s="4" t="s">
        <v>29</v>
      </c>
      <c r="AH95" s="5">
        <v>452</v>
      </c>
      <c r="AK95" s="4" t="s">
        <v>49</v>
      </c>
      <c r="AL95" s="4">
        <v>2007</v>
      </c>
      <c r="AM95" s="4" t="s">
        <v>29</v>
      </c>
      <c r="AN95" s="5">
        <v>168</v>
      </c>
      <c r="AQ95" s="4" t="s">
        <v>51</v>
      </c>
      <c r="AR95" s="4">
        <v>2007</v>
      </c>
      <c r="AS95" s="4" t="s">
        <v>29</v>
      </c>
      <c r="AT95" s="5">
        <v>112</v>
      </c>
      <c r="AW95" s="4" t="s">
        <v>53</v>
      </c>
      <c r="AX95" s="4">
        <v>2007</v>
      </c>
      <c r="AY95" s="4" t="s">
        <v>29</v>
      </c>
      <c r="AZ95" s="5">
        <v>207</v>
      </c>
      <c r="BC95" s="4" t="s">
        <v>55</v>
      </c>
      <c r="BD95" s="4">
        <v>2007</v>
      </c>
      <c r="BE95" s="4" t="s">
        <v>29</v>
      </c>
      <c r="BF95" s="5">
        <v>77</v>
      </c>
      <c r="BI95" s="4" t="s">
        <v>57</v>
      </c>
      <c r="BJ95" s="4">
        <v>2007</v>
      </c>
      <c r="BK95" s="4" t="s">
        <v>29</v>
      </c>
      <c r="BL95" s="5">
        <v>815</v>
      </c>
      <c r="BO95" s="4" t="s">
        <v>60</v>
      </c>
      <c r="BP95" s="4">
        <v>2007</v>
      </c>
      <c r="BQ95" s="4" t="s">
        <v>29</v>
      </c>
      <c r="BR95" s="5">
        <v>69</v>
      </c>
      <c r="BU95" s="4" t="s">
        <v>62</v>
      </c>
      <c r="BV95" s="4">
        <v>2007</v>
      </c>
      <c r="BW95" s="4" t="s">
        <v>29</v>
      </c>
      <c r="BX95" s="5">
        <v>695</v>
      </c>
      <c r="CA95" s="4" t="s">
        <v>64</v>
      </c>
      <c r="CB95" s="4">
        <v>2007</v>
      </c>
      <c r="CC95" s="4" t="s">
        <v>29</v>
      </c>
      <c r="CD95" s="5">
        <v>69</v>
      </c>
      <c r="CG95" s="4" t="s">
        <v>66</v>
      </c>
      <c r="CH95" s="4">
        <v>2007</v>
      </c>
      <c r="CI95" s="4" t="s">
        <v>29</v>
      </c>
      <c r="CJ95" s="5">
        <v>550</v>
      </c>
      <c r="CM95" s="4" t="s">
        <v>68</v>
      </c>
      <c r="CN95" s="4">
        <v>2007</v>
      </c>
      <c r="CO95" s="4" t="s">
        <v>29</v>
      </c>
      <c r="CP95" s="5">
        <v>229</v>
      </c>
      <c r="CS95" s="4" t="s">
        <v>206</v>
      </c>
      <c r="CT95" s="4">
        <v>2007</v>
      </c>
      <c r="CU95" s="4" t="s">
        <v>29</v>
      </c>
      <c r="CV95" s="5">
        <v>414</v>
      </c>
    </row>
    <row r="96" spans="1:100" x14ac:dyDescent="0.25">
      <c r="A96" s="4" t="s">
        <v>185</v>
      </c>
      <c r="B96" s="4">
        <v>2007</v>
      </c>
      <c r="C96" s="4" t="s">
        <v>30</v>
      </c>
      <c r="D96" s="5">
        <v>17</v>
      </c>
      <c r="G96" s="4" t="s">
        <v>3</v>
      </c>
      <c r="H96" s="4">
        <v>2007</v>
      </c>
      <c r="I96" s="4" t="s">
        <v>30</v>
      </c>
      <c r="J96" s="5">
        <v>85</v>
      </c>
      <c r="M96" s="4" t="s">
        <v>31</v>
      </c>
      <c r="N96" s="4">
        <v>2007</v>
      </c>
      <c r="O96" s="4" t="s">
        <v>30</v>
      </c>
      <c r="P96" s="5">
        <v>179</v>
      </c>
      <c r="S96" s="4" t="s">
        <v>33</v>
      </c>
      <c r="T96" s="4">
        <v>2007</v>
      </c>
      <c r="U96" s="4" t="s">
        <v>30</v>
      </c>
      <c r="V96" s="5">
        <v>112</v>
      </c>
      <c r="Y96" s="4" t="s">
        <v>35</v>
      </c>
      <c r="Z96" s="4">
        <v>2007</v>
      </c>
      <c r="AA96" s="4" t="s">
        <v>30</v>
      </c>
      <c r="AB96" s="5">
        <v>119</v>
      </c>
      <c r="AE96" s="4" t="s">
        <v>47</v>
      </c>
      <c r="AF96" s="4">
        <v>2007</v>
      </c>
      <c r="AG96" s="4" t="s">
        <v>30</v>
      </c>
      <c r="AH96" s="5">
        <v>365</v>
      </c>
      <c r="AK96" s="4" t="s">
        <v>49</v>
      </c>
      <c r="AL96" s="4">
        <v>2007</v>
      </c>
      <c r="AM96" s="4" t="s">
        <v>30</v>
      </c>
      <c r="AN96" s="5">
        <v>179</v>
      </c>
      <c r="AQ96" s="4" t="s">
        <v>51</v>
      </c>
      <c r="AR96" s="4">
        <v>2007</v>
      </c>
      <c r="AS96" s="4" t="s">
        <v>30</v>
      </c>
      <c r="AT96" s="5">
        <v>107</v>
      </c>
      <c r="AW96" s="4" t="s">
        <v>53</v>
      </c>
      <c r="AX96" s="4">
        <v>2007</v>
      </c>
      <c r="AY96" s="4" t="s">
        <v>30</v>
      </c>
      <c r="AZ96" s="5">
        <v>160</v>
      </c>
      <c r="BC96" s="4" t="s">
        <v>55</v>
      </c>
      <c r="BD96" s="4">
        <v>2007</v>
      </c>
      <c r="BE96" s="4" t="s">
        <v>30</v>
      </c>
      <c r="BF96" s="5">
        <v>47</v>
      </c>
      <c r="BI96" s="4" t="s">
        <v>57</v>
      </c>
      <c r="BJ96" s="4">
        <v>2007</v>
      </c>
      <c r="BK96" s="4" t="s">
        <v>30</v>
      </c>
      <c r="BL96" s="5">
        <v>671</v>
      </c>
      <c r="BO96" s="4" t="s">
        <v>60</v>
      </c>
      <c r="BP96" s="4">
        <v>2007</v>
      </c>
      <c r="BQ96" s="4" t="s">
        <v>30</v>
      </c>
      <c r="BR96" s="5">
        <v>65</v>
      </c>
      <c r="BU96" s="4" t="s">
        <v>62</v>
      </c>
      <c r="BV96" s="4">
        <v>2007</v>
      </c>
      <c r="BW96" s="4" t="s">
        <v>30</v>
      </c>
      <c r="BX96" s="5">
        <v>612</v>
      </c>
      <c r="CA96" s="4" t="s">
        <v>64</v>
      </c>
      <c r="CB96" s="4">
        <v>2007</v>
      </c>
      <c r="CC96" s="4" t="s">
        <v>30</v>
      </c>
      <c r="CD96" s="5">
        <v>86</v>
      </c>
      <c r="CG96" s="4" t="s">
        <v>66</v>
      </c>
      <c r="CH96" s="4">
        <v>2007</v>
      </c>
      <c r="CI96" s="4" t="s">
        <v>30</v>
      </c>
      <c r="CJ96" s="5">
        <v>471</v>
      </c>
      <c r="CM96" s="4" t="s">
        <v>68</v>
      </c>
      <c r="CN96" s="4">
        <v>2007</v>
      </c>
      <c r="CO96" s="4" t="s">
        <v>30</v>
      </c>
      <c r="CP96" s="5">
        <v>172</v>
      </c>
      <c r="CS96" s="4" t="s">
        <v>206</v>
      </c>
      <c r="CT96" s="4">
        <v>2007</v>
      </c>
      <c r="CU96" s="4" t="s">
        <v>30</v>
      </c>
      <c r="CV96" s="5">
        <v>430</v>
      </c>
    </row>
    <row r="97" spans="1:100" x14ac:dyDescent="0.25">
      <c r="A97" s="4" t="s">
        <v>185</v>
      </c>
      <c r="B97" s="4">
        <v>2007</v>
      </c>
      <c r="C97" s="4" t="s">
        <v>19</v>
      </c>
      <c r="D97" s="5">
        <v>19</v>
      </c>
      <c r="G97" s="4" t="s">
        <v>3</v>
      </c>
      <c r="H97" s="4">
        <v>2007</v>
      </c>
      <c r="I97" s="4" t="s">
        <v>19</v>
      </c>
      <c r="J97" s="5">
        <v>100</v>
      </c>
      <c r="M97" s="4" t="s">
        <v>31</v>
      </c>
      <c r="N97" s="4">
        <v>2007</v>
      </c>
      <c r="O97" s="4" t="s">
        <v>19</v>
      </c>
      <c r="P97" s="5">
        <v>142</v>
      </c>
      <c r="S97" s="4" t="s">
        <v>33</v>
      </c>
      <c r="T97" s="4">
        <v>2007</v>
      </c>
      <c r="U97" s="4" t="s">
        <v>19</v>
      </c>
      <c r="V97" s="5">
        <v>129</v>
      </c>
      <c r="Y97" s="4" t="s">
        <v>35</v>
      </c>
      <c r="Z97" s="4">
        <v>2007</v>
      </c>
      <c r="AA97" s="4" t="s">
        <v>19</v>
      </c>
      <c r="AB97" s="5">
        <v>195</v>
      </c>
      <c r="AE97" s="4" t="s">
        <v>47</v>
      </c>
      <c r="AF97" s="4">
        <v>2007</v>
      </c>
      <c r="AG97" s="4" t="s">
        <v>19</v>
      </c>
      <c r="AH97" s="5">
        <v>300</v>
      </c>
      <c r="AK97" s="4" t="s">
        <v>49</v>
      </c>
      <c r="AL97" s="4">
        <v>2007</v>
      </c>
      <c r="AM97" s="4" t="s">
        <v>19</v>
      </c>
      <c r="AN97" s="5">
        <v>99</v>
      </c>
      <c r="AQ97" s="4" t="s">
        <v>51</v>
      </c>
      <c r="AR97" s="4">
        <v>2007</v>
      </c>
      <c r="AS97" s="4" t="s">
        <v>19</v>
      </c>
      <c r="AT97" s="5">
        <v>82</v>
      </c>
      <c r="AW97" s="4" t="s">
        <v>53</v>
      </c>
      <c r="AX97" s="4">
        <v>2007</v>
      </c>
      <c r="AY97" s="4" t="s">
        <v>19</v>
      </c>
      <c r="AZ97" s="5">
        <v>192</v>
      </c>
      <c r="BC97" s="4" t="s">
        <v>55</v>
      </c>
      <c r="BD97" s="4">
        <v>2007</v>
      </c>
      <c r="BE97" s="4" t="s">
        <v>19</v>
      </c>
      <c r="BF97" s="5">
        <v>73</v>
      </c>
      <c r="BI97" s="4" t="s">
        <v>57</v>
      </c>
      <c r="BJ97" s="4">
        <v>2007</v>
      </c>
      <c r="BK97" s="4" t="s">
        <v>19</v>
      </c>
      <c r="BL97" s="5">
        <v>748</v>
      </c>
      <c r="BO97" s="4" t="s">
        <v>60</v>
      </c>
      <c r="BP97" s="4">
        <v>2007</v>
      </c>
      <c r="BQ97" s="4" t="s">
        <v>19</v>
      </c>
      <c r="BR97" s="5">
        <v>62</v>
      </c>
      <c r="BU97" s="4" t="s">
        <v>62</v>
      </c>
      <c r="BV97" s="4">
        <v>2007</v>
      </c>
      <c r="BW97" s="4" t="s">
        <v>19</v>
      </c>
      <c r="BX97" s="5">
        <v>641</v>
      </c>
      <c r="CA97" s="4" t="s">
        <v>64</v>
      </c>
      <c r="CB97" s="4">
        <v>2007</v>
      </c>
      <c r="CC97" s="4" t="s">
        <v>19</v>
      </c>
      <c r="CD97" s="5">
        <v>29</v>
      </c>
      <c r="CG97" s="4" t="s">
        <v>66</v>
      </c>
      <c r="CH97" s="4">
        <v>2007</v>
      </c>
      <c r="CI97" s="4" t="s">
        <v>19</v>
      </c>
      <c r="CJ97" s="5">
        <v>431</v>
      </c>
      <c r="CM97" s="4" t="s">
        <v>68</v>
      </c>
      <c r="CN97" s="4">
        <v>2007</v>
      </c>
      <c r="CO97" s="4" t="s">
        <v>19</v>
      </c>
      <c r="CP97" s="5">
        <v>142</v>
      </c>
      <c r="CS97" s="4" t="s">
        <v>206</v>
      </c>
      <c r="CT97" s="4">
        <v>2007</v>
      </c>
      <c r="CU97" s="4" t="s">
        <v>19</v>
      </c>
      <c r="CV97" s="5">
        <v>408</v>
      </c>
    </row>
    <row r="98" spans="1:100" x14ac:dyDescent="0.25">
      <c r="A98" s="4" t="s">
        <v>185</v>
      </c>
      <c r="B98" s="4">
        <v>2008</v>
      </c>
      <c r="C98" s="4" t="s">
        <v>20</v>
      </c>
      <c r="D98" s="5">
        <v>20</v>
      </c>
      <c r="G98" s="4" t="s">
        <v>3</v>
      </c>
      <c r="H98" s="4">
        <v>2008</v>
      </c>
      <c r="I98" s="4" t="s">
        <v>20</v>
      </c>
      <c r="J98" s="5">
        <v>126</v>
      </c>
      <c r="M98" s="4" t="s">
        <v>31</v>
      </c>
      <c r="N98" s="4">
        <v>2008</v>
      </c>
      <c r="O98" s="4" t="s">
        <v>20</v>
      </c>
      <c r="P98" s="5">
        <v>177</v>
      </c>
      <c r="S98" s="4" t="s">
        <v>33</v>
      </c>
      <c r="T98" s="4">
        <v>2008</v>
      </c>
      <c r="U98" s="4" t="s">
        <v>20</v>
      </c>
      <c r="V98" s="5">
        <v>117</v>
      </c>
      <c r="Y98" s="4" t="s">
        <v>35</v>
      </c>
      <c r="Z98" s="4">
        <v>2008</v>
      </c>
      <c r="AA98" s="4" t="s">
        <v>20</v>
      </c>
      <c r="AB98" s="5">
        <v>190</v>
      </c>
      <c r="AE98" s="4" t="s">
        <v>47</v>
      </c>
      <c r="AF98" s="4">
        <v>2008</v>
      </c>
      <c r="AG98" s="4" t="s">
        <v>20</v>
      </c>
      <c r="AH98" s="5">
        <v>322</v>
      </c>
      <c r="AK98" s="4" t="s">
        <v>49</v>
      </c>
      <c r="AL98" s="4">
        <v>2008</v>
      </c>
      <c r="AM98" s="4" t="s">
        <v>20</v>
      </c>
      <c r="AN98" s="5">
        <v>160</v>
      </c>
      <c r="AQ98" s="4" t="s">
        <v>51</v>
      </c>
      <c r="AR98" s="4">
        <v>2008</v>
      </c>
      <c r="AS98" s="4" t="s">
        <v>20</v>
      </c>
      <c r="AT98" s="5">
        <v>89</v>
      </c>
      <c r="AW98" s="4" t="s">
        <v>53</v>
      </c>
      <c r="AX98" s="4">
        <v>2008</v>
      </c>
      <c r="AY98" s="4" t="s">
        <v>20</v>
      </c>
      <c r="AZ98" s="5">
        <v>274</v>
      </c>
      <c r="BC98" s="4" t="s">
        <v>55</v>
      </c>
      <c r="BD98" s="4">
        <v>2008</v>
      </c>
      <c r="BE98" s="4" t="s">
        <v>20</v>
      </c>
      <c r="BF98" s="5">
        <v>136</v>
      </c>
      <c r="BI98" s="4" t="s">
        <v>57</v>
      </c>
      <c r="BJ98" s="4">
        <v>2008</v>
      </c>
      <c r="BK98" s="4" t="s">
        <v>20</v>
      </c>
      <c r="BL98" s="5">
        <v>864</v>
      </c>
      <c r="BO98" s="4" t="s">
        <v>60</v>
      </c>
      <c r="BP98" s="4">
        <v>2008</v>
      </c>
      <c r="BQ98" s="4" t="s">
        <v>20</v>
      </c>
      <c r="BR98" s="5">
        <v>64</v>
      </c>
      <c r="BU98" s="4" t="s">
        <v>62</v>
      </c>
      <c r="BV98" s="4">
        <v>2008</v>
      </c>
      <c r="BW98" s="4" t="s">
        <v>20</v>
      </c>
      <c r="BX98" s="5">
        <v>705</v>
      </c>
      <c r="CA98" s="4" t="s">
        <v>64</v>
      </c>
      <c r="CB98" s="4">
        <v>2008</v>
      </c>
      <c r="CC98" s="4" t="s">
        <v>20</v>
      </c>
      <c r="CD98" s="5">
        <v>53</v>
      </c>
      <c r="CG98" s="4" t="s">
        <v>66</v>
      </c>
      <c r="CH98" s="4">
        <v>2008</v>
      </c>
      <c r="CI98" s="4" t="s">
        <v>20</v>
      </c>
      <c r="CJ98" s="5">
        <v>512</v>
      </c>
      <c r="CM98" s="4" t="s">
        <v>68</v>
      </c>
      <c r="CN98" s="4">
        <v>2008</v>
      </c>
      <c r="CO98" s="4" t="s">
        <v>20</v>
      </c>
      <c r="CP98" s="5">
        <v>224</v>
      </c>
      <c r="CS98" s="4" t="s">
        <v>206</v>
      </c>
      <c r="CT98" s="4">
        <v>2008</v>
      </c>
      <c r="CU98" s="4" t="s">
        <v>20</v>
      </c>
      <c r="CV98" s="5">
        <v>385</v>
      </c>
    </row>
    <row r="99" spans="1:100" x14ac:dyDescent="0.25">
      <c r="A99" s="4" t="s">
        <v>185</v>
      </c>
      <c r="B99" s="4">
        <v>2008</v>
      </c>
      <c r="C99" s="4" t="s">
        <v>21</v>
      </c>
      <c r="D99" s="5">
        <v>19</v>
      </c>
      <c r="G99" s="4" t="s">
        <v>3</v>
      </c>
      <c r="H99" s="4">
        <v>2008</v>
      </c>
      <c r="I99" s="4" t="s">
        <v>21</v>
      </c>
      <c r="J99" s="5">
        <v>128</v>
      </c>
      <c r="M99" s="4" t="s">
        <v>31</v>
      </c>
      <c r="N99" s="4">
        <v>2008</v>
      </c>
      <c r="O99" s="4" t="s">
        <v>21</v>
      </c>
      <c r="P99" s="5">
        <v>147</v>
      </c>
      <c r="S99" s="4" t="s">
        <v>33</v>
      </c>
      <c r="T99" s="4">
        <v>2008</v>
      </c>
      <c r="U99" s="4" t="s">
        <v>21</v>
      </c>
      <c r="V99" s="5">
        <v>121</v>
      </c>
      <c r="Y99" s="4" t="s">
        <v>35</v>
      </c>
      <c r="Z99" s="4">
        <v>2008</v>
      </c>
      <c r="AA99" s="4" t="s">
        <v>21</v>
      </c>
      <c r="AB99" s="5">
        <v>194</v>
      </c>
      <c r="AE99" s="4" t="s">
        <v>47</v>
      </c>
      <c r="AF99" s="4">
        <v>2008</v>
      </c>
      <c r="AG99" s="4" t="s">
        <v>21</v>
      </c>
      <c r="AH99" s="5">
        <v>281</v>
      </c>
      <c r="AK99" s="4" t="s">
        <v>49</v>
      </c>
      <c r="AL99" s="4">
        <v>2008</v>
      </c>
      <c r="AM99" s="4" t="s">
        <v>21</v>
      </c>
      <c r="AN99" s="5">
        <v>127</v>
      </c>
      <c r="AQ99" s="4" t="s">
        <v>51</v>
      </c>
      <c r="AR99" s="4">
        <v>2008</v>
      </c>
      <c r="AS99" s="4" t="s">
        <v>21</v>
      </c>
      <c r="AT99" s="5">
        <v>67</v>
      </c>
      <c r="AW99" s="4" t="s">
        <v>53</v>
      </c>
      <c r="AX99" s="4">
        <v>2008</v>
      </c>
      <c r="AY99" s="4" t="s">
        <v>21</v>
      </c>
      <c r="AZ99" s="5">
        <v>186</v>
      </c>
      <c r="BC99" s="4" t="s">
        <v>55</v>
      </c>
      <c r="BD99" s="4">
        <v>2008</v>
      </c>
      <c r="BE99" s="4" t="s">
        <v>21</v>
      </c>
      <c r="BF99" s="5">
        <v>48</v>
      </c>
      <c r="BI99" s="4" t="s">
        <v>57</v>
      </c>
      <c r="BJ99" s="4">
        <v>2008</v>
      </c>
      <c r="BK99" s="4" t="s">
        <v>21</v>
      </c>
      <c r="BL99" s="5">
        <v>745</v>
      </c>
      <c r="BO99" s="4" t="s">
        <v>60</v>
      </c>
      <c r="BP99" s="4">
        <v>2008</v>
      </c>
      <c r="BQ99" s="4" t="s">
        <v>21</v>
      </c>
      <c r="BR99" s="5">
        <v>50</v>
      </c>
      <c r="BU99" s="4" t="s">
        <v>62</v>
      </c>
      <c r="BV99" s="4">
        <v>2008</v>
      </c>
      <c r="BW99" s="4" t="s">
        <v>21</v>
      </c>
      <c r="BX99" s="5">
        <v>685</v>
      </c>
      <c r="CA99" s="4" t="s">
        <v>64</v>
      </c>
      <c r="CB99" s="4">
        <v>2008</v>
      </c>
      <c r="CC99" s="4" t="s">
        <v>21</v>
      </c>
      <c r="CD99" s="5">
        <v>72</v>
      </c>
      <c r="CG99" s="4" t="s">
        <v>66</v>
      </c>
      <c r="CH99" s="4">
        <v>2008</v>
      </c>
      <c r="CI99" s="4" t="s">
        <v>21</v>
      </c>
      <c r="CJ99" s="5">
        <v>457</v>
      </c>
      <c r="CM99" s="4" t="s">
        <v>68</v>
      </c>
      <c r="CN99" s="4">
        <v>2008</v>
      </c>
      <c r="CO99" s="4" t="s">
        <v>21</v>
      </c>
      <c r="CP99" s="5">
        <v>140</v>
      </c>
      <c r="CS99" s="4" t="s">
        <v>206</v>
      </c>
      <c r="CT99" s="4">
        <v>2008</v>
      </c>
      <c r="CU99" s="4" t="s">
        <v>21</v>
      </c>
      <c r="CV99" s="5">
        <v>388</v>
      </c>
    </row>
    <row r="100" spans="1:100" x14ac:dyDescent="0.25">
      <c r="A100" s="4" t="s">
        <v>185</v>
      </c>
      <c r="B100" s="4">
        <v>2008</v>
      </c>
      <c r="C100" s="4" t="s">
        <v>22</v>
      </c>
      <c r="D100" s="5">
        <v>17</v>
      </c>
      <c r="G100" s="4" t="s">
        <v>3</v>
      </c>
      <c r="H100" s="4">
        <v>2008</v>
      </c>
      <c r="I100" s="4" t="s">
        <v>22</v>
      </c>
      <c r="J100" s="5">
        <v>96</v>
      </c>
      <c r="M100" s="4" t="s">
        <v>31</v>
      </c>
      <c r="N100" s="4">
        <v>2008</v>
      </c>
      <c r="O100" s="4" t="s">
        <v>22</v>
      </c>
      <c r="P100" s="5">
        <v>148</v>
      </c>
      <c r="S100" s="4" t="s">
        <v>33</v>
      </c>
      <c r="T100" s="4">
        <v>2008</v>
      </c>
      <c r="U100" s="4" t="s">
        <v>22</v>
      </c>
      <c r="V100" s="5">
        <v>97</v>
      </c>
      <c r="Y100" s="4" t="s">
        <v>35</v>
      </c>
      <c r="Z100" s="4">
        <v>2008</v>
      </c>
      <c r="AA100" s="4" t="s">
        <v>22</v>
      </c>
      <c r="AB100" s="5">
        <v>120</v>
      </c>
      <c r="AE100" s="4" t="s">
        <v>47</v>
      </c>
      <c r="AF100" s="4">
        <v>2008</v>
      </c>
      <c r="AG100" s="4" t="s">
        <v>22</v>
      </c>
      <c r="AH100" s="5">
        <v>342</v>
      </c>
      <c r="AK100" s="4" t="s">
        <v>49</v>
      </c>
      <c r="AL100" s="4">
        <v>2008</v>
      </c>
      <c r="AM100" s="4" t="s">
        <v>22</v>
      </c>
      <c r="AN100" s="5">
        <v>111</v>
      </c>
      <c r="AQ100" s="4" t="s">
        <v>51</v>
      </c>
      <c r="AR100" s="4">
        <v>2008</v>
      </c>
      <c r="AS100" s="4" t="s">
        <v>22</v>
      </c>
      <c r="AT100" s="5">
        <v>82</v>
      </c>
      <c r="AW100" s="4" t="s">
        <v>53</v>
      </c>
      <c r="AX100" s="4">
        <v>2008</v>
      </c>
      <c r="AY100" s="4" t="s">
        <v>22</v>
      </c>
      <c r="AZ100" s="5">
        <v>170</v>
      </c>
      <c r="BC100" s="4" t="s">
        <v>55</v>
      </c>
      <c r="BD100" s="4">
        <v>2008</v>
      </c>
      <c r="BE100" s="4" t="s">
        <v>22</v>
      </c>
      <c r="BF100" s="5">
        <v>85</v>
      </c>
      <c r="BI100" s="4" t="s">
        <v>57</v>
      </c>
      <c r="BJ100" s="4">
        <v>2008</v>
      </c>
      <c r="BK100" s="4" t="s">
        <v>22</v>
      </c>
      <c r="BL100" s="5">
        <v>751</v>
      </c>
      <c r="BO100" s="4" t="s">
        <v>60</v>
      </c>
      <c r="BP100" s="4">
        <v>2008</v>
      </c>
      <c r="BQ100" s="4" t="s">
        <v>22</v>
      </c>
      <c r="BR100" s="5">
        <v>62</v>
      </c>
      <c r="BU100" s="4" t="s">
        <v>62</v>
      </c>
      <c r="BV100" s="4">
        <v>2008</v>
      </c>
      <c r="BW100" s="4" t="s">
        <v>22</v>
      </c>
      <c r="BX100" s="5">
        <v>696</v>
      </c>
      <c r="CA100" s="4" t="s">
        <v>64</v>
      </c>
      <c r="CB100" s="4">
        <v>2008</v>
      </c>
      <c r="CC100" s="4" t="s">
        <v>22</v>
      </c>
      <c r="CD100" s="5">
        <v>64</v>
      </c>
      <c r="CG100" s="4" t="s">
        <v>66</v>
      </c>
      <c r="CH100" s="4">
        <v>2008</v>
      </c>
      <c r="CI100" s="4" t="s">
        <v>22</v>
      </c>
      <c r="CJ100" s="5">
        <v>534</v>
      </c>
      <c r="CM100" s="4" t="s">
        <v>68</v>
      </c>
      <c r="CN100" s="4">
        <v>2008</v>
      </c>
      <c r="CO100" s="4" t="s">
        <v>22</v>
      </c>
      <c r="CP100" s="5">
        <v>147</v>
      </c>
      <c r="CS100" s="4" t="s">
        <v>206</v>
      </c>
      <c r="CT100" s="4">
        <v>2008</v>
      </c>
      <c r="CU100" s="4" t="s">
        <v>22</v>
      </c>
      <c r="CV100" s="5">
        <v>407</v>
      </c>
    </row>
    <row r="101" spans="1:100" x14ac:dyDescent="0.25">
      <c r="A101" s="4" t="s">
        <v>185</v>
      </c>
      <c r="B101" s="4">
        <v>2008</v>
      </c>
      <c r="C101" s="4" t="s">
        <v>23</v>
      </c>
      <c r="D101" s="5">
        <v>21</v>
      </c>
      <c r="G101" s="4" t="s">
        <v>3</v>
      </c>
      <c r="H101" s="4">
        <v>2008</v>
      </c>
      <c r="I101" s="4" t="s">
        <v>23</v>
      </c>
      <c r="J101" s="5">
        <v>106</v>
      </c>
      <c r="M101" s="4" t="s">
        <v>31</v>
      </c>
      <c r="N101" s="4">
        <v>2008</v>
      </c>
      <c r="O101" s="4" t="s">
        <v>23</v>
      </c>
      <c r="P101" s="5">
        <v>174</v>
      </c>
      <c r="S101" s="4" t="s">
        <v>33</v>
      </c>
      <c r="T101" s="4">
        <v>2008</v>
      </c>
      <c r="U101" s="4" t="s">
        <v>23</v>
      </c>
      <c r="V101" s="5">
        <v>115</v>
      </c>
      <c r="Y101" s="4" t="s">
        <v>35</v>
      </c>
      <c r="Z101" s="4">
        <v>2008</v>
      </c>
      <c r="AA101" s="4" t="s">
        <v>23</v>
      </c>
      <c r="AB101" s="5">
        <v>142</v>
      </c>
      <c r="AE101" s="4" t="s">
        <v>47</v>
      </c>
      <c r="AF101" s="4">
        <v>2008</v>
      </c>
      <c r="AG101" s="4" t="s">
        <v>23</v>
      </c>
      <c r="AH101" s="5">
        <v>372</v>
      </c>
      <c r="AK101" s="4" t="s">
        <v>49</v>
      </c>
      <c r="AL101" s="4">
        <v>2008</v>
      </c>
      <c r="AM101" s="4" t="s">
        <v>23</v>
      </c>
      <c r="AN101" s="5">
        <v>117</v>
      </c>
      <c r="AQ101" s="4" t="s">
        <v>51</v>
      </c>
      <c r="AR101" s="4">
        <v>2008</v>
      </c>
      <c r="AS101" s="4" t="s">
        <v>23</v>
      </c>
      <c r="AT101" s="5">
        <v>95</v>
      </c>
      <c r="AW101" s="4" t="s">
        <v>53</v>
      </c>
      <c r="AX101" s="4">
        <v>2008</v>
      </c>
      <c r="AY101" s="4" t="s">
        <v>23</v>
      </c>
      <c r="AZ101" s="5">
        <v>167</v>
      </c>
      <c r="BC101" s="4" t="s">
        <v>55</v>
      </c>
      <c r="BD101" s="4">
        <v>2008</v>
      </c>
      <c r="BE101" s="4" t="s">
        <v>23</v>
      </c>
      <c r="BF101" s="5">
        <v>83</v>
      </c>
      <c r="BI101" s="4" t="s">
        <v>57</v>
      </c>
      <c r="BJ101" s="4">
        <v>2008</v>
      </c>
      <c r="BK101" s="4" t="s">
        <v>23</v>
      </c>
      <c r="BL101" s="5">
        <v>842</v>
      </c>
      <c r="BO101" s="4" t="s">
        <v>60</v>
      </c>
      <c r="BP101" s="4">
        <v>2008</v>
      </c>
      <c r="BQ101" s="4" t="s">
        <v>23</v>
      </c>
      <c r="BR101" s="5">
        <v>72</v>
      </c>
      <c r="BU101" s="4" t="s">
        <v>62</v>
      </c>
      <c r="BV101" s="4">
        <v>2008</v>
      </c>
      <c r="BW101" s="4" t="s">
        <v>23</v>
      </c>
      <c r="BX101" s="5">
        <v>703</v>
      </c>
      <c r="CA101" s="4" t="s">
        <v>64</v>
      </c>
      <c r="CB101" s="4">
        <v>2008</v>
      </c>
      <c r="CC101" s="4" t="s">
        <v>23</v>
      </c>
      <c r="CD101" s="5">
        <v>82</v>
      </c>
      <c r="CG101" s="4" t="s">
        <v>66</v>
      </c>
      <c r="CH101" s="4">
        <v>2008</v>
      </c>
      <c r="CI101" s="4" t="s">
        <v>23</v>
      </c>
      <c r="CJ101" s="5">
        <v>561</v>
      </c>
      <c r="CM101" s="4" t="s">
        <v>68</v>
      </c>
      <c r="CN101" s="4">
        <v>2008</v>
      </c>
      <c r="CO101" s="4" t="s">
        <v>23</v>
      </c>
      <c r="CP101" s="5">
        <v>249</v>
      </c>
      <c r="CS101" s="4" t="s">
        <v>206</v>
      </c>
      <c r="CT101" s="4">
        <v>2008</v>
      </c>
      <c r="CU101" s="4" t="s">
        <v>23</v>
      </c>
      <c r="CV101" s="5">
        <v>394</v>
      </c>
    </row>
    <row r="102" spans="1:100" x14ac:dyDescent="0.25">
      <c r="A102" s="4" t="s">
        <v>185</v>
      </c>
      <c r="B102" s="4">
        <v>2008</v>
      </c>
      <c r="C102" s="4" t="s">
        <v>24</v>
      </c>
      <c r="D102" s="5">
        <v>18</v>
      </c>
      <c r="G102" s="4" t="s">
        <v>3</v>
      </c>
      <c r="H102" s="4">
        <v>2008</v>
      </c>
      <c r="I102" s="4" t="s">
        <v>24</v>
      </c>
      <c r="J102" s="5">
        <v>170</v>
      </c>
      <c r="M102" s="4" t="s">
        <v>31</v>
      </c>
      <c r="N102" s="4">
        <v>2008</v>
      </c>
      <c r="O102" s="4" t="s">
        <v>24</v>
      </c>
      <c r="P102" s="5">
        <v>177</v>
      </c>
      <c r="S102" s="4" t="s">
        <v>33</v>
      </c>
      <c r="T102" s="4">
        <v>2008</v>
      </c>
      <c r="U102" s="4" t="s">
        <v>24</v>
      </c>
      <c r="V102" s="5">
        <v>113</v>
      </c>
      <c r="Y102" s="4" t="s">
        <v>35</v>
      </c>
      <c r="Z102" s="4">
        <v>2008</v>
      </c>
      <c r="AA102" s="4" t="s">
        <v>24</v>
      </c>
      <c r="AB102" s="5">
        <v>138</v>
      </c>
      <c r="AE102" s="4" t="s">
        <v>47</v>
      </c>
      <c r="AF102" s="4">
        <v>2008</v>
      </c>
      <c r="AG102" s="4" t="s">
        <v>24</v>
      </c>
      <c r="AH102" s="5">
        <v>365</v>
      </c>
      <c r="AK102" s="4" t="s">
        <v>49</v>
      </c>
      <c r="AL102" s="4">
        <v>2008</v>
      </c>
      <c r="AM102" s="4" t="s">
        <v>24</v>
      </c>
      <c r="AN102" s="5">
        <v>102</v>
      </c>
      <c r="AQ102" s="4" t="s">
        <v>51</v>
      </c>
      <c r="AR102" s="4">
        <v>2008</v>
      </c>
      <c r="AS102" s="4" t="s">
        <v>24</v>
      </c>
      <c r="AT102" s="5">
        <v>73</v>
      </c>
      <c r="AW102" s="4" t="s">
        <v>53</v>
      </c>
      <c r="AX102" s="4">
        <v>2008</v>
      </c>
      <c r="AY102" s="4" t="s">
        <v>24</v>
      </c>
      <c r="AZ102" s="5">
        <v>138</v>
      </c>
      <c r="BC102" s="4" t="s">
        <v>55</v>
      </c>
      <c r="BD102" s="4">
        <v>2008</v>
      </c>
      <c r="BE102" s="4" t="s">
        <v>24</v>
      </c>
      <c r="BF102" s="5">
        <v>67</v>
      </c>
      <c r="BI102" s="4" t="s">
        <v>57</v>
      </c>
      <c r="BJ102" s="4">
        <v>2008</v>
      </c>
      <c r="BK102" s="4" t="s">
        <v>24</v>
      </c>
      <c r="BL102" s="5">
        <v>631</v>
      </c>
      <c r="BO102" s="4" t="s">
        <v>60</v>
      </c>
      <c r="BP102" s="4">
        <v>2008</v>
      </c>
      <c r="BQ102" s="4" t="s">
        <v>24</v>
      </c>
      <c r="BR102" s="5">
        <v>61</v>
      </c>
      <c r="BU102" s="4" t="s">
        <v>62</v>
      </c>
      <c r="BV102" s="4">
        <v>2008</v>
      </c>
      <c r="BW102" s="4" t="s">
        <v>24</v>
      </c>
      <c r="BX102" s="5">
        <v>650</v>
      </c>
      <c r="CA102" s="4" t="s">
        <v>64</v>
      </c>
      <c r="CB102" s="4">
        <v>2008</v>
      </c>
      <c r="CC102" s="4" t="s">
        <v>24</v>
      </c>
      <c r="CD102" s="5">
        <v>82</v>
      </c>
      <c r="CG102" s="4" t="s">
        <v>66</v>
      </c>
      <c r="CH102" s="4">
        <v>2008</v>
      </c>
      <c r="CI102" s="4" t="s">
        <v>24</v>
      </c>
      <c r="CJ102" s="5">
        <v>518</v>
      </c>
      <c r="CM102" s="4" t="s">
        <v>68</v>
      </c>
      <c r="CN102" s="4">
        <v>2008</v>
      </c>
      <c r="CO102" s="4" t="s">
        <v>24</v>
      </c>
      <c r="CP102" s="5">
        <v>209</v>
      </c>
      <c r="CS102" s="4" t="s">
        <v>206</v>
      </c>
      <c r="CT102" s="4">
        <v>2008</v>
      </c>
      <c r="CU102" s="4" t="s">
        <v>24</v>
      </c>
      <c r="CV102" s="5">
        <v>439</v>
      </c>
    </row>
    <row r="103" spans="1:100" x14ac:dyDescent="0.25">
      <c r="A103" s="4" t="s">
        <v>185</v>
      </c>
      <c r="B103" s="4">
        <v>2008</v>
      </c>
      <c r="C103" s="4" t="s">
        <v>25</v>
      </c>
      <c r="D103" s="5">
        <v>20</v>
      </c>
      <c r="G103" s="4" t="s">
        <v>3</v>
      </c>
      <c r="H103" s="4">
        <v>2008</v>
      </c>
      <c r="I103" s="4" t="s">
        <v>25</v>
      </c>
      <c r="J103" s="5">
        <v>119</v>
      </c>
      <c r="M103" s="4" t="s">
        <v>31</v>
      </c>
      <c r="N103" s="4">
        <v>2008</v>
      </c>
      <c r="O103" s="4" t="s">
        <v>25</v>
      </c>
      <c r="P103" s="5">
        <v>154</v>
      </c>
      <c r="S103" s="4" t="s">
        <v>33</v>
      </c>
      <c r="T103" s="4">
        <v>2008</v>
      </c>
      <c r="U103" s="4" t="s">
        <v>25</v>
      </c>
      <c r="V103" s="5">
        <v>100</v>
      </c>
      <c r="Y103" s="4" t="s">
        <v>35</v>
      </c>
      <c r="Z103" s="4">
        <v>2008</v>
      </c>
      <c r="AA103" s="4" t="s">
        <v>25</v>
      </c>
      <c r="AB103" s="5">
        <v>117</v>
      </c>
      <c r="AE103" s="4" t="s">
        <v>47</v>
      </c>
      <c r="AF103" s="4">
        <v>2008</v>
      </c>
      <c r="AG103" s="4" t="s">
        <v>25</v>
      </c>
      <c r="AH103" s="5">
        <v>303</v>
      </c>
      <c r="AK103" s="4" t="s">
        <v>49</v>
      </c>
      <c r="AL103" s="4">
        <v>2008</v>
      </c>
      <c r="AM103" s="4" t="s">
        <v>25</v>
      </c>
      <c r="AN103" s="5">
        <v>117</v>
      </c>
      <c r="AQ103" s="4" t="s">
        <v>51</v>
      </c>
      <c r="AR103" s="4">
        <v>2008</v>
      </c>
      <c r="AS103" s="4" t="s">
        <v>25</v>
      </c>
      <c r="AT103" s="5">
        <v>110</v>
      </c>
      <c r="AW103" s="4" t="s">
        <v>53</v>
      </c>
      <c r="AX103" s="4">
        <v>2008</v>
      </c>
      <c r="AY103" s="4" t="s">
        <v>25</v>
      </c>
      <c r="AZ103" s="5">
        <v>154</v>
      </c>
      <c r="BC103" s="4" t="s">
        <v>55</v>
      </c>
      <c r="BD103" s="4">
        <v>2008</v>
      </c>
      <c r="BE103" s="4" t="s">
        <v>25</v>
      </c>
      <c r="BF103" s="5">
        <v>32</v>
      </c>
      <c r="BI103" s="4" t="s">
        <v>57</v>
      </c>
      <c r="BJ103" s="4">
        <v>2008</v>
      </c>
      <c r="BK103" s="4" t="s">
        <v>25</v>
      </c>
      <c r="BL103" s="5">
        <v>693</v>
      </c>
      <c r="BO103" s="4" t="s">
        <v>60</v>
      </c>
      <c r="BP103" s="4">
        <v>2008</v>
      </c>
      <c r="BQ103" s="4" t="s">
        <v>25</v>
      </c>
      <c r="BR103" s="5">
        <v>56</v>
      </c>
      <c r="BU103" s="4" t="s">
        <v>62</v>
      </c>
      <c r="BV103" s="4">
        <v>2008</v>
      </c>
      <c r="BW103" s="4" t="s">
        <v>25</v>
      </c>
      <c r="BX103" s="5">
        <v>650</v>
      </c>
      <c r="CA103" s="4" t="s">
        <v>64</v>
      </c>
      <c r="CB103" s="4">
        <v>2008</v>
      </c>
      <c r="CC103" s="4" t="s">
        <v>25</v>
      </c>
      <c r="CD103" s="5">
        <v>46</v>
      </c>
      <c r="CG103" s="4" t="s">
        <v>66</v>
      </c>
      <c r="CH103" s="4">
        <v>2008</v>
      </c>
      <c r="CI103" s="4" t="s">
        <v>25</v>
      </c>
      <c r="CJ103" s="5">
        <v>437</v>
      </c>
      <c r="CM103" s="4" t="s">
        <v>68</v>
      </c>
      <c r="CN103" s="4">
        <v>2008</v>
      </c>
      <c r="CO103" s="4" t="s">
        <v>25</v>
      </c>
      <c r="CP103" s="5">
        <v>154</v>
      </c>
      <c r="CS103" s="4" t="s">
        <v>206</v>
      </c>
      <c r="CT103" s="4">
        <v>2008</v>
      </c>
      <c r="CU103" s="4" t="s">
        <v>25</v>
      </c>
      <c r="CV103" s="5">
        <v>471</v>
      </c>
    </row>
    <row r="104" spans="1:100" x14ac:dyDescent="0.25">
      <c r="A104" s="4" t="s">
        <v>185</v>
      </c>
      <c r="B104" s="4">
        <v>2008</v>
      </c>
      <c r="C104" s="4" t="s">
        <v>26</v>
      </c>
      <c r="D104" s="5">
        <v>24</v>
      </c>
      <c r="G104" s="4" t="s">
        <v>3</v>
      </c>
      <c r="H104" s="4">
        <v>2008</v>
      </c>
      <c r="I104" s="4" t="s">
        <v>26</v>
      </c>
      <c r="J104" s="5">
        <v>133</v>
      </c>
      <c r="M104" s="4" t="s">
        <v>31</v>
      </c>
      <c r="N104" s="4">
        <v>2008</v>
      </c>
      <c r="O104" s="4" t="s">
        <v>26</v>
      </c>
      <c r="P104" s="5">
        <v>161</v>
      </c>
      <c r="S104" s="4" t="s">
        <v>33</v>
      </c>
      <c r="T104" s="4">
        <v>2008</v>
      </c>
      <c r="U104" s="4" t="s">
        <v>26</v>
      </c>
      <c r="V104" s="5">
        <v>112</v>
      </c>
      <c r="Y104" s="4" t="s">
        <v>35</v>
      </c>
      <c r="Z104" s="4">
        <v>2008</v>
      </c>
      <c r="AA104" s="4" t="s">
        <v>26</v>
      </c>
      <c r="AB104" s="5">
        <v>116</v>
      </c>
      <c r="AE104" s="4" t="s">
        <v>47</v>
      </c>
      <c r="AF104" s="4">
        <v>2008</v>
      </c>
      <c r="AG104" s="4" t="s">
        <v>26</v>
      </c>
      <c r="AH104" s="5">
        <v>438</v>
      </c>
      <c r="AK104" s="4" t="s">
        <v>49</v>
      </c>
      <c r="AL104" s="4">
        <v>2008</v>
      </c>
      <c r="AM104" s="4" t="s">
        <v>26</v>
      </c>
      <c r="AN104" s="5">
        <v>143</v>
      </c>
      <c r="AQ104" s="4" t="s">
        <v>51</v>
      </c>
      <c r="AR104" s="4">
        <v>2008</v>
      </c>
      <c r="AS104" s="4" t="s">
        <v>26</v>
      </c>
      <c r="AT104" s="5">
        <v>69</v>
      </c>
      <c r="AW104" s="4" t="s">
        <v>53</v>
      </c>
      <c r="AX104" s="4">
        <v>2008</v>
      </c>
      <c r="AY104" s="4" t="s">
        <v>26</v>
      </c>
      <c r="AZ104" s="5">
        <v>159</v>
      </c>
      <c r="BC104" s="4" t="s">
        <v>55</v>
      </c>
      <c r="BD104" s="4">
        <v>2008</v>
      </c>
      <c r="BE104" s="4" t="s">
        <v>26</v>
      </c>
      <c r="BF104" s="5">
        <v>76</v>
      </c>
      <c r="BI104" s="4" t="s">
        <v>57</v>
      </c>
      <c r="BJ104" s="4">
        <v>2008</v>
      </c>
      <c r="BK104" s="4" t="s">
        <v>26</v>
      </c>
      <c r="BL104" s="5">
        <v>689</v>
      </c>
      <c r="BO104" s="4" t="s">
        <v>60</v>
      </c>
      <c r="BP104" s="4">
        <v>2008</v>
      </c>
      <c r="BQ104" s="4" t="s">
        <v>26</v>
      </c>
      <c r="BR104" s="5">
        <v>92</v>
      </c>
      <c r="BU104" s="4" t="s">
        <v>62</v>
      </c>
      <c r="BV104" s="4">
        <v>2008</v>
      </c>
      <c r="BW104" s="4" t="s">
        <v>26</v>
      </c>
      <c r="BX104" s="5">
        <v>710</v>
      </c>
      <c r="CA104" s="4" t="s">
        <v>64</v>
      </c>
      <c r="CB104" s="4">
        <v>2008</v>
      </c>
      <c r="CC104" s="4" t="s">
        <v>26</v>
      </c>
      <c r="CD104" s="5">
        <v>55</v>
      </c>
      <c r="CG104" s="4" t="s">
        <v>66</v>
      </c>
      <c r="CH104" s="4">
        <v>2008</v>
      </c>
      <c r="CI104" s="4" t="s">
        <v>26</v>
      </c>
      <c r="CJ104" s="5">
        <v>417</v>
      </c>
      <c r="CM104" s="4" t="s">
        <v>68</v>
      </c>
      <c r="CN104" s="4">
        <v>2008</v>
      </c>
      <c r="CO104" s="4" t="s">
        <v>26</v>
      </c>
      <c r="CP104" s="5">
        <v>245</v>
      </c>
      <c r="CS104" s="4" t="s">
        <v>206</v>
      </c>
      <c r="CT104" s="4">
        <v>2008</v>
      </c>
      <c r="CU104" s="4" t="s">
        <v>26</v>
      </c>
      <c r="CV104" s="5">
        <v>467</v>
      </c>
    </row>
    <row r="105" spans="1:100" x14ac:dyDescent="0.25">
      <c r="A105" s="4" t="s">
        <v>185</v>
      </c>
      <c r="B105" s="4">
        <v>2008</v>
      </c>
      <c r="C105" s="4" t="s">
        <v>27</v>
      </c>
      <c r="D105" s="5">
        <v>26</v>
      </c>
      <c r="G105" s="4" t="s">
        <v>3</v>
      </c>
      <c r="H105" s="4">
        <v>2008</v>
      </c>
      <c r="I105" s="4" t="s">
        <v>27</v>
      </c>
      <c r="J105" s="5">
        <v>88</v>
      </c>
      <c r="M105" s="4" t="s">
        <v>31</v>
      </c>
      <c r="N105" s="4">
        <v>2008</v>
      </c>
      <c r="O105" s="4" t="s">
        <v>27</v>
      </c>
      <c r="P105" s="5">
        <v>155</v>
      </c>
      <c r="S105" s="4" t="s">
        <v>33</v>
      </c>
      <c r="T105" s="4">
        <v>2008</v>
      </c>
      <c r="U105" s="4" t="s">
        <v>27</v>
      </c>
      <c r="V105" s="5">
        <v>108</v>
      </c>
      <c r="Y105" s="4" t="s">
        <v>35</v>
      </c>
      <c r="Z105" s="4">
        <v>2008</v>
      </c>
      <c r="AA105" s="4" t="s">
        <v>27</v>
      </c>
      <c r="AB105" s="5">
        <v>97</v>
      </c>
      <c r="AE105" s="4" t="s">
        <v>47</v>
      </c>
      <c r="AF105" s="4">
        <v>2008</v>
      </c>
      <c r="AG105" s="4" t="s">
        <v>27</v>
      </c>
      <c r="AH105" s="5">
        <v>386</v>
      </c>
      <c r="AK105" s="4" t="s">
        <v>49</v>
      </c>
      <c r="AL105" s="4">
        <v>2008</v>
      </c>
      <c r="AM105" s="4" t="s">
        <v>27</v>
      </c>
      <c r="AN105" s="5">
        <v>121</v>
      </c>
      <c r="AQ105" s="4" t="s">
        <v>51</v>
      </c>
      <c r="AR105" s="4">
        <v>2008</v>
      </c>
      <c r="AS105" s="4" t="s">
        <v>27</v>
      </c>
      <c r="AT105" s="5">
        <v>83</v>
      </c>
      <c r="AW105" s="4" t="s">
        <v>53</v>
      </c>
      <c r="AX105" s="4">
        <v>2008</v>
      </c>
      <c r="AY105" s="4" t="s">
        <v>27</v>
      </c>
      <c r="AZ105" s="5">
        <v>162</v>
      </c>
      <c r="BC105" s="4" t="s">
        <v>55</v>
      </c>
      <c r="BD105" s="4">
        <v>2008</v>
      </c>
      <c r="BE105" s="4" t="s">
        <v>27</v>
      </c>
      <c r="BF105" s="5">
        <v>29</v>
      </c>
      <c r="BI105" s="4" t="s">
        <v>57</v>
      </c>
      <c r="BJ105" s="4">
        <v>2008</v>
      </c>
      <c r="BK105" s="4" t="s">
        <v>27</v>
      </c>
      <c r="BL105" s="5">
        <v>672</v>
      </c>
      <c r="BO105" s="4" t="s">
        <v>60</v>
      </c>
      <c r="BP105" s="4">
        <v>2008</v>
      </c>
      <c r="BQ105" s="4" t="s">
        <v>27</v>
      </c>
      <c r="BR105" s="5">
        <v>74</v>
      </c>
      <c r="BU105" s="4" t="s">
        <v>62</v>
      </c>
      <c r="BV105" s="4">
        <v>2008</v>
      </c>
      <c r="BW105" s="4" t="s">
        <v>27</v>
      </c>
      <c r="BX105" s="5">
        <v>627</v>
      </c>
      <c r="CA105" s="4" t="s">
        <v>64</v>
      </c>
      <c r="CB105" s="4">
        <v>2008</v>
      </c>
      <c r="CC105" s="4" t="s">
        <v>27</v>
      </c>
      <c r="CD105" s="5">
        <v>70</v>
      </c>
      <c r="CG105" s="4" t="s">
        <v>66</v>
      </c>
      <c r="CH105" s="4">
        <v>2008</v>
      </c>
      <c r="CI105" s="4" t="s">
        <v>27</v>
      </c>
      <c r="CJ105" s="5">
        <v>361</v>
      </c>
      <c r="CM105" s="4" t="s">
        <v>68</v>
      </c>
      <c r="CN105" s="4">
        <v>2008</v>
      </c>
      <c r="CO105" s="4" t="s">
        <v>27</v>
      </c>
      <c r="CP105" s="5">
        <v>241</v>
      </c>
      <c r="CS105" s="4" t="s">
        <v>206</v>
      </c>
      <c r="CT105" s="4">
        <v>2008</v>
      </c>
      <c r="CU105" s="4" t="s">
        <v>27</v>
      </c>
      <c r="CV105" s="5">
        <v>433</v>
      </c>
    </row>
    <row r="106" spans="1:100" x14ac:dyDescent="0.25">
      <c r="A106" s="4" t="s">
        <v>185</v>
      </c>
      <c r="B106" s="4">
        <v>2008</v>
      </c>
      <c r="C106" s="4" t="s">
        <v>28</v>
      </c>
      <c r="D106" s="5">
        <v>17</v>
      </c>
      <c r="G106" s="4" t="s">
        <v>3</v>
      </c>
      <c r="H106" s="4">
        <v>2008</v>
      </c>
      <c r="I106" s="4" t="s">
        <v>28</v>
      </c>
      <c r="J106" s="5">
        <v>135</v>
      </c>
      <c r="M106" s="4" t="s">
        <v>31</v>
      </c>
      <c r="N106" s="4">
        <v>2008</v>
      </c>
      <c r="O106" s="4" t="s">
        <v>28</v>
      </c>
      <c r="P106" s="5">
        <v>130</v>
      </c>
      <c r="S106" s="4" t="s">
        <v>33</v>
      </c>
      <c r="T106" s="4">
        <v>2008</v>
      </c>
      <c r="U106" s="4" t="s">
        <v>28</v>
      </c>
      <c r="V106" s="5">
        <v>94</v>
      </c>
      <c r="Y106" s="4" t="s">
        <v>35</v>
      </c>
      <c r="Z106" s="4">
        <v>2008</v>
      </c>
      <c r="AA106" s="4" t="s">
        <v>28</v>
      </c>
      <c r="AB106" s="5">
        <v>90</v>
      </c>
      <c r="AE106" s="4" t="s">
        <v>47</v>
      </c>
      <c r="AF106" s="4">
        <v>2008</v>
      </c>
      <c r="AG106" s="4" t="s">
        <v>28</v>
      </c>
      <c r="AH106" s="5">
        <v>369</v>
      </c>
      <c r="AK106" s="4" t="s">
        <v>49</v>
      </c>
      <c r="AL106" s="4">
        <v>2008</v>
      </c>
      <c r="AM106" s="4" t="s">
        <v>28</v>
      </c>
      <c r="AN106" s="5">
        <v>123</v>
      </c>
      <c r="AQ106" s="4" t="s">
        <v>51</v>
      </c>
      <c r="AR106" s="4">
        <v>2008</v>
      </c>
      <c r="AS106" s="4" t="s">
        <v>28</v>
      </c>
      <c r="AT106" s="5">
        <v>60</v>
      </c>
      <c r="AW106" s="4" t="s">
        <v>53</v>
      </c>
      <c r="AX106" s="4">
        <v>2008</v>
      </c>
      <c r="AY106" s="4" t="s">
        <v>28</v>
      </c>
      <c r="AZ106" s="5">
        <v>124</v>
      </c>
      <c r="BC106" s="4" t="s">
        <v>55</v>
      </c>
      <c r="BD106" s="4">
        <v>2008</v>
      </c>
      <c r="BE106" s="4" t="s">
        <v>28</v>
      </c>
      <c r="BF106" s="5">
        <v>51</v>
      </c>
      <c r="BI106" s="4" t="s">
        <v>57</v>
      </c>
      <c r="BJ106" s="4">
        <v>2008</v>
      </c>
      <c r="BK106" s="4" t="s">
        <v>28</v>
      </c>
      <c r="BL106" s="5">
        <v>608</v>
      </c>
      <c r="BO106" s="4" t="s">
        <v>60</v>
      </c>
      <c r="BP106" s="4">
        <v>2008</v>
      </c>
      <c r="BQ106" s="4" t="s">
        <v>28</v>
      </c>
      <c r="BR106" s="5">
        <v>36</v>
      </c>
      <c r="BU106" s="4" t="s">
        <v>62</v>
      </c>
      <c r="BV106" s="4">
        <v>2008</v>
      </c>
      <c r="BW106" s="4" t="s">
        <v>28</v>
      </c>
      <c r="BX106" s="5">
        <v>525</v>
      </c>
      <c r="CA106" s="4" t="s">
        <v>64</v>
      </c>
      <c r="CB106" s="4">
        <v>2008</v>
      </c>
      <c r="CC106" s="4" t="s">
        <v>28</v>
      </c>
      <c r="CD106" s="5">
        <v>36</v>
      </c>
      <c r="CG106" s="4" t="s">
        <v>66</v>
      </c>
      <c r="CH106" s="4">
        <v>2008</v>
      </c>
      <c r="CI106" s="4" t="s">
        <v>28</v>
      </c>
      <c r="CJ106" s="5">
        <v>334</v>
      </c>
      <c r="CM106" s="4" t="s">
        <v>68</v>
      </c>
      <c r="CN106" s="4">
        <v>2008</v>
      </c>
      <c r="CO106" s="4" t="s">
        <v>28</v>
      </c>
      <c r="CP106" s="5">
        <v>111</v>
      </c>
      <c r="CS106" s="4" t="s">
        <v>206</v>
      </c>
      <c r="CT106" s="4">
        <v>2008</v>
      </c>
      <c r="CU106" s="4" t="s">
        <v>28</v>
      </c>
      <c r="CV106" s="5">
        <v>390</v>
      </c>
    </row>
    <row r="107" spans="1:100" x14ac:dyDescent="0.25">
      <c r="A107" s="4" t="s">
        <v>185</v>
      </c>
      <c r="B107" s="4">
        <v>2008</v>
      </c>
      <c r="C107" s="4" t="s">
        <v>29</v>
      </c>
      <c r="D107" s="5">
        <v>15</v>
      </c>
      <c r="G107" s="4" t="s">
        <v>3</v>
      </c>
      <c r="H107" s="4">
        <v>2008</v>
      </c>
      <c r="I107" s="4" t="s">
        <v>29</v>
      </c>
      <c r="J107" s="5">
        <v>67</v>
      </c>
      <c r="M107" s="4" t="s">
        <v>31</v>
      </c>
      <c r="N107" s="4">
        <v>2008</v>
      </c>
      <c r="O107" s="4" t="s">
        <v>29</v>
      </c>
      <c r="P107" s="5">
        <v>130</v>
      </c>
      <c r="S107" s="4" t="s">
        <v>33</v>
      </c>
      <c r="T107" s="4">
        <v>2008</v>
      </c>
      <c r="U107" s="4" t="s">
        <v>29</v>
      </c>
      <c r="V107" s="5">
        <v>110</v>
      </c>
      <c r="Y107" s="4" t="s">
        <v>35</v>
      </c>
      <c r="Z107" s="4">
        <v>2008</v>
      </c>
      <c r="AA107" s="4" t="s">
        <v>29</v>
      </c>
      <c r="AB107" s="5">
        <v>73</v>
      </c>
      <c r="AE107" s="4" t="s">
        <v>47</v>
      </c>
      <c r="AF107" s="4">
        <v>2008</v>
      </c>
      <c r="AG107" s="4" t="s">
        <v>29</v>
      </c>
      <c r="AH107" s="5">
        <v>539</v>
      </c>
      <c r="AK107" s="4" t="s">
        <v>49</v>
      </c>
      <c r="AL107" s="4">
        <v>2008</v>
      </c>
      <c r="AM107" s="4" t="s">
        <v>29</v>
      </c>
      <c r="AN107" s="5">
        <v>115</v>
      </c>
      <c r="AQ107" s="4" t="s">
        <v>51</v>
      </c>
      <c r="AR107" s="4">
        <v>2008</v>
      </c>
      <c r="AS107" s="4" t="s">
        <v>29</v>
      </c>
      <c r="AT107" s="5">
        <v>91</v>
      </c>
      <c r="AW107" s="4" t="s">
        <v>53</v>
      </c>
      <c r="AX107" s="4">
        <v>2008</v>
      </c>
      <c r="AY107" s="4" t="s">
        <v>29</v>
      </c>
      <c r="AZ107" s="5">
        <v>122</v>
      </c>
      <c r="BC107" s="4" t="s">
        <v>55</v>
      </c>
      <c r="BD107" s="4">
        <v>2008</v>
      </c>
      <c r="BE107" s="4" t="s">
        <v>29</v>
      </c>
      <c r="BF107" s="5">
        <v>37</v>
      </c>
      <c r="BI107" s="4" t="s">
        <v>57</v>
      </c>
      <c r="BJ107" s="4">
        <v>2008</v>
      </c>
      <c r="BK107" s="4" t="s">
        <v>29</v>
      </c>
      <c r="BL107" s="5">
        <v>668</v>
      </c>
      <c r="BO107" s="4" t="s">
        <v>60</v>
      </c>
      <c r="BP107" s="4">
        <v>2008</v>
      </c>
      <c r="BQ107" s="4" t="s">
        <v>29</v>
      </c>
      <c r="BR107" s="5">
        <v>72</v>
      </c>
      <c r="BU107" s="4" t="s">
        <v>62</v>
      </c>
      <c r="BV107" s="4">
        <v>2008</v>
      </c>
      <c r="BW107" s="4" t="s">
        <v>29</v>
      </c>
      <c r="BX107" s="5">
        <v>581</v>
      </c>
      <c r="CA107" s="4" t="s">
        <v>64</v>
      </c>
      <c r="CB107" s="4">
        <v>2008</v>
      </c>
      <c r="CC107" s="4" t="s">
        <v>29</v>
      </c>
      <c r="CD107" s="5">
        <v>58</v>
      </c>
      <c r="CG107" s="4" t="s">
        <v>66</v>
      </c>
      <c r="CH107" s="4">
        <v>2008</v>
      </c>
      <c r="CI107" s="4" t="s">
        <v>29</v>
      </c>
      <c r="CJ107" s="5">
        <v>357</v>
      </c>
      <c r="CM107" s="4" t="s">
        <v>68</v>
      </c>
      <c r="CN107" s="4">
        <v>2008</v>
      </c>
      <c r="CO107" s="4" t="s">
        <v>29</v>
      </c>
      <c r="CP107" s="5">
        <v>180</v>
      </c>
      <c r="CS107" s="4" t="s">
        <v>206</v>
      </c>
      <c r="CT107" s="4">
        <v>2008</v>
      </c>
      <c r="CU107" s="4" t="s">
        <v>29</v>
      </c>
      <c r="CV107" s="5">
        <v>394</v>
      </c>
    </row>
    <row r="108" spans="1:100" x14ac:dyDescent="0.25">
      <c r="A108" s="4" t="s">
        <v>185</v>
      </c>
      <c r="B108" s="4">
        <v>2008</v>
      </c>
      <c r="C108" s="4" t="s">
        <v>30</v>
      </c>
      <c r="D108" s="5">
        <v>15</v>
      </c>
      <c r="G108" s="4" t="s">
        <v>3</v>
      </c>
      <c r="H108" s="4">
        <v>2008</v>
      </c>
      <c r="I108" s="4" t="s">
        <v>30</v>
      </c>
      <c r="J108" s="5">
        <v>45</v>
      </c>
      <c r="M108" s="4" t="s">
        <v>31</v>
      </c>
      <c r="N108" s="4">
        <v>2008</v>
      </c>
      <c r="O108" s="4" t="s">
        <v>30</v>
      </c>
      <c r="P108" s="5">
        <v>79</v>
      </c>
      <c r="S108" s="4" t="s">
        <v>33</v>
      </c>
      <c r="T108" s="4">
        <v>2008</v>
      </c>
      <c r="U108" s="4" t="s">
        <v>30</v>
      </c>
      <c r="V108" s="5">
        <v>62</v>
      </c>
      <c r="Y108" s="4" t="s">
        <v>35</v>
      </c>
      <c r="Z108" s="4">
        <v>2008</v>
      </c>
      <c r="AA108" s="4" t="s">
        <v>30</v>
      </c>
      <c r="AB108" s="5">
        <v>72</v>
      </c>
      <c r="AE108" s="4" t="s">
        <v>47</v>
      </c>
      <c r="AF108" s="4">
        <v>2008</v>
      </c>
      <c r="AG108" s="4" t="s">
        <v>30</v>
      </c>
      <c r="AH108" s="5">
        <v>352</v>
      </c>
      <c r="AK108" s="4" t="s">
        <v>49</v>
      </c>
      <c r="AL108" s="4">
        <v>2008</v>
      </c>
      <c r="AM108" s="4" t="s">
        <v>30</v>
      </c>
      <c r="AN108" s="5">
        <v>72</v>
      </c>
      <c r="AQ108" s="4" t="s">
        <v>51</v>
      </c>
      <c r="AR108" s="4">
        <v>2008</v>
      </c>
      <c r="AS108" s="4" t="s">
        <v>30</v>
      </c>
      <c r="AT108" s="5">
        <v>80</v>
      </c>
      <c r="AW108" s="4" t="s">
        <v>53</v>
      </c>
      <c r="AX108" s="4">
        <v>2008</v>
      </c>
      <c r="AY108" s="4" t="s">
        <v>30</v>
      </c>
      <c r="AZ108" s="5">
        <v>112</v>
      </c>
      <c r="BC108" s="4" t="s">
        <v>55</v>
      </c>
      <c r="BD108" s="4">
        <v>2008</v>
      </c>
      <c r="BE108" s="4" t="s">
        <v>30</v>
      </c>
      <c r="BF108" s="5">
        <v>61</v>
      </c>
      <c r="BI108" s="4" t="s">
        <v>57</v>
      </c>
      <c r="BJ108" s="4">
        <v>2008</v>
      </c>
      <c r="BK108" s="4" t="s">
        <v>30</v>
      </c>
      <c r="BL108" s="5">
        <v>530</v>
      </c>
      <c r="BO108" s="4" t="s">
        <v>60</v>
      </c>
      <c r="BP108" s="4">
        <v>2008</v>
      </c>
      <c r="BQ108" s="4" t="s">
        <v>30</v>
      </c>
      <c r="BR108" s="5">
        <v>61</v>
      </c>
      <c r="BU108" s="4" t="s">
        <v>62</v>
      </c>
      <c r="BV108" s="4">
        <v>2008</v>
      </c>
      <c r="BW108" s="4" t="s">
        <v>30</v>
      </c>
      <c r="BX108" s="5">
        <v>515</v>
      </c>
      <c r="CA108" s="4" t="s">
        <v>64</v>
      </c>
      <c r="CB108" s="4">
        <v>2008</v>
      </c>
      <c r="CC108" s="4" t="s">
        <v>30</v>
      </c>
      <c r="CD108" s="5">
        <v>29</v>
      </c>
      <c r="CG108" s="4" t="s">
        <v>66</v>
      </c>
      <c r="CH108" s="4">
        <v>2008</v>
      </c>
      <c r="CI108" s="4" t="s">
        <v>30</v>
      </c>
      <c r="CJ108" s="5">
        <v>210</v>
      </c>
      <c r="CM108" s="4" t="s">
        <v>68</v>
      </c>
      <c r="CN108" s="4">
        <v>2008</v>
      </c>
      <c r="CO108" s="4" t="s">
        <v>30</v>
      </c>
      <c r="CP108" s="5">
        <v>174</v>
      </c>
      <c r="CS108" s="4" t="s">
        <v>206</v>
      </c>
      <c r="CT108" s="4">
        <v>2008</v>
      </c>
      <c r="CU108" s="4" t="s">
        <v>30</v>
      </c>
      <c r="CV108" s="5">
        <v>352</v>
      </c>
    </row>
    <row r="109" spans="1:100" x14ac:dyDescent="0.25">
      <c r="A109" s="4" t="s">
        <v>185</v>
      </c>
      <c r="B109" s="4">
        <v>2008</v>
      </c>
      <c r="C109" s="4" t="s">
        <v>19</v>
      </c>
      <c r="D109" s="5">
        <v>15</v>
      </c>
      <c r="G109" s="4" t="s">
        <v>3</v>
      </c>
      <c r="H109" s="4">
        <v>2008</v>
      </c>
      <c r="I109" s="4" t="s">
        <v>19</v>
      </c>
      <c r="J109" s="5">
        <v>65</v>
      </c>
      <c r="M109" s="4" t="s">
        <v>31</v>
      </c>
      <c r="N109" s="4">
        <v>2008</v>
      </c>
      <c r="O109" s="4" t="s">
        <v>19</v>
      </c>
      <c r="P109" s="5">
        <v>75</v>
      </c>
      <c r="S109" s="4" t="s">
        <v>33</v>
      </c>
      <c r="T109" s="4">
        <v>2008</v>
      </c>
      <c r="U109" s="4" t="s">
        <v>19</v>
      </c>
      <c r="V109" s="5">
        <v>66</v>
      </c>
      <c r="Y109" s="4" t="s">
        <v>35</v>
      </c>
      <c r="Z109" s="4">
        <v>2008</v>
      </c>
      <c r="AA109" s="4" t="s">
        <v>19</v>
      </c>
      <c r="AB109" s="5">
        <v>71</v>
      </c>
      <c r="AE109" s="4" t="s">
        <v>47</v>
      </c>
      <c r="AF109" s="4">
        <v>2008</v>
      </c>
      <c r="AG109" s="4" t="s">
        <v>19</v>
      </c>
      <c r="AH109" s="5">
        <v>257</v>
      </c>
      <c r="AK109" s="4" t="s">
        <v>49</v>
      </c>
      <c r="AL109" s="4">
        <v>2008</v>
      </c>
      <c r="AM109" s="4" t="s">
        <v>19</v>
      </c>
      <c r="AN109" s="5">
        <v>56</v>
      </c>
      <c r="AQ109" s="4" t="s">
        <v>51</v>
      </c>
      <c r="AR109" s="4">
        <v>2008</v>
      </c>
      <c r="AS109" s="4" t="s">
        <v>19</v>
      </c>
      <c r="AT109" s="5">
        <v>57</v>
      </c>
      <c r="AW109" s="4" t="s">
        <v>53</v>
      </c>
      <c r="AX109" s="4">
        <v>2008</v>
      </c>
      <c r="AY109" s="4" t="s">
        <v>19</v>
      </c>
      <c r="AZ109" s="5">
        <v>135</v>
      </c>
      <c r="BC109" s="4" t="s">
        <v>55</v>
      </c>
      <c r="BD109" s="4">
        <v>2008</v>
      </c>
      <c r="BE109" s="4" t="s">
        <v>19</v>
      </c>
      <c r="BF109" s="5">
        <v>39</v>
      </c>
      <c r="BI109" s="4" t="s">
        <v>57</v>
      </c>
      <c r="BJ109" s="4">
        <v>2008</v>
      </c>
      <c r="BK109" s="4" t="s">
        <v>19</v>
      </c>
      <c r="BL109" s="5">
        <v>518</v>
      </c>
      <c r="BO109" s="4" t="s">
        <v>60</v>
      </c>
      <c r="BP109" s="4">
        <v>2008</v>
      </c>
      <c r="BQ109" s="4" t="s">
        <v>19</v>
      </c>
      <c r="BR109" s="5">
        <v>67</v>
      </c>
      <c r="BU109" s="4" t="s">
        <v>62</v>
      </c>
      <c r="BV109" s="4">
        <v>2008</v>
      </c>
      <c r="BW109" s="4" t="s">
        <v>19</v>
      </c>
      <c r="BX109" s="5">
        <v>517</v>
      </c>
      <c r="CA109" s="4" t="s">
        <v>64</v>
      </c>
      <c r="CB109" s="4">
        <v>2008</v>
      </c>
      <c r="CC109" s="4" t="s">
        <v>19</v>
      </c>
      <c r="CD109" s="5">
        <v>23</v>
      </c>
      <c r="CG109" s="4" t="s">
        <v>66</v>
      </c>
      <c r="CH109" s="4">
        <v>2008</v>
      </c>
      <c r="CI109" s="4" t="s">
        <v>19</v>
      </c>
      <c r="CJ109" s="5">
        <v>220</v>
      </c>
      <c r="CM109" s="4" t="s">
        <v>68</v>
      </c>
      <c r="CN109" s="4">
        <v>2008</v>
      </c>
      <c r="CO109" s="4" t="s">
        <v>19</v>
      </c>
      <c r="CP109" s="5">
        <v>191</v>
      </c>
      <c r="CS109" s="4" t="s">
        <v>206</v>
      </c>
      <c r="CT109" s="4">
        <v>2008</v>
      </c>
      <c r="CU109" s="4" t="s">
        <v>19</v>
      </c>
      <c r="CV109" s="5">
        <v>278</v>
      </c>
    </row>
    <row r="110" spans="1:100" x14ac:dyDescent="0.25">
      <c r="A110" s="4" t="s">
        <v>185</v>
      </c>
      <c r="B110" s="4">
        <v>2009</v>
      </c>
      <c r="C110" s="4" t="s">
        <v>20</v>
      </c>
      <c r="D110" s="5">
        <v>17</v>
      </c>
      <c r="G110" s="4" t="s">
        <v>3</v>
      </c>
      <c r="H110" s="4">
        <v>2009</v>
      </c>
      <c r="I110" s="4" t="s">
        <v>20</v>
      </c>
      <c r="J110" s="5">
        <v>32</v>
      </c>
      <c r="M110" s="4" t="s">
        <v>31</v>
      </c>
      <c r="N110" s="4">
        <v>2009</v>
      </c>
      <c r="O110" s="4" t="s">
        <v>20</v>
      </c>
      <c r="P110" s="5">
        <v>52</v>
      </c>
      <c r="S110" s="4" t="s">
        <v>33</v>
      </c>
      <c r="T110" s="4">
        <v>2009</v>
      </c>
      <c r="U110" s="4" t="s">
        <v>20</v>
      </c>
      <c r="V110" s="5">
        <v>68</v>
      </c>
      <c r="Y110" s="4" t="s">
        <v>35</v>
      </c>
      <c r="Z110" s="4">
        <v>2009</v>
      </c>
      <c r="AA110" s="4" t="s">
        <v>20</v>
      </c>
      <c r="AB110" s="5">
        <v>49</v>
      </c>
      <c r="AE110" s="4" t="s">
        <v>47</v>
      </c>
      <c r="AF110" s="4">
        <v>2009</v>
      </c>
      <c r="AG110" s="4" t="s">
        <v>20</v>
      </c>
      <c r="AH110" s="5">
        <v>394</v>
      </c>
      <c r="AK110" s="4" t="s">
        <v>49</v>
      </c>
      <c r="AL110" s="4">
        <v>2009</v>
      </c>
      <c r="AM110" s="4" t="s">
        <v>20</v>
      </c>
      <c r="AN110" s="5">
        <v>69</v>
      </c>
      <c r="AQ110" s="4" t="s">
        <v>51</v>
      </c>
      <c r="AR110" s="4">
        <v>2009</v>
      </c>
      <c r="AS110" s="4" t="s">
        <v>20</v>
      </c>
      <c r="AT110" s="5">
        <v>74</v>
      </c>
      <c r="AW110" s="4" t="s">
        <v>53</v>
      </c>
      <c r="AX110" s="4">
        <v>2009</v>
      </c>
      <c r="AY110" s="4" t="s">
        <v>20</v>
      </c>
      <c r="AZ110" s="5">
        <v>153</v>
      </c>
      <c r="BC110" s="4" t="s">
        <v>55</v>
      </c>
      <c r="BD110" s="4">
        <v>2009</v>
      </c>
      <c r="BE110" s="4" t="s">
        <v>20</v>
      </c>
      <c r="BF110" s="5">
        <v>36</v>
      </c>
      <c r="BI110" s="4" t="s">
        <v>57</v>
      </c>
      <c r="BJ110" s="4">
        <v>2009</v>
      </c>
      <c r="BK110" s="4" t="s">
        <v>20</v>
      </c>
      <c r="BL110" s="5">
        <v>579</v>
      </c>
      <c r="BO110" s="4" t="s">
        <v>60</v>
      </c>
      <c r="BP110" s="4">
        <v>2009</v>
      </c>
      <c r="BQ110" s="4" t="s">
        <v>20</v>
      </c>
      <c r="BR110" s="5">
        <v>69</v>
      </c>
      <c r="BU110" s="4" t="s">
        <v>62</v>
      </c>
      <c r="BV110" s="4">
        <v>2009</v>
      </c>
      <c r="BW110" s="4" t="s">
        <v>20</v>
      </c>
      <c r="BX110" s="5">
        <v>596</v>
      </c>
      <c r="CA110" s="4" t="s">
        <v>64</v>
      </c>
      <c r="CB110" s="4">
        <v>2009</v>
      </c>
      <c r="CC110" s="4" t="s">
        <v>20</v>
      </c>
      <c r="CD110" s="5">
        <v>25</v>
      </c>
      <c r="CG110" s="4" t="s">
        <v>66</v>
      </c>
      <c r="CH110" s="4">
        <v>2009</v>
      </c>
      <c r="CI110" s="4" t="s">
        <v>20</v>
      </c>
      <c r="CJ110" s="5">
        <v>200</v>
      </c>
      <c r="CM110" s="4" t="s">
        <v>68</v>
      </c>
      <c r="CN110" s="4">
        <v>2009</v>
      </c>
      <c r="CO110" s="4" t="s">
        <v>20</v>
      </c>
      <c r="CP110" s="5">
        <v>160</v>
      </c>
      <c r="CS110" s="4" t="s">
        <v>206</v>
      </c>
      <c r="CT110" s="4">
        <v>2009</v>
      </c>
      <c r="CU110" s="4" t="s">
        <v>20</v>
      </c>
      <c r="CV110" s="5">
        <v>388</v>
      </c>
    </row>
    <row r="111" spans="1:100" x14ac:dyDescent="0.25">
      <c r="A111" s="4" t="s">
        <v>185</v>
      </c>
      <c r="B111" s="4">
        <v>2009</v>
      </c>
      <c r="C111" s="4" t="s">
        <v>21</v>
      </c>
      <c r="D111" s="5">
        <v>8</v>
      </c>
      <c r="G111" s="4" t="s">
        <v>3</v>
      </c>
      <c r="H111" s="4">
        <v>2009</v>
      </c>
      <c r="I111" s="4" t="s">
        <v>21</v>
      </c>
      <c r="J111" s="5">
        <v>67</v>
      </c>
      <c r="M111" s="4" t="s">
        <v>31</v>
      </c>
      <c r="N111" s="4">
        <v>2009</v>
      </c>
      <c r="O111" s="4" t="s">
        <v>21</v>
      </c>
      <c r="P111" s="5">
        <v>66</v>
      </c>
      <c r="S111" s="4" t="s">
        <v>33</v>
      </c>
      <c r="T111" s="4">
        <v>2009</v>
      </c>
      <c r="U111" s="4" t="s">
        <v>21</v>
      </c>
      <c r="V111" s="5">
        <v>69</v>
      </c>
      <c r="Y111" s="4" t="s">
        <v>35</v>
      </c>
      <c r="Z111" s="4">
        <v>2009</v>
      </c>
      <c r="AA111" s="4" t="s">
        <v>21</v>
      </c>
      <c r="AB111" s="5">
        <v>85</v>
      </c>
      <c r="AE111" s="4" t="s">
        <v>47</v>
      </c>
      <c r="AF111" s="4">
        <v>2009</v>
      </c>
      <c r="AG111" s="4" t="s">
        <v>21</v>
      </c>
      <c r="AH111" s="5">
        <v>253</v>
      </c>
      <c r="AK111" s="4" t="s">
        <v>49</v>
      </c>
      <c r="AL111" s="4">
        <v>2009</v>
      </c>
      <c r="AM111" s="4" t="s">
        <v>21</v>
      </c>
      <c r="AN111" s="5">
        <v>36</v>
      </c>
      <c r="AQ111" s="4" t="s">
        <v>51</v>
      </c>
      <c r="AR111" s="4">
        <v>2009</v>
      </c>
      <c r="AS111" s="4" t="s">
        <v>21</v>
      </c>
      <c r="AT111" s="5">
        <v>68</v>
      </c>
      <c r="AW111" s="4" t="s">
        <v>53</v>
      </c>
      <c r="AX111" s="4">
        <v>2009</v>
      </c>
      <c r="AY111" s="4" t="s">
        <v>21</v>
      </c>
      <c r="AZ111" s="5">
        <v>125</v>
      </c>
      <c r="BC111" s="4" t="s">
        <v>55</v>
      </c>
      <c r="BD111" s="4">
        <v>2009</v>
      </c>
      <c r="BE111" s="4" t="s">
        <v>21</v>
      </c>
      <c r="BF111" s="5">
        <v>42</v>
      </c>
      <c r="BI111" s="4" t="s">
        <v>57</v>
      </c>
      <c r="BJ111" s="4">
        <v>2009</v>
      </c>
      <c r="BK111" s="4" t="s">
        <v>21</v>
      </c>
      <c r="BL111" s="5">
        <v>513</v>
      </c>
      <c r="BO111" s="4" t="s">
        <v>60</v>
      </c>
      <c r="BP111" s="4">
        <v>2009</v>
      </c>
      <c r="BQ111" s="4" t="s">
        <v>21</v>
      </c>
      <c r="BR111" s="5">
        <v>44</v>
      </c>
      <c r="BU111" s="4" t="s">
        <v>62</v>
      </c>
      <c r="BV111" s="4">
        <v>2009</v>
      </c>
      <c r="BW111" s="4" t="s">
        <v>21</v>
      </c>
      <c r="BX111" s="5">
        <v>511</v>
      </c>
      <c r="CA111" s="4" t="s">
        <v>64</v>
      </c>
      <c r="CB111" s="4">
        <v>2009</v>
      </c>
      <c r="CC111" s="4" t="s">
        <v>21</v>
      </c>
      <c r="CD111" s="5">
        <v>29</v>
      </c>
      <c r="CG111" s="4" t="s">
        <v>66</v>
      </c>
      <c r="CH111" s="4">
        <v>2009</v>
      </c>
      <c r="CI111" s="4" t="s">
        <v>21</v>
      </c>
      <c r="CJ111" s="5">
        <v>244</v>
      </c>
      <c r="CM111" s="4" t="s">
        <v>68</v>
      </c>
      <c r="CN111" s="4">
        <v>2009</v>
      </c>
      <c r="CO111" s="4" t="s">
        <v>21</v>
      </c>
      <c r="CP111" s="5">
        <v>150</v>
      </c>
      <c r="CS111" s="4" t="s">
        <v>206</v>
      </c>
      <c r="CT111" s="4">
        <v>2009</v>
      </c>
      <c r="CU111" s="4" t="s">
        <v>21</v>
      </c>
      <c r="CV111" s="5">
        <v>347</v>
      </c>
    </row>
    <row r="112" spans="1:100" x14ac:dyDescent="0.25">
      <c r="A112" s="4" t="s">
        <v>185</v>
      </c>
      <c r="B112" s="4">
        <v>2009</v>
      </c>
      <c r="C112" s="4" t="s">
        <v>22</v>
      </c>
      <c r="D112" s="5">
        <v>9</v>
      </c>
      <c r="G112" s="4" t="s">
        <v>3</v>
      </c>
      <c r="H112" s="4">
        <v>2009</v>
      </c>
      <c r="I112" s="4" t="s">
        <v>22</v>
      </c>
      <c r="J112" s="5">
        <v>48</v>
      </c>
      <c r="M112" s="4" t="s">
        <v>31</v>
      </c>
      <c r="N112" s="4">
        <v>2009</v>
      </c>
      <c r="O112" s="4" t="s">
        <v>22</v>
      </c>
      <c r="P112" s="5">
        <v>54</v>
      </c>
      <c r="S112" s="4" t="s">
        <v>33</v>
      </c>
      <c r="T112" s="4">
        <v>2009</v>
      </c>
      <c r="U112" s="4" t="s">
        <v>22</v>
      </c>
      <c r="V112" s="5">
        <v>57</v>
      </c>
      <c r="Y112" s="4" t="s">
        <v>35</v>
      </c>
      <c r="Z112" s="4">
        <v>2009</v>
      </c>
      <c r="AA112" s="4" t="s">
        <v>22</v>
      </c>
      <c r="AB112" s="5">
        <v>77</v>
      </c>
      <c r="AE112" s="4" t="s">
        <v>47</v>
      </c>
      <c r="AF112" s="4">
        <v>2009</v>
      </c>
      <c r="AG112" s="4" t="s">
        <v>22</v>
      </c>
      <c r="AH112" s="5">
        <v>228</v>
      </c>
      <c r="AK112" s="4" t="s">
        <v>49</v>
      </c>
      <c r="AL112" s="4">
        <v>2009</v>
      </c>
      <c r="AM112" s="4" t="s">
        <v>22</v>
      </c>
      <c r="AN112" s="5">
        <v>64</v>
      </c>
      <c r="AQ112" s="4" t="s">
        <v>51</v>
      </c>
      <c r="AR112" s="4">
        <v>2009</v>
      </c>
      <c r="AS112" s="4" t="s">
        <v>22</v>
      </c>
      <c r="AT112" s="5">
        <v>53</v>
      </c>
      <c r="AW112" s="4" t="s">
        <v>53</v>
      </c>
      <c r="AX112" s="4">
        <v>2009</v>
      </c>
      <c r="AY112" s="4" t="s">
        <v>22</v>
      </c>
      <c r="AZ112" s="5">
        <v>134</v>
      </c>
      <c r="BC112" s="4" t="s">
        <v>55</v>
      </c>
      <c r="BD112" s="4">
        <v>2009</v>
      </c>
      <c r="BE112" s="4" t="s">
        <v>22</v>
      </c>
      <c r="BF112" s="5">
        <v>48</v>
      </c>
      <c r="BI112" s="4" t="s">
        <v>57</v>
      </c>
      <c r="BJ112" s="4">
        <v>2009</v>
      </c>
      <c r="BK112" s="4" t="s">
        <v>22</v>
      </c>
      <c r="BL112" s="5">
        <v>430</v>
      </c>
      <c r="BO112" s="4" t="s">
        <v>60</v>
      </c>
      <c r="BP112" s="4">
        <v>2009</v>
      </c>
      <c r="BQ112" s="4" t="s">
        <v>22</v>
      </c>
      <c r="BR112" s="5">
        <v>34</v>
      </c>
      <c r="BU112" s="4" t="s">
        <v>62</v>
      </c>
      <c r="BV112" s="4">
        <v>2009</v>
      </c>
      <c r="BW112" s="4" t="s">
        <v>22</v>
      </c>
      <c r="BX112" s="5">
        <v>467</v>
      </c>
      <c r="CA112" s="4" t="s">
        <v>64</v>
      </c>
      <c r="CB112" s="4">
        <v>2009</v>
      </c>
      <c r="CC112" s="4" t="s">
        <v>22</v>
      </c>
      <c r="CD112" s="5">
        <v>27</v>
      </c>
      <c r="CG112" s="4" t="s">
        <v>66</v>
      </c>
      <c r="CH112" s="4">
        <v>2009</v>
      </c>
      <c r="CI112" s="4" t="s">
        <v>22</v>
      </c>
      <c r="CJ112" s="5">
        <v>269</v>
      </c>
      <c r="CM112" s="4" t="s">
        <v>68</v>
      </c>
      <c r="CN112" s="4">
        <v>2009</v>
      </c>
      <c r="CO112" s="4" t="s">
        <v>22</v>
      </c>
      <c r="CP112" s="5">
        <v>144</v>
      </c>
      <c r="CS112" s="4" t="s">
        <v>206</v>
      </c>
      <c r="CT112" s="4">
        <v>2009</v>
      </c>
      <c r="CU112" s="4" t="s">
        <v>22</v>
      </c>
      <c r="CV112" s="5">
        <v>356</v>
      </c>
    </row>
    <row r="113" spans="1:100" x14ac:dyDescent="0.25">
      <c r="A113" s="4" t="s">
        <v>185</v>
      </c>
      <c r="B113" s="4">
        <v>2009</v>
      </c>
      <c r="C113" s="4" t="s">
        <v>23</v>
      </c>
      <c r="D113" s="5">
        <v>8</v>
      </c>
      <c r="G113" s="4" t="s">
        <v>3</v>
      </c>
      <c r="H113" s="4">
        <v>2009</v>
      </c>
      <c r="I113" s="4" t="s">
        <v>23</v>
      </c>
      <c r="J113" s="5">
        <v>26</v>
      </c>
      <c r="M113" s="4" t="s">
        <v>31</v>
      </c>
      <c r="N113" s="4">
        <v>2009</v>
      </c>
      <c r="O113" s="4" t="s">
        <v>23</v>
      </c>
      <c r="P113" s="5">
        <v>51</v>
      </c>
      <c r="S113" s="4" t="s">
        <v>33</v>
      </c>
      <c r="T113" s="4">
        <v>2009</v>
      </c>
      <c r="U113" s="4" t="s">
        <v>23</v>
      </c>
      <c r="V113" s="5">
        <v>50</v>
      </c>
      <c r="Y113" s="4" t="s">
        <v>35</v>
      </c>
      <c r="Z113" s="4">
        <v>2009</v>
      </c>
      <c r="AA113" s="4" t="s">
        <v>23</v>
      </c>
      <c r="AB113" s="5">
        <v>71</v>
      </c>
      <c r="AE113" s="4" t="s">
        <v>47</v>
      </c>
      <c r="AF113" s="4">
        <v>2009</v>
      </c>
      <c r="AG113" s="4" t="s">
        <v>23</v>
      </c>
      <c r="AH113" s="5">
        <v>209</v>
      </c>
      <c r="AK113" s="4" t="s">
        <v>49</v>
      </c>
      <c r="AL113" s="4">
        <v>2009</v>
      </c>
      <c r="AM113" s="4" t="s">
        <v>23</v>
      </c>
      <c r="AN113" s="5">
        <v>66</v>
      </c>
      <c r="AQ113" s="4" t="s">
        <v>51</v>
      </c>
      <c r="AR113" s="4">
        <v>2009</v>
      </c>
      <c r="AS113" s="4" t="s">
        <v>23</v>
      </c>
      <c r="AT113" s="5">
        <v>37</v>
      </c>
      <c r="AW113" s="4" t="s">
        <v>53</v>
      </c>
      <c r="AX113" s="4">
        <v>2009</v>
      </c>
      <c r="AY113" s="4" t="s">
        <v>23</v>
      </c>
      <c r="AZ113" s="5">
        <v>111</v>
      </c>
      <c r="BC113" s="4" t="s">
        <v>55</v>
      </c>
      <c r="BD113" s="4">
        <v>2009</v>
      </c>
      <c r="BE113" s="4" t="s">
        <v>23</v>
      </c>
      <c r="BF113" s="5">
        <v>37</v>
      </c>
      <c r="BI113" s="4" t="s">
        <v>57</v>
      </c>
      <c r="BJ113" s="4">
        <v>2009</v>
      </c>
      <c r="BK113" s="4" t="s">
        <v>23</v>
      </c>
      <c r="BL113" s="5">
        <v>451</v>
      </c>
      <c r="BO113" s="4" t="s">
        <v>60</v>
      </c>
      <c r="BP113" s="4">
        <v>2009</v>
      </c>
      <c r="BQ113" s="4" t="s">
        <v>23</v>
      </c>
      <c r="BR113" s="5">
        <v>54</v>
      </c>
      <c r="BU113" s="4" t="s">
        <v>62</v>
      </c>
      <c r="BV113" s="4">
        <v>2009</v>
      </c>
      <c r="BW113" s="4" t="s">
        <v>23</v>
      </c>
      <c r="BX113" s="5">
        <v>472</v>
      </c>
      <c r="CA113" s="4" t="s">
        <v>64</v>
      </c>
      <c r="CB113" s="4">
        <v>2009</v>
      </c>
      <c r="CC113" s="4" t="s">
        <v>23</v>
      </c>
      <c r="CD113" s="5">
        <v>32</v>
      </c>
      <c r="CG113" s="4" t="s">
        <v>66</v>
      </c>
      <c r="CH113" s="4">
        <v>2009</v>
      </c>
      <c r="CI113" s="4" t="s">
        <v>23</v>
      </c>
      <c r="CJ113" s="5">
        <v>340</v>
      </c>
      <c r="CM113" s="4" t="s">
        <v>68</v>
      </c>
      <c r="CN113" s="4">
        <v>2009</v>
      </c>
      <c r="CO113" s="4" t="s">
        <v>23</v>
      </c>
      <c r="CP113" s="5">
        <v>125</v>
      </c>
      <c r="CS113" s="4" t="s">
        <v>206</v>
      </c>
      <c r="CT113" s="4">
        <v>2009</v>
      </c>
      <c r="CU113" s="4" t="s">
        <v>23</v>
      </c>
      <c r="CV113" s="5">
        <v>361</v>
      </c>
    </row>
    <row r="114" spans="1:100" x14ac:dyDescent="0.25">
      <c r="A114" s="4" t="s">
        <v>185</v>
      </c>
      <c r="B114" s="4">
        <v>2009</v>
      </c>
      <c r="C114" s="4" t="s">
        <v>24</v>
      </c>
      <c r="D114" s="5">
        <v>8</v>
      </c>
      <c r="G114" s="4" t="s">
        <v>3</v>
      </c>
      <c r="H114" s="4">
        <v>2009</v>
      </c>
      <c r="I114" s="4" t="s">
        <v>24</v>
      </c>
      <c r="J114" s="5">
        <v>40</v>
      </c>
      <c r="M114" s="4" t="s">
        <v>31</v>
      </c>
      <c r="N114" s="4">
        <v>2009</v>
      </c>
      <c r="O114" s="4" t="s">
        <v>24</v>
      </c>
      <c r="P114" s="5">
        <v>54</v>
      </c>
      <c r="S114" s="4" t="s">
        <v>33</v>
      </c>
      <c r="T114" s="4">
        <v>2009</v>
      </c>
      <c r="U114" s="4" t="s">
        <v>24</v>
      </c>
      <c r="V114" s="5">
        <v>42</v>
      </c>
      <c r="Y114" s="4" t="s">
        <v>35</v>
      </c>
      <c r="Z114" s="4">
        <v>2009</v>
      </c>
      <c r="AA114" s="4" t="s">
        <v>24</v>
      </c>
      <c r="AB114" s="5">
        <v>73</v>
      </c>
      <c r="AE114" s="4" t="s">
        <v>47</v>
      </c>
      <c r="AF114" s="4">
        <v>2009</v>
      </c>
      <c r="AG114" s="4" t="s">
        <v>24</v>
      </c>
      <c r="AH114" s="5">
        <v>311</v>
      </c>
      <c r="AK114" s="4" t="s">
        <v>49</v>
      </c>
      <c r="AL114" s="4">
        <v>2009</v>
      </c>
      <c r="AM114" s="4" t="s">
        <v>24</v>
      </c>
      <c r="AN114" s="5">
        <v>65</v>
      </c>
      <c r="AQ114" s="4" t="s">
        <v>51</v>
      </c>
      <c r="AR114" s="4">
        <v>2009</v>
      </c>
      <c r="AS114" s="4" t="s">
        <v>24</v>
      </c>
      <c r="AT114" s="5">
        <v>41</v>
      </c>
      <c r="AW114" s="4" t="s">
        <v>53</v>
      </c>
      <c r="AX114" s="4">
        <v>2009</v>
      </c>
      <c r="AY114" s="4" t="s">
        <v>24</v>
      </c>
      <c r="AZ114" s="5">
        <v>129</v>
      </c>
      <c r="BC114" s="4" t="s">
        <v>55</v>
      </c>
      <c r="BD114" s="4">
        <v>2009</v>
      </c>
      <c r="BE114" s="4" t="s">
        <v>24</v>
      </c>
      <c r="BF114" s="5">
        <v>37</v>
      </c>
      <c r="BI114" s="4" t="s">
        <v>57</v>
      </c>
      <c r="BJ114" s="4">
        <v>2009</v>
      </c>
      <c r="BK114" s="4" t="s">
        <v>24</v>
      </c>
      <c r="BL114" s="5">
        <v>376</v>
      </c>
      <c r="BO114" s="4" t="s">
        <v>60</v>
      </c>
      <c r="BP114" s="4">
        <v>2009</v>
      </c>
      <c r="BQ114" s="4" t="s">
        <v>24</v>
      </c>
      <c r="BR114" s="5">
        <v>45</v>
      </c>
      <c r="BU114" s="4" t="s">
        <v>62</v>
      </c>
      <c r="BV114" s="4">
        <v>2009</v>
      </c>
      <c r="BW114" s="4" t="s">
        <v>24</v>
      </c>
      <c r="BX114" s="5">
        <v>473</v>
      </c>
      <c r="CA114" s="4" t="s">
        <v>64</v>
      </c>
      <c r="CB114" s="4">
        <v>2009</v>
      </c>
      <c r="CC114" s="4" t="s">
        <v>24</v>
      </c>
      <c r="CD114" s="5">
        <v>30</v>
      </c>
      <c r="CG114" s="4" t="s">
        <v>66</v>
      </c>
      <c r="CH114" s="4">
        <v>2009</v>
      </c>
      <c r="CI114" s="4" t="s">
        <v>24</v>
      </c>
      <c r="CJ114" s="5">
        <v>253</v>
      </c>
      <c r="CM114" s="4" t="s">
        <v>68</v>
      </c>
      <c r="CN114" s="4">
        <v>2009</v>
      </c>
      <c r="CO114" s="4" t="s">
        <v>24</v>
      </c>
      <c r="CP114" s="5">
        <v>139</v>
      </c>
      <c r="CS114" s="4" t="s">
        <v>206</v>
      </c>
      <c r="CT114" s="4">
        <v>2009</v>
      </c>
      <c r="CU114" s="4" t="s">
        <v>24</v>
      </c>
      <c r="CV114" s="5">
        <v>278</v>
      </c>
    </row>
    <row r="115" spans="1:100" x14ac:dyDescent="0.25">
      <c r="A115" s="4" t="s">
        <v>185</v>
      </c>
      <c r="B115" s="4">
        <v>2009</v>
      </c>
      <c r="C115" s="4" t="s">
        <v>25</v>
      </c>
      <c r="D115" s="5">
        <v>5</v>
      </c>
      <c r="G115" s="4" t="s">
        <v>3</v>
      </c>
      <c r="H115" s="4">
        <v>2009</v>
      </c>
      <c r="I115" s="4" t="s">
        <v>25</v>
      </c>
      <c r="J115" s="5">
        <v>63</v>
      </c>
      <c r="M115" s="4" t="s">
        <v>31</v>
      </c>
      <c r="N115" s="4">
        <v>2009</v>
      </c>
      <c r="O115" s="4" t="s">
        <v>25</v>
      </c>
      <c r="P115" s="5">
        <v>50</v>
      </c>
      <c r="S115" s="4" t="s">
        <v>33</v>
      </c>
      <c r="T115" s="4">
        <v>2009</v>
      </c>
      <c r="U115" s="4" t="s">
        <v>25</v>
      </c>
      <c r="V115" s="5">
        <v>49</v>
      </c>
      <c r="Y115" s="4" t="s">
        <v>35</v>
      </c>
      <c r="Z115" s="4">
        <v>2009</v>
      </c>
      <c r="AA115" s="4" t="s">
        <v>25</v>
      </c>
      <c r="AB115" s="5">
        <v>78</v>
      </c>
      <c r="AE115" s="4" t="s">
        <v>47</v>
      </c>
      <c r="AF115" s="4">
        <v>2009</v>
      </c>
      <c r="AG115" s="4" t="s">
        <v>25</v>
      </c>
      <c r="AH115" s="5">
        <v>268</v>
      </c>
      <c r="AK115" s="4" t="s">
        <v>49</v>
      </c>
      <c r="AL115" s="4">
        <v>2009</v>
      </c>
      <c r="AM115" s="4" t="s">
        <v>25</v>
      </c>
      <c r="AN115" s="5">
        <v>69</v>
      </c>
      <c r="AQ115" s="4" t="s">
        <v>51</v>
      </c>
      <c r="AR115" s="4">
        <v>2009</v>
      </c>
      <c r="AS115" s="4" t="s">
        <v>25</v>
      </c>
      <c r="AT115" s="5">
        <v>39</v>
      </c>
      <c r="AW115" s="4" t="s">
        <v>53</v>
      </c>
      <c r="AX115" s="4">
        <v>2009</v>
      </c>
      <c r="AY115" s="4" t="s">
        <v>25</v>
      </c>
      <c r="AZ115" s="5">
        <v>109</v>
      </c>
      <c r="BC115" s="4" t="s">
        <v>55</v>
      </c>
      <c r="BD115" s="4">
        <v>2009</v>
      </c>
      <c r="BE115" s="4" t="s">
        <v>25</v>
      </c>
      <c r="BF115" s="5">
        <v>30</v>
      </c>
      <c r="BI115" s="4" t="s">
        <v>57</v>
      </c>
      <c r="BJ115" s="4">
        <v>2009</v>
      </c>
      <c r="BK115" s="4" t="s">
        <v>25</v>
      </c>
      <c r="BL115" s="5">
        <v>342</v>
      </c>
      <c r="BO115" s="4" t="s">
        <v>60</v>
      </c>
      <c r="BP115" s="4">
        <v>2009</v>
      </c>
      <c r="BQ115" s="4" t="s">
        <v>25</v>
      </c>
      <c r="BR115" s="5">
        <v>61</v>
      </c>
      <c r="BU115" s="4" t="s">
        <v>62</v>
      </c>
      <c r="BV115" s="4">
        <v>2009</v>
      </c>
      <c r="BW115" s="4" t="s">
        <v>25</v>
      </c>
      <c r="BX115" s="5">
        <v>431</v>
      </c>
      <c r="CA115" s="4" t="s">
        <v>64</v>
      </c>
      <c r="CB115" s="4">
        <v>2009</v>
      </c>
      <c r="CC115" s="4" t="s">
        <v>25</v>
      </c>
      <c r="CD115" s="5">
        <v>15</v>
      </c>
      <c r="CG115" s="4" t="s">
        <v>66</v>
      </c>
      <c r="CH115" s="4">
        <v>2009</v>
      </c>
      <c r="CI115" s="4" t="s">
        <v>25</v>
      </c>
      <c r="CJ115" s="5">
        <v>249</v>
      </c>
      <c r="CM115" s="4" t="s">
        <v>68</v>
      </c>
      <c r="CN115" s="4">
        <v>2009</v>
      </c>
      <c r="CO115" s="4" t="s">
        <v>25</v>
      </c>
      <c r="CP115" s="5">
        <v>151</v>
      </c>
      <c r="CS115" s="4" t="s">
        <v>206</v>
      </c>
      <c r="CT115" s="4">
        <v>2009</v>
      </c>
      <c r="CU115" s="4" t="s">
        <v>25</v>
      </c>
      <c r="CV115" s="5">
        <v>352</v>
      </c>
    </row>
    <row r="116" spans="1:100" x14ac:dyDescent="0.25">
      <c r="A116" s="4" t="s">
        <v>185</v>
      </c>
      <c r="B116" s="4">
        <v>2009</v>
      </c>
      <c r="C116" s="4" t="s">
        <v>26</v>
      </c>
      <c r="D116" s="5">
        <v>3</v>
      </c>
      <c r="G116" s="4" t="s">
        <v>3</v>
      </c>
      <c r="H116" s="4">
        <v>2009</v>
      </c>
      <c r="I116" s="4" t="s">
        <v>26</v>
      </c>
      <c r="J116" s="5">
        <v>50</v>
      </c>
      <c r="M116" s="4" t="s">
        <v>31</v>
      </c>
      <c r="N116" s="4">
        <v>2009</v>
      </c>
      <c r="O116" s="4" t="s">
        <v>26</v>
      </c>
      <c r="P116" s="5">
        <v>56</v>
      </c>
      <c r="S116" s="4" t="s">
        <v>33</v>
      </c>
      <c r="T116" s="4">
        <v>2009</v>
      </c>
      <c r="U116" s="4" t="s">
        <v>26</v>
      </c>
      <c r="V116" s="5">
        <v>47</v>
      </c>
      <c r="Y116" s="4" t="s">
        <v>35</v>
      </c>
      <c r="Z116" s="4">
        <v>2009</v>
      </c>
      <c r="AA116" s="4" t="s">
        <v>26</v>
      </c>
      <c r="AB116" s="5">
        <v>70</v>
      </c>
      <c r="AE116" s="4" t="s">
        <v>47</v>
      </c>
      <c r="AF116" s="4">
        <v>2009</v>
      </c>
      <c r="AG116" s="4" t="s">
        <v>26</v>
      </c>
      <c r="AH116" s="5">
        <v>228</v>
      </c>
      <c r="AK116" s="4" t="s">
        <v>49</v>
      </c>
      <c r="AL116" s="4">
        <v>2009</v>
      </c>
      <c r="AM116" s="4" t="s">
        <v>26</v>
      </c>
      <c r="AN116" s="5">
        <v>48</v>
      </c>
      <c r="AQ116" s="4" t="s">
        <v>51</v>
      </c>
      <c r="AR116" s="4">
        <v>2009</v>
      </c>
      <c r="AS116" s="4" t="s">
        <v>26</v>
      </c>
      <c r="AT116" s="5">
        <v>47</v>
      </c>
      <c r="AW116" s="4" t="s">
        <v>53</v>
      </c>
      <c r="AX116" s="4">
        <v>2009</v>
      </c>
      <c r="AY116" s="4" t="s">
        <v>26</v>
      </c>
      <c r="AZ116" s="5">
        <v>96</v>
      </c>
      <c r="BC116" s="4" t="s">
        <v>55</v>
      </c>
      <c r="BD116" s="4">
        <v>2009</v>
      </c>
      <c r="BE116" s="4" t="s">
        <v>26</v>
      </c>
      <c r="BF116" s="5">
        <v>34</v>
      </c>
      <c r="BI116" s="4" t="s">
        <v>57</v>
      </c>
      <c r="BJ116" s="4">
        <v>2009</v>
      </c>
      <c r="BK116" s="4" t="s">
        <v>26</v>
      </c>
      <c r="BL116" s="5">
        <v>447</v>
      </c>
      <c r="BO116" s="4" t="s">
        <v>60</v>
      </c>
      <c r="BP116" s="4">
        <v>2009</v>
      </c>
      <c r="BQ116" s="4" t="s">
        <v>26</v>
      </c>
      <c r="BR116" s="5">
        <v>47</v>
      </c>
      <c r="BU116" s="4" t="s">
        <v>62</v>
      </c>
      <c r="BV116" s="4">
        <v>2009</v>
      </c>
      <c r="BW116" s="4" t="s">
        <v>26</v>
      </c>
      <c r="BX116" s="5">
        <v>525</v>
      </c>
      <c r="CA116" s="4" t="s">
        <v>64</v>
      </c>
      <c r="CB116" s="4">
        <v>2009</v>
      </c>
      <c r="CC116" s="4" t="s">
        <v>26</v>
      </c>
      <c r="CD116" s="5">
        <v>14</v>
      </c>
      <c r="CG116" s="4" t="s">
        <v>66</v>
      </c>
      <c r="CH116" s="4">
        <v>2009</v>
      </c>
      <c r="CI116" s="4" t="s">
        <v>26</v>
      </c>
      <c r="CJ116" s="5">
        <v>250</v>
      </c>
      <c r="CM116" s="4" t="s">
        <v>68</v>
      </c>
      <c r="CN116" s="4">
        <v>2009</v>
      </c>
      <c r="CO116" s="4" t="s">
        <v>26</v>
      </c>
      <c r="CP116" s="5">
        <v>113</v>
      </c>
      <c r="CS116" s="4" t="s">
        <v>206</v>
      </c>
      <c r="CT116" s="4">
        <v>2009</v>
      </c>
      <c r="CU116" s="4" t="s">
        <v>26</v>
      </c>
      <c r="CV116" s="5">
        <v>288</v>
      </c>
    </row>
    <row r="117" spans="1:100" x14ac:dyDescent="0.25">
      <c r="A117" s="4" t="s">
        <v>185</v>
      </c>
      <c r="B117" s="4">
        <v>2009</v>
      </c>
      <c r="C117" s="4" t="s">
        <v>27</v>
      </c>
      <c r="D117" s="5">
        <v>4</v>
      </c>
      <c r="G117" s="4" t="s">
        <v>3</v>
      </c>
      <c r="H117" s="4">
        <v>2009</v>
      </c>
      <c r="I117" s="4" t="s">
        <v>27</v>
      </c>
      <c r="J117" s="5">
        <v>63</v>
      </c>
      <c r="M117" s="4" t="s">
        <v>31</v>
      </c>
      <c r="N117" s="4">
        <v>2009</v>
      </c>
      <c r="O117" s="4" t="s">
        <v>27</v>
      </c>
      <c r="P117" s="5">
        <v>63</v>
      </c>
      <c r="S117" s="4" t="s">
        <v>33</v>
      </c>
      <c r="T117" s="4">
        <v>2009</v>
      </c>
      <c r="U117" s="4" t="s">
        <v>27</v>
      </c>
      <c r="V117" s="5">
        <v>65</v>
      </c>
      <c r="Y117" s="4" t="s">
        <v>35</v>
      </c>
      <c r="Z117" s="4">
        <v>2009</v>
      </c>
      <c r="AA117" s="4" t="s">
        <v>27</v>
      </c>
      <c r="AB117" s="5">
        <v>94</v>
      </c>
      <c r="AE117" s="4" t="s">
        <v>47</v>
      </c>
      <c r="AF117" s="4">
        <v>2009</v>
      </c>
      <c r="AG117" s="4" t="s">
        <v>27</v>
      </c>
      <c r="AH117" s="5">
        <v>280</v>
      </c>
      <c r="AK117" s="4" t="s">
        <v>49</v>
      </c>
      <c r="AL117" s="4">
        <v>2009</v>
      </c>
      <c r="AM117" s="4" t="s">
        <v>27</v>
      </c>
      <c r="AN117" s="5">
        <v>87</v>
      </c>
      <c r="AQ117" s="4" t="s">
        <v>51</v>
      </c>
      <c r="AR117" s="4">
        <v>2009</v>
      </c>
      <c r="AS117" s="4" t="s">
        <v>27</v>
      </c>
      <c r="AT117" s="5">
        <v>40</v>
      </c>
      <c r="AW117" s="4" t="s">
        <v>53</v>
      </c>
      <c r="AX117" s="4">
        <v>2009</v>
      </c>
      <c r="AY117" s="4" t="s">
        <v>27</v>
      </c>
      <c r="AZ117" s="5">
        <v>84</v>
      </c>
      <c r="BC117" s="4" t="s">
        <v>55</v>
      </c>
      <c r="BD117" s="4">
        <v>2009</v>
      </c>
      <c r="BE117" s="4" t="s">
        <v>27</v>
      </c>
      <c r="BF117" s="5">
        <v>29</v>
      </c>
      <c r="BI117" s="4" t="s">
        <v>57</v>
      </c>
      <c r="BJ117" s="4">
        <v>2009</v>
      </c>
      <c r="BK117" s="4" t="s">
        <v>27</v>
      </c>
      <c r="BL117" s="5">
        <v>349</v>
      </c>
      <c r="BO117" s="4" t="s">
        <v>60</v>
      </c>
      <c r="BP117" s="4">
        <v>2009</v>
      </c>
      <c r="BQ117" s="4" t="s">
        <v>27</v>
      </c>
      <c r="BR117" s="5">
        <v>74</v>
      </c>
      <c r="BU117" s="4" t="s">
        <v>62</v>
      </c>
      <c r="BV117" s="4">
        <v>2009</v>
      </c>
      <c r="BW117" s="4" t="s">
        <v>27</v>
      </c>
      <c r="BX117" s="5">
        <v>456</v>
      </c>
      <c r="CA117" s="4" t="s">
        <v>64</v>
      </c>
      <c r="CB117" s="4">
        <v>2009</v>
      </c>
      <c r="CC117" s="4" t="s">
        <v>27</v>
      </c>
      <c r="CD117" s="5">
        <v>23</v>
      </c>
      <c r="CG117" s="4" t="s">
        <v>66</v>
      </c>
      <c r="CH117" s="4">
        <v>2009</v>
      </c>
      <c r="CI117" s="4" t="s">
        <v>27</v>
      </c>
      <c r="CJ117" s="5">
        <v>189</v>
      </c>
      <c r="CM117" s="4" t="s">
        <v>68</v>
      </c>
      <c r="CN117" s="4">
        <v>2009</v>
      </c>
      <c r="CO117" s="4" t="s">
        <v>27</v>
      </c>
      <c r="CP117" s="5">
        <v>123</v>
      </c>
      <c r="CS117" s="4" t="s">
        <v>206</v>
      </c>
      <c r="CT117" s="4">
        <v>2009</v>
      </c>
      <c r="CU117" s="4" t="s">
        <v>27</v>
      </c>
      <c r="CV117" s="5">
        <v>317</v>
      </c>
    </row>
    <row r="118" spans="1:100" x14ac:dyDescent="0.25">
      <c r="A118" s="4" t="s">
        <v>185</v>
      </c>
      <c r="B118" s="4">
        <v>2009</v>
      </c>
      <c r="C118" s="4" t="s">
        <v>28</v>
      </c>
      <c r="D118" s="5">
        <v>8</v>
      </c>
      <c r="G118" s="4" t="s">
        <v>3</v>
      </c>
      <c r="H118" s="4">
        <v>2009</v>
      </c>
      <c r="I118" s="4" t="s">
        <v>28</v>
      </c>
      <c r="J118" s="5">
        <v>72</v>
      </c>
      <c r="M118" s="4" t="s">
        <v>31</v>
      </c>
      <c r="N118" s="4">
        <v>2009</v>
      </c>
      <c r="O118" s="4" t="s">
        <v>28</v>
      </c>
      <c r="P118" s="5">
        <v>70</v>
      </c>
      <c r="S118" s="4" t="s">
        <v>33</v>
      </c>
      <c r="T118" s="4">
        <v>2009</v>
      </c>
      <c r="U118" s="4" t="s">
        <v>28</v>
      </c>
      <c r="V118" s="5">
        <v>60</v>
      </c>
      <c r="Y118" s="4" t="s">
        <v>35</v>
      </c>
      <c r="Z118" s="4">
        <v>2009</v>
      </c>
      <c r="AA118" s="4" t="s">
        <v>28</v>
      </c>
      <c r="AB118" s="5">
        <v>63</v>
      </c>
      <c r="AE118" s="4" t="s">
        <v>47</v>
      </c>
      <c r="AF118" s="4">
        <v>2009</v>
      </c>
      <c r="AG118" s="4" t="s">
        <v>28</v>
      </c>
      <c r="AH118" s="5">
        <v>305</v>
      </c>
      <c r="AK118" s="4" t="s">
        <v>49</v>
      </c>
      <c r="AL118" s="4">
        <v>2009</v>
      </c>
      <c r="AM118" s="4" t="s">
        <v>28</v>
      </c>
      <c r="AN118" s="5">
        <v>55</v>
      </c>
      <c r="AQ118" s="4" t="s">
        <v>51</v>
      </c>
      <c r="AR118" s="4">
        <v>2009</v>
      </c>
      <c r="AS118" s="4" t="s">
        <v>28</v>
      </c>
      <c r="AT118" s="5">
        <v>56</v>
      </c>
      <c r="AW118" s="4" t="s">
        <v>53</v>
      </c>
      <c r="AX118" s="4">
        <v>2009</v>
      </c>
      <c r="AY118" s="4" t="s">
        <v>28</v>
      </c>
      <c r="AZ118" s="5">
        <v>114</v>
      </c>
      <c r="BC118" s="4" t="s">
        <v>55</v>
      </c>
      <c r="BD118" s="4">
        <v>2009</v>
      </c>
      <c r="BE118" s="4" t="s">
        <v>28</v>
      </c>
      <c r="BF118" s="5">
        <v>56</v>
      </c>
      <c r="BI118" s="4" t="s">
        <v>57</v>
      </c>
      <c r="BJ118" s="4">
        <v>2009</v>
      </c>
      <c r="BK118" s="4" t="s">
        <v>28</v>
      </c>
      <c r="BL118" s="5">
        <v>440</v>
      </c>
      <c r="BO118" s="4" t="s">
        <v>60</v>
      </c>
      <c r="BP118" s="4">
        <v>2009</v>
      </c>
      <c r="BQ118" s="4" t="s">
        <v>28</v>
      </c>
      <c r="BR118" s="5">
        <v>32</v>
      </c>
      <c r="BU118" s="4" t="s">
        <v>62</v>
      </c>
      <c r="BV118" s="4">
        <v>2009</v>
      </c>
      <c r="BW118" s="4" t="s">
        <v>28</v>
      </c>
      <c r="BX118" s="5">
        <v>484</v>
      </c>
      <c r="CA118" s="4" t="s">
        <v>64</v>
      </c>
      <c r="CB118" s="4">
        <v>2009</v>
      </c>
      <c r="CC118" s="4" t="s">
        <v>28</v>
      </c>
      <c r="CD118" s="5">
        <v>25</v>
      </c>
      <c r="CG118" s="4" t="s">
        <v>66</v>
      </c>
      <c r="CH118" s="4">
        <v>2009</v>
      </c>
      <c r="CI118" s="4" t="s">
        <v>28</v>
      </c>
      <c r="CJ118" s="5">
        <v>278</v>
      </c>
      <c r="CM118" s="4" t="s">
        <v>68</v>
      </c>
      <c r="CN118" s="4">
        <v>2009</v>
      </c>
      <c r="CO118" s="4" t="s">
        <v>28</v>
      </c>
      <c r="CP118" s="5">
        <v>82</v>
      </c>
      <c r="CS118" s="4" t="s">
        <v>206</v>
      </c>
      <c r="CT118" s="4">
        <v>2009</v>
      </c>
      <c r="CU118" s="4" t="s">
        <v>28</v>
      </c>
      <c r="CV118" s="5">
        <v>275</v>
      </c>
    </row>
    <row r="119" spans="1:100" x14ac:dyDescent="0.25">
      <c r="A119" s="4" t="s">
        <v>185</v>
      </c>
      <c r="B119" s="4">
        <v>2009</v>
      </c>
      <c r="C119" s="4" t="s">
        <v>29</v>
      </c>
      <c r="D119" s="5">
        <v>7</v>
      </c>
      <c r="G119" s="4" t="s">
        <v>3</v>
      </c>
      <c r="H119" s="4">
        <v>2009</v>
      </c>
      <c r="I119" s="4" t="s">
        <v>29</v>
      </c>
      <c r="J119" s="5">
        <v>60</v>
      </c>
      <c r="M119" s="4" t="s">
        <v>31</v>
      </c>
      <c r="N119" s="4">
        <v>2009</v>
      </c>
      <c r="O119" s="4" t="s">
        <v>29</v>
      </c>
      <c r="P119" s="5">
        <v>66</v>
      </c>
      <c r="S119" s="4" t="s">
        <v>33</v>
      </c>
      <c r="T119" s="4">
        <v>2009</v>
      </c>
      <c r="U119" s="4" t="s">
        <v>29</v>
      </c>
      <c r="V119" s="5">
        <v>66</v>
      </c>
      <c r="Y119" s="4" t="s">
        <v>35</v>
      </c>
      <c r="Z119" s="4">
        <v>2009</v>
      </c>
      <c r="AA119" s="4" t="s">
        <v>29</v>
      </c>
      <c r="AB119" s="5">
        <v>61</v>
      </c>
      <c r="AE119" s="4" t="s">
        <v>47</v>
      </c>
      <c r="AF119" s="4">
        <v>2009</v>
      </c>
      <c r="AG119" s="4" t="s">
        <v>29</v>
      </c>
      <c r="AH119" s="5">
        <v>267</v>
      </c>
      <c r="AK119" s="4" t="s">
        <v>49</v>
      </c>
      <c r="AL119" s="4">
        <v>2009</v>
      </c>
      <c r="AM119" s="4" t="s">
        <v>29</v>
      </c>
      <c r="AN119" s="5">
        <v>54</v>
      </c>
      <c r="AQ119" s="4" t="s">
        <v>51</v>
      </c>
      <c r="AR119" s="4">
        <v>2009</v>
      </c>
      <c r="AS119" s="4" t="s">
        <v>29</v>
      </c>
      <c r="AT119" s="5">
        <v>77</v>
      </c>
      <c r="AW119" s="4" t="s">
        <v>53</v>
      </c>
      <c r="AX119" s="4">
        <v>2009</v>
      </c>
      <c r="AY119" s="4" t="s">
        <v>29</v>
      </c>
      <c r="AZ119" s="5">
        <v>93</v>
      </c>
      <c r="BC119" s="4" t="s">
        <v>55</v>
      </c>
      <c r="BD119" s="4">
        <v>2009</v>
      </c>
      <c r="BE119" s="4" t="s">
        <v>29</v>
      </c>
      <c r="BF119" s="5">
        <v>63</v>
      </c>
      <c r="BI119" s="4" t="s">
        <v>57</v>
      </c>
      <c r="BJ119" s="4">
        <v>2009</v>
      </c>
      <c r="BK119" s="4" t="s">
        <v>29</v>
      </c>
      <c r="BL119" s="5">
        <v>465</v>
      </c>
      <c r="BO119" s="4" t="s">
        <v>60</v>
      </c>
      <c r="BP119" s="4">
        <v>2009</v>
      </c>
      <c r="BQ119" s="4" t="s">
        <v>29</v>
      </c>
      <c r="BR119" s="5">
        <v>38</v>
      </c>
      <c r="BU119" s="4" t="s">
        <v>62</v>
      </c>
      <c r="BV119" s="4">
        <v>2009</v>
      </c>
      <c r="BW119" s="4" t="s">
        <v>29</v>
      </c>
      <c r="BX119" s="5">
        <v>493</v>
      </c>
      <c r="CA119" s="4" t="s">
        <v>64</v>
      </c>
      <c r="CB119" s="4">
        <v>2009</v>
      </c>
      <c r="CC119" s="4" t="s">
        <v>29</v>
      </c>
      <c r="CD119" s="5">
        <v>16</v>
      </c>
      <c r="CG119" s="4" t="s">
        <v>66</v>
      </c>
      <c r="CH119" s="4">
        <v>2009</v>
      </c>
      <c r="CI119" s="4" t="s">
        <v>29</v>
      </c>
      <c r="CJ119" s="5">
        <v>226</v>
      </c>
      <c r="CM119" s="4" t="s">
        <v>68</v>
      </c>
      <c r="CN119" s="4">
        <v>2009</v>
      </c>
      <c r="CO119" s="4" t="s">
        <v>29</v>
      </c>
      <c r="CP119" s="5">
        <v>108</v>
      </c>
      <c r="CS119" s="4" t="s">
        <v>206</v>
      </c>
      <c r="CT119" s="4">
        <v>2009</v>
      </c>
      <c r="CU119" s="4" t="s">
        <v>29</v>
      </c>
      <c r="CV119" s="5">
        <v>403</v>
      </c>
    </row>
    <row r="120" spans="1:100" x14ac:dyDescent="0.25">
      <c r="A120" s="4" t="s">
        <v>185</v>
      </c>
      <c r="B120" s="4">
        <v>2009</v>
      </c>
      <c r="C120" s="4" t="s">
        <v>30</v>
      </c>
      <c r="D120" s="5">
        <v>6</v>
      </c>
      <c r="G120" s="4" t="s">
        <v>3</v>
      </c>
      <c r="H120" s="4">
        <v>2009</v>
      </c>
      <c r="I120" s="4" t="s">
        <v>30</v>
      </c>
      <c r="J120" s="5">
        <v>47</v>
      </c>
      <c r="M120" s="4" t="s">
        <v>31</v>
      </c>
      <c r="N120" s="4">
        <v>2009</v>
      </c>
      <c r="O120" s="4" t="s">
        <v>30</v>
      </c>
      <c r="P120" s="5">
        <v>59</v>
      </c>
      <c r="S120" s="4" t="s">
        <v>33</v>
      </c>
      <c r="T120" s="4">
        <v>2009</v>
      </c>
      <c r="U120" s="4" t="s">
        <v>30</v>
      </c>
      <c r="V120" s="5">
        <v>64</v>
      </c>
      <c r="Y120" s="4" t="s">
        <v>35</v>
      </c>
      <c r="Z120" s="4">
        <v>2009</v>
      </c>
      <c r="AA120" s="4" t="s">
        <v>30</v>
      </c>
      <c r="AB120" s="5">
        <v>47</v>
      </c>
      <c r="AE120" s="4" t="s">
        <v>47</v>
      </c>
      <c r="AF120" s="4">
        <v>2009</v>
      </c>
      <c r="AG120" s="4" t="s">
        <v>30</v>
      </c>
      <c r="AH120" s="5">
        <v>190</v>
      </c>
      <c r="AK120" s="4" t="s">
        <v>49</v>
      </c>
      <c r="AL120" s="4">
        <v>2009</v>
      </c>
      <c r="AM120" s="4" t="s">
        <v>30</v>
      </c>
      <c r="AN120" s="5">
        <v>47</v>
      </c>
      <c r="AQ120" s="4" t="s">
        <v>51</v>
      </c>
      <c r="AR120" s="4">
        <v>2009</v>
      </c>
      <c r="AS120" s="4" t="s">
        <v>30</v>
      </c>
      <c r="AT120" s="5">
        <v>39</v>
      </c>
      <c r="AW120" s="4" t="s">
        <v>53</v>
      </c>
      <c r="AX120" s="4">
        <v>2009</v>
      </c>
      <c r="AY120" s="4" t="s">
        <v>30</v>
      </c>
      <c r="AZ120" s="5">
        <v>118</v>
      </c>
      <c r="BC120" s="4" t="s">
        <v>55</v>
      </c>
      <c r="BD120" s="4">
        <v>2009</v>
      </c>
      <c r="BE120" s="4" t="s">
        <v>30</v>
      </c>
      <c r="BF120" s="5">
        <v>32</v>
      </c>
      <c r="BI120" s="4" t="s">
        <v>57</v>
      </c>
      <c r="BJ120" s="4">
        <v>2009</v>
      </c>
      <c r="BK120" s="4" t="s">
        <v>30</v>
      </c>
      <c r="BL120" s="5">
        <v>385</v>
      </c>
      <c r="BO120" s="4" t="s">
        <v>60</v>
      </c>
      <c r="BP120" s="4">
        <v>2009</v>
      </c>
      <c r="BQ120" s="4" t="s">
        <v>30</v>
      </c>
      <c r="BR120" s="5">
        <v>32</v>
      </c>
      <c r="BU120" s="4" t="s">
        <v>62</v>
      </c>
      <c r="BV120" s="4">
        <v>2009</v>
      </c>
      <c r="BW120" s="4" t="s">
        <v>30</v>
      </c>
      <c r="BX120" s="5">
        <v>455</v>
      </c>
      <c r="CA120" s="4" t="s">
        <v>64</v>
      </c>
      <c r="CB120" s="4">
        <v>2009</v>
      </c>
      <c r="CC120" s="4" t="s">
        <v>30</v>
      </c>
      <c r="CD120" s="5">
        <v>22</v>
      </c>
      <c r="CG120" s="4" t="s">
        <v>66</v>
      </c>
      <c r="CH120" s="4">
        <v>2009</v>
      </c>
      <c r="CI120" s="4" t="s">
        <v>30</v>
      </c>
      <c r="CJ120" s="5">
        <v>168</v>
      </c>
      <c r="CM120" s="4" t="s">
        <v>68</v>
      </c>
      <c r="CN120" s="4">
        <v>2009</v>
      </c>
      <c r="CO120" s="4" t="s">
        <v>30</v>
      </c>
      <c r="CP120" s="5">
        <v>103</v>
      </c>
      <c r="CS120" s="4" t="s">
        <v>206</v>
      </c>
      <c r="CT120" s="4">
        <v>2009</v>
      </c>
      <c r="CU120" s="4" t="s">
        <v>30</v>
      </c>
      <c r="CV120" s="5">
        <v>321</v>
      </c>
    </row>
    <row r="121" spans="1:100" x14ac:dyDescent="0.25">
      <c r="A121" s="4" t="s">
        <v>185</v>
      </c>
      <c r="B121" s="4">
        <v>2009</v>
      </c>
      <c r="C121" s="4" t="s">
        <v>19</v>
      </c>
      <c r="D121" s="5">
        <v>4</v>
      </c>
      <c r="G121" s="4" t="s">
        <v>3</v>
      </c>
      <c r="H121" s="4">
        <v>2009</v>
      </c>
      <c r="I121" s="4" t="s">
        <v>19</v>
      </c>
      <c r="J121" s="5">
        <v>49</v>
      </c>
      <c r="M121" s="4" t="s">
        <v>31</v>
      </c>
      <c r="N121" s="4">
        <v>2009</v>
      </c>
      <c r="O121" s="4" t="s">
        <v>19</v>
      </c>
      <c r="P121" s="5">
        <v>77</v>
      </c>
      <c r="S121" s="4" t="s">
        <v>33</v>
      </c>
      <c r="T121" s="4">
        <v>2009</v>
      </c>
      <c r="U121" s="4" t="s">
        <v>19</v>
      </c>
      <c r="V121" s="5">
        <v>76</v>
      </c>
      <c r="Y121" s="4" t="s">
        <v>35</v>
      </c>
      <c r="Z121" s="4">
        <v>2009</v>
      </c>
      <c r="AA121" s="4" t="s">
        <v>19</v>
      </c>
      <c r="AB121" s="5">
        <v>73</v>
      </c>
      <c r="AE121" s="4" t="s">
        <v>47</v>
      </c>
      <c r="AF121" s="4">
        <v>2009</v>
      </c>
      <c r="AG121" s="4" t="s">
        <v>19</v>
      </c>
      <c r="AH121" s="5">
        <v>156</v>
      </c>
      <c r="AK121" s="4" t="s">
        <v>49</v>
      </c>
      <c r="AL121" s="4">
        <v>2009</v>
      </c>
      <c r="AM121" s="4" t="s">
        <v>19</v>
      </c>
      <c r="AN121" s="5">
        <v>37</v>
      </c>
      <c r="AQ121" s="4" t="s">
        <v>51</v>
      </c>
      <c r="AR121" s="4">
        <v>2009</v>
      </c>
      <c r="AS121" s="4" t="s">
        <v>19</v>
      </c>
      <c r="AT121" s="5">
        <v>64</v>
      </c>
      <c r="AW121" s="4" t="s">
        <v>53</v>
      </c>
      <c r="AX121" s="4">
        <v>2009</v>
      </c>
      <c r="AY121" s="4" t="s">
        <v>19</v>
      </c>
      <c r="AZ121" s="5">
        <v>91</v>
      </c>
      <c r="BC121" s="4" t="s">
        <v>55</v>
      </c>
      <c r="BD121" s="4">
        <v>2009</v>
      </c>
      <c r="BE121" s="4" t="s">
        <v>19</v>
      </c>
      <c r="BF121" s="5">
        <v>27</v>
      </c>
      <c r="BI121" s="4" t="s">
        <v>57</v>
      </c>
      <c r="BJ121" s="4">
        <v>2009</v>
      </c>
      <c r="BK121" s="4" t="s">
        <v>19</v>
      </c>
      <c r="BL121" s="5">
        <v>405</v>
      </c>
      <c r="BO121" s="4" t="s">
        <v>60</v>
      </c>
      <c r="BP121" s="4">
        <v>2009</v>
      </c>
      <c r="BQ121" s="4" t="s">
        <v>19</v>
      </c>
      <c r="BR121" s="5">
        <v>48</v>
      </c>
      <c r="BU121" s="4" t="s">
        <v>62</v>
      </c>
      <c r="BV121" s="4">
        <v>2009</v>
      </c>
      <c r="BW121" s="4" t="s">
        <v>19</v>
      </c>
      <c r="BX121" s="5">
        <v>470</v>
      </c>
      <c r="CA121" s="4" t="s">
        <v>64</v>
      </c>
      <c r="CB121" s="4">
        <v>2009</v>
      </c>
      <c r="CC121" s="4" t="s">
        <v>19</v>
      </c>
      <c r="CD121" s="5">
        <v>11</v>
      </c>
      <c r="CG121" s="4" t="s">
        <v>66</v>
      </c>
      <c r="CH121" s="4">
        <v>2009</v>
      </c>
      <c r="CI121" s="4" t="s">
        <v>19</v>
      </c>
      <c r="CJ121" s="5">
        <v>150</v>
      </c>
      <c r="CM121" s="4" t="s">
        <v>68</v>
      </c>
      <c r="CN121" s="4">
        <v>2009</v>
      </c>
      <c r="CO121" s="4" t="s">
        <v>19</v>
      </c>
      <c r="CP121" s="5">
        <v>129</v>
      </c>
      <c r="CS121" s="4" t="s">
        <v>206</v>
      </c>
      <c r="CT121" s="4">
        <v>2009</v>
      </c>
      <c r="CU121" s="4" t="s">
        <v>19</v>
      </c>
      <c r="CV121" s="5">
        <v>304</v>
      </c>
    </row>
    <row r="122" spans="1:100" x14ac:dyDescent="0.25">
      <c r="A122" s="4" t="s">
        <v>185</v>
      </c>
      <c r="B122" s="4">
        <v>2010</v>
      </c>
      <c r="C122" s="4" t="s">
        <v>20</v>
      </c>
      <c r="D122" s="5">
        <v>12</v>
      </c>
      <c r="G122" s="4" t="s">
        <v>3</v>
      </c>
      <c r="H122" s="4">
        <v>2010</v>
      </c>
      <c r="I122" s="4" t="s">
        <v>20</v>
      </c>
      <c r="J122" s="5">
        <v>55</v>
      </c>
      <c r="M122" s="4" t="s">
        <v>31</v>
      </c>
      <c r="N122" s="4">
        <v>2010</v>
      </c>
      <c r="O122" s="4" t="s">
        <v>20</v>
      </c>
      <c r="P122" s="5">
        <v>79</v>
      </c>
      <c r="S122" s="4" t="s">
        <v>33</v>
      </c>
      <c r="T122" s="4">
        <v>2010</v>
      </c>
      <c r="U122" s="4" t="s">
        <v>20</v>
      </c>
      <c r="V122" s="5">
        <v>65</v>
      </c>
      <c r="Y122" s="4" t="s">
        <v>35</v>
      </c>
      <c r="Z122" s="4">
        <v>2010</v>
      </c>
      <c r="AA122" s="4" t="s">
        <v>20</v>
      </c>
      <c r="AB122" s="5">
        <v>80</v>
      </c>
      <c r="AE122" s="4" t="s">
        <v>47</v>
      </c>
      <c r="AF122" s="4">
        <v>2010</v>
      </c>
      <c r="AG122" s="4" t="s">
        <v>20</v>
      </c>
      <c r="AH122" s="5">
        <v>233</v>
      </c>
      <c r="AK122" s="4" t="s">
        <v>49</v>
      </c>
      <c r="AL122" s="4">
        <v>2010</v>
      </c>
      <c r="AM122" s="4" t="s">
        <v>20</v>
      </c>
      <c r="AN122" s="5">
        <v>54</v>
      </c>
      <c r="AQ122" s="4" t="s">
        <v>51</v>
      </c>
      <c r="AR122" s="4">
        <v>2010</v>
      </c>
      <c r="AS122" s="4" t="s">
        <v>20</v>
      </c>
      <c r="AT122" s="5">
        <v>111</v>
      </c>
      <c r="AW122" s="4" t="s">
        <v>53</v>
      </c>
      <c r="AX122" s="4">
        <v>2010</v>
      </c>
      <c r="AY122" s="4" t="s">
        <v>20</v>
      </c>
      <c r="AZ122" s="5">
        <v>171</v>
      </c>
      <c r="BC122" s="4" t="s">
        <v>55</v>
      </c>
      <c r="BD122" s="4">
        <v>2010</v>
      </c>
      <c r="BE122" s="4" t="s">
        <v>20</v>
      </c>
      <c r="BF122" s="5">
        <v>34</v>
      </c>
      <c r="BI122" s="4" t="s">
        <v>57</v>
      </c>
      <c r="BJ122" s="4">
        <v>2010</v>
      </c>
      <c r="BK122" s="4" t="s">
        <v>20</v>
      </c>
      <c r="BL122" s="5">
        <v>499</v>
      </c>
      <c r="BO122" s="4" t="s">
        <v>60</v>
      </c>
      <c r="BP122" s="4">
        <v>2010</v>
      </c>
      <c r="BQ122" s="4" t="s">
        <v>20</v>
      </c>
      <c r="BR122" s="5">
        <v>35</v>
      </c>
      <c r="BU122" s="4" t="s">
        <v>62</v>
      </c>
      <c r="BV122" s="4">
        <v>2010</v>
      </c>
      <c r="BW122" s="4" t="s">
        <v>20</v>
      </c>
      <c r="BX122" s="5">
        <v>596</v>
      </c>
      <c r="CA122" s="4" t="s">
        <v>64</v>
      </c>
      <c r="CB122" s="4">
        <v>2010</v>
      </c>
      <c r="CC122" s="4" t="s">
        <v>20</v>
      </c>
      <c r="CD122" s="5">
        <v>15</v>
      </c>
      <c r="CG122" s="4" t="s">
        <v>66</v>
      </c>
      <c r="CH122" s="4">
        <v>2010</v>
      </c>
      <c r="CI122" s="4" t="s">
        <v>20</v>
      </c>
      <c r="CJ122" s="5">
        <v>222</v>
      </c>
      <c r="CM122" s="4" t="s">
        <v>68</v>
      </c>
      <c r="CN122" s="4">
        <v>2010</v>
      </c>
      <c r="CO122" s="4" t="s">
        <v>20</v>
      </c>
      <c r="CP122" s="5">
        <v>237</v>
      </c>
      <c r="CS122" s="4" t="s">
        <v>206</v>
      </c>
      <c r="CT122" s="4">
        <v>2010</v>
      </c>
      <c r="CU122" s="4" t="s">
        <v>20</v>
      </c>
      <c r="CV122" s="5">
        <v>384</v>
      </c>
    </row>
    <row r="123" spans="1:100" x14ac:dyDescent="0.25">
      <c r="A123" s="4" t="s">
        <v>185</v>
      </c>
      <c r="B123" s="4">
        <v>2010</v>
      </c>
      <c r="C123" s="4" t="s">
        <v>21</v>
      </c>
      <c r="D123" s="5">
        <v>11</v>
      </c>
      <c r="G123" s="4" t="s">
        <v>3</v>
      </c>
      <c r="H123" s="4">
        <v>2010</v>
      </c>
      <c r="I123" s="4" t="s">
        <v>21</v>
      </c>
      <c r="J123" s="5">
        <v>66</v>
      </c>
      <c r="M123" s="4" t="s">
        <v>31</v>
      </c>
      <c r="N123" s="4">
        <v>2010</v>
      </c>
      <c r="O123" s="4" t="s">
        <v>21</v>
      </c>
      <c r="P123" s="5">
        <v>101</v>
      </c>
      <c r="S123" s="4" t="s">
        <v>33</v>
      </c>
      <c r="T123" s="4">
        <v>2010</v>
      </c>
      <c r="U123" s="4" t="s">
        <v>21</v>
      </c>
      <c r="V123" s="5">
        <v>61</v>
      </c>
      <c r="Y123" s="4" t="s">
        <v>35</v>
      </c>
      <c r="Z123" s="4">
        <v>2010</v>
      </c>
      <c r="AA123" s="4" t="s">
        <v>21</v>
      </c>
      <c r="AB123" s="5">
        <v>67</v>
      </c>
      <c r="AE123" s="4" t="s">
        <v>47</v>
      </c>
      <c r="AF123" s="4">
        <v>2010</v>
      </c>
      <c r="AG123" s="4" t="s">
        <v>21</v>
      </c>
      <c r="AH123" s="5">
        <v>232</v>
      </c>
      <c r="AK123" s="4" t="s">
        <v>49</v>
      </c>
      <c r="AL123" s="4">
        <v>2010</v>
      </c>
      <c r="AM123" s="4" t="s">
        <v>21</v>
      </c>
      <c r="AN123" s="5">
        <v>59</v>
      </c>
      <c r="AQ123" s="4" t="s">
        <v>51</v>
      </c>
      <c r="AR123" s="4">
        <v>2010</v>
      </c>
      <c r="AS123" s="4" t="s">
        <v>21</v>
      </c>
      <c r="AT123" s="5">
        <v>73</v>
      </c>
      <c r="AW123" s="4" t="s">
        <v>53</v>
      </c>
      <c r="AX123" s="4">
        <v>2010</v>
      </c>
      <c r="AY123" s="4" t="s">
        <v>21</v>
      </c>
      <c r="AZ123" s="5">
        <v>112</v>
      </c>
      <c r="BC123" s="4" t="s">
        <v>55</v>
      </c>
      <c r="BD123" s="4">
        <v>2010</v>
      </c>
      <c r="BE123" s="4" t="s">
        <v>21</v>
      </c>
      <c r="BF123" s="5">
        <v>29</v>
      </c>
      <c r="BI123" s="4" t="s">
        <v>57</v>
      </c>
      <c r="BJ123" s="4">
        <v>2010</v>
      </c>
      <c r="BK123" s="4" t="s">
        <v>21</v>
      </c>
      <c r="BL123" s="5">
        <v>384</v>
      </c>
      <c r="BO123" s="4" t="s">
        <v>60</v>
      </c>
      <c r="BP123" s="4">
        <v>2010</v>
      </c>
      <c r="BQ123" s="4" t="s">
        <v>21</v>
      </c>
      <c r="BR123" s="5">
        <v>62</v>
      </c>
      <c r="BU123" s="4" t="s">
        <v>62</v>
      </c>
      <c r="BV123" s="4">
        <v>2010</v>
      </c>
      <c r="BW123" s="4" t="s">
        <v>21</v>
      </c>
      <c r="BX123" s="5">
        <v>444</v>
      </c>
      <c r="CA123" s="4" t="s">
        <v>64</v>
      </c>
      <c r="CB123" s="4">
        <v>2010</v>
      </c>
      <c r="CC123" s="4" t="s">
        <v>21</v>
      </c>
      <c r="CD123" s="5">
        <v>21</v>
      </c>
      <c r="CG123" s="4" t="s">
        <v>66</v>
      </c>
      <c r="CH123" s="4">
        <v>2010</v>
      </c>
      <c r="CI123" s="4" t="s">
        <v>21</v>
      </c>
      <c r="CJ123" s="5">
        <v>203</v>
      </c>
      <c r="CM123" s="4" t="s">
        <v>68</v>
      </c>
      <c r="CN123" s="4">
        <v>2010</v>
      </c>
      <c r="CO123" s="4" t="s">
        <v>21</v>
      </c>
      <c r="CP123" s="5">
        <v>174</v>
      </c>
      <c r="CS123" s="4" t="s">
        <v>206</v>
      </c>
      <c r="CT123" s="4">
        <v>2010</v>
      </c>
      <c r="CU123" s="4" t="s">
        <v>21</v>
      </c>
      <c r="CV123" s="5">
        <v>338</v>
      </c>
    </row>
    <row r="124" spans="1:100" x14ac:dyDescent="0.25">
      <c r="A124" s="4" t="s">
        <v>185</v>
      </c>
      <c r="B124" s="4">
        <v>2010</v>
      </c>
      <c r="C124" s="4" t="s">
        <v>22</v>
      </c>
      <c r="D124" s="5">
        <v>12</v>
      </c>
      <c r="G124" s="4" t="s">
        <v>3</v>
      </c>
      <c r="H124" s="4">
        <v>2010</v>
      </c>
      <c r="I124" s="4" t="s">
        <v>22</v>
      </c>
      <c r="J124" s="5">
        <v>75</v>
      </c>
      <c r="M124" s="4" t="s">
        <v>31</v>
      </c>
      <c r="N124" s="4">
        <v>2010</v>
      </c>
      <c r="O124" s="4" t="s">
        <v>22</v>
      </c>
      <c r="P124" s="5">
        <v>96</v>
      </c>
      <c r="S124" s="4" t="s">
        <v>33</v>
      </c>
      <c r="T124" s="4">
        <v>2010</v>
      </c>
      <c r="U124" s="4" t="s">
        <v>22</v>
      </c>
      <c r="V124" s="5">
        <v>55</v>
      </c>
      <c r="Y124" s="4" t="s">
        <v>35</v>
      </c>
      <c r="Z124" s="4">
        <v>2010</v>
      </c>
      <c r="AA124" s="4" t="s">
        <v>22</v>
      </c>
      <c r="AB124" s="5">
        <v>93</v>
      </c>
      <c r="AE124" s="4" t="s">
        <v>47</v>
      </c>
      <c r="AF124" s="4">
        <v>2010</v>
      </c>
      <c r="AG124" s="4" t="s">
        <v>22</v>
      </c>
      <c r="AH124" s="5">
        <v>309</v>
      </c>
      <c r="AK124" s="4" t="s">
        <v>49</v>
      </c>
      <c r="AL124" s="4">
        <v>2010</v>
      </c>
      <c r="AM124" s="4" t="s">
        <v>22</v>
      </c>
      <c r="AN124" s="5">
        <v>52</v>
      </c>
      <c r="AQ124" s="4" t="s">
        <v>51</v>
      </c>
      <c r="AR124" s="4">
        <v>2010</v>
      </c>
      <c r="AS124" s="4" t="s">
        <v>22</v>
      </c>
      <c r="AT124" s="5">
        <v>51</v>
      </c>
      <c r="AW124" s="4" t="s">
        <v>53</v>
      </c>
      <c r="AX124" s="4">
        <v>2010</v>
      </c>
      <c r="AY124" s="4" t="s">
        <v>22</v>
      </c>
      <c r="AZ124" s="5">
        <v>133</v>
      </c>
      <c r="BC124" s="4" t="s">
        <v>55</v>
      </c>
      <c r="BD124" s="4">
        <v>2010</v>
      </c>
      <c r="BE124" s="4" t="s">
        <v>22</v>
      </c>
      <c r="BF124" s="5">
        <v>16</v>
      </c>
      <c r="BI124" s="4" t="s">
        <v>57</v>
      </c>
      <c r="BJ124" s="4">
        <v>2010</v>
      </c>
      <c r="BK124" s="4" t="s">
        <v>22</v>
      </c>
      <c r="BL124" s="5">
        <v>373</v>
      </c>
      <c r="BO124" s="4" t="s">
        <v>60</v>
      </c>
      <c r="BP124" s="4">
        <v>2010</v>
      </c>
      <c r="BQ124" s="4" t="s">
        <v>22</v>
      </c>
      <c r="BR124" s="5">
        <v>73</v>
      </c>
      <c r="BU124" s="4" t="s">
        <v>62</v>
      </c>
      <c r="BV124" s="4">
        <v>2010</v>
      </c>
      <c r="BW124" s="4" t="s">
        <v>22</v>
      </c>
      <c r="BX124" s="5">
        <v>423</v>
      </c>
      <c r="CA124" s="4" t="s">
        <v>64</v>
      </c>
      <c r="CB124" s="4">
        <v>2010</v>
      </c>
      <c r="CC124" s="4" t="s">
        <v>22</v>
      </c>
      <c r="CD124" s="5">
        <v>28</v>
      </c>
      <c r="CG124" s="4" t="s">
        <v>66</v>
      </c>
      <c r="CH124" s="4">
        <v>2010</v>
      </c>
      <c r="CI124" s="4" t="s">
        <v>22</v>
      </c>
      <c r="CJ124" s="5">
        <v>218</v>
      </c>
      <c r="CM124" s="4" t="s">
        <v>68</v>
      </c>
      <c r="CN124" s="4">
        <v>2010</v>
      </c>
      <c r="CO124" s="4" t="s">
        <v>22</v>
      </c>
      <c r="CP124" s="5">
        <v>145</v>
      </c>
      <c r="CS124" s="4" t="s">
        <v>206</v>
      </c>
      <c r="CT124" s="4">
        <v>2010</v>
      </c>
      <c r="CU124" s="4" t="s">
        <v>22</v>
      </c>
      <c r="CV124" s="5">
        <v>414</v>
      </c>
    </row>
    <row r="125" spans="1:100" x14ac:dyDescent="0.25">
      <c r="A125" s="4" t="s">
        <v>185</v>
      </c>
      <c r="B125" s="4">
        <v>2010</v>
      </c>
      <c r="C125" s="4" t="s">
        <v>23</v>
      </c>
      <c r="D125" s="5">
        <v>19</v>
      </c>
      <c r="G125" s="4" t="s">
        <v>3</v>
      </c>
      <c r="H125" s="4">
        <v>2010</v>
      </c>
      <c r="I125" s="4" t="s">
        <v>23</v>
      </c>
      <c r="J125" s="5">
        <v>98</v>
      </c>
      <c r="M125" s="4" t="s">
        <v>31</v>
      </c>
      <c r="N125" s="4">
        <v>2010</v>
      </c>
      <c r="O125" s="4" t="s">
        <v>23</v>
      </c>
      <c r="P125" s="5">
        <v>115</v>
      </c>
      <c r="S125" s="4" t="s">
        <v>33</v>
      </c>
      <c r="T125" s="4">
        <v>2010</v>
      </c>
      <c r="U125" s="4" t="s">
        <v>23</v>
      </c>
      <c r="V125" s="5">
        <v>68</v>
      </c>
      <c r="Y125" s="4" t="s">
        <v>35</v>
      </c>
      <c r="Z125" s="4">
        <v>2010</v>
      </c>
      <c r="AA125" s="4" t="s">
        <v>23</v>
      </c>
      <c r="AB125" s="5">
        <v>87</v>
      </c>
      <c r="AE125" s="4" t="s">
        <v>47</v>
      </c>
      <c r="AF125" s="4">
        <v>2010</v>
      </c>
      <c r="AG125" s="4" t="s">
        <v>23</v>
      </c>
      <c r="AH125" s="5">
        <v>289</v>
      </c>
      <c r="AK125" s="4" t="s">
        <v>49</v>
      </c>
      <c r="AL125" s="4">
        <v>2010</v>
      </c>
      <c r="AM125" s="4" t="s">
        <v>23</v>
      </c>
      <c r="AN125" s="5">
        <v>78</v>
      </c>
      <c r="AQ125" s="4" t="s">
        <v>51</v>
      </c>
      <c r="AR125" s="4">
        <v>2010</v>
      </c>
      <c r="AS125" s="4" t="s">
        <v>23</v>
      </c>
      <c r="AT125" s="5">
        <v>87</v>
      </c>
      <c r="AW125" s="4" t="s">
        <v>53</v>
      </c>
      <c r="AX125" s="4">
        <v>2010</v>
      </c>
      <c r="AY125" s="4" t="s">
        <v>23</v>
      </c>
      <c r="AZ125" s="5">
        <v>209</v>
      </c>
      <c r="BC125" s="4" t="s">
        <v>55</v>
      </c>
      <c r="BD125" s="4">
        <v>2010</v>
      </c>
      <c r="BE125" s="4" t="s">
        <v>23</v>
      </c>
      <c r="BF125" s="5">
        <v>39</v>
      </c>
      <c r="BI125" s="4" t="s">
        <v>57</v>
      </c>
      <c r="BJ125" s="4">
        <v>2010</v>
      </c>
      <c r="BK125" s="4" t="s">
        <v>23</v>
      </c>
      <c r="BL125" s="5">
        <v>545</v>
      </c>
      <c r="BO125" s="4" t="s">
        <v>60</v>
      </c>
      <c r="BP125" s="4">
        <v>2010</v>
      </c>
      <c r="BQ125" s="4" t="s">
        <v>23</v>
      </c>
      <c r="BR125" s="5">
        <v>61</v>
      </c>
      <c r="BU125" s="4" t="s">
        <v>62</v>
      </c>
      <c r="BV125" s="4">
        <v>2010</v>
      </c>
      <c r="BW125" s="4" t="s">
        <v>23</v>
      </c>
      <c r="BX125" s="5">
        <v>490</v>
      </c>
      <c r="CA125" s="4" t="s">
        <v>64</v>
      </c>
      <c r="CB125" s="4">
        <v>2010</v>
      </c>
      <c r="CC125" s="4" t="s">
        <v>23</v>
      </c>
      <c r="CD125" s="5">
        <v>34</v>
      </c>
      <c r="CG125" s="4" t="s">
        <v>66</v>
      </c>
      <c r="CH125" s="4">
        <v>2010</v>
      </c>
      <c r="CI125" s="4" t="s">
        <v>23</v>
      </c>
      <c r="CJ125" s="5">
        <v>305</v>
      </c>
      <c r="CM125" s="4" t="s">
        <v>68</v>
      </c>
      <c r="CN125" s="4">
        <v>2010</v>
      </c>
      <c r="CO125" s="4" t="s">
        <v>23</v>
      </c>
      <c r="CP125" s="5">
        <v>239</v>
      </c>
      <c r="CS125" s="4" t="s">
        <v>206</v>
      </c>
      <c r="CT125" s="4">
        <v>2010</v>
      </c>
      <c r="CU125" s="4" t="s">
        <v>23</v>
      </c>
      <c r="CV125" s="5">
        <v>630</v>
      </c>
    </row>
    <row r="126" spans="1:100" x14ac:dyDescent="0.25">
      <c r="A126" s="4" t="s">
        <v>185</v>
      </c>
      <c r="B126" s="4">
        <v>2010</v>
      </c>
      <c r="C126" s="4" t="s">
        <v>24</v>
      </c>
      <c r="D126" s="5">
        <v>15</v>
      </c>
      <c r="G126" s="4" t="s">
        <v>3</v>
      </c>
      <c r="H126" s="4">
        <v>2010</v>
      </c>
      <c r="I126" s="4" t="s">
        <v>24</v>
      </c>
      <c r="J126" s="5">
        <v>85</v>
      </c>
      <c r="M126" s="4" t="s">
        <v>31</v>
      </c>
      <c r="N126" s="4">
        <v>2010</v>
      </c>
      <c r="O126" s="4" t="s">
        <v>24</v>
      </c>
      <c r="P126" s="5">
        <v>127</v>
      </c>
      <c r="S126" s="4" t="s">
        <v>33</v>
      </c>
      <c r="T126" s="4">
        <v>2010</v>
      </c>
      <c r="U126" s="4" t="s">
        <v>24</v>
      </c>
      <c r="V126" s="5">
        <v>66</v>
      </c>
      <c r="Y126" s="4" t="s">
        <v>35</v>
      </c>
      <c r="Z126" s="4">
        <v>2010</v>
      </c>
      <c r="AA126" s="4" t="s">
        <v>24</v>
      </c>
      <c r="AB126" s="5">
        <v>93</v>
      </c>
      <c r="AE126" s="4" t="s">
        <v>47</v>
      </c>
      <c r="AF126" s="4">
        <v>2010</v>
      </c>
      <c r="AG126" s="4" t="s">
        <v>24</v>
      </c>
      <c r="AH126" s="5">
        <v>252</v>
      </c>
      <c r="AK126" s="4" t="s">
        <v>49</v>
      </c>
      <c r="AL126" s="4">
        <v>2010</v>
      </c>
      <c r="AM126" s="4" t="s">
        <v>24</v>
      </c>
      <c r="AN126" s="5">
        <v>61</v>
      </c>
      <c r="AQ126" s="4" t="s">
        <v>51</v>
      </c>
      <c r="AR126" s="4">
        <v>2010</v>
      </c>
      <c r="AS126" s="4" t="s">
        <v>24</v>
      </c>
      <c r="AT126" s="5">
        <v>77</v>
      </c>
      <c r="AW126" s="4" t="s">
        <v>53</v>
      </c>
      <c r="AX126" s="4">
        <v>2010</v>
      </c>
      <c r="AY126" s="4" t="s">
        <v>24</v>
      </c>
      <c r="AZ126" s="5">
        <v>171</v>
      </c>
      <c r="BC126" s="4" t="s">
        <v>55</v>
      </c>
      <c r="BD126" s="4">
        <v>2010</v>
      </c>
      <c r="BE126" s="4" t="s">
        <v>24</v>
      </c>
      <c r="BF126" s="5">
        <v>36</v>
      </c>
      <c r="BI126" s="4" t="s">
        <v>57</v>
      </c>
      <c r="BJ126" s="4">
        <v>2010</v>
      </c>
      <c r="BK126" s="4" t="s">
        <v>24</v>
      </c>
      <c r="BL126" s="5">
        <v>548</v>
      </c>
      <c r="BO126" s="4" t="s">
        <v>60</v>
      </c>
      <c r="BP126" s="4">
        <v>2010</v>
      </c>
      <c r="BQ126" s="4" t="s">
        <v>24</v>
      </c>
      <c r="BR126" s="5">
        <v>73</v>
      </c>
      <c r="BU126" s="4" t="s">
        <v>62</v>
      </c>
      <c r="BV126" s="4">
        <v>2010</v>
      </c>
      <c r="BW126" s="4" t="s">
        <v>24</v>
      </c>
      <c r="BX126" s="5">
        <v>423</v>
      </c>
      <c r="CA126" s="4" t="s">
        <v>64</v>
      </c>
      <c r="CB126" s="4">
        <v>2010</v>
      </c>
      <c r="CC126" s="4" t="s">
        <v>24</v>
      </c>
      <c r="CD126" s="5">
        <v>57</v>
      </c>
      <c r="CG126" s="4" t="s">
        <v>66</v>
      </c>
      <c r="CH126" s="4">
        <v>2010</v>
      </c>
      <c r="CI126" s="4" t="s">
        <v>24</v>
      </c>
      <c r="CJ126" s="5">
        <v>265</v>
      </c>
      <c r="CM126" s="4" t="s">
        <v>68</v>
      </c>
      <c r="CN126" s="4">
        <v>2010</v>
      </c>
      <c r="CO126" s="4" t="s">
        <v>24</v>
      </c>
      <c r="CP126" s="5">
        <v>115</v>
      </c>
      <c r="CS126" s="4" t="s">
        <v>206</v>
      </c>
      <c r="CT126" s="4">
        <v>2010</v>
      </c>
      <c r="CU126" s="4" t="s">
        <v>24</v>
      </c>
      <c r="CV126" s="5">
        <v>370</v>
      </c>
    </row>
    <row r="127" spans="1:100" x14ac:dyDescent="0.25">
      <c r="A127" s="4" t="s">
        <v>185</v>
      </c>
      <c r="B127" s="4">
        <v>2010</v>
      </c>
      <c r="C127" s="4" t="s">
        <v>25</v>
      </c>
      <c r="D127" s="5">
        <v>13</v>
      </c>
      <c r="G127" s="4" t="s">
        <v>3</v>
      </c>
      <c r="H127" s="4">
        <v>2010</v>
      </c>
      <c r="I127" s="4" t="s">
        <v>25</v>
      </c>
      <c r="J127" s="5">
        <v>82</v>
      </c>
      <c r="M127" s="4" t="s">
        <v>31</v>
      </c>
      <c r="N127" s="4">
        <v>2010</v>
      </c>
      <c r="O127" s="4" t="s">
        <v>25</v>
      </c>
      <c r="P127" s="5">
        <v>136</v>
      </c>
      <c r="S127" s="4" t="s">
        <v>33</v>
      </c>
      <c r="T127" s="4">
        <v>2010</v>
      </c>
      <c r="U127" s="4" t="s">
        <v>25</v>
      </c>
      <c r="V127" s="5">
        <v>68</v>
      </c>
      <c r="Y127" s="4" t="s">
        <v>35</v>
      </c>
      <c r="Z127" s="4">
        <v>2010</v>
      </c>
      <c r="AA127" s="4" t="s">
        <v>25</v>
      </c>
      <c r="AB127" s="5">
        <v>78</v>
      </c>
      <c r="AE127" s="4" t="s">
        <v>47</v>
      </c>
      <c r="AF127" s="4">
        <v>2010</v>
      </c>
      <c r="AG127" s="4" t="s">
        <v>25</v>
      </c>
      <c r="AH127" s="5">
        <v>252</v>
      </c>
      <c r="AK127" s="4" t="s">
        <v>49</v>
      </c>
      <c r="AL127" s="4">
        <v>2010</v>
      </c>
      <c r="AM127" s="4" t="s">
        <v>25</v>
      </c>
      <c r="AN127" s="5">
        <v>85</v>
      </c>
      <c r="AQ127" s="4" t="s">
        <v>51</v>
      </c>
      <c r="AR127" s="4">
        <v>2010</v>
      </c>
      <c r="AS127" s="4" t="s">
        <v>25</v>
      </c>
      <c r="AT127" s="5">
        <v>56</v>
      </c>
      <c r="AW127" s="4" t="s">
        <v>53</v>
      </c>
      <c r="AX127" s="4">
        <v>2010</v>
      </c>
      <c r="AY127" s="4" t="s">
        <v>25</v>
      </c>
      <c r="AZ127" s="5">
        <v>153</v>
      </c>
      <c r="BC127" s="4" t="s">
        <v>55</v>
      </c>
      <c r="BD127" s="4">
        <v>2010</v>
      </c>
      <c r="BE127" s="4" t="s">
        <v>25</v>
      </c>
      <c r="BF127" s="5">
        <v>37</v>
      </c>
      <c r="BI127" s="4" t="s">
        <v>57</v>
      </c>
      <c r="BJ127" s="4">
        <v>2010</v>
      </c>
      <c r="BK127" s="4" t="s">
        <v>25</v>
      </c>
      <c r="BL127" s="5">
        <v>449</v>
      </c>
      <c r="BO127" s="4" t="s">
        <v>60</v>
      </c>
      <c r="BP127" s="4">
        <v>2010</v>
      </c>
      <c r="BQ127" s="4" t="s">
        <v>25</v>
      </c>
      <c r="BR127" s="5">
        <v>50</v>
      </c>
      <c r="BU127" s="4" t="s">
        <v>62</v>
      </c>
      <c r="BV127" s="4">
        <v>2010</v>
      </c>
      <c r="BW127" s="4" t="s">
        <v>25</v>
      </c>
      <c r="BX127" s="5">
        <v>400</v>
      </c>
      <c r="CA127" s="4" t="s">
        <v>64</v>
      </c>
      <c r="CB127" s="4">
        <v>2010</v>
      </c>
      <c r="CC127" s="4" t="s">
        <v>25</v>
      </c>
      <c r="CD127" s="5">
        <v>47</v>
      </c>
      <c r="CG127" s="4" t="s">
        <v>66</v>
      </c>
      <c r="CH127" s="4">
        <v>2010</v>
      </c>
      <c r="CI127" s="4" t="s">
        <v>25</v>
      </c>
      <c r="CJ127" s="5">
        <v>257</v>
      </c>
      <c r="CM127" s="4" t="s">
        <v>68</v>
      </c>
      <c r="CN127" s="4">
        <v>2010</v>
      </c>
      <c r="CO127" s="4" t="s">
        <v>25</v>
      </c>
      <c r="CP127" s="5">
        <v>117</v>
      </c>
      <c r="CS127" s="4" t="s">
        <v>206</v>
      </c>
      <c r="CT127" s="4">
        <v>2010</v>
      </c>
      <c r="CU127" s="4" t="s">
        <v>25</v>
      </c>
      <c r="CV127" s="5">
        <v>348</v>
      </c>
    </row>
    <row r="128" spans="1:100" x14ac:dyDescent="0.25">
      <c r="A128" s="4" t="s">
        <v>185</v>
      </c>
      <c r="B128" s="4">
        <v>2010</v>
      </c>
      <c r="C128" s="4" t="s">
        <v>26</v>
      </c>
      <c r="D128" s="5">
        <v>13</v>
      </c>
      <c r="G128" s="4" t="s">
        <v>3</v>
      </c>
      <c r="H128" s="4">
        <v>2010</v>
      </c>
      <c r="I128" s="4" t="s">
        <v>26</v>
      </c>
      <c r="J128" s="5">
        <v>107</v>
      </c>
      <c r="M128" s="4" t="s">
        <v>31</v>
      </c>
      <c r="N128" s="4">
        <v>2010</v>
      </c>
      <c r="O128" s="4" t="s">
        <v>26</v>
      </c>
      <c r="P128" s="5">
        <v>182</v>
      </c>
      <c r="S128" s="4" t="s">
        <v>33</v>
      </c>
      <c r="T128" s="4">
        <v>2010</v>
      </c>
      <c r="U128" s="4" t="s">
        <v>26</v>
      </c>
      <c r="V128" s="5">
        <v>69</v>
      </c>
      <c r="Y128" s="4" t="s">
        <v>35</v>
      </c>
      <c r="Z128" s="4">
        <v>2010</v>
      </c>
      <c r="AA128" s="4" t="s">
        <v>26</v>
      </c>
      <c r="AB128" s="5">
        <v>90</v>
      </c>
      <c r="AE128" s="4" t="s">
        <v>47</v>
      </c>
      <c r="AF128" s="4">
        <v>2010</v>
      </c>
      <c r="AG128" s="4" t="s">
        <v>26</v>
      </c>
      <c r="AH128" s="5">
        <v>322</v>
      </c>
      <c r="AK128" s="4" t="s">
        <v>49</v>
      </c>
      <c r="AL128" s="4">
        <v>2010</v>
      </c>
      <c r="AM128" s="4" t="s">
        <v>26</v>
      </c>
      <c r="AN128" s="5">
        <v>74</v>
      </c>
      <c r="AQ128" s="4" t="s">
        <v>51</v>
      </c>
      <c r="AR128" s="4">
        <v>2010</v>
      </c>
      <c r="AS128" s="4" t="s">
        <v>26</v>
      </c>
      <c r="AT128" s="5">
        <v>107</v>
      </c>
      <c r="AW128" s="4" t="s">
        <v>53</v>
      </c>
      <c r="AX128" s="4">
        <v>2010</v>
      </c>
      <c r="AY128" s="4" t="s">
        <v>26</v>
      </c>
      <c r="AZ128" s="5">
        <v>198</v>
      </c>
      <c r="BC128" s="4" t="s">
        <v>55</v>
      </c>
      <c r="BD128" s="4">
        <v>2010</v>
      </c>
      <c r="BE128" s="4" t="s">
        <v>26</v>
      </c>
      <c r="BF128" s="5">
        <v>28</v>
      </c>
      <c r="BI128" s="4" t="s">
        <v>57</v>
      </c>
      <c r="BJ128" s="4">
        <v>2010</v>
      </c>
      <c r="BK128" s="4" t="s">
        <v>26</v>
      </c>
      <c r="BL128" s="5">
        <v>551</v>
      </c>
      <c r="BO128" s="4" t="s">
        <v>60</v>
      </c>
      <c r="BP128" s="4">
        <v>2010</v>
      </c>
      <c r="BQ128" s="4" t="s">
        <v>26</v>
      </c>
      <c r="BR128" s="5">
        <v>64</v>
      </c>
      <c r="BU128" s="4" t="s">
        <v>62</v>
      </c>
      <c r="BV128" s="4">
        <v>2010</v>
      </c>
      <c r="BW128" s="4" t="s">
        <v>26</v>
      </c>
      <c r="BX128" s="5">
        <v>499</v>
      </c>
      <c r="CA128" s="4" t="s">
        <v>64</v>
      </c>
      <c r="CB128" s="4">
        <v>2010</v>
      </c>
      <c r="CC128" s="4" t="s">
        <v>26</v>
      </c>
      <c r="CD128" s="5">
        <v>41</v>
      </c>
      <c r="CG128" s="4" t="s">
        <v>66</v>
      </c>
      <c r="CH128" s="4">
        <v>2010</v>
      </c>
      <c r="CI128" s="4" t="s">
        <v>26</v>
      </c>
      <c r="CJ128" s="5">
        <v>312</v>
      </c>
      <c r="CM128" s="4" t="s">
        <v>68</v>
      </c>
      <c r="CN128" s="4">
        <v>2010</v>
      </c>
      <c r="CO128" s="4" t="s">
        <v>26</v>
      </c>
      <c r="CP128" s="5">
        <v>182</v>
      </c>
      <c r="CS128" s="4" t="s">
        <v>206</v>
      </c>
      <c r="CT128" s="4">
        <v>2010</v>
      </c>
      <c r="CU128" s="4" t="s">
        <v>26</v>
      </c>
      <c r="CV128" s="5">
        <v>329</v>
      </c>
    </row>
    <row r="129" spans="1:100" x14ac:dyDescent="0.25">
      <c r="A129" s="4" t="s">
        <v>185</v>
      </c>
      <c r="B129" s="4">
        <v>2010</v>
      </c>
      <c r="C129" s="4" t="s">
        <v>27</v>
      </c>
      <c r="D129" s="5">
        <v>15</v>
      </c>
      <c r="G129" s="4" t="s">
        <v>3</v>
      </c>
      <c r="H129" s="4">
        <v>2010</v>
      </c>
      <c r="I129" s="4" t="s">
        <v>27</v>
      </c>
      <c r="J129" s="5">
        <v>59</v>
      </c>
      <c r="M129" s="4" t="s">
        <v>31</v>
      </c>
      <c r="N129" s="4">
        <v>2010</v>
      </c>
      <c r="O129" s="4" t="s">
        <v>27</v>
      </c>
      <c r="P129" s="5">
        <v>132</v>
      </c>
      <c r="S129" s="4" t="s">
        <v>33</v>
      </c>
      <c r="T129" s="4">
        <v>2010</v>
      </c>
      <c r="U129" s="4" t="s">
        <v>27</v>
      </c>
      <c r="V129" s="5">
        <v>55</v>
      </c>
      <c r="Y129" s="4" t="s">
        <v>35</v>
      </c>
      <c r="Z129" s="4">
        <v>2010</v>
      </c>
      <c r="AA129" s="4" t="s">
        <v>27</v>
      </c>
      <c r="AB129" s="5">
        <v>83</v>
      </c>
      <c r="AE129" s="4" t="s">
        <v>47</v>
      </c>
      <c r="AF129" s="4">
        <v>2010</v>
      </c>
      <c r="AG129" s="4" t="s">
        <v>27</v>
      </c>
      <c r="AH129" s="5">
        <v>275</v>
      </c>
      <c r="AK129" s="4" t="s">
        <v>49</v>
      </c>
      <c r="AL129" s="4">
        <v>2010</v>
      </c>
      <c r="AM129" s="4" t="s">
        <v>27</v>
      </c>
      <c r="AN129" s="5">
        <v>98</v>
      </c>
      <c r="AQ129" s="4" t="s">
        <v>51</v>
      </c>
      <c r="AR129" s="4">
        <v>2010</v>
      </c>
      <c r="AS129" s="4" t="s">
        <v>27</v>
      </c>
      <c r="AT129" s="5">
        <v>92</v>
      </c>
      <c r="AW129" s="4" t="s">
        <v>53</v>
      </c>
      <c r="AX129" s="4">
        <v>2010</v>
      </c>
      <c r="AY129" s="4" t="s">
        <v>27</v>
      </c>
      <c r="AZ129" s="5">
        <v>175</v>
      </c>
      <c r="BC129" s="4" t="s">
        <v>55</v>
      </c>
      <c r="BD129" s="4">
        <v>2010</v>
      </c>
      <c r="BE129" s="4" t="s">
        <v>27</v>
      </c>
      <c r="BF129" s="5">
        <v>59</v>
      </c>
      <c r="BI129" s="4" t="s">
        <v>57</v>
      </c>
      <c r="BJ129" s="4">
        <v>2010</v>
      </c>
      <c r="BK129" s="4" t="s">
        <v>27</v>
      </c>
      <c r="BL129" s="5">
        <v>606</v>
      </c>
      <c r="BO129" s="4" t="s">
        <v>60</v>
      </c>
      <c r="BP129" s="4">
        <v>2010</v>
      </c>
      <c r="BQ129" s="4" t="s">
        <v>27</v>
      </c>
      <c r="BR129" s="5">
        <v>54</v>
      </c>
      <c r="BU129" s="4" t="s">
        <v>62</v>
      </c>
      <c r="BV129" s="4">
        <v>2010</v>
      </c>
      <c r="BW129" s="4" t="s">
        <v>27</v>
      </c>
      <c r="BX129" s="5">
        <v>412</v>
      </c>
      <c r="CA129" s="4" t="s">
        <v>64</v>
      </c>
      <c r="CB129" s="4">
        <v>2010</v>
      </c>
      <c r="CC129" s="4" t="s">
        <v>27</v>
      </c>
      <c r="CD129" s="5">
        <v>42</v>
      </c>
      <c r="CG129" s="4" t="s">
        <v>66</v>
      </c>
      <c r="CH129" s="4">
        <v>2010</v>
      </c>
      <c r="CI129" s="4" t="s">
        <v>27</v>
      </c>
      <c r="CJ129" s="5">
        <v>325</v>
      </c>
      <c r="CM129" s="4" t="s">
        <v>68</v>
      </c>
      <c r="CN129" s="4">
        <v>2010</v>
      </c>
      <c r="CO129" s="4" t="s">
        <v>27</v>
      </c>
      <c r="CP129" s="5">
        <v>162</v>
      </c>
      <c r="CS129" s="4" t="s">
        <v>206</v>
      </c>
      <c r="CT129" s="4">
        <v>2010</v>
      </c>
      <c r="CU129" s="4" t="s">
        <v>27</v>
      </c>
      <c r="CV129" s="5">
        <v>321</v>
      </c>
    </row>
    <row r="130" spans="1:100" x14ac:dyDescent="0.25">
      <c r="A130" s="4" t="s">
        <v>185</v>
      </c>
      <c r="B130" s="4">
        <v>2010</v>
      </c>
      <c r="C130" s="4" t="s">
        <v>28</v>
      </c>
      <c r="D130" s="5">
        <v>19</v>
      </c>
      <c r="G130" s="4" t="s">
        <v>3</v>
      </c>
      <c r="H130" s="4">
        <v>2010</v>
      </c>
      <c r="I130" s="4" t="s">
        <v>28</v>
      </c>
      <c r="J130" s="5">
        <v>80</v>
      </c>
      <c r="M130" s="4" t="s">
        <v>31</v>
      </c>
      <c r="N130" s="4">
        <v>2010</v>
      </c>
      <c r="O130" s="4" t="s">
        <v>28</v>
      </c>
      <c r="P130" s="5">
        <v>129</v>
      </c>
      <c r="S130" s="4" t="s">
        <v>33</v>
      </c>
      <c r="T130" s="4">
        <v>2010</v>
      </c>
      <c r="U130" s="4" t="s">
        <v>28</v>
      </c>
      <c r="V130" s="5">
        <v>59</v>
      </c>
      <c r="Y130" s="4" t="s">
        <v>35</v>
      </c>
      <c r="Z130" s="4">
        <v>2010</v>
      </c>
      <c r="AA130" s="4" t="s">
        <v>28</v>
      </c>
      <c r="AB130" s="5">
        <v>78</v>
      </c>
      <c r="AE130" s="4" t="s">
        <v>47</v>
      </c>
      <c r="AF130" s="4">
        <v>2010</v>
      </c>
      <c r="AG130" s="4" t="s">
        <v>28</v>
      </c>
      <c r="AH130" s="5">
        <v>267</v>
      </c>
      <c r="AK130" s="4" t="s">
        <v>49</v>
      </c>
      <c r="AL130" s="4">
        <v>2010</v>
      </c>
      <c r="AM130" s="4" t="s">
        <v>28</v>
      </c>
      <c r="AN130" s="5">
        <v>108</v>
      </c>
      <c r="AQ130" s="4" t="s">
        <v>51</v>
      </c>
      <c r="AR130" s="4">
        <v>2010</v>
      </c>
      <c r="AS130" s="4" t="s">
        <v>28</v>
      </c>
      <c r="AT130" s="5">
        <v>60</v>
      </c>
      <c r="AW130" s="4" t="s">
        <v>53</v>
      </c>
      <c r="AX130" s="4">
        <v>2010</v>
      </c>
      <c r="AY130" s="4" t="s">
        <v>28</v>
      </c>
      <c r="AZ130" s="5">
        <v>194</v>
      </c>
      <c r="BC130" s="4" t="s">
        <v>55</v>
      </c>
      <c r="BD130" s="4">
        <v>2010</v>
      </c>
      <c r="BE130" s="4" t="s">
        <v>28</v>
      </c>
      <c r="BF130" s="5">
        <v>26</v>
      </c>
      <c r="BI130" s="4" t="s">
        <v>57</v>
      </c>
      <c r="BJ130" s="4">
        <v>2010</v>
      </c>
      <c r="BK130" s="4" t="s">
        <v>28</v>
      </c>
      <c r="BL130" s="5">
        <v>550</v>
      </c>
      <c r="BO130" s="4" t="s">
        <v>60</v>
      </c>
      <c r="BP130" s="4">
        <v>2010</v>
      </c>
      <c r="BQ130" s="4" t="s">
        <v>28</v>
      </c>
      <c r="BR130" s="5">
        <v>42</v>
      </c>
      <c r="BU130" s="4" t="s">
        <v>62</v>
      </c>
      <c r="BV130" s="4">
        <v>2010</v>
      </c>
      <c r="BW130" s="4" t="s">
        <v>28</v>
      </c>
      <c r="BX130" s="5">
        <v>453</v>
      </c>
      <c r="CA130" s="4" t="s">
        <v>64</v>
      </c>
      <c r="CB130" s="4">
        <v>2010</v>
      </c>
      <c r="CC130" s="4" t="s">
        <v>28</v>
      </c>
      <c r="CD130" s="5">
        <v>32</v>
      </c>
      <c r="CG130" s="4" t="s">
        <v>66</v>
      </c>
      <c r="CH130" s="4">
        <v>2010</v>
      </c>
      <c r="CI130" s="4" t="s">
        <v>28</v>
      </c>
      <c r="CJ130" s="5">
        <v>284</v>
      </c>
      <c r="CM130" s="4" t="s">
        <v>68</v>
      </c>
      <c r="CN130" s="4">
        <v>2010</v>
      </c>
      <c r="CO130" s="4" t="s">
        <v>28</v>
      </c>
      <c r="CP130" s="5">
        <v>102</v>
      </c>
      <c r="CS130" s="4" t="s">
        <v>206</v>
      </c>
      <c r="CT130" s="4">
        <v>2010</v>
      </c>
      <c r="CU130" s="4" t="s">
        <v>28</v>
      </c>
      <c r="CV130" s="5">
        <v>309</v>
      </c>
    </row>
    <row r="131" spans="1:100" x14ac:dyDescent="0.25">
      <c r="A131" s="4" t="s">
        <v>185</v>
      </c>
      <c r="B131" s="4">
        <v>2010</v>
      </c>
      <c r="C131" s="4" t="s">
        <v>29</v>
      </c>
      <c r="D131" s="5">
        <v>20</v>
      </c>
      <c r="G131" s="4" t="s">
        <v>3</v>
      </c>
      <c r="H131" s="4">
        <v>2010</v>
      </c>
      <c r="I131" s="4" t="s">
        <v>29</v>
      </c>
      <c r="J131" s="5">
        <v>73</v>
      </c>
      <c r="M131" s="4" t="s">
        <v>31</v>
      </c>
      <c r="N131" s="4">
        <v>2010</v>
      </c>
      <c r="O131" s="4" t="s">
        <v>29</v>
      </c>
      <c r="P131" s="5">
        <v>144</v>
      </c>
      <c r="S131" s="4" t="s">
        <v>33</v>
      </c>
      <c r="T131" s="4">
        <v>2010</v>
      </c>
      <c r="U131" s="4" t="s">
        <v>29</v>
      </c>
      <c r="V131" s="5">
        <v>61</v>
      </c>
      <c r="Y131" s="4" t="s">
        <v>35</v>
      </c>
      <c r="Z131" s="4">
        <v>2010</v>
      </c>
      <c r="AA131" s="4" t="s">
        <v>29</v>
      </c>
      <c r="AB131" s="5">
        <v>86</v>
      </c>
      <c r="AE131" s="4" t="s">
        <v>47</v>
      </c>
      <c r="AF131" s="4">
        <v>2010</v>
      </c>
      <c r="AG131" s="4" t="s">
        <v>29</v>
      </c>
      <c r="AH131" s="5">
        <v>322</v>
      </c>
      <c r="AK131" s="4" t="s">
        <v>49</v>
      </c>
      <c r="AL131" s="4">
        <v>2010</v>
      </c>
      <c r="AM131" s="4" t="s">
        <v>29</v>
      </c>
      <c r="AN131" s="5">
        <v>106</v>
      </c>
      <c r="AQ131" s="4" t="s">
        <v>51</v>
      </c>
      <c r="AR131" s="4">
        <v>2010</v>
      </c>
      <c r="AS131" s="4" t="s">
        <v>29</v>
      </c>
      <c r="AT131" s="5">
        <v>75</v>
      </c>
      <c r="AW131" s="4" t="s">
        <v>53</v>
      </c>
      <c r="AX131" s="4">
        <v>2010</v>
      </c>
      <c r="AY131" s="4" t="s">
        <v>29</v>
      </c>
      <c r="AZ131" s="5">
        <v>229</v>
      </c>
      <c r="BC131" s="4" t="s">
        <v>55</v>
      </c>
      <c r="BD131" s="4">
        <v>2010</v>
      </c>
      <c r="BE131" s="4" t="s">
        <v>29</v>
      </c>
      <c r="BF131" s="5">
        <v>41</v>
      </c>
      <c r="BI131" s="4" t="s">
        <v>57</v>
      </c>
      <c r="BJ131" s="4">
        <v>2010</v>
      </c>
      <c r="BK131" s="4" t="s">
        <v>29</v>
      </c>
      <c r="BL131" s="5">
        <v>648</v>
      </c>
      <c r="BO131" s="4" t="s">
        <v>60</v>
      </c>
      <c r="BP131" s="4">
        <v>2010</v>
      </c>
      <c r="BQ131" s="4" t="s">
        <v>29</v>
      </c>
      <c r="BR131" s="5">
        <v>67</v>
      </c>
      <c r="BU131" s="4" t="s">
        <v>62</v>
      </c>
      <c r="BV131" s="4">
        <v>2010</v>
      </c>
      <c r="BW131" s="4" t="s">
        <v>29</v>
      </c>
      <c r="BX131" s="5">
        <v>545</v>
      </c>
      <c r="CA131" s="4" t="s">
        <v>64</v>
      </c>
      <c r="CB131" s="4">
        <v>2010</v>
      </c>
      <c r="CC131" s="4" t="s">
        <v>29</v>
      </c>
      <c r="CD131" s="5">
        <v>33</v>
      </c>
      <c r="CG131" s="4" t="s">
        <v>66</v>
      </c>
      <c r="CH131" s="4">
        <v>2010</v>
      </c>
      <c r="CI131" s="4" t="s">
        <v>29</v>
      </c>
      <c r="CJ131" s="5">
        <v>295</v>
      </c>
      <c r="CM131" s="4" t="s">
        <v>68</v>
      </c>
      <c r="CN131" s="4">
        <v>2010</v>
      </c>
      <c r="CO131" s="4" t="s">
        <v>29</v>
      </c>
      <c r="CP131" s="5">
        <v>135</v>
      </c>
      <c r="CS131" s="4" t="s">
        <v>206</v>
      </c>
      <c r="CT131" s="4">
        <v>2010</v>
      </c>
      <c r="CU131" s="4" t="s">
        <v>29</v>
      </c>
      <c r="CV131" s="5">
        <v>342</v>
      </c>
    </row>
    <row r="132" spans="1:100" x14ac:dyDescent="0.25">
      <c r="A132" s="4" t="s">
        <v>185</v>
      </c>
      <c r="B132" s="4">
        <v>2010</v>
      </c>
      <c r="C132" s="4" t="s">
        <v>30</v>
      </c>
      <c r="D132" s="5">
        <v>24</v>
      </c>
      <c r="G132" s="4" t="s">
        <v>3</v>
      </c>
      <c r="H132" s="4">
        <v>2010</v>
      </c>
      <c r="I132" s="4" t="s">
        <v>30</v>
      </c>
      <c r="J132" s="5">
        <v>64</v>
      </c>
      <c r="M132" s="4" t="s">
        <v>31</v>
      </c>
      <c r="N132" s="4">
        <v>2010</v>
      </c>
      <c r="O132" s="4" t="s">
        <v>30</v>
      </c>
      <c r="P132" s="5">
        <v>134</v>
      </c>
      <c r="S132" s="4" t="s">
        <v>33</v>
      </c>
      <c r="T132" s="4">
        <v>2010</v>
      </c>
      <c r="U132" s="4" t="s">
        <v>30</v>
      </c>
      <c r="V132" s="5">
        <v>57</v>
      </c>
      <c r="Y132" s="4" t="s">
        <v>35</v>
      </c>
      <c r="Z132" s="4">
        <v>2010</v>
      </c>
      <c r="AA132" s="4" t="s">
        <v>30</v>
      </c>
      <c r="AB132" s="5">
        <v>80</v>
      </c>
      <c r="AE132" s="4" t="s">
        <v>47</v>
      </c>
      <c r="AF132" s="4">
        <v>2010</v>
      </c>
      <c r="AG132" s="4" t="s">
        <v>30</v>
      </c>
      <c r="AH132" s="5">
        <v>227</v>
      </c>
      <c r="AK132" s="4" t="s">
        <v>49</v>
      </c>
      <c r="AL132" s="4">
        <v>2010</v>
      </c>
      <c r="AM132" s="4" t="s">
        <v>30</v>
      </c>
      <c r="AN132" s="5">
        <v>69</v>
      </c>
      <c r="AQ132" s="4" t="s">
        <v>51</v>
      </c>
      <c r="AR132" s="4">
        <v>2010</v>
      </c>
      <c r="AS132" s="4" t="s">
        <v>30</v>
      </c>
      <c r="AT132" s="5">
        <v>77</v>
      </c>
      <c r="AW132" s="4" t="s">
        <v>53</v>
      </c>
      <c r="AX132" s="4">
        <v>2010</v>
      </c>
      <c r="AY132" s="4" t="s">
        <v>30</v>
      </c>
      <c r="AZ132" s="5">
        <v>191</v>
      </c>
      <c r="BC132" s="4" t="s">
        <v>55</v>
      </c>
      <c r="BD132" s="4">
        <v>2010</v>
      </c>
      <c r="BE132" s="4" t="s">
        <v>30</v>
      </c>
      <c r="BF132" s="5">
        <v>35</v>
      </c>
      <c r="BI132" s="4" t="s">
        <v>57</v>
      </c>
      <c r="BJ132" s="4">
        <v>2010</v>
      </c>
      <c r="BK132" s="4" t="s">
        <v>30</v>
      </c>
      <c r="BL132" s="5">
        <v>651</v>
      </c>
      <c r="BO132" s="4" t="s">
        <v>60</v>
      </c>
      <c r="BP132" s="4">
        <v>2010</v>
      </c>
      <c r="BQ132" s="4" t="s">
        <v>30</v>
      </c>
      <c r="BR132" s="5">
        <v>49</v>
      </c>
      <c r="BU132" s="4" t="s">
        <v>62</v>
      </c>
      <c r="BV132" s="4">
        <v>2010</v>
      </c>
      <c r="BW132" s="4" t="s">
        <v>30</v>
      </c>
      <c r="BX132" s="5">
        <v>450</v>
      </c>
      <c r="CA132" s="4" t="s">
        <v>64</v>
      </c>
      <c r="CB132" s="4">
        <v>2010</v>
      </c>
      <c r="CC132" s="4" t="s">
        <v>30</v>
      </c>
      <c r="CD132" s="5">
        <v>25</v>
      </c>
      <c r="CG132" s="4" t="s">
        <v>66</v>
      </c>
      <c r="CH132" s="4">
        <v>2010</v>
      </c>
      <c r="CI132" s="4" t="s">
        <v>30</v>
      </c>
      <c r="CJ132" s="5">
        <v>186</v>
      </c>
      <c r="CM132" s="4" t="s">
        <v>68</v>
      </c>
      <c r="CN132" s="4">
        <v>2010</v>
      </c>
      <c r="CO132" s="4" t="s">
        <v>30</v>
      </c>
      <c r="CP132" s="5">
        <v>116</v>
      </c>
      <c r="CS132" s="4" t="s">
        <v>206</v>
      </c>
      <c r="CT132" s="4">
        <v>2010</v>
      </c>
      <c r="CU132" s="4" t="s">
        <v>30</v>
      </c>
      <c r="CV132" s="5">
        <v>288</v>
      </c>
    </row>
    <row r="133" spans="1:100" x14ac:dyDescent="0.25">
      <c r="A133" s="4" t="s">
        <v>185</v>
      </c>
      <c r="B133" s="4">
        <v>2010</v>
      </c>
      <c r="C133" s="4" t="s">
        <v>19</v>
      </c>
      <c r="D133" s="5">
        <v>22</v>
      </c>
      <c r="G133" s="4" t="s">
        <v>3</v>
      </c>
      <c r="H133" s="4">
        <v>2010</v>
      </c>
      <c r="I133" s="4" t="s">
        <v>19</v>
      </c>
      <c r="J133" s="5">
        <v>32</v>
      </c>
      <c r="M133" s="4" t="s">
        <v>31</v>
      </c>
      <c r="N133" s="4">
        <v>2010</v>
      </c>
      <c r="O133" s="4" t="s">
        <v>19</v>
      </c>
      <c r="P133" s="5">
        <v>116</v>
      </c>
      <c r="S133" s="4" t="s">
        <v>33</v>
      </c>
      <c r="T133" s="4">
        <v>2010</v>
      </c>
      <c r="U133" s="4" t="s">
        <v>19</v>
      </c>
      <c r="V133" s="5">
        <v>57</v>
      </c>
      <c r="Y133" s="4" t="s">
        <v>35</v>
      </c>
      <c r="Z133" s="4">
        <v>2010</v>
      </c>
      <c r="AA133" s="4" t="s">
        <v>19</v>
      </c>
      <c r="AB133" s="5">
        <v>68</v>
      </c>
      <c r="AE133" s="4" t="s">
        <v>47</v>
      </c>
      <c r="AF133" s="4">
        <v>2010</v>
      </c>
      <c r="AG133" s="4" t="s">
        <v>19</v>
      </c>
      <c r="AH133" s="5">
        <v>206</v>
      </c>
      <c r="AK133" s="4" t="s">
        <v>49</v>
      </c>
      <c r="AL133" s="4">
        <v>2010</v>
      </c>
      <c r="AM133" s="4" t="s">
        <v>19</v>
      </c>
      <c r="AN133" s="5">
        <v>84</v>
      </c>
      <c r="AQ133" s="4" t="s">
        <v>51</v>
      </c>
      <c r="AR133" s="4">
        <v>2010</v>
      </c>
      <c r="AS133" s="4" t="s">
        <v>19</v>
      </c>
      <c r="AT133" s="5">
        <v>70</v>
      </c>
      <c r="AW133" s="4" t="s">
        <v>53</v>
      </c>
      <c r="AX133" s="4">
        <v>2010</v>
      </c>
      <c r="AY133" s="4" t="s">
        <v>19</v>
      </c>
      <c r="AZ133" s="5">
        <v>162</v>
      </c>
      <c r="BC133" s="4" t="s">
        <v>55</v>
      </c>
      <c r="BD133" s="4">
        <v>2010</v>
      </c>
      <c r="BE133" s="4" t="s">
        <v>19</v>
      </c>
      <c r="BF133" s="5">
        <v>22</v>
      </c>
      <c r="BI133" s="4" t="s">
        <v>57</v>
      </c>
      <c r="BJ133" s="4">
        <v>2010</v>
      </c>
      <c r="BK133" s="4" t="s">
        <v>19</v>
      </c>
      <c r="BL133" s="5">
        <v>541</v>
      </c>
      <c r="BO133" s="4" t="s">
        <v>60</v>
      </c>
      <c r="BP133" s="4">
        <v>2010</v>
      </c>
      <c r="BQ133" s="4" t="s">
        <v>19</v>
      </c>
      <c r="BR133" s="5">
        <v>47</v>
      </c>
      <c r="BU133" s="4" t="s">
        <v>62</v>
      </c>
      <c r="BV133" s="4">
        <v>2010</v>
      </c>
      <c r="BW133" s="4" t="s">
        <v>19</v>
      </c>
      <c r="BX133" s="5">
        <v>461</v>
      </c>
      <c r="CA133" s="4" t="s">
        <v>64</v>
      </c>
      <c r="CB133" s="4">
        <v>2010</v>
      </c>
      <c r="CC133" s="4" t="s">
        <v>19</v>
      </c>
      <c r="CD133" s="5">
        <v>26</v>
      </c>
      <c r="CG133" s="4" t="s">
        <v>66</v>
      </c>
      <c r="CH133" s="4">
        <v>2010</v>
      </c>
      <c r="CI133" s="4" t="s">
        <v>19</v>
      </c>
      <c r="CJ133" s="5">
        <v>188</v>
      </c>
      <c r="CM133" s="4" t="s">
        <v>68</v>
      </c>
      <c r="CN133" s="4">
        <v>2010</v>
      </c>
      <c r="CO133" s="4" t="s">
        <v>19</v>
      </c>
      <c r="CP133" s="5">
        <v>102</v>
      </c>
      <c r="CS133" s="4" t="s">
        <v>206</v>
      </c>
      <c r="CT133" s="4">
        <v>2010</v>
      </c>
      <c r="CU133" s="4" t="s">
        <v>19</v>
      </c>
      <c r="CV133" s="5">
        <v>365</v>
      </c>
    </row>
    <row r="134" spans="1:100" x14ac:dyDescent="0.25">
      <c r="A134" s="4" t="s">
        <v>185</v>
      </c>
      <c r="B134" s="4">
        <v>2011</v>
      </c>
      <c r="C134" s="4" t="s">
        <v>20</v>
      </c>
      <c r="D134" s="5">
        <v>39</v>
      </c>
      <c r="G134" s="4" t="s">
        <v>3</v>
      </c>
      <c r="H134" s="4">
        <v>2011</v>
      </c>
      <c r="I134" s="4" t="s">
        <v>20</v>
      </c>
      <c r="J134" s="5">
        <v>61</v>
      </c>
      <c r="M134" s="4" t="s">
        <v>31</v>
      </c>
      <c r="N134" s="4">
        <v>2011</v>
      </c>
      <c r="O134" s="4" t="s">
        <v>20</v>
      </c>
      <c r="P134" s="5">
        <v>139</v>
      </c>
      <c r="S134" s="4" t="s">
        <v>33</v>
      </c>
      <c r="T134" s="4">
        <v>2011</v>
      </c>
      <c r="U134" s="4" t="s">
        <v>20</v>
      </c>
      <c r="V134" s="5">
        <v>76</v>
      </c>
      <c r="Y134" s="4" t="s">
        <v>35</v>
      </c>
      <c r="Z134" s="4">
        <v>2011</v>
      </c>
      <c r="AA134" s="4" t="s">
        <v>20</v>
      </c>
      <c r="AB134" s="5">
        <v>126</v>
      </c>
      <c r="AE134" s="4" t="s">
        <v>47</v>
      </c>
      <c r="AF134" s="4">
        <v>2011</v>
      </c>
      <c r="AG134" s="4" t="s">
        <v>20</v>
      </c>
      <c r="AH134" s="5">
        <v>272</v>
      </c>
      <c r="AK134" s="4" t="s">
        <v>49</v>
      </c>
      <c r="AL134" s="4">
        <v>2011</v>
      </c>
      <c r="AM134" s="4" t="s">
        <v>20</v>
      </c>
      <c r="AN134" s="5">
        <v>101</v>
      </c>
      <c r="AQ134" s="4" t="s">
        <v>51</v>
      </c>
      <c r="AR134" s="4">
        <v>2011</v>
      </c>
      <c r="AS134" s="4" t="s">
        <v>20</v>
      </c>
      <c r="AT134" s="5">
        <v>114</v>
      </c>
      <c r="AW134" s="4" t="s">
        <v>53</v>
      </c>
      <c r="AX134" s="4">
        <v>2011</v>
      </c>
      <c r="AY134" s="4" t="s">
        <v>20</v>
      </c>
      <c r="AZ134" s="5">
        <v>235</v>
      </c>
      <c r="BC134" s="4" t="s">
        <v>55</v>
      </c>
      <c r="BD134" s="4">
        <v>2011</v>
      </c>
      <c r="BE134" s="4" t="s">
        <v>20</v>
      </c>
      <c r="BF134" s="5">
        <v>37</v>
      </c>
      <c r="BI134" s="4" t="s">
        <v>57</v>
      </c>
      <c r="BJ134" s="4">
        <v>2011</v>
      </c>
      <c r="BK134" s="4" t="s">
        <v>20</v>
      </c>
      <c r="BL134" s="5">
        <v>544</v>
      </c>
      <c r="BO134" s="4" t="s">
        <v>60</v>
      </c>
      <c r="BP134" s="4">
        <v>2011</v>
      </c>
      <c r="BQ134" s="4" t="s">
        <v>20</v>
      </c>
      <c r="BR134" s="5">
        <v>69</v>
      </c>
      <c r="BU134" s="4" t="s">
        <v>62</v>
      </c>
      <c r="BV134" s="4">
        <v>2011</v>
      </c>
      <c r="BW134" s="4" t="s">
        <v>20</v>
      </c>
      <c r="BX134" s="5">
        <v>489</v>
      </c>
      <c r="CA134" s="4" t="s">
        <v>64</v>
      </c>
      <c r="CB134" s="4">
        <v>2011</v>
      </c>
      <c r="CC134" s="4" t="s">
        <v>20</v>
      </c>
      <c r="CD134" s="5">
        <v>29</v>
      </c>
      <c r="CG134" s="4" t="s">
        <v>66</v>
      </c>
      <c r="CH134" s="4">
        <v>2011</v>
      </c>
      <c r="CI134" s="4" t="s">
        <v>20</v>
      </c>
      <c r="CJ134" s="5">
        <v>240</v>
      </c>
      <c r="CM134" s="4" t="s">
        <v>68</v>
      </c>
      <c r="CN134" s="4">
        <v>2011</v>
      </c>
      <c r="CO134" s="4" t="s">
        <v>20</v>
      </c>
      <c r="CP134" s="5">
        <v>160</v>
      </c>
      <c r="CS134" s="4" t="s">
        <v>206</v>
      </c>
      <c r="CT134" s="4">
        <v>2011</v>
      </c>
      <c r="CU134" s="4" t="s">
        <v>20</v>
      </c>
      <c r="CV134" s="5">
        <v>294</v>
      </c>
    </row>
    <row r="135" spans="1:100" x14ac:dyDescent="0.25">
      <c r="A135" s="4" t="s">
        <v>185</v>
      </c>
      <c r="B135" s="4">
        <v>2011</v>
      </c>
      <c r="C135" s="4" t="s">
        <v>21</v>
      </c>
      <c r="D135" s="5">
        <v>20</v>
      </c>
      <c r="G135" s="4" t="s">
        <v>3</v>
      </c>
      <c r="H135" s="4">
        <v>2011</v>
      </c>
      <c r="I135" s="4" t="s">
        <v>21</v>
      </c>
      <c r="J135" s="5">
        <v>45</v>
      </c>
      <c r="M135" s="4" t="s">
        <v>31</v>
      </c>
      <c r="N135" s="4">
        <v>2011</v>
      </c>
      <c r="O135" s="4" t="s">
        <v>21</v>
      </c>
      <c r="P135" s="5">
        <v>140</v>
      </c>
      <c r="S135" s="4" t="s">
        <v>33</v>
      </c>
      <c r="T135" s="4">
        <v>2011</v>
      </c>
      <c r="U135" s="4" t="s">
        <v>21</v>
      </c>
      <c r="V135" s="5">
        <v>76</v>
      </c>
      <c r="Y135" s="4" t="s">
        <v>35</v>
      </c>
      <c r="Z135" s="4">
        <v>2011</v>
      </c>
      <c r="AA135" s="4" t="s">
        <v>21</v>
      </c>
      <c r="AB135" s="5">
        <v>125</v>
      </c>
      <c r="AE135" s="4" t="s">
        <v>47</v>
      </c>
      <c r="AF135" s="4">
        <v>2011</v>
      </c>
      <c r="AG135" s="4" t="s">
        <v>21</v>
      </c>
      <c r="AH135" s="5">
        <v>211</v>
      </c>
      <c r="AK135" s="4" t="s">
        <v>49</v>
      </c>
      <c r="AL135" s="4">
        <v>2011</v>
      </c>
      <c r="AM135" s="4" t="s">
        <v>21</v>
      </c>
      <c r="AN135" s="5">
        <v>114</v>
      </c>
      <c r="AQ135" s="4" t="s">
        <v>51</v>
      </c>
      <c r="AR135" s="4">
        <v>2011</v>
      </c>
      <c r="AS135" s="4" t="s">
        <v>21</v>
      </c>
      <c r="AT135" s="5">
        <v>65</v>
      </c>
      <c r="AW135" s="4" t="s">
        <v>53</v>
      </c>
      <c r="AX135" s="4">
        <v>2011</v>
      </c>
      <c r="AY135" s="4" t="s">
        <v>21</v>
      </c>
      <c r="AZ135" s="5">
        <v>151</v>
      </c>
      <c r="BC135" s="4" t="s">
        <v>55</v>
      </c>
      <c r="BD135" s="4">
        <v>2011</v>
      </c>
      <c r="BE135" s="4" t="s">
        <v>21</v>
      </c>
      <c r="BF135" s="5">
        <v>32</v>
      </c>
      <c r="BI135" s="4" t="s">
        <v>57</v>
      </c>
      <c r="BJ135" s="4">
        <v>2011</v>
      </c>
      <c r="BK135" s="4" t="s">
        <v>21</v>
      </c>
      <c r="BL135" s="5">
        <v>580</v>
      </c>
      <c r="BO135" s="4" t="s">
        <v>60</v>
      </c>
      <c r="BP135" s="4">
        <v>2011</v>
      </c>
      <c r="BQ135" s="4" t="s">
        <v>21</v>
      </c>
      <c r="BR135" s="5">
        <v>62</v>
      </c>
      <c r="BU135" s="4" t="s">
        <v>62</v>
      </c>
      <c r="BV135" s="4">
        <v>2011</v>
      </c>
      <c r="BW135" s="4" t="s">
        <v>21</v>
      </c>
      <c r="BX135" s="5">
        <v>458</v>
      </c>
      <c r="CA135" s="4" t="s">
        <v>64</v>
      </c>
      <c r="CB135" s="4">
        <v>2011</v>
      </c>
      <c r="CC135" s="4" t="s">
        <v>21</v>
      </c>
      <c r="CD135" s="5">
        <v>49</v>
      </c>
      <c r="CG135" s="4" t="s">
        <v>66</v>
      </c>
      <c r="CH135" s="4">
        <v>2011</v>
      </c>
      <c r="CI135" s="4" t="s">
        <v>21</v>
      </c>
      <c r="CJ135" s="5">
        <v>309</v>
      </c>
      <c r="CM135" s="4" t="s">
        <v>68</v>
      </c>
      <c r="CN135" s="4">
        <v>2011</v>
      </c>
      <c r="CO135" s="4" t="s">
        <v>21</v>
      </c>
      <c r="CP135" s="5">
        <v>125</v>
      </c>
      <c r="CS135" s="4" t="s">
        <v>206</v>
      </c>
      <c r="CT135" s="4">
        <v>2011</v>
      </c>
      <c r="CU135" s="4" t="s">
        <v>21</v>
      </c>
      <c r="CV135" s="5">
        <v>291</v>
      </c>
    </row>
    <row r="136" spans="1:100" x14ac:dyDescent="0.25">
      <c r="A136" s="4" t="s">
        <v>185</v>
      </c>
      <c r="B136" s="4">
        <v>2011</v>
      </c>
      <c r="C136" s="4" t="s">
        <v>22</v>
      </c>
      <c r="D136" s="5">
        <v>33</v>
      </c>
      <c r="G136" s="4" t="s">
        <v>3</v>
      </c>
      <c r="H136" s="4">
        <v>2011</v>
      </c>
      <c r="I136" s="4" t="s">
        <v>22</v>
      </c>
      <c r="J136" s="5">
        <v>65</v>
      </c>
      <c r="M136" s="4" t="s">
        <v>31</v>
      </c>
      <c r="N136" s="4">
        <v>2011</v>
      </c>
      <c r="O136" s="4" t="s">
        <v>22</v>
      </c>
      <c r="P136" s="5">
        <v>156</v>
      </c>
      <c r="S136" s="4" t="s">
        <v>33</v>
      </c>
      <c r="T136" s="4">
        <v>2011</v>
      </c>
      <c r="U136" s="4" t="s">
        <v>22</v>
      </c>
      <c r="V136" s="5">
        <v>67</v>
      </c>
      <c r="Y136" s="4" t="s">
        <v>35</v>
      </c>
      <c r="Z136" s="4">
        <v>2011</v>
      </c>
      <c r="AA136" s="4" t="s">
        <v>22</v>
      </c>
      <c r="AB136" s="5">
        <v>116</v>
      </c>
      <c r="AE136" s="4" t="s">
        <v>47</v>
      </c>
      <c r="AF136" s="4">
        <v>2011</v>
      </c>
      <c r="AG136" s="4" t="s">
        <v>22</v>
      </c>
      <c r="AH136" s="5">
        <v>251</v>
      </c>
      <c r="AK136" s="4" t="s">
        <v>49</v>
      </c>
      <c r="AL136" s="4">
        <v>2011</v>
      </c>
      <c r="AM136" s="4" t="s">
        <v>22</v>
      </c>
      <c r="AN136" s="5">
        <v>125</v>
      </c>
      <c r="AQ136" s="4" t="s">
        <v>51</v>
      </c>
      <c r="AR136" s="4">
        <v>2011</v>
      </c>
      <c r="AS136" s="4" t="s">
        <v>22</v>
      </c>
      <c r="AT136" s="5">
        <v>108</v>
      </c>
      <c r="AW136" s="4" t="s">
        <v>53</v>
      </c>
      <c r="AX136" s="4">
        <v>2011</v>
      </c>
      <c r="AY136" s="4" t="s">
        <v>22</v>
      </c>
      <c r="AZ136" s="5">
        <v>170</v>
      </c>
      <c r="BC136" s="4" t="s">
        <v>55</v>
      </c>
      <c r="BD136" s="4">
        <v>2011</v>
      </c>
      <c r="BE136" s="4" t="s">
        <v>22</v>
      </c>
      <c r="BF136" s="5">
        <v>31</v>
      </c>
      <c r="BI136" s="4" t="s">
        <v>57</v>
      </c>
      <c r="BJ136" s="4">
        <v>2011</v>
      </c>
      <c r="BK136" s="4" t="s">
        <v>22</v>
      </c>
      <c r="BL136" s="5">
        <v>569</v>
      </c>
      <c r="BO136" s="4" t="s">
        <v>60</v>
      </c>
      <c r="BP136" s="4">
        <v>2011</v>
      </c>
      <c r="BQ136" s="4" t="s">
        <v>22</v>
      </c>
      <c r="BR136" s="5">
        <v>47</v>
      </c>
      <c r="BU136" s="4" t="s">
        <v>62</v>
      </c>
      <c r="BV136" s="4">
        <v>2011</v>
      </c>
      <c r="BW136" s="4" t="s">
        <v>22</v>
      </c>
      <c r="BX136" s="5">
        <v>514</v>
      </c>
      <c r="CA136" s="4" t="s">
        <v>64</v>
      </c>
      <c r="CB136" s="4">
        <v>2011</v>
      </c>
      <c r="CC136" s="4" t="s">
        <v>22</v>
      </c>
      <c r="CD136" s="5">
        <v>44</v>
      </c>
      <c r="CG136" s="4" t="s">
        <v>66</v>
      </c>
      <c r="CH136" s="4">
        <v>2011</v>
      </c>
      <c r="CI136" s="4" t="s">
        <v>22</v>
      </c>
      <c r="CJ136" s="5">
        <v>336</v>
      </c>
      <c r="CM136" s="4" t="s">
        <v>68</v>
      </c>
      <c r="CN136" s="4">
        <v>2011</v>
      </c>
      <c r="CO136" s="4" t="s">
        <v>22</v>
      </c>
      <c r="CP136" s="5">
        <v>114</v>
      </c>
      <c r="CS136" s="4" t="s">
        <v>206</v>
      </c>
      <c r="CT136" s="4">
        <v>2011</v>
      </c>
      <c r="CU136" s="4" t="s">
        <v>22</v>
      </c>
      <c r="CV136" s="5">
        <v>315</v>
      </c>
    </row>
    <row r="137" spans="1:100" x14ac:dyDescent="0.25">
      <c r="A137" s="4" t="s">
        <v>185</v>
      </c>
      <c r="B137" s="4">
        <v>2011</v>
      </c>
      <c r="C137" s="4" t="s">
        <v>23</v>
      </c>
      <c r="D137" s="5">
        <v>26</v>
      </c>
      <c r="G137" s="4" t="s">
        <v>3</v>
      </c>
      <c r="H137" s="4">
        <v>2011</v>
      </c>
      <c r="I137" s="4" t="s">
        <v>23</v>
      </c>
      <c r="J137" s="5">
        <v>113</v>
      </c>
      <c r="M137" s="4" t="s">
        <v>31</v>
      </c>
      <c r="N137" s="4">
        <v>2011</v>
      </c>
      <c r="O137" s="4" t="s">
        <v>23</v>
      </c>
      <c r="P137" s="5">
        <v>162</v>
      </c>
      <c r="S137" s="4" t="s">
        <v>33</v>
      </c>
      <c r="T137" s="4">
        <v>2011</v>
      </c>
      <c r="U137" s="4" t="s">
        <v>23</v>
      </c>
      <c r="V137" s="5">
        <v>74</v>
      </c>
      <c r="Y137" s="4" t="s">
        <v>35</v>
      </c>
      <c r="Z137" s="4">
        <v>2011</v>
      </c>
      <c r="AA137" s="4" t="s">
        <v>23</v>
      </c>
      <c r="AB137" s="5">
        <v>102</v>
      </c>
      <c r="AE137" s="4" t="s">
        <v>47</v>
      </c>
      <c r="AF137" s="4">
        <v>2011</v>
      </c>
      <c r="AG137" s="4" t="s">
        <v>23</v>
      </c>
      <c r="AH137" s="5">
        <v>329</v>
      </c>
      <c r="AK137" s="4" t="s">
        <v>49</v>
      </c>
      <c r="AL137" s="4">
        <v>2011</v>
      </c>
      <c r="AM137" s="4" t="s">
        <v>23</v>
      </c>
      <c r="AN137" s="5">
        <v>119</v>
      </c>
      <c r="AQ137" s="4" t="s">
        <v>51</v>
      </c>
      <c r="AR137" s="4">
        <v>2011</v>
      </c>
      <c r="AS137" s="4" t="s">
        <v>23</v>
      </c>
      <c r="AT137" s="5">
        <v>107</v>
      </c>
      <c r="AW137" s="4" t="s">
        <v>53</v>
      </c>
      <c r="AX137" s="4">
        <v>2011</v>
      </c>
      <c r="AY137" s="4" t="s">
        <v>23</v>
      </c>
      <c r="AZ137" s="5">
        <v>179</v>
      </c>
      <c r="BC137" s="4" t="s">
        <v>55</v>
      </c>
      <c r="BD137" s="4">
        <v>2011</v>
      </c>
      <c r="BE137" s="4" t="s">
        <v>23</v>
      </c>
      <c r="BF137" s="5">
        <v>66</v>
      </c>
      <c r="BI137" s="4" t="s">
        <v>57</v>
      </c>
      <c r="BJ137" s="4">
        <v>2011</v>
      </c>
      <c r="BK137" s="4" t="s">
        <v>23</v>
      </c>
      <c r="BL137" s="5">
        <v>582</v>
      </c>
      <c r="BO137" s="4" t="s">
        <v>60</v>
      </c>
      <c r="BP137" s="4">
        <v>2011</v>
      </c>
      <c r="BQ137" s="4" t="s">
        <v>23</v>
      </c>
      <c r="BR137" s="5">
        <v>70</v>
      </c>
      <c r="BU137" s="4" t="s">
        <v>62</v>
      </c>
      <c r="BV137" s="4">
        <v>2011</v>
      </c>
      <c r="BW137" s="4" t="s">
        <v>23</v>
      </c>
      <c r="BX137" s="5">
        <v>499</v>
      </c>
      <c r="CA137" s="4" t="s">
        <v>64</v>
      </c>
      <c r="CB137" s="4">
        <v>2011</v>
      </c>
      <c r="CC137" s="4" t="s">
        <v>23</v>
      </c>
      <c r="CD137" s="5">
        <v>44</v>
      </c>
      <c r="CG137" s="4" t="s">
        <v>66</v>
      </c>
      <c r="CH137" s="4">
        <v>2011</v>
      </c>
      <c r="CI137" s="4" t="s">
        <v>23</v>
      </c>
      <c r="CJ137" s="5">
        <v>337</v>
      </c>
      <c r="CM137" s="4" t="s">
        <v>68</v>
      </c>
      <c r="CN137" s="4">
        <v>2011</v>
      </c>
      <c r="CO137" s="4" t="s">
        <v>23</v>
      </c>
      <c r="CP137" s="5">
        <v>124</v>
      </c>
      <c r="CS137" s="4" t="s">
        <v>206</v>
      </c>
      <c r="CT137" s="4">
        <v>2011</v>
      </c>
      <c r="CU137" s="4" t="s">
        <v>23</v>
      </c>
      <c r="CV137" s="5">
        <v>340</v>
      </c>
    </row>
    <row r="138" spans="1:100" x14ac:dyDescent="0.25">
      <c r="A138" s="4" t="s">
        <v>185</v>
      </c>
      <c r="B138" s="4">
        <v>2011</v>
      </c>
      <c r="C138" s="4" t="s">
        <v>24</v>
      </c>
      <c r="D138" s="5">
        <v>19</v>
      </c>
      <c r="G138" s="4" t="s">
        <v>3</v>
      </c>
      <c r="H138" s="4">
        <v>2011</v>
      </c>
      <c r="I138" s="4" t="s">
        <v>24</v>
      </c>
      <c r="J138" s="5">
        <v>103</v>
      </c>
      <c r="M138" s="4" t="s">
        <v>31</v>
      </c>
      <c r="N138" s="4">
        <v>2011</v>
      </c>
      <c r="O138" s="4" t="s">
        <v>24</v>
      </c>
      <c r="P138" s="5">
        <v>146</v>
      </c>
      <c r="S138" s="4" t="s">
        <v>33</v>
      </c>
      <c r="T138" s="4">
        <v>2011</v>
      </c>
      <c r="U138" s="4" t="s">
        <v>24</v>
      </c>
      <c r="V138" s="5">
        <v>71</v>
      </c>
      <c r="Y138" s="4" t="s">
        <v>35</v>
      </c>
      <c r="Z138" s="4">
        <v>2011</v>
      </c>
      <c r="AA138" s="4" t="s">
        <v>24</v>
      </c>
      <c r="AB138" s="5">
        <v>85</v>
      </c>
      <c r="AE138" s="4" t="s">
        <v>47</v>
      </c>
      <c r="AF138" s="4">
        <v>2011</v>
      </c>
      <c r="AG138" s="4" t="s">
        <v>24</v>
      </c>
      <c r="AH138" s="5">
        <v>281</v>
      </c>
      <c r="AK138" s="4" t="s">
        <v>49</v>
      </c>
      <c r="AL138" s="4">
        <v>2011</v>
      </c>
      <c r="AM138" s="4" t="s">
        <v>24</v>
      </c>
      <c r="AN138" s="5">
        <v>115</v>
      </c>
      <c r="AQ138" s="4" t="s">
        <v>51</v>
      </c>
      <c r="AR138" s="4">
        <v>2011</v>
      </c>
      <c r="AS138" s="4" t="s">
        <v>24</v>
      </c>
      <c r="AT138" s="5">
        <v>95</v>
      </c>
      <c r="AW138" s="4" t="s">
        <v>53</v>
      </c>
      <c r="AX138" s="4">
        <v>2011</v>
      </c>
      <c r="AY138" s="4" t="s">
        <v>24</v>
      </c>
      <c r="AZ138" s="5">
        <v>147</v>
      </c>
      <c r="BC138" s="4" t="s">
        <v>55</v>
      </c>
      <c r="BD138" s="4">
        <v>2011</v>
      </c>
      <c r="BE138" s="4" t="s">
        <v>24</v>
      </c>
      <c r="BF138" s="5">
        <v>40</v>
      </c>
      <c r="BI138" s="4" t="s">
        <v>57</v>
      </c>
      <c r="BJ138" s="4">
        <v>2011</v>
      </c>
      <c r="BK138" s="4" t="s">
        <v>24</v>
      </c>
      <c r="BL138" s="5">
        <v>537</v>
      </c>
      <c r="BO138" s="4" t="s">
        <v>60</v>
      </c>
      <c r="BP138" s="4">
        <v>2011</v>
      </c>
      <c r="BQ138" s="4" t="s">
        <v>24</v>
      </c>
      <c r="BR138" s="5">
        <v>50</v>
      </c>
      <c r="BU138" s="4" t="s">
        <v>62</v>
      </c>
      <c r="BV138" s="4">
        <v>2011</v>
      </c>
      <c r="BW138" s="4" t="s">
        <v>24</v>
      </c>
      <c r="BX138" s="5">
        <v>502</v>
      </c>
      <c r="CA138" s="4" t="s">
        <v>64</v>
      </c>
      <c r="CB138" s="4">
        <v>2011</v>
      </c>
      <c r="CC138" s="4" t="s">
        <v>24</v>
      </c>
      <c r="CD138" s="5">
        <v>42</v>
      </c>
      <c r="CG138" s="4" t="s">
        <v>66</v>
      </c>
      <c r="CH138" s="4">
        <v>2011</v>
      </c>
      <c r="CI138" s="4" t="s">
        <v>24</v>
      </c>
      <c r="CJ138" s="5">
        <v>281</v>
      </c>
      <c r="CM138" s="4" t="s">
        <v>68</v>
      </c>
      <c r="CN138" s="4">
        <v>2011</v>
      </c>
      <c r="CO138" s="4" t="s">
        <v>24</v>
      </c>
      <c r="CP138" s="5">
        <v>109</v>
      </c>
      <c r="CS138" s="4" t="s">
        <v>206</v>
      </c>
      <c r="CT138" s="4">
        <v>2011</v>
      </c>
      <c r="CU138" s="4" t="s">
        <v>24</v>
      </c>
      <c r="CV138" s="5">
        <v>303</v>
      </c>
    </row>
    <row r="139" spans="1:100" x14ac:dyDescent="0.25">
      <c r="A139" s="4" t="s">
        <v>185</v>
      </c>
      <c r="B139" s="4">
        <v>2011</v>
      </c>
      <c r="C139" s="4" t="s">
        <v>25</v>
      </c>
      <c r="D139" s="5">
        <v>19</v>
      </c>
      <c r="G139" s="4" t="s">
        <v>3</v>
      </c>
      <c r="H139" s="4">
        <v>2011</v>
      </c>
      <c r="I139" s="4" t="s">
        <v>25</v>
      </c>
      <c r="J139" s="5">
        <v>64</v>
      </c>
      <c r="M139" s="4" t="s">
        <v>31</v>
      </c>
      <c r="N139" s="4">
        <v>2011</v>
      </c>
      <c r="O139" s="4" t="s">
        <v>25</v>
      </c>
      <c r="P139" s="5">
        <v>153</v>
      </c>
      <c r="S139" s="4" t="s">
        <v>33</v>
      </c>
      <c r="T139" s="4">
        <v>2011</v>
      </c>
      <c r="U139" s="4" t="s">
        <v>25</v>
      </c>
      <c r="V139" s="5">
        <v>62</v>
      </c>
      <c r="Y139" s="4" t="s">
        <v>35</v>
      </c>
      <c r="Z139" s="4">
        <v>2011</v>
      </c>
      <c r="AA139" s="4" t="s">
        <v>25</v>
      </c>
      <c r="AB139" s="5">
        <v>87</v>
      </c>
      <c r="AE139" s="4" t="s">
        <v>47</v>
      </c>
      <c r="AF139" s="4">
        <v>2011</v>
      </c>
      <c r="AG139" s="4" t="s">
        <v>25</v>
      </c>
      <c r="AH139" s="5">
        <v>346</v>
      </c>
      <c r="AK139" s="4" t="s">
        <v>49</v>
      </c>
      <c r="AL139" s="4">
        <v>2011</v>
      </c>
      <c r="AM139" s="4" t="s">
        <v>25</v>
      </c>
      <c r="AN139" s="5">
        <v>97</v>
      </c>
      <c r="AQ139" s="4" t="s">
        <v>51</v>
      </c>
      <c r="AR139" s="4">
        <v>2011</v>
      </c>
      <c r="AS139" s="4" t="s">
        <v>25</v>
      </c>
      <c r="AT139" s="5">
        <v>96</v>
      </c>
      <c r="AW139" s="4" t="s">
        <v>53</v>
      </c>
      <c r="AX139" s="4">
        <v>2011</v>
      </c>
      <c r="AY139" s="4" t="s">
        <v>25</v>
      </c>
      <c r="AZ139" s="5">
        <v>176</v>
      </c>
      <c r="BC139" s="4" t="s">
        <v>55</v>
      </c>
      <c r="BD139" s="4">
        <v>2011</v>
      </c>
      <c r="BE139" s="4" t="s">
        <v>25</v>
      </c>
      <c r="BF139" s="5">
        <v>39</v>
      </c>
      <c r="BI139" s="4" t="s">
        <v>57</v>
      </c>
      <c r="BJ139" s="4">
        <v>2011</v>
      </c>
      <c r="BK139" s="4" t="s">
        <v>25</v>
      </c>
      <c r="BL139" s="5">
        <v>582</v>
      </c>
      <c r="BO139" s="4" t="s">
        <v>60</v>
      </c>
      <c r="BP139" s="4">
        <v>2011</v>
      </c>
      <c r="BQ139" s="4" t="s">
        <v>25</v>
      </c>
      <c r="BR139" s="5">
        <v>62</v>
      </c>
      <c r="BU139" s="4" t="s">
        <v>62</v>
      </c>
      <c r="BV139" s="4">
        <v>2011</v>
      </c>
      <c r="BW139" s="4" t="s">
        <v>25</v>
      </c>
      <c r="BX139" s="5">
        <v>504</v>
      </c>
      <c r="CA139" s="4" t="s">
        <v>64</v>
      </c>
      <c r="CB139" s="4">
        <v>2011</v>
      </c>
      <c r="CC139" s="4" t="s">
        <v>25</v>
      </c>
      <c r="CD139" s="5">
        <v>49</v>
      </c>
      <c r="CG139" s="4" t="s">
        <v>66</v>
      </c>
      <c r="CH139" s="4">
        <v>2011</v>
      </c>
      <c r="CI139" s="4" t="s">
        <v>25</v>
      </c>
      <c r="CJ139" s="5">
        <v>319</v>
      </c>
      <c r="CM139" s="4" t="s">
        <v>68</v>
      </c>
      <c r="CN139" s="4">
        <v>2011</v>
      </c>
      <c r="CO139" s="4" t="s">
        <v>25</v>
      </c>
      <c r="CP139" s="5">
        <v>126</v>
      </c>
      <c r="CS139" s="4" t="s">
        <v>206</v>
      </c>
      <c r="CT139" s="4">
        <v>2011</v>
      </c>
      <c r="CU139" s="4" t="s">
        <v>25</v>
      </c>
      <c r="CV139" s="5">
        <v>386</v>
      </c>
    </row>
    <row r="140" spans="1:100" x14ac:dyDescent="0.25">
      <c r="A140" s="4" t="s">
        <v>185</v>
      </c>
      <c r="B140" s="4">
        <v>2011</v>
      </c>
      <c r="C140" s="4" t="s">
        <v>26</v>
      </c>
      <c r="D140" s="5">
        <v>30</v>
      </c>
      <c r="G140" s="4" t="s">
        <v>3</v>
      </c>
      <c r="H140" s="4">
        <v>2011</v>
      </c>
      <c r="I140" s="4" t="s">
        <v>26</v>
      </c>
      <c r="J140" s="5">
        <v>85</v>
      </c>
      <c r="M140" s="4" t="s">
        <v>31</v>
      </c>
      <c r="N140" s="4">
        <v>2011</v>
      </c>
      <c r="O140" s="4" t="s">
        <v>26</v>
      </c>
      <c r="P140" s="5">
        <v>183</v>
      </c>
      <c r="S140" s="4" t="s">
        <v>33</v>
      </c>
      <c r="T140" s="4">
        <v>2011</v>
      </c>
      <c r="U140" s="4" t="s">
        <v>26</v>
      </c>
      <c r="V140" s="5">
        <v>78</v>
      </c>
      <c r="Y140" s="4" t="s">
        <v>35</v>
      </c>
      <c r="Z140" s="4">
        <v>2011</v>
      </c>
      <c r="AA140" s="4" t="s">
        <v>26</v>
      </c>
      <c r="AB140" s="5">
        <v>127</v>
      </c>
      <c r="AE140" s="4" t="s">
        <v>47</v>
      </c>
      <c r="AF140" s="4">
        <v>2011</v>
      </c>
      <c r="AG140" s="4" t="s">
        <v>26</v>
      </c>
      <c r="AH140" s="5">
        <v>397</v>
      </c>
      <c r="AK140" s="4" t="s">
        <v>49</v>
      </c>
      <c r="AL140" s="4">
        <v>2011</v>
      </c>
      <c r="AM140" s="4" t="s">
        <v>26</v>
      </c>
      <c r="AN140" s="5">
        <v>129</v>
      </c>
      <c r="AQ140" s="4" t="s">
        <v>51</v>
      </c>
      <c r="AR140" s="4">
        <v>2011</v>
      </c>
      <c r="AS140" s="4" t="s">
        <v>26</v>
      </c>
      <c r="AT140" s="5">
        <v>106</v>
      </c>
      <c r="AW140" s="4" t="s">
        <v>53</v>
      </c>
      <c r="AX140" s="4">
        <v>2011</v>
      </c>
      <c r="AY140" s="4" t="s">
        <v>26</v>
      </c>
      <c r="AZ140" s="5">
        <v>168</v>
      </c>
      <c r="BC140" s="4" t="s">
        <v>55</v>
      </c>
      <c r="BD140" s="4">
        <v>2011</v>
      </c>
      <c r="BE140" s="4" t="s">
        <v>26</v>
      </c>
      <c r="BF140" s="5">
        <v>55</v>
      </c>
      <c r="BI140" s="4" t="s">
        <v>57</v>
      </c>
      <c r="BJ140" s="4">
        <v>2011</v>
      </c>
      <c r="BK140" s="4" t="s">
        <v>26</v>
      </c>
      <c r="BL140" s="5">
        <v>716</v>
      </c>
      <c r="BO140" s="4" t="s">
        <v>60</v>
      </c>
      <c r="BP140" s="4">
        <v>2011</v>
      </c>
      <c r="BQ140" s="4" t="s">
        <v>26</v>
      </c>
      <c r="BR140" s="5">
        <v>83</v>
      </c>
      <c r="BU140" s="4" t="s">
        <v>62</v>
      </c>
      <c r="BV140" s="4">
        <v>2011</v>
      </c>
      <c r="BW140" s="4" t="s">
        <v>26</v>
      </c>
      <c r="BX140" s="5">
        <v>565</v>
      </c>
      <c r="CA140" s="4" t="s">
        <v>64</v>
      </c>
      <c r="CB140" s="4">
        <v>2011</v>
      </c>
      <c r="CC140" s="4" t="s">
        <v>26</v>
      </c>
      <c r="CD140" s="5">
        <v>68</v>
      </c>
      <c r="CG140" s="4" t="s">
        <v>66</v>
      </c>
      <c r="CH140" s="4">
        <v>2011</v>
      </c>
      <c r="CI140" s="4" t="s">
        <v>26</v>
      </c>
      <c r="CJ140" s="5">
        <v>305</v>
      </c>
      <c r="CM140" s="4" t="s">
        <v>68</v>
      </c>
      <c r="CN140" s="4">
        <v>2011</v>
      </c>
      <c r="CO140" s="4" t="s">
        <v>26</v>
      </c>
      <c r="CP140" s="5">
        <v>138</v>
      </c>
      <c r="CS140" s="4" t="s">
        <v>206</v>
      </c>
      <c r="CT140" s="4">
        <v>2011</v>
      </c>
      <c r="CU140" s="4" t="s">
        <v>26</v>
      </c>
      <c r="CV140" s="5">
        <v>322</v>
      </c>
    </row>
    <row r="141" spans="1:100" x14ac:dyDescent="0.25">
      <c r="A141" s="4" t="s">
        <v>185</v>
      </c>
      <c r="B141" s="4">
        <v>2011</v>
      </c>
      <c r="C141" s="4" t="s">
        <v>27</v>
      </c>
      <c r="D141" s="5">
        <v>18</v>
      </c>
      <c r="G141" s="4" t="s">
        <v>3</v>
      </c>
      <c r="H141" s="4">
        <v>2011</v>
      </c>
      <c r="I141" s="4" t="s">
        <v>27</v>
      </c>
      <c r="J141" s="5">
        <v>104</v>
      </c>
      <c r="M141" s="4" t="s">
        <v>31</v>
      </c>
      <c r="N141" s="4">
        <v>2011</v>
      </c>
      <c r="O141" s="4" t="s">
        <v>27</v>
      </c>
      <c r="P141" s="5">
        <v>168</v>
      </c>
      <c r="S141" s="4" t="s">
        <v>33</v>
      </c>
      <c r="T141" s="4">
        <v>2011</v>
      </c>
      <c r="U141" s="4" t="s">
        <v>27</v>
      </c>
      <c r="V141" s="5">
        <v>73</v>
      </c>
      <c r="Y141" s="4" t="s">
        <v>35</v>
      </c>
      <c r="Z141" s="4">
        <v>2011</v>
      </c>
      <c r="AA141" s="4" t="s">
        <v>27</v>
      </c>
      <c r="AB141" s="5">
        <v>72</v>
      </c>
      <c r="AE141" s="4" t="s">
        <v>47</v>
      </c>
      <c r="AF141" s="4">
        <v>2011</v>
      </c>
      <c r="AG141" s="4" t="s">
        <v>27</v>
      </c>
      <c r="AH141" s="5">
        <v>364</v>
      </c>
      <c r="AK141" s="4" t="s">
        <v>49</v>
      </c>
      <c r="AL141" s="4">
        <v>2011</v>
      </c>
      <c r="AM141" s="4" t="s">
        <v>27</v>
      </c>
      <c r="AN141" s="5">
        <v>104</v>
      </c>
      <c r="AQ141" s="4" t="s">
        <v>51</v>
      </c>
      <c r="AR141" s="4">
        <v>2011</v>
      </c>
      <c r="AS141" s="4" t="s">
        <v>27</v>
      </c>
      <c r="AT141" s="5">
        <v>105</v>
      </c>
      <c r="AW141" s="4" t="s">
        <v>53</v>
      </c>
      <c r="AX141" s="4">
        <v>2011</v>
      </c>
      <c r="AY141" s="4" t="s">
        <v>27</v>
      </c>
      <c r="AZ141" s="5">
        <v>135</v>
      </c>
      <c r="BC141" s="4" t="s">
        <v>55</v>
      </c>
      <c r="BD141" s="4">
        <v>2011</v>
      </c>
      <c r="BE141" s="4" t="s">
        <v>27</v>
      </c>
      <c r="BF141" s="5">
        <v>48</v>
      </c>
      <c r="BI141" s="4" t="s">
        <v>57</v>
      </c>
      <c r="BJ141" s="4">
        <v>2011</v>
      </c>
      <c r="BK141" s="4" t="s">
        <v>27</v>
      </c>
      <c r="BL141" s="5">
        <v>606</v>
      </c>
      <c r="BO141" s="4" t="s">
        <v>60</v>
      </c>
      <c r="BP141" s="4">
        <v>2011</v>
      </c>
      <c r="BQ141" s="4" t="s">
        <v>27</v>
      </c>
      <c r="BR141" s="5">
        <v>70</v>
      </c>
      <c r="BU141" s="4" t="s">
        <v>62</v>
      </c>
      <c r="BV141" s="4">
        <v>2011</v>
      </c>
      <c r="BW141" s="4" t="s">
        <v>27</v>
      </c>
      <c r="BX141" s="5">
        <v>536</v>
      </c>
      <c r="CA141" s="4" t="s">
        <v>64</v>
      </c>
      <c r="CB141" s="4">
        <v>2011</v>
      </c>
      <c r="CC141" s="4" t="s">
        <v>27</v>
      </c>
      <c r="CD141" s="5">
        <v>47</v>
      </c>
      <c r="CG141" s="4" t="s">
        <v>66</v>
      </c>
      <c r="CH141" s="4">
        <v>2011</v>
      </c>
      <c r="CI141" s="4" t="s">
        <v>27</v>
      </c>
      <c r="CJ141" s="5">
        <v>354</v>
      </c>
      <c r="CM141" s="4" t="s">
        <v>68</v>
      </c>
      <c r="CN141" s="4">
        <v>2011</v>
      </c>
      <c r="CO141" s="4" t="s">
        <v>27</v>
      </c>
      <c r="CP141" s="5">
        <v>95</v>
      </c>
      <c r="CS141" s="4" t="s">
        <v>206</v>
      </c>
      <c r="CT141" s="4">
        <v>2011</v>
      </c>
      <c r="CU141" s="4" t="s">
        <v>27</v>
      </c>
      <c r="CV141" s="5">
        <v>349</v>
      </c>
    </row>
    <row r="142" spans="1:100" x14ac:dyDescent="0.25">
      <c r="A142" s="4" t="s">
        <v>185</v>
      </c>
      <c r="B142" s="4">
        <v>2011</v>
      </c>
      <c r="C142" s="4" t="s">
        <v>28</v>
      </c>
      <c r="D142" s="5">
        <v>23</v>
      </c>
      <c r="G142" s="4" t="s">
        <v>3</v>
      </c>
      <c r="H142" s="4">
        <v>2011</v>
      </c>
      <c r="I142" s="4" t="s">
        <v>28</v>
      </c>
      <c r="J142" s="5">
        <v>84</v>
      </c>
      <c r="M142" s="4" t="s">
        <v>31</v>
      </c>
      <c r="N142" s="4">
        <v>2011</v>
      </c>
      <c r="O142" s="4" t="s">
        <v>28</v>
      </c>
      <c r="P142" s="5">
        <v>170</v>
      </c>
      <c r="S142" s="4" t="s">
        <v>33</v>
      </c>
      <c r="T142" s="4">
        <v>2011</v>
      </c>
      <c r="U142" s="4" t="s">
        <v>28</v>
      </c>
      <c r="V142" s="5">
        <v>76</v>
      </c>
      <c r="Y142" s="4" t="s">
        <v>35</v>
      </c>
      <c r="Z142" s="4">
        <v>2011</v>
      </c>
      <c r="AA142" s="4" t="s">
        <v>28</v>
      </c>
      <c r="AB142" s="5">
        <v>132</v>
      </c>
      <c r="AE142" s="4" t="s">
        <v>47</v>
      </c>
      <c r="AF142" s="4">
        <v>2011</v>
      </c>
      <c r="AG142" s="4" t="s">
        <v>28</v>
      </c>
      <c r="AH142" s="5">
        <v>400</v>
      </c>
      <c r="AK142" s="4" t="s">
        <v>49</v>
      </c>
      <c r="AL142" s="4">
        <v>2011</v>
      </c>
      <c r="AM142" s="4" t="s">
        <v>28</v>
      </c>
      <c r="AN142" s="5">
        <v>105</v>
      </c>
      <c r="AQ142" s="4" t="s">
        <v>51</v>
      </c>
      <c r="AR142" s="4">
        <v>2011</v>
      </c>
      <c r="AS142" s="4" t="s">
        <v>28</v>
      </c>
      <c r="AT142" s="5">
        <v>133</v>
      </c>
      <c r="AW142" s="4" t="s">
        <v>53</v>
      </c>
      <c r="AX142" s="4">
        <v>2011</v>
      </c>
      <c r="AY142" s="4" t="s">
        <v>28</v>
      </c>
      <c r="AZ142" s="5">
        <v>144</v>
      </c>
      <c r="BC142" s="4" t="s">
        <v>55</v>
      </c>
      <c r="BD142" s="4">
        <v>2011</v>
      </c>
      <c r="BE142" s="4" t="s">
        <v>28</v>
      </c>
      <c r="BF142" s="5">
        <v>33</v>
      </c>
      <c r="BI142" s="4" t="s">
        <v>57</v>
      </c>
      <c r="BJ142" s="4">
        <v>2011</v>
      </c>
      <c r="BK142" s="4" t="s">
        <v>28</v>
      </c>
      <c r="BL142" s="5">
        <v>696</v>
      </c>
      <c r="BO142" s="4" t="s">
        <v>60</v>
      </c>
      <c r="BP142" s="4">
        <v>2011</v>
      </c>
      <c r="BQ142" s="4" t="s">
        <v>28</v>
      </c>
      <c r="BR142" s="5">
        <v>61</v>
      </c>
      <c r="BU142" s="4" t="s">
        <v>62</v>
      </c>
      <c r="BV142" s="4">
        <v>2011</v>
      </c>
      <c r="BW142" s="4" t="s">
        <v>28</v>
      </c>
      <c r="BX142" s="5">
        <v>496</v>
      </c>
      <c r="CA142" s="4" t="s">
        <v>64</v>
      </c>
      <c r="CB142" s="4">
        <v>2011</v>
      </c>
      <c r="CC142" s="4" t="s">
        <v>28</v>
      </c>
      <c r="CD142" s="5">
        <v>54</v>
      </c>
      <c r="CG142" s="4" t="s">
        <v>66</v>
      </c>
      <c r="CH142" s="4">
        <v>2011</v>
      </c>
      <c r="CI142" s="4" t="s">
        <v>28</v>
      </c>
      <c r="CJ142" s="5">
        <v>351</v>
      </c>
      <c r="CM142" s="4" t="s">
        <v>68</v>
      </c>
      <c r="CN142" s="4">
        <v>2011</v>
      </c>
      <c r="CO142" s="4" t="s">
        <v>28</v>
      </c>
      <c r="CP142" s="5">
        <v>122</v>
      </c>
      <c r="CS142" s="4" t="s">
        <v>206</v>
      </c>
      <c r="CT142" s="4">
        <v>2011</v>
      </c>
      <c r="CU142" s="4" t="s">
        <v>28</v>
      </c>
      <c r="CV142" s="5">
        <v>388</v>
      </c>
    </row>
    <row r="143" spans="1:100" x14ac:dyDescent="0.25">
      <c r="A143" s="4" t="s">
        <v>185</v>
      </c>
      <c r="B143" s="4">
        <v>2011</v>
      </c>
      <c r="C143" s="4" t="s">
        <v>29</v>
      </c>
      <c r="D143" s="5">
        <v>25</v>
      </c>
      <c r="G143" s="4" t="s">
        <v>3</v>
      </c>
      <c r="H143" s="4">
        <v>2011</v>
      </c>
      <c r="I143" s="4" t="s">
        <v>29</v>
      </c>
      <c r="J143" s="5">
        <v>73</v>
      </c>
      <c r="M143" s="4" t="s">
        <v>31</v>
      </c>
      <c r="N143" s="4">
        <v>2011</v>
      </c>
      <c r="O143" s="4" t="s">
        <v>29</v>
      </c>
      <c r="P143" s="5">
        <v>156</v>
      </c>
      <c r="S143" s="4" t="s">
        <v>33</v>
      </c>
      <c r="T143" s="4">
        <v>2011</v>
      </c>
      <c r="U143" s="4" t="s">
        <v>29</v>
      </c>
      <c r="V143" s="5">
        <v>72</v>
      </c>
      <c r="Y143" s="4" t="s">
        <v>35</v>
      </c>
      <c r="Z143" s="4">
        <v>2011</v>
      </c>
      <c r="AA143" s="4" t="s">
        <v>29</v>
      </c>
      <c r="AB143" s="5">
        <v>153</v>
      </c>
      <c r="AE143" s="4" t="s">
        <v>47</v>
      </c>
      <c r="AF143" s="4">
        <v>2011</v>
      </c>
      <c r="AG143" s="4" t="s">
        <v>29</v>
      </c>
      <c r="AH143" s="5">
        <v>398</v>
      </c>
      <c r="AK143" s="4" t="s">
        <v>49</v>
      </c>
      <c r="AL143" s="4">
        <v>2011</v>
      </c>
      <c r="AM143" s="4" t="s">
        <v>29</v>
      </c>
      <c r="AN143" s="5">
        <v>116</v>
      </c>
      <c r="AQ143" s="4" t="s">
        <v>51</v>
      </c>
      <c r="AR143" s="4">
        <v>2011</v>
      </c>
      <c r="AS143" s="4" t="s">
        <v>29</v>
      </c>
      <c r="AT143" s="5">
        <v>120</v>
      </c>
      <c r="AW143" s="4" t="s">
        <v>53</v>
      </c>
      <c r="AX143" s="4">
        <v>2011</v>
      </c>
      <c r="AY143" s="4" t="s">
        <v>29</v>
      </c>
      <c r="AZ143" s="5">
        <v>172</v>
      </c>
      <c r="BC143" s="4" t="s">
        <v>55</v>
      </c>
      <c r="BD143" s="4">
        <v>2011</v>
      </c>
      <c r="BE143" s="4" t="s">
        <v>29</v>
      </c>
      <c r="BF143" s="5">
        <v>61</v>
      </c>
      <c r="BI143" s="4" t="s">
        <v>57</v>
      </c>
      <c r="BJ143" s="4">
        <v>2011</v>
      </c>
      <c r="BK143" s="4" t="s">
        <v>29</v>
      </c>
      <c r="BL143" s="5">
        <v>643</v>
      </c>
      <c r="BO143" s="4" t="s">
        <v>60</v>
      </c>
      <c r="BP143" s="4">
        <v>2011</v>
      </c>
      <c r="BQ143" s="4" t="s">
        <v>29</v>
      </c>
      <c r="BR143" s="5">
        <v>66</v>
      </c>
      <c r="BU143" s="4" t="s">
        <v>62</v>
      </c>
      <c r="BV143" s="4">
        <v>2011</v>
      </c>
      <c r="BW143" s="4" t="s">
        <v>29</v>
      </c>
      <c r="BX143" s="5">
        <v>564</v>
      </c>
      <c r="CA143" s="4" t="s">
        <v>64</v>
      </c>
      <c r="CB143" s="4">
        <v>2011</v>
      </c>
      <c r="CC143" s="4" t="s">
        <v>29</v>
      </c>
      <c r="CD143" s="5">
        <v>56</v>
      </c>
      <c r="CG143" s="4" t="s">
        <v>66</v>
      </c>
      <c r="CH143" s="4">
        <v>2011</v>
      </c>
      <c r="CI143" s="4" t="s">
        <v>29</v>
      </c>
      <c r="CJ143" s="5">
        <v>372</v>
      </c>
      <c r="CM143" s="4" t="s">
        <v>68</v>
      </c>
      <c r="CN143" s="4">
        <v>2011</v>
      </c>
      <c r="CO143" s="4" t="s">
        <v>29</v>
      </c>
      <c r="CP143" s="5">
        <v>123</v>
      </c>
      <c r="CS143" s="4" t="s">
        <v>206</v>
      </c>
      <c r="CT143" s="4">
        <v>2011</v>
      </c>
      <c r="CU143" s="4" t="s">
        <v>29</v>
      </c>
      <c r="CV143" s="5">
        <v>356</v>
      </c>
    </row>
    <row r="144" spans="1:100" x14ac:dyDescent="0.25">
      <c r="A144" s="4" t="s">
        <v>185</v>
      </c>
      <c r="B144" s="4">
        <v>2011</v>
      </c>
      <c r="C144" s="4" t="s">
        <v>30</v>
      </c>
      <c r="D144" s="5">
        <v>28</v>
      </c>
      <c r="G144" s="4" t="s">
        <v>3</v>
      </c>
      <c r="H144" s="4">
        <v>2011</v>
      </c>
      <c r="I144" s="4" t="s">
        <v>30</v>
      </c>
      <c r="J144" s="5">
        <v>60</v>
      </c>
      <c r="M144" s="4" t="s">
        <v>31</v>
      </c>
      <c r="N144" s="4">
        <v>2011</v>
      </c>
      <c r="O144" s="4" t="s">
        <v>30</v>
      </c>
      <c r="P144" s="5">
        <v>140</v>
      </c>
      <c r="S144" s="4" t="s">
        <v>33</v>
      </c>
      <c r="T144" s="4">
        <v>2011</v>
      </c>
      <c r="U144" s="4" t="s">
        <v>30</v>
      </c>
      <c r="V144" s="5">
        <v>61</v>
      </c>
      <c r="Y144" s="4" t="s">
        <v>35</v>
      </c>
      <c r="Z144" s="4">
        <v>2011</v>
      </c>
      <c r="AA144" s="4" t="s">
        <v>30</v>
      </c>
      <c r="AB144" s="5">
        <v>116</v>
      </c>
      <c r="AE144" s="4" t="s">
        <v>47</v>
      </c>
      <c r="AF144" s="4">
        <v>2011</v>
      </c>
      <c r="AG144" s="4" t="s">
        <v>30</v>
      </c>
      <c r="AH144" s="5">
        <v>277</v>
      </c>
      <c r="AK144" s="4" t="s">
        <v>49</v>
      </c>
      <c r="AL144" s="4">
        <v>2011</v>
      </c>
      <c r="AM144" s="4" t="s">
        <v>30</v>
      </c>
      <c r="AN144" s="5">
        <v>114</v>
      </c>
      <c r="AQ144" s="4" t="s">
        <v>51</v>
      </c>
      <c r="AR144" s="4">
        <v>2011</v>
      </c>
      <c r="AS144" s="4" t="s">
        <v>30</v>
      </c>
      <c r="AT144" s="5">
        <v>100</v>
      </c>
      <c r="AW144" s="4" t="s">
        <v>53</v>
      </c>
      <c r="AX144" s="4">
        <v>2011</v>
      </c>
      <c r="AY144" s="4" t="s">
        <v>30</v>
      </c>
      <c r="AZ144" s="5">
        <v>120</v>
      </c>
      <c r="BC144" s="4" t="s">
        <v>55</v>
      </c>
      <c r="BD144" s="4">
        <v>2011</v>
      </c>
      <c r="BE144" s="4" t="s">
        <v>30</v>
      </c>
      <c r="BF144" s="5">
        <v>34</v>
      </c>
      <c r="BI144" s="4" t="s">
        <v>57</v>
      </c>
      <c r="BJ144" s="4">
        <v>2011</v>
      </c>
      <c r="BK144" s="4" t="s">
        <v>30</v>
      </c>
      <c r="BL144" s="5">
        <v>456</v>
      </c>
      <c r="BO144" s="4" t="s">
        <v>60</v>
      </c>
      <c r="BP144" s="4">
        <v>2011</v>
      </c>
      <c r="BQ144" s="4" t="s">
        <v>30</v>
      </c>
      <c r="BR144" s="5">
        <v>54</v>
      </c>
      <c r="BU144" s="4" t="s">
        <v>62</v>
      </c>
      <c r="BV144" s="4">
        <v>2011</v>
      </c>
      <c r="BW144" s="4" t="s">
        <v>30</v>
      </c>
      <c r="BX144" s="5">
        <v>508</v>
      </c>
      <c r="CA144" s="4" t="s">
        <v>64</v>
      </c>
      <c r="CB144" s="4">
        <v>2011</v>
      </c>
      <c r="CC144" s="4" t="s">
        <v>30</v>
      </c>
      <c r="CD144" s="5">
        <v>50</v>
      </c>
      <c r="CG144" s="4" t="s">
        <v>66</v>
      </c>
      <c r="CH144" s="4">
        <v>2011</v>
      </c>
      <c r="CI144" s="4" t="s">
        <v>30</v>
      </c>
      <c r="CJ144" s="5">
        <v>292</v>
      </c>
      <c r="CM144" s="4" t="s">
        <v>68</v>
      </c>
      <c r="CN144" s="4">
        <v>2011</v>
      </c>
      <c r="CO144" s="4" t="s">
        <v>30</v>
      </c>
      <c r="CP144" s="5">
        <v>90</v>
      </c>
      <c r="CS144" s="4" t="s">
        <v>206</v>
      </c>
      <c r="CT144" s="4">
        <v>2011</v>
      </c>
      <c r="CU144" s="4" t="s">
        <v>30</v>
      </c>
      <c r="CV144" s="5">
        <v>281</v>
      </c>
    </row>
    <row r="145" spans="1:100" x14ac:dyDescent="0.25">
      <c r="A145" s="4" t="s">
        <v>185</v>
      </c>
      <c r="B145" s="4">
        <v>2011</v>
      </c>
      <c r="C145" s="4" t="s">
        <v>19</v>
      </c>
      <c r="D145" s="5">
        <v>35</v>
      </c>
      <c r="G145" s="4" t="s">
        <v>3</v>
      </c>
      <c r="H145" s="4">
        <v>2011</v>
      </c>
      <c r="I145" s="4" t="s">
        <v>19</v>
      </c>
      <c r="J145" s="5">
        <v>45</v>
      </c>
      <c r="M145" s="4" t="s">
        <v>31</v>
      </c>
      <c r="N145" s="4">
        <v>2011</v>
      </c>
      <c r="O145" s="4" t="s">
        <v>19</v>
      </c>
      <c r="P145" s="5">
        <v>166</v>
      </c>
      <c r="S145" s="4" t="s">
        <v>33</v>
      </c>
      <c r="T145" s="4">
        <v>2011</v>
      </c>
      <c r="U145" s="4" t="s">
        <v>19</v>
      </c>
      <c r="V145" s="5">
        <v>65</v>
      </c>
      <c r="Y145" s="4" t="s">
        <v>35</v>
      </c>
      <c r="Z145" s="4">
        <v>2011</v>
      </c>
      <c r="AA145" s="4" t="s">
        <v>19</v>
      </c>
      <c r="AB145" s="5">
        <v>105</v>
      </c>
      <c r="AE145" s="4" t="s">
        <v>47</v>
      </c>
      <c r="AF145" s="4">
        <v>2011</v>
      </c>
      <c r="AG145" s="4" t="s">
        <v>19</v>
      </c>
      <c r="AH145" s="5">
        <v>260</v>
      </c>
      <c r="AK145" s="4" t="s">
        <v>49</v>
      </c>
      <c r="AL145" s="4">
        <v>2011</v>
      </c>
      <c r="AM145" s="4" t="s">
        <v>19</v>
      </c>
      <c r="AN145" s="5">
        <v>105</v>
      </c>
      <c r="AQ145" s="4" t="s">
        <v>51</v>
      </c>
      <c r="AR145" s="4">
        <v>2011</v>
      </c>
      <c r="AS145" s="4" t="s">
        <v>19</v>
      </c>
      <c r="AT145" s="5">
        <v>103</v>
      </c>
      <c r="AW145" s="4" t="s">
        <v>53</v>
      </c>
      <c r="AX145" s="4">
        <v>2011</v>
      </c>
      <c r="AY145" s="4" t="s">
        <v>19</v>
      </c>
      <c r="AZ145" s="5">
        <v>149</v>
      </c>
      <c r="BC145" s="4" t="s">
        <v>55</v>
      </c>
      <c r="BD145" s="4">
        <v>2011</v>
      </c>
      <c r="BE145" s="4" t="s">
        <v>19</v>
      </c>
      <c r="BF145" s="5">
        <v>19</v>
      </c>
      <c r="BI145" s="4" t="s">
        <v>57</v>
      </c>
      <c r="BJ145" s="4">
        <v>2011</v>
      </c>
      <c r="BK145" s="4" t="s">
        <v>19</v>
      </c>
      <c r="BL145" s="5">
        <v>556</v>
      </c>
      <c r="BO145" s="4" t="s">
        <v>60</v>
      </c>
      <c r="BP145" s="4">
        <v>2011</v>
      </c>
      <c r="BQ145" s="4" t="s">
        <v>19</v>
      </c>
      <c r="BR145" s="5">
        <v>45</v>
      </c>
      <c r="BU145" s="4" t="s">
        <v>62</v>
      </c>
      <c r="BV145" s="4">
        <v>2011</v>
      </c>
      <c r="BW145" s="4" t="s">
        <v>19</v>
      </c>
      <c r="BX145" s="5">
        <v>519</v>
      </c>
      <c r="CA145" s="4" t="s">
        <v>64</v>
      </c>
      <c r="CB145" s="4">
        <v>2011</v>
      </c>
      <c r="CC145" s="4" t="s">
        <v>19</v>
      </c>
      <c r="CD145" s="5">
        <v>24</v>
      </c>
      <c r="CG145" s="4" t="s">
        <v>66</v>
      </c>
      <c r="CH145" s="4">
        <v>2011</v>
      </c>
      <c r="CI145" s="4" t="s">
        <v>19</v>
      </c>
      <c r="CJ145" s="5">
        <v>290</v>
      </c>
      <c r="CM145" s="4" t="s">
        <v>68</v>
      </c>
      <c r="CN145" s="4">
        <v>2011</v>
      </c>
      <c r="CO145" s="4" t="s">
        <v>19</v>
      </c>
      <c r="CP145" s="5">
        <v>104</v>
      </c>
      <c r="CS145" s="4" t="s">
        <v>206</v>
      </c>
      <c r="CT145" s="4">
        <v>2011</v>
      </c>
      <c r="CU145" s="4" t="s">
        <v>19</v>
      </c>
      <c r="CV145" s="5">
        <v>336</v>
      </c>
    </row>
    <row r="146" spans="1:100" x14ac:dyDescent="0.25">
      <c r="A146" s="4" t="s">
        <v>185</v>
      </c>
      <c r="B146" s="4">
        <v>2012</v>
      </c>
      <c r="C146" s="4" t="s">
        <v>20</v>
      </c>
      <c r="D146" s="5">
        <v>30</v>
      </c>
      <c r="G146" s="4" t="s">
        <v>3</v>
      </c>
      <c r="H146" s="4">
        <v>2012</v>
      </c>
      <c r="I146" s="4" t="s">
        <v>20</v>
      </c>
      <c r="J146" s="5">
        <v>74</v>
      </c>
      <c r="M146" s="4" t="s">
        <v>31</v>
      </c>
      <c r="N146" s="4">
        <v>2012</v>
      </c>
      <c r="O146" s="4" t="s">
        <v>20</v>
      </c>
      <c r="P146" s="5">
        <v>182</v>
      </c>
      <c r="S146" s="4" t="s">
        <v>33</v>
      </c>
      <c r="T146" s="4">
        <v>2012</v>
      </c>
      <c r="U146" s="4" t="s">
        <v>20</v>
      </c>
      <c r="V146" s="5">
        <v>66</v>
      </c>
      <c r="Y146" s="4" t="s">
        <v>35</v>
      </c>
      <c r="Z146" s="4">
        <v>2012</v>
      </c>
      <c r="AA146" s="4" t="s">
        <v>20</v>
      </c>
      <c r="AB146" s="5">
        <v>165</v>
      </c>
      <c r="AE146" s="4" t="s">
        <v>47</v>
      </c>
      <c r="AF146" s="4">
        <v>2012</v>
      </c>
      <c r="AG146" s="4" t="s">
        <v>20</v>
      </c>
      <c r="AH146" s="5">
        <v>316</v>
      </c>
      <c r="AK146" s="4" t="s">
        <v>49</v>
      </c>
      <c r="AL146" s="4">
        <v>2012</v>
      </c>
      <c r="AM146" s="4" t="s">
        <v>20</v>
      </c>
      <c r="AN146" s="5">
        <v>112</v>
      </c>
      <c r="AQ146" s="4" t="s">
        <v>51</v>
      </c>
      <c r="AR146" s="4">
        <v>2012</v>
      </c>
      <c r="AS146" s="4" t="s">
        <v>20</v>
      </c>
      <c r="AT146" s="5">
        <v>83</v>
      </c>
      <c r="AW146" s="4" t="s">
        <v>53</v>
      </c>
      <c r="AX146" s="4">
        <v>2012</v>
      </c>
      <c r="AY146" s="4" t="s">
        <v>20</v>
      </c>
      <c r="AZ146" s="5">
        <v>174</v>
      </c>
      <c r="BC146" s="4" t="s">
        <v>55</v>
      </c>
      <c r="BD146" s="4">
        <v>2012</v>
      </c>
      <c r="BE146" s="4" t="s">
        <v>20</v>
      </c>
      <c r="BF146" s="5">
        <v>77</v>
      </c>
      <c r="BI146" s="4" t="s">
        <v>57</v>
      </c>
      <c r="BJ146" s="4">
        <v>2012</v>
      </c>
      <c r="BK146" s="4" t="s">
        <v>20</v>
      </c>
      <c r="BL146" s="5">
        <v>789</v>
      </c>
      <c r="BO146" s="4" t="s">
        <v>60</v>
      </c>
      <c r="BP146" s="4">
        <v>2012</v>
      </c>
      <c r="BQ146" s="4" t="s">
        <v>20</v>
      </c>
      <c r="BR146" s="5">
        <v>53</v>
      </c>
      <c r="BU146" s="4" t="s">
        <v>62</v>
      </c>
      <c r="BV146" s="4">
        <v>2012</v>
      </c>
      <c r="BW146" s="4" t="s">
        <v>20</v>
      </c>
      <c r="BX146" s="5">
        <v>633</v>
      </c>
      <c r="CA146" s="4" t="s">
        <v>64</v>
      </c>
      <c r="CB146" s="4">
        <v>2012</v>
      </c>
      <c r="CC146" s="4" t="s">
        <v>20</v>
      </c>
      <c r="CD146" s="5">
        <v>58</v>
      </c>
      <c r="CG146" s="4" t="s">
        <v>66</v>
      </c>
      <c r="CH146" s="4">
        <v>2012</v>
      </c>
      <c r="CI146" s="4" t="s">
        <v>20</v>
      </c>
      <c r="CJ146" s="5">
        <v>322</v>
      </c>
      <c r="CM146" s="4" t="s">
        <v>68</v>
      </c>
      <c r="CN146" s="4">
        <v>2012</v>
      </c>
      <c r="CO146" s="4" t="s">
        <v>20</v>
      </c>
      <c r="CP146" s="5">
        <v>130</v>
      </c>
      <c r="CS146" s="4" t="s">
        <v>206</v>
      </c>
      <c r="CT146" s="4">
        <v>2012</v>
      </c>
      <c r="CU146" s="4" t="s">
        <v>20</v>
      </c>
      <c r="CV146" s="5">
        <v>323</v>
      </c>
    </row>
    <row r="147" spans="1:100" x14ac:dyDescent="0.25">
      <c r="A147" s="4" t="s">
        <v>185</v>
      </c>
      <c r="B147" s="4">
        <v>2012</v>
      </c>
      <c r="C147" s="4" t="s">
        <v>21</v>
      </c>
      <c r="D147" s="5">
        <v>22</v>
      </c>
      <c r="G147" s="4" t="s">
        <v>3</v>
      </c>
      <c r="H147" s="4">
        <v>2012</v>
      </c>
      <c r="I147" s="4" t="s">
        <v>21</v>
      </c>
      <c r="J147" s="5">
        <v>66</v>
      </c>
      <c r="M147" s="4" t="s">
        <v>31</v>
      </c>
      <c r="N147" s="4">
        <v>2012</v>
      </c>
      <c r="O147" s="4" t="s">
        <v>21</v>
      </c>
      <c r="P147" s="5">
        <v>175</v>
      </c>
      <c r="S147" s="4" t="s">
        <v>33</v>
      </c>
      <c r="T147" s="4">
        <v>2012</v>
      </c>
      <c r="U147" s="4" t="s">
        <v>21</v>
      </c>
      <c r="V147" s="5">
        <v>79</v>
      </c>
      <c r="Y147" s="4" t="s">
        <v>35</v>
      </c>
      <c r="Z147" s="4">
        <v>2012</v>
      </c>
      <c r="AA147" s="4" t="s">
        <v>21</v>
      </c>
      <c r="AB147" s="5">
        <v>109</v>
      </c>
      <c r="AE147" s="4" t="s">
        <v>47</v>
      </c>
      <c r="AF147" s="4">
        <v>2012</v>
      </c>
      <c r="AG147" s="4" t="s">
        <v>21</v>
      </c>
      <c r="AH147" s="5">
        <v>296</v>
      </c>
      <c r="AK147" s="4" t="s">
        <v>49</v>
      </c>
      <c r="AL147" s="4">
        <v>2012</v>
      </c>
      <c r="AM147" s="4" t="s">
        <v>21</v>
      </c>
      <c r="AN147" s="5">
        <v>121</v>
      </c>
      <c r="AQ147" s="4" t="s">
        <v>51</v>
      </c>
      <c r="AR147" s="4">
        <v>2012</v>
      </c>
      <c r="AS147" s="4" t="s">
        <v>21</v>
      </c>
      <c r="AT147" s="5">
        <v>89</v>
      </c>
      <c r="AW147" s="4" t="s">
        <v>53</v>
      </c>
      <c r="AX147" s="4">
        <v>2012</v>
      </c>
      <c r="AY147" s="4" t="s">
        <v>21</v>
      </c>
      <c r="AZ147" s="5">
        <v>123</v>
      </c>
      <c r="BC147" s="4" t="s">
        <v>55</v>
      </c>
      <c r="BD147" s="4">
        <v>2012</v>
      </c>
      <c r="BE147" s="4" t="s">
        <v>21</v>
      </c>
      <c r="BF147" s="5">
        <v>46</v>
      </c>
      <c r="BI147" s="4" t="s">
        <v>57</v>
      </c>
      <c r="BJ147" s="4">
        <v>2012</v>
      </c>
      <c r="BK147" s="4" t="s">
        <v>21</v>
      </c>
      <c r="BL147" s="5">
        <v>640</v>
      </c>
      <c r="BO147" s="4" t="s">
        <v>60</v>
      </c>
      <c r="BP147" s="4">
        <v>2012</v>
      </c>
      <c r="BQ147" s="4" t="s">
        <v>21</v>
      </c>
      <c r="BR147" s="5">
        <v>57</v>
      </c>
      <c r="BU147" s="4" t="s">
        <v>62</v>
      </c>
      <c r="BV147" s="4">
        <v>2012</v>
      </c>
      <c r="BW147" s="4" t="s">
        <v>21</v>
      </c>
      <c r="BX147" s="5">
        <v>573</v>
      </c>
      <c r="CA147" s="4" t="s">
        <v>64</v>
      </c>
      <c r="CB147" s="4">
        <v>2012</v>
      </c>
      <c r="CC147" s="4" t="s">
        <v>21</v>
      </c>
      <c r="CD147" s="5">
        <v>50</v>
      </c>
      <c r="CG147" s="4" t="s">
        <v>66</v>
      </c>
      <c r="CH147" s="4">
        <v>2012</v>
      </c>
      <c r="CI147" s="4" t="s">
        <v>21</v>
      </c>
      <c r="CJ147" s="5">
        <v>341</v>
      </c>
      <c r="CM147" s="4" t="s">
        <v>68</v>
      </c>
      <c r="CN147" s="4">
        <v>2012</v>
      </c>
      <c r="CO147" s="4" t="s">
        <v>21</v>
      </c>
      <c r="CP147" s="5">
        <v>145</v>
      </c>
      <c r="CS147" s="4" t="s">
        <v>206</v>
      </c>
      <c r="CT147" s="4">
        <v>2012</v>
      </c>
      <c r="CU147" s="4" t="s">
        <v>21</v>
      </c>
      <c r="CV147" s="5">
        <v>387</v>
      </c>
    </row>
    <row r="148" spans="1:100" x14ac:dyDescent="0.25">
      <c r="A148" s="4" t="s">
        <v>185</v>
      </c>
      <c r="B148" s="4">
        <v>2012</v>
      </c>
      <c r="C148" s="4" t="s">
        <v>22</v>
      </c>
      <c r="D148" s="5">
        <v>14</v>
      </c>
      <c r="G148" s="4" t="s">
        <v>3</v>
      </c>
      <c r="H148" s="4">
        <v>2012</v>
      </c>
      <c r="I148" s="4" t="s">
        <v>22</v>
      </c>
      <c r="J148" s="5">
        <v>94</v>
      </c>
      <c r="M148" s="4" t="s">
        <v>31</v>
      </c>
      <c r="N148" s="4">
        <v>2012</v>
      </c>
      <c r="O148" s="4" t="s">
        <v>22</v>
      </c>
      <c r="P148" s="5">
        <v>204</v>
      </c>
      <c r="S148" s="4" t="s">
        <v>33</v>
      </c>
      <c r="T148" s="4">
        <v>2012</v>
      </c>
      <c r="U148" s="4" t="s">
        <v>22</v>
      </c>
      <c r="V148" s="5">
        <v>119</v>
      </c>
      <c r="Y148" s="4" t="s">
        <v>35</v>
      </c>
      <c r="Z148" s="4">
        <v>2012</v>
      </c>
      <c r="AA148" s="4" t="s">
        <v>22</v>
      </c>
      <c r="AB148" s="5">
        <v>120</v>
      </c>
      <c r="AE148" s="4" t="s">
        <v>47</v>
      </c>
      <c r="AF148" s="4">
        <v>2012</v>
      </c>
      <c r="AG148" s="4" t="s">
        <v>22</v>
      </c>
      <c r="AH148" s="5">
        <v>381</v>
      </c>
      <c r="AK148" s="4" t="s">
        <v>49</v>
      </c>
      <c r="AL148" s="4">
        <v>2012</v>
      </c>
      <c r="AM148" s="4" t="s">
        <v>22</v>
      </c>
      <c r="AN148" s="5">
        <v>120</v>
      </c>
      <c r="AQ148" s="4" t="s">
        <v>51</v>
      </c>
      <c r="AR148" s="4">
        <v>2012</v>
      </c>
      <c r="AS148" s="4" t="s">
        <v>22</v>
      </c>
      <c r="AT148" s="5">
        <v>101</v>
      </c>
      <c r="AW148" s="4" t="s">
        <v>53</v>
      </c>
      <c r="AX148" s="4">
        <v>2012</v>
      </c>
      <c r="AY148" s="4" t="s">
        <v>22</v>
      </c>
      <c r="AZ148" s="5">
        <v>189</v>
      </c>
      <c r="BC148" s="4" t="s">
        <v>55</v>
      </c>
      <c r="BD148" s="4">
        <v>2012</v>
      </c>
      <c r="BE148" s="4" t="s">
        <v>22</v>
      </c>
      <c r="BF148" s="5">
        <v>45</v>
      </c>
      <c r="BI148" s="4" t="s">
        <v>57</v>
      </c>
      <c r="BJ148" s="4">
        <v>2012</v>
      </c>
      <c r="BK148" s="4" t="s">
        <v>22</v>
      </c>
      <c r="BL148" s="5">
        <v>758</v>
      </c>
      <c r="BO148" s="4" t="s">
        <v>60</v>
      </c>
      <c r="BP148" s="4">
        <v>2012</v>
      </c>
      <c r="BQ148" s="4" t="s">
        <v>22</v>
      </c>
      <c r="BR148" s="5">
        <v>63</v>
      </c>
      <c r="BU148" s="4" t="s">
        <v>62</v>
      </c>
      <c r="BV148" s="4">
        <v>2012</v>
      </c>
      <c r="BW148" s="4" t="s">
        <v>22</v>
      </c>
      <c r="BX148" s="5">
        <v>608</v>
      </c>
      <c r="CA148" s="4" t="s">
        <v>64</v>
      </c>
      <c r="CB148" s="4">
        <v>2012</v>
      </c>
      <c r="CC148" s="4" t="s">
        <v>22</v>
      </c>
      <c r="CD148" s="5">
        <v>52</v>
      </c>
      <c r="CG148" s="4" t="s">
        <v>66</v>
      </c>
      <c r="CH148" s="4">
        <v>2012</v>
      </c>
      <c r="CI148" s="4" t="s">
        <v>22</v>
      </c>
      <c r="CJ148" s="5">
        <v>409</v>
      </c>
      <c r="CM148" s="4" t="s">
        <v>68</v>
      </c>
      <c r="CN148" s="4">
        <v>2012</v>
      </c>
      <c r="CO148" s="4" t="s">
        <v>22</v>
      </c>
      <c r="CP148" s="5">
        <v>132</v>
      </c>
      <c r="CS148" s="4" t="s">
        <v>206</v>
      </c>
      <c r="CT148" s="4">
        <v>2012</v>
      </c>
      <c r="CU148" s="4" t="s">
        <v>22</v>
      </c>
      <c r="CV148" s="5">
        <v>392</v>
      </c>
    </row>
    <row r="149" spans="1:100" x14ac:dyDescent="0.25">
      <c r="A149" s="4" t="s">
        <v>185</v>
      </c>
      <c r="B149" s="4">
        <v>2012</v>
      </c>
      <c r="C149" s="4" t="s">
        <v>23</v>
      </c>
      <c r="D149" s="5">
        <v>16</v>
      </c>
      <c r="G149" s="4" t="s">
        <v>3</v>
      </c>
      <c r="H149" s="4">
        <v>2012</v>
      </c>
      <c r="I149" s="4" t="s">
        <v>23</v>
      </c>
      <c r="J149" s="5">
        <v>86</v>
      </c>
      <c r="M149" s="4" t="s">
        <v>31</v>
      </c>
      <c r="N149" s="4">
        <v>2012</v>
      </c>
      <c r="O149" s="4" t="s">
        <v>23</v>
      </c>
      <c r="P149" s="5">
        <v>165</v>
      </c>
      <c r="S149" s="4" t="s">
        <v>33</v>
      </c>
      <c r="T149" s="4">
        <v>2012</v>
      </c>
      <c r="U149" s="4" t="s">
        <v>23</v>
      </c>
      <c r="V149" s="5">
        <v>103</v>
      </c>
      <c r="Y149" s="4" t="s">
        <v>35</v>
      </c>
      <c r="Z149" s="4">
        <v>2012</v>
      </c>
      <c r="AA149" s="4" t="s">
        <v>23</v>
      </c>
      <c r="AB149" s="5">
        <v>136</v>
      </c>
      <c r="AE149" s="4" t="s">
        <v>47</v>
      </c>
      <c r="AF149" s="4">
        <v>2012</v>
      </c>
      <c r="AG149" s="4" t="s">
        <v>23</v>
      </c>
      <c r="AH149" s="5">
        <v>334</v>
      </c>
      <c r="AK149" s="4" t="s">
        <v>49</v>
      </c>
      <c r="AL149" s="4">
        <v>2012</v>
      </c>
      <c r="AM149" s="4" t="s">
        <v>23</v>
      </c>
      <c r="AN149" s="5">
        <v>107</v>
      </c>
      <c r="AQ149" s="4" t="s">
        <v>51</v>
      </c>
      <c r="AR149" s="4">
        <v>2012</v>
      </c>
      <c r="AS149" s="4" t="s">
        <v>23</v>
      </c>
      <c r="AT149" s="5">
        <v>111</v>
      </c>
      <c r="AW149" s="4" t="s">
        <v>53</v>
      </c>
      <c r="AX149" s="4">
        <v>2012</v>
      </c>
      <c r="AY149" s="4" t="s">
        <v>23</v>
      </c>
      <c r="AZ149" s="5">
        <v>195</v>
      </c>
      <c r="BC149" s="4" t="s">
        <v>55</v>
      </c>
      <c r="BD149" s="4">
        <v>2012</v>
      </c>
      <c r="BE149" s="4" t="s">
        <v>23</v>
      </c>
      <c r="BF149" s="5">
        <v>47</v>
      </c>
      <c r="BI149" s="4" t="s">
        <v>57</v>
      </c>
      <c r="BJ149" s="4">
        <v>2012</v>
      </c>
      <c r="BK149" s="4" t="s">
        <v>23</v>
      </c>
      <c r="BL149" s="5">
        <v>692</v>
      </c>
      <c r="BO149" s="4" t="s">
        <v>60</v>
      </c>
      <c r="BP149" s="4">
        <v>2012</v>
      </c>
      <c r="BQ149" s="4" t="s">
        <v>23</v>
      </c>
      <c r="BR149" s="5">
        <v>62</v>
      </c>
      <c r="BU149" s="4" t="s">
        <v>62</v>
      </c>
      <c r="BV149" s="4">
        <v>2012</v>
      </c>
      <c r="BW149" s="4" t="s">
        <v>23</v>
      </c>
      <c r="BX149" s="5">
        <v>650</v>
      </c>
      <c r="CA149" s="4" t="s">
        <v>64</v>
      </c>
      <c r="CB149" s="4">
        <v>2012</v>
      </c>
      <c r="CC149" s="4" t="s">
        <v>23</v>
      </c>
      <c r="CD149" s="5">
        <v>97</v>
      </c>
      <c r="CG149" s="4" t="s">
        <v>66</v>
      </c>
      <c r="CH149" s="4">
        <v>2012</v>
      </c>
      <c r="CI149" s="4" t="s">
        <v>23</v>
      </c>
      <c r="CJ149" s="5">
        <v>457</v>
      </c>
      <c r="CM149" s="4" t="s">
        <v>68</v>
      </c>
      <c r="CN149" s="4">
        <v>2012</v>
      </c>
      <c r="CO149" s="4" t="s">
        <v>23</v>
      </c>
      <c r="CP149" s="5">
        <v>204</v>
      </c>
      <c r="CS149" s="4" t="s">
        <v>206</v>
      </c>
      <c r="CT149" s="4">
        <v>2012</v>
      </c>
      <c r="CU149" s="4" t="s">
        <v>23</v>
      </c>
      <c r="CV149" s="5">
        <v>369</v>
      </c>
    </row>
    <row r="150" spans="1:100" x14ac:dyDescent="0.25">
      <c r="A150" s="4" t="s">
        <v>185</v>
      </c>
      <c r="B150" s="4">
        <v>2012</v>
      </c>
      <c r="C150" s="4" t="s">
        <v>24</v>
      </c>
      <c r="D150" s="5">
        <v>21</v>
      </c>
      <c r="G150" s="4" t="s">
        <v>3</v>
      </c>
      <c r="H150" s="4">
        <v>2012</v>
      </c>
      <c r="I150" s="4" t="s">
        <v>24</v>
      </c>
      <c r="J150" s="5">
        <v>80</v>
      </c>
      <c r="M150" s="4" t="s">
        <v>31</v>
      </c>
      <c r="N150" s="4">
        <v>2012</v>
      </c>
      <c r="O150" s="4" t="s">
        <v>24</v>
      </c>
      <c r="P150" s="5">
        <v>215</v>
      </c>
      <c r="S150" s="4" t="s">
        <v>33</v>
      </c>
      <c r="T150" s="4">
        <v>2012</v>
      </c>
      <c r="U150" s="4" t="s">
        <v>24</v>
      </c>
      <c r="V150" s="5">
        <v>100</v>
      </c>
      <c r="Y150" s="4" t="s">
        <v>35</v>
      </c>
      <c r="Z150" s="4">
        <v>2012</v>
      </c>
      <c r="AA150" s="4" t="s">
        <v>24</v>
      </c>
      <c r="AB150" s="5">
        <v>124</v>
      </c>
      <c r="AE150" s="4" t="s">
        <v>47</v>
      </c>
      <c r="AF150" s="4">
        <v>2012</v>
      </c>
      <c r="AG150" s="4" t="s">
        <v>24</v>
      </c>
      <c r="AH150" s="5">
        <v>351</v>
      </c>
      <c r="AK150" s="4" t="s">
        <v>49</v>
      </c>
      <c r="AL150" s="4">
        <v>2012</v>
      </c>
      <c r="AM150" s="4" t="s">
        <v>24</v>
      </c>
      <c r="AN150" s="5">
        <v>115</v>
      </c>
      <c r="AQ150" s="4" t="s">
        <v>51</v>
      </c>
      <c r="AR150" s="4">
        <v>2012</v>
      </c>
      <c r="AS150" s="4" t="s">
        <v>24</v>
      </c>
      <c r="AT150" s="5">
        <v>76</v>
      </c>
      <c r="AW150" s="4" t="s">
        <v>53</v>
      </c>
      <c r="AX150" s="4">
        <v>2012</v>
      </c>
      <c r="AY150" s="4" t="s">
        <v>24</v>
      </c>
      <c r="AZ150" s="5">
        <v>171</v>
      </c>
      <c r="BC150" s="4" t="s">
        <v>55</v>
      </c>
      <c r="BD150" s="4">
        <v>2012</v>
      </c>
      <c r="BE150" s="4" t="s">
        <v>24</v>
      </c>
      <c r="BF150" s="5">
        <v>57</v>
      </c>
      <c r="BI150" s="4" t="s">
        <v>57</v>
      </c>
      <c r="BJ150" s="4">
        <v>2012</v>
      </c>
      <c r="BK150" s="4" t="s">
        <v>24</v>
      </c>
      <c r="BL150" s="5">
        <v>731</v>
      </c>
      <c r="BO150" s="4" t="s">
        <v>60</v>
      </c>
      <c r="BP150" s="4">
        <v>2012</v>
      </c>
      <c r="BQ150" s="4" t="s">
        <v>24</v>
      </c>
      <c r="BR150" s="5">
        <v>61</v>
      </c>
      <c r="BU150" s="4" t="s">
        <v>62</v>
      </c>
      <c r="BV150" s="4">
        <v>2012</v>
      </c>
      <c r="BW150" s="4" t="s">
        <v>24</v>
      </c>
      <c r="BX150" s="5">
        <v>635</v>
      </c>
      <c r="CA150" s="4" t="s">
        <v>64</v>
      </c>
      <c r="CB150" s="4">
        <v>2012</v>
      </c>
      <c r="CC150" s="4" t="s">
        <v>24</v>
      </c>
      <c r="CD150" s="5">
        <v>68</v>
      </c>
      <c r="CG150" s="4" t="s">
        <v>66</v>
      </c>
      <c r="CH150" s="4">
        <v>2012</v>
      </c>
      <c r="CI150" s="4" t="s">
        <v>24</v>
      </c>
      <c r="CJ150" s="5">
        <v>401</v>
      </c>
      <c r="CM150" s="4" t="s">
        <v>68</v>
      </c>
      <c r="CN150" s="4">
        <v>2012</v>
      </c>
      <c r="CO150" s="4" t="s">
        <v>24</v>
      </c>
      <c r="CP150" s="5">
        <v>148</v>
      </c>
      <c r="CS150" s="4" t="s">
        <v>206</v>
      </c>
      <c r="CT150" s="4">
        <v>2012</v>
      </c>
      <c r="CU150" s="4" t="s">
        <v>24</v>
      </c>
      <c r="CV150" s="5">
        <v>415</v>
      </c>
    </row>
    <row r="151" spans="1:100" x14ac:dyDescent="0.25">
      <c r="A151" s="4" t="s">
        <v>185</v>
      </c>
      <c r="B151" s="4">
        <v>2012</v>
      </c>
      <c r="C151" s="4" t="s">
        <v>25</v>
      </c>
      <c r="D151" s="5">
        <v>17</v>
      </c>
      <c r="G151" s="4" t="s">
        <v>3</v>
      </c>
      <c r="H151" s="4">
        <v>2012</v>
      </c>
      <c r="I151" s="4" t="s">
        <v>25</v>
      </c>
      <c r="J151" s="5">
        <v>80</v>
      </c>
      <c r="M151" s="4" t="s">
        <v>31</v>
      </c>
      <c r="N151" s="4">
        <v>2012</v>
      </c>
      <c r="O151" s="4" t="s">
        <v>25</v>
      </c>
      <c r="P151" s="5">
        <v>208</v>
      </c>
      <c r="S151" s="4" t="s">
        <v>33</v>
      </c>
      <c r="T151" s="4">
        <v>2012</v>
      </c>
      <c r="U151" s="4" t="s">
        <v>25</v>
      </c>
      <c r="V151" s="5">
        <v>114</v>
      </c>
      <c r="Y151" s="4" t="s">
        <v>35</v>
      </c>
      <c r="Z151" s="4">
        <v>2012</v>
      </c>
      <c r="AA151" s="4" t="s">
        <v>25</v>
      </c>
      <c r="AB151" s="5">
        <v>139</v>
      </c>
      <c r="AE151" s="4" t="s">
        <v>47</v>
      </c>
      <c r="AF151" s="4">
        <v>2012</v>
      </c>
      <c r="AG151" s="4" t="s">
        <v>25</v>
      </c>
      <c r="AH151" s="5">
        <v>331</v>
      </c>
      <c r="AK151" s="4" t="s">
        <v>49</v>
      </c>
      <c r="AL151" s="4">
        <v>2012</v>
      </c>
      <c r="AM151" s="4" t="s">
        <v>25</v>
      </c>
      <c r="AN151" s="5">
        <v>97</v>
      </c>
      <c r="AQ151" s="4" t="s">
        <v>51</v>
      </c>
      <c r="AR151" s="4">
        <v>2012</v>
      </c>
      <c r="AS151" s="4" t="s">
        <v>25</v>
      </c>
      <c r="AT151" s="5">
        <v>106</v>
      </c>
      <c r="AW151" s="4" t="s">
        <v>53</v>
      </c>
      <c r="AX151" s="4">
        <v>2012</v>
      </c>
      <c r="AY151" s="4" t="s">
        <v>25</v>
      </c>
      <c r="AZ151" s="5">
        <v>176</v>
      </c>
      <c r="BC151" s="4" t="s">
        <v>55</v>
      </c>
      <c r="BD151" s="4">
        <v>2012</v>
      </c>
      <c r="BE151" s="4" t="s">
        <v>25</v>
      </c>
      <c r="BF151" s="5">
        <v>54</v>
      </c>
      <c r="BI151" s="4" t="s">
        <v>57</v>
      </c>
      <c r="BJ151" s="4">
        <v>2012</v>
      </c>
      <c r="BK151" s="4" t="s">
        <v>25</v>
      </c>
      <c r="BL151" s="5">
        <v>716</v>
      </c>
      <c r="BO151" s="4" t="s">
        <v>60</v>
      </c>
      <c r="BP151" s="4">
        <v>2012</v>
      </c>
      <c r="BQ151" s="4" t="s">
        <v>25</v>
      </c>
      <c r="BR151" s="5">
        <v>60</v>
      </c>
      <c r="BU151" s="4" t="s">
        <v>62</v>
      </c>
      <c r="BV151" s="4">
        <v>2012</v>
      </c>
      <c r="BW151" s="4" t="s">
        <v>25</v>
      </c>
      <c r="BX151" s="5">
        <v>630</v>
      </c>
      <c r="CA151" s="4" t="s">
        <v>64</v>
      </c>
      <c r="CB151" s="4">
        <v>2012</v>
      </c>
      <c r="CC151" s="4" t="s">
        <v>25</v>
      </c>
      <c r="CD151" s="5">
        <v>44</v>
      </c>
      <c r="CG151" s="4" t="s">
        <v>66</v>
      </c>
      <c r="CH151" s="4">
        <v>2012</v>
      </c>
      <c r="CI151" s="4" t="s">
        <v>25</v>
      </c>
      <c r="CJ151" s="5">
        <v>433</v>
      </c>
      <c r="CM151" s="4" t="s">
        <v>68</v>
      </c>
      <c r="CN151" s="4">
        <v>2012</v>
      </c>
      <c r="CO151" s="4" t="s">
        <v>25</v>
      </c>
      <c r="CP151" s="5">
        <v>163</v>
      </c>
      <c r="CS151" s="4" t="s">
        <v>206</v>
      </c>
      <c r="CT151" s="4">
        <v>2012</v>
      </c>
      <c r="CU151" s="4" t="s">
        <v>25</v>
      </c>
      <c r="CV151" s="5">
        <v>408</v>
      </c>
    </row>
    <row r="152" spans="1:100" x14ac:dyDescent="0.25">
      <c r="A152" s="4" t="s">
        <v>185</v>
      </c>
      <c r="B152" s="4">
        <v>2012</v>
      </c>
      <c r="C152" s="4" t="s">
        <v>26</v>
      </c>
      <c r="D152" s="5">
        <v>14</v>
      </c>
      <c r="G152" s="4" t="s">
        <v>3</v>
      </c>
      <c r="H152" s="4">
        <v>2012</v>
      </c>
      <c r="I152" s="4" t="s">
        <v>26</v>
      </c>
      <c r="J152" s="5">
        <v>78</v>
      </c>
      <c r="M152" s="4" t="s">
        <v>31</v>
      </c>
      <c r="N152" s="4">
        <v>2012</v>
      </c>
      <c r="O152" s="4" t="s">
        <v>26</v>
      </c>
      <c r="P152" s="5">
        <v>203</v>
      </c>
      <c r="S152" s="4" t="s">
        <v>33</v>
      </c>
      <c r="T152" s="4">
        <v>2012</v>
      </c>
      <c r="U152" s="4" t="s">
        <v>26</v>
      </c>
      <c r="V152" s="5">
        <v>101</v>
      </c>
      <c r="Y152" s="4" t="s">
        <v>35</v>
      </c>
      <c r="Z152" s="4">
        <v>2012</v>
      </c>
      <c r="AA152" s="4" t="s">
        <v>26</v>
      </c>
      <c r="AB152" s="5">
        <v>158</v>
      </c>
      <c r="AE152" s="4" t="s">
        <v>47</v>
      </c>
      <c r="AF152" s="4">
        <v>2012</v>
      </c>
      <c r="AG152" s="4" t="s">
        <v>26</v>
      </c>
      <c r="AH152" s="5">
        <v>357</v>
      </c>
      <c r="AK152" s="4" t="s">
        <v>49</v>
      </c>
      <c r="AL152" s="4">
        <v>2012</v>
      </c>
      <c r="AM152" s="4" t="s">
        <v>26</v>
      </c>
      <c r="AN152" s="5">
        <v>119</v>
      </c>
      <c r="AQ152" s="4" t="s">
        <v>51</v>
      </c>
      <c r="AR152" s="4">
        <v>2012</v>
      </c>
      <c r="AS152" s="4" t="s">
        <v>26</v>
      </c>
      <c r="AT152" s="5">
        <v>88</v>
      </c>
      <c r="AW152" s="4" t="s">
        <v>53</v>
      </c>
      <c r="AX152" s="4">
        <v>2012</v>
      </c>
      <c r="AY152" s="4" t="s">
        <v>26</v>
      </c>
      <c r="AZ152" s="5">
        <v>177</v>
      </c>
      <c r="BC152" s="4" t="s">
        <v>55</v>
      </c>
      <c r="BD152" s="4">
        <v>2012</v>
      </c>
      <c r="BE152" s="4" t="s">
        <v>26</v>
      </c>
      <c r="BF152" s="5">
        <v>71</v>
      </c>
      <c r="BI152" s="4" t="s">
        <v>57</v>
      </c>
      <c r="BJ152" s="4">
        <v>2012</v>
      </c>
      <c r="BK152" s="4" t="s">
        <v>26</v>
      </c>
      <c r="BL152" s="5">
        <v>665</v>
      </c>
      <c r="BO152" s="4" t="s">
        <v>60</v>
      </c>
      <c r="BP152" s="4">
        <v>2012</v>
      </c>
      <c r="BQ152" s="4" t="s">
        <v>26</v>
      </c>
      <c r="BR152" s="5">
        <v>94</v>
      </c>
      <c r="BU152" s="4" t="s">
        <v>62</v>
      </c>
      <c r="BV152" s="4">
        <v>2012</v>
      </c>
      <c r="BW152" s="4" t="s">
        <v>26</v>
      </c>
      <c r="BX152" s="5">
        <v>615</v>
      </c>
      <c r="CA152" s="4" t="s">
        <v>64</v>
      </c>
      <c r="CB152" s="4">
        <v>2012</v>
      </c>
      <c r="CC152" s="4" t="s">
        <v>26</v>
      </c>
      <c r="CD152" s="5">
        <v>53</v>
      </c>
      <c r="CG152" s="4" t="s">
        <v>66</v>
      </c>
      <c r="CH152" s="4">
        <v>2012</v>
      </c>
      <c r="CI152" s="4" t="s">
        <v>26</v>
      </c>
      <c r="CJ152" s="5">
        <v>455</v>
      </c>
      <c r="CM152" s="4" t="s">
        <v>68</v>
      </c>
      <c r="CN152" s="4">
        <v>2012</v>
      </c>
      <c r="CO152" s="4" t="s">
        <v>26</v>
      </c>
      <c r="CP152" s="5">
        <v>139</v>
      </c>
      <c r="CS152" s="4" t="s">
        <v>206</v>
      </c>
      <c r="CT152" s="4">
        <v>2012</v>
      </c>
      <c r="CU152" s="4" t="s">
        <v>26</v>
      </c>
      <c r="CV152" s="5">
        <v>406</v>
      </c>
    </row>
    <row r="153" spans="1:100" x14ac:dyDescent="0.25">
      <c r="A153" s="4" t="s">
        <v>185</v>
      </c>
      <c r="B153" s="4">
        <v>2012</v>
      </c>
      <c r="C153" s="4" t="s">
        <v>27</v>
      </c>
      <c r="D153" s="5">
        <v>15</v>
      </c>
      <c r="G153" s="4" t="s">
        <v>3</v>
      </c>
      <c r="H153" s="4">
        <v>2012</v>
      </c>
      <c r="I153" s="4" t="s">
        <v>27</v>
      </c>
      <c r="J153" s="5">
        <v>82</v>
      </c>
      <c r="M153" s="4" t="s">
        <v>31</v>
      </c>
      <c r="N153" s="4">
        <v>2012</v>
      </c>
      <c r="O153" s="4" t="s">
        <v>27</v>
      </c>
      <c r="P153" s="5">
        <v>159</v>
      </c>
      <c r="S153" s="4" t="s">
        <v>33</v>
      </c>
      <c r="T153" s="4">
        <v>2012</v>
      </c>
      <c r="U153" s="4" t="s">
        <v>27</v>
      </c>
      <c r="V153" s="5">
        <v>101</v>
      </c>
      <c r="Y153" s="4" t="s">
        <v>35</v>
      </c>
      <c r="Z153" s="4">
        <v>2012</v>
      </c>
      <c r="AA153" s="4" t="s">
        <v>27</v>
      </c>
      <c r="AB153" s="5">
        <v>138</v>
      </c>
      <c r="AE153" s="4" t="s">
        <v>47</v>
      </c>
      <c r="AF153" s="4">
        <v>2012</v>
      </c>
      <c r="AG153" s="4" t="s">
        <v>27</v>
      </c>
      <c r="AH153" s="5">
        <v>406</v>
      </c>
      <c r="AK153" s="4" t="s">
        <v>49</v>
      </c>
      <c r="AL153" s="4">
        <v>2012</v>
      </c>
      <c r="AM153" s="4" t="s">
        <v>27</v>
      </c>
      <c r="AN153" s="5">
        <v>105</v>
      </c>
      <c r="AQ153" s="4" t="s">
        <v>51</v>
      </c>
      <c r="AR153" s="4">
        <v>2012</v>
      </c>
      <c r="AS153" s="4" t="s">
        <v>27</v>
      </c>
      <c r="AT153" s="5">
        <v>122</v>
      </c>
      <c r="AW153" s="4" t="s">
        <v>53</v>
      </c>
      <c r="AX153" s="4">
        <v>2012</v>
      </c>
      <c r="AY153" s="4" t="s">
        <v>27</v>
      </c>
      <c r="AZ153" s="5">
        <v>201</v>
      </c>
      <c r="BC153" s="4" t="s">
        <v>55</v>
      </c>
      <c r="BD153" s="4">
        <v>2012</v>
      </c>
      <c r="BE153" s="4" t="s">
        <v>27</v>
      </c>
      <c r="BF153" s="5">
        <v>59</v>
      </c>
      <c r="BI153" s="4" t="s">
        <v>57</v>
      </c>
      <c r="BJ153" s="4">
        <v>2012</v>
      </c>
      <c r="BK153" s="4" t="s">
        <v>27</v>
      </c>
      <c r="BL153" s="5">
        <v>729</v>
      </c>
      <c r="BO153" s="4" t="s">
        <v>60</v>
      </c>
      <c r="BP153" s="4">
        <v>2012</v>
      </c>
      <c r="BQ153" s="4" t="s">
        <v>27</v>
      </c>
      <c r="BR153" s="5">
        <v>64</v>
      </c>
      <c r="BU153" s="4" t="s">
        <v>62</v>
      </c>
      <c r="BV153" s="4">
        <v>2012</v>
      </c>
      <c r="BW153" s="4" t="s">
        <v>27</v>
      </c>
      <c r="BX153" s="5">
        <v>573</v>
      </c>
      <c r="CA153" s="4" t="s">
        <v>64</v>
      </c>
      <c r="CB153" s="4">
        <v>2012</v>
      </c>
      <c r="CC153" s="4" t="s">
        <v>27</v>
      </c>
      <c r="CD153" s="5">
        <v>63</v>
      </c>
      <c r="CG153" s="4" t="s">
        <v>66</v>
      </c>
      <c r="CH153" s="4">
        <v>2012</v>
      </c>
      <c r="CI153" s="4" t="s">
        <v>27</v>
      </c>
      <c r="CJ153" s="5">
        <v>377</v>
      </c>
      <c r="CM153" s="4" t="s">
        <v>68</v>
      </c>
      <c r="CN153" s="4">
        <v>2012</v>
      </c>
      <c r="CO153" s="4" t="s">
        <v>27</v>
      </c>
      <c r="CP153" s="5">
        <v>86</v>
      </c>
      <c r="CS153" s="4" t="s">
        <v>206</v>
      </c>
      <c r="CT153" s="4">
        <v>2012</v>
      </c>
      <c r="CU153" s="4" t="s">
        <v>27</v>
      </c>
      <c r="CV153" s="5">
        <v>438</v>
      </c>
    </row>
    <row r="154" spans="1:100" x14ac:dyDescent="0.25">
      <c r="A154" s="4" t="s">
        <v>185</v>
      </c>
      <c r="B154" s="4">
        <v>2012</v>
      </c>
      <c r="C154" s="4" t="s">
        <v>28</v>
      </c>
      <c r="D154" s="5">
        <v>16</v>
      </c>
      <c r="G154" s="4" t="s">
        <v>3</v>
      </c>
      <c r="H154" s="4">
        <v>2012</v>
      </c>
      <c r="I154" s="4" t="s">
        <v>28</v>
      </c>
      <c r="J154" s="5">
        <v>90</v>
      </c>
      <c r="M154" s="4" t="s">
        <v>31</v>
      </c>
      <c r="N154" s="4">
        <v>2012</v>
      </c>
      <c r="O154" s="4" t="s">
        <v>28</v>
      </c>
      <c r="P154" s="5">
        <v>142</v>
      </c>
      <c r="S154" s="4" t="s">
        <v>33</v>
      </c>
      <c r="T154" s="4">
        <v>2012</v>
      </c>
      <c r="U154" s="4" t="s">
        <v>28</v>
      </c>
      <c r="V154" s="5">
        <v>103</v>
      </c>
      <c r="Y154" s="4" t="s">
        <v>35</v>
      </c>
      <c r="Z154" s="4">
        <v>2012</v>
      </c>
      <c r="AA154" s="4" t="s">
        <v>28</v>
      </c>
      <c r="AB154" s="5">
        <v>134</v>
      </c>
      <c r="AE154" s="4" t="s">
        <v>47</v>
      </c>
      <c r="AF154" s="4">
        <v>2012</v>
      </c>
      <c r="AG154" s="4" t="s">
        <v>28</v>
      </c>
      <c r="AH154" s="5">
        <v>450</v>
      </c>
      <c r="AK154" s="4" t="s">
        <v>49</v>
      </c>
      <c r="AL154" s="4">
        <v>2012</v>
      </c>
      <c r="AM154" s="4" t="s">
        <v>28</v>
      </c>
      <c r="AN154" s="5">
        <v>135</v>
      </c>
      <c r="AQ154" s="4" t="s">
        <v>51</v>
      </c>
      <c r="AR154" s="4">
        <v>2012</v>
      </c>
      <c r="AS154" s="4" t="s">
        <v>28</v>
      </c>
      <c r="AT154" s="5">
        <v>106</v>
      </c>
      <c r="AW154" s="4" t="s">
        <v>53</v>
      </c>
      <c r="AX154" s="4">
        <v>2012</v>
      </c>
      <c r="AY154" s="4" t="s">
        <v>28</v>
      </c>
      <c r="AZ154" s="5">
        <v>219</v>
      </c>
      <c r="BC154" s="4" t="s">
        <v>55</v>
      </c>
      <c r="BD154" s="4">
        <v>2012</v>
      </c>
      <c r="BE154" s="4" t="s">
        <v>28</v>
      </c>
      <c r="BF154" s="5">
        <v>61</v>
      </c>
      <c r="BI154" s="4" t="s">
        <v>57</v>
      </c>
      <c r="BJ154" s="4">
        <v>2012</v>
      </c>
      <c r="BK154" s="4" t="s">
        <v>28</v>
      </c>
      <c r="BL154" s="5">
        <v>599</v>
      </c>
      <c r="BO154" s="4" t="s">
        <v>60</v>
      </c>
      <c r="BP154" s="4">
        <v>2012</v>
      </c>
      <c r="BQ154" s="4" t="s">
        <v>28</v>
      </c>
      <c r="BR154" s="5">
        <v>61</v>
      </c>
      <c r="BU154" s="4" t="s">
        <v>62</v>
      </c>
      <c r="BV154" s="4">
        <v>2012</v>
      </c>
      <c r="BW154" s="4" t="s">
        <v>28</v>
      </c>
      <c r="BX154" s="5">
        <v>631</v>
      </c>
      <c r="CA154" s="4" t="s">
        <v>64</v>
      </c>
      <c r="CB154" s="4">
        <v>2012</v>
      </c>
      <c r="CC154" s="4" t="s">
        <v>28</v>
      </c>
      <c r="CD154" s="5">
        <v>46</v>
      </c>
      <c r="CG154" s="4" t="s">
        <v>66</v>
      </c>
      <c r="CH154" s="4">
        <v>2012</v>
      </c>
      <c r="CI154" s="4" t="s">
        <v>28</v>
      </c>
      <c r="CJ154" s="5">
        <v>327</v>
      </c>
      <c r="CM154" s="4" t="s">
        <v>68</v>
      </c>
      <c r="CN154" s="4">
        <v>2012</v>
      </c>
      <c r="CO154" s="4" t="s">
        <v>28</v>
      </c>
      <c r="CP154" s="5">
        <v>127</v>
      </c>
      <c r="CS154" s="4" t="s">
        <v>206</v>
      </c>
      <c r="CT154" s="4">
        <v>2012</v>
      </c>
      <c r="CU154" s="4" t="s">
        <v>28</v>
      </c>
      <c r="CV154" s="5">
        <v>372</v>
      </c>
    </row>
    <row r="155" spans="1:100" x14ac:dyDescent="0.25">
      <c r="A155" s="4" t="s">
        <v>185</v>
      </c>
      <c r="B155" s="4">
        <v>2012</v>
      </c>
      <c r="C155" s="4" t="s">
        <v>29</v>
      </c>
      <c r="D155" s="5">
        <v>14</v>
      </c>
      <c r="G155" s="4" t="s">
        <v>3</v>
      </c>
      <c r="H155" s="4">
        <v>2012</v>
      </c>
      <c r="I155" s="4" t="s">
        <v>29</v>
      </c>
      <c r="J155" s="5">
        <v>104</v>
      </c>
      <c r="M155" s="4" t="s">
        <v>31</v>
      </c>
      <c r="N155" s="4">
        <v>2012</v>
      </c>
      <c r="O155" s="4" t="s">
        <v>29</v>
      </c>
      <c r="P155" s="5">
        <v>160</v>
      </c>
      <c r="S155" s="4" t="s">
        <v>33</v>
      </c>
      <c r="T155" s="4">
        <v>2012</v>
      </c>
      <c r="U155" s="4" t="s">
        <v>29</v>
      </c>
      <c r="V155" s="5">
        <v>105</v>
      </c>
      <c r="Y155" s="4" t="s">
        <v>35</v>
      </c>
      <c r="Z155" s="4">
        <v>2012</v>
      </c>
      <c r="AA155" s="4" t="s">
        <v>29</v>
      </c>
      <c r="AB155" s="5">
        <v>120</v>
      </c>
      <c r="AE155" s="4" t="s">
        <v>47</v>
      </c>
      <c r="AF155" s="4">
        <v>2012</v>
      </c>
      <c r="AG155" s="4" t="s">
        <v>29</v>
      </c>
      <c r="AH155" s="5">
        <v>479</v>
      </c>
      <c r="AK155" s="4" t="s">
        <v>49</v>
      </c>
      <c r="AL155" s="4">
        <v>2012</v>
      </c>
      <c r="AM155" s="4" t="s">
        <v>29</v>
      </c>
      <c r="AN155" s="5">
        <v>100</v>
      </c>
      <c r="AQ155" s="4" t="s">
        <v>51</v>
      </c>
      <c r="AR155" s="4">
        <v>2012</v>
      </c>
      <c r="AS155" s="4" t="s">
        <v>29</v>
      </c>
      <c r="AT155" s="5">
        <v>105</v>
      </c>
      <c r="AW155" s="4" t="s">
        <v>53</v>
      </c>
      <c r="AX155" s="4">
        <v>2012</v>
      </c>
      <c r="AY155" s="4" t="s">
        <v>29</v>
      </c>
      <c r="AZ155" s="5">
        <v>225</v>
      </c>
      <c r="BC155" s="4" t="s">
        <v>55</v>
      </c>
      <c r="BD155" s="4">
        <v>2012</v>
      </c>
      <c r="BE155" s="4" t="s">
        <v>29</v>
      </c>
      <c r="BF155" s="5">
        <v>62</v>
      </c>
      <c r="BI155" s="4" t="s">
        <v>57</v>
      </c>
      <c r="BJ155" s="4">
        <v>2012</v>
      </c>
      <c r="BK155" s="4" t="s">
        <v>29</v>
      </c>
      <c r="BL155" s="5">
        <v>709</v>
      </c>
      <c r="BO155" s="4" t="s">
        <v>60</v>
      </c>
      <c r="BP155" s="4">
        <v>2012</v>
      </c>
      <c r="BQ155" s="4" t="s">
        <v>29</v>
      </c>
      <c r="BR155" s="5">
        <v>59</v>
      </c>
      <c r="BU155" s="4" t="s">
        <v>62</v>
      </c>
      <c r="BV155" s="4">
        <v>2012</v>
      </c>
      <c r="BW155" s="4" t="s">
        <v>29</v>
      </c>
      <c r="BX155" s="5">
        <v>641</v>
      </c>
      <c r="CA155" s="4" t="s">
        <v>64</v>
      </c>
      <c r="CB155" s="4">
        <v>2012</v>
      </c>
      <c r="CC155" s="4" t="s">
        <v>29</v>
      </c>
      <c r="CD155" s="5">
        <v>48</v>
      </c>
      <c r="CG155" s="4" t="s">
        <v>66</v>
      </c>
      <c r="CH155" s="4">
        <v>2012</v>
      </c>
      <c r="CI155" s="4" t="s">
        <v>29</v>
      </c>
      <c r="CJ155" s="5">
        <v>418</v>
      </c>
      <c r="CM155" s="4" t="s">
        <v>68</v>
      </c>
      <c r="CN155" s="4">
        <v>2012</v>
      </c>
      <c r="CO155" s="4" t="s">
        <v>29</v>
      </c>
      <c r="CP155" s="5">
        <v>186</v>
      </c>
      <c r="CS155" s="4" t="s">
        <v>206</v>
      </c>
      <c r="CT155" s="4">
        <v>2012</v>
      </c>
      <c r="CU155" s="4" t="s">
        <v>29</v>
      </c>
      <c r="CV155" s="5">
        <v>362</v>
      </c>
    </row>
    <row r="156" spans="1:100" x14ac:dyDescent="0.25">
      <c r="A156" s="4" t="s">
        <v>185</v>
      </c>
      <c r="B156" s="4">
        <v>2012</v>
      </c>
      <c r="C156" s="4" t="s">
        <v>30</v>
      </c>
      <c r="D156" s="5">
        <v>16</v>
      </c>
      <c r="G156" s="4" t="s">
        <v>3</v>
      </c>
      <c r="H156" s="4">
        <v>2012</v>
      </c>
      <c r="I156" s="4" t="s">
        <v>30</v>
      </c>
      <c r="J156" s="5">
        <v>76</v>
      </c>
      <c r="M156" s="4" t="s">
        <v>31</v>
      </c>
      <c r="N156" s="4">
        <v>2012</v>
      </c>
      <c r="O156" s="4" t="s">
        <v>30</v>
      </c>
      <c r="P156" s="5">
        <v>156</v>
      </c>
      <c r="S156" s="4" t="s">
        <v>33</v>
      </c>
      <c r="T156" s="4">
        <v>2012</v>
      </c>
      <c r="U156" s="4" t="s">
        <v>30</v>
      </c>
      <c r="V156" s="5">
        <v>81</v>
      </c>
      <c r="Y156" s="4" t="s">
        <v>35</v>
      </c>
      <c r="Z156" s="4">
        <v>2012</v>
      </c>
      <c r="AA156" s="4" t="s">
        <v>30</v>
      </c>
      <c r="AB156" s="5">
        <v>122</v>
      </c>
      <c r="AE156" s="4" t="s">
        <v>47</v>
      </c>
      <c r="AF156" s="4">
        <v>2012</v>
      </c>
      <c r="AG156" s="4" t="s">
        <v>30</v>
      </c>
      <c r="AH156" s="5">
        <v>417</v>
      </c>
      <c r="AK156" s="4" t="s">
        <v>49</v>
      </c>
      <c r="AL156" s="4">
        <v>2012</v>
      </c>
      <c r="AM156" s="4" t="s">
        <v>30</v>
      </c>
      <c r="AN156" s="5">
        <v>102</v>
      </c>
      <c r="AQ156" s="4" t="s">
        <v>51</v>
      </c>
      <c r="AR156" s="4">
        <v>2012</v>
      </c>
      <c r="AS156" s="4" t="s">
        <v>30</v>
      </c>
      <c r="AT156" s="5">
        <v>101</v>
      </c>
      <c r="AW156" s="4" t="s">
        <v>53</v>
      </c>
      <c r="AX156" s="4">
        <v>2012</v>
      </c>
      <c r="AY156" s="4" t="s">
        <v>30</v>
      </c>
      <c r="AZ156" s="5">
        <v>174</v>
      </c>
      <c r="BC156" s="4" t="s">
        <v>55</v>
      </c>
      <c r="BD156" s="4">
        <v>2012</v>
      </c>
      <c r="BE156" s="4" t="s">
        <v>30</v>
      </c>
      <c r="BF156" s="5">
        <v>42</v>
      </c>
      <c r="BI156" s="4" t="s">
        <v>57</v>
      </c>
      <c r="BJ156" s="4">
        <v>2012</v>
      </c>
      <c r="BK156" s="4" t="s">
        <v>30</v>
      </c>
      <c r="BL156" s="5">
        <v>582</v>
      </c>
      <c r="BO156" s="4" t="s">
        <v>60</v>
      </c>
      <c r="BP156" s="4">
        <v>2012</v>
      </c>
      <c r="BQ156" s="4" t="s">
        <v>30</v>
      </c>
      <c r="BR156" s="5">
        <v>49</v>
      </c>
      <c r="BU156" s="4" t="s">
        <v>62</v>
      </c>
      <c r="BV156" s="4">
        <v>2012</v>
      </c>
      <c r="BW156" s="4" t="s">
        <v>30</v>
      </c>
      <c r="BX156" s="5">
        <v>600</v>
      </c>
      <c r="CA156" s="4" t="s">
        <v>64</v>
      </c>
      <c r="CB156" s="4">
        <v>2012</v>
      </c>
      <c r="CC156" s="4" t="s">
        <v>30</v>
      </c>
      <c r="CD156" s="5">
        <v>46</v>
      </c>
      <c r="CG156" s="4" t="s">
        <v>66</v>
      </c>
      <c r="CH156" s="4">
        <v>2012</v>
      </c>
      <c r="CI156" s="4" t="s">
        <v>30</v>
      </c>
      <c r="CJ156" s="5">
        <v>352</v>
      </c>
      <c r="CM156" s="4" t="s">
        <v>68</v>
      </c>
      <c r="CN156" s="4">
        <v>2012</v>
      </c>
      <c r="CO156" s="4" t="s">
        <v>30</v>
      </c>
      <c r="CP156" s="5">
        <v>114</v>
      </c>
      <c r="CS156" s="4" t="s">
        <v>206</v>
      </c>
      <c r="CT156" s="4">
        <v>2012</v>
      </c>
      <c r="CU156" s="4" t="s">
        <v>30</v>
      </c>
      <c r="CV156" s="5">
        <v>342</v>
      </c>
    </row>
    <row r="157" spans="1:100" x14ac:dyDescent="0.25">
      <c r="A157" s="4" t="s">
        <v>185</v>
      </c>
      <c r="B157" s="4">
        <v>2012</v>
      </c>
      <c r="C157" s="4" t="s">
        <v>19</v>
      </c>
      <c r="D157" s="5">
        <v>18</v>
      </c>
      <c r="G157" s="4" t="s">
        <v>3</v>
      </c>
      <c r="H157" s="4">
        <v>2012</v>
      </c>
      <c r="I157" s="4" t="s">
        <v>19</v>
      </c>
      <c r="J157" s="5">
        <v>61</v>
      </c>
      <c r="M157" s="4" t="s">
        <v>31</v>
      </c>
      <c r="N157" s="4">
        <v>2012</v>
      </c>
      <c r="O157" s="4" t="s">
        <v>19</v>
      </c>
      <c r="P157" s="5">
        <v>143</v>
      </c>
      <c r="S157" s="4" t="s">
        <v>33</v>
      </c>
      <c r="T157" s="4">
        <v>2012</v>
      </c>
      <c r="U157" s="4" t="s">
        <v>19</v>
      </c>
      <c r="V157" s="5">
        <v>71</v>
      </c>
      <c r="Y157" s="4" t="s">
        <v>35</v>
      </c>
      <c r="Z157" s="4">
        <v>2012</v>
      </c>
      <c r="AA157" s="4" t="s">
        <v>19</v>
      </c>
      <c r="AB157" s="5">
        <v>105</v>
      </c>
      <c r="AE157" s="4" t="s">
        <v>47</v>
      </c>
      <c r="AF157" s="4">
        <v>2012</v>
      </c>
      <c r="AG157" s="4" t="s">
        <v>19</v>
      </c>
      <c r="AH157" s="5">
        <v>332</v>
      </c>
      <c r="AK157" s="4" t="s">
        <v>49</v>
      </c>
      <c r="AL157" s="4">
        <v>2012</v>
      </c>
      <c r="AM157" s="4" t="s">
        <v>19</v>
      </c>
      <c r="AN157" s="5">
        <v>125</v>
      </c>
      <c r="AQ157" s="4" t="s">
        <v>51</v>
      </c>
      <c r="AR157" s="4">
        <v>2012</v>
      </c>
      <c r="AS157" s="4" t="s">
        <v>19</v>
      </c>
      <c r="AT157" s="5">
        <v>80</v>
      </c>
      <c r="AW157" s="4" t="s">
        <v>53</v>
      </c>
      <c r="AX157" s="4">
        <v>2012</v>
      </c>
      <c r="AY157" s="4" t="s">
        <v>19</v>
      </c>
      <c r="AZ157" s="5">
        <v>170</v>
      </c>
      <c r="BC157" s="4" t="s">
        <v>55</v>
      </c>
      <c r="BD157" s="4">
        <v>2012</v>
      </c>
      <c r="BE157" s="4" t="s">
        <v>19</v>
      </c>
      <c r="BF157" s="5">
        <v>63</v>
      </c>
      <c r="BI157" s="4" t="s">
        <v>57</v>
      </c>
      <c r="BJ157" s="4">
        <v>2012</v>
      </c>
      <c r="BK157" s="4" t="s">
        <v>19</v>
      </c>
      <c r="BL157" s="5">
        <v>505</v>
      </c>
      <c r="BO157" s="4" t="s">
        <v>60</v>
      </c>
      <c r="BP157" s="4">
        <v>2012</v>
      </c>
      <c r="BQ157" s="4" t="s">
        <v>19</v>
      </c>
      <c r="BR157" s="5">
        <v>61</v>
      </c>
      <c r="BU157" s="4" t="s">
        <v>62</v>
      </c>
      <c r="BV157" s="4">
        <v>2012</v>
      </c>
      <c r="BW157" s="4" t="s">
        <v>19</v>
      </c>
      <c r="BX157" s="5">
        <v>569</v>
      </c>
      <c r="CA157" s="4" t="s">
        <v>64</v>
      </c>
      <c r="CB157" s="4">
        <v>2012</v>
      </c>
      <c r="CC157" s="4" t="s">
        <v>19</v>
      </c>
      <c r="CD157" s="5">
        <v>39</v>
      </c>
      <c r="CG157" s="4" t="s">
        <v>66</v>
      </c>
      <c r="CH157" s="4">
        <v>2012</v>
      </c>
      <c r="CI157" s="4" t="s">
        <v>19</v>
      </c>
      <c r="CJ157" s="5">
        <v>301</v>
      </c>
      <c r="CM157" s="4" t="s">
        <v>68</v>
      </c>
      <c r="CN157" s="4">
        <v>2012</v>
      </c>
      <c r="CO157" s="4" t="s">
        <v>19</v>
      </c>
      <c r="CP157" s="5">
        <v>103</v>
      </c>
      <c r="CS157" s="4" t="s">
        <v>206</v>
      </c>
      <c r="CT157" s="4">
        <v>2012</v>
      </c>
      <c r="CU157" s="4" t="s">
        <v>19</v>
      </c>
      <c r="CV157" s="5">
        <v>357</v>
      </c>
    </row>
    <row r="158" spans="1:100" x14ac:dyDescent="0.25">
      <c r="A158" s="4" t="s">
        <v>185</v>
      </c>
      <c r="B158" s="4">
        <v>2013</v>
      </c>
      <c r="C158" s="4" t="s">
        <v>20</v>
      </c>
      <c r="D158" s="5">
        <v>20</v>
      </c>
      <c r="G158" s="4" t="s">
        <v>3</v>
      </c>
      <c r="H158" s="4">
        <v>2013</v>
      </c>
      <c r="I158" s="4" t="s">
        <v>20</v>
      </c>
      <c r="J158" s="5">
        <v>100</v>
      </c>
      <c r="M158" s="4" t="s">
        <v>31</v>
      </c>
      <c r="N158" s="4">
        <v>2013</v>
      </c>
      <c r="O158" s="4" t="s">
        <v>20</v>
      </c>
      <c r="P158" s="5">
        <v>158</v>
      </c>
      <c r="S158" s="4" t="s">
        <v>33</v>
      </c>
      <c r="T158" s="4">
        <v>2013</v>
      </c>
      <c r="U158" s="4" t="s">
        <v>20</v>
      </c>
      <c r="V158" s="5">
        <v>91</v>
      </c>
      <c r="Y158" s="4" t="s">
        <v>35</v>
      </c>
      <c r="Z158" s="4">
        <v>2013</v>
      </c>
      <c r="AA158" s="4" t="s">
        <v>20</v>
      </c>
      <c r="AB158" s="5">
        <v>150</v>
      </c>
      <c r="AE158" s="4" t="s">
        <v>47</v>
      </c>
      <c r="AF158" s="4">
        <v>2013</v>
      </c>
      <c r="AG158" s="4" t="s">
        <v>20</v>
      </c>
      <c r="AH158" s="5">
        <v>372</v>
      </c>
      <c r="AK158" s="4" t="s">
        <v>49</v>
      </c>
      <c r="AL158" s="4">
        <v>2013</v>
      </c>
      <c r="AM158" s="4" t="s">
        <v>20</v>
      </c>
      <c r="AN158" s="5">
        <v>130</v>
      </c>
      <c r="AQ158" s="4" t="s">
        <v>51</v>
      </c>
      <c r="AR158" s="4">
        <v>2013</v>
      </c>
      <c r="AS158" s="4" t="s">
        <v>20</v>
      </c>
      <c r="AT158" s="5">
        <v>94</v>
      </c>
      <c r="AW158" s="4" t="s">
        <v>53</v>
      </c>
      <c r="AX158" s="4">
        <v>2013</v>
      </c>
      <c r="AY158" s="4" t="s">
        <v>20</v>
      </c>
      <c r="AZ158" s="5">
        <v>179</v>
      </c>
      <c r="BC158" s="4" t="s">
        <v>55</v>
      </c>
      <c r="BD158" s="4">
        <v>2013</v>
      </c>
      <c r="BE158" s="4" t="s">
        <v>20</v>
      </c>
      <c r="BF158" s="5">
        <v>76</v>
      </c>
      <c r="BI158" s="4" t="s">
        <v>57</v>
      </c>
      <c r="BJ158" s="4">
        <v>2013</v>
      </c>
      <c r="BK158" s="4" t="s">
        <v>20</v>
      </c>
      <c r="BL158" s="5">
        <v>800</v>
      </c>
      <c r="BO158" s="4" t="s">
        <v>60</v>
      </c>
      <c r="BP158" s="4">
        <v>2013</v>
      </c>
      <c r="BQ158" s="4" t="s">
        <v>20</v>
      </c>
      <c r="BR158" s="5">
        <v>54</v>
      </c>
      <c r="BU158" s="4" t="s">
        <v>62</v>
      </c>
      <c r="BV158" s="4">
        <v>2013</v>
      </c>
      <c r="BW158" s="4" t="s">
        <v>20</v>
      </c>
      <c r="BX158" s="5">
        <v>566</v>
      </c>
      <c r="CA158" s="4" t="s">
        <v>64</v>
      </c>
      <c r="CB158" s="4">
        <v>2013</v>
      </c>
      <c r="CC158" s="4" t="s">
        <v>20</v>
      </c>
      <c r="CD158" s="5">
        <v>43</v>
      </c>
      <c r="CG158" s="4" t="s">
        <v>66</v>
      </c>
      <c r="CH158" s="4">
        <v>2013</v>
      </c>
      <c r="CI158" s="4" t="s">
        <v>20</v>
      </c>
      <c r="CJ158" s="5">
        <v>349</v>
      </c>
      <c r="CM158" s="4" t="s">
        <v>68</v>
      </c>
      <c r="CN158" s="4">
        <v>2013</v>
      </c>
      <c r="CO158" s="4" t="s">
        <v>20</v>
      </c>
      <c r="CP158" s="5">
        <v>187</v>
      </c>
      <c r="CS158" s="4" t="s">
        <v>206</v>
      </c>
      <c r="CT158" s="4">
        <v>2013</v>
      </c>
      <c r="CU158" s="4" t="s">
        <v>20</v>
      </c>
      <c r="CV158" s="5">
        <v>384</v>
      </c>
    </row>
    <row r="159" spans="1:100" x14ac:dyDescent="0.25">
      <c r="A159" s="4" t="s">
        <v>185</v>
      </c>
      <c r="B159" s="4">
        <v>2013</v>
      </c>
      <c r="C159" s="4" t="s">
        <v>21</v>
      </c>
      <c r="D159" s="5">
        <v>24</v>
      </c>
      <c r="G159" s="4" t="s">
        <v>3</v>
      </c>
      <c r="H159" s="4">
        <v>2013</v>
      </c>
      <c r="I159" s="4" t="s">
        <v>21</v>
      </c>
      <c r="J159" s="5">
        <v>110</v>
      </c>
      <c r="M159" s="4" t="s">
        <v>31</v>
      </c>
      <c r="N159" s="4">
        <v>2013</v>
      </c>
      <c r="O159" s="4" t="s">
        <v>21</v>
      </c>
      <c r="P159" s="5">
        <v>172</v>
      </c>
      <c r="S159" s="4" t="s">
        <v>33</v>
      </c>
      <c r="T159" s="4">
        <v>2013</v>
      </c>
      <c r="U159" s="4" t="s">
        <v>21</v>
      </c>
      <c r="V159" s="5">
        <v>97</v>
      </c>
      <c r="Y159" s="4" t="s">
        <v>35</v>
      </c>
      <c r="Z159" s="4">
        <v>2013</v>
      </c>
      <c r="AA159" s="4" t="s">
        <v>21</v>
      </c>
      <c r="AB159" s="5">
        <v>108</v>
      </c>
      <c r="AE159" s="4" t="s">
        <v>47</v>
      </c>
      <c r="AF159" s="4">
        <v>2013</v>
      </c>
      <c r="AG159" s="4" t="s">
        <v>21</v>
      </c>
      <c r="AH159" s="5">
        <v>332</v>
      </c>
      <c r="AK159" s="4" t="s">
        <v>49</v>
      </c>
      <c r="AL159" s="4">
        <v>2013</v>
      </c>
      <c r="AM159" s="4" t="s">
        <v>21</v>
      </c>
      <c r="AN159" s="5">
        <v>139</v>
      </c>
      <c r="AQ159" s="4" t="s">
        <v>51</v>
      </c>
      <c r="AR159" s="4">
        <v>2013</v>
      </c>
      <c r="AS159" s="4" t="s">
        <v>21</v>
      </c>
      <c r="AT159" s="5">
        <v>89</v>
      </c>
      <c r="AW159" s="4" t="s">
        <v>53</v>
      </c>
      <c r="AX159" s="4">
        <v>2013</v>
      </c>
      <c r="AY159" s="4" t="s">
        <v>21</v>
      </c>
      <c r="AZ159" s="5">
        <v>231</v>
      </c>
      <c r="BC159" s="4" t="s">
        <v>55</v>
      </c>
      <c r="BD159" s="4">
        <v>2013</v>
      </c>
      <c r="BE159" s="4" t="s">
        <v>21</v>
      </c>
      <c r="BF159" s="5">
        <v>65</v>
      </c>
      <c r="BI159" s="4" t="s">
        <v>57</v>
      </c>
      <c r="BJ159" s="4">
        <v>2013</v>
      </c>
      <c r="BK159" s="4" t="s">
        <v>21</v>
      </c>
      <c r="BL159" s="5">
        <v>691</v>
      </c>
      <c r="BO159" s="4" t="s">
        <v>60</v>
      </c>
      <c r="BP159" s="4">
        <v>2013</v>
      </c>
      <c r="BQ159" s="4" t="s">
        <v>21</v>
      </c>
      <c r="BR159" s="5">
        <v>56</v>
      </c>
      <c r="BU159" s="4" t="s">
        <v>62</v>
      </c>
      <c r="BV159" s="4">
        <v>2013</v>
      </c>
      <c r="BW159" s="4" t="s">
        <v>21</v>
      </c>
      <c r="BX159" s="5">
        <v>595</v>
      </c>
      <c r="CA159" s="4" t="s">
        <v>64</v>
      </c>
      <c r="CB159" s="4">
        <v>2013</v>
      </c>
      <c r="CC159" s="4" t="s">
        <v>21</v>
      </c>
      <c r="CD159" s="5">
        <v>51</v>
      </c>
      <c r="CG159" s="4" t="s">
        <v>66</v>
      </c>
      <c r="CH159" s="4">
        <v>2013</v>
      </c>
      <c r="CI159" s="4" t="s">
        <v>21</v>
      </c>
      <c r="CJ159" s="5">
        <v>408</v>
      </c>
      <c r="CM159" s="4" t="s">
        <v>68</v>
      </c>
      <c r="CN159" s="4">
        <v>2013</v>
      </c>
      <c r="CO159" s="4" t="s">
        <v>21</v>
      </c>
      <c r="CP159" s="5">
        <v>116</v>
      </c>
      <c r="CS159" s="4" t="s">
        <v>206</v>
      </c>
      <c r="CT159" s="4">
        <v>2013</v>
      </c>
      <c r="CU159" s="4" t="s">
        <v>21</v>
      </c>
      <c r="CV159" s="5">
        <v>405</v>
      </c>
    </row>
    <row r="160" spans="1:100" x14ac:dyDescent="0.25">
      <c r="A160" s="4" t="s">
        <v>185</v>
      </c>
      <c r="B160" s="4">
        <v>2013</v>
      </c>
      <c r="C160" s="4" t="s">
        <v>22</v>
      </c>
      <c r="D160" s="5">
        <v>14</v>
      </c>
      <c r="G160" s="4" t="s">
        <v>3</v>
      </c>
      <c r="H160" s="4">
        <v>2013</v>
      </c>
      <c r="I160" s="4" t="s">
        <v>22</v>
      </c>
      <c r="J160" s="5">
        <v>109</v>
      </c>
      <c r="M160" s="4" t="s">
        <v>31</v>
      </c>
      <c r="N160" s="4">
        <v>2013</v>
      </c>
      <c r="O160" s="4" t="s">
        <v>22</v>
      </c>
      <c r="P160" s="5">
        <v>198</v>
      </c>
      <c r="S160" s="4" t="s">
        <v>33</v>
      </c>
      <c r="T160" s="4">
        <v>2013</v>
      </c>
      <c r="U160" s="4" t="s">
        <v>22</v>
      </c>
      <c r="V160" s="5">
        <v>83</v>
      </c>
      <c r="Y160" s="4" t="s">
        <v>35</v>
      </c>
      <c r="Z160" s="4">
        <v>2013</v>
      </c>
      <c r="AA160" s="4" t="s">
        <v>22</v>
      </c>
      <c r="AB160" s="5">
        <v>134</v>
      </c>
      <c r="AE160" s="4" t="s">
        <v>47</v>
      </c>
      <c r="AF160" s="4">
        <v>2013</v>
      </c>
      <c r="AG160" s="4" t="s">
        <v>22</v>
      </c>
      <c r="AH160" s="5">
        <v>396</v>
      </c>
      <c r="AK160" s="4" t="s">
        <v>49</v>
      </c>
      <c r="AL160" s="4">
        <v>2013</v>
      </c>
      <c r="AM160" s="4" t="s">
        <v>22</v>
      </c>
      <c r="AN160" s="5">
        <v>115</v>
      </c>
      <c r="AQ160" s="4" t="s">
        <v>51</v>
      </c>
      <c r="AR160" s="4">
        <v>2013</v>
      </c>
      <c r="AS160" s="4" t="s">
        <v>22</v>
      </c>
      <c r="AT160" s="5">
        <v>88</v>
      </c>
      <c r="AW160" s="4" t="s">
        <v>53</v>
      </c>
      <c r="AX160" s="4">
        <v>2013</v>
      </c>
      <c r="AY160" s="4" t="s">
        <v>22</v>
      </c>
      <c r="AZ160" s="5">
        <v>228</v>
      </c>
      <c r="BC160" s="4" t="s">
        <v>55</v>
      </c>
      <c r="BD160" s="4">
        <v>2013</v>
      </c>
      <c r="BE160" s="4" t="s">
        <v>22</v>
      </c>
      <c r="BF160" s="5">
        <v>45</v>
      </c>
      <c r="BI160" s="4" t="s">
        <v>57</v>
      </c>
      <c r="BJ160" s="4">
        <v>2013</v>
      </c>
      <c r="BK160" s="4" t="s">
        <v>22</v>
      </c>
      <c r="BL160" s="5">
        <v>689</v>
      </c>
      <c r="BO160" s="4" t="s">
        <v>60</v>
      </c>
      <c r="BP160" s="4">
        <v>2013</v>
      </c>
      <c r="BQ160" s="4" t="s">
        <v>22</v>
      </c>
      <c r="BR160" s="5">
        <v>64</v>
      </c>
      <c r="BU160" s="4" t="s">
        <v>62</v>
      </c>
      <c r="BV160" s="4">
        <v>2013</v>
      </c>
      <c r="BW160" s="4" t="s">
        <v>22</v>
      </c>
      <c r="BX160" s="5">
        <v>631</v>
      </c>
      <c r="CA160" s="4" t="s">
        <v>64</v>
      </c>
      <c r="CB160" s="4">
        <v>2013</v>
      </c>
      <c r="CC160" s="4" t="s">
        <v>22</v>
      </c>
      <c r="CD160" s="5">
        <v>67</v>
      </c>
      <c r="CG160" s="4" t="s">
        <v>66</v>
      </c>
      <c r="CH160" s="4">
        <v>2013</v>
      </c>
      <c r="CI160" s="4" t="s">
        <v>22</v>
      </c>
      <c r="CJ160" s="5">
        <v>486</v>
      </c>
      <c r="CM160" s="4" t="s">
        <v>68</v>
      </c>
      <c r="CN160" s="4">
        <v>2013</v>
      </c>
      <c r="CO160" s="4" t="s">
        <v>22</v>
      </c>
      <c r="CP160" s="5">
        <v>166</v>
      </c>
      <c r="CS160" s="4" t="s">
        <v>206</v>
      </c>
      <c r="CT160" s="4">
        <v>2013</v>
      </c>
      <c r="CU160" s="4" t="s">
        <v>22</v>
      </c>
      <c r="CV160" s="5">
        <v>398</v>
      </c>
    </row>
    <row r="161" spans="1:100" x14ac:dyDescent="0.25">
      <c r="A161" s="4" t="s">
        <v>185</v>
      </c>
      <c r="B161" s="4">
        <v>2013</v>
      </c>
      <c r="C161" s="4" t="s">
        <v>23</v>
      </c>
      <c r="D161" s="5">
        <v>22</v>
      </c>
      <c r="G161" s="4" t="s">
        <v>3</v>
      </c>
      <c r="H161" s="4">
        <v>2013</v>
      </c>
      <c r="I161" s="4" t="s">
        <v>23</v>
      </c>
      <c r="J161" s="5">
        <v>124</v>
      </c>
      <c r="M161" s="4" t="s">
        <v>31</v>
      </c>
      <c r="N161" s="4">
        <v>2013</v>
      </c>
      <c r="O161" s="4" t="s">
        <v>23</v>
      </c>
      <c r="P161" s="5">
        <v>164</v>
      </c>
      <c r="S161" s="4" t="s">
        <v>33</v>
      </c>
      <c r="T161" s="4">
        <v>2013</v>
      </c>
      <c r="U161" s="4" t="s">
        <v>23</v>
      </c>
      <c r="V161" s="5">
        <v>91</v>
      </c>
      <c r="Y161" s="4" t="s">
        <v>35</v>
      </c>
      <c r="Z161" s="4">
        <v>2013</v>
      </c>
      <c r="AA161" s="4" t="s">
        <v>23</v>
      </c>
      <c r="AB161" s="5">
        <v>134</v>
      </c>
      <c r="AE161" s="4" t="s">
        <v>47</v>
      </c>
      <c r="AF161" s="4">
        <v>2013</v>
      </c>
      <c r="AG161" s="4" t="s">
        <v>23</v>
      </c>
      <c r="AH161" s="5">
        <v>467</v>
      </c>
      <c r="AK161" s="4" t="s">
        <v>49</v>
      </c>
      <c r="AL161" s="4">
        <v>2013</v>
      </c>
      <c r="AM161" s="4" t="s">
        <v>23</v>
      </c>
      <c r="AN161" s="5">
        <v>139</v>
      </c>
      <c r="AQ161" s="4" t="s">
        <v>51</v>
      </c>
      <c r="AR161" s="4">
        <v>2013</v>
      </c>
      <c r="AS161" s="4" t="s">
        <v>23</v>
      </c>
      <c r="AT161" s="5">
        <v>80</v>
      </c>
      <c r="AW161" s="4" t="s">
        <v>53</v>
      </c>
      <c r="AX161" s="4">
        <v>2013</v>
      </c>
      <c r="AY161" s="4" t="s">
        <v>23</v>
      </c>
      <c r="AZ161" s="5">
        <v>228</v>
      </c>
      <c r="BC161" s="4" t="s">
        <v>55</v>
      </c>
      <c r="BD161" s="4">
        <v>2013</v>
      </c>
      <c r="BE161" s="4" t="s">
        <v>23</v>
      </c>
      <c r="BF161" s="5">
        <v>58</v>
      </c>
      <c r="BI161" s="4" t="s">
        <v>57</v>
      </c>
      <c r="BJ161" s="4">
        <v>2013</v>
      </c>
      <c r="BK161" s="4" t="s">
        <v>23</v>
      </c>
      <c r="BL161" s="5">
        <v>780</v>
      </c>
      <c r="BO161" s="4" t="s">
        <v>60</v>
      </c>
      <c r="BP161" s="4">
        <v>2013</v>
      </c>
      <c r="BQ161" s="4" t="s">
        <v>23</v>
      </c>
      <c r="BR161" s="5">
        <v>69</v>
      </c>
      <c r="BU161" s="4" t="s">
        <v>62</v>
      </c>
      <c r="BV161" s="4">
        <v>2013</v>
      </c>
      <c r="BW161" s="4" t="s">
        <v>23</v>
      </c>
      <c r="BX161" s="5">
        <v>638</v>
      </c>
      <c r="CA161" s="4" t="s">
        <v>64</v>
      </c>
      <c r="CB161" s="4">
        <v>2013</v>
      </c>
      <c r="CC161" s="4" t="s">
        <v>23</v>
      </c>
      <c r="CD161" s="5">
        <v>73</v>
      </c>
      <c r="CG161" s="4" t="s">
        <v>66</v>
      </c>
      <c r="CH161" s="4">
        <v>2013</v>
      </c>
      <c r="CI161" s="4" t="s">
        <v>23</v>
      </c>
      <c r="CJ161" s="5">
        <v>502</v>
      </c>
      <c r="CM161" s="4" t="s">
        <v>68</v>
      </c>
      <c r="CN161" s="4">
        <v>2013</v>
      </c>
      <c r="CO161" s="4" t="s">
        <v>23</v>
      </c>
      <c r="CP161" s="5">
        <v>151</v>
      </c>
      <c r="CS161" s="4" t="s">
        <v>206</v>
      </c>
      <c r="CT161" s="4">
        <v>2013</v>
      </c>
      <c r="CU161" s="4" t="s">
        <v>23</v>
      </c>
      <c r="CV161" s="5">
        <v>411</v>
      </c>
    </row>
    <row r="162" spans="1:100" x14ac:dyDescent="0.25">
      <c r="A162" s="4" t="s">
        <v>185</v>
      </c>
      <c r="B162" s="4">
        <v>2013</v>
      </c>
      <c r="C162" s="4" t="s">
        <v>24</v>
      </c>
      <c r="D162" s="5">
        <v>22</v>
      </c>
      <c r="G162" s="4" t="s">
        <v>3</v>
      </c>
      <c r="H162" s="4">
        <v>2013</v>
      </c>
      <c r="I162" s="4" t="s">
        <v>24</v>
      </c>
      <c r="J162" s="5">
        <v>112</v>
      </c>
      <c r="M162" s="4" t="s">
        <v>31</v>
      </c>
      <c r="N162" s="4">
        <v>2013</v>
      </c>
      <c r="O162" s="4" t="s">
        <v>24</v>
      </c>
      <c r="P162" s="5">
        <v>147</v>
      </c>
      <c r="S162" s="4" t="s">
        <v>33</v>
      </c>
      <c r="T162" s="4">
        <v>2013</v>
      </c>
      <c r="U162" s="4" t="s">
        <v>24</v>
      </c>
      <c r="V162" s="5">
        <v>94</v>
      </c>
      <c r="Y162" s="4" t="s">
        <v>35</v>
      </c>
      <c r="Z162" s="4">
        <v>2013</v>
      </c>
      <c r="AA162" s="4" t="s">
        <v>24</v>
      </c>
      <c r="AB162" s="5">
        <v>117</v>
      </c>
      <c r="AE162" s="4" t="s">
        <v>47</v>
      </c>
      <c r="AF162" s="4">
        <v>2013</v>
      </c>
      <c r="AG162" s="4" t="s">
        <v>24</v>
      </c>
      <c r="AH162" s="5">
        <v>513</v>
      </c>
      <c r="AK162" s="4" t="s">
        <v>49</v>
      </c>
      <c r="AL162" s="4">
        <v>2013</v>
      </c>
      <c r="AM162" s="4" t="s">
        <v>24</v>
      </c>
      <c r="AN162" s="5">
        <v>154</v>
      </c>
      <c r="AQ162" s="4" t="s">
        <v>51</v>
      </c>
      <c r="AR162" s="4">
        <v>2013</v>
      </c>
      <c r="AS162" s="4" t="s">
        <v>24</v>
      </c>
      <c r="AT162" s="5">
        <v>97</v>
      </c>
      <c r="AW162" s="4" t="s">
        <v>53</v>
      </c>
      <c r="AX162" s="4">
        <v>2013</v>
      </c>
      <c r="AY162" s="4" t="s">
        <v>24</v>
      </c>
      <c r="AZ162" s="5">
        <v>220</v>
      </c>
      <c r="BC162" s="4" t="s">
        <v>55</v>
      </c>
      <c r="BD162" s="4">
        <v>2013</v>
      </c>
      <c r="BE162" s="4" t="s">
        <v>24</v>
      </c>
      <c r="BF162" s="5">
        <v>85</v>
      </c>
      <c r="BI162" s="4" t="s">
        <v>57</v>
      </c>
      <c r="BJ162" s="4">
        <v>2013</v>
      </c>
      <c r="BK162" s="4" t="s">
        <v>24</v>
      </c>
      <c r="BL162" s="5">
        <v>608</v>
      </c>
      <c r="BO162" s="4" t="s">
        <v>60</v>
      </c>
      <c r="BP162" s="4">
        <v>2013</v>
      </c>
      <c r="BQ162" s="4" t="s">
        <v>24</v>
      </c>
      <c r="BR162" s="5">
        <v>58</v>
      </c>
      <c r="BU162" s="4" t="s">
        <v>62</v>
      </c>
      <c r="BV162" s="4">
        <v>2013</v>
      </c>
      <c r="BW162" s="4" t="s">
        <v>24</v>
      </c>
      <c r="BX162" s="5">
        <v>603</v>
      </c>
      <c r="CA162" s="4" t="s">
        <v>64</v>
      </c>
      <c r="CB162" s="4">
        <v>2013</v>
      </c>
      <c r="CC162" s="4" t="s">
        <v>24</v>
      </c>
      <c r="CD162" s="5">
        <v>79</v>
      </c>
      <c r="CG162" s="4" t="s">
        <v>66</v>
      </c>
      <c r="CH162" s="4">
        <v>2013</v>
      </c>
      <c r="CI162" s="4" t="s">
        <v>24</v>
      </c>
      <c r="CJ162" s="5">
        <v>430</v>
      </c>
      <c r="CM162" s="4" t="s">
        <v>68</v>
      </c>
      <c r="CN162" s="4">
        <v>2013</v>
      </c>
      <c r="CO162" s="4" t="s">
        <v>24</v>
      </c>
      <c r="CP162" s="5">
        <v>148</v>
      </c>
      <c r="CS162" s="4" t="s">
        <v>206</v>
      </c>
      <c r="CT162" s="4">
        <v>2013</v>
      </c>
      <c r="CU162" s="4" t="s">
        <v>24</v>
      </c>
      <c r="CV162" s="5">
        <v>441</v>
      </c>
    </row>
    <row r="163" spans="1:100" x14ac:dyDescent="0.25">
      <c r="A163" s="4" t="s">
        <v>185</v>
      </c>
      <c r="B163" s="4">
        <v>2013</v>
      </c>
      <c r="C163" s="4" t="s">
        <v>25</v>
      </c>
      <c r="D163" s="5">
        <v>24</v>
      </c>
      <c r="G163" s="4" t="s">
        <v>3</v>
      </c>
      <c r="H163" s="4">
        <v>2013</v>
      </c>
      <c r="I163" s="4" t="s">
        <v>25</v>
      </c>
      <c r="J163" s="5">
        <v>132</v>
      </c>
      <c r="M163" s="4" t="s">
        <v>31</v>
      </c>
      <c r="N163" s="4">
        <v>2013</v>
      </c>
      <c r="O163" s="4" t="s">
        <v>25</v>
      </c>
      <c r="P163" s="5">
        <v>145</v>
      </c>
      <c r="S163" s="4" t="s">
        <v>33</v>
      </c>
      <c r="T163" s="4">
        <v>2013</v>
      </c>
      <c r="U163" s="4" t="s">
        <v>25</v>
      </c>
      <c r="V163" s="5">
        <v>68</v>
      </c>
      <c r="Y163" s="4" t="s">
        <v>35</v>
      </c>
      <c r="Z163" s="4">
        <v>2013</v>
      </c>
      <c r="AA163" s="4" t="s">
        <v>25</v>
      </c>
      <c r="AB163" s="5">
        <v>97</v>
      </c>
      <c r="AE163" s="4" t="s">
        <v>47</v>
      </c>
      <c r="AF163" s="4">
        <v>2013</v>
      </c>
      <c r="AG163" s="4" t="s">
        <v>25</v>
      </c>
      <c r="AH163" s="5">
        <v>470</v>
      </c>
      <c r="AK163" s="4" t="s">
        <v>49</v>
      </c>
      <c r="AL163" s="4">
        <v>2013</v>
      </c>
      <c r="AM163" s="4" t="s">
        <v>25</v>
      </c>
      <c r="AN163" s="5">
        <v>127</v>
      </c>
      <c r="AQ163" s="4" t="s">
        <v>51</v>
      </c>
      <c r="AR163" s="4">
        <v>2013</v>
      </c>
      <c r="AS163" s="4" t="s">
        <v>25</v>
      </c>
      <c r="AT163" s="5">
        <v>94</v>
      </c>
      <c r="AW163" s="4" t="s">
        <v>53</v>
      </c>
      <c r="AX163" s="4">
        <v>2013</v>
      </c>
      <c r="AY163" s="4" t="s">
        <v>25</v>
      </c>
      <c r="AZ163" s="5">
        <v>243</v>
      </c>
      <c r="BC163" s="4" t="s">
        <v>55</v>
      </c>
      <c r="BD163" s="4">
        <v>2013</v>
      </c>
      <c r="BE163" s="4" t="s">
        <v>25</v>
      </c>
      <c r="BF163" s="5">
        <v>79</v>
      </c>
      <c r="BI163" s="4" t="s">
        <v>57</v>
      </c>
      <c r="BJ163" s="4">
        <v>2013</v>
      </c>
      <c r="BK163" s="4" t="s">
        <v>25</v>
      </c>
      <c r="BL163" s="5">
        <v>676</v>
      </c>
      <c r="BO163" s="4" t="s">
        <v>60</v>
      </c>
      <c r="BP163" s="4">
        <v>2013</v>
      </c>
      <c r="BQ163" s="4" t="s">
        <v>25</v>
      </c>
      <c r="BR163" s="5">
        <v>67</v>
      </c>
      <c r="BU163" s="4" t="s">
        <v>62</v>
      </c>
      <c r="BV163" s="4">
        <v>2013</v>
      </c>
      <c r="BW163" s="4" t="s">
        <v>25</v>
      </c>
      <c r="BX163" s="5">
        <v>577</v>
      </c>
      <c r="CA163" s="4" t="s">
        <v>64</v>
      </c>
      <c r="CB163" s="4">
        <v>2013</v>
      </c>
      <c r="CC163" s="4" t="s">
        <v>25</v>
      </c>
      <c r="CD163" s="5">
        <v>47</v>
      </c>
      <c r="CG163" s="4" t="s">
        <v>66</v>
      </c>
      <c r="CH163" s="4">
        <v>2013</v>
      </c>
      <c r="CI163" s="4" t="s">
        <v>25</v>
      </c>
      <c r="CJ163" s="5">
        <v>464</v>
      </c>
      <c r="CM163" s="4" t="s">
        <v>68</v>
      </c>
      <c r="CN163" s="4">
        <v>2013</v>
      </c>
      <c r="CO163" s="4" t="s">
        <v>25</v>
      </c>
      <c r="CP163" s="5">
        <v>143</v>
      </c>
      <c r="CS163" s="4" t="s">
        <v>206</v>
      </c>
      <c r="CT163" s="4">
        <v>2013</v>
      </c>
      <c r="CU163" s="4" t="s">
        <v>25</v>
      </c>
      <c r="CV163" s="5">
        <v>440</v>
      </c>
    </row>
    <row r="164" spans="1:100" x14ac:dyDescent="0.25">
      <c r="A164" s="4" t="s">
        <v>185</v>
      </c>
      <c r="B164" s="4">
        <v>2013</v>
      </c>
      <c r="C164" s="4" t="s">
        <v>26</v>
      </c>
      <c r="D164" s="5">
        <v>26</v>
      </c>
      <c r="G164" s="4" t="s">
        <v>3</v>
      </c>
      <c r="H164" s="4">
        <v>2013</v>
      </c>
      <c r="I164" s="4" t="s">
        <v>26</v>
      </c>
      <c r="J164" s="5">
        <v>105</v>
      </c>
      <c r="M164" s="4" t="s">
        <v>31</v>
      </c>
      <c r="N164" s="4">
        <v>2013</v>
      </c>
      <c r="O164" s="4" t="s">
        <v>26</v>
      </c>
      <c r="P164" s="5">
        <v>156</v>
      </c>
      <c r="S164" s="4" t="s">
        <v>33</v>
      </c>
      <c r="T164" s="4">
        <v>2013</v>
      </c>
      <c r="U164" s="4" t="s">
        <v>26</v>
      </c>
      <c r="V164" s="5">
        <v>101</v>
      </c>
      <c r="Y164" s="4" t="s">
        <v>35</v>
      </c>
      <c r="Z164" s="4">
        <v>2013</v>
      </c>
      <c r="AA164" s="4" t="s">
        <v>26</v>
      </c>
      <c r="AB164" s="5">
        <v>135</v>
      </c>
      <c r="AE164" s="4" t="s">
        <v>47</v>
      </c>
      <c r="AF164" s="4">
        <v>2013</v>
      </c>
      <c r="AG164" s="4" t="s">
        <v>26</v>
      </c>
      <c r="AH164" s="5">
        <v>447</v>
      </c>
      <c r="AK164" s="4" t="s">
        <v>49</v>
      </c>
      <c r="AL164" s="4">
        <v>2013</v>
      </c>
      <c r="AM164" s="4" t="s">
        <v>26</v>
      </c>
      <c r="AN164" s="5">
        <v>126</v>
      </c>
      <c r="AQ164" s="4" t="s">
        <v>51</v>
      </c>
      <c r="AR164" s="4">
        <v>2013</v>
      </c>
      <c r="AS164" s="4" t="s">
        <v>26</v>
      </c>
      <c r="AT164" s="5">
        <v>92</v>
      </c>
      <c r="AW164" s="4" t="s">
        <v>53</v>
      </c>
      <c r="AX164" s="4">
        <v>2013</v>
      </c>
      <c r="AY164" s="4" t="s">
        <v>26</v>
      </c>
      <c r="AZ164" s="5">
        <v>272</v>
      </c>
      <c r="BC164" s="4" t="s">
        <v>55</v>
      </c>
      <c r="BD164" s="4">
        <v>2013</v>
      </c>
      <c r="BE164" s="4" t="s">
        <v>26</v>
      </c>
      <c r="BF164" s="5">
        <v>50</v>
      </c>
      <c r="BI164" s="4" t="s">
        <v>57</v>
      </c>
      <c r="BJ164" s="4">
        <v>2013</v>
      </c>
      <c r="BK164" s="4" t="s">
        <v>26</v>
      </c>
      <c r="BL164" s="5">
        <v>688</v>
      </c>
      <c r="BO164" s="4" t="s">
        <v>60</v>
      </c>
      <c r="BP164" s="4">
        <v>2013</v>
      </c>
      <c r="BQ164" s="4" t="s">
        <v>26</v>
      </c>
      <c r="BR164" s="5">
        <v>70</v>
      </c>
      <c r="BU164" s="4" t="s">
        <v>62</v>
      </c>
      <c r="BV164" s="4">
        <v>2013</v>
      </c>
      <c r="BW164" s="4" t="s">
        <v>26</v>
      </c>
      <c r="BX164" s="5">
        <v>634</v>
      </c>
      <c r="CA164" s="4" t="s">
        <v>64</v>
      </c>
      <c r="CB164" s="4">
        <v>2013</v>
      </c>
      <c r="CC164" s="4" t="s">
        <v>26</v>
      </c>
      <c r="CD164" s="5">
        <v>46</v>
      </c>
      <c r="CG164" s="4" t="s">
        <v>66</v>
      </c>
      <c r="CH164" s="4">
        <v>2013</v>
      </c>
      <c r="CI164" s="4" t="s">
        <v>26</v>
      </c>
      <c r="CJ164" s="5">
        <v>504</v>
      </c>
      <c r="CM164" s="4" t="s">
        <v>68</v>
      </c>
      <c r="CN164" s="4">
        <v>2013</v>
      </c>
      <c r="CO164" s="4" t="s">
        <v>26</v>
      </c>
      <c r="CP164" s="5">
        <v>195</v>
      </c>
      <c r="CS164" s="4" t="s">
        <v>206</v>
      </c>
      <c r="CT164" s="4">
        <v>2013</v>
      </c>
      <c r="CU164" s="4" t="s">
        <v>26</v>
      </c>
      <c r="CV164" s="5">
        <v>430</v>
      </c>
    </row>
    <row r="165" spans="1:100" x14ac:dyDescent="0.25">
      <c r="A165" s="4" t="s">
        <v>185</v>
      </c>
      <c r="B165" s="4">
        <v>2013</v>
      </c>
      <c r="C165" s="4" t="s">
        <v>27</v>
      </c>
      <c r="D165" s="5">
        <v>23</v>
      </c>
      <c r="G165" s="4" t="s">
        <v>3</v>
      </c>
      <c r="H165" s="4">
        <v>2013</v>
      </c>
      <c r="I165" s="4" t="s">
        <v>27</v>
      </c>
      <c r="J165" s="5">
        <v>117</v>
      </c>
      <c r="M165" s="4" t="s">
        <v>31</v>
      </c>
      <c r="N165" s="4">
        <v>2013</v>
      </c>
      <c r="O165" s="4" t="s">
        <v>27</v>
      </c>
      <c r="P165" s="5">
        <v>182</v>
      </c>
      <c r="S165" s="4" t="s">
        <v>33</v>
      </c>
      <c r="T165" s="4">
        <v>2013</v>
      </c>
      <c r="U165" s="4" t="s">
        <v>27</v>
      </c>
      <c r="V165" s="5">
        <v>94</v>
      </c>
      <c r="Y165" s="4" t="s">
        <v>35</v>
      </c>
      <c r="Z165" s="4">
        <v>2013</v>
      </c>
      <c r="AA165" s="4" t="s">
        <v>27</v>
      </c>
      <c r="AB165" s="5">
        <v>153</v>
      </c>
      <c r="AE165" s="4" t="s">
        <v>47</v>
      </c>
      <c r="AF165" s="4">
        <v>2013</v>
      </c>
      <c r="AG165" s="4" t="s">
        <v>27</v>
      </c>
      <c r="AH165" s="5">
        <v>469</v>
      </c>
      <c r="AK165" s="4" t="s">
        <v>49</v>
      </c>
      <c r="AL165" s="4">
        <v>2013</v>
      </c>
      <c r="AM165" s="4" t="s">
        <v>27</v>
      </c>
      <c r="AN165" s="5">
        <v>159</v>
      </c>
      <c r="AQ165" s="4" t="s">
        <v>51</v>
      </c>
      <c r="AR165" s="4">
        <v>2013</v>
      </c>
      <c r="AS165" s="4" t="s">
        <v>27</v>
      </c>
      <c r="AT165" s="5">
        <v>63</v>
      </c>
      <c r="AW165" s="4" t="s">
        <v>53</v>
      </c>
      <c r="AX165" s="4">
        <v>2013</v>
      </c>
      <c r="AY165" s="4" t="s">
        <v>27</v>
      </c>
      <c r="AZ165" s="5">
        <v>181</v>
      </c>
      <c r="BC165" s="4" t="s">
        <v>55</v>
      </c>
      <c r="BD165" s="4">
        <v>2013</v>
      </c>
      <c r="BE165" s="4" t="s">
        <v>27</v>
      </c>
      <c r="BF165" s="5">
        <v>71</v>
      </c>
      <c r="BI165" s="4" t="s">
        <v>57</v>
      </c>
      <c r="BJ165" s="4">
        <v>2013</v>
      </c>
      <c r="BK165" s="4" t="s">
        <v>27</v>
      </c>
      <c r="BL165" s="5">
        <v>689</v>
      </c>
      <c r="BO165" s="4" t="s">
        <v>60</v>
      </c>
      <c r="BP165" s="4">
        <v>2013</v>
      </c>
      <c r="BQ165" s="4" t="s">
        <v>27</v>
      </c>
      <c r="BR165" s="5">
        <v>69</v>
      </c>
      <c r="BU165" s="4" t="s">
        <v>62</v>
      </c>
      <c r="BV165" s="4">
        <v>2013</v>
      </c>
      <c r="BW165" s="4" t="s">
        <v>27</v>
      </c>
      <c r="BX165" s="5">
        <v>670</v>
      </c>
      <c r="CA165" s="4" t="s">
        <v>64</v>
      </c>
      <c r="CB165" s="4">
        <v>2013</v>
      </c>
      <c r="CC165" s="4" t="s">
        <v>27</v>
      </c>
      <c r="CD165" s="5">
        <v>80</v>
      </c>
      <c r="CG165" s="4" t="s">
        <v>66</v>
      </c>
      <c r="CH165" s="4">
        <v>2013</v>
      </c>
      <c r="CI165" s="4" t="s">
        <v>27</v>
      </c>
      <c r="CJ165" s="5">
        <v>464</v>
      </c>
      <c r="CM165" s="4" t="s">
        <v>68</v>
      </c>
      <c r="CN165" s="4">
        <v>2013</v>
      </c>
      <c r="CO165" s="4" t="s">
        <v>27</v>
      </c>
      <c r="CP165" s="5">
        <v>109</v>
      </c>
      <c r="CS165" s="4" t="s">
        <v>206</v>
      </c>
      <c r="CT165" s="4">
        <v>2013</v>
      </c>
      <c r="CU165" s="4" t="s">
        <v>27</v>
      </c>
      <c r="CV165" s="5">
        <v>388</v>
      </c>
    </row>
  </sheetData>
  <mergeCells count="170">
    <mergeCell ref="B7:F7"/>
    <mergeCell ref="B8:F8"/>
    <mergeCell ref="B9:F9"/>
    <mergeCell ref="B10:F10"/>
    <mergeCell ref="CS1:CX1"/>
    <mergeCell ref="CS2:CX2"/>
    <mergeCell ref="CS3:CX3"/>
    <mergeCell ref="CT4:CX4"/>
    <mergeCell ref="CS5:CX5"/>
    <mergeCell ref="CT6:CX6"/>
    <mergeCell ref="CN7:CR7"/>
    <mergeCell ref="CN8:CR8"/>
    <mergeCell ref="CN9:CR9"/>
    <mergeCell ref="CN10:CR10"/>
    <mergeCell ref="A1:F1"/>
    <mergeCell ref="A2:F2"/>
    <mergeCell ref="A3:F3"/>
    <mergeCell ref="B4:F4"/>
    <mergeCell ref="A5:F5"/>
    <mergeCell ref="B6:F6"/>
    <mergeCell ref="CH10:CL10"/>
    <mergeCell ref="CM1:CR1"/>
    <mergeCell ref="CM2:CR2"/>
    <mergeCell ref="CM3:CR3"/>
    <mergeCell ref="CN4:CR4"/>
    <mergeCell ref="CM5:CR5"/>
    <mergeCell ref="CN6:CR6"/>
    <mergeCell ref="CT7:CX7"/>
    <mergeCell ref="CT8:CX8"/>
    <mergeCell ref="CT9:CX9"/>
    <mergeCell ref="CT10:CX10"/>
    <mergeCell ref="CG1:CL1"/>
    <mergeCell ref="CG2:CL2"/>
    <mergeCell ref="CG3:CL3"/>
    <mergeCell ref="CH4:CL4"/>
    <mergeCell ref="CG5:CL5"/>
    <mergeCell ref="CH6:CL6"/>
    <mergeCell ref="CH7:CL7"/>
    <mergeCell ref="CH8:CL8"/>
    <mergeCell ref="CH9:CL9"/>
    <mergeCell ref="BV10:BZ10"/>
    <mergeCell ref="CA1:CF1"/>
    <mergeCell ref="CA2:CF2"/>
    <mergeCell ref="CA3:CF3"/>
    <mergeCell ref="CB4:CF4"/>
    <mergeCell ref="CA5:CF5"/>
    <mergeCell ref="CB6:CF6"/>
    <mergeCell ref="CB7:CF7"/>
    <mergeCell ref="CB8:CF8"/>
    <mergeCell ref="CB9:CF9"/>
    <mergeCell ref="CB10:CF10"/>
    <mergeCell ref="BU1:BZ1"/>
    <mergeCell ref="BU2:BZ2"/>
    <mergeCell ref="BU3:BZ3"/>
    <mergeCell ref="BV4:BZ4"/>
    <mergeCell ref="BU5:BZ5"/>
    <mergeCell ref="BV6:BZ6"/>
    <mergeCell ref="BV7:BZ7"/>
    <mergeCell ref="BV8:BZ8"/>
    <mergeCell ref="BV9:BZ9"/>
    <mergeCell ref="BJ10:BN10"/>
    <mergeCell ref="BO1:BT1"/>
    <mergeCell ref="BO2:BT2"/>
    <mergeCell ref="BO3:BT3"/>
    <mergeCell ref="BP4:BT4"/>
    <mergeCell ref="BO5:BT5"/>
    <mergeCell ref="BP6:BT6"/>
    <mergeCell ref="BP7:BT7"/>
    <mergeCell ref="BP8:BT8"/>
    <mergeCell ref="BP9:BT9"/>
    <mergeCell ref="BP10:BT10"/>
    <mergeCell ref="BI1:BN1"/>
    <mergeCell ref="BI2:BN2"/>
    <mergeCell ref="BI3:BN3"/>
    <mergeCell ref="BJ4:BN4"/>
    <mergeCell ref="BI5:BN5"/>
    <mergeCell ref="BJ6:BN6"/>
    <mergeCell ref="BJ7:BN7"/>
    <mergeCell ref="BJ8:BN8"/>
    <mergeCell ref="BJ9:BN9"/>
    <mergeCell ref="AX7:BB7"/>
    <mergeCell ref="AX8:BB8"/>
    <mergeCell ref="AX9:BB9"/>
    <mergeCell ref="AX10:BB10"/>
    <mergeCell ref="BC1:BH1"/>
    <mergeCell ref="BC2:BH2"/>
    <mergeCell ref="BC3:BH3"/>
    <mergeCell ref="BD4:BH4"/>
    <mergeCell ref="BC5:BH5"/>
    <mergeCell ref="BD6:BH6"/>
    <mergeCell ref="AW1:BB1"/>
    <mergeCell ref="AW2:BB2"/>
    <mergeCell ref="AW3:BB3"/>
    <mergeCell ref="AX4:BB4"/>
    <mergeCell ref="AW5:BB5"/>
    <mergeCell ref="AX6:BB6"/>
    <mergeCell ref="BD7:BH7"/>
    <mergeCell ref="BD8:BH8"/>
    <mergeCell ref="BD9:BH9"/>
    <mergeCell ref="BD10:BH10"/>
    <mergeCell ref="AF10:AJ10"/>
    <mergeCell ref="AK1:AP1"/>
    <mergeCell ref="AK2:AP2"/>
    <mergeCell ref="AK3:AP3"/>
    <mergeCell ref="AL4:AP4"/>
    <mergeCell ref="AK5:AP5"/>
    <mergeCell ref="AL6:AP6"/>
    <mergeCell ref="AR7:AV7"/>
    <mergeCell ref="AR8:AV8"/>
    <mergeCell ref="AR9:AV9"/>
    <mergeCell ref="AR10:AV10"/>
    <mergeCell ref="AL7:AP7"/>
    <mergeCell ref="AL8:AP8"/>
    <mergeCell ref="AL9:AP9"/>
    <mergeCell ref="AL10:AP10"/>
    <mergeCell ref="AQ1:AV1"/>
    <mergeCell ref="AQ2:AV2"/>
    <mergeCell ref="AQ3:AV3"/>
    <mergeCell ref="AR4:AV4"/>
    <mergeCell ref="AQ5:AV5"/>
    <mergeCell ref="AR6:AV6"/>
    <mergeCell ref="AE1:AJ1"/>
    <mergeCell ref="AE2:AJ2"/>
    <mergeCell ref="AE3:AJ3"/>
    <mergeCell ref="AF4:AJ4"/>
    <mergeCell ref="AE5:AJ5"/>
    <mergeCell ref="AF6:AJ6"/>
    <mergeCell ref="AF7:AJ7"/>
    <mergeCell ref="AF8:AJ8"/>
    <mergeCell ref="AF9:AJ9"/>
    <mergeCell ref="T10:X10"/>
    <mergeCell ref="Y1:AD1"/>
    <mergeCell ref="Y2:AD2"/>
    <mergeCell ref="Y3:AD3"/>
    <mergeCell ref="Z4:AD4"/>
    <mergeCell ref="Y5:AD5"/>
    <mergeCell ref="Z6:AD6"/>
    <mergeCell ref="Z7:AD7"/>
    <mergeCell ref="Z8:AD8"/>
    <mergeCell ref="Z9:AD9"/>
    <mergeCell ref="Z10:AD10"/>
    <mergeCell ref="S1:X1"/>
    <mergeCell ref="S2:X2"/>
    <mergeCell ref="S3:X3"/>
    <mergeCell ref="T4:X4"/>
    <mergeCell ref="S5:X5"/>
    <mergeCell ref="T6:X6"/>
    <mergeCell ref="T7:X7"/>
    <mergeCell ref="T8:X8"/>
    <mergeCell ref="T9:X9"/>
    <mergeCell ref="H7:L7"/>
    <mergeCell ref="H8:L8"/>
    <mergeCell ref="H9:L9"/>
    <mergeCell ref="H10:L10"/>
    <mergeCell ref="M1:R1"/>
    <mergeCell ref="M2:R2"/>
    <mergeCell ref="M3:R3"/>
    <mergeCell ref="N4:R4"/>
    <mergeCell ref="M5:R5"/>
    <mergeCell ref="N6:R6"/>
    <mergeCell ref="G1:L1"/>
    <mergeCell ref="G2:L2"/>
    <mergeCell ref="G3:L3"/>
    <mergeCell ref="H4:L4"/>
    <mergeCell ref="G5:L5"/>
    <mergeCell ref="H6:L6"/>
    <mergeCell ref="N7:R7"/>
    <mergeCell ref="N8:R8"/>
    <mergeCell ref="N9:R9"/>
    <mergeCell ref="N10:R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2" max="2" width="8.85546875" style="9"/>
  </cols>
  <sheetData>
    <row r="1" spans="1:36" ht="14.45" x14ac:dyDescent="0.3">
      <c r="A1" t="s">
        <v>111</v>
      </c>
      <c r="B1" s="9" t="s">
        <v>110</v>
      </c>
      <c r="C1" t="s">
        <v>187</v>
      </c>
      <c r="D1" t="s">
        <v>6</v>
      </c>
      <c r="E1" t="s">
        <v>97</v>
      </c>
      <c r="F1" t="s">
        <v>98</v>
      </c>
      <c r="G1" t="s">
        <v>99</v>
      </c>
      <c r="H1" t="s">
        <v>100</v>
      </c>
      <c r="I1" t="s">
        <v>102</v>
      </c>
      <c r="J1" t="s">
        <v>101</v>
      </c>
      <c r="K1" t="s">
        <v>103</v>
      </c>
      <c r="L1" t="s">
        <v>104</v>
      </c>
      <c r="M1" t="s">
        <v>59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216</v>
      </c>
      <c r="T1" t="s">
        <v>187</v>
      </c>
      <c r="U1" t="s">
        <v>6</v>
      </c>
      <c r="V1" t="s">
        <v>97</v>
      </c>
      <c r="W1" t="s">
        <v>98</v>
      </c>
      <c r="X1" t="s">
        <v>99</v>
      </c>
      <c r="Y1" t="s">
        <v>100</v>
      </c>
      <c r="Z1" t="s">
        <v>102</v>
      </c>
      <c r="AA1" t="s">
        <v>101</v>
      </c>
      <c r="AB1" t="s">
        <v>103</v>
      </c>
      <c r="AC1" t="s">
        <v>104</v>
      </c>
      <c r="AD1" t="s">
        <v>59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216</v>
      </c>
    </row>
    <row r="2" spans="1:36" ht="14.45" x14ac:dyDescent="0.3">
      <c r="A2" s="8">
        <v>36861</v>
      </c>
      <c r="B2" s="9">
        <v>12</v>
      </c>
      <c r="C2">
        <v>6.4103143596879448</v>
      </c>
      <c r="D2">
        <v>227.21977389285485</v>
      </c>
      <c r="E2">
        <v>303.19056306054915</v>
      </c>
      <c r="F2">
        <v>116.31020749674518</v>
      </c>
      <c r="G2">
        <v>180.20003872981025</v>
      </c>
      <c r="H2">
        <v>471.41660213085783</v>
      </c>
      <c r="I2">
        <v>108.19502493085412</v>
      </c>
      <c r="J2">
        <v>192.96564100167856</v>
      </c>
      <c r="K2">
        <v>234.97170274529759</v>
      </c>
      <c r="L2">
        <v>71.311625181852875</v>
      </c>
      <c r="M2">
        <v>902.16578045790357</v>
      </c>
      <c r="N2">
        <v>56.618659041241386</v>
      </c>
      <c r="O2">
        <v>801.94370954890542</v>
      </c>
      <c r="P2">
        <v>38.023671558407727</v>
      </c>
      <c r="Q2">
        <v>523.52589110700944</v>
      </c>
      <c r="R2">
        <v>398.23444705550224</v>
      </c>
      <c r="S2">
        <v>469.06444329661713</v>
      </c>
    </row>
    <row r="3" spans="1:36" ht="14.45" x14ac:dyDescent="0.3">
      <c r="A3" s="8">
        <v>36892</v>
      </c>
      <c r="B3" s="9">
        <f>IF(B2=12,1,B2+1)</f>
        <v>1</v>
      </c>
      <c r="C3">
        <v>13.540575192252609</v>
      </c>
      <c r="D3">
        <v>188.7517503233594</v>
      </c>
      <c r="E3">
        <v>339.12406501262888</v>
      </c>
      <c r="F3">
        <v>132.7913894679441</v>
      </c>
      <c r="G3">
        <v>285.77702868725351</v>
      </c>
      <c r="H3">
        <v>488.34397112224082</v>
      </c>
      <c r="I3">
        <v>166.67727243206815</v>
      </c>
      <c r="J3">
        <v>348.81637538247168</v>
      </c>
      <c r="K3">
        <v>237.20434049500841</v>
      </c>
      <c r="L3">
        <v>27.011586033078199</v>
      </c>
      <c r="M3">
        <v>726.02656509553003</v>
      </c>
      <c r="N3">
        <v>39.28229410166395</v>
      </c>
      <c r="O3">
        <v>805.1569413043751</v>
      </c>
      <c r="P3">
        <v>74.970823835436065</v>
      </c>
      <c r="Q3">
        <v>681.18281960517709</v>
      </c>
      <c r="R3">
        <v>361.16578011467402</v>
      </c>
      <c r="S3">
        <v>495.3824917970349</v>
      </c>
    </row>
    <row r="4" spans="1:36" ht="14.45" x14ac:dyDescent="0.3">
      <c r="A4" s="8">
        <v>36923</v>
      </c>
      <c r="B4" s="9">
        <f t="shared" ref="B4:B67" si="0">IF(B3=12,1,B3+1)</f>
        <v>2</v>
      </c>
      <c r="C4">
        <v>8.0038069280642894</v>
      </c>
      <c r="D4">
        <v>211.34822896315242</v>
      </c>
      <c r="E4">
        <v>273.83538241838278</v>
      </c>
      <c r="F4">
        <v>119.19580798338376</v>
      </c>
      <c r="G4">
        <v>211.7145334701415</v>
      </c>
      <c r="H4">
        <v>550.29964853415186</v>
      </c>
      <c r="I4">
        <v>146.38647860948927</v>
      </c>
      <c r="J4">
        <v>186.84471369213557</v>
      </c>
      <c r="K4">
        <v>245.10851267258897</v>
      </c>
      <c r="L4">
        <v>32.049723411547575</v>
      </c>
      <c r="M4">
        <v>692.58677186517946</v>
      </c>
      <c r="N4">
        <v>59.692006354172584</v>
      </c>
      <c r="O4">
        <v>731.72328327621926</v>
      </c>
      <c r="P4">
        <v>54.421478174612616</v>
      </c>
      <c r="Q4">
        <v>542.794645320722</v>
      </c>
      <c r="R4">
        <v>154.03776089148721</v>
      </c>
      <c r="S4">
        <v>415.70613398185878</v>
      </c>
    </row>
    <row r="5" spans="1:36" ht="14.45" x14ac:dyDescent="0.3">
      <c r="A5" s="8">
        <v>36951</v>
      </c>
      <c r="B5" s="9">
        <f t="shared" si="0"/>
        <v>3</v>
      </c>
      <c r="C5">
        <v>18.054991049234559</v>
      </c>
      <c r="D5">
        <v>198.48514888549116</v>
      </c>
      <c r="E5">
        <v>231.85765555956138</v>
      </c>
      <c r="F5">
        <v>149.15122410044938</v>
      </c>
      <c r="G5">
        <v>98.815173411565254</v>
      </c>
      <c r="H5">
        <v>422.50431939048673</v>
      </c>
      <c r="I5">
        <v>110.44240498994922</v>
      </c>
      <c r="J5">
        <v>207.96344259115492</v>
      </c>
      <c r="K5">
        <v>225.38913984145071</v>
      </c>
      <c r="L5">
        <v>85.575376406821718</v>
      </c>
      <c r="M5">
        <v>906.99240267513665</v>
      </c>
      <c r="N5">
        <v>42.575509895096289</v>
      </c>
      <c r="O5">
        <v>690.31717732116977</v>
      </c>
      <c r="P5">
        <v>119.0281967250648</v>
      </c>
      <c r="Q5">
        <v>547.31713858586909</v>
      </c>
      <c r="R5">
        <v>131.94799734491119</v>
      </c>
      <c r="S5">
        <v>433.74498497910457</v>
      </c>
      <c r="T5">
        <f t="shared" ref="T5:T36" si="1">IF( OR($B5=3,$B5=6,$B5=9,$B5=12),AVERAGE(C3:C5),"" )</f>
        <v>13.199791056517151</v>
      </c>
      <c r="U5">
        <f t="shared" ref="U5:U36" si="2">IF( OR($B5=3,$B5=6,$B5=9,$B5=12),AVERAGE(D3:D5),"" )</f>
        <v>199.52837605733433</v>
      </c>
      <c r="V5">
        <f t="shared" ref="V5:V36" si="3">IF( OR($B5=3,$B5=6,$B5=9,$B5=12),AVERAGE(E3:E5),"" )</f>
        <v>281.60570099685771</v>
      </c>
      <c r="W5">
        <f t="shared" ref="W5:W36" si="4">IF( OR($B5=3,$B5=6,$B5=9,$B5=12),AVERAGE(F3:F5),"" )</f>
        <v>133.71280718392575</v>
      </c>
      <c r="X5">
        <f t="shared" ref="X5:X36" si="5">IF( OR($B5=3,$B5=6,$B5=9,$B5=12),AVERAGE(G3:G5),"" )</f>
        <v>198.7689118563201</v>
      </c>
      <c r="Y5">
        <f t="shared" ref="Y5:Y36" si="6">IF( OR($B5=3,$B5=6,$B5=9,$B5=12),AVERAGE(H3:H5),"" )</f>
        <v>487.04931301562647</v>
      </c>
      <c r="Z5">
        <f t="shared" ref="Z5:Z36" si="7">IF( OR($B5=3,$B5=6,$B5=9,$B5=12),AVERAGE(I3:I5),"" )</f>
        <v>141.1687186771689</v>
      </c>
      <c r="AA5">
        <f t="shared" ref="AA5:AA36" si="8">IF( OR($B5=3,$B5=6,$B5=9,$B5=12),AVERAGE(J3:J5),"" )</f>
        <v>247.87484388858741</v>
      </c>
      <c r="AB5">
        <f t="shared" ref="AB5:AB36" si="9">IF( OR($B5=3,$B5=6,$B5=9,$B5=12),AVERAGE(K3:K5),"" )</f>
        <v>235.90066433634937</v>
      </c>
      <c r="AC5">
        <f t="shared" ref="AC5:AC36" si="10">IF( OR($B5=3,$B5=6,$B5=9,$B5=12),AVERAGE(L3:L5),"" )</f>
        <v>48.212228617149172</v>
      </c>
      <c r="AD5">
        <f t="shared" ref="AD5:AD36" si="11">IF( OR($B5=3,$B5=6,$B5=9,$B5=12),AVERAGE(M3:M5),"" )</f>
        <v>775.20191321194886</v>
      </c>
      <c r="AE5">
        <f t="shared" ref="AE5:AE36" si="12">IF( OR($B5=3,$B5=6,$B5=9,$B5=12),AVERAGE(N3:N5),"" )</f>
        <v>47.18327011697761</v>
      </c>
      <c r="AF5">
        <f t="shared" ref="AF5:AF36" si="13">IF( OR($B5=3,$B5=6,$B5=9,$B5=12),AVERAGE(O3:O5),"" )</f>
        <v>742.39913396725478</v>
      </c>
      <c r="AG5">
        <f t="shared" ref="AG5:AG36" si="14">IF( OR($B5=3,$B5=6,$B5=9,$B5=12),AVERAGE(P3:P5),"" )</f>
        <v>82.80683291170449</v>
      </c>
      <c r="AH5">
        <f t="shared" ref="AH5:AH36" si="15">IF( OR($B5=3,$B5=6,$B5=9,$B5=12),AVERAGE(Q3:Q5),"" )</f>
        <v>590.43153450392276</v>
      </c>
      <c r="AI5">
        <f t="shared" ref="AI5:AI36" si="16">IF( OR($B5=3,$B5=6,$B5=9,$B5=12),AVERAGE(R3:R5),"" )</f>
        <v>215.71717945035746</v>
      </c>
      <c r="AJ5">
        <f t="shared" ref="AJ5:AJ36" si="17">IF( OR($B5=3,$B5=6,$B5=9,$B5=12),AVERAGE(S3:S5),"" )</f>
        <v>448.2778702526661</v>
      </c>
    </row>
    <row r="6" spans="1:36" ht="14.45" x14ac:dyDescent="0.3">
      <c r="A6" s="8">
        <v>36982</v>
      </c>
      <c r="B6" s="9">
        <f t="shared" si="0"/>
        <v>4</v>
      </c>
      <c r="C6">
        <v>21.084668671944939</v>
      </c>
      <c r="D6">
        <v>242.4592682795512</v>
      </c>
      <c r="E6">
        <v>228.07393377880348</v>
      </c>
      <c r="F6">
        <v>89.569984069518867</v>
      </c>
      <c r="G6">
        <v>203.71351262971385</v>
      </c>
      <c r="H6">
        <v>499.13173204816229</v>
      </c>
      <c r="I6">
        <v>160.475365033549</v>
      </c>
      <c r="J6">
        <v>186.6853099746111</v>
      </c>
      <c r="K6">
        <v>204.21010883594144</v>
      </c>
      <c r="L6">
        <v>45.549475925405147</v>
      </c>
      <c r="M6">
        <v>888.36174490291853</v>
      </c>
      <c r="N6">
        <v>57.622254060214665</v>
      </c>
      <c r="O6">
        <v>697.77586078038939</v>
      </c>
      <c r="P6">
        <v>43.563700845543018</v>
      </c>
      <c r="Q6">
        <v>555.71010202304205</v>
      </c>
      <c r="R6">
        <v>174.187968057365</v>
      </c>
      <c r="S6">
        <v>432.13656477814766</v>
      </c>
      <c r="T6" t="str">
        <f t="shared" si="1"/>
        <v/>
      </c>
      <c r="U6" t="str">
        <f t="shared" si="2"/>
        <v/>
      </c>
      <c r="V6" t="str">
        <f t="shared" si="3"/>
        <v/>
      </c>
      <c r="W6" t="str">
        <f t="shared" si="4"/>
        <v/>
      </c>
      <c r="X6" t="str">
        <f t="shared" si="5"/>
        <v/>
      </c>
      <c r="Y6" t="str">
        <f t="shared" si="6"/>
        <v/>
      </c>
      <c r="Z6" t="str">
        <f t="shared" si="7"/>
        <v/>
      </c>
      <c r="AA6" t="str">
        <f t="shared" si="8"/>
        <v/>
      </c>
      <c r="AB6" t="str">
        <f t="shared" si="9"/>
        <v/>
      </c>
      <c r="AC6" t="str">
        <f t="shared" si="10"/>
        <v/>
      </c>
      <c r="AD6" t="str">
        <f t="shared" si="11"/>
        <v/>
      </c>
      <c r="AE6" t="str">
        <f t="shared" si="12"/>
        <v/>
      </c>
      <c r="AF6" t="str">
        <f t="shared" si="13"/>
        <v/>
      </c>
      <c r="AG6" t="str">
        <f t="shared" si="14"/>
        <v/>
      </c>
      <c r="AH6" t="str">
        <f t="shared" si="15"/>
        <v/>
      </c>
      <c r="AI6" t="str">
        <f t="shared" si="16"/>
        <v/>
      </c>
      <c r="AJ6" t="str">
        <f t="shared" si="17"/>
        <v/>
      </c>
    </row>
    <row r="7" spans="1:36" ht="14.45" x14ac:dyDescent="0.3">
      <c r="A7" s="8">
        <v>37012</v>
      </c>
      <c r="B7" s="9">
        <f t="shared" si="0"/>
        <v>5</v>
      </c>
      <c r="C7">
        <v>7.7022022232642717</v>
      </c>
      <c r="D7">
        <v>223.82920816050688</v>
      </c>
      <c r="E7">
        <v>199.09841551693575</v>
      </c>
      <c r="F7">
        <v>95.011368157759009</v>
      </c>
      <c r="G7">
        <v>109.5498468271164</v>
      </c>
      <c r="H7">
        <v>454.34308712926128</v>
      </c>
      <c r="I7">
        <v>110.39140764819976</v>
      </c>
      <c r="J7">
        <v>112.47831473114674</v>
      </c>
      <c r="K7">
        <v>227.67904854319877</v>
      </c>
      <c r="L7">
        <v>59.051794127931828</v>
      </c>
      <c r="M7">
        <v>847.31230449025441</v>
      </c>
      <c r="N7">
        <v>76.118660356372075</v>
      </c>
      <c r="O7">
        <v>659.79096360479241</v>
      </c>
      <c r="P7">
        <v>61.768223430454171</v>
      </c>
      <c r="Q7">
        <v>484.59829916427231</v>
      </c>
      <c r="R7">
        <v>229.88327447180862</v>
      </c>
      <c r="S7">
        <v>501.91418533655587</v>
      </c>
      <c r="T7" t="str">
        <f t="shared" si="1"/>
        <v/>
      </c>
      <c r="U7" t="str">
        <f t="shared" si="2"/>
        <v/>
      </c>
      <c r="V7" t="str">
        <f t="shared" si="3"/>
        <v/>
      </c>
      <c r="W7" t="str">
        <f t="shared" si="4"/>
        <v/>
      </c>
      <c r="X7" t="str">
        <f t="shared" si="5"/>
        <v/>
      </c>
      <c r="Y7" t="str">
        <f t="shared" si="6"/>
        <v/>
      </c>
      <c r="Z7" t="str">
        <f t="shared" si="7"/>
        <v/>
      </c>
      <c r="AA7" t="str">
        <f t="shared" si="8"/>
        <v/>
      </c>
      <c r="AB7" t="str">
        <f t="shared" si="9"/>
        <v/>
      </c>
      <c r="AC7" t="str">
        <f t="shared" si="10"/>
        <v/>
      </c>
      <c r="AD7" t="str">
        <f t="shared" si="11"/>
        <v/>
      </c>
      <c r="AE7" t="str">
        <f t="shared" si="12"/>
        <v/>
      </c>
      <c r="AF7" t="str">
        <f t="shared" si="13"/>
        <v/>
      </c>
      <c r="AG7" t="str">
        <f t="shared" si="14"/>
        <v/>
      </c>
      <c r="AH7" t="str">
        <f t="shared" si="15"/>
        <v/>
      </c>
      <c r="AI7" t="str">
        <f t="shared" si="16"/>
        <v/>
      </c>
      <c r="AJ7" t="str">
        <f t="shared" si="17"/>
        <v/>
      </c>
    </row>
    <row r="8" spans="1:36" ht="14.45" x14ac:dyDescent="0.3">
      <c r="A8" s="8">
        <v>37043</v>
      </c>
      <c r="B8" s="9">
        <f t="shared" si="0"/>
        <v>6</v>
      </c>
      <c r="C8">
        <v>17.940569468042785</v>
      </c>
      <c r="D8">
        <v>188.97183101898491</v>
      </c>
      <c r="E8">
        <v>199.50169087209815</v>
      </c>
      <c r="F8">
        <v>121.86105662999466</v>
      </c>
      <c r="G8">
        <v>151.85662307765847</v>
      </c>
      <c r="H8">
        <v>418.47808110162549</v>
      </c>
      <c r="I8">
        <v>103.51081173640547</v>
      </c>
      <c r="J8">
        <v>103.58421054720161</v>
      </c>
      <c r="K8">
        <v>258.79286550349298</v>
      </c>
      <c r="L8">
        <v>39.641822800060197</v>
      </c>
      <c r="M8">
        <v>706.35446130818832</v>
      </c>
      <c r="N8">
        <v>38.728983672410322</v>
      </c>
      <c r="O8">
        <v>731.57946137071997</v>
      </c>
      <c r="P8">
        <v>62.87303760922304</v>
      </c>
      <c r="Q8">
        <v>414.81566678615724</v>
      </c>
      <c r="R8">
        <v>218.23425870436625</v>
      </c>
      <c r="S8">
        <v>514.28613517374151</v>
      </c>
      <c r="T8">
        <f t="shared" si="1"/>
        <v>15.575813454417334</v>
      </c>
      <c r="U8">
        <f t="shared" si="2"/>
        <v>218.42010248634764</v>
      </c>
      <c r="V8">
        <f t="shared" si="3"/>
        <v>208.89134672261244</v>
      </c>
      <c r="W8">
        <f t="shared" si="4"/>
        <v>102.14746961909084</v>
      </c>
      <c r="X8">
        <f t="shared" si="5"/>
        <v>155.03999417816291</v>
      </c>
      <c r="Y8">
        <f t="shared" si="6"/>
        <v>457.31763342634969</v>
      </c>
      <c r="Z8">
        <f t="shared" si="7"/>
        <v>124.79252813938474</v>
      </c>
      <c r="AA8">
        <f t="shared" si="8"/>
        <v>134.24927841765316</v>
      </c>
      <c r="AB8">
        <f t="shared" si="9"/>
        <v>230.22734096087774</v>
      </c>
      <c r="AC8">
        <f t="shared" si="10"/>
        <v>48.081030951132391</v>
      </c>
      <c r="AD8">
        <f t="shared" si="11"/>
        <v>814.00950356712053</v>
      </c>
      <c r="AE8">
        <f t="shared" si="12"/>
        <v>57.489966029665688</v>
      </c>
      <c r="AF8">
        <f t="shared" si="13"/>
        <v>696.38209525196726</v>
      </c>
      <c r="AG8">
        <f t="shared" si="14"/>
        <v>56.068320628406745</v>
      </c>
      <c r="AH8">
        <f t="shared" si="15"/>
        <v>485.04135599115716</v>
      </c>
      <c r="AI8">
        <f t="shared" si="16"/>
        <v>207.43516707784661</v>
      </c>
      <c r="AJ8">
        <f t="shared" si="17"/>
        <v>482.77896176281502</v>
      </c>
    </row>
    <row r="9" spans="1:36" ht="14.45" x14ac:dyDescent="0.3">
      <c r="A9" s="8">
        <v>37073</v>
      </c>
      <c r="B9" s="9">
        <f t="shared" si="0"/>
        <v>7</v>
      </c>
      <c r="C9">
        <v>15.594976807739757</v>
      </c>
      <c r="D9">
        <v>152.968338530784</v>
      </c>
      <c r="E9">
        <v>185.10784583806264</v>
      </c>
      <c r="F9">
        <v>112.30554076669721</v>
      </c>
      <c r="G9">
        <v>126.57501639750585</v>
      </c>
      <c r="H9">
        <v>380.95294591827104</v>
      </c>
      <c r="I9">
        <v>151.83111200148926</v>
      </c>
      <c r="J9">
        <v>114.97327210335835</v>
      </c>
      <c r="K9">
        <v>222.20452974388874</v>
      </c>
      <c r="L9">
        <v>55.185946093903006</v>
      </c>
      <c r="M9">
        <v>647.16244070111509</v>
      </c>
      <c r="N9">
        <v>51.358800237966364</v>
      </c>
      <c r="O9">
        <v>749.92792757279847</v>
      </c>
      <c r="P9">
        <v>83.645050171151468</v>
      </c>
      <c r="Q9">
        <v>524.01024997464674</v>
      </c>
      <c r="R9">
        <v>251.0914429534954</v>
      </c>
      <c r="S9">
        <v>448.75746760034787</v>
      </c>
      <c r="T9" t="str">
        <f t="shared" si="1"/>
        <v/>
      </c>
      <c r="U9" t="str">
        <f t="shared" si="2"/>
        <v/>
      </c>
      <c r="V9" t="str">
        <f t="shared" si="3"/>
        <v/>
      </c>
      <c r="W9" t="str">
        <f t="shared" si="4"/>
        <v/>
      </c>
      <c r="X9" t="str">
        <f t="shared" si="5"/>
        <v/>
      </c>
      <c r="Y9" t="str">
        <f t="shared" si="6"/>
        <v/>
      </c>
      <c r="Z9" t="str">
        <f t="shared" si="7"/>
        <v/>
      </c>
      <c r="AA9" t="str">
        <f t="shared" si="8"/>
        <v/>
      </c>
      <c r="AB9" t="str">
        <f t="shared" si="9"/>
        <v/>
      </c>
      <c r="AC9" t="str">
        <f t="shared" si="10"/>
        <v/>
      </c>
      <c r="AD9" t="str">
        <f t="shared" si="11"/>
        <v/>
      </c>
      <c r="AE9" t="str">
        <f t="shared" si="12"/>
        <v/>
      </c>
      <c r="AF9" t="str">
        <f t="shared" si="13"/>
        <v/>
      </c>
      <c r="AG9" t="str">
        <f t="shared" si="14"/>
        <v/>
      </c>
      <c r="AH9" t="str">
        <f t="shared" si="15"/>
        <v/>
      </c>
      <c r="AI9" t="str">
        <f t="shared" si="16"/>
        <v/>
      </c>
      <c r="AJ9" t="str">
        <f t="shared" si="17"/>
        <v/>
      </c>
    </row>
    <row r="10" spans="1:36" ht="14.45" x14ac:dyDescent="0.3">
      <c r="A10" s="8">
        <v>37104</v>
      </c>
      <c r="B10" s="9">
        <f t="shared" si="0"/>
        <v>8</v>
      </c>
      <c r="C10">
        <v>18.569201565402583</v>
      </c>
      <c r="D10">
        <v>120.17717129180735</v>
      </c>
      <c r="E10">
        <v>146.06362118143821</v>
      </c>
      <c r="F10">
        <v>111.77842176690611</v>
      </c>
      <c r="G10">
        <v>103.90009748747197</v>
      </c>
      <c r="H10">
        <v>364.42182715047272</v>
      </c>
      <c r="I10">
        <v>114.54374938449889</v>
      </c>
      <c r="J10">
        <v>115.54205289083329</v>
      </c>
      <c r="K10">
        <v>175.56893424393385</v>
      </c>
      <c r="L10">
        <v>69.775685562204956</v>
      </c>
      <c r="M10">
        <v>564.62729689802723</v>
      </c>
      <c r="N10">
        <v>49.817905640894601</v>
      </c>
      <c r="O10">
        <v>787.35661213646654</v>
      </c>
      <c r="P10">
        <v>64.597773558061249</v>
      </c>
      <c r="Q10">
        <v>511.98946486301008</v>
      </c>
      <c r="R10">
        <v>267.53078032322247</v>
      </c>
      <c r="S10">
        <v>471.69785950461835</v>
      </c>
      <c r="T10" t="str">
        <f t="shared" si="1"/>
        <v/>
      </c>
      <c r="U10" t="str">
        <f t="shared" si="2"/>
        <v/>
      </c>
      <c r="V10" t="str">
        <f t="shared" si="3"/>
        <v/>
      </c>
      <c r="W10" t="str">
        <f t="shared" si="4"/>
        <v/>
      </c>
      <c r="X10" t="str">
        <f t="shared" si="5"/>
        <v/>
      </c>
      <c r="Y10" t="str">
        <f t="shared" si="6"/>
        <v/>
      </c>
      <c r="Z10" t="str">
        <f t="shared" si="7"/>
        <v/>
      </c>
      <c r="AA10" t="str">
        <f t="shared" si="8"/>
        <v/>
      </c>
      <c r="AB10" t="str">
        <f t="shared" si="9"/>
        <v/>
      </c>
      <c r="AC10" t="str">
        <f t="shared" si="10"/>
        <v/>
      </c>
      <c r="AD10" t="str">
        <f t="shared" si="11"/>
        <v/>
      </c>
      <c r="AE10" t="str">
        <f t="shared" si="12"/>
        <v/>
      </c>
      <c r="AF10" t="str">
        <f t="shared" si="13"/>
        <v/>
      </c>
      <c r="AG10" t="str">
        <f t="shared" si="14"/>
        <v/>
      </c>
      <c r="AH10" t="str">
        <f t="shared" si="15"/>
        <v/>
      </c>
      <c r="AI10" t="str">
        <f t="shared" si="16"/>
        <v/>
      </c>
      <c r="AJ10" t="str">
        <f t="shared" si="17"/>
        <v/>
      </c>
    </row>
    <row r="11" spans="1:36" ht="14.45" x14ac:dyDescent="0.3">
      <c r="A11" s="8">
        <v>37135</v>
      </c>
      <c r="B11" s="9">
        <f t="shared" si="0"/>
        <v>9</v>
      </c>
      <c r="C11">
        <v>10.62396499418403</v>
      </c>
      <c r="D11">
        <v>143.75103333623611</v>
      </c>
      <c r="E11">
        <v>180.22455349488487</v>
      </c>
      <c r="F11">
        <v>118.54540086858205</v>
      </c>
      <c r="G11">
        <v>90.821113723064329</v>
      </c>
      <c r="H11">
        <v>369.01465252431359</v>
      </c>
      <c r="I11">
        <v>95.206706414601371</v>
      </c>
      <c r="J11">
        <v>72.920922903467158</v>
      </c>
      <c r="K11">
        <v>206.25069168032596</v>
      </c>
      <c r="L11">
        <v>59.502309052958367</v>
      </c>
      <c r="M11">
        <v>630.80519910314547</v>
      </c>
      <c r="N11">
        <v>46.61605154578973</v>
      </c>
      <c r="O11">
        <v>655.26714411492912</v>
      </c>
      <c r="P11">
        <v>68.423540347208657</v>
      </c>
      <c r="Q11">
        <v>478.46940554574502</v>
      </c>
      <c r="R11">
        <v>279.73606398098292</v>
      </c>
      <c r="S11">
        <v>368.69811186907776</v>
      </c>
      <c r="T11">
        <f t="shared" si="1"/>
        <v>14.929381122442123</v>
      </c>
      <c r="U11">
        <f t="shared" si="2"/>
        <v>138.96551438627583</v>
      </c>
      <c r="V11">
        <f t="shared" si="3"/>
        <v>170.46534017146189</v>
      </c>
      <c r="W11">
        <f t="shared" si="4"/>
        <v>114.20978780072846</v>
      </c>
      <c r="X11">
        <f t="shared" si="5"/>
        <v>107.09874253601406</v>
      </c>
      <c r="Y11">
        <f t="shared" si="6"/>
        <v>371.46314186435239</v>
      </c>
      <c r="Z11">
        <f t="shared" si="7"/>
        <v>120.52718926686316</v>
      </c>
      <c r="AA11">
        <f t="shared" si="8"/>
        <v>101.14541596588627</v>
      </c>
      <c r="AB11">
        <f t="shared" si="9"/>
        <v>201.34138522271618</v>
      </c>
      <c r="AC11">
        <f t="shared" si="10"/>
        <v>61.48798023635544</v>
      </c>
      <c r="AD11">
        <f t="shared" si="11"/>
        <v>614.19831223409597</v>
      </c>
      <c r="AE11">
        <f t="shared" si="12"/>
        <v>49.264252474883563</v>
      </c>
      <c r="AF11">
        <f t="shared" si="13"/>
        <v>730.85056127473138</v>
      </c>
      <c r="AG11">
        <f t="shared" si="14"/>
        <v>72.222121358807115</v>
      </c>
      <c r="AH11">
        <f t="shared" si="15"/>
        <v>504.82304012780065</v>
      </c>
      <c r="AI11">
        <f t="shared" si="16"/>
        <v>266.11942908590026</v>
      </c>
      <c r="AJ11">
        <f t="shared" si="17"/>
        <v>429.71781299134801</v>
      </c>
    </row>
    <row r="12" spans="1:36" ht="14.45" x14ac:dyDescent="0.3">
      <c r="A12" s="8">
        <v>37165</v>
      </c>
      <c r="B12" s="9">
        <f t="shared" si="0"/>
        <v>10</v>
      </c>
      <c r="C12">
        <v>17.769055557769359</v>
      </c>
      <c r="D12">
        <v>115.02454874456295</v>
      </c>
      <c r="E12">
        <v>153.54145197633312</v>
      </c>
      <c r="F12">
        <v>109.27862740686898</v>
      </c>
      <c r="G12">
        <v>93.355374074226646</v>
      </c>
      <c r="H12">
        <v>349.35240774458651</v>
      </c>
      <c r="I12">
        <v>113.04350705367237</v>
      </c>
      <c r="J12">
        <v>56.510461991782279</v>
      </c>
      <c r="K12">
        <v>180.60677025644409</v>
      </c>
      <c r="L12">
        <v>48.204124046358565</v>
      </c>
      <c r="M12">
        <v>533.64909848826483</v>
      </c>
      <c r="N12">
        <v>43.662013099618797</v>
      </c>
      <c r="O12">
        <v>690.64465502533699</v>
      </c>
      <c r="P12">
        <v>53.229855578490955</v>
      </c>
      <c r="Q12">
        <v>385.57051416382461</v>
      </c>
      <c r="R12">
        <v>193.03535597202642</v>
      </c>
      <c r="S12">
        <v>421.08520247358638</v>
      </c>
      <c r="T12" t="str">
        <f t="shared" si="1"/>
        <v/>
      </c>
      <c r="U12" t="str">
        <f t="shared" si="2"/>
        <v/>
      </c>
      <c r="V12" t="str">
        <f t="shared" si="3"/>
        <v/>
      </c>
      <c r="W12" t="str">
        <f t="shared" si="4"/>
        <v/>
      </c>
      <c r="X12" t="str">
        <f t="shared" si="5"/>
        <v/>
      </c>
      <c r="Y12" t="str">
        <f t="shared" si="6"/>
        <v/>
      </c>
      <c r="Z12" t="str">
        <f t="shared" si="7"/>
        <v/>
      </c>
      <c r="AA12" t="str">
        <f t="shared" si="8"/>
        <v/>
      </c>
      <c r="AB12" t="str">
        <f t="shared" si="9"/>
        <v/>
      </c>
      <c r="AC12" t="str">
        <f t="shared" si="10"/>
        <v/>
      </c>
      <c r="AD12" t="str">
        <f t="shared" si="11"/>
        <v/>
      </c>
      <c r="AE12" t="str">
        <f t="shared" si="12"/>
        <v/>
      </c>
      <c r="AF12" t="str">
        <f t="shared" si="13"/>
        <v/>
      </c>
      <c r="AG12" t="str">
        <f t="shared" si="14"/>
        <v/>
      </c>
      <c r="AH12" t="str">
        <f t="shared" si="15"/>
        <v/>
      </c>
      <c r="AI12" t="str">
        <f t="shared" si="16"/>
        <v/>
      </c>
      <c r="AJ12" t="str">
        <f t="shared" si="17"/>
        <v/>
      </c>
    </row>
    <row r="13" spans="1:36" ht="14.45" x14ac:dyDescent="0.3">
      <c r="A13" s="8">
        <v>37196</v>
      </c>
      <c r="B13" s="9">
        <f t="shared" si="0"/>
        <v>11</v>
      </c>
      <c r="C13">
        <v>5.5294319040582574</v>
      </c>
      <c r="D13">
        <v>133.72199322233834</v>
      </c>
      <c r="E13">
        <v>121.40877312107241</v>
      </c>
      <c r="F13">
        <v>91.205493178014223</v>
      </c>
      <c r="G13">
        <v>90.34707733987446</v>
      </c>
      <c r="H13">
        <v>333.1407506162721</v>
      </c>
      <c r="I13">
        <v>122.88847247139482</v>
      </c>
      <c r="J13">
        <v>93.130849892858933</v>
      </c>
      <c r="K13">
        <v>166.16047321803975</v>
      </c>
      <c r="L13">
        <v>55.59462262684616</v>
      </c>
      <c r="M13">
        <v>549.92082215763071</v>
      </c>
      <c r="N13">
        <v>38.838452128502894</v>
      </c>
      <c r="O13">
        <v>631.25243126684154</v>
      </c>
      <c r="P13">
        <v>61.173466990938671</v>
      </c>
      <c r="Q13">
        <v>429.30159291058595</v>
      </c>
      <c r="R13">
        <v>155.97595663512789</v>
      </c>
      <c r="S13">
        <v>433.31900212985971</v>
      </c>
      <c r="T13" t="str">
        <f t="shared" si="1"/>
        <v/>
      </c>
      <c r="U13" t="str">
        <f t="shared" si="2"/>
        <v/>
      </c>
      <c r="V13" t="str">
        <f t="shared" si="3"/>
        <v/>
      </c>
      <c r="W13" t="str">
        <f t="shared" si="4"/>
        <v/>
      </c>
      <c r="X13" t="str">
        <f t="shared" si="5"/>
        <v/>
      </c>
      <c r="Y13" t="str">
        <f t="shared" si="6"/>
        <v/>
      </c>
      <c r="Z13" t="str">
        <f t="shared" si="7"/>
        <v/>
      </c>
      <c r="AA13" t="str">
        <f t="shared" si="8"/>
        <v/>
      </c>
      <c r="AB13" t="str">
        <f t="shared" si="9"/>
        <v/>
      </c>
      <c r="AC13" t="str">
        <f t="shared" si="10"/>
        <v/>
      </c>
      <c r="AD13" t="str">
        <f t="shared" si="11"/>
        <v/>
      </c>
      <c r="AE13" t="str">
        <f t="shared" si="12"/>
        <v/>
      </c>
      <c r="AF13" t="str">
        <f t="shared" si="13"/>
        <v/>
      </c>
      <c r="AG13" t="str">
        <f t="shared" si="14"/>
        <v/>
      </c>
      <c r="AH13" t="str">
        <f t="shared" si="15"/>
        <v/>
      </c>
      <c r="AI13" t="str">
        <f t="shared" si="16"/>
        <v/>
      </c>
      <c r="AJ13" t="str">
        <f t="shared" si="17"/>
        <v/>
      </c>
    </row>
    <row r="14" spans="1:36" ht="14.45" x14ac:dyDescent="0.3">
      <c r="A14" s="8">
        <v>37226</v>
      </c>
      <c r="B14" s="9">
        <f t="shared" si="0"/>
        <v>12</v>
      </c>
      <c r="C14">
        <v>10.683857266146575</v>
      </c>
      <c r="D14">
        <v>126.55278545931156</v>
      </c>
      <c r="E14">
        <v>125.94069542515119</v>
      </c>
      <c r="F14">
        <v>73.701517621699907</v>
      </c>
      <c r="G14">
        <v>83.86668469186138</v>
      </c>
      <c r="H14">
        <v>362.21840615704332</v>
      </c>
      <c r="I14">
        <v>105.73604709151651</v>
      </c>
      <c r="J14">
        <v>89.751460931013284</v>
      </c>
      <c r="K14">
        <v>167.19140387646175</v>
      </c>
      <c r="L14">
        <v>42.085549287650871</v>
      </c>
      <c r="M14">
        <v>536.48207818491835</v>
      </c>
      <c r="N14">
        <v>36.235941786394491</v>
      </c>
      <c r="O14">
        <v>672.21752123952365</v>
      </c>
      <c r="P14">
        <v>72.878703820281473</v>
      </c>
      <c r="Q14">
        <v>378.45245140265746</v>
      </c>
      <c r="R14">
        <v>220.32497514609148</v>
      </c>
      <c r="S14">
        <v>399.0874634108747</v>
      </c>
      <c r="T14">
        <f t="shared" si="1"/>
        <v>11.327448242658065</v>
      </c>
      <c r="U14">
        <f t="shared" si="2"/>
        <v>125.09977580873762</v>
      </c>
      <c r="V14">
        <f t="shared" si="3"/>
        <v>133.63030684085226</v>
      </c>
      <c r="W14">
        <f t="shared" si="4"/>
        <v>91.395212735527707</v>
      </c>
      <c r="X14">
        <f t="shared" si="5"/>
        <v>89.189712035320838</v>
      </c>
      <c r="Y14">
        <f t="shared" si="6"/>
        <v>348.23718817263398</v>
      </c>
      <c r="Z14">
        <f t="shared" si="7"/>
        <v>113.8893422055279</v>
      </c>
      <c r="AA14">
        <f t="shared" si="8"/>
        <v>79.797590938551494</v>
      </c>
      <c r="AB14">
        <f t="shared" si="9"/>
        <v>171.31954911698188</v>
      </c>
      <c r="AC14">
        <f t="shared" si="10"/>
        <v>48.628098653618537</v>
      </c>
      <c r="AD14">
        <f t="shared" si="11"/>
        <v>540.01733294360463</v>
      </c>
      <c r="AE14">
        <f t="shared" si="12"/>
        <v>39.578802338172061</v>
      </c>
      <c r="AF14">
        <f t="shared" si="13"/>
        <v>664.70486917723406</v>
      </c>
      <c r="AG14">
        <f t="shared" si="14"/>
        <v>62.427342129903707</v>
      </c>
      <c r="AH14">
        <f t="shared" si="15"/>
        <v>397.77485282568932</v>
      </c>
      <c r="AI14">
        <f t="shared" si="16"/>
        <v>189.77876258441526</v>
      </c>
      <c r="AJ14">
        <f t="shared" si="17"/>
        <v>417.8305560047736</v>
      </c>
    </row>
    <row r="15" spans="1:36" ht="14.45" x14ac:dyDescent="0.3">
      <c r="A15" s="8">
        <v>37257</v>
      </c>
      <c r="B15" s="9">
        <f t="shared" si="0"/>
        <v>1</v>
      </c>
      <c r="C15">
        <v>12.744070769178926</v>
      </c>
      <c r="D15">
        <v>105.65994719188053</v>
      </c>
      <c r="E15">
        <v>168.06148354608155</v>
      </c>
      <c r="F15">
        <v>106.62082366039307</v>
      </c>
      <c r="G15">
        <v>118.19173408670362</v>
      </c>
      <c r="H15">
        <v>374.60573853180438</v>
      </c>
      <c r="I15">
        <v>92.267775810609166</v>
      </c>
      <c r="J15">
        <v>102.41187180103472</v>
      </c>
      <c r="K15">
        <v>250.42556603079575</v>
      </c>
      <c r="L15">
        <v>51.639796827943613</v>
      </c>
      <c r="M15">
        <v>561.52944299203511</v>
      </c>
      <c r="N15">
        <v>63.45601354884176</v>
      </c>
      <c r="O15">
        <v>712.53638199715192</v>
      </c>
      <c r="P15">
        <v>54.829408476662195</v>
      </c>
      <c r="Q15">
        <v>362.1744821393832</v>
      </c>
      <c r="R15">
        <v>154.01333765488593</v>
      </c>
      <c r="S15">
        <v>382.12196482634528</v>
      </c>
      <c r="T15" t="str">
        <f t="shared" si="1"/>
        <v/>
      </c>
      <c r="U15" t="str">
        <f t="shared" si="2"/>
        <v/>
      </c>
      <c r="V15" t="str">
        <f t="shared" si="3"/>
        <v/>
      </c>
      <c r="W15" t="str">
        <f t="shared" si="4"/>
        <v/>
      </c>
      <c r="X15" t="str">
        <f t="shared" si="5"/>
        <v/>
      </c>
      <c r="Y15" t="str">
        <f t="shared" si="6"/>
        <v/>
      </c>
      <c r="Z15" t="str">
        <f t="shared" si="7"/>
        <v/>
      </c>
      <c r="AA15" t="str">
        <f t="shared" si="8"/>
        <v/>
      </c>
      <c r="AB15" t="str">
        <f t="shared" si="9"/>
        <v/>
      </c>
      <c r="AC15" t="str">
        <f t="shared" si="10"/>
        <v/>
      </c>
      <c r="AD15" t="str">
        <f t="shared" si="11"/>
        <v/>
      </c>
      <c r="AE15" t="str">
        <f t="shared" si="12"/>
        <v/>
      </c>
      <c r="AF15" t="str">
        <f t="shared" si="13"/>
        <v/>
      </c>
      <c r="AG15" t="str">
        <f t="shared" si="14"/>
        <v/>
      </c>
      <c r="AH15" t="str">
        <f t="shared" si="15"/>
        <v/>
      </c>
      <c r="AI15" t="str">
        <f t="shared" si="16"/>
        <v/>
      </c>
      <c r="AJ15" t="str">
        <f t="shared" si="17"/>
        <v/>
      </c>
    </row>
    <row r="16" spans="1:36" ht="14.45" x14ac:dyDescent="0.3">
      <c r="A16" s="8">
        <v>37288</v>
      </c>
      <c r="B16" s="9">
        <f t="shared" si="0"/>
        <v>2</v>
      </c>
      <c r="C16">
        <v>16.007613856128579</v>
      </c>
      <c r="D16">
        <v>98.350165953150139</v>
      </c>
      <c r="E16">
        <v>138.94610144932756</v>
      </c>
      <c r="F16">
        <v>105.8376570886942</v>
      </c>
      <c r="G16">
        <v>101.89998573562885</v>
      </c>
      <c r="H16">
        <v>331.85098111170112</v>
      </c>
      <c r="I16">
        <v>81.207097622782371</v>
      </c>
      <c r="J16">
        <v>96.68127627093061</v>
      </c>
      <c r="K16">
        <v>133.30462969912733</v>
      </c>
      <c r="L16">
        <v>61.962798595658647</v>
      </c>
      <c r="M16">
        <v>480.42469742047058</v>
      </c>
      <c r="N16">
        <v>71.41722188802791</v>
      </c>
      <c r="O16">
        <v>673.84686538996459</v>
      </c>
      <c r="P16">
        <v>43.537182539690093</v>
      </c>
      <c r="Q16">
        <v>329.09596606059523</v>
      </c>
      <c r="R16">
        <v>143.48722932357711</v>
      </c>
      <c r="S16">
        <v>427.19549949392024</v>
      </c>
      <c r="T16" t="str">
        <f t="shared" si="1"/>
        <v/>
      </c>
      <c r="U16" t="str">
        <f t="shared" si="2"/>
        <v/>
      </c>
      <c r="V16" t="str">
        <f t="shared" si="3"/>
        <v/>
      </c>
      <c r="W16" t="str">
        <f t="shared" si="4"/>
        <v/>
      </c>
      <c r="X16" t="str">
        <f t="shared" si="5"/>
        <v/>
      </c>
      <c r="Y16" t="str">
        <f t="shared" si="6"/>
        <v/>
      </c>
      <c r="Z16" t="str">
        <f t="shared" si="7"/>
        <v/>
      </c>
      <c r="AA16" t="str">
        <f t="shared" si="8"/>
        <v/>
      </c>
      <c r="AB16" t="str">
        <f t="shared" si="9"/>
        <v/>
      </c>
      <c r="AC16" t="str">
        <f t="shared" si="10"/>
        <v/>
      </c>
      <c r="AD16" t="str">
        <f t="shared" si="11"/>
        <v/>
      </c>
      <c r="AE16" t="str">
        <f t="shared" si="12"/>
        <v/>
      </c>
      <c r="AF16" t="str">
        <f t="shared" si="13"/>
        <v/>
      </c>
      <c r="AG16" t="str">
        <f t="shared" si="14"/>
        <v/>
      </c>
      <c r="AH16" t="str">
        <f t="shared" si="15"/>
        <v/>
      </c>
      <c r="AI16" t="str">
        <f t="shared" si="16"/>
        <v/>
      </c>
      <c r="AJ16" t="str">
        <f t="shared" si="17"/>
        <v/>
      </c>
    </row>
    <row r="17" spans="1:36" ht="14.45" x14ac:dyDescent="0.3">
      <c r="A17" s="8">
        <v>37316</v>
      </c>
      <c r="B17" s="9">
        <f t="shared" si="0"/>
        <v>3</v>
      </c>
      <c r="C17">
        <v>3.8010507472072756</v>
      </c>
      <c r="D17">
        <v>122.96397028515793</v>
      </c>
      <c r="E17">
        <v>125.54737680954415</v>
      </c>
      <c r="F17">
        <v>93.094388196924783</v>
      </c>
      <c r="G17">
        <v>125.16588632131598</v>
      </c>
      <c r="H17">
        <v>341.09495053231979</v>
      </c>
      <c r="I17">
        <v>79.185120558831514</v>
      </c>
      <c r="J17">
        <v>78.123832931068776</v>
      </c>
      <c r="K17">
        <v>189.16588522407471</v>
      </c>
      <c r="L17">
        <v>31.118318693389718</v>
      </c>
      <c r="M17">
        <v>552.26703675769443</v>
      </c>
      <c r="N17">
        <v>45.6907911069326</v>
      </c>
      <c r="O17">
        <v>662.05857941913359</v>
      </c>
      <c r="P17">
        <v>97.564095676282633</v>
      </c>
      <c r="Q17">
        <v>334.73058390515678</v>
      </c>
      <c r="R17">
        <v>142.33760343506168</v>
      </c>
      <c r="S17">
        <v>418.00820547872888</v>
      </c>
      <c r="T17">
        <f t="shared" si="1"/>
        <v>10.850911790838261</v>
      </c>
      <c r="U17">
        <f t="shared" si="2"/>
        <v>108.9913611433962</v>
      </c>
      <c r="V17">
        <f t="shared" si="3"/>
        <v>144.18498726831774</v>
      </c>
      <c r="W17">
        <f t="shared" si="4"/>
        <v>101.85095631533734</v>
      </c>
      <c r="X17">
        <f t="shared" si="5"/>
        <v>115.08586871454948</v>
      </c>
      <c r="Y17">
        <f t="shared" si="6"/>
        <v>349.18389005860837</v>
      </c>
      <c r="Z17">
        <f t="shared" si="7"/>
        <v>84.219997997407688</v>
      </c>
      <c r="AA17">
        <f t="shared" si="8"/>
        <v>92.405660334344702</v>
      </c>
      <c r="AB17">
        <f t="shared" si="9"/>
        <v>190.96536031799928</v>
      </c>
      <c r="AC17">
        <f t="shared" si="10"/>
        <v>48.240304705663988</v>
      </c>
      <c r="AD17">
        <f t="shared" si="11"/>
        <v>531.40705905673337</v>
      </c>
      <c r="AE17">
        <f t="shared" si="12"/>
        <v>60.188008847934093</v>
      </c>
      <c r="AF17">
        <f t="shared" si="13"/>
        <v>682.81394226875</v>
      </c>
      <c r="AG17">
        <f t="shared" si="14"/>
        <v>65.310228897544974</v>
      </c>
      <c r="AH17">
        <f t="shared" si="15"/>
        <v>342.00034403504509</v>
      </c>
      <c r="AI17">
        <f t="shared" si="16"/>
        <v>146.61272347117492</v>
      </c>
      <c r="AJ17">
        <f t="shared" si="17"/>
        <v>409.10855659966484</v>
      </c>
    </row>
    <row r="18" spans="1:36" ht="14.45" x14ac:dyDescent="0.3">
      <c r="A18" s="8">
        <v>37347</v>
      </c>
      <c r="B18" s="9">
        <f t="shared" si="0"/>
        <v>4</v>
      </c>
      <c r="C18">
        <v>8.0322547321695019</v>
      </c>
      <c r="D18">
        <v>96.007361265057185</v>
      </c>
      <c r="E18">
        <v>148.94624246779003</v>
      </c>
      <c r="F18">
        <v>96.240089266185166</v>
      </c>
      <c r="G18">
        <v>123.2772758832174</v>
      </c>
      <c r="H18">
        <v>330.4797991490762</v>
      </c>
      <c r="I18">
        <v>121.31173428131383</v>
      </c>
      <c r="J18">
        <v>84.008389488574991</v>
      </c>
      <c r="K18">
        <v>170.17509069661787</v>
      </c>
      <c r="L18">
        <v>56.936844906756434</v>
      </c>
      <c r="M18">
        <v>557.80853749718142</v>
      </c>
      <c r="N18">
        <v>58.469640149335468</v>
      </c>
      <c r="O18">
        <v>669.23885328145525</v>
      </c>
      <c r="P18">
        <v>50.590104207727371</v>
      </c>
      <c r="Q18">
        <v>357.87408885709652</v>
      </c>
      <c r="R18">
        <v>131.05570930030319</v>
      </c>
      <c r="S18">
        <v>363.66096350709216</v>
      </c>
      <c r="T18" t="str">
        <f t="shared" si="1"/>
        <v/>
      </c>
      <c r="U18" t="str">
        <f t="shared" si="2"/>
        <v/>
      </c>
      <c r="V18" t="str">
        <f t="shared" si="3"/>
        <v/>
      </c>
      <c r="W18" t="str">
        <f t="shared" si="4"/>
        <v/>
      </c>
      <c r="X18" t="str">
        <f t="shared" si="5"/>
        <v/>
      </c>
      <c r="Y18" t="str">
        <f t="shared" si="6"/>
        <v/>
      </c>
      <c r="Z18" t="str">
        <f t="shared" si="7"/>
        <v/>
      </c>
      <c r="AA18" t="str">
        <f t="shared" si="8"/>
        <v/>
      </c>
      <c r="AB18" t="str">
        <f t="shared" si="9"/>
        <v/>
      </c>
      <c r="AC18" t="str">
        <f t="shared" si="10"/>
        <v/>
      </c>
      <c r="AD18" t="str">
        <f t="shared" si="11"/>
        <v/>
      </c>
      <c r="AE18" t="str">
        <f t="shared" si="12"/>
        <v/>
      </c>
      <c r="AF18" t="str">
        <f t="shared" si="13"/>
        <v/>
      </c>
      <c r="AG18" t="str">
        <f t="shared" si="14"/>
        <v/>
      </c>
      <c r="AH18" t="str">
        <f t="shared" si="15"/>
        <v/>
      </c>
      <c r="AI18" t="str">
        <f t="shared" si="16"/>
        <v/>
      </c>
      <c r="AJ18" t="str">
        <f t="shared" si="17"/>
        <v/>
      </c>
    </row>
    <row r="19" spans="1:36" ht="14.45" x14ac:dyDescent="0.3">
      <c r="A19" s="8">
        <v>37377</v>
      </c>
      <c r="B19" s="9">
        <f t="shared" si="0"/>
        <v>5</v>
      </c>
      <c r="C19">
        <v>4.4012584132938697</v>
      </c>
      <c r="D19">
        <v>111.91460408025344</v>
      </c>
      <c r="E19">
        <v>151.23821947921081</v>
      </c>
      <c r="F19">
        <v>91.093373594552446</v>
      </c>
      <c r="G19">
        <v>101.58258523968975</v>
      </c>
      <c r="H19">
        <v>322.2075136912211</v>
      </c>
      <c r="I19">
        <v>103.30205119372822</v>
      </c>
      <c r="J19">
        <v>86.864441079499471</v>
      </c>
      <c r="K19">
        <v>152.85494808299259</v>
      </c>
      <c r="L19">
        <v>47.452334567088073</v>
      </c>
      <c r="M19">
        <v>640.9668373967454</v>
      </c>
      <c r="N19">
        <v>59.203402499400504</v>
      </c>
      <c r="O19">
        <v>578.58592193035633</v>
      </c>
      <c r="P19">
        <v>57.757299831074029</v>
      </c>
      <c r="Q19">
        <v>354.56130382868571</v>
      </c>
      <c r="R19">
        <v>166.83511902595393</v>
      </c>
      <c r="S19">
        <v>454.70920437400076</v>
      </c>
      <c r="T19" t="str">
        <f t="shared" si="1"/>
        <v/>
      </c>
      <c r="U19" t="str">
        <f t="shared" si="2"/>
        <v/>
      </c>
      <c r="V19" t="str">
        <f t="shared" si="3"/>
        <v/>
      </c>
      <c r="W19" t="str">
        <f t="shared" si="4"/>
        <v/>
      </c>
      <c r="X19" t="str">
        <f t="shared" si="5"/>
        <v/>
      </c>
      <c r="Y19" t="str">
        <f t="shared" si="6"/>
        <v/>
      </c>
      <c r="Z19" t="str">
        <f t="shared" si="7"/>
        <v/>
      </c>
      <c r="AA19" t="str">
        <f t="shared" si="8"/>
        <v/>
      </c>
      <c r="AB19" t="str">
        <f t="shared" si="9"/>
        <v/>
      </c>
      <c r="AC19" t="str">
        <f t="shared" si="10"/>
        <v/>
      </c>
      <c r="AD19" t="str">
        <f t="shared" si="11"/>
        <v/>
      </c>
      <c r="AE19" t="str">
        <f t="shared" si="12"/>
        <v/>
      </c>
      <c r="AF19" t="str">
        <f t="shared" si="13"/>
        <v/>
      </c>
      <c r="AG19" t="str">
        <f t="shared" si="14"/>
        <v/>
      </c>
      <c r="AH19" t="str">
        <f t="shared" si="15"/>
        <v/>
      </c>
      <c r="AI19" t="str">
        <f t="shared" si="16"/>
        <v/>
      </c>
      <c r="AJ19" t="str">
        <f t="shared" si="17"/>
        <v/>
      </c>
    </row>
    <row r="20" spans="1:36" ht="14.45" x14ac:dyDescent="0.3">
      <c r="A20" s="8">
        <v>37408</v>
      </c>
      <c r="B20" s="9">
        <f t="shared" si="0"/>
        <v>6</v>
      </c>
      <c r="C20">
        <v>9.4979485419050036</v>
      </c>
      <c r="D20">
        <v>125.67092210622148</v>
      </c>
      <c r="E20">
        <v>149.62626815407361</v>
      </c>
      <c r="F20">
        <v>95.953587897633597</v>
      </c>
      <c r="G20">
        <v>120.09576073461878</v>
      </c>
      <c r="H20">
        <v>314.64517376062071</v>
      </c>
      <c r="I20">
        <v>78.914183204982393</v>
      </c>
      <c r="J20">
        <v>59.34512062600092</v>
      </c>
      <c r="K20">
        <v>167.95128822471585</v>
      </c>
      <c r="L20">
        <v>56.784232659545687</v>
      </c>
      <c r="M20">
        <v>513.51862797970853</v>
      </c>
      <c r="N20">
        <v>82.423221661796319</v>
      </c>
      <c r="O20">
        <v>634.66081477887246</v>
      </c>
      <c r="P20">
        <v>46.905282025928301</v>
      </c>
      <c r="Q20">
        <v>281.59019716140597</v>
      </c>
      <c r="R20">
        <v>113.27397237512344</v>
      </c>
      <c r="S20">
        <v>378.99483480573633</v>
      </c>
      <c r="T20">
        <f t="shared" si="1"/>
        <v>7.310487229122792</v>
      </c>
      <c r="U20">
        <f t="shared" si="2"/>
        <v>111.19762915051071</v>
      </c>
      <c r="V20">
        <f t="shared" si="3"/>
        <v>149.93691003369148</v>
      </c>
      <c r="W20">
        <f t="shared" si="4"/>
        <v>94.429016919457069</v>
      </c>
      <c r="X20">
        <f t="shared" si="5"/>
        <v>114.98520728584197</v>
      </c>
      <c r="Y20">
        <f t="shared" si="6"/>
        <v>322.44416220030598</v>
      </c>
      <c r="Z20">
        <f t="shared" si="7"/>
        <v>101.17598956000815</v>
      </c>
      <c r="AA20">
        <f t="shared" si="8"/>
        <v>76.739317064691789</v>
      </c>
      <c r="AB20">
        <f t="shared" si="9"/>
        <v>163.66044233477544</v>
      </c>
      <c r="AC20">
        <f t="shared" si="10"/>
        <v>53.724470711130067</v>
      </c>
      <c r="AD20">
        <f t="shared" si="11"/>
        <v>570.76466762454504</v>
      </c>
      <c r="AE20">
        <f t="shared" si="12"/>
        <v>66.69875477017743</v>
      </c>
      <c r="AF20">
        <f t="shared" si="13"/>
        <v>627.49519666356139</v>
      </c>
      <c r="AG20">
        <f t="shared" si="14"/>
        <v>51.750895354909893</v>
      </c>
      <c r="AH20">
        <f t="shared" si="15"/>
        <v>331.3418632823961</v>
      </c>
      <c r="AI20">
        <f t="shared" si="16"/>
        <v>137.05493356712685</v>
      </c>
      <c r="AJ20">
        <f t="shared" si="17"/>
        <v>399.1216675622764</v>
      </c>
    </row>
    <row r="21" spans="1:36" ht="14.45" x14ac:dyDescent="0.3">
      <c r="A21" s="8">
        <v>37438</v>
      </c>
      <c r="B21" s="9">
        <f t="shared" si="0"/>
        <v>7</v>
      </c>
      <c r="C21">
        <v>6.8228023533861437</v>
      </c>
      <c r="D21">
        <v>91.448463252099117</v>
      </c>
      <c r="E21">
        <v>159.66648313994031</v>
      </c>
      <c r="F21">
        <v>91.305317696501803</v>
      </c>
      <c r="G21">
        <v>95.149495085021641</v>
      </c>
      <c r="H21">
        <v>338.72683625022171</v>
      </c>
      <c r="I21">
        <v>83.060549506697072</v>
      </c>
      <c r="J21">
        <v>98.952406318464156</v>
      </c>
      <c r="K21">
        <v>171.1447654623143</v>
      </c>
      <c r="L21">
        <v>37.666598127584592</v>
      </c>
      <c r="M21">
        <v>601.8799375616785</v>
      </c>
      <c r="N21">
        <v>53.926740249864686</v>
      </c>
      <c r="O21">
        <v>625.73000277882045</v>
      </c>
      <c r="P21">
        <v>41.352609073378254</v>
      </c>
      <c r="Q21">
        <v>384.91570949723632</v>
      </c>
      <c r="R21">
        <v>142.58406939144916</v>
      </c>
      <c r="S21">
        <v>410.18502279612511</v>
      </c>
      <c r="T21" t="str">
        <f t="shared" si="1"/>
        <v/>
      </c>
      <c r="U21" t="str">
        <f t="shared" si="2"/>
        <v/>
      </c>
      <c r="V21" t="str">
        <f t="shared" si="3"/>
        <v/>
      </c>
      <c r="W21" t="str">
        <f t="shared" si="4"/>
        <v/>
      </c>
      <c r="X21" t="str">
        <f t="shared" si="5"/>
        <v/>
      </c>
      <c r="Y21" t="str">
        <f t="shared" si="6"/>
        <v/>
      </c>
      <c r="Z21" t="str">
        <f t="shared" si="7"/>
        <v/>
      </c>
      <c r="AA21" t="str">
        <f t="shared" si="8"/>
        <v/>
      </c>
      <c r="AB21" t="str">
        <f t="shared" si="9"/>
        <v/>
      </c>
      <c r="AC21" t="str">
        <f t="shared" si="10"/>
        <v/>
      </c>
      <c r="AD21" t="str">
        <f t="shared" si="11"/>
        <v/>
      </c>
      <c r="AE21" t="str">
        <f t="shared" si="12"/>
        <v/>
      </c>
      <c r="AF21" t="str">
        <f t="shared" si="13"/>
        <v/>
      </c>
      <c r="AG21" t="str">
        <f t="shared" si="14"/>
        <v/>
      </c>
      <c r="AH21" t="str">
        <f t="shared" si="15"/>
        <v/>
      </c>
      <c r="AI21" t="str">
        <f t="shared" si="16"/>
        <v/>
      </c>
      <c r="AJ21" t="str">
        <f t="shared" si="17"/>
        <v/>
      </c>
    </row>
    <row r="22" spans="1:36" ht="14.45" x14ac:dyDescent="0.3">
      <c r="A22" s="8">
        <v>37469</v>
      </c>
      <c r="B22" s="9">
        <f t="shared" si="0"/>
        <v>8</v>
      </c>
      <c r="C22">
        <v>9.2846007827012915</v>
      </c>
      <c r="D22">
        <v>107.57795172089206</v>
      </c>
      <c r="E22">
        <v>141.19483380872362</v>
      </c>
      <c r="F22">
        <v>90.016251157419958</v>
      </c>
      <c r="G22">
        <v>108.89529448206197</v>
      </c>
      <c r="H22">
        <v>311.3332152939841</v>
      </c>
      <c r="I22">
        <v>81.949999559641483</v>
      </c>
      <c r="J22">
        <v>77.028035260555527</v>
      </c>
      <c r="K22">
        <v>167.15844637596098</v>
      </c>
      <c r="L22">
        <v>37.344733117799841</v>
      </c>
      <c r="M22">
        <v>566.63664670905223</v>
      </c>
      <c r="N22">
        <v>42.437475175576878</v>
      </c>
      <c r="O22">
        <v>627.66168952085457</v>
      </c>
      <c r="P22">
        <v>51.678218846449006</v>
      </c>
      <c r="Q22">
        <v>364.18873255349962</v>
      </c>
      <c r="R22">
        <v>138.17523818891709</v>
      </c>
      <c r="S22">
        <v>420.88487870432408</v>
      </c>
      <c r="T22" t="str">
        <f t="shared" si="1"/>
        <v/>
      </c>
      <c r="U22" t="str">
        <f t="shared" si="2"/>
        <v/>
      </c>
      <c r="V22" t="str">
        <f t="shared" si="3"/>
        <v/>
      </c>
      <c r="W22" t="str">
        <f t="shared" si="4"/>
        <v/>
      </c>
      <c r="X22" t="str">
        <f t="shared" si="5"/>
        <v/>
      </c>
      <c r="Y22" t="str">
        <f t="shared" si="6"/>
        <v/>
      </c>
      <c r="Z22" t="str">
        <f t="shared" si="7"/>
        <v/>
      </c>
      <c r="AA22" t="str">
        <f t="shared" si="8"/>
        <v/>
      </c>
      <c r="AB22" t="str">
        <f t="shared" si="9"/>
        <v/>
      </c>
      <c r="AC22" t="str">
        <f t="shared" si="10"/>
        <v/>
      </c>
      <c r="AD22" t="str">
        <f t="shared" si="11"/>
        <v/>
      </c>
      <c r="AE22" t="str">
        <f t="shared" si="12"/>
        <v/>
      </c>
      <c r="AF22" t="str">
        <f t="shared" si="13"/>
        <v/>
      </c>
      <c r="AG22" t="str">
        <f t="shared" si="14"/>
        <v/>
      </c>
      <c r="AH22" t="str">
        <f t="shared" si="15"/>
        <v/>
      </c>
      <c r="AI22" t="str">
        <f t="shared" si="16"/>
        <v/>
      </c>
      <c r="AJ22" t="str">
        <f t="shared" si="17"/>
        <v/>
      </c>
    </row>
    <row r="23" spans="1:36" ht="14.45" x14ac:dyDescent="0.3">
      <c r="A23" s="8">
        <v>37500</v>
      </c>
      <c r="B23" s="9">
        <f t="shared" si="0"/>
        <v>9</v>
      </c>
      <c r="C23">
        <v>5.7948899968276528</v>
      </c>
      <c r="D23">
        <v>126.50090933588778</v>
      </c>
      <c r="E23">
        <v>138.8615412173703</v>
      </c>
      <c r="F23">
        <v>87.249415039276386</v>
      </c>
      <c r="G23">
        <v>92.885229944043061</v>
      </c>
      <c r="H23">
        <v>330.4358479422263</v>
      </c>
      <c r="I23">
        <v>67.033293291913211</v>
      </c>
      <c r="J23">
        <v>63.066744132728346</v>
      </c>
      <c r="K23">
        <v>120.05637276914496</v>
      </c>
      <c r="L23">
        <v>31.876236992656267</v>
      </c>
      <c r="M23">
        <v>559.48805079689805</v>
      </c>
      <c r="N23">
        <v>41.83491805391386</v>
      </c>
      <c r="O23">
        <v>636.72184758337448</v>
      </c>
      <c r="P23">
        <v>37.896114653838637</v>
      </c>
      <c r="Q23">
        <v>310.13795156909697</v>
      </c>
      <c r="R23">
        <v>167.63209826575755</v>
      </c>
      <c r="S23">
        <v>384.54473558837913</v>
      </c>
      <c r="T23">
        <f t="shared" si="1"/>
        <v>7.3007643776383624</v>
      </c>
      <c r="U23">
        <f t="shared" si="2"/>
        <v>108.50910810295966</v>
      </c>
      <c r="V23">
        <f t="shared" si="3"/>
        <v>146.57428605534474</v>
      </c>
      <c r="W23">
        <f t="shared" si="4"/>
        <v>89.523661297732701</v>
      </c>
      <c r="X23">
        <f t="shared" si="5"/>
        <v>98.976673170375577</v>
      </c>
      <c r="Y23">
        <f t="shared" si="6"/>
        <v>326.83196649547739</v>
      </c>
      <c r="Z23">
        <f t="shared" si="7"/>
        <v>77.347947452750589</v>
      </c>
      <c r="AA23">
        <f t="shared" si="8"/>
        <v>79.682395237249338</v>
      </c>
      <c r="AB23">
        <f t="shared" si="9"/>
        <v>152.78652820247342</v>
      </c>
      <c r="AC23">
        <f t="shared" si="10"/>
        <v>35.629189412680233</v>
      </c>
      <c r="AD23">
        <f t="shared" si="11"/>
        <v>576.00154502254293</v>
      </c>
      <c r="AE23">
        <f t="shared" si="12"/>
        <v>46.066377826451806</v>
      </c>
      <c r="AF23">
        <f t="shared" si="13"/>
        <v>630.03784662768317</v>
      </c>
      <c r="AG23">
        <f t="shared" si="14"/>
        <v>43.642314191221963</v>
      </c>
      <c r="AH23">
        <f t="shared" si="15"/>
        <v>353.08079787327762</v>
      </c>
      <c r="AI23">
        <f t="shared" si="16"/>
        <v>149.46380194870792</v>
      </c>
      <c r="AJ23">
        <f t="shared" si="17"/>
        <v>405.2048790296094</v>
      </c>
    </row>
    <row r="24" spans="1:36" ht="14.45" x14ac:dyDescent="0.3">
      <c r="A24" s="8">
        <v>37530</v>
      </c>
      <c r="B24" s="9">
        <f t="shared" si="0"/>
        <v>10</v>
      </c>
      <c r="C24">
        <v>9.871697532094089</v>
      </c>
      <c r="D24">
        <v>130.42962223713835</v>
      </c>
      <c r="E24">
        <v>153.54145197633312</v>
      </c>
      <c r="F24">
        <v>78.603924976870672</v>
      </c>
      <c r="G24">
        <v>92.269846468712387</v>
      </c>
      <c r="H24">
        <v>407.95345678561392</v>
      </c>
      <c r="I24">
        <v>95.241379958605847</v>
      </c>
      <c r="J24">
        <v>85.200388849148666</v>
      </c>
      <c r="K24">
        <v>182.45914738727942</v>
      </c>
      <c r="L24">
        <v>50.882130937822936</v>
      </c>
      <c r="M24">
        <v>685.85510223100471</v>
      </c>
      <c r="N24">
        <v>39.946097091140601</v>
      </c>
      <c r="O24">
        <v>610.33713699913505</v>
      </c>
      <c r="P24">
        <v>43.186486601417187</v>
      </c>
      <c r="Q24">
        <v>338.71637573379024</v>
      </c>
      <c r="R24">
        <v>154.24356194893977</v>
      </c>
      <c r="S24">
        <v>385.82687212292723</v>
      </c>
      <c r="T24" t="str">
        <f t="shared" si="1"/>
        <v/>
      </c>
      <c r="U24" t="str">
        <f t="shared" si="2"/>
        <v/>
      </c>
      <c r="V24" t="str">
        <f t="shared" si="3"/>
        <v/>
      </c>
      <c r="W24" t="str">
        <f t="shared" si="4"/>
        <v/>
      </c>
      <c r="X24" t="str">
        <f t="shared" si="5"/>
        <v/>
      </c>
      <c r="Y24" t="str">
        <f t="shared" si="6"/>
        <v/>
      </c>
      <c r="Z24" t="str">
        <f t="shared" si="7"/>
        <v/>
      </c>
      <c r="AA24" t="str">
        <f t="shared" si="8"/>
        <v/>
      </c>
      <c r="AB24" t="str">
        <f t="shared" si="9"/>
        <v/>
      </c>
      <c r="AC24" t="str">
        <f t="shared" si="10"/>
        <v/>
      </c>
      <c r="AD24" t="str">
        <f t="shared" si="11"/>
        <v/>
      </c>
      <c r="AE24" t="str">
        <f t="shared" si="12"/>
        <v/>
      </c>
      <c r="AF24" t="str">
        <f t="shared" si="13"/>
        <v/>
      </c>
      <c r="AG24" t="str">
        <f t="shared" si="14"/>
        <v/>
      </c>
      <c r="AH24" t="str">
        <f t="shared" si="15"/>
        <v/>
      </c>
      <c r="AI24" t="str">
        <f t="shared" si="16"/>
        <v/>
      </c>
      <c r="AJ24" t="str">
        <f t="shared" si="17"/>
        <v/>
      </c>
    </row>
    <row r="25" spans="1:36" ht="14.45" x14ac:dyDescent="0.3">
      <c r="A25" s="8">
        <v>37561</v>
      </c>
      <c r="B25" s="9">
        <f t="shared" si="0"/>
        <v>11</v>
      </c>
      <c r="C25">
        <v>5.5294319040582574</v>
      </c>
      <c r="D25">
        <v>111.21433099679624</v>
      </c>
      <c r="E25">
        <v>130.48606456937691</v>
      </c>
      <c r="F25">
        <v>80.545110858506064</v>
      </c>
      <c r="G25">
        <v>96.709547575076883</v>
      </c>
      <c r="H25">
        <v>295.2838471371503</v>
      </c>
      <c r="I25">
        <v>105.3329764040527</v>
      </c>
      <c r="J25">
        <v>71.472512708473133</v>
      </c>
      <c r="K25">
        <v>187.63699696731018</v>
      </c>
      <c r="L25">
        <v>33.840205077210705</v>
      </c>
      <c r="M25">
        <v>653.23927965391283</v>
      </c>
      <c r="N25">
        <v>46.834604037312317</v>
      </c>
      <c r="O25">
        <v>647.35580961548544</v>
      </c>
      <c r="P25">
        <v>45.313679252547161</v>
      </c>
      <c r="Q25">
        <v>386.72622832441215</v>
      </c>
      <c r="R25">
        <v>154.76684069221992</v>
      </c>
      <c r="S25">
        <v>431.12498186591108</v>
      </c>
      <c r="T25" t="str">
        <f t="shared" si="1"/>
        <v/>
      </c>
      <c r="U25" t="str">
        <f t="shared" si="2"/>
        <v/>
      </c>
      <c r="V25" t="str">
        <f t="shared" si="3"/>
        <v/>
      </c>
      <c r="W25" t="str">
        <f t="shared" si="4"/>
        <v/>
      </c>
      <c r="X25" t="str">
        <f t="shared" si="5"/>
        <v/>
      </c>
      <c r="Y25" t="str">
        <f t="shared" si="6"/>
        <v/>
      </c>
      <c r="Z25" t="str">
        <f t="shared" si="7"/>
        <v/>
      </c>
      <c r="AA25" t="str">
        <f t="shared" si="8"/>
        <v/>
      </c>
      <c r="AB25" t="str">
        <f t="shared" si="9"/>
        <v/>
      </c>
      <c r="AC25" t="str">
        <f t="shared" si="10"/>
        <v/>
      </c>
      <c r="AD25" t="str">
        <f t="shared" si="11"/>
        <v/>
      </c>
      <c r="AE25" t="str">
        <f t="shared" si="12"/>
        <v/>
      </c>
      <c r="AF25" t="str">
        <f t="shared" si="13"/>
        <v/>
      </c>
      <c r="AG25" t="str">
        <f t="shared" si="14"/>
        <v/>
      </c>
      <c r="AH25" t="str">
        <f t="shared" si="15"/>
        <v/>
      </c>
      <c r="AI25" t="str">
        <f t="shared" si="16"/>
        <v/>
      </c>
      <c r="AJ25" t="str">
        <f t="shared" si="17"/>
        <v/>
      </c>
    </row>
    <row r="26" spans="1:36" ht="14.45" x14ac:dyDescent="0.3">
      <c r="A26" s="8">
        <v>37591</v>
      </c>
      <c r="B26" s="9">
        <f t="shared" si="0"/>
        <v>12</v>
      </c>
      <c r="C26">
        <v>3.2051571798439724</v>
      </c>
      <c r="D26">
        <v>96.352688929248572</v>
      </c>
      <c r="E26">
        <v>130.60516562608271</v>
      </c>
      <c r="F26">
        <v>71.398345196021793</v>
      </c>
      <c r="G26">
        <v>88.400018999529564</v>
      </c>
      <c r="H26">
        <v>226.38650384815205</v>
      </c>
      <c r="I26">
        <v>102.04758033251012</v>
      </c>
      <c r="J26">
        <v>51.607090035332639</v>
      </c>
      <c r="K26">
        <v>150.24632915925278</v>
      </c>
      <c r="L26">
        <v>47.930764466491276</v>
      </c>
      <c r="M26">
        <v>602.17376122796964</v>
      </c>
      <c r="N26">
        <v>45.294927232993111</v>
      </c>
      <c r="O26">
        <v>566.0779126227568</v>
      </c>
      <c r="P26">
        <v>36.439351910140736</v>
      </c>
      <c r="Q26">
        <v>320.42307552091665</v>
      </c>
      <c r="R26">
        <v>141.38501078893572</v>
      </c>
      <c r="S26">
        <v>348.79150911799735</v>
      </c>
      <c r="T26">
        <f t="shared" si="1"/>
        <v>6.2020955386654393</v>
      </c>
      <c r="U26">
        <f t="shared" si="2"/>
        <v>112.66554738772771</v>
      </c>
      <c r="V26">
        <f t="shared" si="3"/>
        <v>138.21089405726423</v>
      </c>
      <c r="W26">
        <f t="shared" si="4"/>
        <v>76.849127010466177</v>
      </c>
      <c r="X26">
        <f t="shared" si="5"/>
        <v>92.459804347772945</v>
      </c>
      <c r="Y26">
        <f t="shared" si="6"/>
        <v>309.87460259030541</v>
      </c>
      <c r="Z26">
        <f t="shared" si="7"/>
        <v>100.87397889838955</v>
      </c>
      <c r="AA26">
        <f t="shared" si="8"/>
        <v>69.426663864318144</v>
      </c>
      <c r="AB26">
        <f t="shared" si="9"/>
        <v>173.4474911712808</v>
      </c>
      <c r="AC26">
        <f t="shared" si="10"/>
        <v>44.217700160508308</v>
      </c>
      <c r="AD26">
        <f t="shared" si="11"/>
        <v>647.0893810376291</v>
      </c>
      <c r="AE26">
        <f t="shared" si="12"/>
        <v>44.025209453815343</v>
      </c>
      <c r="AF26">
        <f t="shared" si="13"/>
        <v>607.92361974579251</v>
      </c>
      <c r="AG26">
        <f t="shared" si="14"/>
        <v>41.646505921368366</v>
      </c>
      <c r="AH26">
        <f t="shared" si="15"/>
        <v>348.62189319303963</v>
      </c>
      <c r="AI26">
        <f t="shared" si="16"/>
        <v>150.13180447669845</v>
      </c>
      <c r="AJ26">
        <f t="shared" si="17"/>
        <v>388.58112103561189</v>
      </c>
    </row>
    <row r="27" spans="1:36" ht="14.45" x14ac:dyDescent="0.3">
      <c r="A27" s="8">
        <v>37622</v>
      </c>
      <c r="B27" s="9">
        <f t="shared" si="0"/>
        <v>1</v>
      </c>
      <c r="C27">
        <v>5.5755309615157804</v>
      </c>
      <c r="D27">
        <v>118.99566868211788</v>
      </c>
      <c r="E27">
        <v>139.05087031491271</v>
      </c>
      <c r="F27">
        <v>92.081620433975843</v>
      </c>
      <c r="G27">
        <v>107.6073996908794</v>
      </c>
      <c r="H27">
        <v>306.78018698704869</v>
      </c>
      <c r="I27">
        <v>111.11818162137877</v>
      </c>
      <c r="J27">
        <v>114.73209698010658</v>
      </c>
      <c r="K27">
        <v>178.09768515854731</v>
      </c>
      <c r="L27">
        <v>39.722920636879707</v>
      </c>
      <c r="M27">
        <v>863.82520141259397</v>
      </c>
      <c r="N27">
        <v>47.340200584056554</v>
      </c>
      <c r="O27">
        <v>575.8981311379813</v>
      </c>
      <c r="P27">
        <v>36.925928157752089</v>
      </c>
      <c r="Q27">
        <v>397.97079723455477</v>
      </c>
      <c r="R27">
        <v>126.09279106247971</v>
      </c>
      <c r="S27">
        <v>417.05278155562343</v>
      </c>
      <c r="T27" t="str">
        <f t="shared" si="1"/>
        <v/>
      </c>
      <c r="U27" t="str">
        <f t="shared" si="2"/>
        <v/>
      </c>
      <c r="V27" t="str">
        <f t="shared" si="3"/>
        <v/>
      </c>
      <c r="W27" t="str">
        <f t="shared" si="4"/>
        <v/>
      </c>
      <c r="X27" t="str">
        <f t="shared" si="5"/>
        <v/>
      </c>
      <c r="Y27" t="str">
        <f t="shared" si="6"/>
        <v/>
      </c>
      <c r="Z27" t="str">
        <f t="shared" si="7"/>
        <v/>
      </c>
      <c r="AA27" t="str">
        <f t="shared" si="8"/>
        <v/>
      </c>
      <c r="AB27" t="str">
        <f t="shared" si="9"/>
        <v/>
      </c>
      <c r="AC27" t="str">
        <f t="shared" si="10"/>
        <v/>
      </c>
      <c r="AD27" t="str">
        <f t="shared" si="11"/>
        <v/>
      </c>
      <c r="AE27" t="str">
        <f t="shared" si="12"/>
        <v/>
      </c>
      <c r="AF27" t="str">
        <f t="shared" si="13"/>
        <v/>
      </c>
      <c r="AG27" t="str">
        <f t="shared" si="14"/>
        <v/>
      </c>
      <c r="AH27" t="str">
        <f t="shared" si="15"/>
        <v/>
      </c>
      <c r="AI27" t="str">
        <f t="shared" si="16"/>
        <v/>
      </c>
      <c r="AJ27" t="str">
        <f t="shared" si="17"/>
        <v/>
      </c>
    </row>
    <row r="28" spans="1:36" ht="14.45" x14ac:dyDescent="0.3">
      <c r="A28" s="8">
        <v>37653</v>
      </c>
      <c r="B28" s="9">
        <f t="shared" si="0"/>
        <v>2</v>
      </c>
      <c r="C28">
        <v>6.002855196048217</v>
      </c>
      <c r="D28">
        <v>82.655990535094261</v>
      </c>
      <c r="E28">
        <v>118.66199904796588</v>
      </c>
      <c r="F28">
        <v>75.011155024025982</v>
      </c>
      <c r="G28">
        <v>92.006783237024109</v>
      </c>
      <c r="H28">
        <v>346.17548389350117</v>
      </c>
      <c r="I28">
        <v>107.91995868290815</v>
      </c>
      <c r="J28">
        <v>74.955146771845079</v>
      </c>
      <c r="K28">
        <v>142.97996572567689</v>
      </c>
      <c r="L28">
        <v>53.41620568591263</v>
      </c>
      <c r="M28">
        <v>768.06750988877775</v>
      </c>
      <c r="N28">
        <v>39.439361341149741</v>
      </c>
      <c r="O28">
        <v>542.59141768363713</v>
      </c>
      <c r="P28">
        <v>54.421478174612616</v>
      </c>
      <c r="Q28">
        <v>287.42472360487051</v>
      </c>
      <c r="R28">
        <v>182.52419612484442</v>
      </c>
      <c r="S28">
        <v>366.61520861214183</v>
      </c>
      <c r="T28" t="str">
        <f t="shared" si="1"/>
        <v/>
      </c>
      <c r="U28" t="str">
        <f t="shared" si="2"/>
        <v/>
      </c>
      <c r="V28" t="str">
        <f t="shared" si="3"/>
        <v/>
      </c>
      <c r="W28" t="str">
        <f t="shared" si="4"/>
        <v/>
      </c>
      <c r="X28" t="str">
        <f t="shared" si="5"/>
        <v/>
      </c>
      <c r="Y28" t="str">
        <f t="shared" si="6"/>
        <v/>
      </c>
      <c r="Z28" t="str">
        <f t="shared" si="7"/>
        <v/>
      </c>
      <c r="AA28" t="str">
        <f t="shared" si="8"/>
        <v/>
      </c>
      <c r="AB28" t="str">
        <f t="shared" si="9"/>
        <v/>
      </c>
      <c r="AC28" t="str">
        <f t="shared" si="10"/>
        <v/>
      </c>
      <c r="AD28" t="str">
        <f t="shared" si="11"/>
        <v/>
      </c>
      <c r="AE28" t="str">
        <f t="shared" si="12"/>
        <v/>
      </c>
      <c r="AF28" t="str">
        <f t="shared" si="13"/>
        <v/>
      </c>
      <c r="AG28" t="str">
        <f t="shared" si="14"/>
        <v/>
      </c>
      <c r="AH28" t="str">
        <f t="shared" si="15"/>
        <v/>
      </c>
      <c r="AI28" t="str">
        <f t="shared" si="16"/>
        <v/>
      </c>
      <c r="AJ28" t="str">
        <f t="shared" si="17"/>
        <v/>
      </c>
    </row>
    <row r="29" spans="1:36" ht="14.45" x14ac:dyDescent="0.3">
      <c r="A29" s="8">
        <v>37681</v>
      </c>
      <c r="B29" s="9">
        <f t="shared" si="0"/>
        <v>3</v>
      </c>
      <c r="C29">
        <v>3.8010507472072756</v>
      </c>
      <c r="D29">
        <v>85.203380984991327</v>
      </c>
      <c r="E29">
        <v>121.49746142859112</v>
      </c>
      <c r="F29">
        <v>64.064955318313821</v>
      </c>
      <c r="G29">
        <v>69.641169832912652</v>
      </c>
      <c r="H29">
        <v>298.84451859327112</v>
      </c>
      <c r="I29">
        <v>87.520396407129581</v>
      </c>
      <c r="J29">
        <v>64.919804830043063</v>
      </c>
      <c r="K29">
        <v>129.79999571226404</v>
      </c>
      <c r="L29">
        <v>65.57074296107119</v>
      </c>
      <c r="M29">
        <v>642.54145622770227</v>
      </c>
      <c r="N29">
        <v>34.268093330199456</v>
      </c>
      <c r="O29">
        <v>524.80253246638642</v>
      </c>
      <c r="P29">
        <v>29.269228702884789</v>
      </c>
      <c r="Q29">
        <v>316.08264051211182</v>
      </c>
      <c r="R29">
        <v>110.12982455559518</v>
      </c>
      <c r="S29">
        <v>344.24205157071793</v>
      </c>
      <c r="T29">
        <f t="shared" si="1"/>
        <v>5.126478968257091</v>
      </c>
      <c r="U29">
        <f t="shared" si="2"/>
        <v>95.618346734067813</v>
      </c>
      <c r="V29">
        <f t="shared" si="3"/>
        <v>126.40344359715657</v>
      </c>
      <c r="W29">
        <f t="shared" si="4"/>
        <v>77.052576925438544</v>
      </c>
      <c r="X29">
        <f t="shared" si="5"/>
        <v>89.751784253605408</v>
      </c>
      <c r="Y29">
        <f t="shared" si="6"/>
        <v>317.26672982460701</v>
      </c>
      <c r="Z29">
        <f t="shared" si="7"/>
        <v>102.1861789038055</v>
      </c>
      <c r="AA29">
        <f t="shared" si="8"/>
        <v>84.869016193998235</v>
      </c>
      <c r="AB29">
        <f t="shared" si="9"/>
        <v>150.29254886549609</v>
      </c>
      <c r="AC29">
        <f t="shared" si="10"/>
        <v>52.903289761287844</v>
      </c>
      <c r="AD29">
        <f t="shared" si="11"/>
        <v>758.14472250969129</v>
      </c>
      <c r="AE29">
        <f t="shared" si="12"/>
        <v>40.349218418468581</v>
      </c>
      <c r="AF29">
        <f t="shared" si="13"/>
        <v>547.76402709600154</v>
      </c>
      <c r="AG29">
        <f t="shared" si="14"/>
        <v>40.205545011749827</v>
      </c>
      <c r="AH29">
        <f t="shared" si="15"/>
        <v>333.82605378384568</v>
      </c>
      <c r="AI29">
        <f t="shared" si="16"/>
        <v>139.5822705809731</v>
      </c>
      <c r="AJ29">
        <f t="shared" si="17"/>
        <v>375.97001391282771</v>
      </c>
    </row>
    <row r="30" spans="1:36" ht="14.45" x14ac:dyDescent="0.3">
      <c r="A30" s="8">
        <v>37712</v>
      </c>
      <c r="B30" s="9">
        <f t="shared" si="0"/>
        <v>4</v>
      </c>
      <c r="C30">
        <v>3.0120955245635628</v>
      </c>
      <c r="D30">
        <v>149.70639383703832</v>
      </c>
      <c r="E30">
        <v>109.84785381999514</v>
      </c>
      <c r="F30">
        <v>87.664239727614216</v>
      </c>
      <c r="G30">
        <v>88.304999036914595</v>
      </c>
      <c r="H30">
        <v>313.90706585841457</v>
      </c>
      <c r="I30">
        <v>55.402209356820485</v>
      </c>
      <c r="J30">
        <v>51.338460243018048</v>
      </c>
      <c r="K30">
        <v>199.8466449719256</v>
      </c>
      <c r="L30">
        <v>29.281805952046167</v>
      </c>
      <c r="M30">
        <v>521.18474463120481</v>
      </c>
      <c r="N30">
        <v>48.301007079885821</v>
      </c>
      <c r="O30">
        <v>596.51551159062319</v>
      </c>
      <c r="P30">
        <v>79.398357992683245</v>
      </c>
      <c r="Q30">
        <v>340.98564870878414</v>
      </c>
      <c r="R30">
        <v>151.79237216427524</v>
      </c>
      <c r="S30">
        <v>324.79643305595255</v>
      </c>
      <c r="T30" t="str">
        <f t="shared" si="1"/>
        <v/>
      </c>
      <c r="U30" t="str">
        <f t="shared" si="2"/>
        <v/>
      </c>
      <c r="V30" t="str">
        <f t="shared" si="3"/>
        <v/>
      </c>
      <c r="W30" t="str">
        <f t="shared" si="4"/>
        <v/>
      </c>
      <c r="X30" t="str">
        <f t="shared" si="5"/>
        <v/>
      </c>
      <c r="Y30" t="str">
        <f t="shared" si="6"/>
        <v/>
      </c>
      <c r="Z30" t="str">
        <f t="shared" si="7"/>
        <v/>
      </c>
      <c r="AA30" t="str">
        <f t="shared" si="8"/>
        <v/>
      </c>
      <c r="AB30" t="str">
        <f t="shared" si="9"/>
        <v/>
      </c>
      <c r="AC30" t="str">
        <f t="shared" si="10"/>
        <v/>
      </c>
      <c r="AD30" t="str">
        <f t="shared" si="11"/>
        <v/>
      </c>
      <c r="AE30" t="str">
        <f t="shared" si="12"/>
        <v/>
      </c>
      <c r="AF30" t="str">
        <f t="shared" si="13"/>
        <v/>
      </c>
      <c r="AG30" t="str">
        <f t="shared" si="14"/>
        <v/>
      </c>
      <c r="AH30" t="str">
        <f t="shared" si="15"/>
        <v/>
      </c>
      <c r="AI30" t="str">
        <f t="shared" si="16"/>
        <v/>
      </c>
      <c r="AJ30" t="str">
        <f t="shared" si="17"/>
        <v/>
      </c>
    </row>
    <row r="31" spans="1:36" x14ac:dyDescent="0.25">
      <c r="A31" s="8">
        <v>37742</v>
      </c>
      <c r="B31" s="9">
        <f t="shared" si="0"/>
        <v>5</v>
      </c>
      <c r="C31">
        <v>5.5015730166173373</v>
      </c>
      <c r="D31">
        <v>99.292656251653426</v>
      </c>
      <c r="E31">
        <v>99.549207758467873</v>
      </c>
      <c r="F31">
        <v>92.072872235354083</v>
      </c>
      <c r="G31">
        <v>87.639877461693118</v>
      </c>
      <c r="H31">
        <v>317.12537625129647</v>
      </c>
      <c r="I31">
        <v>78.995686206968642</v>
      </c>
      <c r="J31">
        <v>46.773160581268939</v>
      </c>
      <c r="K31">
        <v>148.57928519955226</v>
      </c>
      <c r="L31">
        <v>34.798378682531251</v>
      </c>
      <c r="M31">
        <v>610.06485923298317</v>
      </c>
      <c r="N31">
        <v>57.323929404181435</v>
      </c>
      <c r="O31">
        <v>563.35997661639965</v>
      </c>
      <c r="P31">
        <v>34.493942954669208</v>
      </c>
      <c r="Q31">
        <v>348.01267816430368</v>
      </c>
      <c r="R31">
        <v>152.28554469229516</v>
      </c>
      <c r="S31">
        <v>339.10516936366156</v>
      </c>
      <c r="T31" t="str">
        <f t="shared" si="1"/>
        <v/>
      </c>
      <c r="U31" t="str">
        <f t="shared" si="2"/>
        <v/>
      </c>
      <c r="V31" t="str">
        <f t="shared" si="3"/>
        <v/>
      </c>
      <c r="W31" t="str">
        <f t="shared" si="4"/>
        <v/>
      </c>
      <c r="X31" t="str">
        <f t="shared" si="5"/>
        <v/>
      </c>
      <c r="Y31" t="str">
        <f t="shared" si="6"/>
        <v/>
      </c>
      <c r="Z31" t="str">
        <f t="shared" si="7"/>
        <v/>
      </c>
      <c r="AA31" t="str">
        <f t="shared" si="8"/>
        <v/>
      </c>
      <c r="AB31" t="str">
        <f t="shared" si="9"/>
        <v/>
      </c>
      <c r="AC31" t="str">
        <f t="shared" si="10"/>
        <v/>
      </c>
      <c r="AD31" t="str">
        <f t="shared" si="11"/>
        <v/>
      </c>
      <c r="AE31" t="str">
        <f t="shared" si="12"/>
        <v/>
      </c>
      <c r="AF31" t="str">
        <f t="shared" si="13"/>
        <v/>
      </c>
      <c r="AG31" t="str">
        <f t="shared" si="14"/>
        <v/>
      </c>
      <c r="AH31" t="str">
        <f t="shared" si="15"/>
        <v/>
      </c>
      <c r="AI31" t="str">
        <f t="shared" si="16"/>
        <v/>
      </c>
      <c r="AJ31" t="str">
        <f t="shared" si="17"/>
        <v/>
      </c>
    </row>
    <row r="32" spans="1:36" x14ac:dyDescent="0.25">
      <c r="A32" s="8">
        <v>37773</v>
      </c>
      <c r="B32" s="9">
        <f t="shared" si="0"/>
        <v>6</v>
      </c>
      <c r="C32">
        <v>6.3319656946033351</v>
      </c>
      <c r="D32">
        <v>104.26032056219857</v>
      </c>
      <c r="E32">
        <v>106.59649169146421</v>
      </c>
      <c r="F32">
        <v>90.196372623775574</v>
      </c>
      <c r="G32">
        <v>92.30500618445906</v>
      </c>
      <c r="H32">
        <v>305.20581854780204</v>
      </c>
      <c r="I32">
        <v>92.237356992836567</v>
      </c>
      <c r="J32">
        <v>53.950109660000841</v>
      </c>
      <c r="K32">
        <v>136.2623659181657</v>
      </c>
      <c r="L32">
        <v>49.284428346020782</v>
      </c>
      <c r="M32">
        <v>585.96523939593294</v>
      </c>
      <c r="N32">
        <v>44.687288852781137</v>
      </c>
      <c r="O32">
        <v>551.28993599018634</v>
      </c>
      <c r="P32">
        <v>66.864976505046727</v>
      </c>
      <c r="Q32">
        <v>361.32362216409803</v>
      </c>
      <c r="R32">
        <v>127.82292295541453</v>
      </c>
      <c r="S32">
        <v>396.91421233792244</v>
      </c>
      <c r="T32">
        <f t="shared" si="1"/>
        <v>4.9485447452614117</v>
      </c>
      <c r="U32">
        <f t="shared" si="2"/>
        <v>117.75312355029678</v>
      </c>
      <c r="V32">
        <f t="shared" si="3"/>
        <v>105.33118442330908</v>
      </c>
      <c r="W32">
        <f t="shared" si="4"/>
        <v>89.977828195581296</v>
      </c>
      <c r="X32">
        <f t="shared" si="5"/>
        <v>89.416627561022253</v>
      </c>
      <c r="Y32">
        <f t="shared" si="6"/>
        <v>312.07942021917103</v>
      </c>
      <c r="Z32">
        <f t="shared" si="7"/>
        <v>75.545084185541896</v>
      </c>
      <c r="AA32">
        <f t="shared" si="8"/>
        <v>50.687243494762612</v>
      </c>
      <c r="AB32">
        <f t="shared" si="9"/>
        <v>161.56276536321451</v>
      </c>
      <c r="AC32">
        <f t="shared" si="10"/>
        <v>37.788204326866065</v>
      </c>
      <c r="AD32">
        <f t="shared" si="11"/>
        <v>572.40494775337368</v>
      </c>
      <c r="AE32">
        <f t="shared" si="12"/>
        <v>50.1040751122828</v>
      </c>
      <c r="AF32">
        <f t="shared" si="13"/>
        <v>570.3884747324031</v>
      </c>
      <c r="AG32">
        <f t="shared" si="14"/>
        <v>60.252425817466396</v>
      </c>
      <c r="AH32">
        <f t="shared" si="15"/>
        <v>350.10731634572858</v>
      </c>
      <c r="AI32">
        <f t="shared" si="16"/>
        <v>143.96694660399496</v>
      </c>
      <c r="AJ32">
        <f t="shared" si="17"/>
        <v>353.60527158584551</v>
      </c>
    </row>
    <row r="33" spans="1:36" x14ac:dyDescent="0.25">
      <c r="A33" s="8">
        <v>37803</v>
      </c>
      <c r="B33" s="9">
        <f t="shared" si="0"/>
        <v>7</v>
      </c>
      <c r="C33">
        <v>8.772174454353614</v>
      </c>
      <c r="D33">
        <v>123.8711002232979</v>
      </c>
      <c r="E33">
        <v>100.88816242358865</v>
      </c>
      <c r="F33">
        <v>84.000892280781656</v>
      </c>
      <c r="G33">
        <v>123.95622295479883</v>
      </c>
      <c r="H33">
        <v>290.99297314720945</v>
      </c>
      <c r="I33">
        <v>89.312418824405455</v>
      </c>
      <c r="J33">
        <v>56.544232181979524</v>
      </c>
      <c r="K33">
        <v>161.68925355831902</v>
      </c>
      <c r="L33">
        <v>69.201424466957732</v>
      </c>
      <c r="M33">
        <v>683.01108901983582</v>
      </c>
      <c r="N33">
        <v>49.646840230034151</v>
      </c>
      <c r="O33">
        <v>475.93403241661798</v>
      </c>
      <c r="P33">
        <v>51.690761341722819</v>
      </c>
      <c r="Q33">
        <v>321.92950248859768</v>
      </c>
      <c r="R33">
        <v>110.30088386885691</v>
      </c>
      <c r="S33">
        <v>323.63221982079597</v>
      </c>
      <c r="T33" t="str">
        <f t="shared" si="1"/>
        <v/>
      </c>
      <c r="U33" t="str">
        <f t="shared" si="2"/>
        <v/>
      </c>
      <c r="V33" t="str">
        <f t="shared" si="3"/>
        <v/>
      </c>
      <c r="W33" t="str">
        <f t="shared" si="4"/>
        <v/>
      </c>
      <c r="X33" t="str">
        <f t="shared" si="5"/>
        <v/>
      </c>
      <c r="Y33" t="str">
        <f t="shared" si="6"/>
        <v/>
      </c>
      <c r="Z33" t="str">
        <f t="shared" si="7"/>
        <v/>
      </c>
      <c r="AA33" t="str">
        <f t="shared" si="8"/>
        <v/>
      </c>
      <c r="AB33" t="str">
        <f t="shared" si="9"/>
        <v/>
      </c>
      <c r="AC33" t="str">
        <f t="shared" si="10"/>
        <v/>
      </c>
      <c r="AD33" t="str">
        <f t="shared" si="11"/>
        <v/>
      </c>
      <c r="AE33" t="str">
        <f t="shared" si="12"/>
        <v/>
      </c>
      <c r="AF33" t="str">
        <f t="shared" si="13"/>
        <v/>
      </c>
      <c r="AG33" t="str">
        <f t="shared" si="14"/>
        <v/>
      </c>
      <c r="AH33" t="str">
        <f t="shared" si="15"/>
        <v/>
      </c>
      <c r="AI33" t="str">
        <f t="shared" si="16"/>
        <v/>
      </c>
      <c r="AJ33" t="str">
        <f t="shared" si="17"/>
        <v/>
      </c>
    </row>
    <row r="34" spans="1:36" x14ac:dyDescent="0.25">
      <c r="A34" s="8">
        <v>37834</v>
      </c>
      <c r="B34" s="9">
        <f t="shared" si="0"/>
        <v>8</v>
      </c>
      <c r="C34">
        <v>7.2213561643232262</v>
      </c>
      <c r="D34">
        <v>98.855415094873791</v>
      </c>
      <c r="E34">
        <v>128.53598663966562</v>
      </c>
      <c r="F34">
        <v>73.200028413726116</v>
      </c>
      <c r="G34">
        <v>111.89241267881596</v>
      </c>
      <c r="H34">
        <v>335.62800377068231</v>
      </c>
      <c r="I34">
        <v>85.67499953962519</v>
      </c>
      <c r="J34">
        <v>43.451712198262086</v>
      </c>
      <c r="K34">
        <v>160.85058047498131</v>
      </c>
      <c r="L34">
        <v>40.293001521836665</v>
      </c>
      <c r="M34">
        <v>727.38463159105288</v>
      </c>
      <c r="N34">
        <v>41.514921367412164</v>
      </c>
      <c r="O34">
        <v>488.18131407177577</v>
      </c>
      <c r="P34">
        <v>40.604314807924219</v>
      </c>
      <c r="Q34">
        <v>301.39757176841346</v>
      </c>
      <c r="R34">
        <v>123.47574476456421</v>
      </c>
      <c r="S34">
        <v>300.08420736777549</v>
      </c>
      <c r="T34" t="str">
        <f t="shared" si="1"/>
        <v/>
      </c>
      <c r="U34" t="str">
        <f t="shared" si="2"/>
        <v/>
      </c>
      <c r="V34" t="str">
        <f t="shared" si="3"/>
        <v/>
      </c>
      <c r="W34" t="str">
        <f t="shared" si="4"/>
        <v/>
      </c>
      <c r="X34" t="str">
        <f t="shared" si="5"/>
        <v/>
      </c>
      <c r="Y34" t="str">
        <f t="shared" si="6"/>
        <v/>
      </c>
      <c r="Z34" t="str">
        <f t="shared" si="7"/>
        <v/>
      </c>
      <c r="AA34" t="str">
        <f t="shared" si="8"/>
        <v/>
      </c>
      <c r="AB34" t="str">
        <f t="shared" si="9"/>
        <v/>
      </c>
      <c r="AC34" t="str">
        <f t="shared" si="10"/>
        <v/>
      </c>
      <c r="AD34" t="str">
        <f t="shared" si="11"/>
        <v/>
      </c>
      <c r="AE34" t="str">
        <f t="shared" si="12"/>
        <v/>
      </c>
      <c r="AF34" t="str">
        <f t="shared" si="13"/>
        <v/>
      </c>
      <c r="AG34" t="str">
        <f t="shared" si="14"/>
        <v/>
      </c>
      <c r="AH34" t="str">
        <f t="shared" si="15"/>
        <v/>
      </c>
      <c r="AI34" t="str">
        <f t="shared" si="16"/>
        <v/>
      </c>
      <c r="AJ34" t="str">
        <f t="shared" si="17"/>
        <v/>
      </c>
    </row>
    <row r="35" spans="1:36" x14ac:dyDescent="0.25">
      <c r="A35" s="8">
        <v>37865</v>
      </c>
      <c r="B35" s="9">
        <f t="shared" si="0"/>
        <v>9</v>
      </c>
      <c r="C35">
        <v>7.7265199957702029</v>
      </c>
      <c r="D35">
        <v>52.708712223286575</v>
      </c>
      <c r="E35">
        <v>122.11936958123347</v>
      </c>
      <c r="F35">
        <v>75.869056555892513</v>
      </c>
      <c r="G35">
        <v>101.14169482795799</v>
      </c>
      <c r="H35">
        <v>350.56391989809794</v>
      </c>
      <c r="I35">
        <v>65.090299283451955</v>
      </c>
      <c r="J35">
        <v>94.600116199092525</v>
      </c>
      <c r="K35">
        <v>152.8923037829282</v>
      </c>
      <c r="L35">
        <v>35.063860691921896</v>
      </c>
      <c r="M35">
        <v>650.89453665420103</v>
      </c>
      <c r="N35">
        <v>37.05378456203799</v>
      </c>
      <c r="O35">
        <v>485.26859257567867</v>
      </c>
      <c r="P35">
        <v>44.212133762811746</v>
      </c>
      <c r="Q35">
        <v>300.95623589764347</v>
      </c>
      <c r="R35">
        <v>110.0085644869034</v>
      </c>
      <c r="S35">
        <v>285.23922694742407</v>
      </c>
      <c r="T35">
        <f t="shared" si="1"/>
        <v>7.9066835381490144</v>
      </c>
      <c r="U35">
        <f t="shared" si="2"/>
        <v>91.811742513819425</v>
      </c>
      <c r="V35">
        <f t="shared" si="3"/>
        <v>117.18117288149591</v>
      </c>
      <c r="W35">
        <f t="shared" si="4"/>
        <v>77.689992416800095</v>
      </c>
      <c r="X35">
        <f t="shared" si="5"/>
        <v>112.33011015385758</v>
      </c>
      <c r="Y35">
        <f t="shared" si="6"/>
        <v>325.72829893866327</v>
      </c>
      <c r="Z35">
        <f t="shared" si="7"/>
        <v>80.0259058824942</v>
      </c>
      <c r="AA35">
        <f t="shared" si="8"/>
        <v>64.865353526444707</v>
      </c>
      <c r="AB35">
        <f t="shared" si="9"/>
        <v>158.47737927207618</v>
      </c>
      <c r="AC35">
        <f t="shared" si="10"/>
        <v>48.186095560238762</v>
      </c>
      <c r="AD35">
        <f t="shared" si="11"/>
        <v>687.09675242169658</v>
      </c>
      <c r="AE35">
        <f t="shared" si="12"/>
        <v>42.738515386494761</v>
      </c>
      <c r="AF35">
        <f t="shared" si="13"/>
        <v>483.12797968802414</v>
      </c>
      <c r="AG35">
        <f t="shared" si="14"/>
        <v>45.502403304152928</v>
      </c>
      <c r="AH35">
        <f t="shared" si="15"/>
        <v>308.09443671821822</v>
      </c>
      <c r="AI35">
        <f t="shared" si="16"/>
        <v>114.5950643734415</v>
      </c>
      <c r="AJ35">
        <f t="shared" si="17"/>
        <v>302.98521804533186</v>
      </c>
    </row>
    <row r="36" spans="1:36" x14ac:dyDescent="0.25">
      <c r="A36" s="8">
        <v>37895</v>
      </c>
      <c r="B36" s="9">
        <f t="shared" si="0"/>
        <v>10</v>
      </c>
      <c r="C36">
        <v>5.9230185192564528</v>
      </c>
      <c r="D36">
        <v>81.133387060897078</v>
      </c>
      <c r="E36">
        <v>130.46005723479286</v>
      </c>
      <c r="F36">
        <v>75.728171624058319</v>
      </c>
      <c r="G36">
        <v>96.611956890769434</v>
      </c>
      <c r="H36">
        <v>385.41459176983415</v>
      </c>
      <c r="I36">
        <v>98.801805377619161</v>
      </c>
      <c r="J36">
        <v>99.110656416356605</v>
      </c>
      <c r="K36">
        <v>168.56631890601449</v>
      </c>
      <c r="L36">
        <v>32.136082697572377</v>
      </c>
      <c r="M36">
        <v>567.98825786924886</v>
      </c>
      <c r="N36">
        <v>52.95180312081429</v>
      </c>
      <c r="O36">
        <v>523.41605866489294</v>
      </c>
      <c r="P36">
        <v>47.203834192246696</v>
      </c>
      <c r="Q36">
        <v>342.62088726962639</v>
      </c>
      <c r="R36">
        <v>105.29201234837805</v>
      </c>
      <c r="S36">
        <v>315.31021142160898</v>
      </c>
      <c r="T36" t="str">
        <f t="shared" si="1"/>
        <v/>
      </c>
      <c r="U36" t="str">
        <f t="shared" si="2"/>
        <v/>
      </c>
      <c r="V36" t="str">
        <f t="shared" si="3"/>
        <v/>
      </c>
      <c r="W36" t="str">
        <f t="shared" si="4"/>
        <v/>
      </c>
      <c r="X36" t="str">
        <f t="shared" si="5"/>
        <v/>
      </c>
      <c r="Y36" t="str">
        <f t="shared" si="6"/>
        <v/>
      </c>
      <c r="Z36" t="str">
        <f t="shared" si="7"/>
        <v/>
      </c>
      <c r="AA36" t="str">
        <f t="shared" si="8"/>
        <v/>
      </c>
      <c r="AB36" t="str">
        <f t="shared" si="9"/>
        <v/>
      </c>
      <c r="AC36" t="str">
        <f t="shared" si="10"/>
        <v/>
      </c>
      <c r="AD36" t="str">
        <f t="shared" si="11"/>
        <v/>
      </c>
      <c r="AE36" t="str">
        <f t="shared" si="12"/>
        <v/>
      </c>
      <c r="AF36" t="str">
        <f t="shared" si="13"/>
        <v/>
      </c>
      <c r="AG36" t="str">
        <f t="shared" si="14"/>
        <v/>
      </c>
      <c r="AH36" t="str">
        <f t="shared" si="15"/>
        <v/>
      </c>
      <c r="AI36" t="str">
        <f t="shared" si="16"/>
        <v/>
      </c>
      <c r="AJ36" t="str">
        <f t="shared" si="17"/>
        <v/>
      </c>
    </row>
    <row r="37" spans="1:36" x14ac:dyDescent="0.25">
      <c r="A37" s="8">
        <v>37926</v>
      </c>
      <c r="B37" s="9">
        <f t="shared" si="0"/>
        <v>11</v>
      </c>
      <c r="C37">
        <v>7.7412046656815594</v>
      </c>
      <c r="D37">
        <v>99.298509818568078</v>
      </c>
      <c r="E37">
        <v>162.25658463844258</v>
      </c>
      <c r="F37">
        <v>75.807163160946885</v>
      </c>
      <c r="G37">
        <v>123.43192256292707</v>
      </c>
      <c r="H37">
        <v>369.91602828170477</v>
      </c>
      <c r="I37">
        <v>82.614099140433495</v>
      </c>
      <c r="J37">
        <v>67.140845271595978</v>
      </c>
      <c r="K37">
        <v>169.55150328371403</v>
      </c>
      <c r="L37">
        <v>29.005890066180608</v>
      </c>
      <c r="M37">
        <v>635.46406115992875</v>
      </c>
      <c r="N37">
        <v>52.546141115033329</v>
      </c>
      <c r="O37">
        <v>517.45522426975788</v>
      </c>
      <c r="P37">
        <v>36.250943402037727</v>
      </c>
      <c r="Q37">
        <v>368.98649308017309</v>
      </c>
      <c r="R37">
        <v>159.6033044638518</v>
      </c>
      <c r="S37">
        <v>300.58077616096597</v>
      </c>
      <c r="T37" t="str">
        <f t="shared" ref="T37:T68" si="18">IF( OR($B37=3,$B37=6,$B37=9,$B37=12),AVERAGE(C35:C37),"" )</f>
        <v/>
      </c>
      <c r="U37" t="str">
        <f t="shared" ref="U37:U68" si="19">IF( OR($B37=3,$B37=6,$B37=9,$B37=12),AVERAGE(D35:D37),"" )</f>
        <v/>
      </c>
      <c r="V37" t="str">
        <f t="shared" ref="V37:V68" si="20">IF( OR($B37=3,$B37=6,$B37=9,$B37=12),AVERAGE(E35:E37),"" )</f>
        <v/>
      </c>
      <c r="W37" t="str">
        <f t="shared" ref="W37:W68" si="21">IF( OR($B37=3,$B37=6,$B37=9,$B37=12),AVERAGE(F35:F37),"" )</f>
        <v/>
      </c>
      <c r="X37" t="str">
        <f t="shared" ref="X37:X68" si="22">IF( OR($B37=3,$B37=6,$B37=9,$B37=12),AVERAGE(G35:G37),"" )</f>
        <v/>
      </c>
      <c r="Y37" t="str">
        <f t="shared" ref="Y37:Y68" si="23">IF( OR($B37=3,$B37=6,$B37=9,$B37=12),AVERAGE(H35:H37),"" )</f>
        <v/>
      </c>
      <c r="Z37" t="str">
        <f t="shared" ref="Z37:Z68" si="24">IF( OR($B37=3,$B37=6,$B37=9,$B37=12),AVERAGE(I35:I37),"" )</f>
        <v/>
      </c>
      <c r="AA37" t="str">
        <f t="shared" ref="AA37:AA68" si="25">IF( OR($B37=3,$B37=6,$B37=9,$B37=12),AVERAGE(J35:J37),"" )</f>
        <v/>
      </c>
      <c r="AB37" t="str">
        <f t="shared" ref="AB37:AB68" si="26">IF( OR($B37=3,$B37=6,$B37=9,$B37=12),AVERAGE(K35:K37),"" )</f>
        <v/>
      </c>
      <c r="AC37" t="str">
        <f t="shared" ref="AC37:AC68" si="27">IF( OR($B37=3,$B37=6,$B37=9,$B37=12),AVERAGE(L35:L37),"" )</f>
        <v/>
      </c>
      <c r="AD37" t="str">
        <f t="shared" ref="AD37:AD68" si="28">IF( OR($B37=3,$B37=6,$B37=9,$B37=12),AVERAGE(M35:M37),"" )</f>
        <v/>
      </c>
      <c r="AE37" t="str">
        <f t="shared" ref="AE37:AE68" si="29">IF( OR($B37=3,$B37=6,$B37=9,$B37=12),AVERAGE(N35:N37),"" )</f>
        <v/>
      </c>
      <c r="AF37" t="str">
        <f t="shared" ref="AF37:AF68" si="30">IF( OR($B37=3,$B37=6,$B37=9,$B37=12),AVERAGE(O35:O37),"" )</f>
        <v/>
      </c>
      <c r="AG37" t="str">
        <f t="shared" ref="AG37:AG68" si="31">IF( OR($B37=3,$B37=6,$B37=9,$B37=12),AVERAGE(P35:P37),"" )</f>
        <v/>
      </c>
      <c r="AH37" t="str">
        <f t="shared" ref="AH37:AH68" si="32">IF( OR($B37=3,$B37=6,$B37=9,$B37=12),AVERAGE(Q35:Q37),"" )</f>
        <v/>
      </c>
      <c r="AI37" t="str">
        <f t="shared" ref="AI37:AI68" si="33">IF( OR($B37=3,$B37=6,$B37=9,$B37=12),AVERAGE(R35:R37),"" )</f>
        <v/>
      </c>
      <c r="AJ37" t="str">
        <f t="shared" ref="AJ37:AJ68" si="34">IF( OR($B37=3,$B37=6,$B37=9,$B37=12),AVERAGE(S35:S37),"" )</f>
        <v/>
      </c>
    </row>
    <row r="38" spans="1:36" x14ac:dyDescent="0.25">
      <c r="A38" s="8">
        <v>37956</v>
      </c>
      <c r="B38" s="9">
        <f t="shared" si="0"/>
        <v>12</v>
      </c>
      <c r="C38">
        <v>7.4787000863026023</v>
      </c>
      <c r="D38">
        <v>110.73368727689761</v>
      </c>
      <c r="E38">
        <v>122.44234277445254</v>
      </c>
      <c r="F38">
        <v>88.672138388607706</v>
      </c>
      <c r="G38">
        <v>146.20003142229888</v>
      </c>
      <c r="H38">
        <v>311.61436412039757</v>
      </c>
      <c r="I38">
        <v>93.44115789482855</v>
      </c>
      <c r="J38">
        <v>78.532528314636622</v>
      </c>
      <c r="K38">
        <v>143.46829927236919</v>
      </c>
      <c r="L38">
        <v>38.578420180346633</v>
      </c>
      <c r="M38">
        <v>659.10655319861405</v>
      </c>
      <c r="N38">
        <v>39.633061328868969</v>
      </c>
      <c r="O38">
        <v>479.23641466358384</v>
      </c>
      <c r="P38">
        <v>60.204146634145566</v>
      </c>
      <c r="Q38">
        <v>437.74333545574046</v>
      </c>
      <c r="R38">
        <v>130.78113497976554</v>
      </c>
      <c r="S38">
        <v>301.77572575726418</v>
      </c>
      <c r="T38">
        <f t="shared" si="18"/>
        <v>7.0476410904135385</v>
      </c>
      <c r="U38">
        <f t="shared" si="19"/>
        <v>97.055194718787604</v>
      </c>
      <c r="V38">
        <f t="shared" si="20"/>
        <v>138.38632821589599</v>
      </c>
      <c r="W38">
        <f t="shared" si="21"/>
        <v>80.069157724537646</v>
      </c>
      <c r="X38">
        <f t="shared" si="22"/>
        <v>122.08130362533178</v>
      </c>
      <c r="Y38">
        <f t="shared" si="23"/>
        <v>355.6483280573122</v>
      </c>
      <c r="Z38">
        <f t="shared" si="24"/>
        <v>91.619020804293726</v>
      </c>
      <c r="AA38">
        <f t="shared" si="25"/>
        <v>81.594676667529725</v>
      </c>
      <c r="AB38">
        <f t="shared" si="26"/>
        <v>160.52870715403256</v>
      </c>
      <c r="AC38">
        <f t="shared" si="27"/>
        <v>33.240130981366541</v>
      </c>
      <c r="AD38">
        <f t="shared" si="28"/>
        <v>620.85295740926392</v>
      </c>
      <c r="AE38">
        <f t="shared" si="29"/>
        <v>48.377001854905529</v>
      </c>
      <c r="AF38">
        <f t="shared" si="30"/>
        <v>506.70256586607826</v>
      </c>
      <c r="AG38">
        <f t="shared" si="31"/>
        <v>47.88630807614333</v>
      </c>
      <c r="AH38">
        <f t="shared" si="32"/>
        <v>383.11690526851334</v>
      </c>
      <c r="AI38">
        <f t="shared" si="33"/>
        <v>131.89215059733181</v>
      </c>
      <c r="AJ38">
        <f t="shared" si="34"/>
        <v>305.88890444661303</v>
      </c>
    </row>
    <row r="39" spans="1:36" x14ac:dyDescent="0.25">
      <c r="A39" s="8">
        <v>37987</v>
      </c>
      <c r="B39" s="9">
        <f t="shared" si="0"/>
        <v>1</v>
      </c>
      <c r="C39">
        <v>8.7615486538105127</v>
      </c>
      <c r="D39">
        <v>133.3572149023735</v>
      </c>
      <c r="E39">
        <v>154.05635991724142</v>
      </c>
      <c r="F39">
        <v>94.0201808641648</v>
      </c>
      <c r="G39">
        <v>118.19173408670362</v>
      </c>
      <c r="H39">
        <v>308.86712703457965</v>
      </c>
      <c r="I39">
        <v>95.244155675467525</v>
      </c>
      <c r="J39">
        <v>70.071280705971134</v>
      </c>
      <c r="K39">
        <v>214.6504851692535</v>
      </c>
      <c r="L39">
        <v>47.667504764255646</v>
      </c>
      <c r="M39">
        <v>567.55813333090668</v>
      </c>
      <c r="N39">
        <v>47.340200584056554</v>
      </c>
      <c r="O39">
        <v>577.73220161931238</v>
      </c>
      <c r="P39">
        <v>71.613921275640422</v>
      </c>
      <c r="Q39">
        <v>383.23113807771938</v>
      </c>
      <c r="R39">
        <v>138.70207016872769</v>
      </c>
      <c r="S39">
        <v>321.78691774850131</v>
      </c>
      <c r="T39" t="str">
        <f t="shared" si="18"/>
        <v/>
      </c>
      <c r="U39" t="str">
        <f t="shared" si="19"/>
        <v/>
      </c>
      <c r="V39" t="str">
        <f t="shared" si="20"/>
        <v/>
      </c>
      <c r="W39" t="str">
        <f t="shared" si="21"/>
        <v/>
      </c>
      <c r="X39" t="str">
        <f t="shared" si="22"/>
        <v/>
      </c>
      <c r="Y39" t="str">
        <f t="shared" si="23"/>
        <v/>
      </c>
      <c r="Z39" t="str">
        <f t="shared" si="24"/>
        <v/>
      </c>
      <c r="AA39" t="str">
        <f t="shared" si="25"/>
        <v/>
      </c>
      <c r="AB39" t="str">
        <f t="shared" si="26"/>
        <v/>
      </c>
      <c r="AC39" t="str">
        <f t="shared" si="27"/>
        <v/>
      </c>
      <c r="AD39" t="str">
        <f t="shared" si="28"/>
        <v/>
      </c>
      <c r="AE39" t="str">
        <f t="shared" si="29"/>
        <v/>
      </c>
      <c r="AF39" t="str">
        <f t="shared" si="30"/>
        <v/>
      </c>
      <c r="AG39" t="str">
        <f t="shared" si="31"/>
        <v/>
      </c>
      <c r="AH39" t="str">
        <f t="shared" si="32"/>
        <v/>
      </c>
      <c r="AI39" t="str">
        <f t="shared" si="33"/>
        <v/>
      </c>
      <c r="AJ39" t="str">
        <f t="shared" si="34"/>
        <v/>
      </c>
    </row>
    <row r="40" spans="1:36" x14ac:dyDescent="0.25">
      <c r="A40" s="8">
        <v>38018</v>
      </c>
      <c r="B40" s="9">
        <f t="shared" si="0"/>
        <v>2</v>
      </c>
      <c r="C40">
        <v>5.0023793300401813</v>
      </c>
      <c r="D40">
        <v>105.67411448157621</v>
      </c>
      <c r="E40">
        <v>131.84666560885097</v>
      </c>
      <c r="F40">
        <v>81.176455436959628</v>
      </c>
      <c r="G40">
        <v>86.070861737861264</v>
      </c>
      <c r="H40">
        <v>390.34270080405133</v>
      </c>
      <c r="I40">
        <v>84.412640949997453</v>
      </c>
      <c r="J40">
        <v>72.782533821936525</v>
      </c>
      <c r="K40">
        <v>219.30761660179013</v>
      </c>
      <c r="L40">
        <v>44.869612776166605</v>
      </c>
      <c r="M40">
        <v>666.06651255959082</v>
      </c>
      <c r="N40">
        <v>49.032719505213194</v>
      </c>
      <c r="O40">
        <v>535.35686544785528</v>
      </c>
      <c r="P40">
        <v>61.347848124108772</v>
      </c>
      <c r="Q40">
        <v>364.35624813851615</v>
      </c>
      <c r="R40">
        <v>162.47818614581527</v>
      </c>
      <c r="S40">
        <v>325.88018543301496</v>
      </c>
      <c r="T40" t="str">
        <f t="shared" si="18"/>
        <v/>
      </c>
      <c r="U40" t="str">
        <f t="shared" si="19"/>
        <v/>
      </c>
      <c r="V40" t="str">
        <f t="shared" si="20"/>
        <v/>
      </c>
      <c r="W40" t="str">
        <f t="shared" si="21"/>
        <v/>
      </c>
      <c r="X40" t="str">
        <f t="shared" si="22"/>
        <v/>
      </c>
      <c r="Y40" t="str">
        <f t="shared" si="23"/>
        <v/>
      </c>
      <c r="Z40" t="str">
        <f t="shared" si="24"/>
        <v/>
      </c>
      <c r="AA40" t="str">
        <f t="shared" si="25"/>
        <v/>
      </c>
      <c r="AB40" t="str">
        <f t="shared" si="26"/>
        <v/>
      </c>
      <c r="AC40" t="str">
        <f t="shared" si="27"/>
        <v/>
      </c>
      <c r="AD40" t="str">
        <f t="shared" si="28"/>
        <v/>
      </c>
      <c r="AE40" t="str">
        <f t="shared" si="29"/>
        <v/>
      </c>
      <c r="AF40" t="str">
        <f t="shared" si="30"/>
        <v/>
      </c>
      <c r="AG40" t="str">
        <f t="shared" si="31"/>
        <v/>
      </c>
      <c r="AH40" t="str">
        <f t="shared" si="32"/>
        <v/>
      </c>
      <c r="AI40" t="str">
        <f t="shared" si="33"/>
        <v/>
      </c>
      <c r="AJ40" t="str">
        <f t="shared" si="34"/>
        <v/>
      </c>
    </row>
    <row r="41" spans="1:36" x14ac:dyDescent="0.25">
      <c r="A41" s="8">
        <v>38047</v>
      </c>
      <c r="B41" s="9">
        <f t="shared" si="0"/>
        <v>3</v>
      </c>
      <c r="C41">
        <v>13.303677615225464</v>
      </c>
      <c r="D41">
        <v>121.99575004669212</v>
      </c>
      <c r="E41">
        <v>163.00909408335974</v>
      </c>
      <c r="F41">
        <v>88.089313562681511</v>
      </c>
      <c r="G41">
        <v>96.932979632297332</v>
      </c>
      <c r="H41">
        <v>369.94890405167007</v>
      </c>
      <c r="I41">
        <v>113.56813343306099</v>
      </c>
      <c r="J41">
        <v>72.622154555641401</v>
      </c>
      <c r="K41">
        <v>178.09766853543204</v>
      </c>
      <c r="L41">
        <v>35.56379279244539</v>
      </c>
      <c r="M41">
        <v>555.45319273898883</v>
      </c>
      <c r="N41">
        <v>51.921353530605231</v>
      </c>
      <c r="O41">
        <v>534.89488885997071</v>
      </c>
      <c r="P41">
        <v>42.928202097564359</v>
      </c>
      <c r="Q41">
        <v>381.35044238776914</v>
      </c>
      <c r="R41">
        <v>166.23369744240782</v>
      </c>
      <c r="S41">
        <v>345.22560028949141</v>
      </c>
      <c r="T41">
        <f t="shared" si="18"/>
        <v>9.0225351996920526</v>
      </c>
      <c r="U41">
        <f t="shared" si="19"/>
        <v>120.34235981021395</v>
      </c>
      <c r="V41">
        <f t="shared" si="20"/>
        <v>149.6373732031507</v>
      </c>
      <c r="W41">
        <f t="shared" si="21"/>
        <v>87.761983287935323</v>
      </c>
      <c r="X41">
        <f t="shared" si="22"/>
        <v>100.39852515228741</v>
      </c>
      <c r="Y41">
        <f t="shared" si="23"/>
        <v>356.38624396343374</v>
      </c>
      <c r="Z41">
        <f t="shared" si="24"/>
        <v>97.74164335284199</v>
      </c>
      <c r="AA41">
        <f t="shared" si="25"/>
        <v>71.825323027849691</v>
      </c>
      <c r="AB41">
        <f t="shared" si="26"/>
        <v>204.01859010215856</v>
      </c>
      <c r="AC41">
        <f t="shared" si="27"/>
        <v>42.700303444289212</v>
      </c>
      <c r="AD41">
        <f t="shared" si="28"/>
        <v>596.35927954316219</v>
      </c>
      <c r="AE41">
        <f t="shared" si="29"/>
        <v>49.431424539958321</v>
      </c>
      <c r="AF41">
        <f t="shared" si="30"/>
        <v>549.32798530904608</v>
      </c>
      <c r="AG41">
        <f t="shared" si="31"/>
        <v>58.629990499104515</v>
      </c>
      <c r="AH41">
        <f t="shared" si="32"/>
        <v>376.31260953466818</v>
      </c>
      <c r="AI41">
        <f t="shared" si="33"/>
        <v>155.80465125231692</v>
      </c>
      <c r="AJ41">
        <f t="shared" si="34"/>
        <v>330.96423449033591</v>
      </c>
    </row>
    <row r="42" spans="1:36" x14ac:dyDescent="0.25">
      <c r="A42" s="8">
        <v>38078</v>
      </c>
      <c r="B42" s="9">
        <f t="shared" si="0"/>
        <v>4</v>
      </c>
      <c r="C42">
        <v>7.0282228906483137</v>
      </c>
      <c r="D42">
        <v>135.06120313558893</v>
      </c>
      <c r="E42">
        <v>183.39006103846646</v>
      </c>
      <c r="F42">
        <v>93.381472753328183</v>
      </c>
      <c r="G42">
        <v>139.01480046405365</v>
      </c>
      <c r="H42">
        <v>396.77073231172278</v>
      </c>
      <c r="I42">
        <v>92.655419096751501</v>
      </c>
      <c r="J42">
        <v>88.675522237940271</v>
      </c>
      <c r="K42">
        <v>199.8466449719256</v>
      </c>
      <c r="L42">
        <v>37.415640938725659</v>
      </c>
      <c r="M42">
        <v>723.08514120004997</v>
      </c>
      <c r="N42">
        <v>50.843165347248231</v>
      </c>
      <c r="O42">
        <v>572.58124723667845</v>
      </c>
      <c r="P42">
        <v>37.239937819577094</v>
      </c>
      <c r="Q42">
        <v>373.95831756977503</v>
      </c>
      <c r="R42">
        <v>123.59051066927327</v>
      </c>
      <c r="S42">
        <v>337.75127653966575</v>
      </c>
      <c r="T42" t="str">
        <f t="shared" si="18"/>
        <v/>
      </c>
      <c r="U42" t="str">
        <f t="shared" si="19"/>
        <v/>
      </c>
      <c r="V42" t="str">
        <f t="shared" si="20"/>
        <v/>
      </c>
      <c r="W42" t="str">
        <f t="shared" si="21"/>
        <v/>
      </c>
      <c r="X42" t="str">
        <f t="shared" si="22"/>
        <v/>
      </c>
      <c r="Y42" t="str">
        <f t="shared" si="23"/>
        <v/>
      </c>
      <c r="Z42" t="str">
        <f t="shared" si="24"/>
        <v/>
      </c>
      <c r="AA42" t="str">
        <f t="shared" si="25"/>
        <v/>
      </c>
      <c r="AB42" t="str">
        <f t="shared" si="26"/>
        <v/>
      </c>
      <c r="AC42" t="str">
        <f t="shared" si="27"/>
        <v/>
      </c>
      <c r="AD42" t="str">
        <f t="shared" si="28"/>
        <v/>
      </c>
      <c r="AE42" t="str">
        <f t="shared" si="29"/>
        <v/>
      </c>
      <c r="AF42" t="str">
        <f t="shared" si="30"/>
        <v/>
      </c>
      <c r="AG42" t="str">
        <f t="shared" si="31"/>
        <v/>
      </c>
      <c r="AH42" t="str">
        <f t="shared" si="32"/>
        <v/>
      </c>
      <c r="AI42" t="str">
        <f t="shared" si="33"/>
        <v/>
      </c>
      <c r="AJ42" t="str">
        <f t="shared" si="34"/>
        <v/>
      </c>
    </row>
    <row r="43" spans="1:36" x14ac:dyDescent="0.25">
      <c r="A43" s="8">
        <v>38108</v>
      </c>
      <c r="B43" s="9">
        <f t="shared" si="0"/>
        <v>5</v>
      </c>
      <c r="C43">
        <v>8.8025168265877394</v>
      </c>
      <c r="D43">
        <v>135.47557336030681</v>
      </c>
      <c r="E43">
        <v>178.03992926033678</v>
      </c>
      <c r="F43">
        <v>113.62184233299016</v>
      </c>
      <c r="G43">
        <v>126.48027770039802</v>
      </c>
      <c r="H43">
        <v>399.45600277807534</v>
      </c>
      <c r="I43">
        <v>85.072277453658529</v>
      </c>
      <c r="J43">
        <v>90.205381121018675</v>
      </c>
      <c r="K43">
        <v>209.50748128857728</v>
      </c>
      <c r="L43">
        <v>37.96186765367046</v>
      </c>
      <c r="M43">
        <v>663.8941115182464</v>
      </c>
      <c r="N43">
        <v>46.986827380476591</v>
      </c>
      <c r="O43">
        <v>559.29972453267783</v>
      </c>
      <c r="P43">
        <v>60.163853990702115</v>
      </c>
      <c r="Q43">
        <v>355.49682178074033</v>
      </c>
      <c r="R43">
        <v>170.7150055149296</v>
      </c>
      <c r="S43">
        <v>373.7863798667633</v>
      </c>
      <c r="T43" t="str">
        <f t="shared" si="18"/>
        <v/>
      </c>
      <c r="U43" t="str">
        <f t="shared" si="19"/>
        <v/>
      </c>
      <c r="V43" t="str">
        <f t="shared" si="20"/>
        <v/>
      </c>
      <c r="W43" t="str">
        <f t="shared" si="21"/>
        <v/>
      </c>
      <c r="X43" t="str">
        <f t="shared" si="22"/>
        <v/>
      </c>
      <c r="Y43" t="str">
        <f t="shared" si="23"/>
        <v/>
      </c>
      <c r="Z43" t="str">
        <f t="shared" si="24"/>
        <v/>
      </c>
      <c r="AA43" t="str">
        <f t="shared" si="25"/>
        <v/>
      </c>
      <c r="AB43" t="str">
        <f t="shared" si="26"/>
        <v/>
      </c>
      <c r="AC43" t="str">
        <f t="shared" si="27"/>
        <v/>
      </c>
      <c r="AD43" t="str">
        <f t="shared" si="28"/>
        <v/>
      </c>
      <c r="AE43" t="str">
        <f t="shared" si="29"/>
        <v/>
      </c>
      <c r="AF43" t="str">
        <f t="shared" si="30"/>
        <v/>
      </c>
      <c r="AG43" t="str">
        <f t="shared" si="31"/>
        <v/>
      </c>
      <c r="AH43" t="str">
        <f t="shared" si="32"/>
        <v/>
      </c>
      <c r="AI43" t="str">
        <f t="shared" si="33"/>
        <v/>
      </c>
      <c r="AJ43" t="str">
        <f t="shared" si="34"/>
        <v/>
      </c>
    </row>
    <row r="44" spans="1:36" x14ac:dyDescent="0.25">
      <c r="A44" s="8">
        <v>38139</v>
      </c>
      <c r="B44" s="9">
        <f t="shared" si="0"/>
        <v>6</v>
      </c>
      <c r="C44">
        <v>9.4979485419050036</v>
      </c>
      <c r="D44">
        <v>107.98390343941995</v>
      </c>
      <c r="E44">
        <v>167.22935852514109</v>
      </c>
      <c r="F44">
        <v>97.872659655586261</v>
      </c>
      <c r="G44">
        <v>146.89398833655852</v>
      </c>
      <c r="H44">
        <v>375.47657402100737</v>
      </c>
      <c r="I44">
        <v>93.262216514979187</v>
      </c>
      <c r="J44">
        <v>84.162171069601314</v>
      </c>
      <c r="K44">
        <v>164.78239599406083</v>
      </c>
      <c r="L44">
        <v>35.356220335188823</v>
      </c>
      <c r="M44">
        <v>694.63515652026967</v>
      </c>
      <c r="N44">
        <v>33.763729355434634</v>
      </c>
      <c r="O44">
        <v>484.59323295923758</v>
      </c>
      <c r="P44">
        <v>45.907297301972378</v>
      </c>
      <c r="Q44">
        <v>400.68569273504727</v>
      </c>
      <c r="R44">
        <v>93.528968016156966</v>
      </c>
      <c r="S44">
        <v>333.30042209866173</v>
      </c>
      <c r="T44">
        <f t="shared" si="18"/>
        <v>8.4428960863803528</v>
      </c>
      <c r="U44">
        <f t="shared" si="19"/>
        <v>126.17355997843856</v>
      </c>
      <c r="V44">
        <f t="shared" si="20"/>
        <v>176.21978294131478</v>
      </c>
      <c r="W44">
        <f t="shared" si="21"/>
        <v>101.6253249139682</v>
      </c>
      <c r="X44">
        <f t="shared" si="22"/>
        <v>137.4630221670034</v>
      </c>
      <c r="Y44">
        <f t="shared" si="23"/>
        <v>390.56776970360187</v>
      </c>
      <c r="Z44">
        <f t="shared" si="24"/>
        <v>90.329971021796396</v>
      </c>
      <c r="AA44">
        <f t="shared" si="25"/>
        <v>87.681024809520082</v>
      </c>
      <c r="AB44">
        <f t="shared" si="26"/>
        <v>191.37884075152124</v>
      </c>
      <c r="AC44">
        <f t="shared" si="27"/>
        <v>36.911242975861647</v>
      </c>
      <c r="AD44">
        <f t="shared" si="28"/>
        <v>693.87146974618861</v>
      </c>
      <c r="AE44">
        <f t="shared" si="29"/>
        <v>43.864574027719819</v>
      </c>
      <c r="AF44">
        <f t="shared" si="30"/>
        <v>538.82473490953123</v>
      </c>
      <c r="AG44">
        <f t="shared" si="31"/>
        <v>47.770363037417191</v>
      </c>
      <c r="AH44">
        <f t="shared" si="32"/>
        <v>376.71361069518753</v>
      </c>
      <c r="AI44">
        <f t="shared" si="33"/>
        <v>129.27816140011996</v>
      </c>
      <c r="AJ44">
        <f t="shared" si="34"/>
        <v>348.27935950169694</v>
      </c>
    </row>
    <row r="45" spans="1:36" x14ac:dyDescent="0.25">
      <c r="A45" s="8">
        <v>38169</v>
      </c>
      <c r="B45" s="9">
        <f t="shared" si="0"/>
        <v>7</v>
      </c>
      <c r="C45">
        <v>10.721546555321083</v>
      </c>
      <c r="D45">
        <v>112.23220490030346</v>
      </c>
      <c r="E45">
        <v>157.91190640213875</v>
      </c>
      <c r="F45">
        <v>111.3924875897322</v>
      </c>
      <c r="G45">
        <v>153.63588197214503</v>
      </c>
      <c r="H45">
        <v>417.67130215135739</v>
      </c>
      <c r="I45">
        <v>108.96115096577465</v>
      </c>
      <c r="J45">
        <v>107.43404114576109</v>
      </c>
      <c r="K45">
        <v>251.51661664627406</v>
      </c>
      <c r="L45">
        <v>37.666598127584592</v>
      </c>
      <c r="M45">
        <v>756.5951566214203</v>
      </c>
      <c r="N45">
        <v>49.646840230034151</v>
      </c>
      <c r="O45">
        <v>541.35125997985836</v>
      </c>
      <c r="P45">
        <v>43.232273122168174</v>
      </c>
      <c r="Q45">
        <v>408.53553712547586</v>
      </c>
      <c r="R45">
        <v>195.49262344236428</v>
      </c>
      <c r="S45">
        <v>346.21121190131657</v>
      </c>
      <c r="T45" t="str">
        <f t="shared" si="18"/>
        <v/>
      </c>
      <c r="U45" t="str">
        <f t="shared" si="19"/>
        <v/>
      </c>
      <c r="V45" t="str">
        <f t="shared" si="20"/>
        <v/>
      </c>
      <c r="W45" t="str">
        <f t="shared" si="21"/>
        <v/>
      </c>
      <c r="X45" t="str">
        <f t="shared" si="22"/>
        <v/>
      </c>
      <c r="Y45" t="str">
        <f t="shared" si="23"/>
        <v/>
      </c>
      <c r="Z45" t="str">
        <f t="shared" si="24"/>
        <v/>
      </c>
      <c r="AA45" t="str">
        <f t="shared" si="25"/>
        <v/>
      </c>
      <c r="AB45" t="str">
        <f t="shared" si="26"/>
        <v/>
      </c>
      <c r="AC45" t="str">
        <f t="shared" si="27"/>
        <v/>
      </c>
      <c r="AD45" t="str">
        <f t="shared" si="28"/>
        <v/>
      </c>
      <c r="AE45" t="str">
        <f t="shared" si="29"/>
        <v/>
      </c>
      <c r="AF45" t="str">
        <f t="shared" si="30"/>
        <v/>
      </c>
      <c r="AG45" t="str">
        <f t="shared" si="31"/>
        <v/>
      </c>
      <c r="AH45" t="str">
        <f t="shared" si="32"/>
        <v/>
      </c>
      <c r="AI45" t="str">
        <f t="shared" si="33"/>
        <v/>
      </c>
      <c r="AJ45" t="str">
        <f t="shared" si="34"/>
        <v/>
      </c>
    </row>
    <row r="46" spans="1:36" x14ac:dyDescent="0.25">
      <c r="A46" s="8">
        <v>38200</v>
      </c>
      <c r="B46" s="9">
        <f t="shared" si="0"/>
        <v>8</v>
      </c>
      <c r="C46">
        <v>8.2529784735122593</v>
      </c>
      <c r="D46">
        <v>127.93053718160137</v>
      </c>
      <c r="E46">
        <v>166.51252814683957</v>
      </c>
      <c r="F46">
        <v>102.87571560847995</v>
      </c>
      <c r="G46">
        <v>126.87800366258595</v>
      </c>
      <c r="H46">
        <v>433.70696465809351</v>
      </c>
      <c r="I46">
        <v>77.293749584661853</v>
      </c>
      <c r="J46">
        <v>93.816196791702239</v>
      </c>
      <c r="K46">
        <v>212.36481866631519</v>
      </c>
      <c r="L46">
        <v>51.103319003305039</v>
      </c>
      <c r="M46">
        <v>654.04336348864013</v>
      </c>
      <c r="N46">
        <v>46.127690408235736</v>
      </c>
      <c r="O46">
        <v>536.69622727145531</v>
      </c>
      <c r="P46">
        <v>42.449965481011681</v>
      </c>
      <c r="Q46">
        <v>409.59157189040809</v>
      </c>
      <c r="R46">
        <v>147.97490047181901</v>
      </c>
      <c r="S46">
        <v>325.97006551132159</v>
      </c>
      <c r="T46" t="str">
        <f t="shared" si="18"/>
        <v/>
      </c>
      <c r="U46" t="str">
        <f t="shared" si="19"/>
        <v/>
      </c>
      <c r="V46" t="str">
        <f t="shared" si="20"/>
        <v/>
      </c>
      <c r="W46" t="str">
        <f t="shared" si="21"/>
        <v/>
      </c>
      <c r="X46" t="str">
        <f t="shared" si="22"/>
        <v/>
      </c>
      <c r="Y46" t="str">
        <f t="shared" si="23"/>
        <v/>
      </c>
      <c r="Z46" t="str">
        <f t="shared" si="24"/>
        <v/>
      </c>
      <c r="AA46" t="str">
        <f t="shared" si="25"/>
        <v/>
      </c>
      <c r="AB46" t="str">
        <f t="shared" si="26"/>
        <v/>
      </c>
      <c r="AC46" t="str">
        <f t="shared" si="27"/>
        <v/>
      </c>
      <c r="AD46" t="str">
        <f t="shared" si="28"/>
        <v/>
      </c>
      <c r="AE46" t="str">
        <f t="shared" si="29"/>
        <v/>
      </c>
      <c r="AF46" t="str">
        <f t="shared" si="30"/>
        <v/>
      </c>
      <c r="AG46" t="str">
        <f t="shared" si="31"/>
        <v/>
      </c>
      <c r="AH46" t="str">
        <f t="shared" si="32"/>
        <v/>
      </c>
      <c r="AI46" t="str">
        <f t="shared" si="33"/>
        <v/>
      </c>
      <c r="AJ46" t="str">
        <f t="shared" si="34"/>
        <v/>
      </c>
    </row>
    <row r="47" spans="1:36" x14ac:dyDescent="0.25">
      <c r="A47" s="8">
        <v>38231</v>
      </c>
      <c r="B47" s="9">
        <f t="shared" si="0"/>
        <v>9</v>
      </c>
      <c r="C47">
        <v>9.6581499947127547</v>
      </c>
      <c r="D47">
        <v>105.41742444657315</v>
      </c>
      <c r="E47">
        <v>164.46721548440314</v>
      </c>
      <c r="F47">
        <v>97.681410315711616</v>
      </c>
      <c r="G47">
        <v>137.26372869508586</v>
      </c>
      <c r="H47">
        <v>470.49368196849986</v>
      </c>
      <c r="I47">
        <v>69.947784304605094</v>
      </c>
      <c r="J47">
        <v>87.702191059575355</v>
      </c>
      <c r="K47">
        <v>259.60907957772372</v>
      </c>
      <c r="L47">
        <v>56.314685353692738</v>
      </c>
      <c r="M47">
        <v>700.11341365428723</v>
      </c>
      <c r="N47">
        <v>50.201901664696635</v>
      </c>
      <c r="O47">
        <v>536.78330516333028</v>
      </c>
      <c r="P47">
        <v>61.054851386740026</v>
      </c>
      <c r="Q47">
        <v>378.49072378991769</v>
      </c>
      <c r="R47">
        <v>148.77348721085983</v>
      </c>
      <c r="S47">
        <v>344.39995549948242</v>
      </c>
      <c r="T47">
        <f t="shared" si="18"/>
        <v>9.5442250078486985</v>
      </c>
      <c r="U47">
        <f t="shared" si="19"/>
        <v>115.19338884282598</v>
      </c>
      <c r="V47">
        <f t="shared" si="20"/>
        <v>162.96388334446047</v>
      </c>
      <c r="W47">
        <f t="shared" si="21"/>
        <v>103.98320450464125</v>
      </c>
      <c r="X47">
        <f t="shared" si="22"/>
        <v>139.25920477660563</v>
      </c>
      <c r="Y47">
        <f t="shared" si="23"/>
        <v>440.62398292598363</v>
      </c>
      <c r="Z47">
        <f t="shared" si="24"/>
        <v>85.400894951680527</v>
      </c>
      <c r="AA47">
        <f t="shared" si="25"/>
        <v>96.317476332346232</v>
      </c>
      <c r="AB47">
        <f t="shared" si="26"/>
        <v>241.16350496343765</v>
      </c>
      <c r="AC47">
        <f t="shared" si="27"/>
        <v>48.361534161527459</v>
      </c>
      <c r="AD47">
        <f t="shared" si="28"/>
        <v>703.58397792144922</v>
      </c>
      <c r="AE47">
        <f t="shared" si="29"/>
        <v>48.658810767655503</v>
      </c>
      <c r="AF47">
        <f t="shared" si="30"/>
        <v>538.27693080488132</v>
      </c>
      <c r="AG47">
        <f t="shared" si="31"/>
        <v>48.912363329973289</v>
      </c>
      <c r="AH47">
        <f t="shared" si="32"/>
        <v>398.87261093526718</v>
      </c>
      <c r="AI47">
        <f t="shared" si="33"/>
        <v>164.08033704168102</v>
      </c>
      <c r="AJ47">
        <f t="shared" si="34"/>
        <v>338.86041097070682</v>
      </c>
    </row>
    <row r="48" spans="1:36" x14ac:dyDescent="0.25">
      <c r="A48" s="8">
        <v>38261</v>
      </c>
      <c r="B48" s="9">
        <f t="shared" si="0"/>
        <v>10</v>
      </c>
      <c r="C48">
        <v>8.8845277788846797</v>
      </c>
      <c r="D48">
        <v>146.86170062921877</v>
      </c>
      <c r="E48">
        <v>186.6582357359344</v>
      </c>
      <c r="F48">
        <v>100.65136734843195</v>
      </c>
      <c r="G48">
        <v>110.72381576245486</v>
      </c>
      <c r="H48">
        <v>418.47159379297779</v>
      </c>
      <c r="I48">
        <v>94.351273603852533</v>
      </c>
      <c r="J48">
        <v>109.54335709176257</v>
      </c>
      <c r="K48">
        <v>233.39951848525084</v>
      </c>
      <c r="L48">
        <v>49.096793010180022</v>
      </c>
      <c r="M48">
        <v>728.54703011006586</v>
      </c>
      <c r="N48">
        <v>85.466068194998499</v>
      </c>
      <c r="O48">
        <v>553.64947721593364</v>
      </c>
      <c r="P48">
        <v>58.25154006702784</v>
      </c>
      <c r="Q48">
        <v>392.40340935153796</v>
      </c>
      <c r="R48">
        <v>150.54910537531248</v>
      </c>
      <c r="S48">
        <v>379.78258691995711</v>
      </c>
      <c r="T48" t="str">
        <f t="shared" si="18"/>
        <v/>
      </c>
      <c r="U48" t="str">
        <f t="shared" si="19"/>
        <v/>
      </c>
      <c r="V48" t="str">
        <f t="shared" si="20"/>
        <v/>
      </c>
      <c r="W48" t="str">
        <f t="shared" si="21"/>
        <v/>
      </c>
      <c r="X48" t="str">
        <f t="shared" si="22"/>
        <v/>
      </c>
      <c r="Y48" t="str">
        <f t="shared" si="23"/>
        <v/>
      </c>
      <c r="Z48" t="str">
        <f t="shared" si="24"/>
        <v/>
      </c>
      <c r="AA48" t="str">
        <f t="shared" si="25"/>
        <v/>
      </c>
      <c r="AB48" t="str">
        <f t="shared" si="26"/>
        <v/>
      </c>
      <c r="AC48" t="str">
        <f t="shared" si="27"/>
        <v/>
      </c>
      <c r="AD48" t="str">
        <f t="shared" si="28"/>
        <v/>
      </c>
      <c r="AE48" t="str">
        <f t="shared" si="29"/>
        <v/>
      </c>
      <c r="AF48" t="str">
        <f t="shared" si="30"/>
        <v/>
      </c>
      <c r="AG48" t="str">
        <f t="shared" si="31"/>
        <v/>
      </c>
      <c r="AH48" t="str">
        <f t="shared" si="32"/>
        <v/>
      </c>
      <c r="AI48" t="str">
        <f t="shared" si="33"/>
        <v/>
      </c>
      <c r="AJ48" t="str">
        <f t="shared" si="34"/>
        <v/>
      </c>
    </row>
    <row r="49" spans="1:36" x14ac:dyDescent="0.25">
      <c r="A49" s="8">
        <v>38292</v>
      </c>
      <c r="B49" s="9">
        <f t="shared" si="0"/>
        <v>11</v>
      </c>
      <c r="C49">
        <v>9.9529774273048623</v>
      </c>
      <c r="D49">
        <v>136.36995348416681</v>
      </c>
      <c r="E49">
        <v>162.25658463844258</v>
      </c>
      <c r="F49">
        <v>75.807163160946885</v>
      </c>
      <c r="G49">
        <v>139.97434517445339</v>
      </c>
      <c r="H49">
        <v>314.75311178355582</v>
      </c>
      <c r="I49">
        <v>88.810156575966005</v>
      </c>
      <c r="J49">
        <v>58.477510397841655</v>
      </c>
      <c r="K49">
        <v>194.41905709865875</v>
      </c>
      <c r="L49">
        <v>45.925992604785961</v>
      </c>
      <c r="M49">
        <v>597.69172186021274</v>
      </c>
      <c r="N49">
        <v>54.830755946121734</v>
      </c>
      <c r="O49">
        <v>541.07351251443561</v>
      </c>
      <c r="P49">
        <v>49.845047177801881</v>
      </c>
      <c r="Q49">
        <v>353.61205586849917</v>
      </c>
      <c r="R49">
        <v>154.76684069221992</v>
      </c>
      <c r="S49">
        <v>376.27447526719465</v>
      </c>
      <c r="T49" t="str">
        <f t="shared" si="18"/>
        <v/>
      </c>
      <c r="U49" t="str">
        <f t="shared" si="19"/>
        <v/>
      </c>
      <c r="V49" t="str">
        <f t="shared" si="20"/>
        <v/>
      </c>
      <c r="W49" t="str">
        <f t="shared" si="21"/>
        <v/>
      </c>
      <c r="X49" t="str">
        <f t="shared" si="22"/>
        <v/>
      </c>
      <c r="Y49" t="str">
        <f t="shared" si="23"/>
        <v/>
      </c>
      <c r="Z49" t="str">
        <f t="shared" si="24"/>
        <v/>
      </c>
      <c r="AA49" t="str">
        <f t="shared" si="25"/>
        <v/>
      </c>
      <c r="AB49" t="str">
        <f t="shared" si="26"/>
        <v/>
      </c>
      <c r="AC49" t="str">
        <f t="shared" si="27"/>
        <v/>
      </c>
      <c r="AD49" t="str">
        <f t="shared" si="28"/>
        <v/>
      </c>
      <c r="AE49" t="str">
        <f t="shared" si="29"/>
        <v/>
      </c>
      <c r="AF49" t="str">
        <f t="shared" si="30"/>
        <v/>
      </c>
      <c r="AG49" t="str">
        <f t="shared" si="31"/>
        <v/>
      </c>
      <c r="AH49" t="str">
        <f t="shared" si="32"/>
        <v/>
      </c>
      <c r="AI49" t="str">
        <f t="shared" si="33"/>
        <v/>
      </c>
      <c r="AJ49" t="str">
        <f t="shared" si="34"/>
        <v/>
      </c>
    </row>
    <row r="50" spans="1:36" x14ac:dyDescent="0.25">
      <c r="A50" s="8">
        <v>38322</v>
      </c>
      <c r="B50" s="9">
        <f t="shared" si="0"/>
        <v>12</v>
      </c>
      <c r="C50">
        <v>11.752242992761232</v>
      </c>
      <c r="D50">
        <v>156.75288198937454</v>
      </c>
      <c r="E50">
        <v>174.91763253493221</v>
      </c>
      <c r="F50">
        <v>90.975310814285834</v>
      </c>
      <c r="G50">
        <v>146.20003142229888</v>
      </c>
      <c r="H50">
        <v>388.85211249212</v>
      </c>
      <c r="I50">
        <v>90.982180055490957</v>
      </c>
      <c r="J50">
        <v>118.92068573359261</v>
      </c>
      <c r="K50">
        <v>234.97170274529759</v>
      </c>
      <c r="L50">
        <v>52.60693660956359</v>
      </c>
      <c r="M50">
        <v>745.60060253863151</v>
      </c>
      <c r="N50">
        <v>58.883405402891043</v>
      </c>
      <c r="O50">
        <v>567.15002988151195</v>
      </c>
      <c r="P50">
        <v>77.631662765082439</v>
      </c>
      <c r="Q50">
        <v>392.32904128742155</v>
      </c>
      <c r="R50">
        <v>148.4542613283825</v>
      </c>
      <c r="S50">
        <v>395.80729247873052</v>
      </c>
      <c r="T50">
        <f t="shared" si="18"/>
        <v>10.196582732983591</v>
      </c>
      <c r="U50">
        <f t="shared" si="19"/>
        <v>146.66151203425338</v>
      </c>
      <c r="V50">
        <f t="shared" si="20"/>
        <v>174.61081763643639</v>
      </c>
      <c r="W50">
        <f t="shared" si="21"/>
        <v>89.144613774554884</v>
      </c>
      <c r="X50">
        <f t="shared" si="22"/>
        <v>132.29939745306905</v>
      </c>
      <c r="Y50">
        <f t="shared" si="23"/>
        <v>374.02560602288457</v>
      </c>
      <c r="Z50">
        <f t="shared" si="24"/>
        <v>91.381203411769832</v>
      </c>
      <c r="AA50">
        <f t="shared" si="25"/>
        <v>95.647184407732269</v>
      </c>
      <c r="AB50">
        <f t="shared" si="26"/>
        <v>220.9300927764024</v>
      </c>
      <c r="AC50">
        <f t="shared" si="27"/>
        <v>49.209907408176527</v>
      </c>
      <c r="AD50">
        <f t="shared" si="28"/>
        <v>690.61311816963678</v>
      </c>
      <c r="AE50">
        <f t="shared" si="29"/>
        <v>66.393409848003756</v>
      </c>
      <c r="AF50">
        <f t="shared" si="30"/>
        <v>553.95767320396033</v>
      </c>
      <c r="AG50">
        <f t="shared" si="31"/>
        <v>61.909416669970717</v>
      </c>
      <c r="AH50">
        <f t="shared" si="32"/>
        <v>379.44816883581962</v>
      </c>
      <c r="AI50">
        <f t="shared" si="33"/>
        <v>151.25673579863829</v>
      </c>
      <c r="AJ50">
        <f t="shared" si="34"/>
        <v>383.95478488862744</v>
      </c>
    </row>
    <row r="51" spans="1:36" x14ac:dyDescent="0.25">
      <c r="A51" s="8">
        <v>38353</v>
      </c>
      <c r="B51" s="9">
        <f t="shared" si="0"/>
        <v>1</v>
      </c>
      <c r="C51">
        <v>9.5580530768841943</v>
      </c>
      <c r="D51">
        <v>148.74458585264736</v>
      </c>
      <c r="E51">
        <v>199.07282872422758</v>
      </c>
      <c r="F51">
        <v>97.897301724542729</v>
      </c>
      <c r="G51">
        <v>105.84334395824204</v>
      </c>
      <c r="H51">
        <v>388.17084884075553</v>
      </c>
      <c r="I51">
        <v>97.228408918706421</v>
      </c>
      <c r="J51">
        <v>100.10182957995876</v>
      </c>
      <c r="K51">
        <v>209.98417027426973</v>
      </c>
      <c r="L51">
        <v>36.545086985929331</v>
      </c>
      <c r="M51">
        <v>629.56751967358537</v>
      </c>
      <c r="N51">
        <v>61.441536928243615</v>
      </c>
      <c r="O51">
        <v>522.71008717937787</v>
      </c>
      <c r="P51">
        <v>63.781148636117244</v>
      </c>
      <c r="Q51">
        <v>499.04274573856867</v>
      </c>
      <c r="R51">
        <v>138.70207016872769</v>
      </c>
      <c r="S51">
        <v>321.78691774850131</v>
      </c>
      <c r="T51" t="str">
        <f t="shared" si="18"/>
        <v/>
      </c>
      <c r="U51" t="str">
        <f t="shared" si="19"/>
        <v/>
      </c>
      <c r="V51" t="str">
        <f t="shared" si="20"/>
        <v/>
      </c>
      <c r="W51" t="str">
        <f t="shared" si="21"/>
        <v/>
      </c>
      <c r="X51" t="str">
        <f t="shared" si="22"/>
        <v/>
      </c>
      <c r="Y51" t="str">
        <f t="shared" si="23"/>
        <v/>
      </c>
      <c r="Z51" t="str">
        <f t="shared" si="24"/>
        <v/>
      </c>
      <c r="AA51" t="str">
        <f t="shared" si="25"/>
        <v/>
      </c>
      <c r="AB51" t="str">
        <f t="shared" si="26"/>
        <v/>
      </c>
      <c r="AC51" t="str">
        <f t="shared" si="27"/>
        <v/>
      </c>
      <c r="AD51" t="str">
        <f t="shared" si="28"/>
        <v/>
      </c>
      <c r="AE51" t="str">
        <f t="shared" si="29"/>
        <v/>
      </c>
      <c r="AF51" t="str">
        <f t="shared" si="30"/>
        <v/>
      </c>
      <c r="AG51" t="str">
        <f t="shared" si="31"/>
        <v/>
      </c>
      <c r="AH51" t="str">
        <f t="shared" si="32"/>
        <v/>
      </c>
      <c r="AI51" t="str">
        <f t="shared" si="33"/>
        <v/>
      </c>
      <c r="AJ51" t="str">
        <f t="shared" si="34"/>
        <v/>
      </c>
    </row>
    <row r="52" spans="1:36" x14ac:dyDescent="0.25">
      <c r="A52" s="8">
        <v>38384</v>
      </c>
      <c r="B52" s="9">
        <f t="shared" si="0"/>
        <v>2</v>
      </c>
      <c r="C52">
        <v>11.005234526088397</v>
      </c>
      <c r="D52">
        <v>143.34013548491029</v>
      </c>
      <c r="E52">
        <v>185.59953697245945</v>
      </c>
      <c r="F52">
        <v>88.36930591871554</v>
      </c>
      <c r="G52">
        <v>158.29123997767587</v>
      </c>
      <c r="H52">
        <v>420.18541493280139</v>
      </c>
      <c r="I52">
        <v>112.19401645252827</v>
      </c>
      <c r="J52">
        <v>80.386679146616459</v>
      </c>
      <c r="K52">
        <v>219.30761660179013</v>
      </c>
      <c r="L52">
        <v>64.09944682309515</v>
      </c>
      <c r="M52">
        <v>677.28662226580138</v>
      </c>
      <c r="N52">
        <v>45.834933450525376</v>
      </c>
      <c r="O52">
        <v>563.26156692872814</v>
      </c>
      <c r="P52">
        <v>67.284736652248327</v>
      </c>
      <c r="Q52">
        <v>429.53434531285484</v>
      </c>
      <c r="R52">
        <v>126.60637881492099</v>
      </c>
      <c r="S52">
        <v>349.90340423096154</v>
      </c>
      <c r="T52" t="str">
        <f t="shared" si="18"/>
        <v/>
      </c>
      <c r="U52" t="str">
        <f t="shared" si="19"/>
        <v/>
      </c>
      <c r="V52" t="str">
        <f t="shared" si="20"/>
        <v/>
      </c>
      <c r="W52" t="str">
        <f t="shared" si="21"/>
        <v/>
      </c>
      <c r="X52" t="str">
        <f t="shared" si="22"/>
        <v/>
      </c>
      <c r="Y52" t="str">
        <f t="shared" si="23"/>
        <v/>
      </c>
      <c r="Z52" t="str">
        <f t="shared" si="24"/>
        <v/>
      </c>
      <c r="AA52" t="str">
        <f t="shared" si="25"/>
        <v/>
      </c>
      <c r="AB52" t="str">
        <f t="shared" si="26"/>
        <v/>
      </c>
      <c r="AC52" t="str">
        <f t="shared" si="27"/>
        <v/>
      </c>
      <c r="AD52" t="str">
        <f t="shared" si="28"/>
        <v/>
      </c>
      <c r="AE52" t="str">
        <f t="shared" si="29"/>
        <v/>
      </c>
      <c r="AF52" t="str">
        <f t="shared" si="30"/>
        <v/>
      </c>
      <c r="AG52" t="str">
        <f t="shared" si="31"/>
        <v/>
      </c>
      <c r="AH52" t="str">
        <f t="shared" si="32"/>
        <v/>
      </c>
      <c r="AI52" t="str">
        <f t="shared" si="33"/>
        <v/>
      </c>
      <c r="AJ52" t="str">
        <f t="shared" si="34"/>
        <v/>
      </c>
    </row>
    <row r="53" spans="1:36" x14ac:dyDescent="0.25">
      <c r="A53" s="8">
        <v>38412</v>
      </c>
      <c r="B53" s="9">
        <f t="shared" si="0"/>
        <v>3</v>
      </c>
      <c r="C53">
        <v>15.204202988829103</v>
      </c>
      <c r="D53">
        <v>146.20125600833737</v>
      </c>
      <c r="E53">
        <v>170.09644600002756</v>
      </c>
      <c r="F53">
        <v>105.10656731910862</v>
      </c>
      <c r="G53">
        <v>126.10698321094993</v>
      </c>
      <c r="H53">
        <v>457.54126294969785</v>
      </c>
      <c r="I53">
        <v>96.897581736464886</v>
      </c>
      <c r="J53">
        <v>84.725846981581626</v>
      </c>
      <c r="K53">
        <v>186.14728067262672</v>
      </c>
      <c r="L53">
        <v>28.895581643861881</v>
      </c>
      <c r="M53">
        <v>747.68460361041707</v>
      </c>
      <c r="N53">
        <v>69.574613731011013</v>
      </c>
      <c r="O53">
        <v>612.60603309057024</v>
      </c>
      <c r="P53">
        <v>61.465380276058056</v>
      </c>
      <c r="Q53">
        <v>453.14502445099214</v>
      </c>
      <c r="R53">
        <v>165.19473683339277</v>
      </c>
      <c r="S53">
        <v>339.32430797685049</v>
      </c>
      <c r="T53">
        <f t="shared" si="18"/>
        <v>11.922496863933899</v>
      </c>
      <c r="U53">
        <f t="shared" si="19"/>
        <v>146.09532578196502</v>
      </c>
      <c r="V53">
        <f t="shared" si="20"/>
        <v>184.92293723223818</v>
      </c>
      <c r="W53">
        <f t="shared" si="21"/>
        <v>97.124391654122292</v>
      </c>
      <c r="X53">
        <f t="shared" si="22"/>
        <v>130.08052238228927</v>
      </c>
      <c r="Y53">
        <f t="shared" si="23"/>
        <v>421.965842241085</v>
      </c>
      <c r="Z53">
        <f t="shared" si="24"/>
        <v>102.10666903589986</v>
      </c>
      <c r="AA53">
        <f t="shared" si="25"/>
        <v>88.404785236052291</v>
      </c>
      <c r="AB53">
        <f t="shared" si="26"/>
        <v>205.14635584956218</v>
      </c>
      <c r="AC53">
        <f t="shared" si="27"/>
        <v>43.180038484295459</v>
      </c>
      <c r="AD53">
        <f t="shared" si="28"/>
        <v>684.84624851660135</v>
      </c>
      <c r="AE53">
        <f t="shared" si="29"/>
        <v>58.950361369926668</v>
      </c>
      <c r="AF53">
        <f t="shared" si="30"/>
        <v>566.19256239955882</v>
      </c>
      <c r="AG53">
        <f t="shared" si="31"/>
        <v>64.177088521474545</v>
      </c>
      <c r="AH53">
        <f t="shared" si="32"/>
        <v>460.57403850080522</v>
      </c>
      <c r="AI53">
        <f t="shared" si="33"/>
        <v>143.50106193901379</v>
      </c>
      <c r="AJ53">
        <f t="shared" si="34"/>
        <v>337.00487665210443</v>
      </c>
    </row>
    <row r="54" spans="1:36" x14ac:dyDescent="0.25">
      <c r="A54" s="8">
        <v>38443</v>
      </c>
      <c r="B54" s="9">
        <f t="shared" si="0"/>
        <v>4</v>
      </c>
      <c r="C54">
        <v>12.048382098254251</v>
      </c>
      <c r="D54">
        <v>144.01104189758578</v>
      </c>
      <c r="E54">
        <v>205.73199740863498</v>
      </c>
      <c r="F54">
        <v>83.852751043804901</v>
      </c>
      <c r="G54">
        <v>132.0203450947931</v>
      </c>
      <c r="H54">
        <v>488.40819874244011</v>
      </c>
      <c r="I54">
        <v>106.98357668903266</v>
      </c>
      <c r="J54">
        <v>96.142934636924707</v>
      </c>
      <c r="K54">
        <v>234.75435588405236</v>
      </c>
      <c r="L54">
        <v>74.017898378783372</v>
      </c>
      <c r="M54">
        <v>830.13930496213527</v>
      </c>
      <c r="N54">
        <v>61.011798416697879</v>
      </c>
      <c r="O54">
        <v>601.11825473561248</v>
      </c>
      <c r="P54">
        <v>63.940270595877649</v>
      </c>
      <c r="Q54">
        <v>476.09316989528349</v>
      </c>
      <c r="R54">
        <v>151.79237216427524</v>
      </c>
      <c r="S54">
        <v>343.30335231839996</v>
      </c>
      <c r="T54" t="str">
        <f t="shared" si="18"/>
        <v/>
      </c>
      <c r="U54" t="str">
        <f t="shared" si="19"/>
        <v/>
      </c>
      <c r="V54" t="str">
        <f t="shared" si="20"/>
        <v/>
      </c>
      <c r="W54" t="str">
        <f t="shared" si="21"/>
        <v/>
      </c>
      <c r="X54" t="str">
        <f t="shared" si="22"/>
        <v/>
      </c>
      <c r="Y54" t="str">
        <f t="shared" si="23"/>
        <v/>
      </c>
      <c r="Z54" t="str">
        <f t="shared" si="24"/>
        <v/>
      </c>
      <c r="AA54" t="str">
        <f t="shared" si="25"/>
        <v/>
      </c>
      <c r="AB54" t="str">
        <f t="shared" si="26"/>
        <v/>
      </c>
      <c r="AC54" t="str">
        <f t="shared" si="27"/>
        <v/>
      </c>
      <c r="AD54" t="str">
        <f t="shared" si="28"/>
        <v/>
      </c>
      <c r="AE54" t="str">
        <f t="shared" si="29"/>
        <v/>
      </c>
      <c r="AF54" t="str">
        <f t="shared" si="30"/>
        <v/>
      </c>
      <c r="AG54" t="str">
        <f t="shared" si="31"/>
        <v/>
      </c>
      <c r="AH54" t="str">
        <f t="shared" si="32"/>
        <v/>
      </c>
      <c r="AI54" t="str">
        <f t="shared" si="33"/>
        <v/>
      </c>
      <c r="AJ54" t="str">
        <f t="shared" si="34"/>
        <v/>
      </c>
    </row>
    <row r="55" spans="1:36" x14ac:dyDescent="0.25">
      <c r="A55" s="8">
        <v>38473</v>
      </c>
      <c r="B55" s="9">
        <f t="shared" si="0"/>
        <v>5</v>
      </c>
      <c r="C55">
        <v>13.203775239881608</v>
      </c>
      <c r="D55">
        <v>139.68288930317348</v>
      </c>
      <c r="E55">
        <v>179.95433710184577</v>
      </c>
      <c r="F55">
        <v>84.236883108940972</v>
      </c>
      <c r="G55">
        <v>143.41070857367964</v>
      </c>
      <c r="H55">
        <v>416.73527007381909</v>
      </c>
      <c r="I55">
        <v>129.63394659605109</v>
      </c>
      <c r="J55">
        <v>99.114554565069909</v>
      </c>
      <c r="K55">
        <v>168.88868389589393</v>
      </c>
      <c r="L55">
        <v>63.269779422784097</v>
      </c>
      <c r="M55">
        <v>776.5368061151861</v>
      </c>
      <c r="N55">
        <v>77.058396903981603</v>
      </c>
      <c r="O55">
        <v>584.67630005593912</v>
      </c>
      <c r="P55">
        <v>54.548560951569918</v>
      </c>
      <c r="Q55">
        <v>418.17652456839716</v>
      </c>
      <c r="R55">
        <v>132.8861122474168</v>
      </c>
      <c r="S55">
        <v>375.7131137836023</v>
      </c>
      <c r="T55" t="str">
        <f t="shared" si="18"/>
        <v/>
      </c>
      <c r="U55" t="str">
        <f t="shared" si="19"/>
        <v/>
      </c>
      <c r="V55" t="str">
        <f t="shared" si="20"/>
        <v/>
      </c>
      <c r="W55" t="str">
        <f t="shared" si="21"/>
        <v/>
      </c>
      <c r="X55" t="str">
        <f t="shared" si="22"/>
        <v/>
      </c>
      <c r="Y55" t="str">
        <f t="shared" si="23"/>
        <v/>
      </c>
      <c r="Z55" t="str">
        <f t="shared" si="24"/>
        <v/>
      </c>
      <c r="AA55" t="str">
        <f t="shared" si="25"/>
        <v/>
      </c>
      <c r="AB55" t="str">
        <f t="shared" si="26"/>
        <v/>
      </c>
      <c r="AC55" t="str">
        <f t="shared" si="27"/>
        <v/>
      </c>
      <c r="AD55" t="str">
        <f t="shared" si="28"/>
        <v/>
      </c>
      <c r="AE55" t="str">
        <f t="shared" si="29"/>
        <v/>
      </c>
      <c r="AF55" t="str">
        <f t="shared" si="30"/>
        <v/>
      </c>
      <c r="AG55" t="str">
        <f t="shared" si="31"/>
        <v/>
      </c>
      <c r="AH55" t="str">
        <f t="shared" si="32"/>
        <v/>
      </c>
      <c r="AI55" t="str">
        <f t="shared" si="33"/>
        <v/>
      </c>
      <c r="AJ55" t="str">
        <f t="shared" si="34"/>
        <v/>
      </c>
    </row>
    <row r="56" spans="1:36" x14ac:dyDescent="0.25">
      <c r="A56" s="8">
        <v>38504</v>
      </c>
      <c r="B56" s="9">
        <f t="shared" si="0"/>
        <v>6</v>
      </c>
      <c r="C56">
        <v>12.66393138920667</v>
      </c>
      <c r="D56">
        <v>134.04898357996959</v>
      </c>
      <c r="E56">
        <v>173.09705531549693</v>
      </c>
      <c r="F56">
        <v>98.832195534562601</v>
      </c>
      <c r="G56">
        <v>134.98366495791862</v>
      </c>
      <c r="H56">
        <v>404.84345690533195</v>
      </c>
      <c r="I56">
        <v>133.23173787854171</v>
      </c>
      <c r="J56">
        <v>101.42620616080157</v>
      </c>
      <c r="K56">
        <v>235.55432247868953</v>
      </c>
      <c r="L56">
        <v>56.784232659545687</v>
      </c>
      <c r="M56">
        <v>864.03238027291206</v>
      </c>
      <c r="N56">
        <v>76.464916481425504</v>
      </c>
      <c r="O56">
        <v>569.00624773278219</v>
      </c>
      <c r="P56">
        <v>79.838777916473703</v>
      </c>
      <c r="Q56">
        <v>416.83423450774438</v>
      </c>
      <c r="R56">
        <v>145.48950580291086</v>
      </c>
      <c r="S56">
        <v>358.38755064372231</v>
      </c>
      <c r="T56">
        <f t="shared" si="18"/>
        <v>12.638696242447509</v>
      </c>
      <c r="U56">
        <f t="shared" si="19"/>
        <v>139.24763826024295</v>
      </c>
      <c r="V56">
        <f t="shared" si="20"/>
        <v>186.26112994199255</v>
      </c>
      <c r="W56">
        <f t="shared" si="21"/>
        <v>88.973943229102815</v>
      </c>
      <c r="X56">
        <f t="shared" si="22"/>
        <v>136.80490620879712</v>
      </c>
      <c r="Y56">
        <f t="shared" si="23"/>
        <v>436.66230857386375</v>
      </c>
      <c r="Z56">
        <f t="shared" si="24"/>
        <v>123.28308705454181</v>
      </c>
      <c r="AA56">
        <f t="shared" si="25"/>
        <v>98.894565120932057</v>
      </c>
      <c r="AB56">
        <f t="shared" si="26"/>
        <v>213.06578741954527</v>
      </c>
      <c r="AC56">
        <f t="shared" si="27"/>
        <v>64.690636820371054</v>
      </c>
      <c r="AD56">
        <f t="shared" si="28"/>
        <v>823.56949711674451</v>
      </c>
      <c r="AE56">
        <f t="shared" si="29"/>
        <v>71.511703934034998</v>
      </c>
      <c r="AF56">
        <f t="shared" si="30"/>
        <v>584.93360084144456</v>
      </c>
      <c r="AG56">
        <f t="shared" si="31"/>
        <v>66.109203154640426</v>
      </c>
      <c r="AH56">
        <f t="shared" si="32"/>
        <v>437.03464299047505</v>
      </c>
      <c r="AI56">
        <f t="shared" si="33"/>
        <v>143.38933007153429</v>
      </c>
      <c r="AJ56">
        <f t="shared" si="34"/>
        <v>359.13467224857487</v>
      </c>
    </row>
    <row r="57" spans="1:36" x14ac:dyDescent="0.25">
      <c r="A57" s="8">
        <v>38534</v>
      </c>
      <c r="B57" s="9">
        <f t="shared" si="0"/>
        <v>7</v>
      </c>
      <c r="C57">
        <v>14.620290757256022</v>
      </c>
      <c r="D57">
        <v>151.30563919892762</v>
      </c>
      <c r="E57">
        <v>198.26717137157422</v>
      </c>
      <c r="F57">
        <v>107.74027488187212</v>
      </c>
      <c r="G57">
        <v>139.66898361104094</v>
      </c>
      <c r="H57">
        <v>424.09701449214754</v>
      </c>
      <c r="I57">
        <v>114.31989609523897</v>
      </c>
      <c r="J57">
        <v>101.77961792756314</v>
      </c>
      <c r="K57">
        <v>256.2443725982717</v>
      </c>
      <c r="L57">
        <v>56.06191349221892</v>
      </c>
      <c r="M57">
        <v>852.82047579272319</v>
      </c>
      <c r="N57">
        <v>59.062620273661324</v>
      </c>
      <c r="O57">
        <v>626.67807854060652</v>
      </c>
      <c r="P57">
        <v>84.584882195546427</v>
      </c>
      <c r="Q57">
        <v>414.65919614020459</v>
      </c>
      <c r="R57">
        <v>144.37757969825986</v>
      </c>
      <c r="S57">
        <v>411.12581413281345</v>
      </c>
      <c r="T57" t="str">
        <f t="shared" si="18"/>
        <v/>
      </c>
      <c r="U57" t="str">
        <f t="shared" si="19"/>
        <v/>
      </c>
      <c r="V57" t="str">
        <f t="shared" si="20"/>
        <v/>
      </c>
      <c r="W57" t="str">
        <f t="shared" si="21"/>
        <v/>
      </c>
      <c r="X57" t="str">
        <f t="shared" si="22"/>
        <v/>
      </c>
      <c r="Y57" t="str">
        <f t="shared" si="23"/>
        <v/>
      </c>
      <c r="Z57" t="str">
        <f t="shared" si="24"/>
        <v/>
      </c>
      <c r="AA57" t="str">
        <f t="shared" si="25"/>
        <v/>
      </c>
      <c r="AB57" t="str">
        <f t="shared" si="26"/>
        <v/>
      </c>
      <c r="AC57" t="str">
        <f t="shared" si="27"/>
        <v/>
      </c>
      <c r="AD57" t="str">
        <f t="shared" si="28"/>
        <v/>
      </c>
      <c r="AE57" t="str">
        <f t="shared" si="29"/>
        <v/>
      </c>
      <c r="AF57" t="str">
        <f t="shared" si="30"/>
        <v/>
      </c>
      <c r="AG57" t="str">
        <f t="shared" si="31"/>
        <v/>
      </c>
      <c r="AH57" t="str">
        <f t="shared" si="32"/>
        <v/>
      </c>
      <c r="AI57" t="str">
        <f t="shared" si="33"/>
        <v/>
      </c>
      <c r="AJ57" t="str">
        <f t="shared" si="34"/>
        <v/>
      </c>
    </row>
    <row r="58" spans="1:36" x14ac:dyDescent="0.25">
      <c r="A58" s="8">
        <v>38565</v>
      </c>
      <c r="B58" s="9">
        <f t="shared" si="0"/>
        <v>8</v>
      </c>
      <c r="C58">
        <v>13.41109001945742</v>
      </c>
      <c r="D58">
        <v>149.25229337853494</v>
      </c>
      <c r="E58">
        <v>203.51531217947058</v>
      </c>
      <c r="F58">
        <v>91.994630303736884</v>
      </c>
      <c r="G58">
        <v>139.86551584851995</v>
      </c>
      <c r="H58">
        <v>433.70696465809351</v>
      </c>
      <c r="I58">
        <v>107.09374942453148</v>
      </c>
      <c r="J58">
        <v>114.55451397723641</v>
      </c>
      <c r="K58">
        <v>257.5711909566694</v>
      </c>
      <c r="L58">
        <v>45.206782195231384</v>
      </c>
      <c r="M58">
        <v>837.89887119742832</v>
      </c>
      <c r="N58">
        <v>62.733658955200603</v>
      </c>
      <c r="O58">
        <v>579.14677632117503</v>
      </c>
      <c r="P58">
        <v>68.289074904236188</v>
      </c>
      <c r="Q58">
        <v>426.97989333858578</v>
      </c>
      <c r="R58">
        <v>146.99493424352883</v>
      </c>
      <c r="S58">
        <v>373.90683985122183</v>
      </c>
      <c r="T58" t="str">
        <f t="shared" si="18"/>
        <v/>
      </c>
      <c r="U58" t="str">
        <f t="shared" si="19"/>
        <v/>
      </c>
      <c r="V58" t="str">
        <f t="shared" si="20"/>
        <v/>
      </c>
      <c r="W58" t="str">
        <f t="shared" si="21"/>
        <v/>
      </c>
      <c r="X58" t="str">
        <f t="shared" si="22"/>
        <v/>
      </c>
      <c r="Y58" t="str">
        <f t="shared" si="23"/>
        <v/>
      </c>
      <c r="Z58" t="str">
        <f t="shared" si="24"/>
        <v/>
      </c>
      <c r="AA58" t="str">
        <f t="shared" si="25"/>
        <v/>
      </c>
      <c r="AB58" t="str">
        <f t="shared" si="26"/>
        <v/>
      </c>
      <c r="AC58" t="str">
        <f t="shared" si="27"/>
        <v/>
      </c>
      <c r="AD58" t="str">
        <f t="shared" si="28"/>
        <v/>
      </c>
      <c r="AE58" t="str">
        <f t="shared" si="29"/>
        <v/>
      </c>
      <c r="AF58" t="str">
        <f t="shared" si="30"/>
        <v/>
      </c>
      <c r="AG58" t="str">
        <f t="shared" si="31"/>
        <v/>
      </c>
      <c r="AH58" t="str">
        <f t="shared" si="32"/>
        <v/>
      </c>
      <c r="AI58" t="str">
        <f t="shared" si="33"/>
        <v/>
      </c>
      <c r="AJ58" t="str">
        <f t="shared" si="34"/>
        <v/>
      </c>
    </row>
    <row r="59" spans="1:36" x14ac:dyDescent="0.25">
      <c r="A59" s="8">
        <v>38596</v>
      </c>
      <c r="B59" s="9">
        <f t="shared" si="0"/>
        <v>9</v>
      </c>
      <c r="C59">
        <v>21.24792998836806</v>
      </c>
      <c r="D59">
        <v>146.62605400296084</v>
      </c>
      <c r="E59">
        <v>234.39040290591586</v>
      </c>
      <c r="F59">
        <v>106.21667917824952</v>
      </c>
      <c r="G59">
        <v>136.23167058459649</v>
      </c>
      <c r="H59">
        <v>412.62547509536887</v>
      </c>
      <c r="I59">
        <v>141.83856261767144</v>
      </c>
      <c r="J59">
        <v>132.04599552789998</v>
      </c>
      <c r="K59">
        <v>236.00825416156701</v>
      </c>
      <c r="L59">
        <v>85.003298647083383</v>
      </c>
      <c r="M59">
        <v>823.66283959327905</v>
      </c>
      <c r="N59">
        <v>81.279269361889789</v>
      </c>
      <c r="O59">
        <v>582.11625224046372</v>
      </c>
      <c r="P59">
        <v>41.054124208325192</v>
      </c>
      <c r="Q59">
        <v>429.50025529799285</v>
      </c>
      <c r="R59">
        <v>183.34760747817234</v>
      </c>
      <c r="S59">
        <v>415.18154144569507</v>
      </c>
      <c r="T59">
        <f t="shared" si="18"/>
        <v>16.426436921693835</v>
      </c>
      <c r="U59">
        <f t="shared" si="19"/>
        <v>149.06132886014112</v>
      </c>
      <c r="V59">
        <f t="shared" si="20"/>
        <v>212.0576288189869</v>
      </c>
      <c r="W59">
        <f t="shared" si="21"/>
        <v>101.98386145461951</v>
      </c>
      <c r="X59">
        <f t="shared" si="22"/>
        <v>138.58872334805247</v>
      </c>
      <c r="Y59">
        <f t="shared" si="23"/>
        <v>423.47648474853668</v>
      </c>
      <c r="Z59">
        <f t="shared" si="24"/>
        <v>121.08406937914731</v>
      </c>
      <c r="AA59">
        <f t="shared" si="25"/>
        <v>116.12670914423317</v>
      </c>
      <c r="AB59">
        <f t="shared" si="26"/>
        <v>249.94127257216937</v>
      </c>
      <c r="AC59">
        <f t="shared" si="27"/>
        <v>62.090664778177903</v>
      </c>
      <c r="AD59">
        <f t="shared" si="28"/>
        <v>838.12739552781022</v>
      </c>
      <c r="AE59">
        <f t="shared" si="29"/>
        <v>67.691849530250565</v>
      </c>
      <c r="AF59">
        <f t="shared" si="30"/>
        <v>595.98036903408183</v>
      </c>
      <c r="AG59">
        <f t="shared" si="31"/>
        <v>64.642693769369274</v>
      </c>
      <c r="AH59">
        <f t="shared" si="32"/>
        <v>423.71311492559443</v>
      </c>
      <c r="AI59">
        <f t="shared" si="33"/>
        <v>158.24004047332036</v>
      </c>
      <c r="AJ59">
        <f t="shared" si="34"/>
        <v>400.0713984765768</v>
      </c>
    </row>
    <row r="60" spans="1:36" x14ac:dyDescent="0.25">
      <c r="A60" s="8">
        <v>38626</v>
      </c>
      <c r="B60" s="9">
        <f t="shared" si="0"/>
        <v>10</v>
      </c>
      <c r="C60">
        <v>11.846037038512906</v>
      </c>
      <c r="D60">
        <v>171.50981821733939</v>
      </c>
      <c r="E60">
        <v>196.69362475399538</v>
      </c>
      <c r="F60">
        <v>75.728171624058319</v>
      </c>
      <c r="G60">
        <v>168.2567788547108</v>
      </c>
      <c r="H60">
        <v>444.01564081086156</v>
      </c>
      <c r="I60">
        <v>130.8456341487389</v>
      </c>
      <c r="J60">
        <v>96.502481247505116</v>
      </c>
      <c r="K60">
        <v>288.97083241031055</v>
      </c>
      <c r="L60">
        <v>41.062772335786924</v>
      </c>
      <c r="M60">
        <v>843.62961830579604</v>
      </c>
      <c r="N60">
        <v>70.602404161085715</v>
      </c>
      <c r="O60">
        <v>579.15892411837433</v>
      </c>
      <c r="P60">
        <v>61.264550760149966</v>
      </c>
      <c r="Q60">
        <v>423.63950163822756</v>
      </c>
      <c r="R60">
        <v>212.43125298356975</v>
      </c>
      <c r="S60">
        <v>359.63496957672334</v>
      </c>
      <c r="T60" t="str">
        <f t="shared" si="18"/>
        <v/>
      </c>
      <c r="U60" t="str">
        <f t="shared" si="19"/>
        <v/>
      </c>
      <c r="V60" t="str">
        <f t="shared" si="20"/>
        <v/>
      </c>
      <c r="W60" t="str">
        <f t="shared" si="21"/>
        <v/>
      </c>
      <c r="X60" t="str">
        <f t="shared" si="22"/>
        <v/>
      </c>
      <c r="Y60" t="str">
        <f t="shared" si="23"/>
        <v/>
      </c>
      <c r="Z60" t="str">
        <f t="shared" si="24"/>
        <v/>
      </c>
      <c r="AA60" t="str">
        <f t="shared" si="25"/>
        <v/>
      </c>
      <c r="AB60" t="str">
        <f t="shared" si="26"/>
        <v/>
      </c>
      <c r="AC60" t="str">
        <f t="shared" si="27"/>
        <v/>
      </c>
      <c r="AD60" t="str">
        <f t="shared" si="28"/>
        <v/>
      </c>
      <c r="AE60" t="str">
        <f t="shared" si="29"/>
        <v/>
      </c>
      <c r="AF60" t="str">
        <f t="shared" si="30"/>
        <v/>
      </c>
      <c r="AG60" t="str">
        <f t="shared" si="31"/>
        <v/>
      </c>
      <c r="AH60" t="str">
        <f t="shared" si="32"/>
        <v/>
      </c>
      <c r="AI60" t="str">
        <f t="shared" si="33"/>
        <v/>
      </c>
      <c r="AJ60" t="str">
        <f t="shared" si="34"/>
        <v/>
      </c>
    </row>
    <row r="61" spans="1:36" x14ac:dyDescent="0.25">
      <c r="A61" s="8">
        <v>38657</v>
      </c>
      <c r="B61" s="9">
        <f t="shared" si="0"/>
        <v>11</v>
      </c>
      <c r="C61">
        <v>12.164750188928165</v>
      </c>
      <c r="D61">
        <v>202.56896002987887</v>
      </c>
      <c r="E61">
        <v>251.89483769044932</v>
      </c>
      <c r="F61">
        <v>126.74010090970808</v>
      </c>
      <c r="G61">
        <v>142.51933326853435</v>
      </c>
      <c r="H61">
        <v>546.22103591304358</v>
      </c>
      <c r="I61">
        <v>128.05185366767191</v>
      </c>
      <c r="J61">
        <v>122.36960509177976</v>
      </c>
      <c r="K61">
        <v>265.63068847781864</v>
      </c>
      <c r="L61">
        <v>68.888988907178941</v>
      </c>
      <c r="M61">
        <v>838.76812268487106</v>
      </c>
      <c r="N61">
        <v>81.103826503638402</v>
      </c>
      <c r="O61">
        <v>567.91247642884218</v>
      </c>
      <c r="P61">
        <v>65.704834916193377</v>
      </c>
      <c r="Q61">
        <v>483.70344765958583</v>
      </c>
      <c r="R61">
        <v>117.28424646207291</v>
      </c>
      <c r="S61">
        <v>380.66251579509196</v>
      </c>
      <c r="T61" t="str">
        <f t="shared" si="18"/>
        <v/>
      </c>
      <c r="U61" t="str">
        <f t="shared" si="19"/>
        <v/>
      </c>
      <c r="V61" t="str">
        <f t="shared" si="20"/>
        <v/>
      </c>
      <c r="W61" t="str">
        <f t="shared" si="21"/>
        <v/>
      </c>
      <c r="X61" t="str">
        <f t="shared" si="22"/>
        <v/>
      </c>
      <c r="Y61" t="str">
        <f t="shared" si="23"/>
        <v/>
      </c>
      <c r="Z61" t="str">
        <f t="shared" si="24"/>
        <v/>
      </c>
      <c r="AA61" t="str">
        <f t="shared" si="25"/>
        <v/>
      </c>
      <c r="AB61" t="str">
        <f t="shared" si="26"/>
        <v/>
      </c>
      <c r="AC61" t="str">
        <f t="shared" si="27"/>
        <v/>
      </c>
      <c r="AD61" t="str">
        <f t="shared" si="28"/>
        <v/>
      </c>
      <c r="AE61" t="str">
        <f t="shared" si="29"/>
        <v/>
      </c>
      <c r="AF61" t="str">
        <f t="shared" si="30"/>
        <v/>
      </c>
      <c r="AG61" t="str">
        <f t="shared" si="31"/>
        <v/>
      </c>
      <c r="AH61" t="str">
        <f t="shared" si="32"/>
        <v/>
      </c>
      <c r="AI61" t="str">
        <f t="shared" si="33"/>
        <v/>
      </c>
      <c r="AJ61" t="str">
        <f t="shared" si="34"/>
        <v/>
      </c>
    </row>
    <row r="62" spans="1:36" x14ac:dyDescent="0.25">
      <c r="A62" s="8">
        <v>38687</v>
      </c>
      <c r="B62" s="9">
        <f t="shared" si="0"/>
        <v>12</v>
      </c>
      <c r="C62">
        <v>12.82062871937589</v>
      </c>
      <c r="D62">
        <v>176.88627967608321</v>
      </c>
      <c r="E62">
        <v>244.88468554890508</v>
      </c>
      <c r="F62">
        <v>102.49117294267644</v>
      </c>
      <c r="G62">
        <v>125.80002703779206</v>
      </c>
      <c r="H62">
        <v>474.07997276436549</v>
      </c>
      <c r="I62">
        <v>114.3424695291981</v>
      </c>
      <c r="J62">
        <v>100.97039354738995</v>
      </c>
      <c r="K62">
        <v>302.75200161413341</v>
      </c>
      <c r="L62">
        <v>87.678227682605993</v>
      </c>
      <c r="M62">
        <v>875.88910724068307</v>
      </c>
      <c r="N62">
        <v>71.339510391964154</v>
      </c>
      <c r="O62">
        <v>580.01543698657463</v>
      </c>
      <c r="P62">
        <v>71.294384172014489</v>
      </c>
      <c r="Q62">
        <v>507.12628487956096</v>
      </c>
      <c r="R62">
        <v>102.50413282197839</v>
      </c>
      <c r="S62">
        <v>431.88917273231647</v>
      </c>
      <c r="T62">
        <f t="shared" si="18"/>
        <v>12.277138648938987</v>
      </c>
      <c r="U62">
        <f t="shared" si="19"/>
        <v>183.65501930776713</v>
      </c>
      <c r="V62">
        <f t="shared" si="20"/>
        <v>231.15771599778327</v>
      </c>
      <c r="W62">
        <f t="shared" si="21"/>
        <v>101.65314849214762</v>
      </c>
      <c r="X62">
        <f t="shared" si="22"/>
        <v>145.52537972034574</v>
      </c>
      <c r="Y62">
        <f t="shared" si="23"/>
        <v>488.10554982942358</v>
      </c>
      <c r="Z62">
        <f t="shared" si="24"/>
        <v>124.41331911520297</v>
      </c>
      <c r="AA62">
        <f t="shared" si="25"/>
        <v>106.61415996222495</v>
      </c>
      <c r="AB62">
        <f t="shared" si="26"/>
        <v>285.78450750075422</v>
      </c>
      <c r="AC62">
        <f t="shared" si="27"/>
        <v>65.876662975190627</v>
      </c>
      <c r="AD62">
        <f t="shared" si="28"/>
        <v>852.76228274378343</v>
      </c>
      <c r="AE62">
        <f t="shared" si="29"/>
        <v>74.348580352229419</v>
      </c>
      <c r="AF62">
        <f t="shared" si="30"/>
        <v>575.69561251126368</v>
      </c>
      <c r="AG62">
        <f t="shared" si="31"/>
        <v>66.087923282785937</v>
      </c>
      <c r="AH62">
        <f t="shared" si="32"/>
        <v>471.48974472579147</v>
      </c>
      <c r="AI62">
        <f t="shared" si="33"/>
        <v>144.07321075587367</v>
      </c>
      <c r="AJ62">
        <f t="shared" si="34"/>
        <v>390.72888603471057</v>
      </c>
    </row>
    <row r="63" spans="1:36" x14ac:dyDescent="0.25">
      <c r="A63" s="8">
        <v>38718</v>
      </c>
      <c r="B63" s="9">
        <f t="shared" si="0"/>
        <v>1</v>
      </c>
      <c r="C63">
        <v>12.744070769178926</v>
      </c>
      <c r="D63">
        <v>149.77041058266562</v>
      </c>
      <c r="E63">
        <v>231.08453987586213</v>
      </c>
      <c r="F63">
        <v>94.989461079259286</v>
      </c>
      <c r="G63">
        <v>155.23690447208833</v>
      </c>
      <c r="H63">
        <v>433.04005986267077</v>
      </c>
      <c r="I63">
        <v>89.291395945750807</v>
      </c>
      <c r="J63">
        <v>121.66222364333449</v>
      </c>
      <c r="K63">
        <v>261.3136341190912</v>
      </c>
      <c r="L63">
        <v>110.42971937052558</v>
      </c>
      <c r="M63">
        <v>854.35154516579576</v>
      </c>
      <c r="N63">
        <v>72.52115834153345</v>
      </c>
      <c r="O63">
        <v>615.33064648660093</v>
      </c>
      <c r="P63">
        <v>66.019083675981008</v>
      </c>
      <c r="Q63">
        <v>502.20124412931909</v>
      </c>
      <c r="R63">
        <v>84.662302570522087</v>
      </c>
      <c r="S63">
        <v>373.65388804348999</v>
      </c>
      <c r="T63" t="str">
        <f t="shared" si="18"/>
        <v/>
      </c>
      <c r="U63" t="str">
        <f t="shared" si="19"/>
        <v/>
      </c>
      <c r="V63" t="str">
        <f t="shared" si="20"/>
        <v/>
      </c>
      <c r="W63" t="str">
        <f t="shared" si="21"/>
        <v/>
      </c>
      <c r="X63" t="str">
        <f t="shared" si="22"/>
        <v/>
      </c>
      <c r="Y63" t="str">
        <f t="shared" si="23"/>
        <v/>
      </c>
      <c r="Z63" t="str">
        <f t="shared" si="24"/>
        <v/>
      </c>
      <c r="AA63" t="str">
        <f t="shared" si="25"/>
        <v/>
      </c>
      <c r="AB63" t="str">
        <f t="shared" si="26"/>
        <v/>
      </c>
      <c r="AC63" t="str">
        <f t="shared" si="27"/>
        <v/>
      </c>
      <c r="AD63" t="str">
        <f t="shared" si="28"/>
        <v/>
      </c>
      <c r="AE63" t="str">
        <f t="shared" si="29"/>
        <v/>
      </c>
      <c r="AF63" t="str">
        <f t="shared" si="30"/>
        <v/>
      </c>
      <c r="AG63" t="str">
        <f t="shared" si="31"/>
        <v/>
      </c>
      <c r="AH63" t="str">
        <f t="shared" si="32"/>
        <v/>
      </c>
      <c r="AI63" t="str">
        <f t="shared" si="33"/>
        <v/>
      </c>
      <c r="AJ63" t="str">
        <f t="shared" si="34"/>
        <v/>
      </c>
    </row>
    <row r="64" spans="1:36" x14ac:dyDescent="0.25">
      <c r="A64" s="8">
        <v>38749</v>
      </c>
      <c r="B64" s="9">
        <f t="shared" si="0"/>
        <v>2</v>
      </c>
      <c r="C64">
        <v>15.007137990120544</v>
      </c>
      <c r="D64">
        <v>138.10874367889167</v>
      </c>
      <c r="E64">
        <v>263.69333121770194</v>
      </c>
      <c r="F64">
        <v>96.589706469293731</v>
      </c>
      <c r="G64">
        <v>184.01356647404822</v>
      </c>
      <c r="H64">
        <v>399.89236932525137</v>
      </c>
      <c r="I64">
        <v>112.19401645252827</v>
      </c>
      <c r="J64">
        <v>97.767582745884894</v>
      </c>
      <c r="K64">
        <v>314.98593953100249</v>
      </c>
      <c r="L64">
        <v>45.93793688988486</v>
      </c>
      <c r="M64">
        <v>841.50822796579246</v>
      </c>
      <c r="N64">
        <v>79.944651367195419</v>
      </c>
      <c r="O64">
        <v>655.24373106938276</v>
      </c>
      <c r="P64">
        <v>49.474071067829655</v>
      </c>
      <c r="Q64">
        <v>536.38368494291819</v>
      </c>
      <c r="R64">
        <v>79.128986759325613</v>
      </c>
      <c r="S64">
        <v>389.59393963626468</v>
      </c>
      <c r="T64" t="str">
        <f t="shared" si="18"/>
        <v/>
      </c>
      <c r="U64" t="str">
        <f t="shared" si="19"/>
        <v/>
      </c>
      <c r="V64" t="str">
        <f t="shared" si="20"/>
        <v/>
      </c>
      <c r="W64" t="str">
        <f t="shared" si="21"/>
        <v/>
      </c>
      <c r="X64" t="str">
        <f t="shared" si="22"/>
        <v/>
      </c>
      <c r="Y64" t="str">
        <f t="shared" si="23"/>
        <v/>
      </c>
      <c r="Z64" t="str">
        <f t="shared" si="24"/>
        <v/>
      </c>
      <c r="AA64" t="str">
        <f t="shared" si="25"/>
        <v/>
      </c>
      <c r="AB64" t="str">
        <f t="shared" si="26"/>
        <v/>
      </c>
      <c r="AC64" t="str">
        <f t="shared" si="27"/>
        <v/>
      </c>
      <c r="AD64" t="str">
        <f t="shared" si="28"/>
        <v/>
      </c>
      <c r="AE64" t="str">
        <f t="shared" si="29"/>
        <v/>
      </c>
      <c r="AF64" t="str">
        <f t="shared" si="30"/>
        <v/>
      </c>
      <c r="AG64" t="str">
        <f t="shared" si="31"/>
        <v/>
      </c>
      <c r="AH64" t="str">
        <f t="shared" si="32"/>
        <v/>
      </c>
      <c r="AI64" t="str">
        <f t="shared" si="33"/>
        <v/>
      </c>
      <c r="AJ64" t="str">
        <f t="shared" si="34"/>
        <v/>
      </c>
    </row>
    <row r="65" spans="1:36" x14ac:dyDescent="0.25">
      <c r="A65" s="8">
        <v>38777</v>
      </c>
      <c r="B65" s="9">
        <f t="shared" si="0"/>
        <v>3</v>
      </c>
      <c r="C65">
        <v>19.955516422838198</v>
      </c>
      <c r="D65">
        <v>180.08896435464075</v>
      </c>
      <c r="E65">
        <v>254.13219015480308</v>
      </c>
      <c r="F65">
        <v>126.12788078293035</v>
      </c>
      <c r="G65">
        <v>189.16047481642491</v>
      </c>
      <c r="H65">
        <v>397.77235923104359</v>
      </c>
      <c r="I65">
        <v>118.77768083824728</v>
      </c>
      <c r="J65">
        <v>130.93994533517161</v>
      </c>
      <c r="K65">
        <v>277.71161873321608</v>
      </c>
      <c r="L65">
        <v>76.684428208710372</v>
      </c>
      <c r="M65">
        <v>750.87075959171148</v>
      </c>
      <c r="N65">
        <v>87.227873931416795</v>
      </c>
      <c r="O65">
        <v>636.82768843517272</v>
      </c>
      <c r="P65">
        <v>55.611534535481098</v>
      </c>
      <c r="Q65">
        <v>500.69728010325679</v>
      </c>
      <c r="R65">
        <v>198.44147632187432</v>
      </c>
      <c r="S65">
        <v>419.97530291627584</v>
      </c>
      <c r="T65">
        <f t="shared" si="18"/>
        <v>15.902241727379222</v>
      </c>
      <c r="U65">
        <f t="shared" si="19"/>
        <v>155.98937287206601</v>
      </c>
      <c r="V65">
        <f t="shared" si="20"/>
        <v>249.63668708278905</v>
      </c>
      <c r="W65">
        <f t="shared" si="21"/>
        <v>105.90234944382779</v>
      </c>
      <c r="X65">
        <f t="shared" si="22"/>
        <v>176.13698192085383</v>
      </c>
      <c r="Y65">
        <f t="shared" si="23"/>
        <v>410.2349294729886</v>
      </c>
      <c r="Z65">
        <f t="shared" si="24"/>
        <v>106.75436441217546</v>
      </c>
      <c r="AA65">
        <f t="shared" si="25"/>
        <v>116.78991724146367</v>
      </c>
      <c r="AB65">
        <f t="shared" si="26"/>
        <v>284.67039746110322</v>
      </c>
      <c r="AC65">
        <f t="shared" si="27"/>
        <v>77.6840281563736</v>
      </c>
      <c r="AD65">
        <f t="shared" si="28"/>
        <v>815.57684424109993</v>
      </c>
      <c r="AE65">
        <f t="shared" si="29"/>
        <v>79.897894546715222</v>
      </c>
      <c r="AF65">
        <f t="shared" si="30"/>
        <v>635.80068866371869</v>
      </c>
      <c r="AG65">
        <f t="shared" si="31"/>
        <v>57.034896426430585</v>
      </c>
      <c r="AH65">
        <f t="shared" si="32"/>
        <v>513.09406972516467</v>
      </c>
      <c r="AI65">
        <f t="shared" si="33"/>
        <v>120.74425521724068</v>
      </c>
      <c r="AJ65">
        <f t="shared" si="34"/>
        <v>394.4077101986768</v>
      </c>
    </row>
    <row r="66" spans="1:36" x14ac:dyDescent="0.25">
      <c r="A66" s="8">
        <v>38808</v>
      </c>
      <c r="B66" s="9">
        <f t="shared" si="0"/>
        <v>4</v>
      </c>
      <c r="C66">
        <v>16.064509464339004</v>
      </c>
      <c r="D66">
        <v>183.06488376811751</v>
      </c>
      <c r="E66">
        <v>251.34678416439567</v>
      </c>
      <c r="F66">
        <v>119.10902136904105</v>
      </c>
      <c r="G66">
        <v>163.49539425646563</v>
      </c>
      <c r="H66">
        <v>432.84079888551577</v>
      </c>
      <c r="I66">
        <v>152.83368098433237</v>
      </c>
      <c r="J66">
        <v>175.48419137613442</v>
      </c>
      <c r="K66">
        <v>337.73210307482623</v>
      </c>
      <c r="L66">
        <v>53.683310912084643</v>
      </c>
      <c r="M66">
        <v>739.049358603168</v>
      </c>
      <c r="N66">
        <v>78.806906288234757</v>
      </c>
      <c r="O66">
        <v>648.06623481450413</v>
      </c>
      <c r="P66">
        <v>62.534989923440783</v>
      </c>
      <c r="Q66">
        <v>473.6805355883817</v>
      </c>
      <c r="R66">
        <v>146.81557307692194</v>
      </c>
      <c r="S66">
        <v>401.60014799510941</v>
      </c>
      <c r="T66" t="str">
        <f t="shared" si="18"/>
        <v/>
      </c>
      <c r="U66" t="str">
        <f t="shared" si="19"/>
        <v/>
      </c>
      <c r="V66" t="str">
        <f t="shared" si="20"/>
        <v/>
      </c>
      <c r="W66" t="str">
        <f t="shared" si="21"/>
        <v/>
      </c>
      <c r="X66" t="str">
        <f t="shared" si="22"/>
        <v/>
      </c>
      <c r="Y66" t="str">
        <f t="shared" si="23"/>
        <v/>
      </c>
      <c r="Z66" t="str">
        <f t="shared" si="24"/>
        <v/>
      </c>
      <c r="AA66" t="str">
        <f t="shared" si="25"/>
        <v/>
      </c>
      <c r="AB66" t="str">
        <f t="shared" si="26"/>
        <v/>
      </c>
      <c r="AC66" t="str">
        <f t="shared" si="27"/>
        <v/>
      </c>
      <c r="AD66" t="str">
        <f t="shared" si="28"/>
        <v/>
      </c>
      <c r="AE66" t="str">
        <f t="shared" si="29"/>
        <v/>
      </c>
      <c r="AF66" t="str">
        <f t="shared" si="30"/>
        <v/>
      </c>
      <c r="AG66" t="str">
        <f t="shared" si="31"/>
        <v/>
      </c>
      <c r="AH66" t="str">
        <f t="shared" si="32"/>
        <v/>
      </c>
      <c r="AI66" t="str">
        <f t="shared" si="33"/>
        <v/>
      </c>
      <c r="AJ66" t="str">
        <f t="shared" si="34"/>
        <v/>
      </c>
    </row>
    <row r="67" spans="1:36" x14ac:dyDescent="0.25">
      <c r="A67" s="8">
        <v>38838</v>
      </c>
      <c r="B67" s="9">
        <f t="shared" si="0"/>
        <v>5</v>
      </c>
      <c r="C67">
        <v>16.50471904985201</v>
      </c>
      <c r="D67">
        <v>174.18288003468018</v>
      </c>
      <c r="E67">
        <v>202.92723119995375</v>
      </c>
      <c r="F67">
        <v>106.76535184737867</v>
      </c>
      <c r="G67">
        <v>187.2306473045262</v>
      </c>
      <c r="H67">
        <v>435.03096485754776</v>
      </c>
      <c r="I67">
        <v>151.91478116724738</v>
      </c>
      <c r="J67">
        <v>152.56959522937726</v>
      </c>
      <c r="K67">
        <v>277.91808742362292</v>
      </c>
      <c r="L67">
        <v>62.21528309907103</v>
      </c>
      <c r="M67">
        <v>841.33127645855848</v>
      </c>
      <c r="N67">
        <v>66.721294880276758</v>
      </c>
      <c r="O67">
        <v>618.17337974664395</v>
      </c>
      <c r="P67">
        <v>57.757299831074029</v>
      </c>
      <c r="Q67">
        <v>505.17969410947308</v>
      </c>
      <c r="R67">
        <v>169.74503389268568</v>
      </c>
      <c r="S67">
        <v>431.5883973719329</v>
      </c>
      <c r="T67" t="str">
        <f t="shared" si="18"/>
        <v/>
      </c>
      <c r="U67" t="str">
        <f t="shared" si="19"/>
        <v/>
      </c>
      <c r="V67" t="str">
        <f t="shared" si="20"/>
        <v/>
      </c>
      <c r="W67" t="str">
        <f t="shared" si="21"/>
        <v/>
      </c>
      <c r="X67" t="str">
        <f t="shared" si="22"/>
        <v/>
      </c>
      <c r="Y67" t="str">
        <f t="shared" si="23"/>
        <v/>
      </c>
      <c r="Z67" t="str">
        <f t="shared" si="24"/>
        <v/>
      </c>
      <c r="AA67" t="str">
        <f t="shared" si="25"/>
        <v/>
      </c>
      <c r="AB67" t="str">
        <f t="shared" si="26"/>
        <v/>
      </c>
      <c r="AC67" t="str">
        <f t="shared" si="27"/>
        <v/>
      </c>
      <c r="AD67" t="str">
        <f t="shared" si="28"/>
        <v/>
      </c>
      <c r="AE67" t="str">
        <f t="shared" si="29"/>
        <v/>
      </c>
      <c r="AF67" t="str">
        <f t="shared" si="30"/>
        <v/>
      </c>
      <c r="AG67" t="str">
        <f t="shared" si="31"/>
        <v/>
      </c>
      <c r="AH67" t="str">
        <f t="shared" si="32"/>
        <v/>
      </c>
      <c r="AI67" t="str">
        <f t="shared" si="33"/>
        <v/>
      </c>
      <c r="AJ67" t="str">
        <f t="shared" si="34"/>
        <v/>
      </c>
    </row>
    <row r="68" spans="1:36" x14ac:dyDescent="0.25">
      <c r="A68" s="8">
        <v>38869</v>
      </c>
      <c r="B68" s="9">
        <f t="shared" ref="B68:B131" si="35">IF(B67=12,1,B67+1)</f>
        <v>6</v>
      </c>
      <c r="C68">
        <v>18.995897083810007</v>
      </c>
      <c r="D68">
        <v>178.73197810662612</v>
      </c>
      <c r="E68">
        <v>222.97247803352147</v>
      </c>
      <c r="F68">
        <v>112.2656978402313</v>
      </c>
      <c r="G68">
        <v>139.9462996990186</v>
      </c>
      <c r="H68">
        <v>407.98990864293813</v>
      </c>
      <c r="I68">
        <v>146.55491166639587</v>
      </c>
      <c r="J68">
        <v>171.56134871880266</v>
      </c>
      <c r="K68">
        <v>255.62397327283796</v>
      </c>
      <c r="L68">
        <v>89.99765176229883</v>
      </c>
      <c r="M68">
        <v>738.31620163887555</v>
      </c>
      <c r="N68">
        <v>45.68033971617627</v>
      </c>
      <c r="O68">
        <v>665.92489432462969</v>
      </c>
      <c r="P68">
        <v>54.889159817575674</v>
      </c>
      <c r="Q68">
        <v>438.02919558440931</v>
      </c>
      <c r="R68">
        <v>187.05793603231393</v>
      </c>
      <c r="S68">
        <v>422.8973097595923</v>
      </c>
      <c r="T68">
        <f t="shared" si="18"/>
        <v>17.188375199333674</v>
      </c>
      <c r="U68">
        <f t="shared" si="19"/>
        <v>178.65991396980795</v>
      </c>
      <c r="V68">
        <f t="shared" si="20"/>
        <v>225.74883113262365</v>
      </c>
      <c r="W68">
        <f t="shared" si="21"/>
        <v>112.71335701888366</v>
      </c>
      <c r="X68">
        <f t="shared" si="22"/>
        <v>163.55744708667012</v>
      </c>
      <c r="Y68">
        <f t="shared" si="23"/>
        <v>425.28722412866722</v>
      </c>
      <c r="Z68">
        <f t="shared" si="24"/>
        <v>150.4344579393252</v>
      </c>
      <c r="AA68">
        <f t="shared" si="25"/>
        <v>166.53837844143811</v>
      </c>
      <c r="AB68">
        <f t="shared" si="26"/>
        <v>290.42472125709565</v>
      </c>
      <c r="AC68">
        <f t="shared" si="27"/>
        <v>68.632081924484837</v>
      </c>
      <c r="AD68">
        <f t="shared" si="28"/>
        <v>772.89894556686738</v>
      </c>
      <c r="AE68">
        <f t="shared" si="29"/>
        <v>63.736180294895924</v>
      </c>
      <c r="AF68">
        <f t="shared" si="30"/>
        <v>644.05483629525918</v>
      </c>
      <c r="AG68">
        <f t="shared" si="31"/>
        <v>58.393816524030164</v>
      </c>
      <c r="AH68">
        <f t="shared" si="32"/>
        <v>472.29647509408801</v>
      </c>
      <c r="AI68">
        <f t="shared" si="33"/>
        <v>167.87284766730718</v>
      </c>
      <c r="AJ68">
        <f t="shared" si="34"/>
        <v>418.69528504221154</v>
      </c>
    </row>
    <row r="69" spans="1:36" x14ac:dyDescent="0.25">
      <c r="A69" s="8">
        <v>38899</v>
      </c>
      <c r="B69" s="9">
        <f t="shared" si="35"/>
        <v>7</v>
      </c>
      <c r="C69">
        <v>14.620290757256022</v>
      </c>
      <c r="D69">
        <v>214.48821380946885</v>
      </c>
      <c r="E69">
        <v>197.38988300267346</v>
      </c>
      <c r="F69">
        <v>105.91416852794208</v>
      </c>
      <c r="G69">
        <v>165.8569180381111</v>
      </c>
      <c r="H69">
        <v>369.93743904834514</v>
      </c>
      <c r="I69">
        <v>139.32737336607252</v>
      </c>
      <c r="J69">
        <v>140.41817658524914</v>
      </c>
      <c r="K69">
        <v>190.05578927030484</v>
      </c>
      <c r="L69">
        <v>58.689815687166686</v>
      </c>
      <c r="M69">
        <v>618.86087623896719</v>
      </c>
      <c r="N69">
        <v>55.638700257796899</v>
      </c>
      <c r="O69">
        <v>568.84545707165501</v>
      </c>
      <c r="P69">
        <v>60.149249561277458</v>
      </c>
      <c r="Q69">
        <v>490.7675296089763</v>
      </c>
      <c r="R69">
        <v>161.41592761296133</v>
      </c>
      <c r="S69">
        <v>504.2641564649611</v>
      </c>
      <c r="T69" t="str">
        <f t="shared" ref="T69:T100" si="36">IF( OR($B69=3,$B69=6,$B69=9,$B69=12),AVERAGE(C67:C69),"" )</f>
        <v/>
      </c>
      <c r="U69" t="str">
        <f t="shared" ref="U69:U100" si="37">IF( OR($B69=3,$B69=6,$B69=9,$B69=12),AVERAGE(D67:D69),"" )</f>
        <v/>
      </c>
      <c r="V69" t="str">
        <f t="shared" ref="V69:V100" si="38">IF( OR($B69=3,$B69=6,$B69=9,$B69=12),AVERAGE(E67:E69),"" )</f>
        <v/>
      </c>
      <c r="W69" t="str">
        <f t="shared" ref="W69:W100" si="39">IF( OR($B69=3,$B69=6,$B69=9,$B69=12),AVERAGE(F67:F69),"" )</f>
        <v/>
      </c>
      <c r="X69" t="str">
        <f t="shared" ref="X69:X100" si="40">IF( OR($B69=3,$B69=6,$B69=9,$B69=12),AVERAGE(G67:G69),"" )</f>
        <v/>
      </c>
      <c r="Y69" t="str">
        <f t="shared" ref="Y69:Y100" si="41">IF( OR($B69=3,$B69=6,$B69=9,$B69=12),AVERAGE(H67:H69),"" )</f>
        <v/>
      </c>
      <c r="Z69" t="str">
        <f t="shared" ref="Z69:Z100" si="42">IF( OR($B69=3,$B69=6,$B69=9,$B69=12),AVERAGE(I67:I69),"" )</f>
        <v/>
      </c>
      <c r="AA69" t="str">
        <f t="shared" ref="AA69:AA100" si="43">IF( OR($B69=3,$B69=6,$B69=9,$B69=12),AVERAGE(J67:J69),"" )</f>
        <v/>
      </c>
      <c r="AB69" t="str">
        <f t="shared" ref="AB69:AB100" si="44">IF( OR($B69=3,$B69=6,$B69=9,$B69=12),AVERAGE(K67:K69),"" )</f>
        <v/>
      </c>
      <c r="AC69" t="str">
        <f t="shared" ref="AC69:AC100" si="45">IF( OR($B69=3,$B69=6,$B69=9,$B69=12),AVERAGE(L67:L69),"" )</f>
        <v/>
      </c>
      <c r="AD69" t="str">
        <f t="shared" ref="AD69:AD100" si="46">IF( OR($B69=3,$B69=6,$B69=9,$B69=12),AVERAGE(M67:M69),"" )</f>
        <v/>
      </c>
      <c r="AE69" t="str">
        <f t="shared" ref="AE69:AE100" si="47">IF( OR($B69=3,$B69=6,$B69=9,$B69=12),AVERAGE(N67:N69),"" )</f>
        <v/>
      </c>
      <c r="AF69" t="str">
        <f t="shared" ref="AF69:AF100" si="48">IF( OR($B69=3,$B69=6,$B69=9,$B69=12),AVERAGE(O67:O69),"" )</f>
        <v/>
      </c>
      <c r="AG69" t="str">
        <f t="shared" ref="AG69:AG100" si="49">IF( OR($B69=3,$B69=6,$B69=9,$B69=12),AVERAGE(P67:P69),"" )</f>
        <v/>
      </c>
      <c r="AH69" t="str">
        <f t="shared" ref="AH69:AH100" si="50">IF( OR($B69=3,$B69=6,$B69=9,$B69=12),AVERAGE(Q67:Q69),"" )</f>
        <v/>
      </c>
      <c r="AI69" t="str">
        <f t="shared" ref="AI69:AI100" si="51">IF( OR($B69=3,$B69=6,$B69=9,$B69=12),AVERAGE(R67:R69),"" )</f>
        <v/>
      </c>
      <c r="AJ69" t="str">
        <f t="shared" ref="AJ69:AJ100" si="52">IF( OR($B69=3,$B69=6,$B69=9,$B69=12),AVERAGE(S67:S69),"" )</f>
        <v/>
      </c>
    </row>
    <row r="70" spans="1:36" x14ac:dyDescent="0.25">
      <c r="A70" s="8">
        <v>38930</v>
      </c>
      <c r="B70" s="9">
        <f t="shared" si="35"/>
        <v>8</v>
      </c>
      <c r="C70">
        <v>16.505956947024519</v>
      </c>
      <c r="D70">
        <v>204.49502534331734</v>
      </c>
      <c r="E70">
        <v>211.30537197581396</v>
      </c>
      <c r="F70">
        <v>126.61626536428302</v>
      </c>
      <c r="G70">
        <v>158.84726442796196</v>
      </c>
      <c r="H70">
        <v>438.20599956118576</v>
      </c>
      <c r="I70">
        <v>150.86249918934001</v>
      </c>
      <c r="J70">
        <v>174.79438770664521</v>
      </c>
      <c r="K70">
        <v>232.33972735275077</v>
      </c>
      <c r="L70">
        <v>61.913636484773413</v>
      </c>
      <c r="M70">
        <v>722.36125706349037</v>
      </c>
      <c r="N70">
        <v>67.346427996024175</v>
      </c>
      <c r="O70">
        <v>704.47696875368058</v>
      </c>
      <c r="P70">
        <v>59.983646875342593</v>
      </c>
      <c r="Q70">
        <v>476.24680410842257</v>
      </c>
      <c r="R70">
        <v>208.73280662581092</v>
      </c>
      <c r="S70">
        <v>463.06924012343632</v>
      </c>
      <c r="T70" t="str">
        <f t="shared" si="36"/>
        <v/>
      </c>
      <c r="U70" t="str">
        <f t="shared" si="37"/>
        <v/>
      </c>
      <c r="V70" t="str">
        <f t="shared" si="38"/>
        <v/>
      </c>
      <c r="W70" t="str">
        <f t="shared" si="39"/>
        <v/>
      </c>
      <c r="X70" t="str">
        <f t="shared" si="40"/>
        <v/>
      </c>
      <c r="Y70" t="str">
        <f t="shared" si="41"/>
        <v/>
      </c>
      <c r="Z70" t="str">
        <f t="shared" si="42"/>
        <v/>
      </c>
      <c r="AA70" t="str">
        <f t="shared" si="43"/>
        <v/>
      </c>
      <c r="AB70" t="str">
        <f t="shared" si="44"/>
        <v/>
      </c>
      <c r="AC70" t="str">
        <f t="shared" si="45"/>
        <v/>
      </c>
      <c r="AD70" t="str">
        <f t="shared" si="46"/>
        <v/>
      </c>
      <c r="AE70" t="str">
        <f t="shared" si="47"/>
        <v/>
      </c>
      <c r="AF70" t="str">
        <f t="shared" si="48"/>
        <v/>
      </c>
      <c r="AG70" t="str">
        <f t="shared" si="49"/>
        <v/>
      </c>
      <c r="AH70" t="str">
        <f t="shared" si="50"/>
        <v/>
      </c>
      <c r="AI70" t="str">
        <f t="shared" si="51"/>
        <v/>
      </c>
      <c r="AJ70" t="str">
        <f t="shared" si="52"/>
        <v/>
      </c>
    </row>
    <row r="71" spans="1:36" x14ac:dyDescent="0.25">
      <c r="A71" s="8">
        <v>38961</v>
      </c>
      <c r="B71" s="9">
        <f t="shared" si="35"/>
        <v>9</v>
      </c>
      <c r="C71">
        <v>17.384669990482958</v>
      </c>
      <c r="D71">
        <v>170.58455955900018</v>
      </c>
      <c r="E71">
        <v>223.55723302370967</v>
      </c>
      <c r="F71">
        <v>121.39049048942802</v>
      </c>
      <c r="G71">
        <v>233.24513297059701</v>
      </c>
      <c r="H71">
        <v>453.72028867194012</v>
      </c>
      <c r="I71">
        <v>163.21149671074522</v>
      </c>
      <c r="J71">
        <v>166.53562122548578</v>
      </c>
      <c r="K71">
        <v>203.17232314778377</v>
      </c>
      <c r="L71">
        <v>49.939437955161488</v>
      </c>
      <c r="M71">
        <v>691.07321175631216</v>
      </c>
      <c r="N71">
        <v>94.427386464548434</v>
      </c>
      <c r="O71">
        <v>685.14567741576707</v>
      </c>
      <c r="P71">
        <v>97.89829618908314</v>
      </c>
      <c r="Q71">
        <v>439.7021615996079</v>
      </c>
      <c r="R71">
        <v>226.30333265877272</v>
      </c>
      <c r="S71">
        <v>497.58398478606199</v>
      </c>
      <c r="T71">
        <f t="shared" si="36"/>
        <v>16.170305898254501</v>
      </c>
      <c r="U71">
        <f t="shared" si="37"/>
        <v>196.52259957059542</v>
      </c>
      <c r="V71">
        <f t="shared" si="38"/>
        <v>210.75082933406568</v>
      </c>
      <c r="W71">
        <f t="shared" si="39"/>
        <v>117.97364146055105</v>
      </c>
      <c r="X71">
        <f t="shared" si="40"/>
        <v>185.98310514555669</v>
      </c>
      <c r="Y71">
        <f t="shared" si="41"/>
        <v>420.62124242715703</v>
      </c>
      <c r="Z71">
        <f t="shared" si="42"/>
        <v>151.13378975538592</v>
      </c>
      <c r="AA71">
        <f t="shared" si="43"/>
        <v>160.58272850579337</v>
      </c>
      <c r="AB71">
        <f t="shared" si="44"/>
        <v>208.52261325694647</v>
      </c>
      <c r="AC71">
        <f t="shared" si="45"/>
        <v>56.847630042367193</v>
      </c>
      <c r="AD71">
        <f t="shared" si="46"/>
        <v>677.43178168625661</v>
      </c>
      <c r="AE71">
        <f t="shared" si="47"/>
        <v>72.470838239456498</v>
      </c>
      <c r="AF71">
        <f t="shared" si="48"/>
        <v>652.82270108036755</v>
      </c>
      <c r="AG71">
        <f t="shared" si="49"/>
        <v>72.677064208567728</v>
      </c>
      <c r="AH71">
        <f t="shared" si="50"/>
        <v>468.90549843900226</v>
      </c>
      <c r="AI71">
        <f t="shared" si="51"/>
        <v>198.81735563251496</v>
      </c>
      <c r="AJ71">
        <f t="shared" si="52"/>
        <v>488.30579379148645</v>
      </c>
    </row>
    <row r="72" spans="1:36" x14ac:dyDescent="0.25">
      <c r="A72" s="8">
        <v>38991</v>
      </c>
      <c r="B72" s="9">
        <f t="shared" si="35"/>
        <v>10</v>
      </c>
      <c r="C72">
        <v>16.781885804559948</v>
      </c>
      <c r="D72">
        <v>160.2127643227841</v>
      </c>
      <c r="E72">
        <v>215.76086388831126</v>
      </c>
      <c r="F72">
        <v>136.11899203311751</v>
      </c>
      <c r="G72">
        <v>196.48049659808166</v>
      </c>
      <c r="H72">
        <v>412.46122978876986</v>
      </c>
      <c r="I72">
        <v>163.77956927461193</v>
      </c>
      <c r="J72">
        <v>142.58024256388143</v>
      </c>
      <c r="K72">
        <v>231.54714135441552</v>
      </c>
      <c r="L72">
        <v>66.057503322787667</v>
      </c>
      <c r="M72">
        <v>718.33809083463825</v>
      </c>
      <c r="N72">
        <v>60.383635137770682</v>
      </c>
      <c r="O72">
        <v>703.87177564141734</v>
      </c>
      <c r="P72">
        <v>87.377310100541749</v>
      </c>
      <c r="Q72">
        <v>485.13555832764769</v>
      </c>
      <c r="R72">
        <v>164.40331752641484</v>
      </c>
      <c r="S72">
        <v>404.96710859899935</v>
      </c>
      <c r="T72" t="str">
        <f t="shared" si="36"/>
        <v/>
      </c>
      <c r="U72" t="str">
        <f t="shared" si="37"/>
        <v/>
      </c>
      <c r="V72" t="str">
        <f t="shared" si="38"/>
        <v/>
      </c>
      <c r="W72" t="str">
        <f t="shared" si="39"/>
        <v/>
      </c>
      <c r="X72" t="str">
        <f t="shared" si="40"/>
        <v/>
      </c>
      <c r="Y72" t="str">
        <f t="shared" si="41"/>
        <v/>
      </c>
      <c r="Z72" t="str">
        <f t="shared" si="42"/>
        <v/>
      </c>
      <c r="AA72" t="str">
        <f t="shared" si="43"/>
        <v/>
      </c>
      <c r="AB72" t="str">
        <f t="shared" si="44"/>
        <v/>
      </c>
      <c r="AC72" t="str">
        <f t="shared" si="45"/>
        <v/>
      </c>
      <c r="AD72" t="str">
        <f t="shared" si="46"/>
        <v/>
      </c>
      <c r="AE72" t="str">
        <f t="shared" si="47"/>
        <v/>
      </c>
      <c r="AF72" t="str">
        <f t="shared" si="48"/>
        <v/>
      </c>
      <c r="AG72" t="str">
        <f t="shared" si="49"/>
        <v/>
      </c>
      <c r="AH72" t="str">
        <f t="shared" si="50"/>
        <v/>
      </c>
      <c r="AI72" t="str">
        <f t="shared" si="51"/>
        <v/>
      </c>
      <c r="AJ72" t="str">
        <f t="shared" si="52"/>
        <v/>
      </c>
    </row>
    <row r="73" spans="1:36" x14ac:dyDescent="0.25">
      <c r="A73" s="8">
        <v>39022</v>
      </c>
      <c r="B73" s="9">
        <f t="shared" si="35"/>
        <v>11</v>
      </c>
      <c r="C73">
        <v>17.694182092986424</v>
      </c>
      <c r="D73">
        <v>137.69393361508105</v>
      </c>
      <c r="E73">
        <v>218.98965619034556</v>
      </c>
      <c r="F73">
        <v>127.92458783409788</v>
      </c>
      <c r="G73">
        <v>142.51933326853435</v>
      </c>
      <c r="H73">
        <v>460.77259663159714</v>
      </c>
      <c r="I73">
        <v>178.65298939118742</v>
      </c>
      <c r="J73">
        <v>179.76419863040215</v>
      </c>
      <c r="K73">
        <v>245.28450808377295</v>
      </c>
      <c r="L73">
        <v>65.263252648906359</v>
      </c>
      <c r="M73">
        <v>796.55197876165892</v>
      </c>
      <c r="N73">
        <v>74.249982010373188</v>
      </c>
      <c r="O73">
        <v>701.03373744429848</v>
      </c>
      <c r="P73">
        <v>83.830306617212244</v>
      </c>
      <c r="Q73">
        <v>614.97748846695515</v>
      </c>
      <c r="R73">
        <v>188.62208709364305</v>
      </c>
      <c r="S73">
        <v>448.67714397750029</v>
      </c>
      <c r="T73" t="str">
        <f t="shared" si="36"/>
        <v/>
      </c>
      <c r="U73" t="str">
        <f t="shared" si="37"/>
        <v/>
      </c>
      <c r="V73" t="str">
        <f t="shared" si="38"/>
        <v/>
      </c>
      <c r="W73" t="str">
        <f t="shared" si="39"/>
        <v/>
      </c>
      <c r="X73" t="str">
        <f t="shared" si="40"/>
        <v/>
      </c>
      <c r="Y73" t="str">
        <f t="shared" si="41"/>
        <v/>
      </c>
      <c r="Z73" t="str">
        <f t="shared" si="42"/>
        <v/>
      </c>
      <c r="AA73" t="str">
        <f t="shared" si="43"/>
        <v/>
      </c>
      <c r="AB73" t="str">
        <f t="shared" si="44"/>
        <v/>
      </c>
      <c r="AC73" t="str">
        <f t="shared" si="45"/>
        <v/>
      </c>
      <c r="AD73" t="str">
        <f t="shared" si="46"/>
        <v/>
      </c>
      <c r="AE73" t="str">
        <f t="shared" si="47"/>
        <v/>
      </c>
      <c r="AF73" t="str">
        <f t="shared" si="48"/>
        <v/>
      </c>
      <c r="AG73" t="str">
        <f t="shared" si="49"/>
        <v/>
      </c>
      <c r="AH73" t="str">
        <f t="shared" si="50"/>
        <v/>
      </c>
      <c r="AI73" t="str">
        <f t="shared" si="51"/>
        <v/>
      </c>
      <c r="AJ73" t="str">
        <f t="shared" si="52"/>
        <v/>
      </c>
    </row>
    <row r="74" spans="1:36" x14ac:dyDescent="0.25">
      <c r="A74" s="8">
        <v>39052</v>
      </c>
      <c r="B74" s="9">
        <f t="shared" si="35"/>
        <v>12</v>
      </c>
      <c r="C74">
        <v>14.957400172605205</v>
      </c>
      <c r="D74">
        <v>145.24808331125533</v>
      </c>
      <c r="E74">
        <v>244.88468554890508</v>
      </c>
      <c r="F74">
        <v>126.67448341229672</v>
      </c>
      <c r="G74">
        <v>181.33337230672728</v>
      </c>
      <c r="H74">
        <v>535.33749733504192</v>
      </c>
      <c r="I74">
        <v>165.98100415528756</v>
      </c>
      <c r="J74">
        <v>170.52777576892524</v>
      </c>
      <c r="K74">
        <v>227.06400121060005</v>
      </c>
      <c r="L74">
        <v>79.494926432229434</v>
      </c>
      <c r="M74">
        <v>735.74685008217375</v>
      </c>
      <c r="N74">
        <v>77.001376296088296</v>
      </c>
      <c r="O74">
        <v>705.45315626093554</v>
      </c>
      <c r="P74">
        <v>69.710064523747491</v>
      </c>
      <c r="Q74">
        <v>577.77074247472376</v>
      </c>
      <c r="R74">
        <v>223.85960041581487</v>
      </c>
      <c r="S74">
        <v>429.70239211088705</v>
      </c>
      <c r="T74">
        <f t="shared" si="36"/>
        <v>16.477822690050527</v>
      </c>
      <c r="U74">
        <f t="shared" si="37"/>
        <v>147.71826041637348</v>
      </c>
      <c r="V74">
        <f t="shared" si="38"/>
        <v>226.54506854252062</v>
      </c>
      <c r="W74">
        <f t="shared" si="39"/>
        <v>130.23935442650404</v>
      </c>
      <c r="X74">
        <f t="shared" si="40"/>
        <v>173.44440072444775</v>
      </c>
      <c r="Y74">
        <f t="shared" si="41"/>
        <v>469.52377458513632</v>
      </c>
      <c r="Z74">
        <f t="shared" si="42"/>
        <v>169.47118760702895</v>
      </c>
      <c r="AA74">
        <f t="shared" si="43"/>
        <v>164.29073898773629</v>
      </c>
      <c r="AB74">
        <f t="shared" si="44"/>
        <v>234.63188354959618</v>
      </c>
      <c r="AC74">
        <f t="shared" si="45"/>
        <v>70.271894134641158</v>
      </c>
      <c r="AD74">
        <f t="shared" si="46"/>
        <v>750.21230655949023</v>
      </c>
      <c r="AE74">
        <f t="shared" si="47"/>
        <v>70.54499781474405</v>
      </c>
      <c r="AF74">
        <f t="shared" si="48"/>
        <v>703.45288978221708</v>
      </c>
      <c r="AG74">
        <f t="shared" si="49"/>
        <v>80.305893747167161</v>
      </c>
      <c r="AH74">
        <f t="shared" si="50"/>
        <v>559.29459642310883</v>
      </c>
      <c r="AI74">
        <f t="shared" si="51"/>
        <v>192.29500167862423</v>
      </c>
      <c r="AJ74">
        <f t="shared" si="52"/>
        <v>427.78221489579556</v>
      </c>
    </row>
    <row r="75" spans="1:36" x14ac:dyDescent="0.25">
      <c r="A75" s="8">
        <v>39083</v>
      </c>
      <c r="B75" s="9">
        <f t="shared" si="35"/>
        <v>1</v>
      </c>
      <c r="C75">
        <v>11.947566346105244</v>
      </c>
      <c r="D75">
        <v>263.63695561469223</v>
      </c>
      <c r="E75">
        <v>222.08124611446493</v>
      </c>
      <c r="F75">
        <v>138.60707075851101</v>
      </c>
      <c r="G75">
        <v>196.69221418906648</v>
      </c>
      <c r="H75">
        <v>443.47476010032551</v>
      </c>
      <c r="I75">
        <v>189.49618472931559</v>
      </c>
      <c r="J75">
        <v>142.45260363301821</v>
      </c>
      <c r="K75">
        <v>172.65365111439957</v>
      </c>
      <c r="L75">
        <v>34.161711747716545</v>
      </c>
      <c r="M75">
        <v>764.78243155970426</v>
      </c>
      <c r="N75">
        <v>57.412583687047309</v>
      </c>
      <c r="O75">
        <v>653.84612659455513</v>
      </c>
      <c r="P75">
        <v>98.469141754005577</v>
      </c>
      <c r="Q75">
        <v>489.5672505663174</v>
      </c>
      <c r="R75">
        <v>214.35774480621549</v>
      </c>
      <c r="S75">
        <v>444.5740310999031</v>
      </c>
      <c r="T75" t="str">
        <f t="shared" si="36"/>
        <v/>
      </c>
      <c r="U75" t="str">
        <f t="shared" si="37"/>
        <v/>
      </c>
      <c r="V75" t="str">
        <f t="shared" si="38"/>
        <v/>
      </c>
      <c r="W75" t="str">
        <f t="shared" si="39"/>
        <v/>
      </c>
      <c r="X75" t="str">
        <f t="shared" si="40"/>
        <v/>
      </c>
      <c r="Y75" t="str">
        <f t="shared" si="41"/>
        <v/>
      </c>
      <c r="Z75" t="str">
        <f t="shared" si="42"/>
        <v/>
      </c>
      <c r="AA75" t="str">
        <f t="shared" si="43"/>
        <v/>
      </c>
      <c r="AB75" t="str">
        <f t="shared" si="44"/>
        <v/>
      </c>
      <c r="AC75" t="str">
        <f t="shared" si="45"/>
        <v/>
      </c>
      <c r="AD75" t="str">
        <f t="shared" si="46"/>
        <v/>
      </c>
      <c r="AE75" t="str">
        <f t="shared" si="47"/>
        <v/>
      </c>
      <c r="AF75" t="str">
        <f t="shared" si="48"/>
        <v/>
      </c>
      <c r="AG75" t="str">
        <f t="shared" si="49"/>
        <v/>
      </c>
      <c r="AH75" t="str">
        <f t="shared" si="50"/>
        <v/>
      </c>
      <c r="AI75" t="str">
        <f t="shared" si="51"/>
        <v/>
      </c>
      <c r="AJ75" t="str">
        <f t="shared" si="52"/>
        <v/>
      </c>
    </row>
    <row r="76" spans="1:36" x14ac:dyDescent="0.25">
      <c r="A76" s="8">
        <v>39114</v>
      </c>
      <c r="B76" s="9">
        <f t="shared" si="35"/>
        <v>2</v>
      </c>
      <c r="C76">
        <v>13.006186258104471</v>
      </c>
      <c r="D76">
        <v>270.98609555176472</v>
      </c>
      <c r="E76">
        <v>236.30979297586367</v>
      </c>
      <c r="F76">
        <v>120.22335805220602</v>
      </c>
      <c r="G76">
        <v>146.41939697935018</v>
      </c>
      <c r="H76">
        <v>453.60925475700151</v>
      </c>
      <c r="I76">
        <v>161.34568080315969</v>
      </c>
      <c r="J76">
        <v>194.4488590168155</v>
      </c>
      <c r="K76">
        <v>230.05798996462298</v>
      </c>
      <c r="L76">
        <v>50.211233344757872</v>
      </c>
      <c r="M76">
        <v>705.84690151797372</v>
      </c>
      <c r="N76">
        <v>56.494220299484766</v>
      </c>
      <c r="O76">
        <v>613.90343257920085</v>
      </c>
      <c r="P76">
        <v>76.190069444457663</v>
      </c>
      <c r="Q76">
        <v>503.26038965759858</v>
      </c>
      <c r="R76">
        <v>236.33190712118585</v>
      </c>
      <c r="S76">
        <v>432.41793836303907</v>
      </c>
      <c r="T76" t="str">
        <f t="shared" si="36"/>
        <v/>
      </c>
      <c r="U76" t="str">
        <f t="shared" si="37"/>
        <v/>
      </c>
      <c r="V76" t="str">
        <f t="shared" si="38"/>
        <v/>
      </c>
      <c r="W76" t="str">
        <f t="shared" si="39"/>
        <v/>
      </c>
      <c r="X76" t="str">
        <f t="shared" si="40"/>
        <v/>
      </c>
      <c r="Y76" t="str">
        <f t="shared" si="41"/>
        <v/>
      </c>
      <c r="Z76" t="str">
        <f t="shared" si="42"/>
        <v/>
      </c>
      <c r="AA76" t="str">
        <f t="shared" si="43"/>
        <v/>
      </c>
      <c r="AB76" t="str">
        <f t="shared" si="44"/>
        <v/>
      </c>
      <c r="AC76" t="str">
        <f t="shared" si="45"/>
        <v/>
      </c>
      <c r="AD76" t="str">
        <f t="shared" si="46"/>
        <v/>
      </c>
      <c r="AE76" t="str">
        <f t="shared" si="47"/>
        <v/>
      </c>
      <c r="AF76" t="str">
        <f t="shared" si="48"/>
        <v/>
      </c>
      <c r="AG76" t="str">
        <f t="shared" si="49"/>
        <v/>
      </c>
      <c r="AH76" t="str">
        <f t="shared" si="50"/>
        <v/>
      </c>
      <c r="AI76" t="str">
        <f t="shared" si="51"/>
        <v/>
      </c>
      <c r="AJ76" t="str">
        <f t="shared" si="52"/>
        <v/>
      </c>
    </row>
    <row r="77" spans="1:36" x14ac:dyDescent="0.25">
      <c r="A77" s="8">
        <v>39142</v>
      </c>
      <c r="B77" s="9">
        <f t="shared" si="35"/>
        <v>3</v>
      </c>
      <c r="C77">
        <v>16.15446567563092</v>
      </c>
      <c r="D77">
        <v>206.23091079321762</v>
      </c>
      <c r="E77">
        <v>240.96996516670572</v>
      </c>
      <c r="F77">
        <v>137.13904497826553</v>
      </c>
      <c r="G77">
        <v>255.97835398043568</v>
      </c>
      <c r="H77">
        <v>414.26033267067237</v>
      </c>
      <c r="I77">
        <v>173.9988833332219</v>
      </c>
      <c r="J77">
        <v>170.55202963824874</v>
      </c>
      <c r="K77">
        <v>252.55658080448273</v>
      </c>
      <c r="L77">
        <v>76.684428208710372</v>
      </c>
      <c r="M77">
        <v>813.53182722383451</v>
      </c>
      <c r="N77">
        <v>65.420905448562593</v>
      </c>
      <c r="O77">
        <v>650.9569873861908</v>
      </c>
      <c r="P77">
        <v>73.173071757211972</v>
      </c>
      <c r="Q77">
        <v>503.49447161221349</v>
      </c>
      <c r="R77">
        <v>180.77914596861851</v>
      </c>
      <c r="S77">
        <v>423.9094977913698</v>
      </c>
      <c r="T77">
        <f t="shared" si="36"/>
        <v>13.702739426613546</v>
      </c>
      <c r="U77">
        <f t="shared" si="37"/>
        <v>246.95132065322483</v>
      </c>
      <c r="V77">
        <f t="shared" si="38"/>
        <v>233.12033475234477</v>
      </c>
      <c r="W77">
        <f t="shared" si="39"/>
        <v>131.98982459632751</v>
      </c>
      <c r="X77">
        <f t="shared" si="40"/>
        <v>199.69665504961745</v>
      </c>
      <c r="Y77">
        <f t="shared" si="41"/>
        <v>437.11478250933311</v>
      </c>
      <c r="Z77">
        <f t="shared" si="42"/>
        <v>174.94691628856572</v>
      </c>
      <c r="AA77">
        <f t="shared" si="43"/>
        <v>169.15116409602749</v>
      </c>
      <c r="AB77">
        <f t="shared" si="44"/>
        <v>218.42274062783508</v>
      </c>
      <c r="AC77">
        <f t="shared" si="45"/>
        <v>53.68579110039493</v>
      </c>
      <c r="AD77">
        <f t="shared" si="46"/>
        <v>761.38705343383754</v>
      </c>
      <c r="AE77">
        <f t="shared" si="47"/>
        <v>59.775903145031556</v>
      </c>
      <c r="AF77">
        <f t="shared" si="48"/>
        <v>639.56884885331567</v>
      </c>
      <c r="AG77">
        <f t="shared" si="49"/>
        <v>82.61076098522507</v>
      </c>
      <c r="AH77">
        <f t="shared" si="50"/>
        <v>498.77403727870978</v>
      </c>
      <c r="AI77">
        <f t="shared" si="51"/>
        <v>210.48959929867328</v>
      </c>
      <c r="AJ77">
        <f t="shared" si="52"/>
        <v>433.63382241810399</v>
      </c>
    </row>
    <row r="78" spans="1:36" x14ac:dyDescent="0.25">
      <c r="A78" s="8">
        <v>39173</v>
      </c>
      <c r="B78" s="9">
        <f t="shared" si="35"/>
        <v>4</v>
      </c>
      <c r="C78">
        <v>19.076604988902567</v>
      </c>
      <c r="D78">
        <v>173.30142330048457</v>
      </c>
      <c r="E78">
        <v>218.76479362456661</v>
      </c>
      <c r="F78">
        <v>133.40210393332598</v>
      </c>
      <c r="G78">
        <v>257.92054174148319</v>
      </c>
      <c r="H78">
        <v>407.49426561744502</v>
      </c>
      <c r="I78">
        <v>163.34099655200524</v>
      </c>
      <c r="J78">
        <v>157.74908692854638</v>
      </c>
      <c r="K78">
        <v>143.12161473971966</v>
      </c>
      <c r="L78">
        <v>81.338349866794914</v>
      </c>
      <c r="M78">
        <v>813.23601594706918</v>
      </c>
      <c r="N78">
        <v>73.722589753509936</v>
      </c>
      <c r="O78">
        <v>675.68269368444044</v>
      </c>
      <c r="P78">
        <v>75.182515975372624</v>
      </c>
      <c r="Q78">
        <v>443.92471246992653</v>
      </c>
      <c r="R78">
        <v>194.09516440677817</v>
      </c>
      <c r="S78">
        <v>424.73379707316872</v>
      </c>
      <c r="T78" t="str">
        <f t="shared" si="36"/>
        <v/>
      </c>
      <c r="U78" t="str">
        <f t="shared" si="37"/>
        <v/>
      </c>
      <c r="V78" t="str">
        <f t="shared" si="38"/>
        <v/>
      </c>
      <c r="W78" t="str">
        <f t="shared" si="39"/>
        <v/>
      </c>
      <c r="X78" t="str">
        <f t="shared" si="40"/>
        <v/>
      </c>
      <c r="Y78" t="str">
        <f t="shared" si="41"/>
        <v/>
      </c>
      <c r="Z78" t="str">
        <f t="shared" si="42"/>
        <v/>
      </c>
      <c r="AA78" t="str">
        <f t="shared" si="43"/>
        <v/>
      </c>
      <c r="AB78" t="str">
        <f t="shared" si="44"/>
        <v/>
      </c>
      <c r="AC78" t="str">
        <f t="shared" si="45"/>
        <v/>
      </c>
      <c r="AD78" t="str">
        <f t="shared" si="46"/>
        <v/>
      </c>
      <c r="AE78" t="str">
        <f t="shared" si="47"/>
        <v/>
      </c>
      <c r="AF78" t="str">
        <f t="shared" si="48"/>
        <v/>
      </c>
      <c r="AG78" t="str">
        <f t="shared" si="49"/>
        <v/>
      </c>
      <c r="AH78" t="str">
        <f t="shared" si="50"/>
        <v/>
      </c>
      <c r="AI78" t="str">
        <f t="shared" si="51"/>
        <v/>
      </c>
      <c r="AJ78" t="str">
        <f t="shared" si="52"/>
        <v/>
      </c>
    </row>
    <row r="79" spans="1:36" x14ac:dyDescent="0.25">
      <c r="A79" s="8">
        <v>39203</v>
      </c>
      <c r="B79" s="9">
        <f t="shared" si="35"/>
        <v>5</v>
      </c>
      <c r="C79">
        <v>15.404404446528543</v>
      </c>
      <c r="D79">
        <v>155.67068988606681</v>
      </c>
      <c r="E79">
        <v>216.32808609051673</v>
      </c>
      <c r="F79">
        <v>134.19131378982456</v>
      </c>
      <c r="G79">
        <v>192.21018579666784</v>
      </c>
      <c r="H79">
        <v>360.83175823464825</v>
      </c>
      <c r="I79">
        <v>138.74883346608593</v>
      </c>
      <c r="J79">
        <v>177.06982220051813</v>
      </c>
      <c r="K79">
        <v>243.71278435610009</v>
      </c>
      <c r="L79">
        <v>53.779312509366484</v>
      </c>
      <c r="M79">
        <v>764.57475005179424</v>
      </c>
      <c r="N79">
        <v>58.263665951790969</v>
      </c>
      <c r="O79">
        <v>712.57424069317574</v>
      </c>
      <c r="P79">
        <v>60.96603871057814</v>
      </c>
      <c r="Q79">
        <v>535.11626857521958</v>
      </c>
      <c r="R79">
        <v>181.3846933596127</v>
      </c>
      <c r="S79">
        <v>444.11216783138633</v>
      </c>
      <c r="T79" t="str">
        <f t="shared" si="36"/>
        <v/>
      </c>
      <c r="U79" t="str">
        <f t="shared" si="37"/>
        <v/>
      </c>
      <c r="V79" t="str">
        <f t="shared" si="38"/>
        <v/>
      </c>
      <c r="W79" t="str">
        <f t="shared" si="39"/>
        <v/>
      </c>
      <c r="X79" t="str">
        <f t="shared" si="40"/>
        <v/>
      </c>
      <c r="Y79" t="str">
        <f t="shared" si="41"/>
        <v/>
      </c>
      <c r="Z79" t="str">
        <f t="shared" si="42"/>
        <v/>
      </c>
      <c r="AA79" t="str">
        <f t="shared" si="43"/>
        <v/>
      </c>
      <c r="AB79" t="str">
        <f t="shared" si="44"/>
        <v/>
      </c>
      <c r="AC79" t="str">
        <f t="shared" si="45"/>
        <v/>
      </c>
      <c r="AD79" t="str">
        <f t="shared" si="46"/>
        <v/>
      </c>
      <c r="AE79" t="str">
        <f t="shared" si="47"/>
        <v/>
      </c>
      <c r="AF79" t="str">
        <f t="shared" si="48"/>
        <v/>
      </c>
      <c r="AG79" t="str">
        <f t="shared" si="49"/>
        <v/>
      </c>
      <c r="AH79" t="str">
        <f t="shared" si="50"/>
        <v/>
      </c>
      <c r="AI79" t="str">
        <f t="shared" si="51"/>
        <v/>
      </c>
      <c r="AJ79" t="str">
        <f t="shared" si="52"/>
        <v/>
      </c>
    </row>
    <row r="80" spans="1:36" x14ac:dyDescent="0.25">
      <c r="A80" s="8">
        <v>39234</v>
      </c>
      <c r="B80" s="9">
        <f t="shared" si="35"/>
        <v>6</v>
      </c>
      <c r="C80">
        <v>10.553276157672226</v>
      </c>
      <c r="D80">
        <v>153.59779368538182</v>
      </c>
      <c r="E80">
        <v>223.95042749858078</v>
      </c>
      <c r="F80">
        <v>121.86105662999466</v>
      </c>
      <c r="G80">
        <v>208.4306591261979</v>
      </c>
      <c r="H80">
        <v>456.23550195289999</v>
      </c>
      <c r="I80">
        <v>131.18201883425644</v>
      </c>
      <c r="J80">
        <v>189.90438600320294</v>
      </c>
      <c r="K80">
        <v>204.92169758235772</v>
      </c>
      <c r="L80">
        <v>68.569639437941959</v>
      </c>
      <c r="M80">
        <v>793.71655154540008</v>
      </c>
      <c r="N80">
        <v>83.416272525191459</v>
      </c>
      <c r="O80">
        <v>720.11596553727566</v>
      </c>
      <c r="P80">
        <v>66.864976505046727</v>
      </c>
      <c r="Q80">
        <v>532.90187849900485</v>
      </c>
      <c r="R80">
        <v>278.50848253700076</v>
      </c>
      <c r="S80">
        <v>424.68924751281094</v>
      </c>
      <c r="T80">
        <f t="shared" si="36"/>
        <v>15.011428531034445</v>
      </c>
      <c r="U80">
        <f t="shared" si="37"/>
        <v>160.85663562397772</v>
      </c>
      <c r="V80">
        <f t="shared" si="38"/>
        <v>219.68110240455471</v>
      </c>
      <c r="W80">
        <f t="shared" si="39"/>
        <v>129.81815811771506</v>
      </c>
      <c r="X80">
        <f t="shared" si="40"/>
        <v>219.52046222144963</v>
      </c>
      <c r="Y80">
        <f t="shared" si="41"/>
        <v>408.18717526833115</v>
      </c>
      <c r="Z80">
        <f t="shared" si="42"/>
        <v>144.42394961744921</v>
      </c>
      <c r="AA80">
        <f t="shared" si="43"/>
        <v>174.90776504408916</v>
      </c>
      <c r="AB80">
        <f t="shared" si="44"/>
        <v>197.25203222605919</v>
      </c>
      <c r="AC80">
        <f t="shared" si="45"/>
        <v>67.895767271367788</v>
      </c>
      <c r="AD80">
        <f t="shared" si="46"/>
        <v>790.50910584808787</v>
      </c>
      <c r="AE80">
        <f t="shared" si="47"/>
        <v>71.800842743497455</v>
      </c>
      <c r="AF80">
        <f t="shared" si="48"/>
        <v>702.79096663829739</v>
      </c>
      <c r="AG80">
        <f t="shared" si="49"/>
        <v>67.671177063665823</v>
      </c>
      <c r="AH80">
        <f t="shared" si="50"/>
        <v>503.98095318138365</v>
      </c>
      <c r="AI80">
        <f t="shared" si="51"/>
        <v>217.99611343446387</v>
      </c>
      <c r="AJ80">
        <f t="shared" si="52"/>
        <v>431.17840413912199</v>
      </c>
    </row>
    <row r="81" spans="1:36" x14ac:dyDescent="0.25">
      <c r="A81" s="8">
        <v>39264</v>
      </c>
      <c r="B81" s="9">
        <f t="shared" si="35"/>
        <v>7</v>
      </c>
      <c r="C81">
        <v>14.620290757256022</v>
      </c>
      <c r="D81">
        <v>163.77588418785024</v>
      </c>
      <c r="E81">
        <v>217.56751548739118</v>
      </c>
      <c r="F81">
        <v>129.65355112903256</v>
      </c>
      <c r="G81">
        <v>195.53657705545731</v>
      </c>
      <c r="H81">
        <v>438.78435698538203</v>
      </c>
      <c r="I81">
        <v>149.15173943675711</v>
      </c>
      <c r="J81">
        <v>147.95740754284643</v>
      </c>
      <c r="K81">
        <v>232.60559283828351</v>
      </c>
      <c r="L81">
        <v>61.317717882114451</v>
      </c>
      <c r="M81">
        <v>698.10525673298139</v>
      </c>
      <c r="N81">
        <v>47.078900218135836</v>
      </c>
      <c r="O81">
        <v>671.23763934455292</v>
      </c>
      <c r="P81">
        <v>55.450089439302658</v>
      </c>
      <c r="Q81">
        <v>532.75833428140209</v>
      </c>
      <c r="R81">
        <v>153.34513123231326</v>
      </c>
      <c r="S81">
        <v>463.81012898736162</v>
      </c>
      <c r="T81" t="str">
        <f t="shared" si="36"/>
        <v/>
      </c>
      <c r="U81" t="str">
        <f t="shared" si="37"/>
        <v/>
      </c>
      <c r="V81" t="str">
        <f t="shared" si="38"/>
        <v/>
      </c>
      <c r="W81" t="str">
        <f t="shared" si="39"/>
        <v/>
      </c>
      <c r="X81" t="str">
        <f t="shared" si="40"/>
        <v/>
      </c>
      <c r="Y81" t="str">
        <f t="shared" si="41"/>
        <v/>
      </c>
      <c r="Z81" t="str">
        <f t="shared" si="42"/>
        <v/>
      </c>
      <c r="AA81" t="str">
        <f t="shared" si="43"/>
        <v/>
      </c>
      <c r="AB81" t="str">
        <f t="shared" si="44"/>
        <v/>
      </c>
      <c r="AC81" t="str">
        <f t="shared" si="45"/>
        <v/>
      </c>
      <c r="AD81" t="str">
        <f t="shared" si="46"/>
        <v/>
      </c>
      <c r="AE81" t="str">
        <f t="shared" si="47"/>
        <v/>
      </c>
      <c r="AF81" t="str">
        <f t="shared" si="48"/>
        <v/>
      </c>
      <c r="AG81" t="str">
        <f t="shared" si="49"/>
        <v/>
      </c>
      <c r="AH81" t="str">
        <f t="shared" si="50"/>
        <v/>
      </c>
      <c r="AI81" t="str">
        <f t="shared" si="51"/>
        <v/>
      </c>
      <c r="AJ81" t="str">
        <f t="shared" si="52"/>
        <v/>
      </c>
    </row>
    <row r="82" spans="1:36" x14ac:dyDescent="0.25">
      <c r="A82" s="8">
        <v>39295</v>
      </c>
      <c r="B82" s="9">
        <f t="shared" si="35"/>
        <v>8</v>
      </c>
      <c r="C82">
        <v>10.316223091890324</v>
      </c>
      <c r="D82">
        <v>158.94400074077745</v>
      </c>
      <c r="E82">
        <v>222.01670419578608</v>
      </c>
      <c r="F82">
        <v>107.82166347427226</v>
      </c>
      <c r="G82">
        <v>237.77137694248393</v>
      </c>
      <c r="H82">
        <v>405.81294825892149</v>
      </c>
      <c r="I82">
        <v>161.10624913429518</v>
      </c>
      <c r="J82">
        <v>109.61681940925209</v>
      </c>
      <c r="K82">
        <v>233.39103833624739</v>
      </c>
      <c r="L82">
        <v>68.792929427526019</v>
      </c>
      <c r="M82">
        <v>743.45943007925302</v>
      </c>
      <c r="N82">
        <v>71.959197036847755</v>
      </c>
      <c r="O82">
        <v>694.36969517041405</v>
      </c>
      <c r="P82">
        <v>69.211900240779912</v>
      </c>
      <c r="Q82">
        <v>538.07194703527659</v>
      </c>
      <c r="R82">
        <v>184.23365091855612</v>
      </c>
      <c r="S82">
        <v>468.82165304422432</v>
      </c>
      <c r="T82" t="str">
        <f t="shared" si="36"/>
        <v/>
      </c>
      <c r="U82" t="str">
        <f t="shared" si="37"/>
        <v/>
      </c>
      <c r="V82" t="str">
        <f t="shared" si="38"/>
        <v/>
      </c>
      <c r="W82" t="str">
        <f t="shared" si="39"/>
        <v/>
      </c>
      <c r="X82" t="str">
        <f t="shared" si="40"/>
        <v/>
      </c>
      <c r="Y82" t="str">
        <f t="shared" si="41"/>
        <v/>
      </c>
      <c r="Z82" t="str">
        <f t="shared" si="42"/>
        <v/>
      </c>
      <c r="AA82" t="str">
        <f t="shared" si="43"/>
        <v/>
      </c>
      <c r="AB82" t="str">
        <f t="shared" si="44"/>
        <v/>
      </c>
      <c r="AC82" t="str">
        <f t="shared" si="45"/>
        <v/>
      </c>
      <c r="AD82" t="str">
        <f t="shared" si="46"/>
        <v/>
      </c>
      <c r="AE82" t="str">
        <f t="shared" si="47"/>
        <v/>
      </c>
      <c r="AF82" t="str">
        <f t="shared" si="48"/>
        <v/>
      </c>
      <c r="AG82" t="str">
        <f t="shared" si="49"/>
        <v/>
      </c>
      <c r="AH82" t="str">
        <f t="shared" si="50"/>
        <v/>
      </c>
      <c r="AI82" t="str">
        <f t="shared" si="51"/>
        <v/>
      </c>
      <c r="AJ82" t="str">
        <f t="shared" si="52"/>
        <v/>
      </c>
    </row>
    <row r="83" spans="1:36" x14ac:dyDescent="0.25">
      <c r="A83" s="8">
        <v>39326</v>
      </c>
      <c r="B83" s="9">
        <f t="shared" si="35"/>
        <v>9</v>
      </c>
      <c r="C83">
        <v>11.589779993655306</v>
      </c>
      <c r="D83">
        <v>118.83418755795519</v>
      </c>
      <c r="E83">
        <v>186.13355524881553</v>
      </c>
      <c r="F83">
        <v>129.92575935196592</v>
      </c>
      <c r="G83">
        <v>191.96280855102233</v>
      </c>
      <c r="H83">
        <v>376.56267950776549</v>
      </c>
      <c r="I83">
        <v>192.356406837664</v>
      </c>
      <c r="J83">
        <v>112.33763798642237</v>
      </c>
      <c r="K83">
        <v>239.0866226941092</v>
      </c>
      <c r="L83">
        <v>41.439108090453146</v>
      </c>
      <c r="M83">
        <v>776.4528963482984</v>
      </c>
      <c r="N83">
        <v>81.279269361889789</v>
      </c>
      <c r="O83">
        <v>764.47833480075064</v>
      </c>
      <c r="P83">
        <v>68.423540347208657</v>
      </c>
      <c r="Q83">
        <v>576.4077060412493</v>
      </c>
      <c r="R83">
        <v>209.54012283219694</v>
      </c>
      <c r="S83">
        <v>459.55208785973878</v>
      </c>
      <c r="T83">
        <f t="shared" si="36"/>
        <v>12.175431280933884</v>
      </c>
      <c r="U83">
        <f t="shared" si="37"/>
        <v>147.18469082886097</v>
      </c>
      <c r="V83">
        <f t="shared" si="38"/>
        <v>208.57259164399761</v>
      </c>
      <c r="W83">
        <f t="shared" si="39"/>
        <v>122.46699131842358</v>
      </c>
      <c r="X83">
        <f t="shared" si="40"/>
        <v>208.42358751632119</v>
      </c>
      <c r="Y83">
        <f t="shared" si="41"/>
        <v>407.05332825068967</v>
      </c>
      <c r="Z83">
        <f t="shared" si="42"/>
        <v>167.53813180290544</v>
      </c>
      <c r="AA83">
        <f t="shared" si="43"/>
        <v>123.30395497950695</v>
      </c>
      <c r="AB83">
        <f t="shared" si="44"/>
        <v>235.0277512895467</v>
      </c>
      <c r="AC83">
        <f t="shared" si="45"/>
        <v>57.183251800031201</v>
      </c>
      <c r="AD83">
        <f t="shared" si="46"/>
        <v>739.33919438684427</v>
      </c>
      <c r="AE83">
        <f t="shared" si="47"/>
        <v>66.7724555389578</v>
      </c>
      <c r="AF83">
        <f t="shared" si="48"/>
        <v>710.02855643857254</v>
      </c>
      <c r="AG83">
        <f t="shared" si="49"/>
        <v>64.361843342430404</v>
      </c>
      <c r="AH83">
        <f t="shared" si="50"/>
        <v>549.07932911930936</v>
      </c>
      <c r="AI83">
        <f t="shared" si="51"/>
        <v>182.3729683276888</v>
      </c>
      <c r="AJ83">
        <f t="shared" si="52"/>
        <v>464.06128996377493</v>
      </c>
    </row>
    <row r="84" spans="1:36" x14ac:dyDescent="0.25">
      <c r="A84" s="8">
        <v>39356</v>
      </c>
      <c r="B84" s="9">
        <f t="shared" si="35"/>
        <v>10</v>
      </c>
      <c r="C84">
        <v>11.846037038512906</v>
      </c>
      <c r="D84">
        <v>137.61865653367352</v>
      </c>
      <c r="E84">
        <v>166.58745769981243</v>
      </c>
      <c r="F84">
        <v>130.3674853274928</v>
      </c>
      <c r="G84">
        <v>193.22391378153887</v>
      </c>
      <c r="H84">
        <v>339.58556623774859</v>
      </c>
      <c r="I84">
        <v>149.53786759855873</v>
      </c>
      <c r="J84">
        <v>97.371872970455613</v>
      </c>
      <c r="K84">
        <v>191.72103304145605</v>
      </c>
      <c r="L84">
        <v>68.735510214252031</v>
      </c>
      <c r="M84">
        <v>756.38959177032325</v>
      </c>
      <c r="N84">
        <v>64.099551146248871</v>
      </c>
      <c r="O84">
        <v>656.63205915541619</v>
      </c>
      <c r="P84">
        <v>69.299245941808977</v>
      </c>
      <c r="Q84">
        <v>536.87033617747727</v>
      </c>
      <c r="R84">
        <v>211.50763884016294</v>
      </c>
      <c r="S84">
        <v>417.05567900493963</v>
      </c>
      <c r="T84" t="str">
        <f t="shared" si="36"/>
        <v/>
      </c>
      <c r="U84" t="str">
        <f t="shared" si="37"/>
        <v/>
      </c>
      <c r="V84" t="str">
        <f t="shared" si="38"/>
        <v/>
      </c>
      <c r="W84" t="str">
        <f t="shared" si="39"/>
        <v/>
      </c>
      <c r="X84" t="str">
        <f t="shared" si="40"/>
        <v/>
      </c>
      <c r="Y84" t="str">
        <f t="shared" si="41"/>
        <v/>
      </c>
      <c r="Z84" t="str">
        <f t="shared" si="42"/>
        <v/>
      </c>
      <c r="AA84" t="str">
        <f t="shared" si="43"/>
        <v/>
      </c>
      <c r="AB84" t="str">
        <f t="shared" si="44"/>
        <v/>
      </c>
      <c r="AC84" t="str">
        <f t="shared" si="45"/>
        <v/>
      </c>
      <c r="AD84" t="str">
        <f t="shared" si="46"/>
        <v/>
      </c>
      <c r="AE84" t="str">
        <f t="shared" si="47"/>
        <v/>
      </c>
      <c r="AF84" t="str">
        <f t="shared" si="48"/>
        <v/>
      </c>
      <c r="AG84" t="str">
        <f t="shared" si="49"/>
        <v/>
      </c>
      <c r="AH84" t="str">
        <f t="shared" si="50"/>
        <v/>
      </c>
      <c r="AI84" t="str">
        <f t="shared" si="51"/>
        <v/>
      </c>
      <c r="AJ84" t="str">
        <f t="shared" si="52"/>
        <v/>
      </c>
    </row>
    <row r="85" spans="1:36" x14ac:dyDescent="0.25">
      <c r="A85" s="8">
        <v>39387</v>
      </c>
      <c r="B85" s="9">
        <f t="shared" si="35"/>
        <v>11</v>
      </c>
      <c r="C85">
        <v>18.800068473798074</v>
      </c>
      <c r="D85">
        <v>112.53831112771049</v>
      </c>
      <c r="E85">
        <v>203.10439615581274</v>
      </c>
      <c r="F85">
        <v>132.66253553165706</v>
      </c>
      <c r="G85">
        <v>151.42679159781775</v>
      </c>
      <c r="H85">
        <v>394.79342199655628</v>
      </c>
      <c r="I85">
        <v>184.84904682671993</v>
      </c>
      <c r="J85">
        <v>115.87210393646403</v>
      </c>
      <c r="K85">
        <v>180.85493683596164</v>
      </c>
      <c r="L85">
        <v>56.803201379603685</v>
      </c>
      <c r="M85">
        <v>745.44822559145496</v>
      </c>
      <c r="N85">
        <v>74.249982010373188</v>
      </c>
      <c r="O85">
        <v>657.01783662467176</v>
      </c>
      <c r="P85">
        <v>97.424410392976398</v>
      </c>
      <c r="Q85">
        <v>557.02768666910742</v>
      </c>
      <c r="R85">
        <v>207.96794218017052</v>
      </c>
      <c r="S85">
        <v>471.71435674896122</v>
      </c>
      <c r="T85" t="str">
        <f t="shared" si="36"/>
        <v/>
      </c>
      <c r="U85" t="str">
        <f t="shared" si="37"/>
        <v/>
      </c>
      <c r="V85" t="str">
        <f t="shared" si="38"/>
        <v/>
      </c>
      <c r="W85" t="str">
        <f t="shared" si="39"/>
        <v/>
      </c>
      <c r="X85" t="str">
        <f t="shared" si="40"/>
        <v/>
      </c>
      <c r="Y85" t="str">
        <f t="shared" si="41"/>
        <v/>
      </c>
      <c r="Z85" t="str">
        <f t="shared" si="42"/>
        <v/>
      </c>
      <c r="AA85" t="str">
        <f t="shared" si="43"/>
        <v/>
      </c>
      <c r="AB85" t="str">
        <f t="shared" si="44"/>
        <v/>
      </c>
      <c r="AC85" t="str">
        <f t="shared" si="45"/>
        <v/>
      </c>
      <c r="AD85" t="str">
        <f t="shared" si="46"/>
        <v/>
      </c>
      <c r="AE85" t="str">
        <f t="shared" si="47"/>
        <v/>
      </c>
      <c r="AF85" t="str">
        <f t="shared" si="48"/>
        <v/>
      </c>
      <c r="AG85" t="str">
        <f t="shared" si="49"/>
        <v/>
      </c>
      <c r="AH85" t="str">
        <f t="shared" si="50"/>
        <v/>
      </c>
      <c r="AI85" t="str">
        <f t="shared" si="51"/>
        <v/>
      </c>
      <c r="AJ85" t="str">
        <f t="shared" si="52"/>
        <v/>
      </c>
    </row>
    <row r="86" spans="1:36" x14ac:dyDescent="0.25">
      <c r="A86" s="8">
        <v>39417</v>
      </c>
      <c r="B86" s="9">
        <f t="shared" si="35"/>
        <v>12</v>
      </c>
      <c r="C86">
        <v>20.299328805678492</v>
      </c>
      <c r="D86">
        <v>143.8099834764904</v>
      </c>
      <c r="E86">
        <v>165.58869213306915</v>
      </c>
      <c r="F86">
        <v>148.55462145623889</v>
      </c>
      <c r="G86">
        <v>221.0000474988239</v>
      </c>
      <c r="H86">
        <v>399.50559502615067</v>
      </c>
      <c r="I86">
        <v>121.71940304721088</v>
      </c>
      <c r="J86">
        <v>91.995247454288616</v>
      </c>
      <c r="K86">
        <v>216.8969563802747</v>
      </c>
      <c r="L86">
        <v>85.340141611069825</v>
      </c>
      <c r="M86">
        <v>818.95631527003866</v>
      </c>
      <c r="N86">
        <v>70.207137211139326</v>
      </c>
      <c r="O86">
        <v>687.22716286209675</v>
      </c>
      <c r="P86">
        <v>45.945269799742668</v>
      </c>
      <c r="Q86">
        <v>543.71002184848453</v>
      </c>
      <c r="R86">
        <v>167.30559610024059</v>
      </c>
      <c r="S86">
        <v>446.10324677160787</v>
      </c>
      <c r="T86">
        <f t="shared" si="36"/>
        <v>16.981811439329825</v>
      </c>
      <c r="U86">
        <f t="shared" si="37"/>
        <v>131.32231704595813</v>
      </c>
      <c r="V86">
        <f t="shared" si="38"/>
        <v>178.4268486628981</v>
      </c>
      <c r="W86">
        <f t="shared" si="39"/>
        <v>137.19488077179628</v>
      </c>
      <c r="X86">
        <f t="shared" si="40"/>
        <v>188.55025095939354</v>
      </c>
      <c r="Y86">
        <f t="shared" si="41"/>
        <v>377.9615277534852</v>
      </c>
      <c r="Z86">
        <f t="shared" si="42"/>
        <v>152.03543915749651</v>
      </c>
      <c r="AA86">
        <f t="shared" si="43"/>
        <v>101.74640812040275</v>
      </c>
      <c r="AB86">
        <f t="shared" si="44"/>
        <v>196.49097541923081</v>
      </c>
      <c r="AC86">
        <f t="shared" si="45"/>
        <v>70.292951068308511</v>
      </c>
      <c r="AD86">
        <f t="shared" si="46"/>
        <v>773.59804421060562</v>
      </c>
      <c r="AE86">
        <f t="shared" si="47"/>
        <v>69.518890122587123</v>
      </c>
      <c r="AF86">
        <f t="shared" si="48"/>
        <v>666.95901954739486</v>
      </c>
      <c r="AG86">
        <f t="shared" si="49"/>
        <v>70.889642044842688</v>
      </c>
      <c r="AH86">
        <f t="shared" si="50"/>
        <v>545.86934823168974</v>
      </c>
      <c r="AI86">
        <f t="shared" si="51"/>
        <v>195.59372570685801</v>
      </c>
      <c r="AJ86">
        <f t="shared" si="52"/>
        <v>444.95776084183626</v>
      </c>
    </row>
    <row r="87" spans="1:36" x14ac:dyDescent="0.25">
      <c r="A87" s="8">
        <v>39448</v>
      </c>
      <c r="B87" s="9">
        <f t="shared" si="35"/>
        <v>1</v>
      </c>
      <c r="C87">
        <v>15.930088461473659</v>
      </c>
      <c r="D87">
        <v>129.25391598230047</v>
      </c>
      <c r="E87">
        <v>177.06477730747878</v>
      </c>
      <c r="F87">
        <v>113.40578516605446</v>
      </c>
      <c r="G87">
        <v>167.5852946005499</v>
      </c>
      <c r="H87">
        <v>335.99734765248195</v>
      </c>
      <c r="I87">
        <v>158.74025945911254</v>
      </c>
      <c r="J87">
        <v>68.531252558587141</v>
      </c>
      <c r="K87">
        <v>213.09504687092559</v>
      </c>
      <c r="L87">
        <v>108.0463441323128</v>
      </c>
      <c r="M87">
        <v>744.11263611214474</v>
      </c>
      <c r="N87">
        <v>64.46325185914084</v>
      </c>
      <c r="O87">
        <v>646.50984466923057</v>
      </c>
      <c r="P87">
        <v>59.305278556389716</v>
      </c>
      <c r="Q87">
        <v>539.05039202140756</v>
      </c>
      <c r="R87">
        <v>201.74846569996754</v>
      </c>
      <c r="S87">
        <v>407.52619517491121</v>
      </c>
      <c r="T87" t="str">
        <f t="shared" si="36"/>
        <v/>
      </c>
      <c r="U87" t="str">
        <f t="shared" si="37"/>
        <v/>
      </c>
      <c r="V87" t="str">
        <f t="shared" si="38"/>
        <v/>
      </c>
      <c r="W87" t="str">
        <f t="shared" si="39"/>
        <v/>
      </c>
      <c r="X87" t="str">
        <f t="shared" si="40"/>
        <v/>
      </c>
      <c r="Y87" t="str">
        <f t="shared" si="41"/>
        <v/>
      </c>
      <c r="Z87" t="str">
        <f t="shared" si="42"/>
        <v/>
      </c>
      <c r="AA87" t="str">
        <f t="shared" si="43"/>
        <v/>
      </c>
      <c r="AB87" t="str">
        <f t="shared" si="44"/>
        <v/>
      </c>
      <c r="AC87" t="str">
        <f t="shared" si="45"/>
        <v/>
      </c>
      <c r="AD87" t="str">
        <f t="shared" si="46"/>
        <v/>
      </c>
      <c r="AE87" t="str">
        <f t="shared" si="47"/>
        <v/>
      </c>
      <c r="AF87" t="str">
        <f t="shared" si="48"/>
        <v/>
      </c>
      <c r="AG87" t="str">
        <f t="shared" si="49"/>
        <v/>
      </c>
      <c r="AH87" t="str">
        <f t="shared" si="50"/>
        <v/>
      </c>
      <c r="AI87" t="str">
        <f t="shared" si="51"/>
        <v/>
      </c>
      <c r="AJ87" t="str">
        <f t="shared" si="52"/>
        <v/>
      </c>
    </row>
    <row r="88" spans="1:36" x14ac:dyDescent="0.25">
      <c r="A88" s="8">
        <v>39479</v>
      </c>
      <c r="B88" s="9">
        <f t="shared" si="35"/>
        <v>2</v>
      </c>
      <c r="C88">
        <v>19.009041454152687</v>
      </c>
      <c r="D88">
        <v>133.92363023407677</v>
      </c>
      <c r="E88">
        <v>149.0881526500084</v>
      </c>
      <c r="F88">
        <v>124.33355832749513</v>
      </c>
      <c r="G88">
        <v>191.928128472932</v>
      </c>
      <c r="H88">
        <v>335.43210680715111</v>
      </c>
      <c r="I88">
        <v>135.70133418543895</v>
      </c>
      <c r="J88">
        <v>72.782533821936525</v>
      </c>
      <c r="K88">
        <v>199.95694454869101</v>
      </c>
      <c r="L88">
        <v>51.27955745847612</v>
      </c>
      <c r="M88">
        <v>759.90743010244285</v>
      </c>
      <c r="N88">
        <v>53.296434244796949</v>
      </c>
      <c r="O88">
        <v>707.95261164436465</v>
      </c>
      <c r="P88">
        <v>71.242662337674702</v>
      </c>
      <c r="Q88">
        <v>488.30148210938972</v>
      </c>
      <c r="R88">
        <v>147.70744195074116</v>
      </c>
      <c r="S88">
        <v>405.26125624362118</v>
      </c>
      <c r="T88" t="str">
        <f t="shared" si="36"/>
        <v/>
      </c>
      <c r="U88" t="str">
        <f t="shared" si="37"/>
        <v/>
      </c>
      <c r="V88" t="str">
        <f t="shared" si="38"/>
        <v/>
      </c>
      <c r="W88" t="str">
        <f t="shared" si="39"/>
        <v/>
      </c>
      <c r="X88" t="str">
        <f t="shared" si="40"/>
        <v/>
      </c>
      <c r="Y88" t="str">
        <f t="shared" si="41"/>
        <v/>
      </c>
      <c r="Z88" t="str">
        <f t="shared" si="42"/>
        <v/>
      </c>
      <c r="AA88" t="str">
        <f t="shared" si="43"/>
        <v/>
      </c>
      <c r="AB88" t="str">
        <f t="shared" si="44"/>
        <v/>
      </c>
      <c r="AC88" t="str">
        <f t="shared" si="45"/>
        <v/>
      </c>
      <c r="AD88" t="str">
        <f t="shared" si="46"/>
        <v/>
      </c>
      <c r="AE88" t="str">
        <f t="shared" si="47"/>
        <v/>
      </c>
      <c r="AF88" t="str">
        <f t="shared" si="48"/>
        <v/>
      </c>
      <c r="AG88" t="str">
        <f t="shared" si="49"/>
        <v/>
      </c>
      <c r="AH88" t="str">
        <f t="shared" si="50"/>
        <v/>
      </c>
      <c r="AI88" t="str">
        <f t="shared" si="51"/>
        <v/>
      </c>
      <c r="AJ88" t="str">
        <f t="shared" si="52"/>
        <v/>
      </c>
    </row>
    <row r="89" spans="1:36" x14ac:dyDescent="0.25">
      <c r="A89" s="8">
        <v>39508</v>
      </c>
      <c r="B89" s="9">
        <f t="shared" si="35"/>
        <v>3</v>
      </c>
      <c r="C89">
        <v>16.15446567563092</v>
      </c>
      <c r="D89">
        <v>92.949142892717802</v>
      </c>
      <c r="E89">
        <v>149.84686909526238</v>
      </c>
      <c r="F89">
        <v>97.098447904319386</v>
      </c>
      <c r="G89">
        <v>112.93162675607456</v>
      </c>
      <c r="H89">
        <v>352.43043227206454</v>
      </c>
      <c r="I89">
        <v>115.65195239513551</v>
      </c>
      <c r="J89">
        <v>90.227525357009014</v>
      </c>
      <c r="K89">
        <v>171.0542579153867</v>
      </c>
      <c r="L89">
        <v>94.466324604933078</v>
      </c>
      <c r="M89">
        <v>797.6010473173626</v>
      </c>
      <c r="N89">
        <v>64.382478377950491</v>
      </c>
      <c r="O89">
        <v>702.42800499347106</v>
      </c>
      <c r="P89">
        <v>62.44102123282088</v>
      </c>
      <c r="Q89">
        <v>497.90008859430003</v>
      </c>
      <c r="R89">
        <v>152.72720952521217</v>
      </c>
      <c r="S89">
        <v>400.30432854080624</v>
      </c>
      <c r="T89">
        <f t="shared" si="36"/>
        <v>17.03119853041909</v>
      </c>
      <c r="U89">
        <f t="shared" si="37"/>
        <v>118.70889636969834</v>
      </c>
      <c r="V89">
        <f t="shared" si="38"/>
        <v>158.66659968424986</v>
      </c>
      <c r="W89">
        <f t="shared" si="39"/>
        <v>111.61259713262298</v>
      </c>
      <c r="X89">
        <f t="shared" si="40"/>
        <v>157.48168327651885</v>
      </c>
      <c r="Y89">
        <f t="shared" si="41"/>
        <v>341.28662891056587</v>
      </c>
      <c r="Z89">
        <f t="shared" si="42"/>
        <v>136.69784867989566</v>
      </c>
      <c r="AA89">
        <f t="shared" si="43"/>
        <v>77.180437245844232</v>
      </c>
      <c r="AB89">
        <f t="shared" si="44"/>
        <v>194.70208311166775</v>
      </c>
      <c r="AC89">
        <f t="shared" si="45"/>
        <v>84.597408731907336</v>
      </c>
      <c r="AD89">
        <f t="shared" si="46"/>
        <v>767.20703784398336</v>
      </c>
      <c r="AE89">
        <f t="shared" si="47"/>
        <v>60.714054827296088</v>
      </c>
      <c r="AF89">
        <f t="shared" si="48"/>
        <v>685.63015376902206</v>
      </c>
      <c r="AG89">
        <f t="shared" si="49"/>
        <v>64.329654042295104</v>
      </c>
      <c r="AH89">
        <f t="shared" si="50"/>
        <v>508.41732090836581</v>
      </c>
      <c r="AI89">
        <f t="shared" si="51"/>
        <v>167.39437239197363</v>
      </c>
      <c r="AJ89">
        <f t="shared" si="52"/>
        <v>404.36392665311286</v>
      </c>
    </row>
    <row r="90" spans="1:36" x14ac:dyDescent="0.25">
      <c r="A90" s="8">
        <v>39539</v>
      </c>
      <c r="B90" s="9">
        <f t="shared" si="35"/>
        <v>4</v>
      </c>
      <c r="C90">
        <v>21.084668671944939</v>
      </c>
      <c r="D90">
        <v>86.243900797424246</v>
      </c>
      <c r="E90">
        <v>161.97903868372165</v>
      </c>
      <c r="F90">
        <v>109.58029965951776</v>
      </c>
      <c r="G90">
        <v>124.15158280437497</v>
      </c>
      <c r="H90">
        <v>362.65039906624293</v>
      </c>
      <c r="I90">
        <v>111.75962921979306</v>
      </c>
      <c r="J90">
        <v>88.675522237940271</v>
      </c>
      <c r="K90">
        <v>145.73969305812915</v>
      </c>
      <c r="L90">
        <v>67.510830389439775</v>
      </c>
      <c r="M90">
        <v>790.69829726031446</v>
      </c>
      <c r="N90">
        <v>61.011798416697879</v>
      </c>
      <c r="O90">
        <v>647.14568618550629</v>
      </c>
      <c r="P90">
        <v>57.616507569911732</v>
      </c>
      <c r="Q90">
        <v>451.16261539063186</v>
      </c>
      <c r="R90">
        <v>206.53716212516136</v>
      </c>
      <c r="S90">
        <v>364.58630947021453</v>
      </c>
      <c r="T90" t="str">
        <f t="shared" si="36"/>
        <v/>
      </c>
      <c r="U90" t="str">
        <f t="shared" si="37"/>
        <v/>
      </c>
      <c r="V90" t="str">
        <f t="shared" si="38"/>
        <v/>
      </c>
      <c r="W90" t="str">
        <f t="shared" si="39"/>
        <v/>
      </c>
      <c r="X90" t="str">
        <f t="shared" si="40"/>
        <v/>
      </c>
      <c r="Y90" t="str">
        <f t="shared" si="41"/>
        <v/>
      </c>
      <c r="Z90" t="str">
        <f t="shared" si="42"/>
        <v/>
      </c>
      <c r="AA90" t="str">
        <f t="shared" si="43"/>
        <v/>
      </c>
      <c r="AB90" t="str">
        <f t="shared" si="44"/>
        <v/>
      </c>
      <c r="AC90" t="str">
        <f t="shared" si="45"/>
        <v/>
      </c>
      <c r="AD90" t="str">
        <f t="shared" si="46"/>
        <v/>
      </c>
      <c r="AE90" t="str">
        <f t="shared" si="47"/>
        <v/>
      </c>
      <c r="AF90" t="str">
        <f t="shared" si="48"/>
        <v/>
      </c>
      <c r="AG90" t="str">
        <f t="shared" si="49"/>
        <v/>
      </c>
      <c r="AH90" t="str">
        <f t="shared" si="50"/>
        <v/>
      </c>
      <c r="AI90" t="str">
        <f t="shared" si="51"/>
        <v/>
      </c>
      <c r="AJ90" t="str">
        <f t="shared" si="52"/>
        <v/>
      </c>
    </row>
    <row r="91" spans="1:36" x14ac:dyDescent="0.25">
      <c r="A91" s="8">
        <v>39569</v>
      </c>
      <c r="B91" s="9">
        <f t="shared" si="35"/>
        <v>5</v>
      </c>
      <c r="C91">
        <v>19.805662859822412</v>
      </c>
      <c r="D91">
        <v>143.0487420574668</v>
      </c>
      <c r="E91">
        <v>169.4250939735463</v>
      </c>
      <c r="F91">
        <v>110.68334641058523</v>
      </c>
      <c r="G91">
        <v>137.43526238310966</v>
      </c>
      <c r="H91">
        <v>370.99603311449749</v>
      </c>
      <c r="I91">
        <v>103.30205119372822</v>
      </c>
      <c r="J91">
        <v>81.296207676967441</v>
      </c>
      <c r="K91">
        <v>147.51036947869216</v>
      </c>
      <c r="L91">
        <v>70.651253688775583</v>
      </c>
      <c r="M91">
        <v>629.00478133335355</v>
      </c>
      <c r="N91">
        <v>57.323929404181435</v>
      </c>
      <c r="O91">
        <v>659.79096360479241</v>
      </c>
      <c r="P91">
        <v>65.779147029834306</v>
      </c>
      <c r="Q91">
        <v>484.59829916427231</v>
      </c>
      <c r="R91">
        <v>202.72406904897889</v>
      </c>
      <c r="S91">
        <v>422.91809474615746</v>
      </c>
      <c r="T91" t="str">
        <f t="shared" si="36"/>
        <v/>
      </c>
      <c r="U91" t="str">
        <f t="shared" si="37"/>
        <v/>
      </c>
      <c r="V91" t="str">
        <f t="shared" si="38"/>
        <v/>
      </c>
      <c r="W91" t="str">
        <f t="shared" si="39"/>
        <v/>
      </c>
      <c r="X91" t="str">
        <f t="shared" si="40"/>
        <v/>
      </c>
      <c r="Y91" t="str">
        <f t="shared" si="41"/>
        <v/>
      </c>
      <c r="Z91" t="str">
        <f t="shared" si="42"/>
        <v/>
      </c>
      <c r="AA91" t="str">
        <f t="shared" si="43"/>
        <v/>
      </c>
      <c r="AB91" t="str">
        <f t="shared" si="44"/>
        <v/>
      </c>
      <c r="AC91" t="str">
        <f t="shared" si="45"/>
        <v/>
      </c>
      <c r="AD91" t="str">
        <f t="shared" si="46"/>
        <v/>
      </c>
      <c r="AE91" t="str">
        <f t="shared" si="47"/>
        <v/>
      </c>
      <c r="AF91" t="str">
        <f t="shared" si="48"/>
        <v/>
      </c>
      <c r="AG91" t="str">
        <f t="shared" si="49"/>
        <v/>
      </c>
      <c r="AH91" t="str">
        <f t="shared" si="50"/>
        <v/>
      </c>
      <c r="AI91" t="str">
        <f t="shared" si="51"/>
        <v/>
      </c>
      <c r="AJ91" t="str">
        <f t="shared" si="52"/>
        <v/>
      </c>
    </row>
    <row r="92" spans="1:36" x14ac:dyDescent="0.25">
      <c r="A92" s="8">
        <v>39600</v>
      </c>
      <c r="B92" s="9">
        <f t="shared" si="35"/>
        <v>6</v>
      </c>
      <c r="C92">
        <v>21.106552315344452</v>
      </c>
      <c r="D92">
        <v>110.77659059733598</v>
      </c>
      <c r="E92">
        <v>150.60421761913292</v>
      </c>
      <c r="F92">
        <v>95.953587897633597</v>
      </c>
      <c r="G92">
        <v>116.12565294173882</v>
      </c>
      <c r="H92">
        <v>317.79162549822689</v>
      </c>
      <c r="I92">
        <v>119.90856409068753</v>
      </c>
      <c r="J92">
        <v>118.69024125200184</v>
      </c>
      <c r="K92">
        <v>162.66980117362417</v>
      </c>
      <c r="L92">
        <v>34.284819718970979</v>
      </c>
      <c r="M92">
        <v>738.31620163887555</v>
      </c>
      <c r="N92">
        <v>55.61084835012764</v>
      </c>
      <c r="O92">
        <v>677.388390158074</v>
      </c>
      <c r="P92">
        <v>45.907297301972378</v>
      </c>
      <c r="Q92">
        <v>441.05704716679003</v>
      </c>
      <c r="R92">
        <v>160.03845638320192</v>
      </c>
      <c r="S92">
        <v>422.00134088298302</v>
      </c>
      <c r="T92">
        <f t="shared" si="36"/>
        <v>20.665627949037269</v>
      </c>
      <c r="U92">
        <f t="shared" si="37"/>
        <v>113.35641115074235</v>
      </c>
      <c r="V92">
        <f t="shared" si="38"/>
        <v>160.66945009213362</v>
      </c>
      <c r="W92">
        <f t="shared" si="39"/>
        <v>105.4057446559122</v>
      </c>
      <c r="X92">
        <f t="shared" si="40"/>
        <v>125.9041660430745</v>
      </c>
      <c r="Y92">
        <f t="shared" si="41"/>
        <v>350.47935255965581</v>
      </c>
      <c r="Z92">
        <f t="shared" si="42"/>
        <v>111.65674816806961</v>
      </c>
      <c r="AA92">
        <f t="shared" si="43"/>
        <v>96.220657055636522</v>
      </c>
      <c r="AB92">
        <f t="shared" si="44"/>
        <v>151.97328790348183</v>
      </c>
      <c r="AC92">
        <f t="shared" si="45"/>
        <v>57.482301265728779</v>
      </c>
      <c r="AD92">
        <f t="shared" si="46"/>
        <v>719.3397600775146</v>
      </c>
      <c r="AE92">
        <f t="shared" si="47"/>
        <v>57.982192057002315</v>
      </c>
      <c r="AF92">
        <f t="shared" si="48"/>
        <v>661.4416799827909</v>
      </c>
      <c r="AG92">
        <f t="shared" si="49"/>
        <v>56.434317300572808</v>
      </c>
      <c r="AH92">
        <f t="shared" si="50"/>
        <v>458.9393205738981</v>
      </c>
      <c r="AI92">
        <f t="shared" si="51"/>
        <v>189.76656251911405</v>
      </c>
      <c r="AJ92">
        <f t="shared" si="52"/>
        <v>403.16858169978497</v>
      </c>
    </row>
    <row r="93" spans="1:36" x14ac:dyDescent="0.25">
      <c r="A93" s="8">
        <v>39630</v>
      </c>
      <c r="B93" s="9">
        <f t="shared" si="35"/>
        <v>7</v>
      </c>
      <c r="C93">
        <v>23.392465211609636</v>
      </c>
      <c r="D93">
        <v>110.56950556844711</v>
      </c>
      <c r="E93">
        <v>141.24342739302412</v>
      </c>
      <c r="F93">
        <v>102.26195582008201</v>
      </c>
      <c r="G93">
        <v>101.26001311800468</v>
      </c>
      <c r="H93">
        <v>402.06600075229568</v>
      </c>
      <c r="I93">
        <v>127.7167589188998</v>
      </c>
      <c r="J93">
        <v>65.025867009276453</v>
      </c>
      <c r="K93">
        <v>150.34263927352472</v>
      </c>
      <c r="L93">
        <v>66.573522272009967</v>
      </c>
      <c r="M93">
        <v>649.99259714732989</v>
      </c>
      <c r="N93">
        <v>78.750160364881765</v>
      </c>
      <c r="O93">
        <v>673.13379086812506</v>
      </c>
      <c r="P93">
        <v>51.690761341722819</v>
      </c>
      <c r="Q93">
        <v>364.79511559169896</v>
      </c>
      <c r="R93">
        <v>219.70501258430849</v>
      </c>
      <c r="S93">
        <v>439.34955423346429</v>
      </c>
      <c r="T93" t="str">
        <f t="shared" si="36"/>
        <v/>
      </c>
      <c r="U93" t="str">
        <f t="shared" si="37"/>
        <v/>
      </c>
      <c r="V93" t="str">
        <f t="shared" si="38"/>
        <v/>
      </c>
      <c r="W93" t="str">
        <f t="shared" si="39"/>
        <v/>
      </c>
      <c r="X93" t="str">
        <f t="shared" si="40"/>
        <v/>
      </c>
      <c r="Y93" t="str">
        <f t="shared" si="41"/>
        <v/>
      </c>
      <c r="Z93" t="str">
        <f t="shared" si="42"/>
        <v/>
      </c>
      <c r="AA93" t="str">
        <f t="shared" si="43"/>
        <v/>
      </c>
      <c r="AB93" t="str">
        <f t="shared" si="44"/>
        <v/>
      </c>
      <c r="AC93" t="str">
        <f t="shared" si="45"/>
        <v/>
      </c>
      <c r="AD93" t="str">
        <f t="shared" si="46"/>
        <v/>
      </c>
      <c r="AE93" t="str">
        <f t="shared" si="47"/>
        <v/>
      </c>
      <c r="AF93" t="str">
        <f t="shared" si="48"/>
        <v/>
      </c>
      <c r="AG93" t="str">
        <f t="shared" si="49"/>
        <v/>
      </c>
      <c r="AH93" t="str">
        <f t="shared" si="50"/>
        <v/>
      </c>
      <c r="AI93" t="str">
        <f t="shared" si="51"/>
        <v/>
      </c>
      <c r="AJ93" t="str">
        <f t="shared" si="52"/>
        <v/>
      </c>
    </row>
    <row r="94" spans="1:36" x14ac:dyDescent="0.25">
      <c r="A94" s="8">
        <v>39661</v>
      </c>
      <c r="B94" s="9">
        <f t="shared" si="35"/>
        <v>8</v>
      </c>
      <c r="C94">
        <v>26.822180038914841</v>
      </c>
      <c r="D94">
        <v>85.287024787734254</v>
      </c>
      <c r="E94">
        <v>150.93240855415283</v>
      </c>
      <c r="F94">
        <v>106.8324739011138</v>
      </c>
      <c r="G94">
        <v>96.906821695045963</v>
      </c>
      <c r="H94">
        <v>347.32549451872217</v>
      </c>
      <c r="I94">
        <v>112.68124939450703</v>
      </c>
      <c r="J94">
        <v>81.96572982853985</v>
      </c>
      <c r="K94">
        <v>170.31237932645078</v>
      </c>
      <c r="L94">
        <v>28.499927905689351</v>
      </c>
      <c r="M94">
        <v>675.14153650440267</v>
      </c>
      <c r="N94">
        <v>68.268981804188897</v>
      </c>
      <c r="O94">
        <v>633.72605367081451</v>
      </c>
      <c r="P94">
        <v>64.597773558061249</v>
      </c>
      <c r="Q94">
        <v>348.73244682178614</v>
      </c>
      <c r="R94">
        <v>236.17186101793632</v>
      </c>
      <c r="S94">
        <v>415.13246578353608</v>
      </c>
      <c r="T94" t="str">
        <f t="shared" si="36"/>
        <v/>
      </c>
      <c r="U94" t="str">
        <f t="shared" si="37"/>
        <v/>
      </c>
      <c r="V94" t="str">
        <f t="shared" si="38"/>
        <v/>
      </c>
      <c r="W94" t="str">
        <f t="shared" si="39"/>
        <v/>
      </c>
      <c r="X94" t="str">
        <f t="shared" si="40"/>
        <v/>
      </c>
      <c r="Y94" t="str">
        <f t="shared" si="41"/>
        <v/>
      </c>
      <c r="Z94" t="str">
        <f t="shared" si="42"/>
        <v/>
      </c>
      <c r="AA94" t="str">
        <f t="shared" si="43"/>
        <v/>
      </c>
      <c r="AB94" t="str">
        <f t="shared" si="44"/>
        <v/>
      </c>
      <c r="AC94" t="str">
        <f t="shared" si="45"/>
        <v/>
      </c>
      <c r="AD94" t="str">
        <f t="shared" si="46"/>
        <v/>
      </c>
      <c r="AE94" t="str">
        <f t="shared" si="47"/>
        <v/>
      </c>
      <c r="AF94" t="str">
        <f t="shared" si="48"/>
        <v/>
      </c>
      <c r="AG94" t="str">
        <f t="shared" si="49"/>
        <v/>
      </c>
      <c r="AH94" t="str">
        <f t="shared" si="50"/>
        <v/>
      </c>
      <c r="AI94" t="str">
        <f t="shared" si="51"/>
        <v/>
      </c>
      <c r="AJ94" t="str">
        <f t="shared" si="52"/>
        <v/>
      </c>
    </row>
    <row r="95" spans="1:36" x14ac:dyDescent="0.25">
      <c r="A95" s="8">
        <v>39692</v>
      </c>
      <c r="B95" s="9">
        <f t="shared" si="35"/>
        <v>9</v>
      </c>
      <c r="C95">
        <v>16.418854991011681</v>
      </c>
      <c r="D95">
        <v>129.37593000261251</v>
      </c>
      <c r="E95">
        <v>128.02837133516411</v>
      </c>
      <c r="F95">
        <v>89.146141453173698</v>
      </c>
      <c r="G95">
        <v>92.885229944043061</v>
      </c>
      <c r="H95">
        <v>309.46910632152662</v>
      </c>
      <c r="I95">
        <v>119.49413152036703</v>
      </c>
      <c r="J95">
        <v>59.125072624432825</v>
      </c>
      <c r="K95">
        <v>127.23923267841003</v>
      </c>
      <c r="L95">
        <v>54.189602887515655</v>
      </c>
      <c r="M95">
        <v>610.71586155208979</v>
      </c>
      <c r="N95">
        <v>43.030201426882826</v>
      </c>
      <c r="O95">
        <v>540.90448217034248</v>
      </c>
      <c r="P95">
        <v>37.896114653838637</v>
      </c>
      <c r="Q95">
        <v>340.74367047394207</v>
      </c>
      <c r="R95">
        <v>116.29476817186931</v>
      </c>
      <c r="S95">
        <v>412.0122167018348</v>
      </c>
      <c r="T95">
        <f t="shared" si="36"/>
        <v>22.211166747178719</v>
      </c>
      <c r="U95">
        <f t="shared" si="37"/>
        <v>108.41082011959797</v>
      </c>
      <c r="V95">
        <f t="shared" si="38"/>
        <v>140.06806909411367</v>
      </c>
      <c r="W95">
        <f t="shared" si="39"/>
        <v>99.41352372478984</v>
      </c>
      <c r="X95">
        <f t="shared" si="40"/>
        <v>97.017354919031234</v>
      </c>
      <c r="Y95">
        <f t="shared" si="41"/>
        <v>352.95353386418151</v>
      </c>
      <c r="Z95">
        <f t="shared" si="42"/>
        <v>119.96404661125796</v>
      </c>
      <c r="AA95">
        <f t="shared" si="43"/>
        <v>68.705556487416374</v>
      </c>
      <c r="AB95">
        <f t="shared" si="44"/>
        <v>149.29808375946183</v>
      </c>
      <c r="AC95">
        <f t="shared" si="45"/>
        <v>49.754351021738323</v>
      </c>
      <c r="AD95">
        <f t="shared" si="46"/>
        <v>645.28333173460749</v>
      </c>
      <c r="AE95">
        <f t="shared" si="47"/>
        <v>63.349781198651165</v>
      </c>
      <c r="AF95">
        <f t="shared" si="48"/>
        <v>615.92144223642742</v>
      </c>
      <c r="AG95">
        <f t="shared" si="49"/>
        <v>51.394883184540902</v>
      </c>
      <c r="AH95">
        <f t="shared" si="50"/>
        <v>351.42374429580906</v>
      </c>
      <c r="AI95">
        <f t="shared" si="51"/>
        <v>190.7238805913714</v>
      </c>
      <c r="AJ95">
        <f t="shared" si="52"/>
        <v>422.16474557294509</v>
      </c>
    </row>
    <row r="96" spans="1:36" x14ac:dyDescent="0.25">
      <c r="A96" s="8">
        <v>39722</v>
      </c>
      <c r="B96" s="9">
        <f t="shared" si="35"/>
        <v>10</v>
      </c>
      <c r="C96">
        <v>14.807546298141132</v>
      </c>
      <c r="D96">
        <v>68.809328266836758</v>
      </c>
      <c r="E96">
        <v>130.46005723479286</v>
      </c>
      <c r="F96">
        <v>105.44428960311919</v>
      </c>
      <c r="G96">
        <v>79.243515202541218</v>
      </c>
      <c r="H96">
        <v>404.94827478350993</v>
      </c>
      <c r="I96">
        <v>102.36223079663246</v>
      </c>
      <c r="J96">
        <v>79.114646788495193</v>
      </c>
      <c r="K96">
        <v>112.99500498095477</v>
      </c>
      <c r="L96">
        <v>33.028751661393834</v>
      </c>
      <c r="M96">
        <v>619.96103963506243</v>
      </c>
      <c r="N96">
        <v>66.886488152607527</v>
      </c>
      <c r="O96">
        <v>548.92550556733352</v>
      </c>
      <c r="P96">
        <v>58.25154006702784</v>
      </c>
      <c r="Q96">
        <v>348.47765457338073</v>
      </c>
      <c r="R96">
        <v>166.25054581322851</v>
      </c>
      <c r="S96">
        <v>396.90806166170586</v>
      </c>
      <c r="T96" t="str">
        <f t="shared" si="36"/>
        <v/>
      </c>
      <c r="U96" t="str">
        <f t="shared" si="37"/>
        <v/>
      </c>
      <c r="V96" t="str">
        <f t="shared" si="38"/>
        <v/>
      </c>
      <c r="W96" t="str">
        <f t="shared" si="39"/>
        <v/>
      </c>
      <c r="X96" t="str">
        <f t="shared" si="40"/>
        <v/>
      </c>
      <c r="Y96" t="str">
        <f t="shared" si="41"/>
        <v/>
      </c>
      <c r="Z96" t="str">
        <f t="shared" si="42"/>
        <v/>
      </c>
      <c r="AA96" t="str">
        <f t="shared" si="43"/>
        <v/>
      </c>
      <c r="AB96" t="str">
        <f t="shared" si="44"/>
        <v/>
      </c>
      <c r="AC96" t="str">
        <f t="shared" si="45"/>
        <v/>
      </c>
      <c r="AD96" t="str">
        <f t="shared" si="46"/>
        <v/>
      </c>
      <c r="AE96" t="str">
        <f t="shared" si="47"/>
        <v/>
      </c>
      <c r="AF96" t="str">
        <f t="shared" si="48"/>
        <v/>
      </c>
      <c r="AG96" t="str">
        <f t="shared" si="49"/>
        <v/>
      </c>
      <c r="AH96" t="str">
        <f t="shared" si="50"/>
        <v/>
      </c>
      <c r="AI96" t="str">
        <f t="shared" si="51"/>
        <v/>
      </c>
      <c r="AJ96" t="str">
        <f t="shared" si="52"/>
        <v/>
      </c>
    </row>
    <row r="97" spans="1:36" x14ac:dyDescent="0.25">
      <c r="A97" s="8">
        <v>39753</v>
      </c>
      <c r="B97" s="9">
        <f t="shared" si="35"/>
        <v>11</v>
      </c>
      <c r="C97">
        <v>16.588295712174769</v>
      </c>
      <c r="D97">
        <v>59.579105891140841</v>
      </c>
      <c r="E97">
        <v>89.638253052006732</v>
      </c>
      <c r="F97">
        <v>73.438189312167296</v>
      </c>
      <c r="G97">
        <v>91.619571386914942</v>
      </c>
      <c r="H97">
        <v>380.73228641859669</v>
      </c>
      <c r="I97">
        <v>74.35268922639014</v>
      </c>
      <c r="J97">
        <v>86.633348737543201</v>
      </c>
      <c r="K97">
        <v>126.59845578517314</v>
      </c>
      <c r="L97">
        <v>73.723303918209041</v>
      </c>
      <c r="M97">
        <v>588.8041126132207</v>
      </c>
      <c r="N97">
        <v>69.680752348196364</v>
      </c>
      <c r="O97">
        <v>552.88265663677453</v>
      </c>
      <c r="P97">
        <v>32.852417458096689</v>
      </c>
      <c r="Q97">
        <v>248.35629341934725</v>
      </c>
      <c r="R97">
        <v>210.38617406598647</v>
      </c>
      <c r="S97">
        <v>386.14756645496357</v>
      </c>
      <c r="T97" t="str">
        <f t="shared" si="36"/>
        <v/>
      </c>
      <c r="U97" t="str">
        <f t="shared" si="37"/>
        <v/>
      </c>
      <c r="V97" t="str">
        <f t="shared" si="38"/>
        <v/>
      </c>
      <c r="W97" t="str">
        <f t="shared" si="39"/>
        <v/>
      </c>
      <c r="X97" t="str">
        <f t="shared" si="40"/>
        <v/>
      </c>
      <c r="Y97" t="str">
        <f t="shared" si="41"/>
        <v/>
      </c>
      <c r="Z97" t="str">
        <f t="shared" si="42"/>
        <v/>
      </c>
      <c r="AA97" t="str">
        <f t="shared" si="43"/>
        <v/>
      </c>
      <c r="AB97" t="str">
        <f t="shared" si="44"/>
        <v/>
      </c>
      <c r="AC97" t="str">
        <f t="shared" si="45"/>
        <v/>
      </c>
      <c r="AD97" t="str">
        <f t="shared" si="46"/>
        <v/>
      </c>
      <c r="AE97" t="str">
        <f t="shared" si="47"/>
        <v/>
      </c>
      <c r="AF97" t="str">
        <f t="shared" si="48"/>
        <v/>
      </c>
      <c r="AG97" t="str">
        <f t="shared" si="49"/>
        <v/>
      </c>
      <c r="AH97" t="str">
        <f t="shared" si="50"/>
        <v/>
      </c>
      <c r="AI97" t="str">
        <f t="shared" si="51"/>
        <v/>
      </c>
      <c r="AJ97" t="str">
        <f t="shared" si="52"/>
        <v/>
      </c>
    </row>
    <row r="98" spans="1:36" x14ac:dyDescent="0.25">
      <c r="A98" s="8">
        <v>39783</v>
      </c>
      <c r="B98" s="9">
        <f t="shared" si="35"/>
        <v>12</v>
      </c>
      <c r="C98">
        <v>16.025785899219862</v>
      </c>
      <c r="D98">
        <v>93.476489259718775</v>
      </c>
      <c r="E98">
        <v>87.458816267466105</v>
      </c>
      <c r="F98">
        <v>76.004690047378034</v>
      </c>
      <c r="G98">
        <v>80.466683961110235</v>
      </c>
      <c r="H98">
        <v>342.24312640573578</v>
      </c>
      <c r="I98">
        <v>68.851379501452612</v>
      </c>
      <c r="J98">
        <v>63.947915913346968</v>
      </c>
      <c r="K98">
        <v>152.50567245488065</v>
      </c>
      <c r="L98">
        <v>45.592678394955115</v>
      </c>
      <c r="M98">
        <v>567.13819693834228</v>
      </c>
      <c r="N98">
        <v>75.869003115263467</v>
      </c>
      <c r="O98">
        <v>554.28462277644928</v>
      </c>
      <c r="P98">
        <v>36.439351910140736</v>
      </c>
      <c r="Q98">
        <v>277.53179769528214</v>
      </c>
      <c r="R98">
        <v>225.037808839056</v>
      </c>
      <c r="S98">
        <v>303.9625063786936</v>
      </c>
      <c r="T98">
        <f t="shared" si="36"/>
        <v>15.807209303178588</v>
      </c>
      <c r="U98">
        <f t="shared" si="37"/>
        <v>73.954974472565468</v>
      </c>
      <c r="V98">
        <f t="shared" si="38"/>
        <v>102.51904218475522</v>
      </c>
      <c r="W98">
        <f t="shared" si="39"/>
        <v>84.962389654221496</v>
      </c>
      <c r="X98">
        <f t="shared" si="40"/>
        <v>83.776590183522117</v>
      </c>
      <c r="Y98">
        <f t="shared" si="41"/>
        <v>375.97456253594754</v>
      </c>
      <c r="Z98">
        <f t="shared" si="42"/>
        <v>81.85543317482508</v>
      </c>
      <c r="AA98">
        <f t="shared" si="43"/>
        <v>76.565303813128452</v>
      </c>
      <c r="AB98">
        <f t="shared" si="44"/>
        <v>130.69971107366953</v>
      </c>
      <c r="AC98">
        <f t="shared" si="45"/>
        <v>50.781577991519327</v>
      </c>
      <c r="AD98">
        <f t="shared" si="46"/>
        <v>591.96778306220847</v>
      </c>
      <c r="AE98">
        <f t="shared" si="47"/>
        <v>70.812081205355796</v>
      </c>
      <c r="AF98">
        <f t="shared" si="48"/>
        <v>552.03092832685252</v>
      </c>
      <c r="AG98">
        <f t="shared" si="49"/>
        <v>42.51443647842175</v>
      </c>
      <c r="AH98">
        <f t="shared" si="50"/>
        <v>291.45524856267002</v>
      </c>
      <c r="AI98">
        <f t="shared" si="51"/>
        <v>200.55817623942366</v>
      </c>
      <c r="AJ98">
        <f t="shared" si="52"/>
        <v>362.33937816512099</v>
      </c>
    </row>
    <row r="99" spans="1:36" x14ac:dyDescent="0.25">
      <c r="A99" s="8">
        <v>39814</v>
      </c>
      <c r="B99" s="9">
        <f t="shared" si="35"/>
        <v>1</v>
      </c>
      <c r="C99">
        <v>13.540575192252609</v>
      </c>
      <c r="D99">
        <v>32.826391360584246</v>
      </c>
      <c r="E99">
        <v>52.019030621406195</v>
      </c>
      <c r="F99">
        <v>65.911054626424814</v>
      </c>
      <c r="G99">
        <v>43.219365449615502</v>
      </c>
      <c r="H99">
        <v>411.1271893635959</v>
      </c>
      <c r="I99">
        <v>68.456736891742281</v>
      </c>
      <c r="J99">
        <v>56.98104145320729</v>
      </c>
      <c r="K99">
        <v>118.99102982208619</v>
      </c>
      <c r="L99">
        <v>28.600502858553387</v>
      </c>
      <c r="M99">
        <v>498.65881517237477</v>
      </c>
      <c r="N99">
        <v>69.499443410636218</v>
      </c>
      <c r="O99">
        <v>546.55300343668284</v>
      </c>
      <c r="P99">
        <v>27.974187998297037</v>
      </c>
      <c r="Q99">
        <v>210.56655938336232</v>
      </c>
      <c r="R99">
        <v>144.10604692854824</v>
      </c>
      <c r="S99">
        <v>410.70172396848193</v>
      </c>
      <c r="T99" t="str">
        <f t="shared" si="36"/>
        <v/>
      </c>
      <c r="U99" t="str">
        <f t="shared" si="37"/>
        <v/>
      </c>
      <c r="V99" t="str">
        <f t="shared" si="38"/>
        <v/>
      </c>
      <c r="W99" t="str">
        <f t="shared" si="39"/>
        <v/>
      </c>
      <c r="X99" t="str">
        <f t="shared" si="40"/>
        <v/>
      </c>
      <c r="Y99" t="str">
        <f t="shared" si="41"/>
        <v/>
      </c>
      <c r="Z99" t="str">
        <f t="shared" si="42"/>
        <v/>
      </c>
      <c r="AA99" t="str">
        <f t="shared" si="43"/>
        <v/>
      </c>
      <c r="AB99" t="str">
        <f t="shared" si="44"/>
        <v/>
      </c>
      <c r="AC99" t="str">
        <f t="shared" si="45"/>
        <v/>
      </c>
      <c r="AD99" t="str">
        <f t="shared" si="46"/>
        <v/>
      </c>
      <c r="AE99" t="str">
        <f t="shared" si="47"/>
        <v/>
      </c>
      <c r="AF99" t="str">
        <f t="shared" si="48"/>
        <v/>
      </c>
      <c r="AG99" t="str">
        <f t="shared" si="49"/>
        <v/>
      </c>
      <c r="AH99" t="str">
        <f t="shared" si="50"/>
        <v/>
      </c>
      <c r="AI99" t="str">
        <f t="shared" si="51"/>
        <v/>
      </c>
      <c r="AJ99" t="str">
        <f t="shared" si="52"/>
        <v/>
      </c>
    </row>
    <row r="100" spans="1:36" x14ac:dyDescent="0.25">
      <c r="A100" s="8">
        <v>39845</v>
      </c>
      <c r="B100" s="9">
        <f t="shared" si="35"/>
        <v>2</v>
      </c>
      <c r="C100">
        <v>8.0038069280642894</v>
      </c>
      <c r="D100">
        <v>70.100650200649568</v>
      </c>
      <c r="E100">
        <v>66.937537924493569</v>
      </c>
      <c r="F100">
        <v>70.900954748736893</v>
      </c>
      <c r="G100">
        <v>84.092221238140311</v>
      </c>
      <c r="H100">
        <v>302.008266982951</v>
      </c>
      <c r="I100">
        <v>38.466519926581121</v>
      </c>
      <c r="J100">
        <v>73.868840296890809</v>
      </c>
      <c r="K100">
        <v>134.37966703541062</v>
      </c>
      <c r="L100">
        <v>44.869612776166605</v>
      </c>
      <c r="M100">
        <v>523.26511629872914</v>
      </c>
      <c r="N100">
        <v>46.900862135421313</v>
      </c>
      <c r="O100">
        <v>528.12231321207344</v>
      </c>
      <c r="P100">
        <v>28.694961219341199</v>
      </c>
      <c r="Q100">
        <v>260.7123886973547</v>
      </c>
      <c r="R100">
        <v>158.25797351865123</v>
      </c>
      <c r="S100">
        <v>362.43725751684673</v>
      </c>
      <c r="T100" t="str">
        <f t="shared" si="36"/>
        <v/>
      </c>
      <c r="U100" t="str">
        <f t="shared" si="37"/>
        <v/>
      </c>
      <c r="V100" t="str">
        <f t="shared" si="38"/>
        <v/>
      </c>
      <c r="W100" t="str">
        <f t="shared" si="39"/>
        <v/>
      </c>
      <c r="X100" t="str">
        <f t="shared" si="40"/>
        <v/>
      </c>
      <c r="Y100" t="str">
        <f t="shared" si="41"/>
        <v/>
      </c>
      <c r="Z100" t="str">
        <f t="shared" si="42"/>
        <v/>
      </c>
      <c r="AA100" t="str">
        <f t="shared" si="43"/>
        <v/>
      </c>
      <c r="AB100" t="str">
        <f t="shared" si="44"/>
        <v/>
      </c>
      <c r="AC100" t="str">
        <f t="shared" si="45"/>
        <v/>
      </c>
      <c r="AD100" t="str">
        <f t="shared" si="46"/>
        <v/>
      </c>
      <c r="AE100" t="str">
        <f t="shared" si="47"/>
        <v/>
      </c>
      <c r="AF100" t="str">
        <f t="shared" si="48"/>
        <v/>
      </c>
      <c r="AG100" t="str">
        <f t="shared" si="49"/>
        <v/>
      </c>
      <c r="AH100" t="str">
        <f t="shared" si="50"/>
        <v/>
      </c>
      <c r="AI100" t="str">
        <f t="shared" si="51"/>
        <v/>
      </c>
      <c r="AJ100" t="str">
        <f t="shared" si="52"/>
        <v/>
      </c>
    </row>
    <row r="101" spans="1:36" x14ac:dyDescent="0.25">
      <c r="A101" s="8">
        <v>39873</v>
      </c>
      <c r="B101" s="9">
        <f t="shared" si="35"/>
        <v>3</v>
      </c>
      <c r="C101">
        <v>8.5523641812163707</v>
      </c>
      <c r="D101">
        <v>46.474571446358901</v>
      </c>
      <c r="E101">
        <v>54.673857642866004</v>
      </c>
      <c r="F101">
        <v>57.057850830373248</v>
      </c>
      <c r="G101">
        <v>72.464460501814514</v>
      </c>
      <c r="H101">
        <v>234.95362151470968</v>
      </c>
      <c r="I101">
        <v>66.682206786384441</v>
      </c>
      <c r="J101">
        <v>58.317790779530213</v>
      </c>
      <c r="K101">
        <v>134.8310032980107</v>
      </c>
      <c r="L101">
        <v>53.345689188668089</v>
      </c>
      <c r="M101">
        <v>456.68235731886273</v>
      </c>
      <c r="N101">
        <v>35.306520400811557</v>
      </c>
      <c r="O101">
        <v>471.31304358038932</v>
      </c>
      <c r="P101">
        <v>26.34230583259631</v>
      </c>
      <c r="Q101">
        <v>250.81483863645451</v>
      </c>
      <c r="R101">
        <v>149.61032769816703</v>
      </c>
      <c r="S101">
        <v>350.1433438833588</v>
      </c>
      <c r="T101">
        <f t="shared" ref="T101:T132" si="53">IF( OR($B101=3,$B101=6,$B101=9,$B101=12),AVERAGE(C99:C101),"" )</f>
        <v>10.032248767177755</v>
      </c>
      <c r="U101">
        <f t="shared" ref="U101:U132" si="54">IF( OR($B101=3,$B101=6,$B101=9,$B101=12),AVERAGE(D99:D101),"" )</f>
        <v>49.800537669197574</v>
      </c>
      <c r="V101">
        <f t="shared" ref="V101:V132" si="55">IF( OR($B101=3,$B101=6,$B101=9,$B101=12),AVERAGE(E99:E101),"" )</f>
        <v>57.876808729588589</v>
      </c>
      <c r="W101">
        <f t="shared" ref="W101:W132" si="56">IF( OR($B101=3,$B101=6,$B101=9,$B101=12),AVERAGE(F99:F101),"" )</f>
        <v>64.623286735178326</v>
      </c>
      <c r="X101">
        <f t="shared" ref="X101:X132" si="57">IF( OR($B101=3,$B101=6,$B101=9,$B101=12),AVERAGE(G99:G101),"" )</f>
        <v>66.592015729856769</v>
      </c>
      <c r="Y101">
        <f t="shared" ref="Y101:Y132" si="58">IF( OR($B101=3,$B101=6,$B101=9,$B101=12),AVERAGE(H99:H101),"" )</f>
        <v>316.02969262041887</v>
      </c>
      <c r="Z101">
        <f t="shared" ref="Z101:Z132" si="59">IF( OR($B101=3,$B101=6,$B101=9,$B101=12),AVERAGE(I99:I101),"" )</f>
        <v>57.868487868235945</v>
      </c>
      <c r="AA101">
        <f t="shared" ref="AA101:AA132" si="60">IF( OR($B101=3,$B101=6,$B101=9,$B101=12),AVERAGE(J99:J101),"" )</f>
        <v>63.055890843209433</v>
      </c>
      <c r="AB101">
        <f t="shared" ref="AB101:AB132" si="61">IF( OR($B101=3,$B101=6,$B101=9,$B101=12),AVERAGE(K99:K101),"" )</f>
        <v>129.40056671850252</v>
      </c>
      <c r="AC101">
        <f t="shared" ref="AC101:AC132" si="62">IF( OR($B101=3,$B101=6,$B101=9,$B101=12),AVERAGE(L99:L101),"" )</f>
        <v>42.271934941129359</v>
      </c>
      <c r="AD101">
        <f t="shared" ref="AD101:AD132" si="63">IF( OR($B101=3,$B101=6,$B101=9,$B101=12),AVERAGE(M99:M101),"" )</f>
        <v>492.86876292998886</v>
      </c>
      <c r="AE101">
        <f t="shared" ref="AE101:AE132" si="64">IF( OR($B101=3,$B101=6,$B101=9,$B101=12),AVERAGE(N99:N101),"" )</f>
        <v>50.568941982289694</v>
      </c>
      <c r="AF101">
        <f t="shared" ref="AF101:AF132" si="65">IF( OR($B101=3,$B101=6,$B101=9,$B101=12),AVERAGE(O99:O101),"" )</f>
        <v>515.32945340971526</v>
      </c>
      <c r="AG101">
        <f t="shared" ref="AG101:AG132" si="66">IF( OR($B101=3,$B101=6,$B101=9,$B101=12),AVERAGE(P99:P101),"" )</f>
        <v>27.670485016744848</v>
      </c>
      <c r="AH101">
        <f t="shared" ref="AH101:AH132" si="67">IF( OR($B101=3,$B101=6,$B101=9,$B101=12),AVERAGE(Q99:Q101),"" )</f>
        <v>240.69792890572384</v>
      </c>
      <c r="AI101">
        <f t="shared" ref="AI101:AI132" si="68">IF( OR($B101=3,$B101=6,$B101=9,$B101=12),AVERAGE(R99:R101),"" )</f>
        <v>150.65811604845547</v>
      </c>
      <c r="AJ101">
        <f t="shared" ref="AJ101:AJ132" si="69">IF( OR($B101=3,$B101=6,$B101=9,$B101=12),AVERAGE(S99:S101),"" )</f>
        <v>374.42744178956247</v>
      </c>
    </row>
    <row r="102" spans="1:36" x14ac:dyDescent="0.25">
      <c r="A102" s="8">
        <v>39904</v>
      </c>
      <c r="B102" s="9">
        <f t="shared" si="35"/>
        <v>4</v>
      </c>
      <c r="C102">
        <v>8.0322547321695019</v>
      </c>
      <c r="D102">
        <v>21.154164346538025</v>
      </c>
      <c r="E102">
        <v>47.476614786608074</v>
      </c>
      <c r="F102">
        <v>47.643608547616424</v>
      </c>
      <c r="G102">
        <v>62.075791402187484</v>
      </c>
      <c r="H102">
        <v>203.74713280872251</v>
      </c>
      <c r="I102">
        <v>63.043893406037107</v>
      </c>
      <c r="J102">
        <v>34.536782345303052</v>
      </c>
      <c r="K102">
        <v>96.868897781151716</v>
      </c>
      <c r="L102">
        <v>30.095189450714116</v>
      </c>
      <c r="M102">
        <v>423.52129698860068</v>
      </c>
      <c r="N102">
        <v>45.758848812523411</v>
      </c>
      <c r="O102">
        <v>434.49895288699713</v>
      </c>
      <c r="P102">
        <v>22.484490758989942</v>
      </c>
      <c r="Q102">
        <v>273.43188811553443</v>
      </c>
      <c r="R102">
        <v>103.68331431986013</v>
      </c>
      <c r="S102">
        <v>334.04989268717623</v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 t="shared" si="56"/>
        <v/>
      </c>
      <c r="X102" t="str">
        <f t="shared" si="57"/>
        <v/>
      </c>
      <c r="Y102" t="str">
        <f t="shared" si="58"/>
        <v/>
      </c>
      <c r="Z102" t="str">
        <f t="shared" si="59"/>
        <v/>
      </c>
      <c r="AA102" t="str">
        <f t="shared" si="60"/>
        <v/>
      </c>
      <c r="AB102" t="str">
        <f t="shared" si="61"/>
        <v/>
      </c>
      <c r="AC102" t="str">
        <f t="shared" si="62"/>
        <v/>
      </c>
      <c r="AD102" t="str">
        <f t="shared" si="63"/>
        <v/>
      </c>
      <c r="AE102" t="str">
        <f t="shared" si="64"/>
        <v/>
      </c>
      <c r="AF102" t="str">
        <f t="shared" si="65"/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</row>
    <row r="103" spans="1:36" x14ac:dyDescent="0.25">
      <c r="A103" s="8">
        <v>39934</v>
      </c>
      <c r="B103" s="9">
        <f t="shared" si="35"/>
        <v>5</v>
      </c>
      <c r="C103">
        <v>8.8025168265877394</v>
      </c>
      <c r="D103">
        <v>33.658527542933371</v>
      </c>
      <c r="E103">
        <v>51.689011720742933</v>
      </c>
      <c r="F103">
        <v>41.138942913668849</v>
      </c>
      <c r="G103">
        <v>72.701261985268147</v>
      </c>
      <c r="H103">
        <v>316.10894876331156</v>
      </c>
      <c r="I103">
        <v>65.8297385058072</v>
      </c>
      <c r="J103">
        <v>45.659513900762541</v>
      </c>
      <c r="K103">
        <v>137.89012799095136</v>
      </c>
      <c r="L103">
        <v>39.016363977383527</v>
      </c>
      <c r="M103">
        <v>374.81108998627724</v>
      </c>
      <c r="N103">
        <v>42.288144642428932</v>
      </c>
      <c r="O103">
        <v>480.12480890010278</v>
      </c>
      <c r="P103">
        <v>24.065541596280845</v>
      </c>
      <c r="Q103">
        <v>236.68604186980869</v>
      </c>
      <c r="R103">
        <v>134.82605549190464</v>
      </c>
      <c r="S103">
        <v>267.81601444061909</v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 t="shared" si="56"/>
        <v/>
      </c>
      <c r="X103" t="str">
        <f t="shared" si="57"/>
        <v/>
      </c>
      <c r="Y103" t="str">
        <f t="shared" si="58"/>
        <v/>
      </c>
      <c r="Z103" t="str">
        <f t="shared" si="59"/>
        <v/>
      </c>
      <c r="AA103" t="str">
        <f t="shared" si="60"/>
        <v/>
      </c>
      <c r="AB103" t="str">
        <f t="shared" si="61"/>
        <v/>
      </c>
      <c r="AC103" t="str">
        <f t="shared" si="62"/>
        <v/>
      </c>
      <c r="AD103" t="str">
        <f t="shared" si="63"/>
        <v/>
      </c>
      <c r="AE103" t="str">
        <f t="shared" si="64"/>
        <v/>
      </c>
      <c r="AF103" t="str">
        <f t="shared" si="65"/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</row>
    <row r="104" spans="1:36" x14ac:dyDescent="0.25">
      <c r="A104" s="8">
        <v>39965</v>
      </c>
      <c r="B104" s="9">
        <f t="shared" si="35"/>
        <v>6</v>
      </c>
      <c r="C104">
        <v>5.2766380788361129</v>
      </c>
      <c r="D104">
        <v>58.646430316236696</v>
      </c>
      <c r="E104">
        <v>48.897473252965234</v>
      </c>
      <c r="F104">
        <v>47.017258069840459</v>
      </c>
      <c r="G104">
        <v>77.417101961159219</v>
      </c>
      <c r="H104">
        <v>281.08302189282114</v>
      </c>
      <c r="I104">
        <v>70.715307027841362</v>
      </c>
      <c r="J104">
        <v>42.081085534800657</v>
      </c>
      <c r="K104">
        <v>115.13641771379892</v>
      </c>
      <c r="L104">
        <v>32.142018486535292</v>
      </c>
      <c r="M104">
        <v>364.36383976983467</v>
      </c>
      <c r="N104">
        <v>60.576102667103321</v>
      </c>
      <c r="O104">
        <v>449.160609474046</v>
      </c>
      <c r="P104">
        <v>14.969770859338819</v>
      </c>
      <c r="Q104">
        <v>251.31168133759891</v>
      </c>
      <c r="R104">
        <v>156.92082411599671</v>
      </c>
      <c r="S104">
        <v>315.38104456647562</v>
      </c>
      <c r="T104">
        <f t="shared" si="53"/>
        <v>7.3704698791977847</v>
      </c>
      <c r="U104">
        <f t="shared" si="54"/>
        <v>37.819707401902697</v>
      </c>
      <c r="V104">
        <f t="shared" si="55"/>
        <v>49.35436658677208</v>
      </c>
      <c r="W104">
        <f t="shared" si="56"/>
        <v>45.266603177041908</v>
      </c>
      <c r="X104">
        <f t="shared" si="57"/>
        <v>70.731385116204947</v>
      </c>
      <c r="Y104">
        <f t="shared" si="58"/>
        <v>266.97970115495173</v>
      </c>
      <c r="Z104">
        <f t="shared" si="59"/>
        <v>66.529646313228554</v>
      </c>
      <c r="AA104">
        <f t="shared" si="60"/>
        <v>40.75912726028875</v>
      </c>
      <c r="AB104">
        <f t="shared" si="61"/>
        <v>116.63181449530066</v>
      </c>
      <c r="AC104">
        <f t="shared" si="62"/>
        <v>33.751190638210979</v>
      </c>
      <c r="AD104">
        <f t="shared" si="63"/>
        <v>387.56540891490414</v>
      </c>
      <c r="AE104">
        <f t="shared" si="64"/>
        <v>49.541032040685224</v>
      </c>
      <c r="AF104">
        <f t="shared" si="65"/>
        <v>454.59479042038197</v>
      </c>
      <c r="AG104">
        <f t="shared" si="66"/>
        <v>20.506601071536537</v>
      </c>
      <c r="AH104">
        <f t="shared" si="67"/>
        <v>253.80987044098069</v>
      </c>
      <c r="AI104">
        <f t="shared" si="68"/>
        <v>131.81006464258715</v>
      </c>
      <c r="AJ104">
        <f t="shared" si="69"/>
        <v>305.74898389809027</v>
      </c>
    </row>
    <row r="105" spans="1:36" x14ac:dyDescent="0.25">
      <c r="A105" s="8">
        <v>39995</v>
      </c>
      <c r="B105" s="9">
        <f t="shared" si="35"/>
        <v>7</v>
      </c>
      <c r="C105">
        <v>2.9240581514512045</v>
      </c>
      <c r="D105">
        <v>41.567483296408689</v>
      </c>
      <c r="E105">
        <v>49.128148658443173</v>
      </c>
      <c r="F105">
        <v>42.913499317355843</v>
      </c>
      <c r="G105">
        <v>61.105180329830411</v>
      </c>
      <c r="H105">
        <v>209.29463052859228</v>
      </c>
      <c r="I105">
        <v>42.869961035714617</v>
      </c>
      <c r="J105">
        <v>44.29298187588396</v>
      </c>
      <c r="K105">
        <v>90.772914278354548</v>
      </c>
      <c r="L105">
        <v>29.782891542741304</v>
      </c>
      <c r="M105">
        <v>421.69331048600361</v>
      </c>
      <c r="N105">
        <v>40.231060186406985</v>
      </c>
      <c r="O105">
        <v>497.73977493769809</v>
      </c>
      <c r="P105">
        <v>13.157648341529445</v>
      </c>
      <c r="Q105">
        <v>218.70210766888428</v>
      </c>
      <c r="R105">
        <v>101.3333323348035</v>
      </c>
      <c r="S105">
        <v>270.94790496624779</v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 t="shared" si="56"/>
        <v/>
      </c>
      <c r="X105" t="str">
        <f t="shared" si="57"/>
        <v/>
      </c>
      <c r="Y105" t="str">
        <f t="shared" si="58"/>
        <v/>
      </c>
      <c r="Z105" t="str">
        <f t="shared" si="59"/>
        <v/>
      </c>
      <c r="AA105" t="str">
        <f t="shared" si="60"/>
        <v/>
      </c>
      <c r="AB105" t="str">
        <f t="shared" si="61"/>
        <v/>
      </c>
      <c r="AC105" t="str">
        <f t="shared" si="62"/>
        <v/>
      </c>
      <c r="AD105" t="str">
        <f t="shared" si="63"/>
        <v/>
      </c>
      <c r="AE105" t="str">
        <f t="shared" si="64"/>
        <v/>
      </c>
      <c r="AF105" t="str">
        <f t="shared" si="65"/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</row>
    <row r="106" spans="1:36" x14ac:dyDescent="0.25">
      <c r="A106" s="8">
        <v>40026</v>
      </c>
      <c r="B106" s="9">
        <f t="shared" si="35"/>
        <v>8</v>
      </c>
      <c r="C106">
        <v>4.1264892367561297</v>
      </c>
      <c r="D106">
        <v>61.057756382127927</v>
      </c>
      <c r="E106">
        <v>61.346720896204047</v>
      </c>
      <c r="F106">
        <v>64.297322255299974</v>
      </c>
      <c r="G106">
        <v>93.909703498291975</v>
      </c>
      <c r="H106">
        <v>251.94595457316635</v>
      </c>
      <c r="I106">
        <v>81.01874956464556</v>
      </c>
      <c r="J106">
        <v>39.501556543874628</v>
      </c>
      <c r="K106">
        <v>88.310122613715222</v>
      </c>
      <c r="L106">
        <v>28.499927905689351</v>
      </c>
      <c r="M106">
        <v>350.63154202386391</v>
      </c>
      <c r="N106">
        <v>68.268981804188897</v>
      </c>
      <c r="O106">
        <v>460.89167539695603</v>
      </c>
      <c r="P106">
        <v>21.22498274050584</v>
      </c>
      <c r="Q106">
        <v>182.57737520586585</v>
      </c>
      <c r="R106">
        <v>120.53584607969364</v>
      </c>
      <c r="S106">
        <v>303.91914931496751</v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 t="shared" si="56"/>
        <v/>
      </c>
      <c r="X106" t="str">
        <f t="shared" si="57"/>
        <v/>
      </c>
      <c r="Y106" t="str">
        <f t="shared" si="58"/>
        <v/>
      </c>
      <c r="Z106" t="str">
        <f t="shared" si="59"/>
        <v/>
      </c>
      <c r="AA106" t="str">
        <f t="shared" si="60"/>
        <v/>
      </c>
      <c r="AB106" t="str">
        <f t="shared" si="61"/>
        <v/>
      </c>
      <c r="AC106" t="str">
        <f t="shared" si="62"/>
        <v/>
      </c>
      <c r="AD106" t="str">
        <f t="shared" si="63"/>
        <v/>
      </c>
      <c r="AE106" t="str">
        <f t="shared" si="64"/>
        <v/>
      </c>
      <c r="AF106" t="str">
        <f t="shared" si="65"/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</row>
    <row r="107" spans="1:36" x14ac:dyDescent="0.25">
      <c r="A107" s="8">
        <v>40057</v>
      </c>
      <c r="B107" s="9">
        <f t="shared" si="35"/>
        <v>9</v>
      </c>
      <c r="C107">
        <v>7.7265199957702029</v>
      </c>
      <c r="D107">
        <v>69.00049600139333</v>
      </c>
      <c r="E107">
        <v>68.938353795857608</v>
      </c>
      <c r="F107">
        <v>56.901792416919385</v>
      </c>
      <c r="G107">
        <v>65.019660960830137</v>
      </c>
      <c r="H107">
        <v>255.79424777253556</v>
      </c>
      <c r="I107">
        <v>53.432335232684444</v>
      </c>
      <c r="J107">
        <v>55.183401116137304</v>
      </c>
      <c r="K107">
        <v>116.97800423660277</v>
      </c>
      <c r="L107">
        <v>59.502309052958367</v>
      </c>
      <c r="M107">
        <v>441.96542612322293</v>
      </c>
      <c r="N107">
        <v>38.249067935006956</v>
      </c>
      <c r="O107">
        <v>498.66241784846807</v>
      </c>
      <c r="P107">
        <v>26.316746287387943</v>
      </c>
      <c r="Q107">
        <v>283.6129951848979</v>
      </c>
      <c r="R107">
        <v>85.91145036120075</v>
      </c>
      <c r="S107">
        <v>290.52143485385784</v>
      </c>
      <c r="T107">
        <f t="shared" si="53"/>
        <v>4.9256891279925128</v>
      </c>
      <c r="U107">
        <f t="shared" si="54"/>
        <v>57.208578559976651</v>
      </c>
      <c r="V107">
        <f t="shared" si="55"/>
        <v>59.80440778350161</v>
      </c>
      <c r="W107">
        <f t="shared" si="56"/>
        <v>54.704204663191739</v>
      </c>
      <c r="X107">
        <f t="shared" si="57"/>
        <v>73.344848262984172</v>
      </c>
      <c r="Y107">
        <f t="shared" si="58"/>
        <v>239.01161095809803</v>
      </c>
      <c r="Z107">
        <f t="shared" si="59"/>
        <v>59.107015277681541</v>
      </c>
      <c r="AA107">
        <f t="shared" si="60"/>
        <v>46.325979845298633</v>
      </c>
      <c r="AB107">
        <f t="shared" si="61"/>
        <v>98.687013709557505</v>
      </c>
      <c r="AC107">
        <f t="shared" si="62"/>
        <v>39.261709500463006</v>
      </c>
      <c r="AD107">
        <f t="shared" si="63"/>
        <v>404.76342621103009</v>
      </c>
      <c r="AE107">
        <f t="shared" si="64"/>
        <v>48.916369975200951</v>
      </c>
      <c r="AF107">
        <f t="shared" si="65"/>
        <v>485.76462272770738</v>
      </c>
      <c r="AG107">
        <f t="shared" si="66"/>
        <v>20.233125789807744</v>
      </c>
      <c r="AH107">
        <f t="shared" si="67"/>
        <v>228.29749268654936</v>
      </c>
      <c r="AI107">
        <f t="shared" si="68"/>
        <v>102.59354292523263</v>
      </c>
      <c r="AJ107">
        <f t="shared" si="69"/>
        <v>288.46282971169109</v>
      </c>
    </row>
    <row r="108" spans="1:36" x14ac:dyDescent="0.25">
      <c r="A108" s="8">
        <v>40087</v>
      </c>
      <c r="B108" s="9">
        <f t="shared" si="35"/>
        <v>10</v>
      </c>
      <c r="C108">
        <v>6.9101882724658621</v>
      </c>
      <c r="D108">
        <v>61.620293970301582</v>
      </c>
      <c r="E108">
        <v>66.233567519202523</v>
      </c>
      <c r="F108">
        <v>63.266573761871513</v>
      </c>
      <c r="G108">
        <v>66.217183936370063</v>
      </c>
      <c r="H108">
        <v>200.59589864044</v>
      </c>
      <c r="I108">
        <v>48.065743156679588</v>
      </c>
      <c r="J108">
        <v>66.943162667188233</v>
      </c>
      <c r="K108">
        <v>86.135536583842566</v>
      </c>
      <c r="L108">
        <v>56.238144720751663</v>
      </c>
      <c r="M108">
        <v>431.5597057339881</v>
      </c>
      <c r="N108">
        <v>35.301202080542858</v>
      </c>
      <c r="O108">
        <v>465.78360455197151</v>
      </c>
      <c r="P108">
        <v>16.069390363318025</v>
      </c>
      <c r="Q108">
        <v>220.60490177474523</v>
      </c>
      <c r="R108">
        <v>99.750327487937099</v>
      </c>
      <c r="S108">
        <v>405.97448946616106</v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 t="shared" si="56"/>
        <v/>
      </c>
      <c r="X108" t="str">
        <f t="shared" si="57"/>
        <v/>
      </c>
      <c r="Y108" t="str">
        <f t="shared" si="58"/>
        <v/>
      </c>
      <c r="Z108" t="str">
        <f t="shared" si="59"/>
        <v/>
      </c>
      <c r="AA108" t="str">
        <f t="shared" si="60"/>
        <v/>
      </c>
      <c r="AB108" t="str">
        <f t="shared" si="61"/>
        <v/>
      </c>
      <c r="AC108" t="str">
        <f t="shared" si="62"/>
        <v/>
      </c>
      <c r="AD108" t="str">
        <f t="shared" si="63"/>
        <v/>
      </c>
      <c r="AE108" t="str">
        <f t="shared" si="64"/>
        <v/>
      </c>
      <c r="AF108" t="str">
        <f t="shared" si="65"/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</row>
    <row r="109" spans="1:36" x14ac:dyDescent="0.25">
      <c r="A109" s="8">
        <v>40118</v>
      </c>
      <c r="B109" s="9">
        <f t="shared" si="35"/>
        <v>11</v>
      </c>
      <c r="C109">
        <v>6.6353182848699088</v>
      </c>
      <c r="D109">
        <v>62.227066152969321</v>
      </c>
      <c r="E109">
        <v>66.945024431245542</v>
      </c>
      <c r="F109">
        <v>75.807163160946885</v>
      </c>
      <c r="G109">
        <v>59.807220210902805</v>
      </c>
      <c r="H109">
        <v>205.50890460094709</v>
      </c>
      <c r="I109">
        <v>48.535783245004673</v>
      </c>
      <c r="J109">
        <v>42.233757509552312</v>
      </c>
      <c r="K109">
        <v>133.38051591652172</v>
      </c>
      <c r="L109">
        <v>38.674520088240811</v>
      </c>
      <c r="M109">
        <v>427.71619501149053</v>
      </c>
      <c r="N109">
        <v>36.553837297414489</v>
      </c>
      <c r="O109">
        <v>488.46914324219881</v>
      </c>
      <c r="P109">
        <v>24.92252358890094</v>
      </c>
      <c r="Q109">
        <v>198.68503473547781</v>
      </c>
      <c r="R109">
        <v>124.53894211952073</v>
      </c>
      <c r="S109">
        <v>352.14025236375943</v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 t="shared" si="56"/>
        <v/>
      </c>
      <c r="X109" t="str">
        <f t="shared" si="57"/>
        <v/>
      </c>
      <c r="Y109" t="str">
        <f t="shared" si="58"/>
        <v/>
      </c>
      <c r="Z109" t="str">
        <f t="shared" si="59"/>
        <v/>
      </c>
      <c r="AA109" t="str">
        <f t="shared" si="60"/>
        <v/>
      </c>
      <c r="AB109" t="str">
        <f t="shared" si="61"/>
        <v/>
      </c>
      <c r="AC109" t="str">
        <f t="shared" si="62"/>
        <v/>
      </c>
      <c r="AD109" t="str">
        <f t="shared" si="63"/>
        <v/>
      </c>
      <c r="AE109" t="str">
        <f t="shared" si="64"/>
        <v/>
      </c>
      <c r="AF109" t="str">
        <f t="shared" si="65"/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</row>
    <row r="110" spans="1:36" x14ac:dyDescent="0.25">
      <c r="A110" s="8">
        <v>40148</v>
      </c>
      <c r="B110" s="9">
        <f t="shared" si="35"/>
        <v>12</v>
      </c>
      <c r="C110">
        <v>4.2735429064586299</v>
      </c>
      <c r="D110">
        <v>70.466891903480303</v>
      </c>
      <c r="E110">
        <v>89.791051367931871</v>
      </c>
      <c r="F110">
        <v>87.520552175768643</v>
      </c>
      <c r="G110">
        <v>82.733351114944327</v>
      </c>
      <c r="H110">
        <v>207.74290941359837</v>
      </c>
      <c r="I110">
        <v>45.491090027745479</v>
      </c>
      <c r="J110">
        <v>71.801168744810624</v>
      </c>
      <c r="K110">
        <v>102.80011995106769</v>
      </c>
      <c r="L110">
        <v>31.564161965738155</v>
      </c>
      <c r="M110">
        <v>443.4188605405958</v>
      </c>
      <c r="N110">
        <v>54.353912679591737</v>
      </c>
      <c r="O110">
        <v>503.89511161495392</v>
      </c>
      <c r="P110">
        <v>17.427516130936873</v>
      </c>
      <c r="Q110">
        <v>189.22622570132873</v>
      </c>
      <c r="R110">
        <v>151.98888659810589</v>
      </c>
      <c r="S110">
        <v>332.39065445727647</v>
      </c>
      <c r="T110">
        <f t="shared" si="53"/>
        <v>5.939683154598133</v>
      </c>
      <c r="U110">
        <f t="shared" si="54"/>
        <v>64.771417342250402</v>
      </c>
      <c r="V110">
        <f t="shared" si="55"/>
        <v>74.323214439459989</v>
      </c>
      <c r="W110">
        <f t="shared" si="56"/>
        <v>75.531429699529014</v>
      </c>
      <c r="X110">
        <f t="shared" si="57"/>
        <v>69.585918420739063</v>
      </c>
      <c r="Y110">
        <f t="shared" si="58"/>
        <v>204.6159042183285</v>
      </c>
      <c r="Z110">
        <f t="shared" si="59"/>
        <v>47.364205476476577</v>
      </c>
      <c r="AA110">
        <f t="shared" si="60"/>
        <v>60.326029640517049</v>
      </c>
      <c r="AB110">
        <f t="shared" si="61"/>
        <v>107.43872415047731</v>
      </c>
      <c r="AC110">
        <f t="shared" si="62"/>
        <v>42.158942258243542</v>
      </c>
      <c r="AD110">
        <f t="shared" si="63"/>
        <v>434.23158709535818</v>
      </c>
      <c r="AE110">
        <f t="shared" si="64"/>
        <v>42.069650685849695</v>
      </c>
      <c r="AF110">
        <f t="shared" si="65"/>
        <v>486.04928646970808</v>
      </c>
      <c r="AG110">
        <f t="shared" si="66"/>
        <v>19.473143361051946</v>
      </c>
      <c r="AH110">
        <f t="shared" si="67"/>
        <v>202.83872073718393</v>
      </c>
      <c r="AI110">
        <f t="shared" si="68"/>
        <v>125.42605206852124</v>
      </c>
      <c r="AJ110">
        <f t="shared" si="69"/>
        <v>363.50179876239901</v>
      </c>
    </row>
    <row r="111" spans="1:36" x14ac:dyDescent="0.25">
      <c r="A111" s="8">
        <v>40179</v>
      </c>
      <c r="B111" s="9">
        <f t="shared" si="35"/>
        <v>1</v>
      </c>
      <c r="C111">
        <v>9.5580530768841943</v>
      </c>
      <c r="D111">
        <v>56.420360151004168</v>
      </c>
      <c r="E111">
        <v>79.02891190559788</v>
      </c>
      <c r="F111">
        <v>63.003213981141364</v>
      </c>
      <c r="G111">
        <v>70.562229305494697</v>
      </c>
      <c r="H111">
        <v>243.12851553735493</v>
      </c>
      <c r="I111">
        <v>53.57483756745048</v>
      </c>
      <c r="J111">
        <v>85.471562179810931</v>
      </c>
      <c r="K111">
        <v>132.98997450703749</v>
      </c>
      <c r="L111">
        <v>27.011586033078199</v>
      </c>
      <c r="M111">
        <v>429.75949701384286</v>
      </c>
      <c r="N111">
        <v>35.253340860467645</v>
      </c>
      <c r="O111">
        <v>546.55300343668284</v>
      </c>
      <c r="P111">
        <v>16.784512798978223</v>
      </c>
      <c r="Q111">
        <v>233.72888091553216</v>
      </c>
      <c r="R111">
        <v>213.45708201291208</v>
      </c>
      <c r="S111">
        <v>406.46768557705428</v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 t="shared" si="56"/>
        <v/>
      </c>
      <c r="X111" t="str">
        <f t="shared" si="57"/>
        <v/>
      </c>
      <c r="Y111" t="str">
        <f t="shared" si="58"/>
        <v/>
      </c>
      <c r="Z111" t="str">
        <f t="shared" si="59"/>
        <v/>
      </c>
      <c r="AA111" t="str">
        <f t="shared" si="60"/>
        <v/>
      </c>
      <c r="AB111" t="str">
        <f t="shared" si="61"/>
        <v/>
      </c>
      <c r="AC111" t="str">
        <f t="shared" si="62"/>
        <v/>
      </c>
      <c r="AD111" t="str">
        <f t="shared" si="63"/>
        <v/>
      </c>
      <c r="AE111" t="str">
        <f t="shared" si="64"/>
        <v/>
      </c>
      <c r="AF111" t="str">
        <f t="shared" si="65"/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</row>
    <row r="112" spans="1:36" x14ac:dyDescent="0.25">
      <c r="A112" s="8">
        <v>40210</v>
      </c>
      <c r="B112" s="9">
        <f t="shared" si="35"/>
        <v>2</v>
      </c>
      <c r="C112">
        <v>11.005234526088397</v>
      </c>
      <c r="D112">
        <v>69.054371839445835</v>
      </c>
      <c r="E112">
        <v>102.43471712687652</v>
      </c>
      <c r="F112">
        <v>62.680554198158703</v>
      </c>
      <c r="G112">
        <v>66.284456740651777</v>
      </c>
      <c r="H112">
        <v>276.94038711480096</v>
      </c>
      <c r="I112">
        <v>63.042352101896839</v>
      </c>
      <c r="J112">
        <v>79.300372671662188</v>
      </c>
      <c r="K112">
        <v>120.40418166372791</v>
      </c>
      <c r="L112">
        <v>30.981399297829324</v>
      </c>
      <c r="M112">
        <v>391.68382974407791</v>
      </c>
      <c r="N112">
        <v>66.087578463548212</v>
      </c>
      <c r="O112">
        <v>458.87731324101884</v>
      </c>
      <c r="P112">
        <v>20.779109848488453</v>
      </c>
      <c r="Q112">
        <v>216.9041594490287</v>
      </c>
      <c r="R112">
        <v>183.57924928163544</v>
      </c>
      <c r="S112">
        <v>353.03686755243285</v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 t="shared" si="56"/>
        <v/>
      </c>
      <c r="X112" t="str">
        <f t="shared" si="57"/>
        <v/>
      </c>
      <c r="Y112" t="str">
        <f t="shared" si="58"/>
        <v/>
      </c>
      <c r="Z112" t="str">
        <f t="shared" si="59"/>
        <v/>
      </c>
      <c r="AA112" t="str">
        <f t="shared" si="60"/>
        <v/>
      </c>
      <c r="AB112" t="str">
        <f t="shared" si="61"/>
        <v/>
      </c>
      <c r="AC112" t="str">
        <f t="shared" si="62"/>
        <v/>
      </c>
      <c r="AD112" t="str">
        <f t="shared" si="63"/>
        <v/>
      </c>
      <c r="AE112" t="str">
        <f t="shared" si="64"/>
        <v/>
      </c>
      <c r="AF112" t="str">
        <f t="shared" si="65"/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</row>
    <row r="113" spans="1:36" x14ac:dyDescent="0.25">
      <c r="A113" s="8">
        <v>40238</v>
      </c>
      <c r="B113" s="9">
        <f t="shared" si="35"/>
        <v>3</v>
      </c>
      <c r="C113">
        <v>11.403152241621827</v>
      </c>
      <c r="D113">
        <v>72.616517884935789</v>
      </c>
      <c r="E113">
        <v>97.197969142872893</v>
      </c>
      <c r="F113">
        <v>55.055820976675946</v>
      </c>
      <c r="G113">
        <v>87.522010735957792</v>
      </c>
      <c r="H113">
        <v>318.42398705283023</v>
      </c>
      <c r="I113">
        <v>54.179293013937354</v>
      </c>
      <c r="J113">
        <v>56.117119429359263</v>
      </c>
      <c r="K113">
        <v>133.82480178086135</v>
      </c>
      <c r="L113">
        <v>17.781896396222695</v>
      </c>
      <c r="M113">
        <v>396.14539367426931</v>
      </c>
      <c r="N113">
        <v>75.805176154683636</v>
      </c>
      <c r="O113">
        <v>426.90667544861816</v>
      </c>
      <c r="P113">
        <v>27.317946789359137</v>
      </c>
      <c r="Q113">
        <v>203.26258298418989</v>
      </c>
      <c r="R113">
        <v>150.64928830718208</v>
      </c>
      <c r="S113">
        <v>407.18916957222064</v>
      </c>
      <c r="T113">
        <f t="shared" si="53"/>
        <v>10.65547994819814</v>
      </c>
      <c r="U113">
        <f t="shared" si="54"/>
        <v>66.030416625128609</v>
      </c>
      <c r="V113">
        <f t="shared" si="55"/>
        <v>92.887199391782431</v>
      </c>
      <c r="W113">
        <f t="shared" si="56"/>
        <v>60.246529718658678</v>
      </c>
      <c r="X113">
        <f t="shared" si="57"/>
        <v>74.789565594034755</v>
      </c>
      <c r="Y113">
        <f t="shared" si="58"/>
        <v>279.49762990166204</v>
      </c>
      <c r="Z113">
        <f t="shared" si="59"/>
        <v>56.932160894428222</v>
      </c>
      <c r="AA113">
        <f t="shared" si="60"/>
        <v>73.62968476027747</v>
      </c>
      <c r="AB113">
        <f t="shared" si="61"/>
        <v>129.07298598387558</v>
      </c>
      <c r="AC113">
        <f t="shared" si="62"/>
        <v>25.258293909043406</v>
      </c>
      <c r="AD113">
        <f t="shared" si="63"/>
        <v>405.86290681073001</v>
      </c>
      <c r="AE113">
        <f t="shared" si="64"/>
        <v>59.048698492899831</v>
      </c>
      <c r="AF113">
        <f t="shared" si="65"/>
        <v>477.44566404210667</v>
      </c>
      <c r="AG113">
        <f t="shared" si="66"/>
        <v>21.627189812275272</v>
      </c>
      <c r="AH113">
        <f t="shared" si="67"/>
        <v>217.96520778291691</v>
      </c>
      <c r="AI113">
        <f t="shared" si="68"/>
        <v>182.56187320057651</v>
      </c>
      <c r="AJ113">
        <f t="shared" si="69"/>
        <v>388.89790756723596</v>
      </c>
    </row>
    <row r="114" spans="1:36" x14ac:dyDescent="0.25">
      <c r="A114" s="8">
        <v>40269</v>
      </c>
      <c r="B114" s="9">
        <f t="shared" si="35"/>
        <v>4</v>
      </c>
      <c r="C114">
        <v>19.076604988902567</v>
      </c>
      <c r="D114">
        <v>79.734927152335629</v>
      </c>
      <c r="E114">
        <v>107.05511177372408</v>
      </c>
      <c r="F114">
        <v>64.795307624758337</v>
      </c>
      <c r="G114">
        <v>76.064702140708604</v>
      </c>
      <c r="H114">
        <v>281.73646594124784</v>
      </c>
      <c r="I114">
        <v>74.506419479862032</v>
      </c>
      <c r="J114">
        <v>81.208109838955821</v>
      </c>
      <c r="K114">
        <v>182.39278951586223</v>
      </c>
      <c r="L114">
        <v>31.721956448050015</v>
      </c>
      <c r="M114">
        <v>511.7940285117237</v>
      </c>
      <c r="N114">
        <v>51.690551436369034</v>
      </c>
      <c r="O114">
        <v>451.06882820895885</v>
      </c>
      <c r="P114">
        <v>23.889771431426816</v>
      </c>
      <c r="Q114">
        <v>245.28448786834707</v>
      </c>
      <c r="R114">
        <v>198.24249697957256</v>
      </c>
      <c r="S114">
        <v>582.96795676709428</v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 t="shared" si="56"/>
        <v/>
      </c>
      <c r="X114" t="str">
        <f t="shared" si="57"/>
        <v/>
      </c>
      <c r="Y114" t="str">
        <f t="shared" si="58"/>
        <v/>
      </c>
      <c r="Z114" t="str">
        <f t="shared" si="59"/>
        <v/>
      </c>
      <c r="AA114" t="str">
        <f t="shared" si="60"/>
        <v/>
      </c>
      <c r="AB114" t="str">
        <f t="shared" si="61"/>
        <v/>
      </c>
      <c r="AC114" t="str">
        <f t="shared" si="62"/>
        <v/>
      </c>
      <c r="AD114" t="str">
        <f t="shared" si="63"/>
        <v/>
      </c>
      <c r="AE114" t="str">
        <f t="shared" si="64"/>
        <v/>
      </c>
      <c r="AF114" t="str">
        <f t="shared" si="65"/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</row>
    <row r="115" spans="1:36" x14ac:dyDescent="0.25">
      <c r="A115" s="8">
        <v>40299</v>
      </c>
      <c r="B115" s="9">
        <f t="shared" si="35"/>
        <v>5</v>
      </c>
      <c r="C115">
        <v>16.50471904985201</v>
      </c>
      <c r="D115">
        <v>71.524371028733398</v>
      </c>
      <c r="E115">
        <v>121.56489793582135</v>
      </c>
      <c r="F115">
        <v>64.646910292908188</v>
      </c>
      <c r="G115">
        <v>92.619415953834775</v>
      </c>
      <c r="H115">
        <v>256.139726972201</v>
      </c>
      <c r="I115">
        <v>61.778677674680601</v>
      </c>
      <c r="J115">
        <v>85.750794398993065</v>
      </c>
      <c r="K115">
        <v>182.78458826707507</v>
      </c>
      <c r="L115">
        <v>37.96186765367046</v>
      </c>
      <c r="M115">
        <v>546.2672268948935</v>
      </c>
      <c r="N115">
        <v>68.600767975495813</v>
      </c>
      <c r="O115">
        <v>429.37165785358025</v>
      </c>
      <c r="P115">
        <v>45.724529032933603</v>
      </c>
      <c r="Q115">
        <v>247.91225729446364</v>
      </c>
      <c r="R115">
        <v>111.5467365580506</v>
      </c>
      <c r="S115">
        <v>356.44577461521243</v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 t="shared" si="56"/>
        <v/>
      </c>
      <c r="X115" t="str">
        <f t="shared" si="57"/>
        <v/>
      </c>
      <c r="Y115" t="str">
        <f t="shared" si="58"/>
        <v/>
      </c>
      <c r="Z115" t="str">
        <f t="shared" si="59"/>
        <v/>
      </c>
      <c r="AA115" t="str">
        <f t="shared" si="60"/>
        <v/>
      </c>
      <c r="AB115" t="str">
        <f t="shared" si="61"/>
        <v/>
      </c>
      <c r="AC115" t="str">
        <f t="shared" si="62"/>
        <v/>
      </c>
      <c r="AD115" t="str">
        <f t="shared" si="63"/>
        <v/>
      </c>
      <c r="AE115" t="str">
        <f t="shared" si="64"/>
        <v/>
      </c>
      <c r="AF115" t="str">
        <f t="shared" si="65"/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</row>
    <row r="116" spans="1:36" x14ac:dyDescent="0.25">
      <c r="A116" s="8">
        <v>40330</v>
      </c>
      <c r="B116" s="9">
        <f t="shared" si="35"/>
        <v>6</v>
      </c>
      <c r="C116">
        <v>13.719259004973894</v>
      </c>
      <c r="D116">
        <v>76.333448983038238</v>
      </c>
      <c r="E116">
        <v>133.00112724806544</v>
      </c>
      <c r="F116">
        <v>65.248439770390846</v>
      </c>
      <c r="G116">
        <v>77.417101961159219</v>
      </c>
      <c r="H116">
        <v>264.30194595892135</v>
      </c>
      <c r="I116">
        <v>87.113059382123424</v>
      </c>
      <c r="J116">
        <v>60.424122819200939</v>
      </c>
      <c r="K116">
        <v>161.61350376340582</v>
      </c>
      <c r="L116">
        <v>39.641822800060197</v>
      </c>
      <c r="M116">
        <v>478.36071361595253</v>
      </c>
      <c r="N116">
        <v>49.652543169756818</v>
      </c>
      <c r="O116">
        <v>416.85439394343018</v>
      </c>
      <c r="P116">
        <v>46.905282025928301</v>
      </c>
      <c r="Q116">
        <v>259.38595222394747</v>
      </c>
      <c r="R116">
        <v>121.58765842100406</v>
      </c>
      <c r="S116">
        <v>311.79716906003841</v>
      </c>
      <c r="T116">
        <f t="shared" si="53"/>
        <v>16.433527681242822</v>
      </c>
      <c r="U116">
        <f t="shared" si="54"/>
        <v>75.864249054702427</v>
      </c>
      <c r="V116">
        <f t="shared" si="55"/>
        <v>120.54037898587029</v>
      </c>
      <c r="W116">
        <f t="shared" si="56"/>
        <v>64.896885896019128</v>
      </c>
      <c r="X116">
        <f t="shared" si="57"/>
        <v>82.033740018567528</v>
      </c>
      <c r="Y116">
        <f t="shared" si="58"/>
        <v>267.39271295745675</v>
      </c>
      <c r="Z116">
        <f t="shared" si="59"/>
        <v>74.466052178888688</v>
      </c>
      <c r="AA116">
        <f t="shared" si="60"/>
        <v>75.794342352383282</v>
      </c>
      <c r="AB116">
        <f t="shared" si="61"/>
        <v>175.59696051544771</v>
      </c>
      <c r="AC116">
        <f t="shared" si="62"/>
        <v>36.441882300593555</v>
      </c>
      <c r="AD116">
        <f t="shared" si="63"/>
        <v>512.14065634085659</v>
      </c>
      <c r="AE116">
        <f t="shared" si="64"/>
        <v>56.647954193873886</v>
      </c>
      <c r="AF116">
        <f t="shared" si="65"/>
        <v>432.43162666865646</v>
      </c>
      <c r="AG116">
        <f t="shared" si="66"/>
        <v>38.839860830096235</v>
      </c>
      <c r="AH116">
        <f t="shared" si="67"/>
        <v>250.86089912891939</v>
      </c>
      <c r="AI116">
        <f t="shared" si="68"/>
        <v>143.7922973195424</v>
      </c>
      <c r="AJ116">
        <f t="shared" si="69"/>
        <v>417.07030014744834</v>
      </c>
    </row>
    <row r="117" spans="1:36" x14ac:dyDescent="0.25">
      <c r="A117" s="8">
        <v>40360</v>
      </c>
      <c r="B117" s="9">
        <f t="shared" si="35"/>
        <v>7</v>
      </c>
      <c r="C117">
        <v>12.670918656288553</v>
      </c>
      <c r="D117">
        <v>88.954414254314599</v>
      </c>
      <c r="E117">
        <v>159.66648313994031</v>
      </c>
      <c r="F117">
        <v>63.000669210586238</v>
      </c>
      <c r="G117">
        <v>78.563803281210525</v>
      </c>
      <c r="H117">
        <v>295.58276767634521</v>
      </c>
      <c r="I117">
        <v>66.09118993006004</v>
      </c>
      <c r="J117">
        <v>100.83721405786348</v>
      </c>
      <c r="K117">
        <v>187.21913569910626</v>
      </c>
      <c r="L117">
        <v>24.52708715284578</v>
      </c>
      <c r="M117">
        <v>519.80540062144962</v>
      </c>
      <c r="N117">
        <v>54.782720253830789</v>
      </c>
      <c r="O117">
        <v>473.08980513125971</v>
      </c>
      <c r="P117">
        <v>38.533113000193374</v>
      </c>
      <c r="Q117">
        <v>272.94023037076755</v>
      </c>
      <c r="R117">
        <v>163.209437919772</v>
      </c>
      <c r="S117">
        <v>309.52034977047055</v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 t="shared" si="56"/>
        <v/>
      </c>
      <c r="X117" t="str">
        <f t="shared" si="57"/>
        <v/>
      </c>
      <c r="Y117" t="str">
        <f t="shared" si="58"/>
        <v/>
      </c>
      <c r="Z117" t="str">
        <f t="shared" si="59"/>
        <v/>
      </c>
      <c r="AA117" t="str">
        <f t="shared" si="60"/>
        <v/>
      </c>
      <c r="AB117" t="str">
        <f t="shared" si="61"/>
        <v/>
      </c>
      <c r="AC117" t="str">
        <f t="shared" si="62"/>
        <v/>
      </c>
      <c r="AD117" t="str">
        <f t="shared" si="63"/>
        <v/>
      </c>
      <c r="AE117" t="str">
        <f t="shared" si="64"/>
        <v/>
      </c>
      <c r="AF117" t="str">
        <f t="shared" si="65"/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</row>
    <row r="118" spans="1:36" x14ac:dyDescent="0.25">
      <c r="A118" s="8">
        <v>40391</v>
      </c>
      <c r="B118" s="9">
        <f t="shared" si="35"/>
        <v>8</v>
      </c>
      <c r="C118">
        <v>15.474334637835485</v>
      </c>
      <c r="D118">
        <v>57.181073437230914</v>
      </c>
      <c r="E118">
        <v>128.53598663966562</v>
      </c>
      <c r="F118">
        <v>54.405426523715363</v>
      </c>
      <c r="G118">
        <v>82.920270110193968</v>
      </c>
      <c r="H118">
        <v>247.4469196700741</v>
      </c>
      <c r="I118">
        <v>91.262499509600744</v>
      </c>
      <c r="J118">
        <v>90.853580050911646</v>
      </c>
      <c r="K118">
        <v>183.97942211190673</v>
      </c>
      <c r="L118">
        <v>57.982611946057645</v>
      </c>
      <c r="M118">
        <v>608.83299274057742</v>
      </c>
      <c r="N118">
        <v>49.817905640894601</v>
      </c>
      <c r="O118">
        <v>416.41967163058308</v>
      </c>
      <c r="P118">
        <v>38.758664134836749</v>
      </c>
      <c r="Q118">
        <v>313.9558039254307</v>
      </c>
      <c r="R118">
        <v>158.75452898301114</v>
      </c>
      <c r="S118">
        <v>307.75409126215953</v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 t="shared" si="56"/>
        <v/>
      </c>
      <c r="X118" t="str">
        <f t="shared" si="57"/>
        <v/>
      </c>
      <c r="Y118" t="str">
        <f t="shared" si="58"/>
        <v/>
      </c>
      <c r="Z118" t="str">
        <f t="shared" si="59"/>
        <v/>
      </c>
      <c r="AA118" t="str">
        <f t="shared" si="60"/>
        <v/>
      </c>
      <c r="AB118" t="str">
        <f t="shared" si="61"/>
        <v/>
      </c>
      <c r="AC118" t="str">
        <f t="shared" si="62"/>
        <v/>
      </c>
      <c r="AD118" t="str">
        <f t="shared" si="63"/>
        <v/>
      </c>
      <c r="AE118" t="str">
        <f t="shared" si="64"/>
        <v/>
      </c>
      <c r="AF118" t="str">
        <f t="shared" si="65"/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</row>
    <row r="119" spans="1:36" x14ac:dyDescent="0.25">
      <c r="A119" s="8">
        <v>40422</v>
      </c>
      <c r="B119" s="9">
        <f t="shared" si="35"/>
        <v>9</v>
      </c>
      <c r="C119">
        <v>18.350484989954232</v>
      </c>
      <c r="D119">
        <v>76.667217779325924</v>
      </c>
      <c r="E119">
        <v>127.04353770950901</v>
      </c>
      <c r="F119">
        <v>55.953429209970729</v>
      </c>
      <c r="G119">
        <v>80.500532618170652</v>
      </c>
      <c r="H119">
        <v>223.92480050907213</v>
      </c>
      <c r="I119">
        <v>104.92167645690763</v>
      </c>
      <c r="J119">
        <v>59.125072624432825</v>
      </c>
      <c r="K119">
        <v>199.06783177106087</v>
      </c>
      <c r="L119">
        <v>27.6260720603021</v>
      </c>
      <c r="M119">
        <v>552.45678265402864</v>
      </c>
      <c r="N119">
        <v>50.201901664696635</v>
      </c>
      <c r="O119">
        <v>466.72329604412403</v>
      </c>
      <c r="P119">
        <v>33.685435247856567</v>
      </c>
      <c r="Q119">
        <v>289.73413896586692</v>
      </c>
      <c r="R119">
        <v>106.86546264442045</v>
      </c>
      <c r="S119">
        <v>326.44044861760756</v>
      </c>
      <c r="T119">
        <f t="shared" si="53"/>
        <v>15.49857942802609</v>
      </c>
      <c r="U119">
        <f t="shared" si="54"/>
        <v>74.267568490290486</v>
      </c>
      <c r="V119">
        <f t="shared" si="55"/>
        <v>138.41533582970499</v>
      </c>
      <c r="W119">
        <f t="shared" si="56"/>
        <v>57.786508314757441</v>
      </c>
      <c r="X119">
        <f t="shared" si="57"/>
        <v>80.661535336525048</v>
      </c>
      <c r="Y119">
        <f t="shared" si="58"/>
        <v>255.6514959518305</v>
      </c>
      <c r="Z119">
        <f t="shared" si="59"/>
        <v>87.425121965522806</v>
      </c>
      <c r="AA119">
        <f t="shared" si="60"/>
        <v>83.605288911069309</v>
      </c>
      <c r="AB119">
        <f t="shared" si="61"/>
        <v>190.08879652735791</v>
      </c>
      <c r="AC119">
        <f t="shared" si="62"/>
        <v>36.711923719735175</v>
      </c>
      <c r="AD119">
        <f t="shared" si="63"/>
        <v>560.36505867201856</v>
      </c>
      <c r="AE119">
        <f t="shared" si="64"/>
        <v>51.600842519807344</v>
      </c>
      <c r="AF119">
        <f t="shared" si="65"/>
        <v>452.07759093532223</v>
      </c>
      <c r="AG119">
        <f t="shared" si="66"/>
        <v>36.992404127628895</v>
      </c>
      <c r="AH119">
        <f t="shared" si="67"/>
        <v>292.2100577540217</v>
      </c>
      <c r="AI119">
        <f t="shared" si="68"/>
        <v>142.9431431824012</v>
      </c>
      <c r="AJ119">
        <f t="shared" si="69"/>
        <v>314.57162988341253</v>
      </c>
    </row>
    <row r="120" spans="1:36" x14ac:dyDescent="0.25">
      <c r="A120" s="8">
        <v>40452</v>
      </c>
      <c r="B120" s="9">
        <f t="shared" si="35"/>
        <v>10</v>
      </c>
      <c r="C120">
        <v>19.743395064188178</v>
      </c>
      <c r="D120">
        <v>74.971357663866925</v>
      </c>
      <c r="E120">
        <v>144.50960186007825</v>
      </c>
      <c r="F120">
        <v>58.473651507184279</v>
      </c>
      <c r="G120">
        <v>93.355374074226646</v>
      </c>
      <c r="H120">
        <v>241.91715116936956</v>
      </c>
      <c r="I120">
        <v>94.351273603852533</v>
      </c>
      <c r="J120">
        <v>65.20437922128724</v>
      </c>
      <c r="K120">
        <v>212.09718148064462</v>
      </c>
      <c r="L120">
        <v>36.599427516679654</v>
      </c>
      <c r="M120">
        <v>601.39933186155758</v>
      </c>
      <c r="N120">
        <v>62.241593142009776</v>
      </c>
      <c r="O120">
        <v>514.91290969741272</v>
      </c>
      <c r="P120">
        <v>33.143117624343425</v>
      </c>
      <c r="Q120">
        <v>287.95772576791961</v>
      </c>
      <c r="R120">
        <v>124.68790935992138</v>
      </c>
      <c r="S120">
        <v>344.52425656929796</v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 t="shared" si="56"/>
        <v/>
      </c>
      <c r="X120" t="str">
        <f t="shared" si="57"/>
        <v/>
      </c>
      <c r="Y120" t="str">
        <f t="shared" si="58"/>
        <v/>
      </c>
      <c r="Z120" t="str">
        <f t="shared" si="59"/>
        <v/>
      </c>
      <c r="AA120" t="str">
        <f t="shared" si="60"/>
        <v/>
      </c>
      <c r="AB120" t="str">
        <f t="shared" si="61"/>
        <v/>
      </c>
      <c r="AC120" t="str">
        <f t="shared" si="62"/>
        <v/>
      </c>
      <c r="AD120" t="str">
        <f t="shared" si="63"/>
        <v/>
      </c>
      <c r="AE120" t="str">
        <f t="shared" si="64"/>
        <v/>
      </c>
      <c r="AF120" t="str">
        <f t="shared" si="65"/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</row>
    <row r="121" spans="1:36" x14ac:dyDescent="0.25">
      <c r="A121" s="8">
        <v>40483</v>
      </c>
      <c r="B121" s="9">
        <f t="shared" si="35"/>
        <v>11</v>
      </c>
      <c r="C121">
        <v>26.541273139479635</v>
      </c>
      <c r="D121">
        <v>84.73472837851142</v>
      </c>
      <c r="E121">
        <v>152.04463175910004</v>
      </c>
      <c r="F121">
        <v>67.51575469021833</v>
      </c>
      <c r="G121">
        <v>101.79952376323882</v>
      </c>
      <c r="H121">
        <v>245.52905970744732</v>
      </c>
      <c r="I121">
        <v>71.254660508623886</v>
      </c>
      <c r="J121">
        <v>83.384598159885329</v>
      </c>
      <c r="K121">
        <v>215.89558084792921</v>
      </c>
      <c r="L121">
        <v>42.300256346513386</v>
      </c>
      <c r="M121">
        <v>723.22920247397485</v>
      </c>
      <c r="N121">
        <v>55.973063361665936</v>
      </c>
      <c r="O121">
        <v>483.10135045931753</v>
      </c>
      <c r="P121">
        <v>28.321049532841975</v>
      </c>
      <c r="Q121">
        <v>219.97271702856472</v>
      </c>
      <c r="R121">
        <v>140.25744937732432</v>
      </c>
      <c r="S121">
        <v>315.93891800860655</v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 t="shared" si="56"/>
        <v/>
      </c>
      <c r="X121" t="str">
        <f t="shared" si="57"/>
        <v/>
      </c>
      <c r="Y121" t="str">
        <f t="shared" si="58"/>
        <v/>
      </c>
      <c r="Z121" t="str">
        <f t="shared" si="59"/>
        <v/>
      </c>
      <c r="AA121" t="str">
        <f t="shared" si="60"/>
        <v/>
      </c>
      <c r="AB121" t="str">
        <f t="shared" si="61"/>
        <v/>
      </c>
      <c r="AC121" t="str">
        <f t="shared" si="62"/>
        <v/>
      </c>
      <c r="AD121" t="str">
        <f t="shared" si="63"/>
        <v/>
      </c>
      <c r="AE121" t="str">
        <f t="shared" si="64"/>
        <v/>
      </c>
      <c r="AF121" t="str">
        <f t="shared" si="65"/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</row>
    <row r="122" spans="1:36" x14ac:dyDescent="0.25">
      <c r="A122" s="8">
        <v>40513</v>
      </c>
      <c r="B122" s="9">
        <f t="shared" si="35"/>
        <v>12</v>
      </c>
      <c r="C122">
        <v>23.504485985522464</v>
      </c>
      <c r="D122">
        <v>46.019194712476931</v>
      </c>
      <c r="E122">
        <v>135.26963582701424</v>
      </c>
      <c r="F122">
        <v>65.640414131826489</v>
      </c>
      <c r="G122">
        <v>77.066683230359104</v>
      </c>
      <c r="H122">
        <v>274.32717525129016</v>
      </c>
      <c r="I122">
        <v>103.27706925217892</v>
      </c>
      <c r="J122">
        <v>78.532528314636622</v>
      </c>
      <c r="K122">
        <v>183.00680694585677</v>
      </c>
      <c r="L122">
        <v>25.718946786897757</v>
      </c>
      <c r="M122">
        <v>592.32000877151188</v>
      </c>
      <c r="N122">
        <v>53.221539498766909</v>
      </c>
      <c r="O122">
        <v>494.24605628615694</v>
      </c>
      <c r="P122">
        <v>41.192310854941702</v>
      </c>
      <c r="Q122">
        <v>237.16353621233199</v>
      </c>
      <c r="R122">
        <v>120.17725917059535</v>
      </c>
      <c r="S122">
        <v>399.0874634108747</v>
      </c>
      <c r="T122">
        <f t="shared" si="53"/>
        <v>23.263051396396758</v>
      </c>
      <c r="U122">
        <f t="shared" si="54"/>
        <v>68.575093584951745</v>
      </c>
      <c r="V122">
        <f t="shared" si="55"/>
        <v>143.94128981539748</v>
      </c>
      <c r="W122">
        <f t="shared" si="56"/>
        <v>63.876606776409709</v>
      </c>
      <c r="X122">
        <f t="shared" si="57"/>
        <v>90.740527022608191</v>
      </c>
      <c r="Y122">
        <f t="shared" si="58"/>
        <v>253.92446204270232</v>
      </c>
      <c r="Z122">
        <f t="shared" si="59"/>
        <v>89.627667788218446</v>
      </c>
      <c r="AA122">
        <f t="shared" si="60"/>
        <v>75.70716856526974</v>
      </c>
      <c r="AB122">
        <f t="shared" si="61"/>
        <v>203.66652309147685</v>
      </c>
      <c r="AC122">
        <f t="shared" si="62"/>
        <v>34.872876883363602</v>
      </c>
      <c r="AD122">
        <f t="shared" si="63"/>
        <v>638.98284770234807</v>
      </c>
      <c r="AE122">
        <f t="shared" si="64"/>
        <v>57.145398667480869</v>
      </c>
      <c r="AF122">
        <f t="shared" si="65"/>
        <v>497.42010548096238</v>
      </c>
      <c r="AG122">
        <f t="shared" si="66"/>
        <v>34.21882600404237</v>
      </c>
      <c r="AH122">
        <f t="shared" si="67"/>
        <v>248.36465966960543</v>
      </c>
      <c r="AI122">
        <f t="shared" si="68"/>
        <v>128.37420596928033</v>
      </c>
      <c r="AJ122">
        <f t="shared" si="69"/>
        <v>353.18354599625974</v>
      </c>
    </row>
    <row r="123" spans="1:36" x14ac:dyDescent="0.25">
      <c r="A123" s="8">
        <v>40544</v>
      </c>
      <c r="B123" s="9">
        <f t="shared" si="35"/>
        <v>1</v>
      </c>
      <c r="C123">
        <v>31.063672499873633</v>
      </c>
      <c r="D123">
        <v>62.57530853111372</v>
      </c>
      <c r="E123">
        <v>139.05087031491271</v>
      </c>
      <c r="F123">
        <v>73.665296347180671</v>
      </c>
      <c r="G123">
        <v>111.13551115615415</v>
      </c>
      <c r="H123">
        <v>283.82384646420832</v>
      </c>
      <c r="I123">
        <v>100.20478878356478</v>
      </c>
      <c r="J123">
        <v>87.781604400886906</v>
      </c>
      <c r="K123">
        <v>182.76400005353108</v>
      </c>
      <c r="L123">
        <v>29.394961271290981</v>
      </c>
      <c r="M123">
        <v>468.51536347801704</v>
      </c>
      <c r="N123">
        <v>69.499443410636218</v>
      </c>
      <c r="O123">
        <v>448.43023268546631</v>
      </c>
      <c r="P123">
        <v>32.450058078024561</v>
      </c>
      <c r="Q123">
        <v>252.67987126003479</v>
      </c>
      <c r="R123">
        <v>144.10604692854824</v>
      </c>
      <c r="S123">
        <v>311.20182176993217</v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 t="shared" si="56"/>
        <v/>
      </c>
      <c r="X123" t="str">
        <f t="shared" si="57"/>
        <v/>
      </c>
      <c r="Y123" t="str">
        <f t="shared" si="58"/>
        <v/>
      </c>
      <c r="Z123" t="str">
        <f t="shared" si="59"/>
        <v/>
      </c>
      <c r="AA123" t="str">
        <f t="shared" si="60"/>
        <v/>
      </c>
      <c r="AB123" t="str">
        <f t="shared" si="61"/>
        <v/>
      </c>
      <c r="AC123" t="str">
        <f t="shared" si="62"/>
        <v/>
      </c>
      <c r="AD123" t="str">
        <f t="shared" si="63"/>
        <v/>
      </c>
      <c r="AE123" t="str">
        <f t="shared" si="64"/>
        <v/>
      </c>
      <c r="AF123" t="str">
        <f t="shared" si="65"/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</row>
    <row r="124" spans="1:36" x14ac:dyDescent="0.25">
      <c r="A124" s="8">
        <v>40575</v>
      </c>
      <c r="B124" s="9">
        <f t="shared" si="35"/>
        <v>2</v>
      </c>
      <c r="C124">
        <v>20.009517320160725</v>
      </c>
      <c r="D124">
        <v>47.082526254167618</v>
      </c>
      <c r="E124">
        <v>141.98871680953181</v>
      </c>
      <c r="F124">
        <v>78.093805230492805</v>
      </c>
      <c r="G124">
        <v>123.66503123255929</v>
      </c>
      <c r="H124">
        <v>251.87250724665085</v>
      </c>
      <c r="I124">
        <v>121.81064643417355</v>
      </c>
      <c r="J124">
        <v>70.609920872027971</v>
      </c>
      <c r="K124">
        <v>162.33063777877604</v>
      </c>
      <c r="L124">
        <v>34.186371638984077</v>
      </c>
      <c r="M124">
        <v>591.60578450928438</v>
      </c>
      <c r="N124">
        <v>66.087578463548212</v>
      </c>
      <c r="O124">
        <v>473.34641771258248</v>
      </c>
      <c r="P124">
        <v>48.484589646473061</v>
      </c>
      <c r="Q124">
        <v>330.16445945689588</v>
      </c>
      <c r="R124">
        <v>131.88164459887602</v>
      </c>
      <c r="S124">
        <v>303.94594218271584</v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 t="shared" si="56"/>
        <v/>
      </c>
      <c r="X124" t="str">
        <f t="shared" si="57"/>
        <v/>
      </c>
      <c r="Y124" t="str">
        <f t="shared" si="58"/>
        <v/>
      </c>
      <c r="Z124" t="str">
        <f t="shared" si="59"/>
        <v/>
      </c>
      <c r="AA124" t="str">
        <f t="shared" si="60"/>
        <v/>
      </c>
      <c r="AB124" t="str">
        <f t="shared" si="61"/>
        <v/>
      </c>
      <c r="AC124" t="str">
        <f t="shared" si="62"/>
        <v/>
      </c>
      <c r="AD124" t="str">
        <f t="shared" si="63"/>
        <v/>
      </c>
      <c r="AE124" t="str">
        <f t="shared" si="64"/>
        <v/>
      </c>
      <c r="AF124" t="str">
        <f t="shared" si="65"/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</row>
    <row r="125" spans="1:36" x14ac:dyDescent="0.25">
      <c r="A125" s="8">
        <v>40603</v>
      </c>
      <c r="B125" s="9">
        <f t="shared" si="35"/>
        <v>3</v>
      </c>
      <c r="C125">
        <v>31.358668664460023</v>
      </c>
      <c r="D125">
        <v>62.934315500277677</v>
      </c>
      <c r="E125">
        <v>157.94669985716845</v>
      </c>
      <c r="F125">
        <v>67.068000098859784</v>
      </c>
      <c r="G125">
        <v>109.16723919753875</v>
      </c>
      <c r="H125">
        <v>258.65508333417603</v>
      </c>
      <c r="I125">
        <v>130.23868512965711</v>
      </c>
      <c r="J125">
        <v>118.83625290923138</v>
      </c>
      <c r="K125">
        <v>171.0542579153867</v>
      </c>
      <c r="L125">
        <v>34.452424267681472</v>
      </c>
      <c r="M125">
        <v>604.30758445216952</v>
      </c>
      <c r="N125">
        <v>48.806072318768919</v>
      </c>
      <c r="O125">
        <v>518.74711863023583</v>
      </c>
      <c r="P125">
        <v>42.928202097564359</v>
      </c>
      <c r="Q125">
        <v>313.28544900315507</v>
      </c>
      <c r="R125">
        <v>118.44150942771556</v>
      </c>
      <c r="S125">
        <v>309.81784641364612</v>
      </c>
      <c r="T125">
        <f t="shared" si="53"/>
        <v>27.477286161498128</v>
      </c>
      <c r="U125">
        <f t="shared" si="54"/>
        <v>57.530716761853</v>
      </c>
      <c r="V125">
        <f t="shared" si="55"/>
        <v>146.32876232720434</v>
      </c>
      <c r="W125">
        <f t="shared" si="56"/>
        <v>72.942367225511092</v>
      </c>
      <c r="X125">
        <f t="shared" si="57"/>
        <v>114.65592719541739</v>
      </c>
      <c r="Y125">
        <f t="shared" si="58"/>
        <v>264.78381234834507</v>
      </c>
      <c r="Z125">
        <f t="shared" si="59"/>
        <v>117.41804011579848</v>
      </c>
      <c r="AA125">
        <f t="shared" si="60"/>
        <v>92.40925939404876</v>
      </c>
      <c r="AB125">
        <f t="shared" si="61"/>
        <v>172.04963191589795</v>
      </c>
      <c r="AC125">
        <f t="shared" si="62"/>
        <v>32.677919059318846</v>
      </c>
      <c r="AD125">
        <f t="shared" si="63"/>
        <v>554.80957747982359</v>
      </c>
      <c r="AE125">
        <f t="shared" si="64"/>
        <v>61.464364730984443</v>
      </c>
      <c r="AF125">
        <f t="shared" si="65"/>
        <v>480.17458967609491</v>
      </c>
      <c r="AG125">
        <f t="shared" si="66"/>
        <v>41.287616607353989</v>
      </c>
      <c r="AH125">
        <f t="shared" si="67"/>
        <v>298.70992657336188</v>
      </c>
      <c r="AI125">
        <f t="shared" si="68"/>
        <v>131.47640031837994</v>
      </c>
      <c r="AJ125">
        <f t="shared" si="69"/>
        <v>308.32187012209806</v>
      </c>
    </row>
    <row r="126" spans="1:36" x14ac:dyDescent="0.25">
      <c r="A126" s="8">
        <v>40634</v>
      </c>
      <c r="B126" s="9">
        <f t="shared" si="35"/>
        <v>4</v>
      </c>
      <c r="C126">
        <v>26.104827879550879</v>
      </c>
      <c r="D126">
        <v>91.939252736876796</v>
      </c>
      <c r="E126">
        <v>150.80807049863739</v>
      </c>
      <c r="F126">
        <v>70.512540650472303</v>
      </c>
      <c r="G126">
        <v>89.179305958072163</v>
      </c>
      <c r="H126">
        <v>320.73113250751055</v>
      </c>
      <c r="I126">
        <v>113.67005023209721</v>
      </c>
      <c r="J126">
        <v>99.876640836416925</v>
      </c>
      <c r="K126">
        <v>156.21200633176718</v>
      </c>
      <c r="L126">
        <v>53.683310912084643</v>
      </c>
      <c r="M126">
        <v>546.53967815380406</v>
      </c>
      <c r="N126">
        <v>59.317026238456272</v>
      </c>
      <c r="O126">
        <v>459.35376586993976</v>
      </c>
      <c r="P126">
        <v>30.916174793611173</v>
      </c>
      <c r="Q126">
        <v>271.01925380863264</v>
      </c>
      <c r="R126">
        <v>102.85384780530124</v>
      </c>
      <c r="S126">
        <v>314.61762746160645</v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 t="shared" si="56"/>
        <v/>
      </c>
      <c r="X126" t="str">
        <f t="shared" si="57"/>
        <v/>
      </c>
      <c r="Y126" t="str">
        <f t="shared" si="58"/>
        <v/>
      </c>
      <c r="Z126" t="str">
        <f t="shared" si="59"/>
        <v/>
      </c>
      <c r="AA126" t="str">
        <f t="shared" si="60"/>
        <v/>
      </c>
      <c r="AB126" t="str">
        <f t="shared" si="61"/>
        <v/>
      </c>
      <c r="AC126" t="str">
        <f t="shared" si="62"/>
        <v/>
      </c>
      <c r="AD126" t="str">
        <f t="shared" si="63"/>
        <v/>
      </c>
      <c r="AE126" t="str">
        <f t="shared" si="64"/>
        <v/>
      </c>
      <c r="AF126" t="str">
        <f t="shared" si="65"/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</row>
    <row r="127" spans="1:36" x14ac:dyDescent="0.25">
      <c r="A127" s="8">
        <v>40664</v>
      </c>
      <c r="B127" s="9">
        <f t="shared" si="35"/>
        <v>5</v>
      </c>
      <c r="C127">
        <v>20.905977463145881</v>
      </c>
      <c r="D127">
        <v>86.670708423053426</v>
      </c>
      <c r="E127">
        <v>139.75177243015682</v>
      </c>
      <c r="F127">
        <v>69.544403496916388</v>
      </c>
      <c r="G127">
        <v>84.652154366408126</v>
      </c>
      <c r="H127">
        <v>285.61612412376383</v>
      </c>
      <c r="I127">
        <v>116.46799889488966</v>
      </c>
      <c r="J127">
        <v>105.79643464810832</v>
      </c>
      <c r="K127">
        <v>157.13061096643295</v>
      </c>
      <c r="L127">
        <v>42.179852948522729</v>
      </c>
      <c r="M127">
        <v>535.30200883678424</v>
      </c>
      <c r="N127">
        <v>46.986827380476591</v>
      </c>
      <c r="O127">
        <v>509.56163650708578</v>
      </c>
      <c r="P127">
        <v>33.691758234793184</v>
      </c>
      <c r="Q127">
        <v>262.88054452733689</v>
      </c>
      <c r="R127">
        <v>105.72690682458708</v>
      </c>
      <c r="S127">
        <v>291.90018840110639</v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 t="shared" si="56"/>
        <v/>
      </c>
      <c r="X127" t="str">
        <f t="shared" si="57"/>
        <v/>
      </c>
      <c r="Y127" t="str">
        <f t="shared" si="58"/>
        <v/>
      </c>
      <c r="Z127" t="str">
        <f t="shared" si="59"/>
        <v/>
      </c>
      <c r="AA127" t="str">
        <f t="shared" si="60"/>
        <v/>
      </c>
      <c r="AB127" t="str">
        <f t="shared" si="61"/>
        <v/>
      </c>
      <c r="AC127" t="str">
        <f t="shared" si="62"/>
        <v/>
      </c>
      <c r="AD127" t="str">
        <f t="shared" si="63"/>
        <v/>
      </c>
      <c r="AE127" t="str">
        <f t="shared" si="64"/>
        <v/>
      </c>
      <c r="AF127" t="str">
        <f t="shared" si="65"/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</row>
    <row r="128" spans="1:36" x14ac:dyDescent="0.25">
      <c r="A128" s="8">
        <v>40695</v>
      </c>
      <c r="B128" s="9">
        <f t="shared" si="35"/>
        <v>6</v>
      </c>
      <c r="C128">
        <v>20.051224699577229</v>
      </c>
      <c r="D128">
        <v>59.577326035542036</v>
      </c>
      <c r="E128">
        <v>149.62626815407361</v>
      </c>
      <c r="F128">
        <v>59.49122449653283</v>
      </c>
      <c r="G128">
        <v>86.349844495139124</v>
      </c>
      <c r="H128">
        <v>362.89076707058251</v>
      </c>
      <c r="I128">
        <v>99.411373647834964</v>
      </c>
      <c r="J128">
        <v>103.58421054720161</v>
      </c>
      <c r="K128">
        <v>185.90834419842761</v>
      </c>
      <c r="L128">
        <v>41.784624032495884</v>
      </c>
      <c r="M128">
        <v>620.05776241533272</v>
      </c>
      <c r="N128">
        <v>61.569153530498454</v>
      </c>
      <c r="O128">
        <v>525.236536368722</v>
      </c>
      <c r="P128">
        <v>48.901251473840141</v>
      </c>
      <c r="Q128">
        <v>321.96155159314878</v>
      </c>
      <c r="R128">
        <v>130.94055522261976</v>
      </c>
      <c r="S128">
        <v>345.84398637119205</v>
      </c>
      <c r="T128">
        <f t="shared" si="53"/>
        <v>22.35401001409133</v>
      </c>
      <c r="U128">
        <f t="shared" si="54"/>
        <v>79.395762398490746</v>
      </c>
      <c r="V128">
        <f t="shared" si="55"/>
        <v>146.72870369428927</v>
      </c>
      <c r="W128">
        <f t="shared" si="56"/>
        <v>66.5160562146405</v>
      </c>
      <c r="X128">
        <f t="shared" si="57"/>
        <v>86.727101606539804</v>
      </c>
      <c r="Y128">
        <f t="shared" si="58"/>
        <v>323.07934123395233</v>
      </c>
      <c r="Z128">
        <f t="shared" si="59"/>
        <v>109.84980759160727</v>
      </c>
      <c r="AA128">
        <f t="shared" si="60"/>
        <v>103.08576201057561</v>
      </c>
      <c r="AB128">
        <f t="shared" si="61"/>
        <v>166.41698716554257</v>
      </c>
      <c r="AC128">
        <f t="shared" si="62"/>
        <v>45.882595964367759</v>
      </c>
      <c r="AD128">
        <f t="shared" si="63"/>
        <v>567.2998164686403</v>
      </c>
      <c r="AE128">
        <f t="shared" si="64"/>
        <v>55.957669049810441</v>
      </c>
      <c r="AF128">
        <f t="shared" si="65"/>
        <v>498.0506462485825</v>
      </c>
      <c r="AG128">
        <f t="shared" si="66"/>
        <v>37.836394834081496</v>
      </c>
      <c r="AH128">
        <f t="shared" si="67"/>
        <v>285.28711664303944</v>
      </c>
      <c r="AI128">
        <f t="shared" si="68"/>
        <v>113.17376995083602</v>
      </c>
      <c r="AJ128">
        <f t="shared" si="69"/>
        <v>317.45393407796831</v>
      </c>
    </row>
    <row r="129" spans="1:36" x14ac:dyDescent="0.25">
      <c r="A129" s="8">
        <v>40725</v>
      </c>
      <c r="B129" s="9">
        <f t="shared" si="35"/>
        <v>7</v>
      </c>
      <c r="C129">
        <v>29.240581514512044</v>
      </c>
      <c r="D129">
        <v>70.664721603894776</v>
      </c>
      <c r="E129">
        <v>160.54377150884108</v>
      </c>
      <c r="F129">
        <v>71.218147803271407</v>
      </c>
      <c r="G129">
        <v>110.86225574126374</v>
      </c>
      <c r="H129">
        <v>364.42968561338216</v>
      </c>
      <c r="I129">
        <v>115.21302028348303</v>
      </c>
      <c r="J129">
        <v>99.894810188163817</v>
      </c>
      <c r="K129">
        <v>158.85259998712047</v>
      </c>
      <c r="L129">
        <v>48.178206907375639</v>
      </c>
      <c r="M129">
        <v>675.46400516326298</v>
      </c>
      <c r="N129">
        <v>71.046340329186805</v>
      </c>
      <c r="O129">
        <v>535.66280540914181</v>
      </c>
      <c r="P129">
        <v>63.908577658857304</v>
      </c>
      <c r="Q129">
        <v>266.81657135603882</v>
      </c>
      <c r="R129">
        <v>123.75221116993703</v>
      </c>
      <c r="S129">
        <v>302.93481041365203</v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 t="shared" si="56"/>
        <v/>
      </c>
      <c r="X129" t="str">
        <f t="shared" si="57"/>
        <v/>
      </c>
      <c r="Y129" t="str">
        <f t="shared" si="58"/>
        <v/>
      </c>
      <c r="Z129" t="str">
        <f t="shared" si="59"/>
        <v/>
      </c>
      <c r="AA129" t="str">
        <f t="shared" si="60"/>
        <v/>
      </c>
      <c r="AB129" t="str">
        <f t="shared" si="61"/>
        <v/>
      </c>
      <c r="AC129" t="str">
        <f t="shared" si="62"/>
        <v/>
      </c>
      <c r="AD129" t="str">
        <f t="shared" si="63"/>
        <v/>
      </c>
      <c r="AE129" t="str">
        <f t="shared" si="64"/>
        <v/>
      </c>
      <c r="AF129" t="str">
        <f t="shared" si="65"/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</row>
    <row r="130" spans="1:36" x14ac:dyDescent="0.25">
      <c r="A130" s="8">
        <v>40756</v>
      </c>
      <c r="B130" s="9">
        <f t="shared" si="35"/>
        <v>8</v>
      </c>
      <c r="C130">
        <v>18.569201565402583</v>
      </c>
      <c r="D130">
        <v>100.79375656732229</v>
      </c>
      <c r="E130">
        <v>163.59125572321079</v>
      </c>
      <c r="F130">
        <v>72.210838840567661</v>
      </c>
      <c r="G130">
        <v>71.930836722095975</v>
      </c>
      <c r="H130">
        <v>327.52974094511626</v>
      </c>
      <c r="I130">
        <v>96.849999479576297</v>
      </c>
      <c r="J130">
        <v>103.6915859276709</v>
      </c>
      <c r="K130">
        <v>141.92698277204232</v>
      </c>
      <c r="L130">
        <v>47.172294464589271</v>
      </c>
      <c r="M130">
        <v>608.83299274057742</v>
      </c>
      <c r="N130">
        <v>64.578766571530039</v>
      </c>
      <c r="O130">
        <v>541.74986406308869</v>
      </c>
      <c r="P130">
        <v>43.372790817555412</v>
      </c>
      <c r="Q130">
        <v>341.97032181416148</v>
      </c>
      <c r="R130">
        <v>93.096791687568256</v>
      </c>
      <c r="S130">
        <v>334.59868489250368</v>
      </c>
      <c r="T130" t="str">
        <f t="shared" si="53"/>
        <v/>
      </c>
      <c r="U130" t="str">
        <f t="shared" si="54"/>
        <v/>
      </c>
      <c r="V130" t="str">
        <f t="shared" si="55"/>
        <v/>
      </c>
      <c r="W130" t="str">
        <f t="shared" si="56"/>
        <v/>
      </c>
      <c r="X130" t="str">
        <f t="shared" si="57"/>
        <v/>
      </c>
      <c r="Y130" t="str">
        <f t="shared" si="58"/>
        <v/>
      </c>
      <c r="Z130" t="str">
        <f t="shared" si="59"/>
        <v/>
      </c>
      <c r="AA130" t="str">
        <f t="shared" si="60"/>
        <v/>
      </c>
      <c r="AB130" t="str">
        <f t="shared" si="61"/>
        <v/>
      </c>
      <c r="AC130" t="str">
        <f t="shared" si="62"/>
        <v/>
      </c>
      <c r="AD130" t="str">
        <f t="shared" si="63"/>
        <v/>
      </c>
      <c r="AE130" t="str">
        <f t="shared" si="64"/>
        <v/>
      </c>
      <c r="AF130" t="str">
        <f t="shared" si="65"/>
        <v/>
      </c>
      <c r="AG130" t="str">
        <f t="shared" si="66"/>
        <v/>
      </c>
      <c r="AH130" t="str">
        <f t="shared" si="67"/>
        <v/>
      </c>
      <c r="AI130" t="str">
        <f t="shared" si="68"/>
        <v/>
      </c>
      <c r="AJ130" t="str">
        <f t="shared" si="69"/>
        <v/>
      </c>
    </row>
    <row r="131" spans="1:36" x14ac:dyDescent="0.25">
      <c r="A131" s="8">
        <v>40787</v>
      </c>
      <c r="B131" s="9">
        <f t="shared" si="35"/>
        <v>9</v>
      </c>
      <c r="C131">
        <v>22.213744987839334</v>
      </c>
      <c r="D131">
        <v>80.500578668292221</v>
      </c>
      <c r="E131">
        <v>167.42171636136845</v>
      </c>
      <c r="F131">
        <v>72.075603728097889</v>
      </c>
      <c r="G131">
        <v>136.23167058459649</v>
      </c>
      <c r="H131">
        <v>335.46786593119418</v>
      </c>
      <c r="I131">
        <v>102.00718544421575</v>
      </c>
      <c r="J131">
        <v>131.0605776508261</v>
      </c>
      <c r="K131">
        <v>147.76168956202457</v>
      </c>
      <c r="L131">
        <v>35.063860691921896</v>
      </c>
      <c r="M131">
        <v>699.10894677673446</v>
      </c>
      <c r="N131">
        <v>72.912285751107021</v>
      </c>
      <c r="O131">
        <v>511.02594886950448</v>
      </c>
      <c r="P131">
        <v>56.844171980757956</v>
      </c>
      <c r="Q131">
        <v>358.08691118668764</v>
      </c>
      <c r="R131">
        <v>127.81947492764014</v>
      </c>
      <c r="S131">
        <v>409.89933353926125</v>
      </c>
      <c r="T131">
        <f t="shared" si="53"/>
        <v>23.341176022584651</v>
      </c>
      <c r="U131">
        <f t="shared" si="54"/>
        <v>83.986352279836424</v>
      </c>
      <c r="V131">
        <f t="shared" si="55"/>
        <v>163.85224786447344</v>
      </c>
      <c r="W131">
        <f t="shared" si="56"/>
        <v>71.834863457312323</v>
      </c>
      <c r="X131">
        <f t="shared" si="57"/>
        <v>106.34158768265206</v>
      </c>
      <c r="Y131">
        <f t="shared" si="58"/>
        <v>342.47576416323091</v>
      </c>
      <c r="Z131">
        <f t="shared" si="59"/>
        <v>104.69006840242503</v>
      </c>
      <c r="AA131">
        <f t="shared" si="60"/>
        <v>111.54899125555362</v>
      </c>
      <c r="AB131">
        <f t="shared" si="61"/>
        <v>149.51375744039578</v>
      </c>
      <c r="AC131">
        <f t="shared" si="62"/>
        <v>43.471454021295607</v>
      </c>
      <c r="AD131">
        <f t="shared" si="63"/>
        <v>661.13531489352488</v>
      </c>
      <c r="AE131">
        <f t="shared" si="64"/>
        <v>69.512464217274626</v>
      </c>
      <c r="AF131">
        <f t="shared" si="65"/>
        <v>529.47953944724497</v>
      </c>
      <c r="AG131">
        <f t="shared" si="66"/>
        <v>54.708513485723557</v>
      </c>
      <c r="AH131">
        <f t="shared" si="67"/>
        <v>322.29126811896265</v>
      </c>
      <c r="AI131">
        <f t="shared" si="68"/>
        <v>114.88949259504848</v>
      </c>
      <c r="AJ131">
        <f t="shared" si="69"/>
        <v>349.14427628180562</v>
      </c>
    </row>
    <row r="132" spans="1:36" x14ac:dyDescent="0.25">
      <c r="A132" s="8">
        <v>40817</v>
      </c>
      <c r="B132" s="9">
        <f t="shared" ref="B132:B154" si="70">IF(B131=12,1,B131+1)</f>
        <v>10</v>
      </c>
      <c r="C132">
        <v>24.679243830235219</v>
      </c>
      <c r="D132">
        <v>74.971357663866925</v>
      </c>
      <c r="E132">
        <v>156.55206868175142</v>
      </c>
      <c r="F132">
        <v>69.018080467496191</v>
      </c>
      <c r="G132">
        <v>166.08572364368229</v>
      </c>
      <c r="H132">
        <v>299.01560920934497</v>
      </c>
      <c r="I132">
        <v>103.25233715138579</v>
      </c>
      <c r="J132">
        <v>104.3270067540596</v>
      </c>
      <c r="K132">
        <v>159.30443325183788</v>
      </c>
      <c r="L132">
        <v>54.452806793108749</v>
      </c>
      <c r="M132">
        <v>596.75890491818132</v>
      </c>
      <c r="N132">
        <v>61.312614139890229</v>
      </c>
      <c r="O132">
        <v>532.8640019620932</v>
      </c>
      <c r="P132">
        <v>56.242866271613082</v>
      </c>
      <c r="Q132">
        <v>363.11957283276644</v>
      </c>
      <c r="R132">
        <v>113.60453963903947</v>
      </c>
      <c r="S132">
        <v>358.62758870956162</v>
      </c>
      <c r="T132" t="str">
        <f t="shared" si="53"/>
        <v/>
      </c>
      <c r="U132" t="str">
        <f t="shared" si="54"/>
        <v/>
      </c>
      <c r="V132" t="str">
        <f t="shared" si="55"/>
        <v/>
      </c>
      <c r="W132" t="str">
        <f t="shared" si="56"/>
        <v/>
      </c>
      <c r="X132" t="str">
        <f t="shared" si="57"/>
        <v/>
      </c>
      <c r="Y132" t="str">
        <f t="shared" si="58"/>
        <v/>
      </c>
      <c r="Z132" t="str">
        <f t="shared" si="59"/>
        <v/>
      </c>
      <c r="AA132" t="str">
        <f t="shared" si="60"/>
        <v/>
      </c>
      <c r="AB132" t="str">
        <f t="shared" si="61"/>
        <v/>
      </c>
      <c r="AC132" t="str">
        <f t="shared" si="62"/>
        <v/>
      </c>
      <c r="AD132" t="str">
        <f t="shared" si="63"/>
        <v/>
      </c>
      <c r="AE132" t="str">
        <f t="shared" si="64"/>
        <v/>
      </c>
      <c r="AF132" t="str">
        <f t="shared" si="65"/>
        <v/>
      </c>
      <c r="AG132" t="str">
        <f t="shared" si="66"/>
        <v/>
      </c>
      <c r="AH132" t="str">
        <f t="shared" si="67"/>
        <v/>
      </c>
      <c r="AI132" t="str">
        <f t="shared" si="68"/>
        <v/>
      </c>
      <c r="AJ132" t="str">
        <f t="shared" si="69"/>
        <v/>
      </c>
    </row>
    <row r="133" spans="1:36" x14ac:dyDescent="0.25">
      <c r="A133" s="8">
        <v>40848</v>
      </c>
      <c r="B133" s="9">
        <f t="shared" si="70"/>
        <v>11</v>
      </c>
      <c r="C133">
        <v>30.964818662726238</v>
      </c>
      <c r="D133">
        <v>79.43880785485446</v>
      </c>
      <c r="E133">
        <v>158.8526003453284</v>
      </c>
      <c r="F133">
        <v>72.253702387777508</v>
      </c>
      <c r="G133">
        <v>147.60930945669628</v>
      </c>
      <c r="H133">
        <v>299.61035039190705</v>
      </c>
      <c r="I133">
        <v>117.72509127511772</v>
      </c>
      <c r="J133">
        <v>108.291685921929</v>
      </c>
      <c r="K133">
        <v>135.64120262697122</v>
      </c>
      <c r="L133">
        <v>41.091677593755861</v>
      </c>
      <c r="M133">
        <v>506.59372707854459</v>
      </c>
      <c r="N133">
        <v>61.684600439386955</v>
      </c>
      <c r="O133">
        <v>545.3677467407407</v>
      </c>
      <c r="P133">
        <v>56.642099065683951</v>
      </c>
      <c r="Q133">
        <v>345.33351275452094</v>
      </c>
      <c r="R133">
        <v>108.82043486171713</v>
      </c>
      <c r="S133">
        <v>308.25984708478626</v>
      </c>
      <c r="T133" t="str">
        <f t="shared" ref="T133:T154" si="71">IF( OR($B133=3,$B133=6,$B133=9,$B133=12),AVERAGE(C131:C133),"" )</f>
        <v/>
      </c>
      <c r="U133" t="str">
        <f t="shared" ref="U133:U154" si="72">IF( OR($B133=3,$B133=6,$B133=9,$B133=12),AVERAGE(D131:D133),"" )</f>
        <v/>
      </c>
      <c r="V133" t="str">
        <f t="shared" ref="V133:V154" si="73">IF( OR($B133=3,$B133=6,$B133=9,$B133=12),AVERAGE(E131:E133),"" )</f>
        <v/>
      </c>
      <c r="W133" t="str">
        <f t="shared" ref="W133:W154" si="74">IF( OR($B133=3,$B133=6,$B133=9,$B133=12),AVERAGE(F131:F133),"" )</f>
        <v/>
      </c>
      <c r="X133" t="str">
        <f t="shared" ref="X133:X154" si="75">IF( OR($B133=3,$B133=6,$B133=9,$B133=12),AVERAGE(G131:G133),"" )</f>
        <v/>
      </c>
      <c r="Y133" t="str">
        <f t="shared" ref="Y133:Y154" si="76">IF( OR($B133=3,$B133=6,$B133=9,$B133=12),AVERAGE(H131:H133),"" )</f>
        <v/>
      </c>
      <c r="Z133" t="str">
        <f t="shared" ref="Z133:Z154" si="77">IF( OR($B133=3,$B133=6,$B133=9,$B133=12),AVERAGE(I131:I133),"" )</f>
        <v/>
      </c>
      <c r="AA133" t="str">
        <f t="shared" ref="AA133:AA154" si="78">IF( OR($B133=3,$B133=6,$B133=9,$B133=12),AVERAGE(J131:J133),"" )</f>
        <v/>
      </c>
      <c r="AB133" t="str">
        <f t="shared" ref="AB133:AB154" si="79">IF( OR($B133=3,$B133=6,$B133=9,$B133=12),AVERAGE(K131:K133),"" )</f>
        <v/>
      </c>
      <c r="AC133" t="str">
        <f t="shared" ref="AC133:AC154" si="80">IF( OR($B133=3,$B133=6,$B133=9,$B133=12),AVERAGE(L131:L133),"" )</f>
        <v/>
      </c>
      <c r="AD133" t="str">
        <f t="shared" ref="AD133:AD154" si="81">IF( OR($B133=3,$B133=6,$B133=9,$B133=12),AVERAGE(M131:M133),"" )</f>
        <v/>
      </c>
      <c r="AE133" t="str">
        <f t="shared" ref="AE133:AE154" si="82">IF( OR($B133=3,$B133=6,$B133=9,$B133=12),AVERAGE(N131:N133),"" )</f>
        <v/>
      </c>
      <c r="AF133" t="str">
        <f t="shared" ref="AF133:AF154" si="83">IF( OR($B133=3,$B133=6,$B133=9,$B133=12),AVERAGE(O131:O133),"" )</f>
        <v/>
      </c>
      <c r="AG133" t="str">
        <f t="shared" ref="AG133:AG154" si="84">IF( OR($B133=3,$B133=6,$B133=9,$B133=12),AVERAGE(P131:P133),"" )</f>
        <v/>
      </c>
      <c r="AH133" t="str">
        <f t="shared" ref="AH133:AH154" si="85">IF( OR($B133=3,$B133=6,$B133=9,$B133=12),AVERAGE(Q131:Q133),"" )</f>
        <v/>
      </c>
      <c r="AI133" t="str">
        <f t="shared" ref="AI133:AI154" si="86">IF( OR($B133=3,$B133=6,$B133=9,$B133=12),AVERAGE(R131:R133),"" )</f>
        <v/>
      </c>
      <c r="AJ133" t="str">
        <f t="shared" ref="AJ133:AJ154" si="87">IF( OR($B133=3,$B133=6,$B133=9,$B133=12),AVERAGE(S131:S133),"" )</f>
        <v/>
      </c>
    </row>
    <row r="134" spans="1:36" x14ac:dyDescent="0.25">
      <c r="A134" s="8">
        <v>40878</v>
      </c>
      <c r="B134" s="9">
        <f t="shared" si="70"/>
        <v>12</v>
      </c>
      <c r="C134">
        <v>37.393500431513012</v>
      </c>
      <c r="D134">
        <v>64.714492564420681</v>
      </c>
      <c r="E134">
        <v>193.57551333865831</v>
      </c>
      <c r="F134">
        <v>74.85310383453897</v>
      </c>
      <c r="G134">
        <v>119.00002557628979</v>
      </c>
      <c r="H134">
        <v>346.23818235599725</v>
      </c>
      <c r="I134">
        <v>129.09633656522365</v>
      </c>
      <c r="J134">
        <v>115.55500594867961</v>
      </c>
      <c r="K134">
        <v>168.32107552427567</v>
      </c>
      <c r="L134">
        <v>22.211817679593516</v>
      </c>
      <c r="M134">
        <v>608.74292953227473</v>
      </c>
      <c r="N134">
        <v>50.956793137117252</v>
      </c>
      <c r="O134">
        <v>556.42885729395982</v>
      </c>
      <c r="P134">
        <v>38.023671558407727</v>
      </c>
      <c r="Q134">
        <v>365.83736968923552</v>
      </c>
      <c r="R134">
        <v>122.53367601707761</v>
      </c>
      <c r="S134">
        <v>367.37914440014765</v>
      </c>
      <c r="T134">
        <f t="shared" si="71"/>
        <v>31.01252097482482</v>
      </c>
      <c r="U134">
        <f t="shared" si="72"/>
        <v>73.041552694380684</v>
      </c>
      <c r="V134">
        <f t="shared" si="73"/>
        <v>169.66006078857939</v>
      </c>
      <c r="W134">
        <f t="shared" si="74"/>
        <v>72.041628896604223</v>
      </c>
      <c r="X134">
        <f t="shared" si="75"/>
        <v>144.2316862255561</v>
      </c>
      <c r="Y134">
        <f t="shared" si="76"/>
        <v>314.95471398574978</v>
      </c>
      <c r="Z134">
        <f t="shared" si="77"/>
        <v>116.69125499724238</v>
      </c>
      <c r="AA134">
        <f t="shared" si="78"/>
        <v>109.3912328748894</v>
      </c>
      <c r="AB134">
        <f t="shared" si="79"/>
        <v>154.42223713436158</v>
      </c>
      <c r="AC134">
        <f t="shared" si="80"/>
        <v>39.252100688819375</v>
      </c>
      <c r="AD134">
        <f t="shared" si="81"/>
        <v>570.69852050966688</v>
      </c>
      <c r="AE134">
        <f t="shared" si="82"/>
        <v>57.984669238798148</v>
      </c>
      <c r="AF134">
        <f t="shared" si="83"/>
        <v>544.88686866559794</v>
      </c>
      <c r="AG134">
        <f t="shared" si="84"/>
        <v>50.302878965234925</v>
      </c>
      <c r="AH134">
        <f t="shared" si="85"/>
        <v>358.09681842550771</v>
      </c>
      <c r="AI134">
        <f t="shared" si="86"/>
        <v>114.98621683927807</v>
      </c>
      <c r="AJ134">
        <f t="shared" si="87"/>
        <v>344.75552673149849</v>
      </c>
    </row>
    <row r="135" spans="1:36" x14ac:dyDescent="0.25">
      <c r="A135" s="8">
        <v>40909</v>
      </c>
      <c r="B135" s="9">
        <f t="shared" si="70"/>
        <v>1</v>
      </c>
      <c r="C135">
        <v>23.895132692210488</v>
      </c>
      <c r="D135">
        <v>75.911030021351067</v>
      </c>
      <c r="E135">
        <v>182.0666071749217</v>
      </c>
      <c r="F135">
        <v>63.97249419623585</v>
      </c>
      <c r="G135">
        <v>145.53459794258282</v>
      </c>
      <c r="H135">
        <v>329.73652750988907</v>
      </c>
      <c r="I135">
        <v>111.11818162137877</v>
      </c>
      <c r="J135">
        <v>63.911168116435206</v>
      </c>
      <c r="K135">
        <v>135.32313195452937</v>
      </c>
      <c r="L135">
        <v>61.173297780794741</v>
      </c>
      <c r="M135">
        <v>679.51952533852102</v>
      </c>
      <c r="N135">
        <v>53.383630445851004</v>
      </c>
      <c r="O135">
        <v>580.48330734130911</v>
      </c>
      <c r="P135">
        <v>64.900116156049123</v>
      </c>
      <c r="Q135">
        <v>339.01216060721333</v>
      </c>
      <c r="R135">
        <v>117.08616312944544</v>
      </c>
      <c r="S135">
        <v>341.89860010778261</v>
      </c>
      <c r="T135" t="str">
        <f t="shared" si="71"/>
        <v/>
      </c>
      <c r="U135" t="str">
        <f t="shared" si="72"/>
        <v/>
      </c>
      <c r="V135" t="str">
        <f t="shared" si="73"/>
        <v/>
      </c>
      <c r="W135" t="str">
        <f t="shared" si="74"/>
        <v/>
      </c>
      <c r="X135" t="str">
        <f t="shared" si="75"/>
        <v/>
      </c>
      <c r="Y135" t="str">
        <f t="shared" si="76"/>
        <v/>
      </c>
      <c r="Z135" t="str">
        <f t="shared" si="77"/>
        <v/>
      </c>
      <c r="AA135" t="str">
        <f t="shared" si="78"/>
        <v/>
      </c>
      <c r="AB135" t="str">
        <f t="shared" si="79"/>
        <v/>
      </c>
      <c r="AC135" t="str">
        <f t="shared" si="80"/>
        <v/>
      </c>
      <c r="AD135" t="str">
        <f t="shared" si="81"/>
        <v/>
      </c>
      <c r="AE135" t="str">
        <f t="shared" si="82"/>
        <v/>
      </c>
      <c r="AF135" t="str">
        <f t="shared" si="83"/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</row>
    <row r="136" spans="1:36" x14ac:dyDescent="0.25">
      <c r="A136" s="8">
        <v>40940</v>
      </c>
      <c r="B136" s="9">
        <f t="shared" si="70"/>
        <v>2</v>
      </c>
      <c r="C136">
        <v>22.010469052176795</v>
      </c>
      <c r="D136">
        <v>69.054371839445835</v>
      </c>
      <c r="E136">
        <v>177.48589601191478</v>
      </c>
      <c r="F136">
        <v>81.176455436959628</v>
      </c>
      <c r="G136">
        <v>107.83590723479169</v>
      </c>
      <c r="H136">
        <v>353.33773528440116</v>
      </c>
      <c r="I136">
        <v>129.29024753100876</v>
      </c>
      <c r="J136">
        <v>96.68127627093061</v>
      </c>
      <c r="K136">
        <v>132.22959236284404</v>
      </c>
      <c r="L136">
        <v>49.142909231039617</v>
      </c>
      <c r="M136">
        <v>652.80638290679656</v>
      </c>
      <c r="N136">
        <v>60.757935039068521</v>
      </c>
      <c r="O136">
        <v>592.19977587185542</v>
      </c>
      <c r="P136">
        <v>49.474071067829655</v>
      </c>
      <c r="Q136">
        <v>364.35624813851615</v>
      </c>
      <c r="R136">
        <v>152.98270773469619</v>
      </c>
      <c r="S136">
        <v>404.21676846979739</v>
      </c>
      <c r="T136" t="str">
        <f t="shared" si="71"/>
        <v/>
      </c>
      <c r="U136" t="str">
        <f t="shared" si="72"/>
        <v/>
      </c>
      <c r="V136" t="str">
        <f t="shared" si="73"/>
        <v/>
      </c>
      <c r="W136" t="str">
        <f t="shared" si="74"/>
        <v/>
      </c>
      <c r="X136" t="str">
        <f t="shared" si="75"/>
        <v/>
      </c>
      <c r="Y136" t="str">
        <f t="shared" si="76"/>
        <v/>
      </c>
      <c r="Z136" t="str">
        <f t="shared" si="77"/>
        <v/>
      </c>
      <c r="AA136" t="str">
        <f t="shared" si="78"/>
        <v/>
      </c>
      <c r="AB136" t="str">
        <f t="shared" si="79"/>
        <v/>
      </c>
      <c r="AC136" t="str">
        <f t="shared" si="80"/>
        <v/>
      </c>
      <c r="AD136" t="str">
        <f t="shared" si="81"/>
        <v/>
      </c>
      <c r="AE136" t="str">
        <f t="shared" si="82"/>
        <v/>
      </c>
      <c r="AF136" t="str">
        <f t="shared" si="83"/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</row>
    <row r="137" spans="1:36" x14ac:dyDescent="0.25">
      <c r="A137" s="8">
        <v>40969</v>
      </c>
      <c r="B137" s="9">
        <f t="shared" si="70"/>
        <v>3</v>
      </c>
      <c r="C137">
        <v>13.303677615225464</v>
      </c>
      <c r="D137">
        <v>91.01270241578618</v>
      </c>
      <c r="E137">
        <v>206.54568442860489</v>
      </c>
      <c r="F137">
        <v>119.12077629498977</v>
      </c>
      <c r="G137">
        <v>112.93162675607456</v>
      </c>
      <c r="H137">
        <v>392.61986753115963</v>
      </c>
      <c r="I137">
        <v>125.02913772447081</v>
      </c>
      <c r="J137">
        <v>111.13390318363305</v>
      </c>
      <c r="K137">
        <v>190.17208674122404</v>
      </c>
      <c r="L137">
        <v>50.011583614376335</v>
      </c>
      <c r="M137">
        <v>805.03541127371614</v>
      </c>
      <c r="N137">
        <v>65.420905448562593</v>
      </c>
      <c r="O137">
        <v>613.61526872992874</v>
      </c>
      <c r="P137">
        <v>50.733329751666965</v>
      </c>
      <c r="Q137">
        <v>381.35044238776914</v>
      </c>
      <c r="R137">
        <v>137.14280038998643</v>
      </c>
      <c r="S137">
        <v>385.55109775920408</v>
      </c>
      <c r="T137">
        <f t="shared" si="71"/>
        <v>19.736426453204249</v>
      </c>
      <c r="U137">
        <f t="shared" si="72"/>
        <v>78.659368092194356</v>
      </c>
      <c r="V137">
        <f t="shared" si="73"/>
        <v>188.69939587181378</v>
      </c>
      <c r="W137">
        <f t="shared" si="74"/>
        <v>88.089908642728417</v>
      </c>
      <c r="X137">
        <f t="shared" si="75"/>
        <v>122.10071064448304</v>
      </c>
      <c r="Y137">
        <f t="shared" si="76"/>
        <v>358.56471010848327</v>
      </c>
      <c r="Z137">
        <f t="shared" si="77"/>
        <v>121.81252229228612</v>
      </c>
      <c r="AA137">
        <f t="shared" si="78"/>
        <v>90.575449190332961</v>
      </c>
      <c r="AB137">
        <f t="shared" si="79"/>
        <v>152.57493701953248</v>
      </c>
      <c r="AC137">
        <f t="shared" si="80"/>
        <v>53.442596875403559</v>
      </c>
      <c r="AD137">
        <f t="shared" si="81"/>
        <v>712.4537731730112</v>
      </c>
      <c r="AE137">
        <f t="shared" si="82"/>
        <v>59.85415697782738</v>
      </c>
      <c r="AF137">
        <f t="shared" si="83"/>
        <v>595.43278398103109</v>
      </c>
      <c r="AG137">
        <f t="shared" si="84"/>
        <v>55.035838991848578</v>
      </c>
      <c r="AH137">
        <f t="shared" si="85"/>
        <v>361.57295037783291</v>
      </c>
      <c r="AI137">
        <f t="shared" si="86"/>
        <v>135.73722375137604</v>
      </c>
      <c r="AJ137">
        <f t="shared" si="87"/>
        <v>377.22215544559475</v>
      </c>
    </row>
    <row r="138" spans="1:36" x14ac:dyDescent="0.25">
      <c r="A138" s="8">
        <v>41000</v>
      </c>
      <c r="B138" s="9">
        <f t="shared" si="70"/>
        <v>4</v>
      </c>
      <c r="C138">
        <v>16.064509464339004</v>
      </c>
      <c r="D138">
        <v>69.97146668470269</v>
      </c>
      <c r="E138">
        <v>153.60081254490845</v>
      </c>
      <c r="F138">
        <v>98.145833608089831</v>
      </c>
      <c r="G138">
        <v>118.90574127742954</v>
      </c>
      <c r="H138">
        <v>325.6054658282934</v>
      </c>
      <c r="I138">
        <v>102.20752415827228</v>
      </c>
      <c r="J138">
        <v>103.61034703590916</v>
      </c>
      <c r="K138">
        <v>170.17509069661787</v>
      </c>
      <c r="L138">
        <v>38.229024437393605</v>
      </c>
      <c r="M138">
        <v>649.83755546809687</v>
      </c>
      <c r="N138">
        <v>52.537937525489838</v>
      </c>
      <c r="O138">
        <v>598.35660884861886</v>
      </c>
      <c r="P138">
        <v>68.15611261318827</v>
      </c>
      <c r="Q138">
        <v>367.52462608470364</v>
      </c>
      <c r="R138">
        <v>169.21116897001173</v>
      </c>
      <c r="S138">
        <v>341.45266039215522</v>
      </c>
      <c r="T138" t="str">
        <f t="shared" si="71"/>
        <v/>
      </c>
      <c r="U138" t="str">
        <f t="shared" si="72"/>
        <v/>
      </c>
      <c r="V138" t="str">
        <f t="shared" si="73"/>
        <v/>
      </c>
      <c r="W138" t="str">
        <f t="shared" si="74"/>
        <v/>
      </c>
      <c r="X138" t="str">
        <f t="shared" si="75"/>
        <v/>
      </c>
      <c r="Y138" t="str">
        <f t="shared" si="76"/>
        <v/>
      </c>
      <c r="Z138" t="str">
        <f t="shared" si="77"/>
        <v/>
      </c>
      <c r="AA138" t="str">
        <f t="shared" si="78"/>
        <v/>
      </c>
      <c r="AB138" t="str">
        <f t="shared" si="79"/>
        <v/>
      </c>
      <c r="AC138" t="str">
        <f t="shared" si="80"/>
        <v/>
      </c>
      <c r="AD138" t="str">
        <f t="shared" si="81"/>
        <v/>
      </c>
      <c r="AE138" t="str">
        <f t="shared" si="82"/>
        <v/>
      </c>
      <c r="AF138" t="str">
        <f t="shared" si="83"/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</row>
    <row r="139" spans="1:36" x14ac:dyDescent="0.25">
      <c r="A139" s="8">
        <v>41030</v>
      </c>
      <c r="B139" s="9">
        <f t="shared" si="70"/>
        <v>5</v>
      </c>
      <c r="C139">
        <v>23.106606669792814</v>
      </c>
      <c r="D139">
        <v>67.317055085866741</v>
      </c>
      <c r="E139">
        <v>205.79884296221724</v>
      </c>
      <c r="F139">
        <v>97.94986408016392</v>
      </c>
      <c r="G139">
        <v>123.49255460511303</v>
      </c>
      <c r="H139">
        <v>356.76604828270854</v>
      </c>
      <c r="I139">
        <v>116.46799889488966</v>
      </c>
      <c r="J139">
        <v>84.637147718486659</v>
      </c>
      <c r="K139">
        <v>182.78458826707507</v>
      </c>
      <c r="L139">
        <v>60.106290451644895</v>
      </c>
      <c r="M139">
        <v>728.68858186161879</v>
      </c>
      <c r="N139">
        <v>57.323929404181435</v>
      </c>
      <c r="O139">
        <v>644.56501829083561</v>
      </c>
      <c r="P139">
        <v>54.548560951569918</v>
      </c>
      <c r="Q139">
        <v>375.14269877388648</v>
      </c>
      <c r="R139">
        <v>143.5558000920999</v>
      </c>
      <c r="S139">
        <v>399.79728774408966</v>
      </c>
      <c r="T139" t="str">
        <f t="shared" si="71"/>
        <v/>
      </c>
      <c r="U139" t="str">
        <f t="shared" si="72"/>
        <v/>
      </c>
      <c r="V139" t="str">
        <f t="shared" si="73"/>
        <v/>
      </c>
      <c r="W139" t="str">
        <f t="shared" si="74"/>
        <v/>
      </c>
      <c r="X139" t="str">
        <f t="shared" si="75"/>
        <v/>
      </c>
      <c r="Y139" t="str">
        <f t="shared" si="76"/>
        <v/>
      </c>
      <c r="Z139" t="str">
        <f t="shared" si="77"/>
        <v/>
      </c>
      <c r="AA139" t="str">
        <f t="shared" si="78"/>
        <v/>
      </c>
      <c r="AB139" t="str">
        <f t="shared" si="79"/>
        <v/>
      </c>
      <c r="AC139" t="str">
        <f t="shared" si="80"/>
        <v/>
      </c>
      <c r="AD139" t="str">
        <f t="shared" si="81"/>
        <v/>
      </c>
      <c r="AE139" t="str">
        <f t="shared" si="82"/>
        <v/>
      </c>
      <c r="AF139" t="str">
        <f t="shared" si="83"/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</row>
    <row r="140" spans="1:36" x14ac:dyDescent="0.25">
      <c r="A140" s="8">
        <v>41061</v>
      </c>
      <c r="B140" s="9">
        <f t="shared" si="70"/>
        <v>6</v>
      </c>
      <c r="C140">
        <v>17.940569468042785</v>
      </c>
      <c r="D140">
        <v>74.471657544427543</v>
      </c>
      <c r="E140">
        <v>203.41348873233537</v>
      </c>
      <c r="F140">
        <v>109.38709020330229</v>
      </c>
      <c r="G140">
        <v>137.96124580257862</v>
      </c>
      <c r="H140">
        <v>347.15850838255147</v>
      </c>
      <c r="I140">
        <v>99.411373647834964</v>
      </c>
      <c r="J140">
        <v>114.37423247920178</v>
      </c>
      <c r="K140">
        <v>185.90834419842761</v>
      </c>
      <c r="L140">
        <v>57.85563327576353</v>
      </c>
      <c r="M140">
        <v>762.82020255906912</v>
      </c>
      <c r="N140">
        <v>59.58305180370818</v>
      </c>
      <c r="O140">
        <v>656.54567046090256</v>
      </c>
      <c r="P140">
        <v>43.911327854060538</v>
      </c>
      <c r="Q140">
        <v>437.01991172361573</v>
      </c>
      <c r="R140">
        <v>169.39135318481763</v>
      </c>
      <c r="S140">
        <v>365.55530165659678</v>
      </c>
      <c r="T140">
        <f t="shared" si="71"/>
        <v>19.037228534058201</v>
      </c>
      <c r="U140">
        <f t="shared" si="72"/>
        <v>70.586726438332335</v>
      </c>
      <c r="V140">
        <f t="shared" si="73"/>
        <v>187.60438141315367</v>
      </c>
      <c r="W140">
        <f t="shared" si="74"/>
        <v>101.827595963852</v>
      </c>
      <c r="X140">
        <f t="shared" si="75"/>
        <v>126.7865138950404</v>
      </c>
      <c r="Y140">
        <f t="shared" si="76"/>
        <v>343.17667416451781</v>
      </c>
      <c r="Z140">
        <f t="shared" si="77"/>
        <v>106.02896556699898</v>
      </c>
      <c r="AA140">
        <f t="shared" si="78"/>
        <v>100.87390907786586</v>
      </c>
      <c r="AB140">
        <f t="shared" si="79"/>
        <v>179.62267438737351</v>
      </c>
      <c r="AC140">
        <f t="shared" si="80"/>
        <v>52.063649388267343</v>
      </c>
      <c r="AD140">
        <f t="shared" si="81"/>
        <v>713.78211329626163</v>
      </c>
      <c r="AE140">
        <f t="shared" si="82"/>
        <v>56.481639577793146</v>
      </c>
      <c r="AF140">
        <f t="shared" si="83"/>
        <v>633.1557658667856</v>
      </c>
      <c r="AG140">
        <f t="shared" si="84"/>
        <v>55.538667139606247</v>
      </c>
      <c r="AH140">
        <f t="shared" si="85"/>
        <v>393.22907886073523</v>
      </c>
      <c r="AI140">
        <f t="shared" si="86"/>
        <v>160.71944074897644</v>
      </c>
      <c r="AJ140">
        <f t="shared" si="87"/>
        <v>368.93508326428059</v>
      </c>
    </row>
    <row r="141" spans="1:36" x14ac:dyDescent="0.25">
      <c r="A141" s="8">
        <v>41091</v>
      </c>
      <c r="B141" s="9">
        <f t="shared" si="70"/>
        <v>7</v>
      </c>
      <c r="C141">
        <v>13.645604706772287</v>
      </c>
      <c r="D141">
        <v>64.845273942397554</v>
      </c>
      <c r="E141">
        <v>178.0895388868565</v>
      </c>
      <c r="F141">
        <v>92.21837087346681</v>
      </c>
      <c r="G141">
        <v>137.92312131590293</v>
      </c>
      <c r="H141">
        <v>327.71132938029581</v>
      </c>
      <c r="I141">
        <v>106.28177840104249</v>
      </c>
      <c r="J141">
        <v>82.931540533569958</v>
      </c>
      <c r="K141">
        <v>167.36256070071619</v>
      </c>
      <c r="L141">
        <v>62.193685280430365</v>
      </c>
      <c r="M141">
        <v>627.3513455776116</v>
      </c>
      <c r="N141">
        <v>80.46212037281397</v>
      </c>
      <c r="O141">
        <v>583.06659349844631</v>
      </c>
      <c r="P141">
        <v>49.811097292932899</v>
      </c>
      <c r="Q141">
        <v>398.0378359573694</v>
      </c>
      <c r="R141">
        <v>124.64896632334236</v>
      </c>
      <c r="S141">
        <v>381.96128269547427</v>
      </c>
      <c r="T141" t="str">
        <f t="shared" si="71"/>
        <v/>
      </c>
      <c r="U141" t="str">
        <f t="shared" si="72"/>
        <v/>
      </c>
      <c r="V141" t="str">
        <f t="shared" si="73"/>
        <v/>
      </c>
      <c r="W141" t="str">
        <f t="shared" si="74"/>
        <v/>
      </c>
      <c r="X141" t="str">
        <f t="shared" si="75"/>
        <v/>
      </c>
      <c r="Y141" t="str">
        <f t="shared" si="76"/>
        <v/>
      </c>
      <c r="Z141" t="str">
        <f t="shared" si="77"/>
        <v/>
      </c>
      <c r="AA141" t="str">
        <f t="shared" si="78"/>
        <v/>
      </c>
      <c r="AB141" t="str">
        <f t="shared" si="79"/>
        <v/>
      </c>
      <c r="AC141" t="str">
        <f t="shared" si="80"/>
        <v/>
      </c>
      <c r="AD141" t="str">
        <f t="shared" si="81"/>
        <v/>
      </c>
      <c r="AE141" t="str">
        <f t="shared" si="82"/>
        <v/>
      </c>
      <c r="AF141" t="str">
        <f t="shared" si="83"/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</row>
    <row r="142" spans="1:36" x14ac:dyDescent="0.25">
      <c r="A142" s="8">
        <v>41122</v>
      </c>
      <c r="B142" s="9">
        <f t="shared" si="70"/>
        <v>8</v>
      </c>
      <c r="C142">
        <v>15.474334637835485</v>
      </c>
      <c r="D142">
        <v>79.472000370388727</v>
      </c>
      <c r="E142">
        <v>154.82743845232451</v>
      </c>
      <c r="F142">
        <v>99.90814688900457</v>
      </c>
      <c r="G142">
        <v>137.86743705068395</v>
      </c>
      <c r="H142">
        <v>365.32163413109117</v>
      </c>
      <c r="I142">
        <v>97.78124947457222</v>
      </c>
      <c r="J142">
        <v>120.47974745881761</v>
      </c>
      <c r="K142">
        <v>211.31350768281857</v>
      </c>
      <c r="L142">
        <v>57.982611946057645</v>
      </c>
      <c r="M142">
        <v>732.40800611861539</v>
      </c>
      <c r="N142">
        <v>59.043443722541745</v>
      </c>
      <c r="O142">
        <v>579.14677632117503</v>
      </c>
      <c r="P142">
        <v>58.137996202255131</v>
      </c>
      <c r="Q142">
        <v>364.18873255349962</v>
      </c>
      <c r="R142">
        <v>84.277095632956531</v>
      </c>
      <c r="S142">
        <v>419.92614321752609</v>
      </c>
      <c r="T142" t="str">
        <f t="shared" si="71"/>
        <v/>
      </c>
      <c r="U142" t="str">
        <f t="shared" si="72"/>
        <v/>
      </c>
      <c r="V142" t="str">
        <f t="shared" si="73"/>
        <v/>
      </c>
      <c r="W142" t="str">
        <f t="shared" si="74"/>
        <v/>
      </c>
      <c r="X142" t="str">
        <f t="shared" si="75"/>
        <v/>
      </c>
      <c r="Y142" t="str">
        <f t="shared" si="76"/>
        <v/>
      </c>
      <c r="Z142" t="str">
        <f t="shared" si="77"/>
        <v/>
      </c>
      <c r="AA142" t="str">
        <f t="shared" si="78"/>
        <v/>
      </c>
      <c r="AB142" t="str">
        <f t="shared" si="79"/>
        <v/>
      </c>
      <c r="AC142" t="str">
        <f t="shared" si="80"/>
        <v/>
      </c>
      <c r="AD142" t="str">
        <f t="shared" si="81"/>
        <v/>
      </c>
      <c r="AE142" t="str">
        <f t="shared" si="82"/>
        <v/>
      </c>
      <c r="AF142" t="str">
        <f t="shared" si="83"/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</row>
    <row r="143" spans="1:36" x14ac:dyDescent="0.25">
      <c r="A143" s="8">
        <v>41153</v>
      </c>
      <c r="B143" s="9">
        <f t="shared" si="70"/>
        <v>9</v>
      </c>
      <c r="C143">
        <v>15.453039991540406</v>
      </c>
      <c r="D143">
        <v>86.250620001741666</v>
      </c>
      <c r="E143">
        <v>139.84637484302542</v>
      </c>
      <c r="F143">
        <v>97.681410315711616</v>
      </c>
      <c r="G143">
        <v>138.29578680557523</v>
      </c>
      <c r="H143">
        <v>377.40134917259348</v>
      </c>
      <c r="I143">
        <v>131.15209557113454</v>
      </c>
      <c r="J143">
        <v>104.45429496983132</v>
      </c>
      <c r="K143">
        <v>224.72090287557901</v>
      </c>
      <c r="L143">
        <v>64.815015218401072</v>
      </c>
      <c r="M143">
        <v>601.67565965411484</v>
      </c>
      <c r="N143">
        <v>72.912285751107021</v>
      </c>
      <c r="O143">
        <v>650.115672856164</v>
      </c>
      <c r="P143">
        <v>48.422813168793816</v>
      </c>
      <c r="Q143">
        <v>333.60233606281156</v>
      </c>
      <c r="R143">
        <v>133.05797799844507</v>
      </c>
      <c r="S143">
        <v>392.99626823867317</v>
      </c>
      <c r="T143">
        <f t="shared" si="71"/>
        <v>14.85765977871606</v>
      </c>
      <c r="U143">
        <f t="shared" si="72"/>
        <v>76.855964771509321</v>
      </c>
      <c r="V143">
        <f t="shared" si="73"/>
        <v>157.58778406073546</v>
      </c>
      <c r="W143">
        <f t="shared" si="74"/>
        <v>96.60264269272767</v>
      </c>
      <c r="X143">
        <f t="shared" si="75"/>
        <v>138.02878172405403</v>
      </c>
      <c r="Y143">
        <f t="shared" si="76"/>
        <v>356.81143756132678</v>
      </c>
      <c r="Z143">
        <f t="shared" si="77"/>
        <v>111.73837448224974</v>
      </c>
      <c r="AA143">
        <f t="shared" si="78"/>
        <v>102.62186098740631</v>
      </c>
      <c r="AB143">
        <f t="shared" si="79"/>
        <v>201.13232375303792</v>
      </c>
      <c r="AC143">
        <f t="shared" si="80"/>
        <v>61.663770814963023</v>
      </c>
      <c r="AD143">
        <f t="shared" si="81"/>
        <v>653.81167045011398</v>
      </c>
      <c r="AE143">
        <f t="shared" si="82"/>
        <v>70.80594994882091</v>
      </c>
      <c r="AF143">
        <f t="shared" si="83"/>
        <v>604.10968089192841</v>
      </c>
      <c r="AG143">
        <f t="shared" si="84"/>
        <v>52.123968887993954</v>
      </c>
      <c r="AH143">
        <f t="shared" si="85"/>
        <v>365.27630152456021</v>
      </c>
      <c r="AI143">
        <f t="shared" si="86"/>
        <v>113.99467998491464</v>
      </c>
      <c r="AJ143">
        <f t="shared" si="87"/>
        <v>398.29456471722455</v>
      </c>
    </row>
    <row r="144" spans="1:36" x14ac:dyDescent="0.25">
      <c r="A144" s="8">
        <v>41183</v>
      </c>
      <c r="B144" s="9">
        <f t="shared" si="70"/>
        <v>10</v>
      </c>
      <c r="C144">
        <v>13.820376544931724</v>
      </c>
      <c r="D144">
        <v>106.80850954852274</v>
      </c>
      <c r="E144">
        <v>160.56622428897583</v>
      </c>
      <c r="F144">
        <v>100.65136734843195</v>
      </c>
      <c r="G144">
        <v>130.26331266171161</v>
      </c>
      <c r="H144">
        <v>359.87054475195038</v>
      </c>
      <c r="I144">
        <v>89.010635475332577</v>
      </c>
      <c r="J144">
        <v>91.286130909802139</v>
      </c>
      <c r="K144">
        <v>208.39242721897395</v>
      </c>
      <c r="L144">
        <v>55.345475756930206</v>
      </c>
      <c r="M144">
        <v>658.01254057074743</v>
      </c>
      <c r="N144">
        <v>54.809761125053384</v>
      </c>
      <c r="O144">
        <v>605.61316535053493</v>
      </c>
      <c r="P144">
        <v>48.208171089954071</v>
      </c>
      <c r="Q144">
        <v>408.02145549488273</v>
      </c>
      <c r="R144">
        <v>171.79223067366945</v>
      </c>
      <c r="S144">
        <v>364.67187391253174</v>
      </c>
      <c r="T144" t="str">
        <f t="shared" si="71"/>
        <v/>
      </c>
      <c r="U144" t="str">
        <f t="shared" si="72"/>
        <v/>
      </c>
      <c r="V144" t="str">
        <f t="shared" si="73"/>
        <v/>
      </c>
      <c r="W144" t="str">
        <f t="shared" si="74"/>
        <v/>
      </c>
      <c r="X144" t="str">
        <f t="shared" si="75"/>
        <v/>
      </c>
      <c r="Y144" t="str">
        <f t="shared" si="76"/>
        <v/>
      </c>
      <c r="Z144" t="str">
        <f t="shared" si="77"/>
        <v/>
      </c>
      <c r="AA144" t="str">
        <f t="shared" si="78"/>
        <v/>
      </c>
      <c r="AB144" t="str">
        <f t="shared" si="79"/>
        <v/>
      </c>
      <c r="AC144" t="str">
        <f t="shared" si="80"/>
        <v/>
      </c>
      <c r="AD144" t="str">
        <f t="shared" si="81"/>
        <v/>
      </c>
      <c r="AE144" t="str">
        <f t="shared" si="82"/>
        <v/>
      </c>
      <c r="AF144" t="str">
        <f t="shared" si="83"/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</row>
    <row r="145" spans="1:36" x14ac:dyDescent="0.25">
      <c r="A145" s="8">
        <v>41214</v>
      </c>
      <c r="B145" s="9">
        <f t="shared" si="70"/>
        <v>11</v>
      </c>
      <c r="C145">
        <v>17.694182092986424</v>
      </c>
      <c r="D145">
        <v>100.62248994948231</v>
      </c>
      <c r="E145">
        <v>177.00718324193735</v>
      </c>
      <c r="F145">
        <v>95.943440875573401</v>
      </c>
      <c r="G145">
        <v>155.2442737389392</v>
      </c>
      <c r="H145">
        <v>451.03796430839441</v>
      </c>
      <c r="I145">
        <v>105.3329764040527</v>
      </c>
      <c r="J145">
        <v>109.37460278114828</v>
      </c>
      <c r="K145">
        <v>196.67974380910826</v>
      </c>
      <c r="L145">
        <v>50.76030761581606</v>
      </c>
      <c r="M145">
        <v>646.57357271866874</v>
      </c>
      <c r="N145">
        <v>55.973063361665936</v>
      </c>
      <c r="O145">
        <v>644.13513394575671</v>
      </c>
      <c r="P145">
        <v>52.110731140429237</v>
      </c>
      <c r="Q145">
        <v>416.29245373147728</v>
      </c>
      <c r="R145">
        <v>137.83921749150838</v>
      </c>
      <c r="S145">
        <v>375.1774651352203</v>
      </c>
      <c r="T145" t="str">
        <f t="shared" si="71"/>
        <v/>
      </c>
      <c r="U145" t="str">
        <f t="shared" si="72"/>
        <v/>
      </c>
      <c r="V145" t="str">
        <f t="shared" si="73"/>
        <v/>
      </c>
      <c r="W145" t="str">
        <f t="shared" si="74"/>
        <v/>
      </c>
      <c r="X145" t="str">
        <f t="shared" si="75"/>
        <v/>
      </c>
      <c r="Y145" t="str">
        <f t="shared" si="76"/>
        <v/>
      </c>
      <c r="Z145" t="str">
        <f t="shared" si="77"/>
        <v/>
      </c>
      <c r="AA145" t="str">
        <f t="shared" si="78"/>
        <v/>
      </c>
      <c r="AB145" t="str">
        <f t="shared" si="79"/>
        <v/>
      </c>
      <c r="AC145" t="str">
        <f t="shared" si="80"/>
        <v/>
      </c>
      <c r="AD145" t="str">
        <f t="shared" si="81"/>
        <v/>
      </c>
      <c r="AE145" t="str">
        <f t="shared" si="82"/>
        <v/>
      </c>
      <c r="AF145" t="str">
        <f t="shared" si="83"/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</row>
    <row r="146" spans="1:36" x14ac:dyDescent="0.25">
      <c r="A146" s="8">
        <v>41244</v>
      </c>
      <c r="B146" s="9">
        <f t="shared" si="70"/>
        <v>12</v>
      </c>
      <c r="C146">
        <v>19.230943079063834</v>
      </c>
      <c r="D146">
        <v>87.724089920659154</v>
      </c>
      <c r="E146">
        <v>166.75480968330203</v>
      </c>
      <c r="F146">
        <v>81.762621111573338</v>
      </c>
      <c r="G146">
        <v>119.00002557628979</v>
      </c>
      <c r="H146">
        <v>442.11952516227342</v>
      </c>
      <c r="I146">
        <v>153.6861149585996</v>
      </c>
      <c r="J146">
        <v>89.751460931013284</v>
      </c>
      <c r="K146">
        <v>192.04418012836823</v>
      </c>
      <c r="L146">
        <v>73.649711253389029</v>
      </c>
      <c r="M146">
        <v>552.9049989456812</v>
      </c>
      <c r="N146">
        <v>69.074764030314498</v>
      </c>
      <c r="O146">
        <v>610.03472023172083</v>
      </c>
      <c r="P146">
        <v>61.78846628241255</v>
      </c>
      <c r="Q146">
        <v>379.71395957399966</v>
      </c>
      <c r="R146">
        <v>121.35546759383648</v>
      </c>
      <c r="S146">
        <v>390.34034092515691</v>
      </c>
      <c r="T146">
        <f t="shared" si="71"/>
        <v>16.915167238993995</v>
      </c>
      <c r="U146">
        <f t="shared" si="72"/>
        <v>98.385029806221397</v>
      </c>
      <c r="V146">
        <f t="shared" si="73"/>
        <v>168.10940573807173</v>
      </c>
      <c r="W146">
        <f t="shared" si="74"/>
        <v>92.785809778526229</v>
      </c>
      <c r="X146">
        <f t="shared" si="75"/>
        <v>134.83587065898018</v>
      </c>
      <c r="Y146">
        <f t="shared" si="76"/>
        <v>417.67601140753942</v>
      </c>
      <c r="Z146">
        <f t="shared" si="77"/>
        <v>116.00990894599495</v>
      </c>
      <c r="AA146">
        <f t="shared" si="78"/>
        <v>96.804064873987897</v>
      </c>
      <c r="AB146">
        <f t="shared" si="79"/>
        <v>199.03878371881683</v>
      </c>
      <c r="AC146">
        <f t="shared" si="80"/>
        <v>59.91849820871176</v>
      </c>
      <c r="AD146">
        <f t="shared" si="81"/>
        <v>619.16370407836575</v>
      </c>
      <c r="AE146">
        <f t="shared" si="82"/>
        <v>59.952529505677944</v>
      </c>
      <c r="AF146">
        <f t="shared" si="83"/>
        <v>619.92767317600419</v>
      </c>
      <c r="AG146">
        <f t="shared" si="84"/>
        <v>54.035789504265288</v>
      </c>
      <c r="AH146">
        <f t="shared" si="85"/>
        <v>401.34262293345319</v>
      </c>
      <c r="AI146">
        <f t="shared" si="86"/>
        <v>143.66230525300477</v>
      </c>
      <c r="AJ146">
        <f t="shared" si="87"/>
        <v>376.72989332430296</v>
      </c>
    </row>
    <row r="147" spans="1:36" x14ac:dyDescent="0.25">
      <c r="A147" s="8">
        <v>41275</v>
      </c>
      <c r="B147" s="9">
        <f t="shared" si="70"/>
        <v>1</v>
      </c>
      <c r="C147">
        <v>15.930088461473659</v>
      </c>
      <c r="D147">
        <v>102.58247300182576</v>
      </c>
      <c r="E147">
        <v>158.05782381119576</v>
      </c>
      <c r="F147">
        <v>88.204499573597914</v>
      </c>
      <c r="G147">
        <v>132.30417994780257</v>
      </c>
      <c r="H147">
        <v>388.17084884075553</v>
      </c>
      <c r="I147">
        <v>128.97646081052892</v>
      </c>
      <c r="J147">
        <v>72.381322927047094</v>
      </c>
      <c r="K147">
        <v>139.2117277003492</v>
      </c>
      <c r="L147">
        <v>60.37883936805715</v>
      </c>
      <c r="M147">
        <v>688.99318158531923</v>
      </c>
      <c r="N147">
        <v>54.390868756150084</v>
      </c>
      <c r="O147">
        <v>519.04194621671559</v>
      </c>
      <c r="P147">
        <v>48.115603357070903</v>
      </c>
      <c r="Q147">
        <v>367.43864612396726</v>
      </c>
      <c r="R147">
        <v>168.42394234774073</v>
      </c>
      <c r="S147">
        <v>406.46768557705428</v>
      </c>
      <c r="T147" t="str">
        <f t="shared" si="71"/>
        <v/>
      </c>
      <c r="U147" t="str">
        <f t="shared" si="72"/>
        <v/>
      </c>
      <c r="V147" t="str">
        <f t="shared" si="73"/>
        <v/>
      </c>
      <c r="W147" t="str">
        <f t="shared" si="74"/>
        <v/>
      </c>
      <c r="X147" t="str">
        <f t="shared" si="75"/>
        <v/>
      </c>
      <c r="Y147" t="str">
        <f t="shared" si="76"/>
        <v/>
      </c>
      <c r="Z147" t="str">
        <f t="shared" si="77"/>
        <v/>
      </c>
      <c r="AA147" t="str">
        <f t="shared" si="78"/>
        <v/>
      </c>
      <c r="AB147" t="str">
        <f t="shared" si="79"/>
        <v/>
      </c>
      <c r="AC147" t="str">
        <f t="shared" si="80"/>
        <v/>
      </c>
      <c r="AD147" t="str">
        <f t="shared" si="81"/>
        <v/>
      </c>
      <c r="AE147" t="str">
        <f t="shared" si="82"/>
        <v/>
      </c>
      <c r="AF147" t="str">
        <f t="shared" si="83"/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</row>
    <row r="148" spans="1:36" x14ac:dyDescent="0.25">
      <c r="A148" s="8">
        <v>41306</v>
      </c>
      <c r="B148" s="9">
        <f t="shared" si="70"/>
        <v>2</v>
      </c>
      <c r="C148">
        <v>24.011420784192868</v>
      </c>
      <c r="D148">
        <v>115.09061973240973</v>
      </c>
      <c r="E148">
        <v>174.44328065171052</v>
      </c>
      <c r="F148">
        <v>99.672356675760554</v>
      </c>
      <c r="G148">
        <v>106.84658698493122</v>
      </c>
      <c r="H148">
        <v>396.31124362980131</v>
      </c>
      <c r="I148">
        <v>148.52350749429934</v>
      </c>
      <c r="J148">
        <v>96.68127627093061</v>
      </c>
      <c r="K148">
        <v>248.33362468143883</v>
      </c>
      <c r="L148">
        <v>69.441067391686417</v>
      </c>
      <c r="M148">
        <v>704.82689154468187</v>
      </c>
      <c r="N148">
        <v>59.692006354172584</v>
      </c>
      <c r="O148">
        <v>614.93694004145539</v>
      </c>
      <c r="P148">
        <v>50.463552489186249</v>
      </c>
      <c r="Q148">
        <v>435.94530569065864</v>
      </c>
      <c r="R148">
        <v>122.38616618775696</v>
      </c>
      <c r="S148">
        <v>423.01754839862519</v>
      </c>
      <c r="T148" t="str">
        <f t="shared" si="71"/>
        <v/>
      </c>
      <c r="U148" t="str">
        <f t="shared" si="72"/>
        <v/>
      </c>
      <c r="V148" t="str">
        <f t="shared" si="73"/>
        <v/>
      </c>
      <c r="W148" t="str">
        <f t="shared" si="74"/>
        <v/>
      </c>
      <c r="X148" t="str">
        <f t="shared" si="75"/>
        <v/>
      </c>
      <c r="Y148" t="str">
        <f t="shared" si="76"/>
        <v/>
      </c>
      <c r="Z148" t="str">
        <f t="shared" si="77"/>
        <v/>
      </c>
      <c r="AA148" t="str">
        <f t="shared" si="78"/>
        <v/>
      </c>
      <c r="AB148" t="str">
        <f t="shared" si="79"/>
        <v/>
      </c>
      <c r="AC148" t="str">
        <f t="shared" si="80"/>
        <v/>
      </c>
      <c r="AD148" t="str">
        <f t="shared" si="81"/>
        <v/>
      </c>
      <c r="AE148" t="str">
        <f t="shared" si="82"/>
        <v/>
      </c>
      <c r="AF148" t="str">
        <f t="shared" si="83"/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</row>
    <row r="149" spans="1:36" x14ac:dyDescent="0.25">
      <c r="A149" s="8">
        <v>41334</v>
      </c>
      <c r="B149" s="9">
        <f t="shared" si="70"/>
        <v>3</v>
      </c>
      <c r="C149">
        <v>13.303677615225464</v>
      </c>
      <c r="D149">
        <v>105.53600599277334</v>
      </c>
      <c r="E149">
        <v>200.47081135717534</v>
      </c>
      <c r="F149">
        <v>83.084238928438239</v>
      </c>
      <c r="G149">
        <v>126.10698321094993</v>
      </c>
      <c r="H149">
        <v>408.07734263081159</v>
      </c>
      <c r="I149">
        <v>119.81959031928454</v>
      </c>
      <c r="J149">
        <v>96.829539407521864</v>
      </c>
      <c r="K149">
        <v>229.41394591004806</v>
      </c>
      <c r="L149">
        <v>50.011583614376335</v>
      </c>
      <c r="M149">
        <v>731.75382370394516</v>
      </c>
      <c r="N149">
        <v>66.459332519174694</v>
      </c>
      <c r="O149">
        <v>636.82768843517272</v>
      </c>
      <c r="P149">
        <v>65.367944103109366</v>
      </c>
      <c r="Q149">
        <v>453.14502445099214</v>
      </c>
      <c r="R149">
        <v>172.46746109649811</v>
      </c>
      <c r="S149">
        <v>391.45239007184495</v>
      </c>
      <c r="T149">
        <f t="shared" si="71"/>
        <v>17.74839562029733</v>
      </c>
      <c r="U149">
        <f t="shared" si="72"/>
        <v>107.73636624233627</v>
      </c>
      <c r="V149">
        <f t="shared" si="73"/>
        <v>177.65730527336052</v>
      </c>
      <c r="W149">
        <f t="shared" si="74"/>
        <v>90.320365059265569</v>
      </c>
      <c r="X149">
        <f t="shared" si="75"/>
        <v>121.75258338122791</v>
      </c>
      <c r="Y149">
        <f t="shared" si="76"/>
        <v>397.5198117004561</v>
      </c>
      <c r="Z149">
        <f t="shared" si="77"/>
        <v>132.43985287470426</v>
      </c>
      <c r="AA149">
        <f t="shared" si="78"/>
        <v>88.630712868499856</v>
      </c>
      <c r="AB149">
        <f t="shared" si="79"/>
        <v>205.653099430612</v>
      </c>
      <c r="AC149">
        <f t="shared" si="80"/>
        <v>59.943830124706629</v>
      </c>
      <c r="AD149">
        <f t="shared" si="81"/>
        <v>708.52463227798216</v>
      </c>
      <c r="AE149">
        <f t="shared" si="82"/>
        <v>60.180735876499121</v>
      </c>
      <c r="AF149">
        <f t="shared" si="83"/>
        <v>590.26885823111445</v>
      </c>
      <c r="AG149">
        <f t="shared" si="84"/>
        <v>54.649033316455508</v>
      </c>
      <c r="AH149">
        <f t="shared" si="85"/>
        <v>418.84299208853935</v>
      </c>
      <c r="AI149">
        <f t="shared" si="86"/>
        <v>154.42585654399861</v>
      </c>
      <c r="AJ149">
        <f t="shared" si="87"/>
        <v>406.97920801584149</v>
      </c>
    </row>
    <row r="150" spans="1:36" x14ac:dyDescent="0.25">
      <c r="A150" s="8">
        <v>41365</v>
      </c>
      <c r="B150" s="9">
        <f t="shared" si="70"/>
        <v>4</v>
      </c>
      <c r="C150">
        <v>22.088700513466129</v>
      </c>
      <c r="D150">
        <v>100.88909149887365</v>
      </c>
      <c r="E150">
        <v>152.66989852948478</v>
      </c>
      <c r="F150">
        <v>86.711367556661884</v>
      </c>
      <c r="G150">
        <v>117.1571274351144</v>
      </c>
      <c r="H150">
        <v>455.26273216111679</v>
      </c>
      <c r="I150">
        <v>132.77426035513875</v>
      </c>
      <c r="J150">
        <v>74.674123989844432</v>
      </c>
      <c r="K150">
        <v>198.97395219912244</v>
      </c>
      <c r="L150">
        <v>47.176242922741046</v>
      </c>
      <c r="M150">
        <v>732.4758573195312</v>
      </c>
      <c r="N150">
        <v>58.469640149335468</v>
      </c>
      <c r="O150">
        <v>587.31002530064438</v>
      </c>
      <c r="P150">
        <v>51.292744543945808</v>
      </c>
      <c r="Q150">
        <v>403.71414068823026</v>
      </c>
      <c r="R150">
        <v>125.24944369839103</v>
      </c>
      <c r="S150">
        <v>380.31719084329484</v>
      </c>
      <c r="T150" t="str">
        <f t="shared" si="71"/>
        <v/>
      </c>
      <c r="U150" t="str">
        <f t="shared" si="72"/>
        <v/>
      </c>
      <c r="V150" t="str">
        <f t="shared" si="73"/>
        <v/>
      </c>
      <c r="W150" t="str">
        <f t="shared" si="74"/>
        <v/>
      </c>
      <c r="X150" t="str">
        <f t="shared" si="75"/>
        <v/>
      </c>
      <c r="Y150" t="str">
        <f t="shared" si="76"/>
        <v/>
      </c>
      <c r="Z150" t="str">
        <f t="shared" si="77"/>
        <v/>
      </c>
      <c r="AA150" t="str">
        <f t="shared" si="78"/>
        <v/>
      </c>
      <c r="AB150" t="str">
        <f t="shared" si="79"/>
        <v/>
      </c>
      <c r="AC150" t="str">
        <f t="shared" si="80"/>
        <v/>
      </c>
      <c r="AD150" t="str">
        <f t="shared" si="81"/>
        <v/>
      </c>
      <c r="AE150" t="str">
        <f t="shared" si="82"/>
        <v/>
      </c>
      <c r="AF150" t="str">
        <f t="shared" si="83"/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</row>
    <row r="151" spans="1:36" x14ac:dyDescent="0.25">
      <c r="A151" s="8">
        <v>41395</v>
      </c>
      <c r="B151" s="9">
        <f t="shared" si="70"/>
        <v>5</v>
      </c>
      <c r="C151">
        <v>24.206921273116283</v>
      </c>
      <c r="D151">
        <v>94.243877120213426</v>
      </c>
      <c r="E151">
        <v>140.70897635091131</v>
      </c>
      <c r="F151">
        <v>92.072872235354083</v>
      </c>
      <c r="G151">
        <v>116.52120071611471</v>
      </c>
      <c r="H151">
        <v>521.42730133626628</v>
      </c>
      <c r="I151">
        <v>155.96584199837397</v>
      </c>
      <c r="J151">
        <v>108.02372800912113</v>
      </c>
      <c r="K151">
        <v>235.16145858921939</v>
      </c>
      <c r="L151">
        <v>89.632187515610809</v>
      </c>
      <c r="M151">
        <v>606.07750721185255</v>
      </c>
      <c r="N151">
        <v>54.504719761352838</v>
      </c>
      <c r="O151">
        <v>612.08300162106127</v>
      </c>
      <c r="P151">
        <v>63.372592870206226</v>
      </c>
      <c r="Q151">
        <v>402.27271938346928</v>
      </c>
      <c r="R151">
        <v>143.5558000920999</v>
      </c>
      <c r="S151">
        <v>424.84482866299646</v>
      </c>
      <c r="T151" t="str">
        <f t="shared" si="71"/>
        <v/>
      </c>
      <c r="U151" t="str">
        <f t="shared" si="72"/>
        <v/>
      </c>
      <c r="V151" t="str">
        <f t="shared" si="73"/>
        <v/>
      </c>
      <c r="W151" t="str">
        <f t="shared" si="74"/>
        <v/>
      </c>
      <c r="X151" t="str">
        <f t="shared" si="75"/>
        <v/>
      </c>
      <c r="Y151" t="str">
        <f t="shared" si="76"/>
        <v/>
      </c>
      <c r="Z151" t="str">
        <f t="shared" si="77"/>
        <v/>
      </c>
      <c r="AA151" t="str">
        <f t="shared" si="78"/>
        <v/>
      </c>
      <c r="AB151" t="str">
        <f t="shared" si="79"/>
        <v/>
      </c>
      <c r="AC151" t="str">
        <f t="shared" si="80"/>
        <v/>
      </c>
      <c r="AD151" t="str">
        <f t="shared" si="81"/>
        <v/>
      </c>
      <c r="AE151" t="str">
        <f t="shared" si="82"/>
        <v/>
      </c>
      <c r="AF151" t="str">
        <f t="shared" si="83"/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</row>
    <row r="152" spans="1:36" x14ac:dyDescent="0.25">
      <c r="A152" s="8">
        <v>41426</v>
      </c>
      <c r="B152" s="9">
        <f t="shared" si="70"/>
        <v>6</v>
      </c>
      <c r="C152">
        <v>25.327862778413341</v>
      </c>
      <c r="D152">
        <v>122.87823494830546</v>
      </c>
      <c r="E152">
        <v>141.80267243359918</v>
      </c>
      <c r="F152">
        <v>65.248439770390846</v>
      </c>
      <c r="G152">
        <v>96.275113977339032</v>
      </c>
      <c r="H152">
        <v>492.94410555830575</v>
      </c>
      <c r="I152">
        <v>130.15715931211381</v>
      </c>
      <c r="J152">
        <v>101.42620616080157</v>
      </c>
      <c r="K152">
        <v>256.68027068305628</v>
      </c>
      <c r="L152">
        <v>84.640648681209612</v>
      </c>
      <c r="M152">
        <v>720.20454878481939</v>
      </c>
      <c r="N152">
        <v>66.534407847474142</v>
      </c>
      <c r="O152">
        <v>601.31246326339806</v>
      </c>
      <c r="P152">
        <v>46.905282025928301</v>
      </c>
      <c r="Q152">
        <v>468.30771140821645</v>
      </c>
      <c r="R152">
        <v>148.60713807011606</v>
      </c>
      <c r="S152">
        <v>394.22630570809451</v>
      </c>
      <c r="T152">
        <f t="shared" si="71"/>
        <v>23.874494854998584</v>
      </c>
      <c r="U152">
        <f t="shared" si="72"/>
        <v>106.00373452246419</v>
      </c>
      <c r="V152">
        <f t="shared" si="73"/>
        <v>145.06051577133175</v>
      </c>
      <c r="W152">
        <f t="shared" si="74"/>
        <v>81.34422652080228</v>
      </c>
      <c r="X152">
        <f t="shared" si="75"/>
        <v>109.9844807095227</v>
      </c>
      <c r="Y152">
        <f t="shared" si="76"/>
        <v>489.87804635189627</v>
      </c>
      <c r="Z152">
        <f t="shared" si="77"/>
        <v>139.63242055520882</v>
      </c>
      <c r="AA152">
        <f t="shared" si="78"/>
        <v>94.708019386589058</v>
      </c>
      <c r="AB152">
        <f t="shared" si="79"/>
        <v>230.27189382379936</v>
      </c>
      <c r="AC152">
        <f t="shared" si="80"/>
        <v>73.816359706520487</v>
      </c>
      <c r="AD152">
        <f t="shared" si="81"/>
        <v>686.25263777206771</v>
      </c>
      <c r="AE152">
        <f t="shared" si="82"/>
        <v>59.836255919387476</v>
      </c>
      <c r="AF152">
        <f t="shared" si="83"/>
        <v>600.23516339503465</v>
      </c>
      <c r="AG152">
        <f t="shared" si="84"/>
        <v>53.856873146693452</v>
      </c>
      <c r="AH152">
        <f t="shared" si="85"/>
        <v>424.764857159972</v>
      </c>
      <c r="AI152">
        <f t="shared" si="86"/>
        <v>139.13746062020232</v>
      </c>
      <c r="AJ152">
        <f t="shared" si="87"/>
        <v>399.79610840479523</v>
      </c>
    </row>
    <row r="153" spans="1:36" x14ac:dyDescent="0.25">
      <c r="A153" s="8">
        <v>41456</v>
      </c>
      <c r="B153" s="9">
        <f t="shared" si="70"/>
        <v>7</v>
      </c>
      <c r="C153">
        <v>25.341837312577105</v>
      </c>
      <c r="D153">
        <v>87.291714922458254</v>
      </c>
      <c r="E153">
        <v>136.85698554852027</v>
      </c>
      <c r="F153">
        <v>92.21837087346681</v>
      </c>
      <c r="G153">
        <v>117.84570492181579</v>
      </c>
      <c r="H153">
        <v>410.32763090474015</v>
      </c>
      <c r="I153">
        <v>112.53364771875087</v>
      </c>
      <c r="J153">
        <v>86.7011560123686</v>
      </c>
      <c r="K153">
        <v>257.18992378867119</v>
      </c>
      <c r="L153">
        <v>43.798369915796037</v>
      </c>
      <c r="M153">
        <v>649.04921166525833</v>
      </c>
      <c r="N153">
        <v>59.918600277627426</v>
      </c>
      <c r="O153">
        <v>601.08003297238213</v>
      </c>
      <c r="P153">
        <v>43.232273122168174</v>
      </c>
      <c r="Q153">
        <v>440.90344906047068</v>
      </c>
      <c r="R153">
        <v>174.86725491404144</v>
      </c>
      <c r="S153">
        <v>404.54027477599493</v>
      </c>
      <c r="T153" t="str">
        <f t="shared" si="71"/>
        <v/>
      </c>
      <c r="U153" t="str">
        <f t="shared" si="72"/>
        <v/>
      </c>
      <c r="V153" t="str">
        <f t="shared" si="73"/>
        <v/>
      </c>
      <c r="W153" t="str">
        <f t="shared" si="74"/>
        <v/>
      </c>
      <c r="X153" t="str">
        <f t="shared" si="75"/>
        <v/>
      </c>
      <c r="Y153" t="str">
        <f t="shared" si="76"/>
        <v/>
      </c>
      <c r="Z153" t="str">
        <f t="shared" si="77"/>
        <v/>
      </c>
      <c r="AA153" t="str">
        <f t="shared" si="78"/>
        <v/>
      </c>
      <c r="AB153" t="str">
        <f t="shared" si="79"/>
        <v/>
      </c>
      <c r="AC153" t="str">
        <f t="shared" si="80"/>
        <v/>
      </c>
      <c r="AD153" t="str">
        <f t="shared" si="81"/>
        <v/>
      </c>
      <c r="AE153" t="str">
        <f t="shared" si="82"/>
        <v/>
      </c>
      <c r="AF153" t="str">
        <f t="shared" si="83"/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</row>
    <row r="154" spans="1:36" x14ac:dyDescent="0.25">
      <c r="A154" s="8">
        <v>41487</v>
      </c>
      <c r="B154" s="9">
        <f t="shared" si="70"/>
        <v>8</v>
      </c>
      <c r="C154">
        <v>23.727313111347744</v>
      </c>
      <c r="D154">
        <v>113.39297613823759</v>
      </c>
      <c r="E154">
        <v>177.22386036681169</v>
      </c>
      <c r="F154">
        <v>92.983819876895339</v>
      </c>
      <c r="G154">
        <v>152.85302803445396</v>
      </c>
      <c r="H154">
        <v>422.0094739100536</v>
      </c>
      <c r="I154">
        <v>148.06874920435223</v>
      </c>
      <c r="J154">
        <v>62.214951556602536</v>
      </c>
      <c r="K154">
        <v>190.28728801288639</v>
      </c>
      <c r="L154">
        <v>69.775685562204956</v>
      </c>
      <c r="M154">
        <v>692.22100989811531</v>
      </c>
      <c r="N154">
        <v>63.656212763365318</v>
      </c>
      <c r="O154">
        <v>677.18733007886078</v>
      </c>
      <c r="P154">
        <v>73.826026923498574</v>
      </c>
      <c r="Q154">
        <v>448.23228621969184</v>
      </c>
      <c r="R154">
        <v>106.81631888363094</v>
      </c>
      <c r="S154">
        <v>371.98936887762585</v>
      </c>
      <c r="T154" t="str">
        <f t="shared" si="71"/>
        <v/>
      </c>
      <c r="U154" t="str">
        <f t="shared" si="72"/>
        <v/>
      </c>
      <c r="V154" t="str">
        <f t="shared" si="73"/>
        <v/>
      </c>
      <c r="W154" t="str">
        <f t="shared" si="74"/>
        <v/>
      </c>
      <c r="X154" t="str">
        <f t="shared" si="75"/>
        <v/>
      </c>
      <c r="Y154" t="str">
        <f t="shared" si="76"/>
        <v/>
      </c>
      <c r="Z154" t="str">
        <f t="shared" si="77"/>
        <v/>
      </c>
      <c r="AA154" t="str">
        <f t="shared" si="78"/>
        <v/>
      </c>
      <c r="AB154" t="str">
        <f t="shared" si="79"/>
        <v/>
      </c>
      <c r="AC154" t="str">
        <f t="shared" si="80"/>
        <v/>
      </c>
      <c r="AD154" t="str">
        <f t="shared" si="81"/>
        <v/>
      </c>
      <c r="AE154" t="str">
        <f t="shared" si="82"/>
        <v/>
      </c>
      <c r="AF154" t="str">
        <f t="shared" si="83"/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workbookViewId="0"/>
  </sheetViews>
  <sheetFormatPr defaultRowHeight="15" x14ac:dyDescent="0.25"/>
  <cols>
    <col min="1" max="4" width="8.85546875" style="1"/>
    <col min="7" max="7" width="17.85546875" customWidth="1"/>
    <col min="18" max="18" width="17.7109375" customWidth="1"/>
  </cols>
  <sheetData>
    <row r="1" spans="5:19" ht="14.45" x14ac:dyDescent="0.3">
      <c r="G1" s="10" t="s">
        <v>6</v>
      </c>
      <c r="R1" s="15" t="s">
        <v>59</v>
      </c>
    </row>
    <row r="2" spans="5:19" ht="14.45" x14ac:dyDescent="0.3">
      <c r="G2" t="s">
        <v>45</v>
      </c>
      <c r="H2" t="s">
        <v>46</v>
      </c>
      <c r="R2" t="s">
        <v>45</v>
      </c>
      <c r="S2" t="s">
        <v>46</v>
      </c>
    </row>
    <row r="3" spans="5:19" ht="14.45" x14ac:dyDescent="0.3">
      <c r="E3" s="4">
        <v>2000</v>
      </c>
      <c r="F3" s="4" t="s">
        <v>19</v>
      </c>
      <c r="G3" s="5">
        <v>231</v>
      </c>
      <c r="H3">
        <v>227.21977389285485</v>
      </c>
      <c r="R3" s="5">
        <v>841</v>
      </c>
      <c r="S3">
        <v>902.16578045790357</v>
      </c>
    </row>
    <row r="4" spans="5:19" ht="14.45" x14ac:dyDescent="0.3">
      <c r="E4" s="4">
        <v>2001</v>
      </c>
      <c r="F4" s="4" t="s">
        <v>20</v>
      </c>
      <c r="G4" s="5">
        <v>184</v>
      </c>
      <c r="H4">
        <v>188.7517503233594</v>
      </c>
      <c r="R4" s="5">
        <v>760</v>
      </c>
      <c r="S4">
        <v>726.02656509553003</v>
      </c>
    </row>
    <row r="5" spans="5:19" ht="14.45" x14ac:dyDescent="0.3">
      <c r="E5" s="4">
        <v>2001</v>
      </c>
      <c r="F5" s="4" t="s">
        <v>21</v>
      </c>
      <c r="G5" s="5">
        <v>242</v>
      </c>
      <c r="H5">
        <v>211.34822896315242</v>
      </c>
      <c r="R5" s="5">
        <v>714</v>
      </c>
      <c r="S5">
        <v>692.58677186517946</v>
      </c>
    </row>
    <row r="6" spans="5:19" ht="14.45" x14ac:dyDescent="0.3">
      <c r="E6" s="4">
        <v>2001</v>
      </c>
      <c r="F6" s="4" t="s">
        <v>22</v>
      </c>
      <c r="G6" s="5">
        <v>211</v>
      </c>
      <c r="H6">
        <v>198.48514888549116</v>
      </c>
      <c r="R6" s="5">
        <v>893</v>
      </c>
      <c r="S6">
        <v>906.99240267513665</v>
      </c>
    </row>
    <row r="7" spans="5:19" ht="14.45" x14ac:dyDescent="0.3">
      <c r="E7" s="4">
        <v>2001</v>
      </c>
      <c r="F7" s="4" t="s">
        <v>23</v>
      </c>
      <c r="G7" s="5">
        <v>230</v>
      </c>
      <c r="H7">
        <v>242.4592682795512</v>
      </c>
      <c r="R7" s="5">
        <v>842</v>
      </c>
      <c r="S7">
        <v>888.36174490291853</v>
      </c>
    </row>
    <row r="8" spans="5:19" ht="14.45" x14ac:dyDescent="0.3">
      <c r="E8" s="4">
        <v>2001</v>
      </c>
      <c r="F8" s="4" t="s">
        <v>24</v>
      </c>
      <c r="G8" s="5">
        <v>216</v>
      </c>
      <c r="H8">
        <v>223.82920816050688</v>
      </c>
      <c r="R8" s="5">
        <v>825</v>
      </c>
      <c r="S8">
        <v>847.31230449025441</v>
      </c>
    </row>
    <row r="9" spans="5:19" ht="14.45" x14ac:dyDescent="0.3">
      <c r="E9" s="4">
        <v>2001</v>
      </c>
      <c r="F9" s="4" t="s">
        <v>25</v>
      </c>
      <c r="G9" s="5">
        <v>189</v>
      </c>
      <c r="H9">
        <v>188.97183101898491</v>
      </c>
      <c r="R9" s="5">
        <v>739</v>
      </c>
      <c r="S9">
        <v>706.35446130818832</v>
      </c>
    </row>
    <row r="10" spans="5:19" ht="14.45" x14ac:dyDescent="0.3">
      <c r="E10" s="4">
        <v>2001</v>
      </c>
      <c r="F10" s="4" t="s">
        <v>26</v>
      </c>
      <c r="G10" s="5">
        <v>160</v>
      </c>
      <c r="H10">
        <v>152.968338530784</v>
      </c>
      <c r="R10" s="5">
        <v>633</v>
      </c>
      <c r="S10">
        <v>647.16244070111509</v>
      </c>
    </row>
    <row r="11" spans="5:19" ht="14.45" x14ac:dyDescent="0.3">
      <c r="E11" s="4">
        <v>2001</v>
      </c>
      <c r="F11" s="4" t="s">
        <v>27</v>
      </c>
      <c r="G11" s="5">
        <v>131</v>
      </c>
      <c r="H11">
        <v>120.17717129180735</v>
      </c>
      <c r="R11" s="5">
        <v>602</v>
      </c>
      <c r="S11">
        <v>564.62729689802723</v>
      </c>
    </row>
    <row r="12" spans="5:19" ht="14.45" x14ac:dyDescent="0.3">
      <c r="E12" s="4">
        <v>2001</v>
      </c>
      <c r="F12" s="4" t="s">
        <v>28</v>
      </c>
      <c r="G12" s="5">
        <v>142</v>
      </c>
      <c r="H12">
        <v>143.75103333623611</v>
      </c>
      <c r="R12" s="5">
        <v>635</v>
      </c>
      <c r="S12">
        <v>630.80519910314547</v>
      </c>
    </row>
    <row r="13" spans="5:19" ht="14.45" x14ac:dyDescent="0.3">
      <c r="E13" s="4">
        <v>2001</v>
      </c>
      <c r="F13" s="4" t="s">
        <v>29</v>
      </c>
      <c r="G13" s="5">
        <v>112</v>
      </c>
      <c r="H13">
        <v>115.02454874456295</v>
      </c>
      <c r="R13" s="5">
        <v>539</v>
      </c>
      <c r="S13">
        <v>533.64909848826483</v>
      </c>
    </row>
    <row r="14" spans="5:19" ht="14.45" x14ac:dyDescent="0.3">
      <c r="E14" s="4">
        <v>2001</v>
      </c>
      <c r="F14" s="4" t="s">
        <v>30</v>
      </c>
      <c r="G14" s="5">
        <v>135</v>
      </c>
      <c r="H14">
        <v>133.72199322233834</v>
      </c>
      <c r="R14" s="5">
        <v>562</v>
      </c>
      <c r="S14">
        <v>549.92082215763071</v>
      </c>
    </row>
    <row r="15" spans="5:19" ht="14.45" x14ac:dyDescent="0.3">
      <c r="E15" s="4">
        <v>2001</v>
      </c>
      <c r="F15" s="4" t="s">
        <v>19</v>
      </c>
      <c r="G15" s="5">
        <v>127</v>
      </c>
      <c r="H15">
        <v>126.55278545931156</v>
      </c>
      <c r="R15" s="5">
        <v>502</v>
      </c>
      <c r="S15">
        <v>536.48207818491835</v>
      </c>
    </row>
    <row r="16" spans="5:19" ht="14.45" x14ac:dyDescent="0.3">
      <c r="E16" s="4">
        <v>2002</v>
      </c>
      <c r="F16" s="4" t="s">
        <v>20</v>
      </c>
      <c r="G16" s="5">
        <v>103</v>
      </c>
      <c r="H16">
        <v>105.65994719188053</v>
      </c>
      <c r="R16" s="5">
        <v>586</v>
      </c>
      <c r="S16">
        <v>561.52944299203511</v>
      </c>
    </row>
    <row r="17" spans="5:19" ht="14.45" x14ac:dyDescent="0.3">
      <c r="E17" s="4">
        <v>2002</v>
      </c>
      <c r="F17" s="4" t="s">
        <v>21</v>
      </c>
      <c r="G17" s="5">
        <v>111</v>
      </c>
      <c r="H17">
        <v>98.350165953150139</v>
      </c>
      <c r="R17" s="5">
        <v>494</v>
      </c>
      <c r="S17">
        <v>480.42469742047058</v>
      </c>
    </row>
    <row r="18" spans="5:19" ht="14.45" x14ac:dyDescent="0.3">
      <c r="E18" s="4">
        <v>2002</v>
      </c>
      <c r="F18" s="4" t="s">
        <v>22</v>
      </c>
      <c r="G18" s="5">
        <v>130</v>
      </c>
      <c r="H18">
        <v>122.96397028515793</v>
      </c>
      <c r="R18" s="5">
        <v>545</v>
      </c>
      <c r="S18">
        <v>552.26703675769443</v>
      </c>
    </row>
    <row r="19" spans="5:19" ht="14.45" x14ac:dyDescent="0.3">
      <c r="E19" s="4">
        <v>2002</v>
      </c>
      <c r="F19" s="4" t="s">
        <v>23</v>
      </c>
      <c r="G19" s="5">
        <v>91</v>
      </c>
      <c r="H19">
        <v>96.007361265057185</v>
      </c>
      <c r="R19" s="5">
        <v>530</v>
      </c>
      <c r="S19">
        <v>557.80853749718142</v>
      </c>
    </row>
    <row r="20" spans="5:19" ht="14.45" x14ac:dyDescent="0.3">
      <c r="E20" s="4">
        <v>2002</v>
      </c>
      <c r="F20" s="4" t="s">
        <v>24</v>
      </c>
      <c r="G20" s="5">
        <v>108</v>
      </c>
      <c r="H20">
        <v>111.91460408025344</v>
      </c>
      <c r="R20" s="5">
        <v>629</v>
      </c>
      <c r="S20">
        <v>640.9668373967454</v>
      </c>
    </row>
    <row r="21" spans="5:19" ht="14.45" x14ac:dyDescent="0.3">
      <c r="E21" s="4">
        <v>2002</v>
      </c>
      <c r="F21" s="4" t="s">
        <v>25</v>
      </c>
      <c r="G21" s="5">
        <v>127</v>
      </c>
      <c r="H21">
        <v>125.67092210622148</v>
      </c>
      <c r="R21" s="5">
        <v>531</v>
      </c>
      <c r="S21">
        <v>513.51862797970853</v>
      </c>
    </row>
    <row r="22" spans="5:19" ht="14.45" x14ac:dyDescent="0.3">
      <c r="E22" s="4">
        <v>2002</v>
      </c>
      <c r="F22" s="4" t="s">
        <v>26</v>
      </c>
      <c r="G22" s="5">
        <v>95</v>
      </c>
      <c r="H22">
        <v>91.448463252099117</v>
      </c>
      <c r="R22" s="5">
        <v>591</v>
      </c>
      <c r="S22">
        <v>601.8799375616785</v>
      </c>
    </row>
    <row r="23" spans="5:19" ht="14.45" x14ac:dyDescent="0.3">
      <c r="E23" s="4">
        <v>2002</v>
      </c>
      <c r="F23" s="4" t="s">
        <v>27</v>
      </c>
      <c r="G23" s="5">
        <v>117</v>
      </c>
      <c r="H23">
        <v>107.57795172089206</v>
      </c>
      <c r="R23" s="5">
        <v>600</v>
      </c>
      <c r="S23">
        <v>566.63664670905223</v>
      </c>
    </row>
    <row r="24" spans="5:19" ht="14.45" x14ac:dyDescent="0.3">
      <c r="E24" s="4">
        <v>2002</v>
      </c>
      <c r="F24" s="4" t="s">
        <v>28</v>
      </c>
      <c r="G24" s="5">
        <v>127</v>
      </c>
      <c r="H24">
        <v>126.50090933588778</v>
      </c>
      <c r="R24" s="5">
        <v>564</v>
      </c>
      <c r="S24">
        <v>559.48805079689805</v>
      </c>
    </row>
    <row r="25" spans="5:19" ht="14.45" x14ac:dyDescent="0.3">
      <c r="E25" s="4">
        <v>2002</v>
      </c>
      <c r="F25" s="4" t="s">
        <v>29</v>
      </c>
      <c r="G25" s="5">
        <v>126</v>
      </c>
      <c r="H25">
        <v>130.42962223713835</v>
      </c>
      <c r="R25" s="5">
        <v>692</v>
      </c>
      <c r="S25">
        <v>685.85510223100471</v>
      </c>
    </row>
    <row r="26" spans="5:19" ht="14.45" x14ac:dyDescent="0.3">
      <c r="E26" s="4">
        <v>2002</v>
      </c>
      <c r="F26" s="4" t="s">
        <v>30</v>
      </c>
      <c r="G26" s="5">
        <v>112</v>
      </c>
      <c r="H26">
        <v>111.21433099679624</v>
      </c>
      <c r="R26" s="5">
        <v>667</v>
      </c>
      <c r="S26">
        <v>653.23927965391283</v>
      </c>
    </row>
    <row r="27" spans="5:19" ht="14.45" x14ac:dyDescent="0.3">
      <c r="E27" s="4">
        <v>2002</v>
      </c>
      <c r="F27" s="4" t="s">
        <v>19</v>
      </c>
      <c r="G27" s="5">
        <v>96</v>
      </c>
      <c r="H27">
        <v>96.352688929248572</v>
      </c>
      <c r="R27" s="5">
        <v>566</v>
      </c>
      <c r="S27">
        <v>602.17376122796964</v>
      </c>
    </row>
    <row r="28" spans="5:19" ht="14.45" x14ac:dyDescent="0.3">
      <c r="E28" s="4">
        <v>2003</v>
      </c>
      <c r="F28" s="4" t="s">
        <v>20</v>
      </c>
      <c r="G28" s="5">
        <v>115</v>
      </c>
      <c r="H28">
        <v>118.99566868211788</v>
      </c>
      <c r="R28" s="5">
        <v>894</v>
      </c>
      <c r="S28">
        <v>863.82520141259397</v>
      </c>
    </row>
    <row r="29" spans="5:19" x14ac:dyDescent="0.25">
      <c r="E29" s="4">
        <v>2003</v>
      </c>
      <c r="F29" s="4" t="s">
        <v>21</v>
      </c>
      <c r="G29" s="5">
        <v>94</v>
      </c>
      <c r="H29">
        <v>82.655990535094261</v>
      </c>
      <c r="R29" s="5">
        <v>787</v>
      </c>
      <c r="S29">
        <v>768.06750988877775</v>
      </c>
    </row>
    <row r="30" spans="5:19" x14ac:dyDescent="0.25">
      <c r="E30" s="4">
        <v>2003</v>
      </c>
      <c r="F30" s="4" t="s">
        <v>22</v>
      </c>
      <c r="G30" s="5">
        <v>89</v>
      </c>
      <c r="H30">
        <v>85.203380984991327</v>
      </c>
      <c r="R30" s="5">
        <v>634</v>
      </c>
      <c r="S30">
        <v>642.54145622770227</v>
      </c>
    </row>
    <row r="31" spans="5:19" x14ac:dyDescent="0.25">
      <c r="E31" s="4">
        <v>2003</v>
      </c>
      <c r="F31" s="4" t="s">
        <v>23</v>
      </c>
      <c r="G31" s="5">
        <v>143</v>
      </c>
      <c r="H31">
        <v>149.70639383703832</v>
      </c>
      <c r="R31" s="5">
        <v>496</v>
      </c>
      <c r="S31">
        <v>521.18474463120481</v>
      </c>
    </row>
    <row r="32" spans="5:19" x14ac:dyDescent="0.25">
      <c r="E32" s="4">
        <v>2003</v>
      </c>
      <c r="F32" s="4" t="s">
        <v>24</v>
      </c>
      <c r="G32" s="5">
        <v>97</v>
      </c>
      <c r="H32">
        <v>99.292656251653426</v>
      </c>
      <c r="R32" s="5">
        <v>605</v>
      </c>
      <c r="S32">
        <v>610.06485923298317</v>
      </c>
    </row>
    <row r="33" spans="5:19" x14ac:dyDescent="0.25">
      <c r="E33" s="4">
        <v>2003</v>
      </c>
      <c r="F33" s="4" t="s">
        <v>25</v>
      </c>
      <c r="G33" s="5">
        <v>107</v>
      </c>
      <c r="H33">
        <v>104.26032056219857</v>
      </c>
      <c r="R33" s="5">
        <v>601</v>
      </c>
      <c r="S33">
        <v>585.96523939593294</v>
      </c>
    </row>
    <row r="34" spans="5:19" x14ac:dyDescent="0.25">
      <c r="E34" s="4">
        <v>2003</v>
      </c>
      <c r="F34" s="4" t="s">
        <v>26</v>
      </c>
      <c r="G34" s="5">
        <v>127</v>
      </c>
      <c r="H34">
        <v>123.8711002232979</v>
      </c>
      <c r="R34" s="5">
        <v>676</v>
      </c>
      <c r="S34">
        <v>683.01108901983582</v>
      </c>
    </row>
    <row r="35" spans="5:19" x14ac:dyDescent="0.25">
      <c r="E35" s="4">
        <v>2003</v>
      </c>
      <c r="F35" s="4" t="s">
        <v>27</v>
      </c>
      <c r="G35" s="5">
        <v>105</v>
      </c>
      <c r="H35">
        <v>98.855415094873791</v>
      </c>
      <c r="R35" s="5">
        <v>765</v>
      </c>
      <c r="S35">
        <v>727.38463159105288</v>
      </c>
    </row>
    <row r="36" spans="5:19" x14ac:dyDescent="0.25">
      <c r="E36" s="4">
        <v>2003</v>
      </c>
      <c r="F36" s="4" t="s">
        <v>28</v>
      </c>
      <c r="G36" s="5">
        <v>54</v>
      </c>
      <c r="H36">
        <v>52.708712223286575</v>
      </c>
      <c r="R36" s="5">
        <v>657</v>
      </c>
      <c r="S36">
        <v>650.89453665420103</v>
      </c>
    </row>
    <row r="37" spans="5:19" x14ac:dyDescent="0.25">
      <c r="E37" s="4">
        <v>2003</v>
      </c>
      <c r="F37" s="4" t="s">
        <v>29</v>
      </c>
      <c r="G37" s="5">
        <v>79</v>
      </c>
      <c r="H37">
        <v>81.133387060897078</v>
      </c>
      <c r="R37" s="5">
        <v>573</v>
      </c>
      <c r="S37">
        <v>567.98825786924886</v>
      </c>
    </row>
    <row r="38" spans="5:19" x14ac:dyDescent="0.25">
      <c r="E38" s="4">
        <v>2003</v>
      </c>
      <c r="F38" s="4" t="s">
        <v>30</v>
      </c>
      <c r="G38" s="5">
        <v>104</v>
      </c>
      <c r="H38">
        <v>99.298509818568078</v>
      </c>
      <c r="R38" s="5">
        <v>648</v>
      </c>
      <c r="S38">
        <v>635.46406115992875</v>
      </c>
    </row>
    <row r="39" spans="5:19" x14ac:dyDescent="0.25">
      <c r="E39" s="4">
        <v>2003</v>
      </c>
      <c r="F39" s="4" t="s">
        <v>19</v>
      </c>
      <c r="G39" s="5">
        <v>108</v>
      </c>
      <c r="H39">
        <v>110.73368727689761</v>
      </c>
      <c r="R39" s="5">
        <v>622</v>
      </c>
      <c r="S39">
        <v>659.10655319861405</v>
      </c>
    </row>
    <row r="40" spans="5:19" x14ac:dyDescent="0.25">
      <c r="E40" s="4">
        <v>2004</v>
      </c>
      <c r="F40" s="4" t="s">
        <v>20</v>
      </c>
      <c r="G40" s="5">
        <v>126</v>
      </c>
      <c r="H40">
        <v>133.3572149023735</v>
      </c>
      <c r="R40" s="5">
        <v>586</v>
      </c>
      <c r="S40">
        <v>567.55813333090668</v>
      </c>
    </row>
    <row r="41" spans="5:19" x14ac:dyDescent="0.25">
      <c r="E41" s="4">
        <v>2004</v>
      </c>
      <c r="F41" s="4" t="s">
        <v>21</v>
      </c>
      <c r="G41" s="5">
        <v>118</v>
      </c>
      <c r="H41">
        <v>105.67411448157621</v>
      </c>
      <c r="R41" s="5">
        <v>679</v>
      </c>
      <c r="S41">
        <v>666.06651255959082</v>
      </c>
    </row>
    <row r="42" spans="5:19" x14ac:dyDescent="0.25">
      <c r="E42" s="4">
        <v>2004</v>
      </c>
      <c r="F42" s="4" t="s">
        <v>22</v>
      </c>
      <c r="G42" s="5">
        <v>124</v>
      </c>
      <c r="H42">
        <v>121.99575004669212</v>
      </c>
      <c r="R42" s="5">
        <v>547</v>
      </c>
      <c r="S42">
        <v>555.45319273898883</v>
      </c>
    </row>
    <row r="43" spans="5:19" x14ac:dyDescent="0.25">
      <c r="E43" s="4">
        <v>2004</v>
      </c>
      <c r="F43" s="4" t="s">
        <v>23</v>
      </c>
      <c r="G43" s="5">
        <v>131</v>
      </c>
      <c r="H43">
        <v>135.06120313558893</v>
      </c>
      <c r="R43" s="5">
        <v>691</v>
      </c>
      <c r="S43">
        <v>723.08514120004997</v>
      </c>
    </row>
    <row r="44" spans="5:19" x14ac:dyDescent="0.25">
      <c r="E44" s="4">
        <v>2004</v>
      </c>
      <c r="F44" s="4" t="s">
        <v>24</v>
      </c>
      <c r="G44" s="5">
        <v>135</v>
      </c>
      <c r="H44">
        <v>135.47557336030681</v>
      </c>
      <c r="R44" s="5">
        <v>666</v>
      </c>
      <c r="S44">
        <v>663.8941115182464</v>
      </c>
    </row>
    <row r="45" spans="5:19" x14ac:dyDescent="0.25">
      <c r="E45" s="4">
        <v>2004</v>
      </c>
      <c r="F45" s="4" t="s">
        <v>25</v>
      </c>
      <c r="G45" s="5">
        <v>114</v>
      </c>
      <c r="H45">
        <v>107.98390343941995</v>
      </c>
      <c r="R45" s="5">
        <v>710</v>
      </c>
      <c r="S45">
        <v>694.63515652026967</v>
      </c>
    </row>
    <row r="46" spans="5:19" x14ac:dyDescent="0.25">
      <c r="E46" s="4">
        <v>2004</v>
      </c>
      <c r="F46" s="4" t="s">
        <v>26</v>
      </c>
      <c r="G46" s="5">
        <v>113</v>
      </c>
      <c r="H46">
        <v>112.23220490030346</v>
      </c>
      <c r="R46" s="5">
        <v>754</v>
      </c>
      <c r="S46">
        <v>756.5951566214203</v>
      </c>
    </row>
    <row r="47" spans="5:19" x14ac:dyDescent="0.25">
      <c r="E47" s="4">
        <v>2004</v>
      </c>
      <c r="F47" s="4" t="s">
        <v>27</v>
      </c>
      <c r="G47" s="5">
        <v>131</v>
      </c>
      <c r="H47">
        <v>127.93053718160137</v>
      </c>
      <c r="R47" s="5">
        <v>685</v>
      </c>
      <c r="S47">
        <v>654.04336348864013</v>
      </c>
    </row>
    <row r="48" spans="5:19" x14ac:dyDescent="0.25">
      <c r="E48" s="4">
        <v>2004</v>
      </c>
      <c r="F48" s="4" t="s">
        <v>28</v>
      </c>
      <c r="G48" s="5">
        <v>113</v>
      </c>
      <c r="H48">
        <v>105.41742444657315</v>
      </c>
      <c r="R48" s="5">
        <v>706</v>
      </c>
      <c r="S48">
        <v>700.11341365428723</v>
      </c>
    </row>
    <row r="49" spans="5:19" x14ac:dyDescent="0.25">
      <c r="E49" s="4">
        <v>2004</v>
      </c>
      <c r="F49" s="4" t="s">
        <v>29</v>
      </c>
      <c r="G49" s="5">
        <v>144</v>
      </c>
      <c r="H49">
        <v>146.86170062921877</v>
      </c>
      <c r="R49" s="5">
        <v>732</v>
      </c>
      <c r="S49">
        <v>728.54703011006586</v>
      </c>
    </row>
    <row r="50" spans="5:19" x14ac:dyDescent="0.25">
      <c r="E50" s="4">
        <v>2004</v>
      </c>
      <c r="F50" s="4" t="s">
        <v>30</v>
      </c>
      <c r="G50" s="5">
        <v>149</v>
      </c>
      <c r="H50">
        <v>136.36995348416681</v>
      </c>
      <c r="R50" s="5">
        <v>607</v>
      </c>
      <c r="S50">
        <v>597.69172186021274</v>
      </c>
    </row>
    <row r="51" spans="5:19" x14ac:dyDescent="0.25">
      <c r="E51" s="4">
        <v>2004</v>
      </c>
      <c r="F51" s="4" t="s">
        <v>19</v>
      </c>
      <c r="G51" s="5">
        <v>148</v>
      </c>
      <c r="H51">
        <v>156.75288198937454</v>
      </c>
      <c r="R51" s="5">
        <v>705</v>
      </c>
      <c r="S51">
        <v>745.60060253863151</v>
      </c>
    </row>
    <row r="52" spans="5:19" x14ac:dyDescent="0.25">
      <c r="E52" s="4">
        <v>2005</v>
      </c>
      <c r="F52" s="4" t="s">
        <v>20</v>
      </c>
      <c r="G52" s="5">
        <v>140</v>
      </c>
      <c r="H52">
        <v>148.74458585264736</v>
      </c>
      <c r="R52" s="5">
        <v>646</v>
      </c>
      <c r="S52">
        <v>629.56751967358537</v>
      </c>
    </row>
    <row r="53" spans="5:19" x14ac:dyDescent="0.25">
      <c r="E53" s="4">
        <v>2005</v>
      </c>
      <c r="F53" s="4" t="s">
        <v>21</v>
      </c>
      <c r="G53" s="5">
        <v>154</v>
      </c>
      <c r="H53">
        <v>143.34013548491029</v>
      </c>
      <c r="R53" s="5">
        <v>686</v>
      </c>
      <c r="S53">
        <v>677.28662226580138</v>
      </c>
    </row>
    <row r="54" spans="5:19" x14ac:dyDescent="0.25">
      <c r="E54" s="4">
        <v>2005</v>
      </c>
      <c r="F54" s="4" t="s">
        <v>22</v>
      </c>
      <c r="G54" s="5">
        <v>148</v>
      </c>
      <c r="H54">
        <v>146.20125600833737</v>
      </c>
      <c r="R54" s="5">
        <v>739</v>
      </c>
      <c r="S54">
        <v>747.68460361041707</v>
      </c>
    </row>
    <row r="55" spans="5:19" x14ac:dyDescent="0.25">
      <c r="E55" s="4">
        <v>2005</v>
      </c>
      <c r="F55" s="4" t="s">
        <v>23</v>
      </c>
      <c r="G55" s="5">
        <v>143</v>
      </c>
      <c r="H55">
        <v>144.01104189758578</v>
      </c>
      <c r="R55" s="5">
        <v>796</v>
      </c>
      <c r="S55">
        <v>830.13930496213527</v>
      </c>
    </row>
    <row r="56" spans="5:19" x14ac:dyDescent="0.25">
      <c r="E56" s="4">
        <v>2005</v>
      </c>
      <c r="F56" s="4" t="s">
        <v>24</v>
      </c>
      <c r="G56" s="5">
        <v>142</v>
      </c>
      <c r="H56">
        <v>139.68288930317348</v>
      </c>
      <c r="R56" s="5">
        <v>790</v>
      </c>
      <c r="S56">
        <v>776.5368061151861</v>
      </c>
    </row>
    <row r="57" spans="5:19" x14ac:dyDescent="0.25">
      <c r="E57" s="4">
        <v>2005</v>
      </c>
      <c r="F57" s="4" t="s">
        <v>25</v>
      </c>
      <c r="G57" s="5">
        <v>142</v>
      </c>
      <c r="H57">
        <v>134.04898357996959</v>
      </c>
      <c r="R57" s="5">
        <v>883</v>
      </c>
      <c r="S57">
        <v>864.03238027291206</v>
      </c>
    </row>
    <row r="58" spans="5:19" x14ac:dyDescent="0.25">
      <c r="E58" s="4">
        <v>2005</v>
      </c>
      <c r="F58" s="4" t="s">
        <v>26</v>
      </c>
      <c r="G58" s="5">
        <v>147</v>
      </c>
      <c r="H58">
        <v>151.30563919892762</v>
      </c>
      <c r="R58" s="5">
        <v>851</v>
      </c>
      <c r="S58">
        <v>852.82047579272319</v>
      </c>
    </row>
    <row r="59" spans="5:19" x14ac:dyDescent="0.25">
      <c r="E59" s="4">
        <v>2005</v>
      </c>
      <c r="F59" s="4" t="s">
        <v>27</v>
      </c>
      <c r="G59" s="5">
        <v>149</v>
      </c>
      <c r="H59">
        <v>149.25229337853494</v>
      </c>
      <c r="R59" s="5">
        <v>871</v>
      </c>
      <c r="S59">
        <v>837.89887119742832</v>
      </c>
    </row>
    <row r="60" spans="5:19" x14ac:dyDescent="0.25">
      <c r="E60" s="4">
        <v>2005</v>
      </c>
      <c r="F60" s="4" t="s">
        <v>28</v>
      </c>
      <c r="G60" s="5">
        <v>161</v>
      </c>
      <c r="H60">
        <v>146.62605400296084</v>
      </c>
      <c r="R60" s="5">
        <v>831</v>
      </c>
      <c r="S60">
        <v>823.66283959327905</v>
      </c>
    </row>
    <row r="61" spans="5:19" x14ac:dyDescent="0.25">
      <c r="E61" s="4">
        <v>2005</v>
      </c>
      <c r="F61" s="4" t="s">
        <v>29</v>
      </c>
      <c r="G61" s="5">
        <v>171</v>
      </c>
      <c r="H61">
        <v>171.50981821733939</v>
      </c>
      <c r="R61" s="5">
        <v>842</v>
      </c>
      <c r="S61">
        <v>843.62961830579604</v>
      </c>
    </row>
    <row r="62" spans="5:19" x14ac:dyDescent="0.25">
      <c r="E62" s="4">
        <v>2005</v>
      </c>
      <c r="F62" s="4" t="s">
        <v>30</v>
      </c>
      <c r="G62" s="5">
        <v>232</v>
      </c>
      <c r="H62">
        <v>202.56896002987887</v>
      </c>
      <c r="R62" s="5">
        <v>849</v>
      </c>
      <c r="S62">
        <v>838.76812268487106</v>
      </c>
    </row>
    <row r="63" spans="5:19" x14ac:dyDescent="0.25">
      <c r="E63" s="4">
        <v>2005</v>
      </c>
      <c r="F63" s="4" t="s">
        <v>19</v>
      </c>
      <c r="G63" s="5">
        <v>161</v>
      </c>
      <c r="H63">
        <v>176.88627967608321</v>
      </c>
      <c r="R63" s="5">
        <v>831</v>
      </c>
      <c r="S63">
        <v>875.88910724068307</v>
      </c>
    </row>
    <row r="64" spans="5:19" x14ac:dyDescent="0.25">
      <c r="E64" s="4">
        <v>2006</v>
      </c>
      <c r="F64" s="4" t="s">
        <v>20</v>
      </c>
      <c r="G64" s="5">
        <v>140</v>
      </c>
      <c r="H64">
        <v>149.77041058266562</v>
      </c>
      <c r="R64" s="5">
        <v>875</v>
      </c>
      <c r="S64">
        <v>854.35154516579576</v>
      </c>
    </row>
    <row r="65" spans="5:19" x14ac:dyDescent="0.25">
      <c r="E65" s="4">
        <v>2006</v>
      </c>
      <c r="F65" s="4" t="s">
        <v>21</v>
      </c>
      <c r="G65" s="5">
        <v>141</v>
      </c>
      <c r="H65">
        <v>138.10874367889167</v>
      </c>
      <c r="R65" s="5">
        <v>847</v>
      </c>
      <c r="S65">
        <v>841.50822796579246</v>
      </c>
    </row>
    <row r="66" spans="5:19" x14ac:dyDescent="0.25">
      <c r="E66" s="4">
        <v>2006</v>
      </c>
      <c r="F66" s="4" t="s">
        <v>22</v>
      </c>
      <c r="G66" s="5">
        <v>183</v>
      </c>
      <c r="H66">
        <v>180.08896435464075</v>
      </c>
      <c r="R66" s="5">
        <v>746</v>
      </c>
      <c r="S66">
        <v>750.87075959171148</v>
      </c>
    </row>
    <row r="67" spans="5:19" x14ac:dyDescent="0.25">
      <c r="E67" s="4">
        <v>2006</v>
      </c>
      <c r="F67" s="4" t="s">
        <v>23</v>
      </c>
      <c r="G67" s="5">
        <v>186</v>
      </c>
      <c r="H67">
        <v>183.06488376811751</v>
      </c>
      <c r="R67" s="5">
        <v>713</v>
      </c>
      <c r="S67">
        <v>739.049358603168</v>
      </c>
    </row>
    <row r="68" spans="5:19" x14ac:dyDescent="0.25">
      <c r="E68" s="4">
        <v>2006</v>
      </c>
      <c r="F68" s="4" t="s">
        <v>24</v>
      </c>
      <c r="G68" s="5">
        <v>182</v>
      </c>
      <c r="H68">
        <v>174.18288003468018</v>
      </c>
      <c r="R68" s="5">
        <v>868</v>
      </c>
      <c r="S68">
        <v>841.33127645855848</v>
      </c>
    </row>
    <row r="69" spans="5:19" x14ac:dyDescent="0.25">
      <c r="E69" s="4">
        <v>2006</v>
      </c>
      <c r="F69" s="4" t="s">
        <v>25</v>
      </c>
      <c r="G69" s="5">
        <v>187</v>
      </c>
      <c r="H69">
        <v>178.73197810662612</v>
      </c>
      <c r="R69" s="5">
        <v>754</v>
      </c>
      <c r="S69">
        <v>738.31620163887555</v>
      </c>
    </row>
    <row r="70" spans="5:19" x14ac:dyDescent="0.25">
      <c r="E70" s="4">
        <v>2006</v>
      </c>
      <c r="F70" s="4" t="s">
        <v>26</v>
      </c>
      <c r="G70" s="5">
        <v>208</v>
      </c>
      <c r="H70">
        <v>214.48821380946885</v>
      </c>
      <c r="R70" s="5">
        <v>618</v>
      </c>
      <c r="S70">
        <v>618.86087623896719</v>
      </c>
    </row>
    <row r="71" spans="5:19" x14ac:dyDescent="0.25">
      <c r="E71" s="4">
        <v>2006</v>
      </c>
      <c r="F71" s="4" t="s">
        <v>27</v>
      </c>
      <c r="G71" s="5">
        <v>202</v>
      </c>
      <c r="H71">
        <v>204.49502534331734</v>
      </c>
      <c r="R71" s="5">
        <v>749</v>
      </c>
      <c r="S71">
        <v>722.36125706349037</v>
      </c>
    </row>
    <row r="72" spans="5:19" x14ac:dyDescent="0.25">
      <c r="E72" s="4">
        <v>2006</v>
      </c>
      <c r="F72" s="4" t="s">
        <v>28</v>
      </c>
      <c r="G72" s="5">
        <v>185</v>
      </c>
      <c r="H72">
        <v>170.58455955900018</v>
      </c>
      <c r="R72" s="5">
        <v>692</v>
      </c>
      <c r="S72">
        <v>691.07321175631216</v>
      </c>
    </row>
    <row r="73" spans="5:19" x14ac:dyDescent="0.25">
      <c r="E73" s="4">
        <v>2006</v>
      </c>
      <c r="F73" s="4" t="s">
        <v>29</v>
      </c>
      <c r="G73" s="5">
        <v>164</v>
      </c>
      <c r="H73">
        <v>160.2127643227841</v>
      </c>
      <c r="R73" s="5">
        <v>714</v>
      </c>
      <c r="S73">
        <v>718.33809083463825</v>
      </c>
    </row>
    <row r="74" spans="5:19" x14ac:dyDescent="0.25">
      <c r="E74" s="4">
        <v>2006</v>
      </c>
      <c r="F74" s="4" t="s">
        <v>30</v>
      </c>
      <c r="G74" s="5">
        <v>160</v>
      </c>
      <c r="H74">
        <v>137.69393361508105</v>
      </c>
      <c r="R74" s="5">
        <v>803</v>
      </c>
      <c r="S74">
        <v>796.55197876165892</v>
      </c>
    </row>
    <row r="75" spans="5:19" x14ac:dyDescent="0.25">
      <c r="E75" s="4">
        <v>2006</v>
      </c>
      <c r="F75" s="4" t="s">
        <v>19</v>
      </c>
      <c r="G75" s="5">
        <v>128</v>
      </c>
      <c r="H75">
        <v>145.24808331125533</v>
      </c>
      <c r="R75" s="5">
        <v>701</v>
      </c>
      <c r="S75">
        <v>735.74685008217375</v>
      </c>
    </row>
    <row r="76" spans="5:19" x14ac:dyDescent="0.25">
      <c r="E76" s="4">
        <v>2007</v>
      </c>
      <c r="F76" s="4" t="s">
        <v>20</v>
      </c>
      <c r="G76" s="5">
        <v>251</v>
      </c>
      <c r="H76">
        <v>263.63695561469223</v>
      </c>
      <c r="R76" s="5">
        <v>782</v>
      </c>
      <c r="S76">
        <v>764.78243155970426</v>
      </c>
    </row>
    <row r="77" spans="5:19" x14ac:dyDescent="0.25">
      <c r="E77" s="4">
        <v>2007</v>
      </c>
      <c r="F77" s="4" t="s">
        <v>21</v>
      </c>
      <c r="G77" s="5">
        <v>267</v>
      </c>
      <c r="H77">
        <v>270.98609555176472</v>
      </c>
      <c r="R77" s="5">
        <v>710</v>
      </c>
      <c r="S77">
        <v>705.84690151797372</v>
      </c>
    </row>
    <row r="78" spans="5:19" x14ac:dyDescent="0.25">
      <c r="E78" s="4">
        <v>2007</v>
      </c>
      <c r="F78" s="4" t="s">
        <v>22</v>
      </c>
      <c r="G78" s="5">
        <v>211</v>
      </c>
      <c r="H78">
        <v>206.23091079321762</v>
      </c>
      <c r="R78" s="5">
        <v>811</v>
      </c>
      <c r="S78">
        <v>813.53182722383451</v>
      </c>
    </row>
    <row r="79" spans="5:19" x14ac:dyDescent="0.25">
      <c r="E79" s="4">
        <v>2007</v>
      </c>
      <c r="F79" s="4" t="s">
        <v>23</v>
      </c>
      <c r="G79" s="5">
        <v>178</v>
      </c>
      <c r="H79">
        <v>173.30142330048457</v>
      </c>
      <c r="R79" s="5">
        <v>790</v>
      </c>
      <c r="S79">
        <v>813.23601594706918</v>
      </c>
    </row>
    <row r="80" spans="5:19" x14ac:dyDescent="0.25">
      <c r="E80" s="4">
        <v>2007</v>
      </c>
      <c r="F80" s="4" t="s">
        <v>24</v>
      </c>
      <c r="G80" s="5">
        <v>166</v>
      </c>
      <c r="H80">
        <v>155.67068988606681</v>
      </c>
      <c r="R80" s="5">
        <v>795</v>
      </c>
      <c r="S80">
        <v>764.57475005179424</v>
      </c>
    </row>
    <row r="81" spans="5:19" x14ac:dyDescent="0.25">
      <c r="E81" s="4">
        <v>2007</v>
      </c>
      <c r="F81" s="4" t="s">
        <v>25</v>
      </c>
      <c r="G81" s="5">
        <v>157</v>
      </c>
      <c r="H81">
        <v>153.59779368538182</v>
      </c>
      <c r="R81" s="5">
        <v>805</v>
      </c>
      <c r="S81">
        <v>793.71655154540008</v>
      </c>
    </row>
    <row r="82" spans="5:19" x14ac:dyDescent="0.25">
      <c r="E82" s="4">
        <v>2007</v>
      </c>
      <c r="F82" s="4" t="s">
        <v>26</v>
      </c>
      <c r="G82" s="5">
        <v>158</v>
      </c>
      <c r="H82">
        <v>163.77588418785024</v>
      </c>
      <c r="R82" s="5">
        <v>699</v>
      </c>
      <c r="S82">
        <v>698.10525673298139</v>
      </c>
    </row>
    <row r="83" spans="5:19" x14ac:dyDescent="0.25">
      <c r="E83" s="4">
        <v>2007</v>
      </c>
      <c r="F83" s="4" t="s">
        <v>27</v>
      </c>
      <c r="G83" s="5">
        <v>159</v>
      </c>
      <c r="H83">
        <v>158.94400074077745</v>
      </c>
      <c r="R83" s="5">
        <v>766</v>
      </c>
      <c r="S83">
        <v>743.45943007925302</v>
      </c>
    </row>
    <row r="84" spans="5:19" x14ac:dyDescent="0.25">
      <c r="E84" s="4">
        <v>2007</v>
      </c>
      <c r="F84" s="4" t="s">
        <v>28</v>
      </c>
      <c r="G84" s="5">
        <v>124</v>
      </c>
      <c r="H84">
        <v>118.83418755795519</v>
      </c>
      <c r="R84" s="5">
        <v>776</v>
      </c>
      <c r="S84">
        <v>776.4528963482984</v>
      </c>
    </row>
    <row r="85" spans="5:19" x14ac:dyDescent="0.25">
      <c r="E85" s="4">
        <v>2007</v>
      </c>
      <c r="F85" s="4" t="s">
        <v>29</v>
      </c>
      <c r="G85" s="5">
        <v>143</v>
      </c>
      <c r="H85">
        <v>137.61865653367352</v>
      </c>
      <c r="R85" s="5">
        <v>749</v>
      </c>
      <c r="S85">
        <v>756.38959177032325</v>
      </c>
    </row>
    <row r="86" spans="5:19" x14ac:dyDescent="0.25">
      <c r="E86" s="4">
        <v>2007</v>
      </c>
      <c r="F86" s="4" t="s">
        <v>30</v>
      </c>
      <c r="G86" s="5">
        <v>132</v>
      </c>
      <c r="H86">
        <v>112.53831112771049</v>
      </c>
      <c r="R86" s="5">
        <v>750</v>
      </c>
      <c r="S86">
        <v>745.44822559145496</v>
      </c>
    </row>
    <row r="87" spans="5:19" x14ac:dyDescent="0.25">
      <c r="E87" s="4">
        <v>2007</v>
      </c>
      <c r="F87" s="4" t="s">
        <v>19</v>
      </c>
      <c r="G87" s="5">
        <v>127</v>
      </c>
      <c r="H87">
        <v>143.8099834764904</v>
      </c>
      <c r="R87" s="5">
        <v>783</v>
      </c>
      <c r="S87">
        <v>818.95631527003866</v>
      </c>
    </row>
    <row r="88" spans="5:19" x14ac:dyDescent="0.25">
      <c r="E88" s="4">
        <v>2008</v>
      </c>
      <c r="F88" s="4" t="s">
        <v>20</v>
      </c>
      <c r="G88" s="5">
        <v>125</v>
      </c>
      <c r="H88">
        <v>129.25391598230047</v>
      </c>
      <c r="R88" s="5">
        <v>753</v>
      </c>
      <c r="S88">
        <v>744.11263611214474</v>
      </c>
    </row>
    <row r="89" spans="5:19" x14ac:dyDescent="0.25">
      <c r="E89" s="4">
        <v>2008</v>
      </c>
      <c r="F89" s="4" t="s">
        <v>21</v>
      </c>
      <c r="G89" s="5">
        <v>126</v>
      </c>
      <c r="H89">
        <v>133.92363023407677</v>
      </c>
      <c r="R89" s="5">
        <v>772</v>
      </c>
      <c r="S89">
        <v>759.90743010244285</v>
      </c>
    </row>
    <row r="90" spans="5:19" x14ac:dyDescent="0.25">
      <c r="E90" s="4">
        <v>2008</v>
      </c>
      <c r="F90" s="4" t="s">
        <v>22</v>
      </c>
      <c r="G90" s="5">
        <v>98</v>
      </c>
      <c r="H90">
        <v>92.949142892717802</v>
      </c>
      <c r="R90" s="5">
        <v>788</v>
      </c>
      <c r="S90">
        <v>797.6010473173626</v>
      </c>
    </row>
    <row r="91" spans="5:19" x14ac:dyDescent="0.25">
      <c r="E91" s="4">
        <v>2008</v>
      </c>
      <c r="F91" s="4" t="s">
        <v>23</v>
      </c>
      <c r="G91" s="5">
        <v>88</v>
      </c>
      <c r="H91">
        <v>86.243900797424246</v>
      </c>
      <c r="R91" s="5">
        <v>775</v>
      </c>
      <c r="S91">
        <v>790.69829726031446</v>
      </c>
    </row>
    <row r="92" spans="5:19" x14ac:dyDescent="0.25">
      <c r="E92" s="4">
        <v>2008</v>
      </c>
      <c r="F92" s="4" t="s">
        <v>24</v>
      </c>
      <c r="G92" s="5">
        <v>156</v>
      </c>
      <c r="H92">
        <v>143.0487420574668</v>
      </c>
      <c r="R92" s="5">
        <v>674</v>
      </c>
      <c r="S92">
        <v>629.00478133335355</v>
      </c>
    </row>
    <row r="93" spans="5:19" x14ac:dyDescent="0.25">
      <c r="E93" s="4">
        <v>2008</v>
      </c>
      <c r="F93" s="4" t="s">
        <v>25</v>
      </c>
      <c r="G93" s="5">
        <v>110</v>
      </c>
      <c r="H93">
        <v>110.77659059733598</v>
      </c>
      <c r="R93" s="5">
        <v>746</v>
      </c>
      <c r="S93">
        <v>738.31620163887555</v>
      </c>
    </row>
    <row r="94" spans="5:19" x14ac:dyDescent="0.25">
      <c r="E94" s="4">
        <v>2008</v>
      </c>
      <c r="F94" s="4" t="s">
        <v>26</v>
      </c>
      <c r="G94" s="5">
        <v>109</v>
      </c>
      <c r="H94">
        <v>110.56950556844711</v>
      </c>
      <c r="R94" s="5">
        <v>657</v>
      </c>
      <c r="S94">
        <v>649.99259714732989</v>
      </c>
    </row>
    <row r="95" spans="5:19" x14ac:dyDescent="0.25">
      <c r="E95" s="4">
        <v>2008</v>
      </c>
      <c r="F95" s="4" t="s">
        <v>27</v>
      </c>
      <c r="G95" s="5">
        <v>86</v>
      </c>
      <c r="H95">
        <v>85.287024787734254</v>
      </c>
      <c r="R95" s="5">
        <v>675</v>
      </c>
      <c r="S95">
        <v>675.14153650440267</v>
      </c>
    </row>
    <row r="96" spans="5:19" x14ac:dyDescent="0.25">
      <c r="E96" s="4">
        <v>2008</v>
      </c>
      <c r="F96" s="4" t="s">
        <v>28</v>
      </c>
      <c r="G96" s="5">
        <v>129</v>
      </c>
      <c r="H96">
        <v>129.37593000261251</v>
      </c>
      <c r="R96" s="5">
        <v>610</v>
      </c>
      <c r="S96">
        <v>610.71586155208979</v>
      </c>
    </row>
    <row r="97" spans="5:19" x14ac:dyDescent="0.25">
      <c r="E97" s="4">
        <v>2008</v>
      </c>
      <c r="F97" s="4" t="s">
        <v>29</v>
      </c>
      <c r="G97" s="5">
        <v>71</v>
      </c>
      <c r="H97">
        <v>68.809328266836758</v>
      </c>
      <c r="R97" s="5">
        <v>613</v>
      </c>
      <c r="S97">
        <v>619.96103963506243</v>
      </c>
    </row>
    <row r="98" spans="5:19" x14ac:dyDescent="0.25">
      <c r="E98" s="4">
        <v>2008</v>
      </c>
      <c r="F98" s="4" t="s">
        <v>30</v>
      </c>
      <c r="G98" s="5">
        <v>68</v>
      </c>
      <c r="H98">
        <v>59.579105891140841</v>
      </c>
      <c r="R98" s="5">
        <v>583</v>
      </c>
      <c r="S98">
        <v>588.8041126132207</v>
      </c>
    </row>
    <row r="99" spans="5:19" x14ac:dyDescent="0.25">
      <c r="E99" s="4">
        <v>2008</v>
      </c>
      <c r="F99" s="4" t="s">
        <v>19</v>
      </c>
      <c r="G99" s="5">
        <v>87</v>
      </c>
      <c r="H99">
        <v>93.476489259718775</v>
      </c>
      <c r="R99" s="5">
        <v>551</v>
      </c>
      <c r="S99">
        <v>567.13819693834228</v>
      </c>
    </row>
    <row r="100" spans="5:19" x14ac:dyDescent="0.25">
      <c r="E100" s="4">
        <v>2009</v>
      </c>
      <c r="F100" s="4" t="s">
        <v>20</v>
      </c>
      <c r="G100" s="5">
        <v>32</v>
      </c>
      <c r="H100">
        <v>32.826391360584246</v>
      </c>
      <c r="R100" s="5">
        <v>502</v>
      </c>
      <c r="S100">
        <v>498.65881517237477</v>
      </c>
    </row>
    <row r="101" spans="5:19" x14ac:dyDescent="0.25">
      <c r="E101" s="4">
        <v>2009</v>
      </c>
      <c r="F101" s="4" t="s">
        <v>21</v>
      </c>
      <c r="G101" s="5">
        <v>67</v>
      </c>
      <c r="H101">
        <v>70.100650200649568</v>
      </c>
      <c r="R101" s="5">
        <v>535</v>
      </c>
      <c r="S101">
        <v>523.26511629872914</v>
      </c>
    </row>
    <row r="102" spans="5:19" x14ac:dyDescent="0.25">
      <c r="E102" s="4">
        <v>2009</v>
      </c>
      <c r="F102" s="4" t="s">
        <v>22</v>
      </c>
      <c r="G102" s="5">
        <v>50</v>
      </c>
      <c r="H102">
        <v>46.474571446358901</v>
      </c>
      <c r="R102" s="5">
        <v>448</v>
      </c>
      <c r="S102">
        <v>456.68235731886273</v>
      </c>
    </row>
    <row r="103" spans="5:19" x14ac:dyDescent="0.25">
      <c r="E103" s="4">
        <v>2009</v>
      </c>
      <c r="F103" s="4" t="s">
        <v>23</v>
      </c>
      <c r="G103" s="5">
        <v>21</v>
      </c>
      <c r="H103">
        <v>21.154164346538025</v>
      </c>
      <c r="R103" s="5">
        <v>421</v>
      </c>
      <c r="S103">
        <v>423.52129698860068</v>
      </c>
    </row>
    <row r="104" spans="5:19" x14ac:dyDescent="0.25">
      <c r="E104" s="4">
        <v>2009</v>
      </c>
      <c r="F104" s="4" t="s">
        <v>24</v>
      </c>
      <c r="G104" s="5">
        <v>37</v>
      </c>
      <c r="H104">
        <v>33.658527542933371</v>
      </c>
      <c r="R104" s="5">
        <v>401</v>
      </c>
      <c r="S104">
        <v>374.81108998627724</v>
      </c>
    </row>
    <row r="105" spans="5:19" x14ac:dyDescent="0.25">
      <c r="E105" s="4">
        <v>2009</v>
      </c>
      <c r="F105" s="4" t="s">
        <v>25</v>
      </c>
      <c r="G105" s="5">
        <v>58</v>
      </c>
      <c r="H105">
        <v>58.646430316236696</v>
      </c>
      <c r="R105" s="5">
        <v>370</v>
      </c>
      <c r="S105">
        <v>364.36383976983467</v>
      </c>
    </row>
    <row r="106" spans="5:19" x14ac:dyDescent="0.25">
      <c r="E106" s="4">
        <v>2009</v>
      </c>
      <c r="F106" s="4" t="s">
        <v>26</v>
      </c>
      <c r="G106" s="5">
        <v>42</v>
      </c>
      <c r="H106">
        <v>41.567483296408689</v>
      </c>
      <c r="R106" s="5">
        <v>425</v>
      </c>
      <c r="S106">
        <v>421.69331048600361</v>
      </c>
    </row>
    <row r="107" spans="5:19" x14ac:dyDescent="0.25">
      <c r="E107" s="4">
        <v>2009</v>
      </c>
      <c r="F107" s="4" t="s">
        <v>27</v>
      </c>
      <c r="G107" s="5">
        <v>61</v>
      </c>
      <c r="H107">
        <v>61.057756382127927</v>
      </c>
      <c r="R107" s="5">
        <v>345</v>
      </c>
      <c r="S107">
        <v>350.63154202386391</v>
      </c>
    </row>
    <row r="108" spans="5:19" x14ac:dyDescent="0.25">
      <c r="E108" s="4">
        <v>2009</v>
      </c>
      <c r="F108" s="4" t="s">
        <v>28</v>
      </c>
      <c r="G108" s="5">
        <v>67</v>
      </c>
      <c r="H108">
        <v>69.00049600139333</v>
      </c>
      <c r="R108" s="5">
        <v>441</v>
      </c>
      <c r="S108">
        <v>441.96542612322293</v>
      </c>
    </row>
    <row r="109" spans="5:19" x14ac:dyDescent="0.25">
      <c r="E109" s="4">
        <v>2009</v>
      </c>
      <c r="F109" s="4" t="s">
        <v>29</v>
      </c>
      <c r="G109" s="5">
        <v>63</v>
      </c>
      <c r="H109">
        <v>61.620293970301582</v>
      </c>
      <c r="R109" s="5">
        <v>425</v>
      </c>
      <c r="S109">
        <v>431.5597057339881</v>
      </c>
    </row>
    <row r="110" spans="5:19" x14ac:dyDescent="0.25">
      <c r="E110" s="4">
        <v>2009</v>
      </c>
      <c r="F110" s="4" t="s">
        <v>30</v>
      </c>
      <c r="G110" s="5">
        <v>67</v>
      </c>
      <c r="H110">
        <v>62.227066152969321</v>
      </c>
      <c r="R110" s="5">
        <v>422</v>
      </c>
      <c r="S110">
        <v>427.71619501149053</v>
      </c>
    </row>
    <row r="111" spans="5:19" x14ac:dyDescent="0.25">
      <c r="E111" s="4">
        <v>2009</v>
      </c>
      <c r="F111" s="4" t="s">
        <v>19</v>
      </c>
      <c r="G111" s="5">
        <v>68</v>
      </c>
      <c r="H111">
        <v>70.466891903480303</v>
      </c>
      <c r="R111" s="5">
        <v>439</v>
      </c>
      <c r="S111">
        <v>443.4188605405958</v>
      </c>
    </row>
    <row r="112" spans="5:19" x14ac:dyDescent="0.25">
      <c r="E112" s="4">
        <v>2010</v>
      </c>
      <c r="F112" s="4" t="s">
        <v>20</v>
      </c>
      <c r="G112" s="5">
        <v>56</v>
      </c>
      <c r="H112">
        <v>56.420360151004168</v>
      </c>
      <c r="R112" s="5">
        <v>431</v>
      </c>
      <c r="S112">
        <v>429.75949701384286</v>
      </c>
    </row>
    <row r="113" spans="5:19" x14ac:dyDescent="0.25">
      <c r="E113" s="4">
        <v>2010</v>
      </c>
      <c r="F113" s="4" t="s">
        <v>21</v>
      </c>
      <c r="G113" s="5">
        <v>68</v>
      </c>
      <c r="H113">
        <v>69.054371839445835</v>
      </c>
      <c r="R113" s="5">
        <v>401</v>
      </c>
      <c r="S113">
        <v>391.68382974407791</v>
      </c>
    </row>
    <row r="114" spans="5:19" x14ac:dyDescent="0.25">
      <c r="E114" s="4">
        <v>2010</v>
      </c>
      <c r="F114" s="4" t="s">
        <v>22</v>
      </c>
      <c r="G114" s="5">
        <v>79</v>
      </c>
      <c r="H114">
        <v>72.616517884935789</v>
      </c>
      <c r="R114" s="5">
        <v>388</v>
      </c>
      <c r="S114">
        <v>396.14539367426931</v>
      </c>
    </row>
    <row r="115" spans="5:19" x14ac:dyDescent="0.25">
      <c r="E115" s="4">
        <v>2010</v>
      </c>
      <c r="F115" s="4" t="s">
        <v>23</v>
      </c>
      <c r="G115" s="5">
        <v>78</v>
      </c>
      <c r="H115">
        <v>79.734927152335629</v>
      </c>
      <c r="R115" s="5">
        <v>516</v>
      </c>
      <c r="S115">
        <v>511.7940285117237</v>
      </c>
    </row>
    <row r="116" spans="5:19" x14ac:dyDescent="0.25">
      <c r="E116" s="4">
        <v>2010</v>
      </c>
      <c r="F116" s="4" t="s">
        <v>24</v>
      </c>
      <c r="G116" s="5">
        <v>76</v>
      </c>
      <c r="H116">
        <v>71.524371028733398</v>
      </c>
      <c r="R116" s="5">
        <v>579</v>
      </c>
      <c r="S116">
        <v>546.2672268948935</v>
      </c>
    </row>
    <row r="117" spans="5:19" x14ac:dyDescent="0.25">
      <c r="E117" s="4">
        <v>2010</v>
      </c>
      <c r="F117" s="4" t="s">
        <v>25</v>
      </c>
      <c r="G117" s="5">
        <v>76</v>
      </c>
      <c r="H117">
        <v>76.333448983038238</v>
      </c>
      <c r="R117" s="5">
        <v>483</v>
      </c>
      <c r="S117">
        <v>478.36071361595253</v>
      </c>
    </row>
    <row r="118" spans="5:19" x14ac:dyDescent="0.25">
      <c r="E118" s="4">
        <v>2010</v>
      </c>
      <c r="F118" s="4" t="s">
        <v>26</v>
      </c>
      <c r="G118" s="5">
        <v>94</v>
      </c>
      <c r="H118">
        <v>88.954414254314599</v>
      </c>
      <c r="R118" s="5">
        <v>518</v>
      </c>
      <c r="S118">
        <v>519.80540062144962</v>
      </c>
    </row>
    <row r="119" spans="5:19" x14ac:dyDescent="0.25">
      <c r="E119" s="4">
        <v>2010</v>
      </c>
      <c r="F119" s="4" t="s">
        <v>27</v>
      </c>
      <c r="G119" s="5">
        <v>57</v>
      </c>
      <c r="H119">
        <v>57.181073437230914</v>
      </c>
      <c r="R119" s="5">
        <v>596</v>
      </c>
      <c r="S119">
        <v>608.83299274057742</v>
      </c>
    </row>
    <row r="120" spans="5:19" x14ac:dyDescent="0.25">
      <c r="E120" s="4">
        <v>2010</v>
      </c>
      <c r="F120" s="4" t="s">
        <v>28</v>
      </c>
      <c r="G120" s="5">
        <v>72</v>
      </c>
      <c r="H120">
        <v>76.667217779325924</v>
      </c>
      <c r="R120" s="5">
        <v>552</v>
      </c>
      <c r="S120">
        <v>552.45678265402864</v>
      </c>
    </row>
    <row r="121" spans="5:19" x14ac:dyDescent="0.25">
      <c r="E121" s="4">
        <v>2010</v>
      </c>
      <c r="F121" s="4" t="s">
        <v>29</v>
      </c>
      <c r="G121" s="5">
        <v>73</v>
      </c>
      <c r="H121">
        <v>74.971357663866925</v>
      </c>
      <c r="R121" s="5">
        <v>595</v>
      </c>
      <c r="S121">
        <v>601.39933186155758</v>
      </c>
    </row>
    <row r="122" spans="5:19" x14ac:dyDescent="0.25">
      <c r="E122" s="4">
        <v>2010</v>
      </c>
      <c r="F122" s="4" t="s">
        <v>30</v>
      </c>
      <c r="G122" s="5">
        <v>86</v>
      </c>
      <c r="H122">
        <v>84.73472837851142</v>
      </c>
      <c r="R122" s="5">
        <v>718</v>
      </c>
      <c r="S122">
        <v>723.22920247397485</v>
      </c>
    </row>
    <row r="123" spans="5:19" x14ac:dyDescent="0.25">
      <c r="E123" s="4">
        <v>2010</v>
      </c>
      <c r="F123" s="4" t="s">
        <v>19</v>
      </c>
      <c r="G123" s="5">
        <v>47</v>
      </c>
      <c r="H123">
        <v>46.019194712476931</v>
      </c>
      <c r="R123" s="5">
        <v>599</v>
      </c>
      <c r="S123">
        <v>592.32000877151188</v>
      </c>
    </row>
    <row r="124" spans="5:19" x14ac:dyDescent="0.25">
      <c r="E124" s="4">
        <v>2011</v>
      </c>
      <c r="F124" s="4" t="s">
        <v>20</v>
      </c>
      <c r="G124" s="5">
        <v>64</v>
      </c>
      <c r="H124">
        <v>62.57530853111372</v>
      </c>
      <c r="R124" s="5">
        <v>467</v>
      </c>
      <c r="S124">
        <v>468.51536347801704</v>
      </c>
    </row>
    <row r="125" spans="5:19" x14ac:dyDescent="0.25">
      <c r="E125" s="4">
        <v>2011</v>
      </c>
      <c r="F125" s="4" t="s">
        <v>21</v>
      </c>
      <c r="G125" s="5">
        <v>49</v>
      </c>
      <c r="H125">
        <v>47.082526254167618</v>
      </c>
      <c r="R125" s="5">
        <v>607</v>
      </c>
      <c r="S125">
        <v>591.60578450928438</v>
      </c>
    </row>
    <row r="126" spans="5:19" x14ac:dyDescent="0.25">
      <c r="E126" s="4">
        <v>2011</v>
      </c>
      <c r="F126" s="4" t="s">
        <v>22</v>
      </c>
      <c r="G126" s="5">
        <v>68</v>
      </c>
      <c r="H126">
        <v>62.934315500277677</v>
      </c>
      <c r="R126" s="5">
        <v>591</v>
      </c>
      <c r="S126">
        <v>604.30758445216952</v>
      </c>
    </row>
    <row r="127" spans="5:19" x14ac:dyDescent="0.25">
      <c r="E127" s="4">
        <v>2011</v>
      </c>
      <c r="F127" s="4" t="s">
        <v>23</v>
      </c>
      <c r="G127" s="5">
        <v>88</v>
      </c>
      <c r="H127">
        <v>91.939252736876796</v>
      </c>
      <c r="R127" s="5">
        <v>556</v>
      </c>
      <c r="S127">
        <v>546.53967815380406</v>
      </c>
    </row>
    <row r="128" spans="5:19" x14ac:dyDescent="0.25">
      <c r="E128" s="4">
        <v>2011</v>
      </c>
      <c r="F128" s="4" t="s">
        <v>24</v>
      </c>
      <c r="G128" s="5">
        <v>91</v>
      </c>
      <c r="H128">
        <v>86.670708423053426</v>
      </c>
      <c r="R128" s="5">
        <v>556</v>
      </c>
      <c r="S128">
        <v>535.30200883678424</v>
      </c>
    </row>
    <row r="129" spans="5:19" x14ac:dyDescent="0.25">
      <c r="E129" s="4">
        <v>2011</v>
      </c>
      <c r="F129" s="4" t="s">
        <v>25</v>
      </c>
      <c r="G129" s="5">
        <v>61</v>
      </c>
      <c r="H129">
        <v>59.577326035542036</v>
      </c>
      <c r="R129" s="5">
        <v>620</v>
      </c>
      <c r="S129">
        <v>620.05776241533272</v>
      </c>
    </row>
    <row r="130" spans="5:19" x14ac:dyDescent="0.25">
      <c r="E130" s="4">
        <v>2011</v>
      </c>
      <c r="F130" s="4" t="s">
        <v>26</v>
      </c>
      <c r="G130" s="5">
        <v>75</v>
      </c>
      <c r="H130">
        <v>70.664721603894776</v>
      </c>
      <c r="R130" s="5">
        <v>674</v>
      </c>
      <c r="S130">
        <v>675.46400516326298</v>
      </c>
    </row>
    <row r="131" spans="5:19" x14ac:dyDescent="0.25">
      <c r="E131" s="4">
        <v>2011</v>
      </c>
      <c r="F131" s="4" t="s">
        <v>27</v>
      </c>
      <c r="G131" s="5">
        <v>101</v>
      </c>
      <c r="H131">
        <v>100.79375656732229</v>
      </c>
      <c r="R131" s="5">
        <v>589</v>
      </c>
      <c r="S131">
        <v>608.83299274057742</v>
      </c>
    </row>
    <row r="132" spans="5:19" x14ac:dyDescent="0.25">
      <c r="E132" s="4">
        <v>2011</v>
      </c>
      <c r="F132" s="4" t="s">
        <v>28</v>
      </c>
      <c r="G132" s="5">
        <v>77</v>
      </c>
      <c r="H132">
        <v>80.500578668292221</v>
      </c>
      <c r="R132" s="5">
        <v>706</v>
      </c>
      <c r="S132">
        <v>699.10894677673446</v>
      </c>
    </row>
    <row r="133" spans="5:19" x14ac:dyDescent="0.25">
      <c r="E133" s="4">
        <v>2011</v>
      </c>
      <c r="F133" s="4" t="s">
        <v>29</v>
      </c>
      <c r="G133" s="5">
        <v>71</v>
      </c>
      <c r="H133">
        <v>74.971357663866925</v>
      </c>
      <c r="R133" s="5">
        <v>593</v>
      </c>
      <c r="S133">
        <v>596.75890491818132</v>
      </c>
    </row>
    <row r="134" spans="5:19" x14ac:dyDescent="0.25">
      <c r="E134" s="4">
        <v>2011</v>
      </c>
      <c r="F134" s="4" t="s">
        <v>30</v>
      </c>
      <c r="G134" s="5">
        <v>78</v>
      </c>
      <c r="H134">
        <v>79.43880785485446</v>
      </c>
      <c r="R134" s="5">
        <v>505</v>
      </c>
      <c r="S134">
        <v>506.59372707854459</v>
      </c>
    </row>
    <row r="135" spans="5:19" x14ac:dyDescent="0.25">
      <c r="E135" s="4">
        <v>2011</v>
      </c>
      <c r="F135" s="4" t="s">
        <v>19</v>
      </c>
      <c r="G135" s="5">
        <v>69</v>
      </c>
      <c r="H135">
        <v>64.714492564420681</v>
      </c>
      <c r="R135" s="5">
        <v>628</v>
      </c>
      <c r="S135">
        <v>608.74292953227473</v>
      </c>
    </row>
    <row r="136" spans="5:19" x14ac:dyDescent="0.25">
      <c r="E136" s="4">
        <v>2012</v>
      </c>
      <c r="F136" s="4" t="s">
        <v>20</v>
      </c>
      <c r="G136" s="5">
        <v>77</v>
      </c>
      <c r="H136">
        <v>75.911030021351067</v>
      </c>
      <c r="R136" s="5">
        <v>674</v>
      </c>
      <c r="S136">
        <v>679.51952533852102</v>
      </c>
    </row>
    <row r="137" spans="5:19" x14ac:dyDescent="0.25">
      <c r="E137" s="4">
        <v>2012</v>
      </c>
      <c r="F137" s="4" t="s">
        <v>21</v>
      </c>
      <c r="G137" s="5">
        <v>74</v>
      </c>
      <c r="H137">
        <v>69.054371839445835</v>
      </c>
      <c r="R137" s="5">
        <v>668</v>
      </c>
      <c r="S137">
        <v>652.80638290679656</v>
      </c>
    </row>
    <row r="138" spans="5:19" x14ac:dyDescent="0.25">
      <c r="E138" s="4">
        <v>2012</v>
      </c>
      <c r="F138" s="4" t="s">
        <v>22</v>
      </c>
      <c r="G138" s="5">
        <v>96</v>
      </c>
      <c r="H138">
        <v>91.01270241578618</v>
      </c>
      <c r="R138" s="5">
        <v>786</v>
      </c>
      <c r="S138">
        <v>805.03541127371614</v>
      </c>
    </row>
    <row r="139" spans="5:19" x14ac:dyDescent="0.25">
      <c r="E139" s="4">
        <v>2012</v>
      </c>
      <c r="F139" s="4" t="s">
        <v>23</v>
      </c>
      <c r="G139" s="5">
        <v>67</v>
      </c>
      <c r="H139">
        <v>69.97146668470269</v>
      </c>
      <c r="R139" s="5">
        <v>668</v>
      </c>
      <c r="S139">
        <v>649.83755546809687</v>
      </c>
    </row>
    <row r="140" spans="5:19" x14ac:dyDescent="0.25">
      <c r="E140" s="4">
        <v>2012</v>
      </c>
      <c r="F140" s="4" t="s">
        <v>24</v>
      </c>
      <c r="G140" s="5">
        <v>70</v>
      </c>
      <c r="H140">
        <v>67.317055085866741</v>
      </c>
      <c r="R140" s="5">
        <v>746</v>
      </c>
      <c r="S140">
        <v>728.68858186161879</v>
      </c>
    </row>
    <row r="141" spans="5:19" x14ac:dyDescent="0.25">
      <c r="E141" s="4">
        <v>2012</v>
      </c>
      <c r="F141" s="4" t="s">
        <v>25</v>
      </c>
      <c r="G141" s="5">
        <v>77</v>
      </c>
      <c r="H141">
        <v>74.471657544427543</v>
      </c>
      <c r="R141" s="5">
        <v>751</v>
      </c>
      <c r="S141">
        <v>762.82020255906912</v>
      </c>
    </row>
    <row r="142" spans="5:19" x14ac:dyDescent="0.25">
      <c r="E142" s="4">
        <v>2012</v>
      </c>
      <c r="F142" s="4" t="s">
        <v>26</v>
      </c>
      <c r="G142" s="5">
        <v>70</v>
      </c>
      <c r="H142">
        <v>64.845273942397554</v>
      </c>
      <c r="R142" s="5">
        <v>625</v>
      </c>
      <c r="S142">
        <v>627.3513455776116</v>
      </c>
    </row>
    <row r="143" spans="5:19" x14ac:dyDescent="0.25">
      <c r="E143" s="4">
        <v>2012</v>
      </c>
      <c r="F143" s="4" t="s">
        <v>27</v>
      </c>
      <c r="G143" s="5">
        <v>79</v>
      </c>
      <c r="H143">
        <v>79.472000370388727</v>
      </c>
      <c r="R143" s="5">
        <v>709</v>
      </c>
      <c r="S143">
        <v>732.40800611861539</v>
      </c>
    </row>
    <row r="144" spans="5:19" x14ac:dyDescent="0.25">
      <c r="E144" s="4">
        <v>2012</v>
      </c>
      <c r="F144" s="4" t="s">
        <v>28</v>
      </c>
      <c r="G144" s="5">
        <v>83</v>
      </c>
      <c r="H144">
        <v>86.250620001741666</v>
      </c>
      <c r="R144" s="5">
        <v>609</v>
      </c>
      <c r="S144">
        <v>601.67565965411484</v>
      </c>
    </row>
    <row r="145" spans="5:19" x14ac:dyDescent="0.25">
      <c r="E145" s="4">
        <v>2012</v>
      </c>
      <c r="F145" s="4" t="s">
        <v>29</v>
      </c>
      <c r="G145" s="5">
        <v>100</v>
      </c>
      <c r="H145">
        <v>106.80850954852274</v>
      </c>
      <c r="R145" s="5">
        <v>661</v>
      </c>
      <c r="S145">
        <v>658.01254057074743</v>
      </c>
    </row>
    <row r="146" spans="5:19" x14ac:dyDescent="0.25">
      <c r="E146" s="4">
        <v>2012</v>
      </c>
      <c r="F146" s="4" t="s">
        <v>30</v>
      </c>
      <c r="G146" s="5">
        <v>96</v>
      </c>
      <c r="H146">
        <v>100.62248994948231</v>
      </c>
      <c r="R146" s="5">
        <v>649</v>
      </c>
      <c r="S146">
        <v>646.57357271866874</v>
      </c>
    </row>
    <row r="147" spans="5:19" x14ac:dyDescent="0.25">
      <c r="E147" s="4">
        <v>2012</v>
      </c>
      <c r="F147" s="4" t="s">
        <v>19</v>
      </c>
      <c r="G147" s="5">
        <v>95</v>
      </c>
      <c r="H147">
        <v>87.724089920659154</v>
      </c>
      <c r="R147" s="5">
        <v>575</v>
      </c>
      <c r="S147">
        <v>552.9049989456812</v>
      </c>
    </row>
    <row r="148" spans="5:19" x14ac:dyDescent="0.25">
      <c r="E148" s="4">
        <v>2013</v>
      </c>
      <c r="F148" s="4" t="s">
        <v>20</v>
      </c>
      <c r="G148" s="5">
        <v>104</v>
      </c>
      <c r="H148">
        <v>102.58247300182576</v>
      </c>
      <c r="R148" s="5">
        <v>690</v>
      </c>
      <c r="S148">
        <v>688.99318158531923</v>
      </c>
    </row>
    <row r="149" spans="5:19" x14ac:dyDescent="0.25">
      <c r="E149" s="4">
        <v>2013</v>
      </c>
      <c r="F149" s="4" t="s">
        <v>21</v>
      </c>
      <c r="G149" s="5">
        <v>116</v>
      </c>
      <c r="H149">
        <v>115.09061973240973</v>
      </c>
      <c r="R149" s="5">
        <v>709</v>
      </c>
      <c r="S149">
        <v>704.82689154468187</v>
      </c>
    </row>
    <row r="150" spans="5:19" x14ac:dyDescent="0.25">
      <c r="E150" s="4">
        <v>2013</v>
      </c>
      <c r="F150" s="4" t="s">
        <v>22</v>
      </c>
      <c r="G150" s="5">
        <v>108</v>
      </c>
      <c r="H150">
        <v>105.53600599277334</v>
      </c>
      <c r="R150" s="5">
        <v>692</v>
      </c>
      <c r="S150">
        <v>731.75382370394516</v>
      </c>
    </row>
    <row r="151" spans="5:19" x14ac:dyDescent="0.25">
      <c r="E151" s="4">
        <v>2013</v>
      </c>
      <c r="F151" s="4" t="s">
        <v>23</v>
      </c>
      <c r="G151" s="5">
        <v>99</v>
      </c>
      <c r="H151">
        <v>100.88909149887365</v>
      </c>
      <c r="R151" s="5">
        <v>731</v>
      </c>
      <c r="S151">
        <v>732.4758573195312</v>
      </c>
    </row>
    <row r="152" spans="5:19" x14ac:dyDescent="0.25">
      <c r="E152" s="4">
        <v>2013</v>
      </c>
      <c r="F152" s="4" t="s">
        <v>24</v>
      </c>
      <c r="G152" s="5">
        <v>102</v>
      </c>
      <c r="H152">
        <v>94.243877120213426</v>
      </c>
      <c r="R152" s="5">
        <v>632</v>
      </c>
      <c r="S152">
        <v>606.07750721185255</v>
      </c>
    </row>
    <row r="153" spans="5:19" x14ac:dyDescent="0.25">
      <c r="E153" s="4">
        <v>2013</v>
      </c>
      <c r="F153" s="4" t="s">
        <v>25</v>
      </c>
      <c r="G153" s="5">
        <v>120</v>
      </c>
      <c r="H153">
        <v>122.87823494830546</v>
      </c>
      <c r="R153" s="5">
        <v>685</v>
      </c>
      <c r="S153">
        <v>720.20454878481939</v>
      </c>
    </row>
    <row r="154" spans="5:19" x14ac:dyDescent="0.25">
      <c r="H154">
        <v>87.291714922458254</v>
      </c>
      <c r="S154">
        <v>649.04921166525833</v>
      </c>
    </row>
    <row r="155" spans="5:19" x14ac:dyDescent="0.25">
      <c r="H155">
        <v>113.39297613823759</v>
      </c>
      <c r="S155">
        <v>692.22100989811531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94"/>
  <sheetViews>
    <sheetView workbookViewId="0">
      <selection sqref="A1:F1"/>
    </sheetView>
  </sheetViews>
  <sheetFormatPr defaultRowHeight="15" x14ac:dyDescent="0.25"/>
  <cols>
    <col min="1" max="1" width="20" customWidth="1"/>
    <col min="2" max="4" width="10" customWidth="1"/>
    <col min="7" max="7" width="20" customWidth="1"/>
    <col min="8" max="10" width="10" customWidth="1"/>
    <col min="13" max="13" width="20" customWidth="1"/>
    <col min="14" max="16" width="10" customWidth="1"/>
    <col min="19" max="19" width="20" customWidth="1"/>
    <col min="20" max="22" width="10" customWidth="1"/>
    <col min="25" max="25" width="20" customWidth="1"/>
    <col min="26" max="28" width="10" customWidth="1"/>
    <col min="31" max="31" width="20" customWidth="1"/>
    <col min="32" max="34" width="10" customWidth="1"/>
    <col min="35" max="35" width="17.85546875" customWidth="1"/>
    <col min="37" max="37" width="20" customWidth="1"/>
    <col min="38" max="40" width="10" customWidth="1"/>
    <col min="43" max="43" width="20" customWidth="1"/>
    <col min="44" max="46" width="10" customWidth="1"/>
    <col min="49" max="49" width="20" customWidth="1"/>
    <col min="50" max="52" width="10" customWidth="1"/>
    <col min="55" max="55" width="20" customWidth="1"/>
    <col min="56" max="58" width="10" customWidth="1"/>
    <col min="61" max="61" width="20" customWidth="1"/>
    <col min="62" max="64" width="10" customWidth="1"/>
    <col min="67" max="67" width="20" customWidth="1"/>
    <col min="68" max="70" width="10" customWidth="1"/>
    <col min="73" max="73" width="20" customWidth="1"/>
    <col min="74" max="76" width="10" customWidth="1"/>
    <col min="79" max="79" width="20" customWidth="1"/>
    <col min="80" max="82" width="10" customWidth="1"/>
    <col min="91" max="91" width="20" customWidth="1"/>
    <col min="92" max="94" width="10" customWidth="1"/>
    <col min="97" max="97" width="20" customWidth="1"/>
    <col min="98" max="100" width="10" customWidth="1"/>
  </cols>
  <sheetData>
    <row r="1" spans="1:102" ht="15.6" x14ac:dyDescent="0.3">
      <c r="A1" s="27" t="s">
        <v>70</v>
      </c>
      <c r="B1" s="28"/>
      <c r="C1" s="28"/>
      <c r="D1" s="28"/>
      <c r="E1" s="28"/>
      <c r="F1" s="28"/>
      <c r="G1" s="27" t="s">
        <v>70</v>
      </c>
      <c r="H1" s="28"/>
      <c r="I1" s="28"/>
      <c r="J1" s="28"/>
      <c r="K1" s="28"/>
      <c r="L1" s="28"/>
      <c r="M1" s="27" t="s">
        <v>70</v>
      </c>
      <c r="N1" s="28"/>
      <c r="O1" s="28"/>
      <c r="P1" s="28"/>
      <c r="Q1" s="28"/>
      <c r="R1" s="28"/>
      <c r="S1" s="27" t="s">
        <v>70</v>
      </c>
      <c r="T1" s="28"/>
      <c r="U1" s="28"/>
      <c r="V1" s="28"/>
      <c r="W1" s="28"/>
      <c r="X1" s="28"/>
      <c r="Y1" s="27" t="s">
        <v>70</v>
      </c>
      <c r="Z1" s="28"/>
      <c r="AA1" s="28"/>
      <c r="AB1" s="28"/>
      <c r="AC1" s="28"/>
      <c r="AD1" s="28"/>
      <c r="AE1" s="27" t="s">
        <v>70</v>
      </c>
      <c r="AF1" s="28"/>
      <c r="AG1" s="28"/>
      <c r="AH1" s="28"/>
      <c r="AI1" s="28"/>
      <c r="AJ1" s="28"/>
      <c r="AK1" s="27" t="s">
        <v>70</v>
      </c>
      <c r="AL1" s="28"/>
      <c r="AM1" s="28"/>
      <c r="AN1" s="28"/>
      <c r="AO1" s="28"/>
      <c r="AP1" s="28"/>
      <c r="AQ1" s="27" t="s">
        <v>70</v>
      </c>
      <c r="AR1" s="28"/>
      <c r="AS1" s="28"/>
      <c r="AT1" s="28"/>
      <c r="AU1" s="28"/>
      <c r="AV1" s="28"/>
      <c r="AW1" s="27" t="s">
        <v>70</v>
      </c>
      <c r="AX1" s="28"/>
      <c r="AY1" s="28"/>
      <c r="AZ1" s="28"/>
      <c r="BA1" s="28"/>
      <c r="BB1" s="28"/>
      <c r="BC1" s="27" t="s">
        <v>70</v>
      </c>
      <c r="BD1" s="28"/>
      <c r="BE1" s="28"/>
      <c r="BF1" s="28"/>
      <c r="BG1" s="28"/>
      <c r="BH1" s="28"/>
      <c r="BI1" s="27" t="s">
        <v>70</v>
      </c>
      <c r="BJ1" s="28"/>
      <c r="BK1" s="28"/>
      <c r="BL1" s="28"/>
      <c r="BM1" s="28"/>
      <c r="BN1" s="28"/>
      <c r="BO1" s="27" t="s">
        <v>70</v>
      </c>
      <c r="BP1" s="28"/>
      <c r="BQ1" s="28"/>
      <c r="BR1" s="28"/>
      <c r="BS1" s="28"/>
      <c r="BT1" s="28"/>
      <c r="BU1" s="27" t="s">
        <v>70</v>
      </c>
      <c r="BV1" s="28"/>
      <c r="BW1" s="28"/>
      <c r="BX1" s="28"/>
      <c r="BY1" s="28"/>
      <c r="BZ1" s="28"/>
      <c r="CA1" s="27" t="s">
        <v>70</v>
      </c>
      <c r="CB1" s="28"/>
      <c r="CC1" s="28"/>
      <c r="CD1" s="28"/>
      <c r="CE1" s="28"/>
      <c r="CF1" s="28"/>
      <c r="CG1" s="27" t="s">
        <v>70</v>
      </c>
      <c r="CH1" s="28"/>
      <c r="CI1" s="28"/>
      <c r="CJ1" s="28"/>
      <c r="CK1" s="28"/>
      <c r="CL1" s="28"/>
      <c r="CM1" s="27" t="s">
        <v>70</v>
      </c>
      <c r="CN1" s="28"/>
      <c r="CO1" s="28"/>
      <c r="CP1" s="28"/>
      <c r="CQ1" s="28"/>
      <c r="CR1" s="28"/>
      <c r="CS1" s="27" t="s">
        <v>70</v>
      </c>
      <c r="CT1" s="28"/>
      <c r="CU1" s="28"/>
      <c r="CV1" s="28"/>
      <c r="CW1" s="28"/>
      <c r="CX1" s="28"/>
    </row>
    <row r="2" spans="1:102" ht="15.6" x14ac:dyDescent="0.3">
      <c r="A2" s="27" t="s">
        <v>1</v>
      </c>
      <c r="B2" s="28"/>
      <c r="C2" s="28"/>
      <c r="D2" s="28"/>
      <c r="E2" s="28"/>
      <c r="F2" s="28"/>
      <c r="G2" s="27" t="s">
        <v>1</v>
      </c>
      <c r="H2" s="28"/>
      <c r="I2" s="28"/>
      <c r="J2" s="28"/>
      <c r="K2" s="28"/>
      <c r="L2" s="28"/>
      <c r="M2" s="27" t="s">
        <v>1</v>
      </c>
      <c r="N2" s="28"/>
      <c r="O2" s="28"/>
      <c r="P2" s="28"/>
      <c r="Q2" s="28"/>
      <c r="R2" s="28"/>
      <c r="S2" s="27" t="s">
        <v>1</v>
      </c>
      <c r="T2" s="28"/>
      <c r="U2" s="28"/>
      <c r="V2" s="28"/>
      <c r="W2" s="28"/>
      <c r="X2" s="28"/>
      <c r="Y2" s="27" t="s">
        <v>1</v>
      </c>
      <c r="Z2" s="28"/>
      <c r="AA2" s="28"/>
      <c r="AB2" s="28"/>
      <c r="AC2" s="28"/>
      <c r="AD2" s="28"/>
      <c r="AE2" s="27" t="s">
        <v>1</v>
      </c>
      <c r="AF2" s="28"/>
      <c r="AG2" s="28"/>
      <c r="AH2" s="28"/>
      <c r="AI2" s="28"/>
      <c r="AJ2" s="28"/>
      <c r="AK2" s="27" t="s">
        <v>1</v>
      </c>
      <c r="AL2" s="28"/>
      <c r="AM2" s="28"/>
      <c r="AN2" s="28"/>
      <c r="AO2" s="28"/>
      <c r="AP2" s="28"/>
      <c r="AQ2" s="27" t="s">
        <v>1</v>
      </c>
      <c r="AR2" s="28"/>
      <c r="AS2" s="28"/>
      <c r="AT2" s="28"/>
      <c r="AU2" s="28"/>
      <c r="AV2" s="28"/>
      <c r="AW2" s="27" t="s">
        <v>1</v>
      </c>
      <c r="AX2" s="28"/>
      <c r="AY2" s="28"/>
      <c r="AZ2" s="28"/>
      <c r="BA2" s="28"/>
      <c r="BB2" s="28"/>
      <c r="BC2" s="27" t="s">
        <v>1</v>
      </c>
      <c r="BD2" s="28"/>
      <c r="BE2" s="28"/>
      <c r="BF2" s="28"/>
      <c r="BG2" s="28"/>
      <c r="BH2" s="28"/>
      <c r="BI2" s="27" t="s">
        <v>1</v>
      </c>
      <c r="BJ2" s="28"/>
      <c r="BK2" s="28"/>
      <c r="BL2" s="28"/>
      <c r="BM2" s="28"/>
      <c r="BN2" s="28"/>
      <c r="BO2" s="27" t="s">
        <v>1</v>
      </c>
      <c r="BP2" s="28"/>
      <c r="BQ2" s="28"/>
      <c r="BR2" s="28"/>
      <c r="BS2" s="28"/>
      <c r="BT2" s="28"/>
      <c r="BU2" s="27" t="s">
        <v>1</v>
      </c>
      <c r="BV2" s="28"/>
      <c r="BW2" s="28"/>
      <c r="BX2" s="28"/>
      <c r="BY2" s="28"/>
      <c r="BZ2" s="28"/>
      <c r="CA2" s="27" t="s">
        <v>1</v>
      </c>
      <c r="CB2" s="28"/>
      <c r="CC2" s="28"/>
      <c r="CD2" s="28"/>
      <c r="CE2" s="28"/>
      <c r="CF2" s="28"/>
      <c r="CG2" s="27" t="s">
        <v>1</v>
      </c>
      <c r="CH2" s="28"/>
      <c r="CI2" s="28"/>
      <c r="CJ2" s="28"/>
      <c r="CK2" s="28"/>
      <c r="CL2" s="28"/>
      <c r="CM2" s="27" t="s">
        <v>1</v>
      </c>
      <c r="CN2" s="28"/>
      <c r="CO2" s="28"/>
      <c r="CP2" s="28"/>
      <c r="CQ2" s="28"/>
      <c r="CR2" s="28"/>
      <c r="CS2" s="27" t="s">
        <v>1</v>
      </c>
      <c r="CT2" s="28"/>
      <c r="CU2" s="28"/>
      <c r="CV2" s="28"/>
      <c r="CW2" s="28"/>
      <c r="CX2" s="28"/>
    </row>
    <row r="3" spans="1:102" ht="14.45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</row>
    <row r="4" spans="1:102" ht="14.45" customHeight="1" x14ac:dyDescent="0.3">
      <c r="A4" s="2" t="s">
        <v>2</v>
      </c>
      <c r="B4" s="29" t="s">
        <v>180</v>
      </c>
      <c r="C4" s="28"/>
      <c r="D4" s="28"/>
      <c r="E4" s="28"/>
      <c r="F4" s="28"/>
      <c r="G4" s="2" t="s">
        <v>2</v>
      </c>
      <c r="H4" s="29" t="s">
        <v>71</v>
      </c>
      <c r="I4" s="28"/>
      <c r="J4" s="28"/>
      <c r="K4" s="28"/>
      <c r="L4" s="28"/>
      <c r="M4" s="2" t="s">
        <v>2</v>
      </c>
      <c r="N4" s="29" t="s">
        <v>164</v>
      </c>
      <c r="O4" s="28"/>
      <c r="P4" s="28"/>
      <c r="Q4" s="28"/>
      <c r="R4" s="28"/>
      <c r="S4" s="2" t="s">
        <v>2</v>
      </c>
      <c r="T4" s="29" t="s">
        <v>166</v>
      </c>
      <c r="U4" s="28"/>
      <c r="V4" s="28"/>
      <c r="W4" s="28"/>
      <c r="X4" s="28"/>
      <c r="Y4" s="2" t="s">
        <v>2</v>
      </c>
      <c r="Z4" s="29" t="s">
        <v>168</v>
      </c>
      <c r="AA4" s="28"/>
      <c r="AB4" s="28"/>
      <c r="AC4" s="28"/>
      <c r="AD4" s="28"/>
      <c r="AE4" s="2" t="s">
        <v>2</v>
      </c>
      <c r="AF4" s="29" t="s">
        <v>170</v>
      </c>
      <c r="AG4" s="28"/>
      <c r="AH4" s="28"/>
      <c r="AI4" s="28"/>
      <c r="AJ4" s="28"/>
      <c r="AK4" s="2" t="s">
        <v>2</v>
      </c>
      <c r="AL4" s="29" t="s">
        <v>72</v>
      </c>
      <c r="AM4" s="28"/>
      <c r="AN4" s="28"/>
      <c r="AO4" s="28"/>
      <c r="AP4" s="28"/>
      <c r="AQ4" s="2" t="s">
        <v>2</v>
      </c>
      <c r="AR4" s="29" t="s">
        <v>73</v>
      </c>
      <c r="AS4" s="28"/>
      <c r="AT4" s="28"/>
      <c r="AU4" s="28"/>
      <c r="AV4" s="28"/>
      <c r="AW4" s="2" t="s">
        <v>2</v>
      </c>
      <c r="AX4" s="29" t="s">
        <v>172</v>
      </c>
      <c r="AY4" s="28"/>
      <c r="AZ4" s="28"/>
      <c r="BA4" s="28"/>
      <c r="BB4" s="28"/>
      <c r="BC4" s="2" t="s">
        <v>2</v>
      </c>
      <c r="BD4" s="29" t="s">
        <v>174</v>
      </c>
      <c r="BE4" s="28"/>
      <c r="BF4" s="28"/>
      <c r="BG4" s="28"/>
      <c r="BH4" s="28"/>
      <c r="BI4" s="2" t="s">
        <v>2</v>
      </c>
      <c r="BJ4" s="29" t="s">
        <v>74</v>
      </c>
      <c r="BK4" s="28"/>
      <c r="BL4" s="28"/>
      <c r="BM4" s="28"/>
      <c r="BN4" s="28"/>
      <c r="BO4" s="2" t="s">
        <v>2</v>
      </c>
      <c r="BP4" s="29" t="s">
        <v>176</v>
      </c>
      <c r="BQ4" s="28"/>
      <c r="BR4" s="28"/>
      <c r="BS4" s="28"/>
      <c r="BT4" s="28"/>
      <c r="BU4" s="2" t="s">
        <v>2</v>
      </c>
      <c r="BV4" s="29" t="s">
        <v>178</v>
      </c>
      <c r="BW4" s="28"/>
      <c r="BX4" s="28"/>
      <c r="BY4" s="28"/>
      <c r="BZ4" s="28"/>
      <c r="CA4" s="2" t="s">
        <v>2</v>
      </c>
      <c r="CB4" s="29" t="s">
        <v>75</v>
      </c>
      <c r="CC4" s="28"/>
      <c r="CD4" s="28"/>
      <c r="CE4" s="28"/>
      <c r="CF4" s="28"/>
      <c r="CG4" s="2" t="s">
        <v>2</v>
      </c>
      <c r="CH4" s="29" t="s">
        <v>76</v>
      </c>
      <c r="CI4" s="28"/>
      <c r="CJ4" s="28"/>
      <c r="CK4" s="28"/>
      <c r="CL4" s="28"/>
      <c r="CM4" s="2" t="s">
        <v>2</v>
      </c>
      <c r="CN4" s="29" t="s">
        <v>183</v>
      </c>
      <c r="CO4" s="28"/>
      <c r="CP4" s="28"/>
      <c r="CQ4" s="28"/>
      <c r="CR4" s="28"/>
      <c r="CS4" s="2" t="s">
        <v>2</v>
      </c>
      <c r="CT4" s="29" t="s">
        <v>208</v>
      </c>
      <c r="CU4" s="28"/>
      <c r="CV4" s="28"/>
      <c r="CW4" s="28"/>
      <c r="CX4" s="28"/>
    </row>
    <row r="5" spans="1:102" ht="14.45" customHeight="1" x14ac:dyDescent="0.3">
      <c r="A5" s="30" t="s">
        <v>77</v>
      </c>
      <c r="B5" s="28"/>
      <c r="C5" s="28"/>
      <c r="D5" s="28"/>
      <c r="E5" s="28"/>
      <c r="F5" s="28"/>
      <c r="G5" s="30" t="s">
        <v>77</v>
      </c>
      <c r="H5" s="28"/>
      <c r="I5" s="28"/>
      <c r="J5" s="28"/>
      <c r="K5" s="28"/>
      <c r="L5" s="28"/>
      <c r="M5" s="30" t="s">
        <v>77</v>
      </c>
      <c r="N5" s="28"/>
      <c r="O5" s="28"/>
      <c r="P5" s="28"/>
      <c r="Q5" s="28"/>
      <c r="R5" s="28"/>
      <c r="S5" s="30" t="s">
        <v>77</v>
      </c>
      <c r="T5" s="28"/>
      <c r="U5" s="28"/>
      <c r="V5" s="28"/>
      <c r="W5" s="28"/>
      <c r="X5" s="28"/>
      <c r="Y5" s="30" t="s">
        <v>77</v>
      </c>
      <c r="Z5" s="28"/>
      <c r="AA5" s="28"/>
      <c r="AB5" s="28"/>
      <c r="AC5" s="28"/>
      <c r="AD5" s="28"/>
      <c r="AE5" s="30" t="s">
        <v>77</v>
      </c>
      <c r="AF5" s="28"/>
      <c r="AG5" s="28"/>
      <c r="AH5" s="28"/>
      <c r="AI5" s="28"/>
      <c r="AJ5" s="28"/>
      <c r="AK5" s="30" t="s">
        <v>77</v>
      </c>
      <c r="AL5" s="28"/>
      <c r="AM5" s="28"/>
      <c r="AN5" s="28"/>
      <c r="AO5" s="28"/>
      <c r="AP5" s="28"/>
      <c r="AQ5" s="30" t="s">
        <v>77</v>
      </c>
      <c r="AR5" s="28"/>
      <c r="AS5" s="28"/>
      <c r="AT5" s="28"/>
      <c r="AU5" s="28"/>
      <c r="AV5" s="28"/>
      <c r="AW5" s="30" t="s">
        <v>77</v>
      </c>
      <c r="AX5" s="28"/>
      <c r="AY5" s="28"/>
      <c r="AZ5" s="28"/>
      <c r="BA5" s="28"/>
      <c r="BB5" s="28"/>
      <c r="BC5" s="30" t="s">
        <v>77</v>
      </c>
      <c r="BD5" s="28"/>
      <c r="BE5" s="28"/>
      <c r="BF5" s="28"/>
      <c r="BG5" s="28"/>
      <c r="BH5" s="28"/>
      <c r="BI5" s="30" t="s">
        <v>77</v>
      </c>
      <c r="BJ5" s="28"/>
      <c r="BK5" s="28"/>
      <c r="BL5" s="28"/>
      <c r="BM5" s="28"/>
      <c r="BN5" s="28"/>
      <c r="BO5" s="30" t="s">
        <v>77</v>
      </c>
      <c r="BP5" s="28"/>
      <c r="BQ5" s="28"/>
      <c r="BR5" s="28"/>
      <c r="BS5" s="28"/>
      <c r="BT5" s="28"/>
      <c r="BU5" s="30" t="s">
        <v>77</v>
      </c>
      <c r="BV5" s="28"/>
      <c r="BW5" s="28"/>
      <c r="BX5" s="28"/>
      <c r="BY5" s="28"/>
      <c r="BZ5" s="28"/>
      <c r="CA5" s="30" t="s">
        <v>77</v>
      </c>
      <c r="CB5" s="28"/>
      <c r="CC5" s="28"/>
      <c r="CD5" s="28"/>
      <c r="CE5" s="28"/>
      <c r="CF5" s="28"/>
      <c r="CG5" s="30" t="s">
        <v>77</v>
      </c>
      <c r="CH5" s="28"/>
      <c r="CI5" s="28"/>
      <c r="CJ5" s="28"/>
      <c r="CK5" s="28"/>
      <c r="CL5" s="28"/>
      <c r="CM5" s="30" t="s">
        <v>77</v>
      </c>
      <c r="CN5" s="28"/>
      <c r="CO5" s="28"/>
      <c r="CP5" s="28"/>
      <c r="CQ5" s="28"/>
      <c r="CR5" s="28"/>
      <c r="CS5" s="30" t="s">
        <v>77</v>
      </c>
      <c r="CT5" s="28"/>
      <c r="CU5" s="28"/>
      <c r="CV5" s="28"/>
      <c r="CW5" s="28"/>
      <c r="CX5" s="28"/>
    </row>
    <row r="6" spans="1:102" ht="14.45" customHeight="1" x14ac:dyDescent="0.3">
      <c r="A6" s="2" t="s">
        <v>78</v>
      </c>
      <c r="B6" s="29" t="s">
        <v>181</v>
      </c>
      <c r="C6" s="28"/>
      <c r="D6" s="28"/>
      <c r="E6" s="28"/>
      <c r="F6" s="28"/>
      <c r="G6" s="2" t="s">
        <v>78</v>
      </c>
      <c r="H6" s="29" t="s">
        <v>79</v>
      </c>
      <c r="I6" s="28"/>
      <c r="J6" s="28"/>
      <c r="K6" s="28"/>
      <c r="L6" s="28"/>
      <c r="M6" s="2" t="s">
        <v>78</v>
      </c>
      <c r="N6" s="29" t="s">
        <v>165</v>
      </c>
      <c r="O6" s="28"/>
      <c r="P6" s="28"/>
      <c r="Q6" s="28"/>
      <c r="R6" s="28"/>
      <c r="S6" s="2" t="s">
        <v>78</v>
      </c>
      <c r="T6" s="29" t="s">
        <v>167</v>
      </c>
      <c r="U6" s="28"/>
      <c r="V6" s="28"/>
      <c r="W6" s="28"/>
      <c r="X6" s="28"/>
      <c r="Y6" s="2" t="s">
        <v>78</v>
      </c>
      <c r="Z6" s="29" t="s">
        <v>169</v>
      </c>
      <c r="AA6" s="28"/>
      <c r="AB6" s="28"/>
      <c r="AC6" s="28"/>
      <c r="AD6" s="28"/>
      <c r="AE6" s="2" t="s">
        <v>78</v>
      </c>
      <c r="AF6" s="29" t="s">
        <v>171</v>
      </c>
      <c r="AG6" s="28"/>
      <c r="AH6" s="28"/>
      <c r="AI6" s="28"/>
      <c r="AJ6" s="28"/>
      <c r="AK6" s="2" t="s">
        <v>78</v>
      </c>
      <c r="AL6" s="29" t="s">
        <v>80</v>
      </c>
      <c r="AM6" s="28"/>
      <c r="AN6" s="28"/>
      <c r="AO6" s="28"/>
      <c r="AP6" s="28"/>
      <c r="AQ6" s="2" t="s">
        <v>78</v>
      </c>
      <c r="AR6" s="29" t="s">
        <v>81</v>
      </c>
      <c r="AS6" s="28"/>
      <c r="AT6" s="28"/>
      <c r="AU6" s="28"/>
      <c r="AV6" s="28"/>
      <c r="AW6" s="2" t="s">
        <v>78</v>
      </c>
      <c r="AX6" s="29" t="s">
        <v>173</v>
      </c>
      <c r="AY6" s="28"/>
      <c r="AZ6" s="28"/>
      <c r="BA6" s="28"/>
      <c r="BB6" s="28"/>
      <c r="BC6" s="2" t="s">
        <v>78</v>
      </c>
      <c r="BD6" s="29" t="s">
        <v>175</v>
      </c>
      <c r="BE6" s="28"/>
      <c r="BF6" s="28"/>
      <c r="BG6" s="28"/>
      <c r="BH6" s="28"/>
      <c r="BI6" s="2" t="s">
        <v>78</v>
      </c>
      <c r="BJ6" s="29" t="s">
        <v>82</v>
      </c>
      <c r="BK6" s="28"/>
      <c r="BL6" s="28"/>
      <c r="BM6" s="28"/>
      <c r="BN6" s="28"/>
      <c r="BO6" s="2" t="s">
        <v>78</v>
      </c>
      <c r="BP6" s="29" t="s">
        <v>177</v>
      </c>
      <c r="BQ6" s="28"/>
      <c r="BR6" s="28"/>
      <c r="BS6" s="28"/>
      <c r="BT6" s="28"/>
      <c r="BU6" s="2" t="s">
        <v>78</v>
      </c>
      <c r="BV6" s="29" t="s">
        <v>179</v>
      </c>
      <c r="BW6" s="28"/>
      <c r="BX6" s="28"/>
      <c r="BY6" s="28"/>
      <c r="BZ6" s="28"/>
      <c r="CA6" s="2" t="s">
        <v>78</v>
      </c>
      <c r="CB6" s="29" t="s">
        <v>83</v>
      </c>
      <c r="CC6" s="28"/>
      <c r="CD6" s="28"/>
      <c r="CE6" s="28"/>
      <c r="CF6" s="28"/>
      <c r="CG6" s="2" t="s">
        <v>78</v>
      </c>
      <c r="CH6" s="29" t="s">
        <v>84</v>
      </c>
      <c r="CI6" s="28"/>
      <c r="CJ6" s="28"/>
      <c r="CK6" s="28"/>
      <c r="CL6" s="28"/>
      <c r="CM6" s="2" t="s">
        <v>78</v>
      </c>
      <c r="CN6" s="29" t="s">
        <v>184</v>
      </c>
      <c r="CO6" s="28"/>
      <c r="CP6" s="28"/>
      <c r="CQ6" s="28"/>
      <c r="CR6" s="28"/>
      <c r="CS6" s="2" t="s">
        <v>78</v>
      </c>
      <c r="CT6" s="29" t="s">
        <v>209</v>
      </c>
      <c r="CU6" s="28"/>
      <c r="CV6" s="28"/>
      <c r="CW6" s="28"/>
      <c r="CX6" s="28"/>
    </row>
    <row r="7" spans="1:102" ht="14.45" customHeight="1" x14ac:dyDescent="0.3">
      <c r="A7" s="2" t="s">
        <v>85</v>
      </c>
      <c r="B7" s="29" t="s">
        <v>86</v>
      </c>
      <c r="C7" s="28"/>
      <c r="D7" s="28"/>
      <c r="E7" s="28"/>
      <c r="F7" s="28"/>
      <c r="G7" s="2" t="s">
        <v>85</v>
      </c>
      <c r="H7" s="29" t="s">
        <v>86</v>
      </c>
      <c r="I7" s="28"/>
      <c r="J7" s="28"/>
      <c r="K7" s="28"/>
      <c r="L7" s="28"/>
      <c r="M7" s="2" t="s">
        <v>85</v>
      </c>
      <c r="N7" s="29" t="s">
        <v>86</v>
      </c>
      <c r="O7" s="28"/>
      <c r="P7" s="28"/>
      <c r="Q7" s="28"/>
      <c r="R7" s="28"/>
      <c r="S7" s="2" t="s">
        <v>85</v>
      </c>
      <c r="T7" s="29" t="s">
        <v>86</v>
      </c>
      <c r="U7" s="28"/>
      <c r="V7" s="28"/>
      <c r="W7" s="28"/>
      <c r="X7" s="28"/>
      <c r="Y7" s="2" t="s">
        <v>85</v>
      </c>
      <c r="Z7" s="29" t="s">
        <v>86</v>
      </c>
      <c r="AA7" s="28"/>
      <c r="AB7" s="28"/>
      <c r="AC7" s="28"/>
      <c r="AD7" s="28"/>
      <c r="AE7" s="2" t="s">
        <v>85</v>
      </c>
      <c r="AF7" s="29" t="s">
        <v>86</v>
      </c>
      <c r="AG7" s="28"/>
      <c r="AH7" s="28"/>
      <c r="AI7" s="28"/>
      <c r="AJ7" s="28"/>
      <c r="AK7" s="2" t="s">
        <v>85</v>
      </c>
      <c r="AL7" s="29" t="s">
        <v>86</v>
      </c>
      <c r="AM7" s="28"/>
      <c r="AN7" s="28"/>
      <c r="AO7" s="28"/>
      <c r="AP7" s="28"/>
      <c r="AQ7" s="2" t="s">
        <v>85</v>
      </c>
      <c r="AR7" s="29" t="s">
        <v>86</v>
      </c>
      <c r="AS7" s="28"/>
      <c r="AT7" s="28"/>
      <c r="AU7" s="28"/>
      <c r="AV7" s="28"/>
      <c r="AW7" s="2" t="s">
        <v>85</v>
      </c>
      <c r="AX7" s="29" t="s">
        <v>86</v>
      </c>
      <c r="AY7" s="28"/>
      <c r="AZ7" s="28"/>
      <c r="BA7" s="28"/>
      <c r="BB7" s="28"/>
      <c r="BC7" s="2" t="s">
        <v>85</v>
      </c>
      <c r="BD7" s="29" t="s">
        <v>86</v>
      </c>
      <c r="BE7" s="28"/>
      <c r="BF7" s="28"/>
      <c r="BG7" s="28"/>
      <c r="BH7" s="28"/>
      <c r="BI7" s="2" t="s">
        <v>85</v>
      </c>
      <c r="BJ7" s="29" t="s">
        <v>86</v>
      </c>
      <c r="BK7" s="28"/>
      <c r="BL7" s="28"/>
      <c r="BM7" s="28"/>
      <c r="BN7" s="28"/>
      <c r="BO7" s="2" t="s">
        <v>85</v>
      </c>
      <c r="BP7" s="29" t="s">
        <v>86</v>
      </c>
      <c r="BQ7" s="28"/>
      <c r="BR7" s="28"/>
      <c r="BS7" s="28"/>
      <c r="BT7" s="28"/>
      <c r="BU7" s="2" t="s">
        <v>85</v>
      </c>
      <c r="BV7" s="29" t="s">
        <v>86</v>
      </c>
      <c r="BW7" s="28"/>
      <c r="BX7" s="28"/>
      <c r="BY7" s="28"/>
      <c r="BZ7" s="28"/>
      <c r="CA7" s="2" t="s">
        <v>85</v>
      </c>
      <c r="CB7" s="29" t="s">
        <v>86</v>
      </c>
      <c r="CC7" s="28"/>
      <c r="CD7" s="28"/>
      <c r="CE7" s="28"/>
      <c r="CF7" s="28"/>
      <c r="CG7" s="2" t="s">
        <v>85</v>
      </c>
      <c r="CH7" s="29" t="s">
        <v>86</v>
      </c>
      <c r="CI7" s="28"/>
      <c r="CJ7" s="28"/>
      <c r="CK7" s="28"/>
      <c r="CL7" s="28"/>
      <c r="CM7" s="2" t="s">
        <v>85</v>
      </c>
      <c r="CN7" s="29" t="s">
        <v>86</v>
      </c>
      <c r="CO7" s="28"/>
      <c r="CP7" s="28"/>
      <c r="CQ7" s="28"/>
      <c r="CR7" s="28"/>
      <c r="CS7" s="2" t="s">
        <v>85</v>
      </c>
      <c r="CT7" s="29" t="s">
        <v>86</v>
      </c>
      <c r="CU7" s="28"/>
      <c r="CV7" s="28"/>
      <c r="CW7" s="28"/>
      <c r="CX7" s="28"/>
    </row>
    <row r="8" spans="1:102" ht="14.45" customHeight="1" x14ac:dyDescent="0.3">
      <c r="A8" s="2" t="s">
        <v>87</v>
      </c>
      <c r="B8" s="29" t="s">
        <v>88</v>
      </c>
      <c r="C8" s="28"/>
      <c r="D8" s="28"/>
      <c r="E8" s="28"/>
      <c r="F8" s="28"/>
      <c r="G8" s="2" t="s">
        <v>87</v>
      </c>
      <c r="H8" s="29" t="s">
        <v>88</v>
      </c>
      <c r="I8" s="28"/>
      <c r="J8" s="28"/>
      <c r="K8" s="28"/>
      <c r="L8" s="28"/>
      <c r="M8" s="2" t="s">
        <v>87</v>
      </c>
      <c r="N8" s="29" t="s">
        <v>88</v>
      </c>
      <c r="O8" s="28"/>
      <c r="P8" s="28"/>
      <c r="Q8" s="28"/>
      <c r="R8" s="28"/>
      <c r="S8" s="2" t="s">
        <v>87</v>
      </c>
      <c r="T8" s="29" t="s">
        <v>88</v>
      </c>
      <c r="U8" s="28"/>
      <c r="V8" s="28"/>
      <c r="W8" s="28"/>
      <c r="X8" s="28"/>
      <c r="Y8" s="2" t="s">
        <v>87</v>
      </c>
      <c r="Z8" s="29" t="s">
        <v>88</v>
      </c>
      <c r="AA8" s="28"/>
      <c r="AB8" s="28"/>
      <c r="AC8" s="28"/>
      <c r="AD8" s="28"/>
      <c r="AE8" s="2" t="s">
        <v>87</v>
      </c>
      <c r="AF8" s="29" t="s">
        <v>88</v>
      </c>
      <c r="AG8" s="28"/>
      <c r="AH8" s="28"/>
      <c r="AI8" s="28"/>
      <c r="AJ8" s="28"/>
      <c r="AK8" s="2" t="s">
        <v>87</v>
      </c>
      <c r="AL8" s="29" t="s">
        <v>88</v>
      </c>
      <c r="AM8" s="28"/>
      <c r="AN8" s="28"/>
      <c r="AO8" s="28"/>
      <c r="AP8" s="28"/>
      <c r="AQ8" s="2" t="s">
        <v>87</v>
      </c>
      <c r="AR8" s="29" t="s">
        <v>88</v>
      </c>
      <c r="AS8" s="28"/>
      <c r="AT8" s="28"/>
      <c r="AU8" s="28"/>
      <c r="AV8" s="28"/>
      <c r="AW8" s="2" t="s">
        <v>87</v>
      </c>
      <c r="AX8" s="29" t="s">
        <v>88</v>
      </c>
      <c r="AY8" s="28"/>
      <c r="AZ8" s="28"/>
      <c r="BA8" s="28"/>
      <c r="BB8" s="28"/>
      <c r="BC8" s="2" t="s">
        <v>87</v>
      </c>
      <c r="BD8" s="29" t="s">
        <v>88</v>
      </c>
      <c r="BE8" s="28"/>
      <c r="BF8" s="28"/>
      <c r="BG8" s="28"/>
      <c r="BH8" s="28"/>
      <c r="BI8" s="2" t="s">
        <v>87</v>
      </c>
      <c r="BJ8" s="29" t="s">
        <v>88</v>
      </c>
      <c r="BK8" s="28"/>
      <c r="BL8" s="28"/>
      <c r="BM8" s="28"/>
      <c r="BN8" s="28"/>
      <c r="BO8" s="2" t="s">
        <v>87</v>
      </c>
      <c r="BP8" s="29" t="s">
        <v>88</v>
      </c>
      <c r="BQ8" s="28"/>
      <c r="BR8" s="28"/>
      <c r="BS8" s="28"/>
      <c r="BT8" s="28"/>
      <c r="BU8" s="2" t="s">
        <v>87</v>
      </c>
      <c r="BV8" s="29" t="s">
        <v>88</v>
      </c>
      <c r="BW8" s="28"/>
      <c r="BX8" s="28"/>
      <c r="BY8" s="28"/>
      <c r="BZ8" s="28"/>
      <c r="CA8" s="2" t="s">
        <v>87</v>
      </c>
      <c r="CB8" s="29" t="s">
        <v>88</v>
      </c>
      <c r="CC8" s="28"/>
      <c r="CD8" s="28"/>
      <c r="CE8" s="28"/>
      <c r="CF8" s="28"/>
      <c r="CG8" s="2" t="s">
        <v>87</v>
      </c>
      <c r="CH8" s="29" t="s">
        <v>88</v>
      </c>
      <c r="CI8" s="28"/>
      <c r="CJ8" s="28"/>
      <c r="CK8" s="28"/>
      <c r="CL8" s="28"/>
      <c r="CM8" s="2" t="s">
        <v>87</v>
      </c>
      <c r="CN8" s="29" t="s">
        <v>88</v>
      </c>
      <c r="CO8" s="28"/>
      <c r="CP8" s="28"/>
      <c r="CQ8" s="28"/>
      <c r="CR8" s="28"/>
      <c r="CS8" s="2" t="s">
        <v>87</v>
      </c>
      <c r="CT8" s="29" t="s">
        <v>88</v>
      </c>
      <c r="CU8" s="28"/>
      <c r="CV8" s="28"/>
      <c r="CW8" s="28"/>
      <c r="CX8" s="28"/>
    </row>
    <row r="9" spans="1:102" ht="14.45" customHeight="1" x14ac:dyDescent="0.3">
      <c r="A9" s="2" t="s">
        <v>89</v>
      </c>
      <c r="B9" s="29" t="s">
        <v>90</v>
      </c>
      <c r="C9" s="28"/>
      <c r="D9" s="28"/>
      <c r="E9" s="28"/>
      <c r="F9" s="28"/>
      <c r="G9" s="2" t="s">
        <v>89</v>
      </c>
      <c r="H9" s="29" t="s">
        <v>90</v>
      </c>
      <c r="I9" s="28"/>
      <c r="J9" s="28"/>
      <c r="K9" s="28"/>
      <c r="L9" s="28"/>
      <c r="M9" s="2" t="s">
        <v>89</v>
      </c>
      <c r="N9" s="29" t="s">
        <v>90</v>
      </c>
      <c r="O9" s="28"/>
      <c r="P9" s="28"/>
      <c r="Q9" s="28"/>
      <c r="R9" s="28"/>
      <c r="S9" s="2" t="s">
        <v>89</v>
      </c>
      <c r="T9" s="29" t="s">
        <v>90</v>
      </c>
      <c r="U9" s="28"/>
      <c r="V9" s="28"/>
      <c r="W9" s="28"/>
      <c r="X9" s="28"/>
      <c r="Y9" s="2" t="s">
        <v>89</v>
      </c>
      <c r="Z9" s="29" t="s">
        <v>90</v>
      </c>
      <c r="AA9" s="28"/>
      <c r="AB9" s="28"/>
      <c r="AC9" s="28"/>
      <c r="AD9" s="28"/>
      <c r="AE9" s="2" t="s">
        <v>89</v>
      </c>
      <c r="AF9" s="29" t="s">
        <v>90</v>
      </c>
      <c r="AG9" s="28"/>
      <c r="AH9" s="28"/>
      <c r="AI9" s="28"/>
      <c r="AJ9" s="28"/>
      <c r="AK9" s="2" t="s">
        <v>89</v>
      </c>
      <c r="AL9" s="29" t="s">
        <v>90</v>
      </c>
      <c r="AM9" s="28"/>
      <c r="AN9" s="28"/>
      <c r="AO9" s="28"/>
      <c r="AP9" s="28"/>
      <c r="AQ9" s="2" t="s">
        <v>89</v>
      </c>
      <c r="AR9" s="29" t="s">
        <v>90</v>
      </c>
      <c r="AS9" s="28"/>
      <c r="AT9" s="28"/>
      <c r="AU9" s="28"/>
      <c r="AV9" s="28"/>
      <c r="AW9" s="2" t="s">
        <v>89</v>
      </c>
      <c r="AX9" s="29" t="s">
        <v>90</v>
      </c>
      <c r="AY9" s="28"/>
      <c r="AZ9" s="28"/>
      <c r="BA9" s="28"/>
      <c r="BB9" s="28"/>
      <c r="BC9" s="2" t="s">
        <v>89</v>
      </c>
      <c r="BD9" s="29" t="s">
        <v>90</v>
      </c>
      <c r="BE9" s="28"/>
      <c r="BF9" s="28"/>
      <c r="BG9" s="28"/>
      <c r="BH9" s="28"/>
      <c r="BI9" s="2" t="s">
        <v>89</v>
      </c>
      <c r="BJ9" s="29" t="s">
        <v>90</v>
      </c>
      <c r="BK9" s="28"/>
      <c r="BL9" s="28"/>
      <c r="BM9" s="28"/>
      <c r="BN9" s="28"/>
      <c r="BO9" s="2" t="s">
        <v>89</v>
      </c>
      <c r="BP9" s="29" t="s">
        <v>90</v>
      </c>
      <c r="BQ9" s="28"/>
      <c r="BR9" s="28"/>
      <c r="BS9" s="28"/>
      <c r="BT9" s="28"/>
      <c r="BU9" s="2" t="s">
        <v>89</v>
      </c>
      <c r="BV9" s="29" t="s">
        <v>90</v>
      </c>
      <c r="BW9" s="28"/>
      <c r="BX9" s="28"/>
      <c r="BY9" s="28"/>
      <c r="BZ9" s="28"/>
      <c r="CA9" s="2" t="s">
        <v>89</v>
      </c>
      <c r="CB9" s="29" t="s">
        <v>90</v>
      </c>
      <c r="CC9" s="28"/>
      <c r="CD9" s="28"/>
      <c r="CE9" s="28"/>
      <c r="CF9" s="28"/>
      <c r="CG9" s="2" t="s">
        <v>89</v>
      </c>
      <c r="CH9" s="29" t="s">
        <v>90</v>
      </c>
      <c r="CI9" s="28"/>
      <c r="CJ9" s="28"/>
      <c r="CK9" s="28"/>
      <c r="CL9" s="28"/>
      <c r="CM9" s="2" t="s">
        <v>89</v>
      </c>
      <c r="CN9" s="29" t="s">
        <v>90</v>
      </c>
      <c r="CO9" s="28"/>
      <c r="CP9" s="28"/>
      <c r="CQ9" s="28"/>
      <c r="CR9" s="28"/>
      <c r="CS9" s="2" t="s">
        <v>89</v>
      </c>
      <c r="CT9" s="29" t="s">
        <v>90</v>
      </c>
      <c r="CU9" s="28"/>
      <c r="CV9" s="28"/>
      <c r="CW9" s="28"/>
      <c r="CX9" s="28"/>
    </row>
    <row r="10" spans="1:102" ht="14.45" customHeight="1" x14ac:dyDescent="0.3">
      <c r="A10" s="2" t="s">
        <v>91</v>
      </c>
      <c r="B10" s="29" t="s">
        <v>92</v>
      </c>
      <c r="C10" s="28"/>
      <c r="D10" s="28"/>
      <c r="E10" s="28"/>
      <c r="F10" s="28"/>
      <c r="G10" s="2" t="s">
        <v>91</v>
      </c>
      <c r="H10" s="29" t="s">
        <v>92</v>
      </c>
      <c r="I10" s="28"/>
      <c r="J10" s="28"/>
      <c r="K10" s="28"/>
      <c r="L10" s="28"/>
      <c r="M10" s="2" t="s">
        <v>91</v>
      </c>
      <c r="N10" s="29" t="s">
        <v>92</v>
      </c>
      <c r="O10" s="28"/>
      <c r="P10" s="28"/>
      <c r="Q10" s="28"/>
      <c r="R10" s="28"/>
      <c r="S10" s="2" t="s">
        <v>91</v>
      </c>
      <c r="T10" s="29" t="s">
        <v>92</v>
      </c>
      <c r="U10" s="28"/>
      <c r="V10" s="28"/>
      <c r="W10" s="28"/>
      <c r="X10" s="28"/>
      <c r="Y10" s="2" t="s">
        <v>91</v>
      </c>
      <c r="Z10" s="29" t="s">
        <v>92</v>
      </c>
      <c r="AA10" s="28"/>
      <c r="AB10" s="28"/>
      <c r="AC10" s="28"/>
      <c r="AD10" s="28"/>
      <c r="AE10" s="2" t="s">
        <v>91</v>
      </c>
      <c r="AF10" s="29" t="s">
        <v>92</v>
      </c>
      <c r="AG10" s="28"/>
      <c r="AH10" s="28"/>
      <c r="AI10" s="28"/>
      <c r="AJ10" s="28"/>
      <c r="AK10" s="2" t="s">
        <v>91</v>
      </c>
      <c r="AL10" s="29" t="s">
        <v>92</v>
      </c>
      <c r="AM10" s="28"/>
      <c r="AN10" s="28"/>
      <c r="AO10" s="28"/>
      <c r="AP10" s="28"/>
      <c r="AQ10" s="2" t="s">
        <v>91</v>
      </c>
      <c r="AR10" s="29" t="s">
        <v>92</v>
      </c>
      <c r="AS10" s="28"/>
      <c r="AT10" s="28"/>
      <c r="AU10" s="28"/>
      <c r="AV10" s="28"/>
      <c r="AW10" s="2" t="s">
        <v>91</v>
      </c>
      <c r="AX10" s="29" t="s">
        <v>92</v>
      </c>
      <c r="AY10" s="28"/>
      <c r="AZ10" s="28"/>
      <c r="BA10" s="28"/>
      <c r="BB10" s="28"/>
      <c r="BC10" s="2" t="s">
        <v>91</v>
      </c>
      <c r="BD10" s="29" t="s">
        <v>92</v>
      </c>
      <c r="BE10" s="28"/>
      <c r="BF10" s="28"/>
      <c r="BG10" s="28"/>
      <c r="BH10" s="28"/>
      <c r="BI10" s="2" t="s">
        <v>91</v>
      </c>
      <c r="BJ10" s="29" t="s">
        <v>92</v>
      </c>
      <c r="BK10" s="28"/>
      <c r="BL10" s="28"/>
      <c r="BM10" s="28"/>
      <c r="BN10" s="28"/>
      <c r="BO10" s="2" t="s">
        <v>91</v>
      </c>
      <c r="BP10" s="29" t="s">
        <v>92</v>
      </c>
      <c r="BQ10" s="28"/>
      <c r="BR10" s="28"/>
      <c r="BS10" s="28"/>
      <c r="BT10" s="28"/>
      <c r="BU10" s="2" t="s">
        <v>91</v>
      </c>
      <c r="BV10" s="29" t="s">
        <v>92</v>
      </c>
      <c r="BW10" s="28"/>
      <c r="BX10" s="28"/>
      <c r="BY10" s="28"/>
      <c r="BZ10" s="28"/>
      <c r="CA10" s="2" t="s">
        <v>91</v>
      </c>
      <c r="CB10" s="29" t="s">
        <v>92</v>
      </c>
      <c r="CC10" s="28"/>
      <c r="CD10" s="28"/>
      <c r="CE10" s="28"/>
      <c r="CF10" s="28"/>
      <c r="CG10" s="2" t="s">
        <v>91</v>
      </c>
      <c r="CH10" s="29" t="s">
        <v>92</v>
      </c>
      <c r="CI10" s="28"/>
      <c r="CJ10" s="28"/>
      <c r="CK10" s="28"/>
      <c r="CL10" s="28"/>
      <c r="CM10" s="2" t="s">
        <v>91</v>
      </c>
      <c r="CN10" s="29" t="s">
        <v>92</v>
      </c>
      <c r="CO10" s="28"/>
      <c r="CP10" s="28"/>
      <c r="CQ10" s="28"/>
      <c r="CR10" s="28"/>
      <c r="CS10" s="2" t="s">
        <v>91</v>
      </c>
      <c r="CT10" s="29" t="s">
        <v>210</v>
      </c>
      <c r="CU10" s="28"/>
      <c r="CV10" s="28"/>
      <c r="CW10" s="28"/>
      <c r="CX10" s="28"/>
    </row>
    <row r="11" spans="1:102" ht="52.9" x14ac:dyDescent="0.3">
      <c r="A11" s="2" t="s">
        <v>93</v>
      </c>
      <c r="B11" s="29" t="s">
        <v>94</v>
      </c>
      <c r="C11" s="28"/>
      <c r="D11" s="28"/>
      <c r="E11" s="28"/>
      <c r="F11" s="28"/>
      <c r="G11" s="2" t="s">
        <v>93</v>
      </c>
      <c r="H11" s="29" t="s">
        <v>94</v>
      </c>
      <c r="I11" s="28"/>
      <c r="J11" s="28"/>
      <c r="K11" s="28"/>
      <c r="L11" s="28"/>
      <c r="M11" s="2" t="s">
        <v>93</v>
      </c>
      <c r="N11" s="29" t="s">
        <v>94</v>
      </c>
      <c r="O11" s="28"/>
      <c r="P11" s="28"/>
      <c r="Q11" s="28"/>
      <c r="R11" s="28"/>
      <c r="S11" s="2" t="s">
        <v>93</v>
      </c>
      <c r="T11" s="29" t="s">
        <v>94</v>
      </c>
      <c r="U11" s="28"/>
      <c r="V11" s="28"/>
      <c r="W11" s="28"/>
      <c r="X11" s="28"/>
      <c r="Y11" s="2" t="s">
        <v>93</v>
      </c>
      <c r="Z11" s="29" t="s">
        <v>94</v>
      </c>
      <c r="AA11" s="28"/>
      <c r="AB11" s="28"/>
      <c r="AC11" s="28"/>
      <c r="AD11" s="28"/>
      <c r="AE11" s="2" t="s">
        <v>93</v>
      </c>
      <c r="AF11" s="29" t="s">
        <v>94</v>
      </c>
      <c r="AG11" s="28"/>
      <c r="AH11" s="28"/>
      <c r="AI11" s="28"/>
      <c r="AJ11" s="28"/>
      <c r="AK11" s="2" t="s">
        <v>93</v>
      </c>
      <c r="AL11" s="29" t="s">
        <v>94</v>
      </c>
      <c r="AM11" s="28"/>
      <c r="AN11" s="28"/>
      <c r="AO11" s="28"/>
      <c r="AP11" s="28"/>
      <c r="AQ11" s="2" t="s">
        <v>93</v>
      </c>
      <c r="AR11" s="29" t="s">
        <v>94</v>
      </c>
      <c r="AS11" s="28"/>
      <c r="AT11" s="28"/>
      <c r="AU11" s="28"/>
      <c r="AV11" s="28"/>
      <c r="AW11" s="2" t="s">
        <v>93</v>
      </c>
      <c r="AX11" s="29" t="s">
        <v>94</v>
      </c>
      <c r="AY11" s="28"/>
      <c r="AZ11" s="28"/>
      <c r="BA11" s="28"/>
      <c r="BB11" s="28"/>
      <c r="BC11" s="2" t="s">
        <v>93</v>
      </c>
      <c r="BD11" s="29" t="s">
        <v>94</v>
      </c>
      <c r="BE11" s="28"/>
      <c r="BF11" s="28"/>
      <c r="BG11" s="28"/>
      <c r="BH11" s="28"/>
      <c r="BI11" s="2" t="s">
        <v>93</v>
      </c>
      <c r="BJ11" s="29" t="s">
        <v>94</v>
      </c>
      <c r="BK11" s="28"/>
      <c r="BL11" s="28"/>
      <c r="BM11" s="28"/>
      <c r="BN11" s="28"/>
      <c r="BO11" s="2" t="s">
        <v>93</v>
      </c>
      <c r="BP11" s="29" t="s">
        <v>94</v>
      </c>
      <c r="BQ11" s="28"/>
      <c r="BR11" s="28"/>
      <c r="BS11" s="28"/>
      <c r="BT11" s="28"/>
      <c r="BU11" s="2" t="s">
        <v>93</v>
      </c>
      <c r="BV11" s="29" t="s">
        <v>94</v>
      </c>
      <c r="BW11" s="28"/>
      <c r="BX11" s="28"/>
      <c r="BY11" s="28"/>
      <c r="BZ11" s="28"/>
      <c r="CA11" s="2" t="s">
        <v>93</v>
      </c>
      <c r="CB11" s="29" t="s">
        <v>94</v>
      </c>
      <c r="CC11" s="28"/>
      <c r="CD11" s="28"/>
      <c r="CE11" s="28"/>
      <c r="CF11" s="28"/>
      <c r="CG11" s="2" t="s">
        <v>93</v>
      </c>
      <c r="CH11" s="29" t="s">
        <v>94</v>
      </c>
      <c r="CI11" s="28"/>
      <c r="CJ11" s="28"/>
      <c r="CK11" s="28"/>
      <c r="CL11" s="28"/>
      <c r="CM11" s="2" t="s">
        <v>93</v>
      </c>
      <c r="CN11" s="29" t="s">
        <v>94</v>
      </c>
      <c r="CO11" s="28"/>
      <c r="CP11" s="28"/>
      <c r="CQ11" s="28"/>
      <c r="CR11" s="28"/>
      <c r="CS11" s="2" t="s">
        <v>93</v>
      </c>
      <c r="CT11" s="29" t="s">
        <v>94</v>
      </c>
      <c r="CU11" s="28"/>
      <c r="CV11" s="28"/>
      <c r="CW11" s="28"/>
      <c r="CX11" s="28"/>
    </row>
    <row r="12" spans="1:102" ht="14.45" customHeight="1" x14ac:dyDescent="0.3">
      <c r="A12" s="2" t="s">
        <v>5</v>
      </c>
      <c r="B12" s="29" t="s">
        <v>182</v>
      </c>
      <c r="C12" s="28"/>
      <c r="D12" s="28"/>
      <c r="E12" s="28"/>
      <c r="F12" s="28"/>
      <c r="G12" s="2" t="s">
        <v>5</v>
      </c>
      <c r="H12" s="29" t="s">
        <v>6</v>
      </c>
      <c r="I12" s="28"/>
      <c r="J12" s="28"/>
      <c r="K12" s="28"/>
      <c r="L12" s="28"/>
      <c r="M12" s="2" t="s">
        <v>5</v>
      </c>
      <c r="N12" s="29" t="s">
        <v>32</v>
      </c>
      <c r="O12" s="28"/>
      <c r="P12" s="28"/>
      <c r="Q12" s="28"/>
      <c r="R12" s="28"/>
      <c r="S12" s="2" t="s">
        <v>5</v>
      </c>
      <c r="T12" s="29" t="s">
        <v>34</v>
      </c>
      <c r="U12" s="28"/>
      <c r="V12" s="28"/>
      <c r="W12" s="28"/>
      <c r="X12" s="28"/>
      <c r="Y12" s="2" t="s">
        <v>5</v>
      </c>
      <c r="Z12" s="29" t="s">
        <v>36</v>
      </c>
      <c r="AA12" s="28"/>
      <c r="AB12" s="28"/>
      <c r="AC12" s="28"/>
      <c r="AD12" s="28"/>
      <c r="AE12" s="2" t="s">
        <v>5</v>
      </c>
      <c r="AF12" s="29" t="s">
        <v>48</v>
      </c>
      <c r="AG12" s="28"/>
      <c r="AH12" s="28"/>
      <c r="AI12" s="28"/>
      <c r="AJ12" s="28"/>
      <c r="AK12" s="2" t="s">
        <v>5</v>
      </c>
      <c r="AL12" s="29" t="s">
        <v>95</v>
      </c>
      <c r="AM12" s="28"/>
      <c r="AN12" s="28"/>
      <c r="AO12" s="28"/>
      <c r="AP12" s="28"/>
      <c r="AQ12" s="2" t="s">
        <v>5</v>
      </c>
      <c r="AR12" s="29" t="s">
        <v>52</v>
      </c>
      <c r="AS12" s="28"/>
      <c r="AT12" s="28"/>
      <c r="AU12" s="28"/>
      <c r="AV12" s="28"/>
      <c r="AW12" s="2" t="s">
        <v>5</v>
      </c>
      <c r="AX12" s="29" t="s">
        <v>54</v>
      </c>
      <c r="AY12" s="28"/>
      <c r="AZ12" s="28"/>
      <c r="BA12" s="28"/>
      <c r="BB12" s="28"/>
      <c r="BC12" s="2" t="s">
        <v>5</v>
      </c>
      <c r="BD12" s="29" t="s">
        <v>56</v>
      </c>
      <c r="BE12" s="28"/>
      <c r="BF12" s="28"/>
      <c r="BG12" s="28"/>
      <c r="BH12" s="28"/>
      <c r="BI12" s="2" t="s">
        <v>5</v>
      </c>
      <c r="BJ12" s="29" t="s">
        <v>58</v>
      </c>
      <c r="BK12" s="28"/>
      <c r="BL12" s="28"/>
      <c r="BM12" s="28"/>
      <c r="BN12" s="28"/>
      <c r="BO12" s="2" t="s">
        <v>5</v>
      </c>
      <c r="BP12" s="29" t="s">
        <v>61</v>
      </c>
      <c r="BQ12" s="28"/>
      <c r="BR12" s="28"/>
      <c r="BS12" s="28"/>
      <c r="BT12" s="28"/>
      <c r="BU12" s="2" t="s">
        <v>5</v>
      </c>
      <c r="BV12" s="29" t="s">
        <v>63</v>
      </c>
      <c r="BW12" s="28"/>
      <c r="BX12" s="28"/>
      <c r="BY12" s="28"/>
      <c r="BZ12" s="28"/>
      <c r="CA12" s="2" t="s">
        <v>5</v>
      </c>
      <c r="CB12" s="29" t="s">
        <v>65</v>
      </c>
      <c r="CC12" s="28"/>
      <c r="CD12" s="28"/>
      <c r="CE12" s="28"/>
      <c r="CF12" s="28"/>
      <c r="CG12" s="2" t="s">
        <v>5</v>
      </c>
      <c r="CH12" s="29" t="s">
        <v>67</v>
      </c>
      <c r="CI12" s="28"/>
      <c r="CJ12" s="28"/>
      <c r="CK12" s="28"/>
      <c r="CL12" s="28"/>
      <c r="CM12" s="2" t="s">
        <v>5</v>
      </c>
      <c r="CN12" s="29" t="s">
        <v>69</v>
      </c>
      <c r="CO12" s="28"/>
      <c r="CP12" s="28"/>
      <c r="CQ12" s="28"/>
      <c r="CR12" s="28"/>
      <c r="CS12" s="2" t="s">
        <v>13</v>
      </c>
      <c r="CT12" s="31" t="s">
        <v>14</v>
      </c>
      <c r="CU12" s="28"/>
      <c r="CV12" s="28"/>
      <c r="CW12" s="28"/>
      <c r="CX12" s="28"/>
    </row>
    <row r="13" spans="1:102" ht="14.45" x14ac:dyDescent="0.3">
      <c r="A13" s="2" t="s">
        <v>13</v>
      </c>
      <c r="B13" s="31" t="s">
        <v>14</v>
      </c>
      <c r="C13" s="28"/>
      <c r="D13" s="28"/>
      <c r="E13" s="28"/>
      <c r="F13" s="28"/>
      <c r="G13" s="2" t="s">
        <v>13</v>
      </c>
      <c r="H13" s="31" t="s">
        <v>14</v>
      </c>
      <c r="I13" s="28"/>
      <c r="J13" s="28"/>
      <c r="K13" s="28"/>
      <c r="L13" s="28"/>
      <c r="M13" s="2" t="s">
        <v>13</v>
      </c>
      <c r="N13" s="31" t="s">
        <v>14</v>
      </c>
      <c r="O13" s="28"/>
      <c r="P13" s="28"/>
      <c r="Q13" s="28"/>
      <c r="R13" s="28"/>
      <c r="S13" s="2" t="s">
        <v>13</v>
      </c>
      <c r="T13" s="31" t="s">
        <v>14</v>
      </c>
      <c r="U13" s="28"/>
      <c r="V13" s="28"/>
      <c r="W13" s="28"/>
      <c r="X13" s="28"/>
      <c r="Y13" s="2" t="s">
        <v>13</v>
      </c>
      <c r="Z13" s="31" t="s">
        <v>14</v>
      </c>
      <c r="AA13" s="28"/>
      <c r="AB13" s="28"/>
      <c r="AC13" s="28"/>
      <c r="AD13" s="28"/>
      <c r="AE13" s="2" t="s">
        <v>13</v>
      </c>
      <c r="AF13" s="31" t="s">
        <v>14</v>
      </c>
      <c r="AG13" s="28"/>
      <c r="AH13" s="28"/>
      <c r="AI13" s="28"/>
      <c r="AJ13" s="28"/>
      <c r="AK13" s="2" t="s">
        <v>13</v>
      </c>
      <c r="AL13" s="31" t="s">
        <v>14</v>
      </c>
      <c r="AM13" s="28"/>
      <c r="AN13" s="28"/>
      <c r="AO13" s="28"/>
      <c r="AP13" s="28"/>
      <c r="AQ13" s="2" t="s">
        <v>13</v>
      </c>
      <c r="AR13" s="31" t="s">
        <v>14</v>
      </c>
      <c r="AS13" s="28"/>
      <c r="AT13" s="28"/>
      <c r="AU13" s="28"/>
      <c r="AV13" s="28"/>
      <c r="AW13" s="2" t="s">
        <v>13</v>
      </c>
      <c r="AX13" s="31" t="s">
        <v>14</v>
      </c>
      <c r="AY13" s="28"/>
      <c r="AZ13" s="28"/>
      <c r="BA13" s="28"/>
      <c r="BB13" s="28"/>
      <c r="BC13" s="2" t="s">
        <v>13</v>
      </c>
      <c r="BD13" s="31" t="s">
        <v>14</v>
      </c>
      <c r="BE13" s="28"/>
      <c r="BF13" s="28"/>
      <c r="BG13" s="28"/>
      <c r="BH13" s="28"/>
      <c r="BI13" s="2" t="s">
        <v>13</v>
      </c>
      <c r="BJ13" s="31" t="s">
        <v>14</v>
      </c>
      <c r="BK13" s="28"/>
      <c r="BL13" s="28"/>
      <c r="BM13" s="28"/>
      <c r="BN13" s="28"/>
      <c r="BO13" s="2" t="s">
        <v>13</v>
      </c>
      <c r="BP13" s="31" t="s">
        <v>14</v>
      </c>
      <c r="BQ13" s="28"/>
      <c r="BR13" s="28"/>
      <c r="BS13" s="28"/>
      <c r="BT13" s="28"/>
      <c r="BU13" s="2" t="s">
        <v>13</v>
      </c>
      <c r="BV13" s="31" t="s">
        <v>14</v>
      </c>
      <c r="BW13" s="28"/>
      <c r="BX13" s="28"/>
      <c r="BY13" s="28"/>
      <c r="BZ13" s="28"/>
      <c r="CA13" s="2" t="s">
        <v>13</v>
      </c>
      <c r="CB13" s="31" t="s">
        <v>14</v>
      </c>
      <c r="CC13" s="28"/>
      <c r="CD13" s="28"/>
      <c r="CE13" s="28"/>
      <c r="CF13" s="28"/>
      <c r="CG13" s="2" t="s">
        <v>13</v>
      </c>
      <c r="CH13" s="31" t="s">
        <v>14</v>
      </c>
      <c r="CI13" s="28"/>
      <c r="CJ13" s="28"/>
      <c r="CK13" s="28"/>
      <c r="CL13" s="28"/>
      <c r="CM13" s="2" t="s">
        <v>13</v>
      </c>
      <c r="CN13" s="31" t="s">
        <v>14</v>
      </c>
      <c r="CO13" s="28"/>
      <c r="CP13" s="28"/>
      <c r="CQ13" s="28"/>
      <c r="CR13" s="28"/>
    </row>
    <row r="14" spans="1:102" thickBot="1" x14ac:dyDescent="0.35">
      <c r="CS14" s="3" t="s">
        <v>15</v>
      </c>
      <c r="CT14" s="3" t="s">
        <v>16</v>
      </c>
      <c r="CU14" s="3" t="s">
        <v>17</v>
      </c>
      <c r="CV14" s="3" t="s">
        <v>18</v>
      </c>
    </row>
    <row r="15" spans="1:102" ht="15.6" thickTop="1" thickBot="1" x14ac:dyDescent="0.35">
      <c r="A15" s="3" t="s">
        <v>15</v>
      </c>
      <c r="B15" s="3" t="s">
        <v>16</v>
      </c>
      <c r="C15" s="3" t="s">
        <v>17</v>
      </c>
      <c r="D15" s="3" t="s">
        <v>18</v>
      </c>
      <c r="G15" s="3" t="s">
        <v>15</v>
      </c>
      <c r="H15" s="3" t="s">
        <v>16</v>
      </c>
      <c r="I15" s="3" t="s">
        <v>17</v>
      </c>
      <c r="J15" s="3" t="s">
        <v>18</v>
      </c>
      <c r="M15" s="3" t="s">
        <v>15</v>
      </c>
      <c r="N15" s="3" t="s">
        <v>16</v>
      </c>
      <c r="O15" s="3" t="s">
        <v>17</v>
      </c>
      <c r="P15" s="3" t="s">
        <v>18</v>
      </c>
      <c r="S15" s="3" t="s">
        <v>15</v>
      </c>
      <c r="T15" s="3" t="s">
        <v>16</v>
      </c>
      <c r="U15" s="3" t="s">
        <v>17</v>
      </c>
      <c r="V15" s="3" t="s">
        <v>18</v>
      </c>
      <c r="Y15" s="3" t="s">
        <v>15</v>
      </c>
      <c r="Z15" s="3" t="s">
        <v>16</v>
      </c>
      <c r="AA15" s="3" t="s">
        <v>17</v>
      </c>
      <c r="AB15" s="3" t="s">
        <v>18</v>
      </c>
      <c r="AE15" s="3" t="s">
        <v>15</v>
      </c>
      <c r="AF15" s="3" t="s">
        <v>16</v>
      </c>
      <c r="AG15" s="3" t="s">
        <v>17</v>
      </c>
      <c r="AH15" s="3" t="s">
        <v>18</v>
      </c>
      <c r="AK15" s="3" t="s">
        <v>15</v>
      </c>
      <c r="AL15" s="3" t="s">
        <v>16</v>
      </c>
      <c r="AM15" s="3" t="s">
        <v>17</v>
      </c>
      <c r="AN15" s="3" t="s">
        <v>18</v>
      </c>
      <c r="AO15" s="13"/>
      <c r="AQ15" s="3" t="s">
        <v>15</v>
      </c>
      <c r="AR15" s="3" t="s">
        <v>16</v>
      </c>
      <c r="AS15" s="3" t="s">
        <v>17</v>
      </c>
      <c r="AT15" s="3" t="s">
        <v>18</v>
      </c>
      <c r="AW15" s="3" t="s">
        <v>15</v>
      </c>
      <c r="AX15" s="3" t="s">
        <v>16</v>
      </c>
      <c r="AY15" s="3" t="s">
        <v>17</v>
      </c>
      <c r="AZ15" s="3" t="s">
        <v>18</v>
      </c>
      <c r="BC15" s="3" t="s">
        <v>15</v>
      </c>
      <c r="BD15" s="3" t="s">
        <v>16</v>
      </c>
      <c r="BE15" s="3" t="s">
        <v>17</v>
      </c>
      <c r="BF15" s="3" t="s">
        <v>18</v>
      </c>
      <c r="BI15" s="3" t="s">
        <v>15</v>
      </c>
      <c r="BJ15" s="3" t="s">
        <v>16</v>
      </c>
      <c r="BK15" s="3" t="s">
        <v>17</v>
      </c>
      <c r="BL15" s="3" t="s">
        <v>18</v>
      </c>
      <c r="BO15" s="3" t="s">
        <v>15</v>
      </c>
      <c r="BP15" s="3" t="s">
        <v>16</v>
      </c>
      <c r="BQ15" s="3" t="s">
        <v>17</v>
      </c>
      <c r="BR15" s="3" t="s">
        <v>18</v>
      </c>
      <c r="BU15" s="3" t="s">
        <v>15</v>
      </c>
      <c r="BV15" s="3" t="s">
        <v>16</v>
      </c>
      <c r="BW15" s="3" t="s">
        <v>17</v>
      </c>
      <c r="BX15" s="3" t="s">
        <v>18</v>
      </c>
      <c r="CA15" s="3" t="s">
        <v>15</v>
      </c>
      <c r="CB15" s="3" t="s">
        <v>16</v>
      </c>
      <c r="CC15" s="3" t="s">
        <v>17</v>
      </c>
      <c r="CD15" s="3" t="s">
        <v>18</v>
      </c>
      <c r="CG15" s="3" t="s">
        <v>15</v>
      </c>
      <c r="CH15" s="3" t="s">
        <v>16</v>
      </c>
      <c r="CI15" s="3" t="s">
        <v>17</v>
      </c>
      <c r="CJ15" s="3" t="s">
        <v>18</v>
      </c>
      <c r="CM15" s="3" t="s">
        <v>15</v>
      </c>
      <c r="CN15" s="3" t="s">
        <v>16</v>
      </c>
      <c r="CO15" s="3" t="s">
        <v>17</v>
      </c>
      <c r="CP15" s="3" t="s">
        <v>18</v>
      </c>
      <c r="CS15" s="4" t="s">
        <v>208</v>
      </c>
      <c r="CT15" s="4">
        <v>2000</v>
      </c>
      <c r="CU15" s="4" t="s">
        <v>20</v>
      </c>
      <c r="CV15" s="5">
        <v>430</v>
      </c>
    </row>
    <row r="16" spans="1:102" thickTop="1" x14ac:dyDescent="0.3">
      <c r="A16" s="4" t="s">
        <v>180</v>
      </c>
      <c r="B16" s="4">
        <v>2000</v>
      </c>
      <c r="C16" s="4" t="s">
        <v>20</v>
      </c>
      <c r="D16" s="5">
        <v>19</v>
      </c>
      <c r="G16" s="4" t="s">
        <v>71</v>
      </c>
      <c r="H16" s="4">
        <v>2000</v>
      </c>
      <c r="I16" s="4" t="s">
        <v>20</v>
      </c>
      <c r="J16" s="5">
        <v>745</v>
      </c>
      <c r="M16" s="4" t="s">
        <v>164</v>
      </c>
      <c r="N16" s="4">
        <v>2000</v>
      </c>
      <c r="O16" s="4" t="s">
        <v>20</v>
      </c>
      <c r="P16" s="5">
        <v>407</v>
      </c>
      <c r="S16" s="4" t="s">
        <v>166</v>
      </c>
      <c r="T16" s="4">
        <v>2000</v>
      </c>
      <c r="U16" s="4" t="s">
        <v>20</v>
      </c>
      <c r="V16" s="5">
        <v>327</v>
      </c>
      <c r="Y16" s="4" t="s">
        <v>168</v>
      </c>
      <c r="Z16" s="4">
        <v>2000</v>
      </c>
      <c r="AA16" s="4" t="s">
        <v>20</v>
      </c>
      <c r="AB16" s="5">
        <v>184</v>
      </c>
      <c r="AE16" s="4" t="s">
        <v>170</v>
      </c>
      <c r="AF16" s="4">
        <v>2000</v>
      </c>
      <c r="AG16" s="4" t="s">
        <v>20</v>
      </c>
      <c r="AH16" s="5">
        <v>816</v>
      </c>
      <c r="AK16" s="4" t="s">
        <v>72</v>
      </c>
      <c r="AL16" s="4">
        <v>2000</v>
      </c>
      <c r="AM16" s="4" t="s">
        <v>20</v>
      </c>
      <c r="AN16" s="5">
        <v>236</v>
      </c>
      <c r="AO16" s="14"/>
      <c r="AQ16" s="4" t="s">
        <v>73</v>
      </c>
      <c r="AR16" s="4">
        <v>2000</v>
      </c>
      <c r="AS16" s="4" t="s">
        <v>20</v>
      </c>
      <c r="AT16" s="5">
        <v>125</v>
      </c>
      <c r="AW16" s="4" t="s">
        <v>172</v>
      </c>
      <c r="AX16" s="4">
        <v>2000</v>
      </c>
      <c r="AY16" s="4" t="s">
        <v>20</v>
      </c>
      <c r="AZ16" s="5">
        <v>161</v>
      </c>
      <c r="BC16" s="4" t="s">
        <v>174</v>
      </c>
      <c r="BD16" s="4">
        <v>2000</v>
      </c>
      <c r="BE16" s="4" t="s">
        <v>20</v>
      </c>
      <c r="BF16" s="5">
        <v>67</v>
      </c>
      <c r="BI16" s="4" t="s">
        <v>74</v>
      </c>
      <c r="BJ16" s="4">
        <v>2000</v>
      </c>
      <c r="BK16" s="4" t="s">
        <v>20</v>
      </c>
      <c r="BL16" s="5">
        <v>655</v>
      </c>
      <c r="BO16" s="4" t="s">
        <v>176</v>
      </c>
      <c r="BP16" s="4">
        <v>2000</v>
      </c>
      <c r="BQ16" s="4" t="s">
        <v>20</v>
      </c>
      <c r="BR16" s="5">
        <v>81</v>
      </c>
      <c r="BU16" s="4" t="s">
        <v>178</v>
      </c>
      <c r="BV16" s="4">
        <v>2000</v>
      </c>
      <c r="BW16" s="4" t="s">
        <v>20</v>
      </c>
      <c r="BX16" s="5">
        <v>272</v>
      </c>
      <c r="CA16" s="4" t="s">
        <v>75</v>
      </c>
      <c r="CB16" s="4">
        <v>2000</v>
      </c>
      <c r="CC16" s="4" t="s">
        <v>20</v>
      </c>
      <c r="CD16" s="5">
        <v>152</v>
      </c>
      <c r="CG16" s="4" t="s">
        <v>76</v>
      </c>
      <c r="CH16" s="4">
        <v>2000</v>
      </c>
      <c r="CI16" s="4" t="s">
        <v>20</v>
      </c>
      <c r="CJ16" s="5">
        <v>631</v>
      </c>
      <c r="CM16" s="4" t="s">
        <v>183</v>
      </c>
      <c r="CN16" s="4">
        <v>2000</v>
      </c>
      <c r="CO16" s="4" t="s">
        <v>20</v>
      </c>
      <c r="CP16" s="5">
        <v>274</v>
      </c>
      <c r="CS16" s="4" t="s">
        <v>208</v>
      </c>
      <c r="CT16" s="4">
        <v>2000</v>
      </c>
      <c r="CU16" s="4" t="s">
        <v>21</v>
      </c>
      <c r="CV16" s="5">
        <v>409</v>
      </c>
    </row>
    <row r="17" spans="1:100" ht="14.45" x14ac:dyDescent="0.3">
      <c r="A17" s="4" t="s">
        <v>180</v>
      </c>
      <c r="B17" s="4">
        <v>2000</v>
      </c>
      <c r="C17" s="4" t="s">
        <v>21</v>
      </c>
      <c r="D17" s="5">
        <v>25</v>
      </c>
      <c r="G17" s="4" t="s">
        <v>71</v>
      </c>
      <c r="H17" s="4">
        <v>2000</v>
      </c>
      <c r="I17" s="4" t="s">
        <v>21</v>
      </c>
      <c r="J17" s="5">
        <v>812</v>
      </c>
      <c r="M17" s="4" t="s">
        <v>164</v>
      </c>
      <c r="N17" s="4">
        <v>2000</v>
      </c>
      <c r="O17" s="4" t="s">
        <v>21</v>
      </c>
      <c r="P17" s="5">
        <v>373</v>
      </c>
      <c r="S17" s="4" t="s">
        <v>166</v>
      </c>
      <c r="T17" s="4">
        <v>2000</v>
      </c>
      <c r="U17" s="4" t="s">
        <v>21</v>
      </c>
      <c r="V17" s="5">
        <v>321</v>
      </c>
      <c r="Y17" s="4" t="s">
        <v>168</v>
      </c>
      <c r="Z17" s="4">
        <v>2000</v>
      </c>
      <c r="AA17" s="4" t="s">
        <v>21</v>
      </c>
      <c r="AB17" s="5">
        <v>165</v>
      </c>
      <c r="AE17" s="4" t="s">
        <v>170</v>
      </c>
      <c r="AF17" s="4">
        <v>2000</v>
      </c>
      <c r="AG17" s="4" t="s">
        <v>21</v>
      </c>
      <c r="AH17" s="5">
        <v>858</v>
      </c>
      <c r="AK17" s="4" t="s">
        <v>72</v>
      </c>
      <c r="AL17" s="4">
        <v>2000</v>
      </c>
      <c r="AM17" s="4" t="s">
        <v>21</v>
      </c>
      <c r="AN17" s="5">
        <v>223</v>
      </c>
      <c r="AO17" s="14"/>
      <c r="AQ17" s="4" t="s">
        <v>73</v>
      </c>
      <c r="AR17" s="4">
        <v>2000</v>
      </c>
      <c r="AS17" s="4" t="s">
        <v>21</v>
      </c>
      <c r="AT17" s="5">
        <v>112</v>
      </c>
      <c r="AW17" s="4" t="s">
        <v>172</v>
      </c>
      <c r="AX17" s="4">
        <v>2000</v>
      </c>
      <c r="AY17" s="4" t="s">
        <v>21</v>
      </c>
      <c r="AZ17" s="5">
        <v>175</v>
      </c>
      <c r="BC17" s="4" t="s">
        <v>174</v>
      </c>
      <c r="BD17" s="4">
        <v>2000</v>
      </c>
      <c r="BE17" s="4" t="s">
        <v>21</v>
      </c>
      <c r="BF17" s="5">
        <v>65</v>
      </c>
      <c r="BI17" s="4" t="s">
        <v>74</v>
      </c>
      <c r="BJ17" s="4">
        <v>2000</v>
      </c>
      <c r="BK17" s="4" t="s">
        <v>21</v>
      </c>
      <c r="BL17" s="5">
        <v>587</v>
      </c>
      <c r="BO17" s="4" t="s">
        <v>176</v>
      </c>
      <c r="BP17" s="4">
        <v>2000</v>
      </c>
      <c r="BQ17" s="4" t="s">
        <v>21</v>
      </c>
      <c r="BR17" s="5">
        <v>58</v>
      </c>
      <c r="BU17" s="4" t="s">
        <v>178</v>
      </c>
      <c r="BV17" s="4">
        <v>2000</v>
      </c>
      <c r="BW17" s="4" t="s">
        <v>21</v>
      </c>
      <c r="BX17" s="5">
        <v>291</v>
      </c>
      <c r="CA17" s="4" t="s">
        <v>75</v>
      </c>
      <c r="CB17" s="4">
        <v>2000</v>
      </c>
      <c r="CC17" s="4" t="s">
        <v>21</v>
      </c>
      <c r="CD17" s="5">
        <v>136</v>
      </c>
      <c r="CG17" s="4" t="s">
        <v>76</v>
      </c>
      <c r="CH17" s="4">
        <v>2000</v>
      </c>
      <c r="CI17" s="4" t="s">
        <v>21</v>
      </c>
      <c r="CJ17" s="5">
        <v>643</v>
      </c>
      <c r="CM17" s="4" t="s">
        <v>183</v>
      </c>
      <c r="CN17" s="4">
        <v>2000</v>
      </c>
      <c r="CO17" s="4" t="s">
        <v>21</v>
      </c>
      <c r="CP17" s="5">
        <v>232</v>
      </c>
      <c r="CS17" s="4" t="s">
        <v>208</v>
      </c>
      <c r="CT17" s="4">
        <v>2000</v>
      </c>
      <c r="CU17" s="4" t="s">
        <v>22</v>
      </c>
      <c r="CV17" s="5">
        <v>311</v>
      </c>
    </row>
    <row r="18" spans="1:100" ht="14.45" x14ac:dyDescent="0.3">
      <c r="A18" s="4" t="s">
        <v>180</v>
      </c>
      <c r="B18" s="4">
        <v>2000</v>
      </c>
      <c r="C18" s="4" t="s">
        <v>22</v>
      </c>
      <c r="D18" s="5">
        <v>17</v>
      </c>
      <c r="G18" s="4" t="s">
        <v>71</v>
      </c>
      <c r="H18" s="4">
        <v>2000</v>
      </c>
      <c r="I18" s="4" t="s">
        <v>22</v>
      </c>
      <c r="J18" s="5">
        <v>669</v>
      </c>
      <c r="M18" s="4" t="s">
        <v>164</v>
      </c>
      <c r="N18" s="4">
        <v>2000</v>
      </c>
      <c r="O18" s="4" t="s">
        <v>22</v>
      </c>
      <c r="P18" s="5">
        <v>359</v>
      </c>
      <c r="S18" s="4" t="s">
        <v>166</v>
      </c>
      <c r="T18" s="4">
        <v>2000</v>
      </c>
      <c r="U18" s="4" t="s">
        <v>22</v>
      </c>
      <c r="V18" s="5">
        <v>380</v>
      </c>
      <c r="Y18" s="4" t="s">
        <v>168</v>
      </c>
      <c r="Z18" s="4">
        <v>2000</v>
      </c>
      <c r="AA18" s="4" t="s">
        <v>22</v>
      </c>
      <c r="AB18" s="5">
        <v>159</v>
      </c>
      <c r="AE18" s="4" t="s">
        <v>170</v>
      </c>
      <c r="AF18" s="4">
        <v>2000</v>
      </c>
      <c r="AG18" s="4" t="s">
        <v>22</v>
      </c>
      <c r="AH18" s="5">
        <v>823</v>
      </c>
      <c r="AK18" s="4" t="s">
        <v>72</v>
      </c>
      <c r="AL18" s="4">
        <v>2000</v>
      </c>
      <c r="AM18" s="4" t="s">
        <v>22</v>
      </c>
      <c r="AN18" s="5">
        <v>192</v>
      </c>
      <c r="AO18" s="14"/>
      <c r="AQ18" s="4" t="s">
        <v>73</v>
      </c>
      <c r="AR18" s="4">
        <v>2000</v>
      </c>
      <c r="AS18" s="4" t="s">
        <v>22</v>
      </c>
      <c r="AT18" s="5">
        <v>140</v>
      </c>
      <c r="AW18" s="4" t="s">
        <v>172</v>
      </c>
      <c r="AX18" s="4">
        <v>2000</v>
      </c>
      <c r="AY18" s="4" t="s">
        <v>22</v>
      </c>
      <c r="AZ18" s="5">
        <v>142</v>
      </c>
      <c r="BC18" s="4" t="s">
        <v>174</v>
      </c>
      <c r="BD18" s="4">
        <v>2000</v>
      </c>
      <c r="BE18" s="4" t="s">
        <v>22</v>
      </c>
      <c r="BF18" s="5">
        <v>84</v>
      </c>
      <c r="BI18" s="4" t="s">
        <v>74</v>
      </c>
      <c r="BJ18" s="4">
        <v>2000</v>
      </c>
      <c r="BK18" s="4" t="s">
        <v>22</v>
      </c>
      <c r="BL18" s="5">
        <v>623</v>
      </c>
      <c r="BO18" s="4" t="s">
        <v>176</v>
      </c>
      <c r="BP18" s="4">
        <v>2000</v>
      </c>
      <c r="BQ18" s="4" t="s">
        <v>22</v>
      </c>
      <c r="BR18" s="5">
        <v>70</v>
      </c>
      <c r="BU18" s="4" t="s">
        <v>178</v>
      </c>
      <c r="BV18" s="4">
        <v>2000</v>
      </c>
      <c r="BW18" s="4" t="s">
        <v>22</v>
      </c>
      <c r="BX18" s="5">
        <v>311</v>
      </c>
      <c r="CA18" s="4" t="s">
        <v>75</v>
      </c>
      <c r="CB18" s="4">
        <v>2000</v>
      </c>
      <c r="CC18" s="4" t="s">
        <v>22</v>
      </c>
      <c r="CD18" s="5">
        <v>109</v>
      </c>
      <c r="CG18" s="4" t="s">
        <v>76</v>
      </c>
      <c r="CH18" s="4">
        <v>2000</v>
      </c>
      <c r="CI18" s="4" t="s">
        <v>22</v>
      </c>
      <c r="CJ18" s="5">
        <v>681</v>
      </c>
      <c r="CM18" s="4" t="s">
        <v>183</v>
      </c>
      <c r="CN18" s="4">
        <v>2000</v>
      </c>
      <c r="CO18" s="4" t="s">
        <v>22</v>
      </c>
      <c r="CP18" s="5">
        <v>247</v>
      </c>
      <c r="CS18" s="4" t="s">
        <v>208</v>
      </c>
      <c r="CT18" s="4">
        <v>2000</v>
      </c>
      <c r="CU18" s="4" t="s">
        <v>23</v>
      </c>
      <c r="CV18" s="5">
        <v>269</v>
      </c>
    </row>
    <row r="19" spans="1:100" ht="14.45" x14ac:dyDescent="0.3">
      <c r="A19" s="4" t="s">
        <v>180</v>
      </c>
      <c r="B19" s="4">
        <v>2000</v>
      </c>
      <c r="C19" s="4" t="s">
        <v>23</v>
      </c>
      <c r="D19" s="5">
        <v>20</v>
      </c>
      <c r="G19" s="4" t="s">
        <v>71</v>
      </c>
      <c r="H19" s="4">
        <v>2000</v>
      </c>
      <c r="I19" s="4" t="s">
        <v>23</v>
      </c>
      <c r="J19" s="5">
        <v>447</v>
      </c>
      <c r="M19" s="4" t="s">
        <v>164</v>
      </c>
      <c r="N19" s="4">
        <v>2000</v>
      </c>
      <c r="O19" s="4" t="s">
        <v>23</v>
      </c>
      <c r="P19" s="5">
        <v>449</v>
      </c>
      <c r="S19" s="4" t="s">
        <v>166</v>
      </c>
      <c r="T19" s="4">
        <v>2000</v>
      </c>
      <c r="U19" s="4" t="s">
        <v>23</v>
      </c>
      <c r="V19" s="5">
        <v>287</v>
      </c>
      <c r="Y19" s="4" t="s">
        <v>168</v>
      </c>
      <c r="Z19" s="4">
        <v>2000</v>
      </c>
      <c r="AA19" s="4" t="s">
        <v>23</v>
      </c>
      <c r="AB19" s="5">
        <v>137</v>
      </c>
      <c r="AE19" s="4" t="s">
        <v>170</v>
      </c>
      <c r="AF19" s="4">
        <v>2000</v>
      </c>
      <c r="AG19" s="4" t="s">
        <v>23</v>
      </c>
      <c r="AH19" s="5">
        <v>656</v>
      </c>
      <c r="AK19" s="4" t="s">
        <v>72</v>
      </c>
      <c r="AL19" s="4">
        <v>2000</v>
      </c>
      <c r="AM19" s="4" t="s">
        <v>23</v>
      </c>
      <c r="AN19" s="5">
        <v>191</v>
      </c>
      <c r="AO19" s="14"/>
      <c r="AQ19" s="4" t="s">
        <v>73</v>
      </c>
      <c r="AR19" s="4">
        <v>2000</v>
      </c>
      <c r="AS19" s="4" t="s">
        <v>23</v>
      </c>
      <c r="AT19" s="5">
        <v>95</v>
      </c>
      <c r="AW19" s="4" t="s">
        <v>172</v>
      </c>
      <c r="AX19" s="4">
        <v>2000</v>
      </c>
      <c r="AY19" s="4" t="s">
        <v>23</v>
      </c>
      <c r="AZ19" s="5">
        <v>134</v>
      </c>
      <c r="BC19" s="4" t="s">
        <v>174</v>
      </c>
      <c r="BD19" s="4">
        <v>2000</v>
      </c>
      <c r="BE19" s="4" t="s">
        <v>23</v>
      </c>
      <c r="BF19" s="5">
        <v>63</v>
      </c>
      <c r="BI19" s="4" t="s">
        <v>74</v>
      </c>
      <c r="BJ19" s="4">
        <v>2000</v>
      </c>
      <c r="BK19" s="4" t="s">
        <v>23</v>
      </c>
      <c r="BL19" s="5">
        <v>517</v>
      </c>
      <c r="BO19" s="4" t="s">
        <v>176</v>
      </c>
      <c r="BP19" s="4">
        <v>2000</v>
      </c>
      <c r="BQ19" s="4" t="s">
        <v>23</v>
      </c>
      <c r="BR19" s="5">
        <v>60</v>
      </c>
      <c r="BU19" s="4" t="s">
        <v>178</v>
      </c>
      <c r="BV19" s="4">
        <v>2000</v>
      </c>
      <c r="BW19" s="4" t="s">
        <v>23</v>
      </c>
      <c r="BX19" s="5">
        <v>269</v>
      </c>
      <c r="CA19" s="4" t="s">
        <v>75</v>
      </c>
      <c r="CB19" s="4">
        <v>2000</v>
      </c>
      <c r="CC19" s="4" t="s">
        <v>23</v>
      </c>
      <c r="CD19" s="5">
        <v>86</v>
      </c>
      <c r="CG19" s="4" t="s">
        <v>76</v>
      </c>
      <c r="CH19" s="4">
        <v>2000</v>
      </c>
      <c r="CI19" s="4" t="s">
        <v>23</v>
      </c>
      <c r="CJ19" s="5">
        <v>572</v>
      </c>
      <c r="CM19" s="4" t="s">
        <v>183</v>
      </c>
      <c r="CN19" s="4">
        <v>2000</v>
      </c>
      <c r="CO19" s="4" t="s">
        <v>23</v>
      </c>
      <c r="CP19" s="5">
        <v>240</v>
      </c>
      <c r="CS19" s="4" t="s">
        <v>208</v>
      </c>
      <c r="CT19" s="4">
        <v>2000</v>
      </c>
      <c r="CU19" s="4" t="s">
        <v>24</v>
      </c>
      <c r="CV19" s="5">
        <v>370</v>
      </c>
    </row>
    <row r="20" spans="1:100" ht="14.45" x14ac:dyDescent="0.3">
      <c r="A20" s="4" t="s">
        <v>180</v>
      </c>
      <c r="B20" s="4">
        <v>2000</v>
      </c>
      <c r="C20" s="4" t="s">
        <v>24</v>
      </c>
      <c r="D20" s="5">
        <v>27</v>
      </c>
      <c r="G20" s="4" t="s">
        <v>71</v>
      </c>
      <c r="H20" s="4">
        <v>2000</v>
      </c>
      <c r="I20" s="4" t="s">
        <v>24</v>
      </c>
      <c r="J20" s="5">
        <v>397</v>
      </c>
      <c r="M20" s="4" t="s">
        <v>164</v>
      </c>
      <c r="N20" s="4">
        <v>2000</v>
      </c>
      <c r="O20" s="4" t="s">
        <v>24</v>
      </c>
      <c r="P20" s="5">
        <v>429</v>
      </c>
      <c r="S20" s="4" t="s">
        <v>166</v>
      </c>
      <c r="T20" s="4">
        <v>2000</v>
      </c>
      <c r="U20" s="4" t="s">
        <v>24</v>
      </c>
      <c r="V20" s="5">
        <v>256</v>
      </c>
      <c r="Y20" s="4" t="s">
        <v>168</v>
      </c>
      <c r="Z20" s="4">
        <v>2000</v>
      </c>
      <c r="AA20" s="4" t="s">
        <v>24</v>
      </c>
      <c r="AB20" s="5">
        <v>134</v>
      </c>
      <c r="AE20" s="4" t="s">
        <v>170</v>
      </c>
      <c r="AF20" s="4">
        <v>2000</v>
      </c>
      <c r="AG20" s="4" t="s">
        <v>24</v>
      </c>
      <c r="AH20" s="5">
        <v>687</v>
      </c>
      <c r="AK20" s="4" t="s">
        <v>72</v>
      </c>
      <c r="AL20" s="4">
        <v>2000</v>
      </c>
      <c r="AM20" s="4" t="s">
        <v>24</v>
      </c>
      <c r="AN20" s="5">
        <v>190</v>
      </c>
      <c r="AO20" s="14"/>
      <c r="AQ20" s="4" t="s">
        <v>73</v>
      </c>
      <c r="AR20" s="4">
        <v>2000</v>
      </c>
      <c r="AS20" s="4" t="s">
        <v>24</v>
      </c>
      <c r="AT20" s="5">
        <v>131</v>
      </c>
      <c r="AW20" s="4" t="s">
        <v>172</v>
      </c>
      <c r="AX20" s="4">
        <v>2000</v>
      </c>
      <c r="AY20" s="4" t="s">
        <v>24</v>
      </c>
      <c r="AZ20" s="5">
        <v>143</v>
      </c>
      <c r="BC20" s="4" t="s">
        <v>174</v>
      </c>
      <c r="BD20" s="4">
        <v>2000</v>
      </c>
      <c r="BE20" s="4" t="s">
        <v>24</v>
      </c>
      <c r="BF20" s="5">
        <v>53</v>
      </c>
      <c r="BI20" s="4" t="s">
        <v>74</v>
      </c>
      <c r="BJ20" s="4">
        <v>2000</v>
      </c>
      <c r="BK20" s="4" t="s">
        <v>24</v>
      </c>
      <c r="BL20" s="5">
        <v>561</v>
      </c>
      <c r="BO20" s="4" t="s">
        <v>176</v>
      </c>
      <c r="BP20" s="4">
        <v>2000</v>
      </c>
      <c r="BQ20" s="4" t="s">
        <v>24</v>
      </c>
      <c r="BR20" s="5">
        <v>63</v>
      </c>
      <c r="BU20" s="4" t="s">
        <v>178</v>
      </c>
      <c r="BV20" s="4">
        <v>2000</v>
      </c>
      <c r="BW20" s="4" t="s">
        <v>24</v>
      </c>
      <c r="BX20" s="5">
        <v>360</v>
      </c>
      <c r="CA20" s="4" t="s">
        <v>75</v>
      </c>
      <c r="CB20" s="4">
        <v>2000</v>
      </c>
      <c r="CC20" s="4" t="s">
        <v>24</v>
      </c>
      <c r="CD20" s="5">
        <v>98</v>
      </c>
      <c r="CG20" s="4" t="s">
        <v>76</v>
      </c>
      <c r="CH20" s="4">
        <v>2000</v>
      </c>
      <c r="CI20" s="4" t="s">
        <v>24</v>
      </c>
      <c r="CJ20" s="5">
        <v>577</v>
      </c>
      <c r="CM20" s="4" t="s">
        <v>183</v>
      </c>
      <c r="CN20" s="4">
        <v>2000</v>
      </c>
      <c r="CO20" s="4" t="s">
        <v>24</v>
      </c>
      <c r="CP20" s="5">
        <v>254</v>
      </c>
      <c r="CS20" s="4" t="s">
        <v>208</v>
      </c>
      <c r="CT20" s="4">
        <v>2000</v>
      </c>
      <c r="CU20" s="4" t="s">
        <v>25</v>
      </c>
      <c r="CV20" s="5">
        <v>603</v>
      </c>
    </row>
    <row r="21" spans="1:100" ht="14.45" x14ac:dyDescent="0.3">
      <c r="A21" s="4" t="s">
        <v>180</v>
      </c>
      <c r="B21" s="4">
        <v>2000</v>
      </c>
      <c r="C21" s="4" t="s">
        <v>25</v>
      </c>
      <c r="D21" s="5">
        <v>13</v>
      </c>
      <c r="G21" s="4" t="s">
        <v>71</v>
      </c>
      <c r="H21" s="4">
        <v>2000</v>
      </c>
      <c r="I21" s="4" t="s">
        <v>25</v>
      </c>
      <c r="J21" s="5">
        <v>389</v>
      </c>
      <c r="M21" s="4" t="s">
        <v>164</v>
      </c>
      <c r="N21" s="4">
        <v>2000</v>
      </c>
      <c r="O21" s="4" t="s">
        <v>25</v>
      </c>
      <c r="P21" s="5">
        <v>394</v>
      </c>
      <c r="S21" s="4" t="s">
        <v>166</v>
      </c>
      <c r="T21" s="4">
        <v>2000</v>
      </c>
      <c r="U21" s="4" t="s">
        <v>25</v>
      </c>
      <c r="V21" s="5">
        <v>227</v>
      </c>
      <c r="Y21" s="4" t="s">
        <v>168</v>
      </c>
      <c r="Z21" s="4">
        <v>2000</v>
      </c>
      <c r="AA21" s="4" t="s">
        <v>25</v>
      </c>
      <c r="AB21" s="5">
        <v>117</v>
      </c>
      <c r="AE21" s="4" t="s">
        <v>170</v>
      </c>
      <c r="AF21" s="4">
        <v>2000</v>
      </c>
      <c r="AG21" s="4" t="s">
        <v>25</v>
      </c>
      <c r="AH21" s="5">
        <v>720</v>
      </c>
      <c r="AK21" s="4" t="s">
        <v>72</v>
      </c>
      <c r="AL21" s="4">
        <v>2000</v>
      </c>
      <c r="AM21" s="4" t="s">
        <v>25</v>
      </c>
      <c r="AN21" s="5">
        <v>183</v>
      </c>
      <c r="AO21" s="14"/>
      <c r="AQ21" s="4" t="s">
        <v>73</v>
      </c>
      <c r="AR21" s="4">
        <v>2000</v>
      </c>
      <c r="AS21" s="4" t="s">
        <v>25</v>
      </c>
      <c r="AT21" s="5">
        <v>102</v>
      </c>
      <c r="AW21" s="4" t="s">
        <v>172</v>
      </c>
      <c r="AX21" s="4">
        <v>2000</v>
      </c>
      <c r="AY21" s="4" t="s">
        <v>25</v>
      </c>
      <c r="AZ21" s="5">
        <v>132</v>
      </c>
      <c r="BC21" s="4" t="s">
        <v>174</v>
      </c>
      <c r="BD21" s="4">
        <v>2000</v>
      </c>
      <c r="BE21" s="4" t="s">
        <v>25</v>
      </c>
      <c r="BF21" s="5">
        <v>85</v>
      </c>
      <c r="BI21" s="4" t="s">
        <v>74</v>
      </c>
      <c r="BJ21" s="4">
        <v>2000</v>
      </c>
      <c r="BK21" s="4" t="s">
        <v>25</v>
      </c>
      <c r="BL21" s="5">
        <v>545</v>
      </c>
      <c r="BO21" s="4" t="s">
        <v>176</v>
      </c>
      <c r="BP21" s="4">
        <v>2000</v>
      </c>
      <c r="BQ21" s="4" t="s">
        <v>25</v>
      </c>
      <c r="BR21" s="5">
        <v>126</v>
      </c>
      <c r="BU21" s="4" t="s">
        <v>178</v>
      </c>
      <c r="BV21" s="4">
        <v>2000</v>
      </c>
      <c r="BW21" s="4" t="s">
        <v>25</v>
      </c>
      <c r="BX21" s="5">
        <v>326</v>
      </c>
      <c r="CA21" s="4" t="s">
        <v>75</v>
      </c>
      <c r="CB21" s="4">
        <v>2000</v>
      </c>
      <c r="CC21" s="4" t="s">
        <v>25</v>
      </c>
      <c r="CD21" s="5">
        <v>125</v>
      </c>
      <c r="CG21" s="4" t="s">
        <v>76</v>
      </c>
      <c r="CH21" s="4">
        <v>2000</v>
      </c>
      <c r="CI21" s="4" t="s">
        <v>25</v>
      </c>
      <c r="CJ21" s="5">
        <v>708</v>
      </c>
      <c r="CM21" s="4" t="s">
        <v>183</v>
      </c>
      <c r="CN21" s="4">
        <v>2000</v>
      </c>
      <c r="CO21" s="4" t="s">
        <v>25</v>
      </c>
      <c r="CP21" s="5">
        <v>225</v>
      </c>
      <c r="CS21" s="4" t="s">
        <v>208</v>
      </c>
      <c r="CT21" s="4">
        <v>2000</v>
      </c>
      <c r="CU21" s="4" t="s">
        <v>26</v>
      </c>
      <c r="CV21" s="5">
        <v>545</v>
      </c>
    </row>
    <row r="22" spans="1:100" ht="14.45" x14ac:dyDescent="0.3">
      <c r="A22" s="4" t="s">
        <v>180</v>
      </c>
      <c r="B22" s="4">
        <v>2000</v>
      </c>
      <c r="C22" s="4" t="s">
        <v>26</v>
      </c>
      <c r="D22" s="5">
        <v>16</v>
      </c>
      <c r="G22" s="4" t="s">
        <v>71</v>
      </c>
      <c r="H22" s="4">
        <v>2000</v>
      </c>
      <c r="I22" s="4" t="s">
        <v>26</v>
      </c>
      <c r="J22" s="5">
        <v>384</v>
      </c>
      <c r="M22" s="4" t="s">
        <v>164</v>
      </c>
      <c r="N22" s="4">
        <v>2000</v>
      </c>
      <c r="O22" s="4" t="s">
        <v>26</v>
      </c>
      <c r="P22" s="5">
        <v>433</v>
      </c>
      <c r="S22" s="4" t="s">
        <v>166</v>
      </c>
      <c r="T22" s="4">
        <v>2000</v>
      </c>
      <c r="U22" s="4" t="s">
        <v>26</v>
      </c>
      <c r="V22" s="5">
        <v>275</v>
      </c>
      <c r="Y22" s="4" t="s">
        <v>168</v>
      </c>
      <c r="Z22" s="4">
        <v>2000</v>
      </c>
      <c r="AA22" s="4" t="s">
        <v>26</v>
      </c>
      <c r="AB22" s="5">
        <v>100</v>
      </c>
      <c r="AE22" s="4" t="s">
        <v>170</v>
      </c>
      <c r="AF22" s="4">
        <v>2000</v>
      </c>
      <c r="AG22" s="4" t="s">
        <v>26</v>
      </c>
      <c r="AH22" s="5">
        <v>691</v>
      </c>
      <c r="AK22" s="4" t="s">
        <v>72</v>
      </c>
      <c r="AL22" s="4">
        <v>2000</v>
      </c>
      <c r="AM22" s="4" t="s">
        <v>26</v>
      </c>
      <c r="AN22" s="5">
        <v>228</v>
      </c>
      <c r="AO22" s="14"/>
      <c r="AQ22" s="4" t="s">
        <v>73</v>
      </c>
      <c r="AR22" s="4">
        <v>2000</v>
      </c>
      <c r="AS22" s="4" t="s">
        <v>26</v>
      </c>
      <c r="AT22" s="5">
        <v>144</v>
      </c>
      <c r="AW22" s="4" t="s">
        <v>172</v>
      </c>
      <c r="AX22" s="4">
        <v>2000</v>
      </c>
      <c r="AY22" s="4" t="s">
        <v>26</v>
      </c>
      <c r="AZ22" s="5">
        <v>117</v>
      </c>
      <c r="BC22" s="4" t="s">
        <v>174</v>
      </c>
      <c r="BD22" s="4">
        <v>2000</v>
      </c>
      <c r="BE22" s="4" t="s">
        <v>26</v>
      </c>
      <c r="BF22" s="5">
        <v>73</v>
      </c>
      <c r="BI22" s="4" t="s">
        <v>74</v>
      </c>
      <c r="BJ22" s="4">
        <v>2000</v>
      </c>
      <c r="BK22" s="4" t="s">
        <v>26</v>
      </c>
      <c r="BL22" s="5">
        <v>636</v>
      </c>
      <c r="BO22" s="4" t="s">
        <v>176</v>
      </c>
      <c r="BP22" s="4">
        <v>2000</v>
      </c>
      <c r="BQ22" s="4" t="s">
        <v>26</v>
      </c>
      <c r="BR22" s="5">
        <v>120</v>
      </c>
      <c r="BU22" s="4" t="s">
        <v>178</v>
      </c>
      <c r="BV22" s="4">
        <v>2000</v>
      </c>
      <c r="BW22" s="4" t="s">
        <v>26</v>
      </c>
      <c r="BX22" s="5">
        <v>358</v>
      </c>
      <c r="CA22" s="4" t="s">
        <v>75</v>
      </c>
      <c r="CB22" s="4">
        <v>2000</v>
      </c>
      <c r="CC22" s="4" t="s">
        <v>26</v>
      </c>
      <c r="CD22" s="5">
        <v>120</v>
      </c>
      <c r="CG22" s="4" t="s">
        <v>76</v>
      </c>
      <c r="CH22" s="4">
        <v>2000</v>
      </c>
      <c r="CI22" s="4" t="s">
        <v>26</v>
      </c>
      <c r="CJ22" s="5">
        <v>667</v>
      </c>
      <c r="CM22" s="4" t="s">
        <v>183</v>
      </c>
      <c r="CN22" s="4">
        <v>2000</v>
      </c>
      <c r="CO22" s="4" t="s">
        <v>26</v>
      </c>
      <c r="CP22" s="5">
        <v>202</v>
      </c>
      <c r="CS22" s="4" t="s">
        <v>208</v>
      </c>
      <c r="CT22" s="4">
        <v>2000</v>
      </c>
      <c r="CU22" s="4" t="s">
        <v>27</v>
      </c>
      <c r="CV22" s="5">
        <v>583</v>
      </c>
    </row>
    <row r="23" spans="1:100" ht="14.45" x14ac:dyDescent="0.3">
      <c r="A23" s="4" t="s">
        <v>180</v>
      </c>
      <c r="B23" s="4">
        <v>2000</v>
      </c>
      <c r="C23" s="4" t="s">
        <v>27</v>
      </c>
      <c r="D23" s="5">
        <v>23</v>
      </c>
      <c r="G23" s="4" t="s">
        <v>71</v>
      </c>
      <c r="H23" s="4">
        <v>2000</v>
      </c>
      <c r="I23" s="4" t="s">
        <v>27</v>
      </c>
      <c r="J23" s="5">
        <v>446</v>
      </c>
      <c r="M23" s="4" t="s">
        <v>164</v>
      </c>
      <c r="N23" s="4">
        <v>2000</v>
      </c>
      <c r="O23" s="4" t="s">
        <v>27</v>
      </c>
      <c r="P23" s="5">
        <v>375</v>
      </c>
      <c r="S23" s="4" t="s">
        <v>166</v>
      </c>
      <c r="T23" s="4">
        <v>2000</v>
      </c>
      <c r="U23" s="4" t="s">
        <v>27</v>
      </c>
      <c r="V23" s="5">
        <v>310</v>
      </c>
      <c r="Y23" s="4" t="s">
        <v>168</v>
      </c>
      <c r="Z23" s="4">
        <v>2000</v>
      </c>
      <c r="AA23" s="4" t="s">
        <v>27</v>
      </c>
      <c r="AB23" s="5">
        <v>140</v>
      </c>
      <c r="AE23" s="4" t="s">
        <v>170</v>
      </c>
      <c r="AF23" s="4">
        <v>2000</v>
      </c>
      <c r="AG23" s="4" t="s">
        <v>27</v>
      </c>
      <c r="AH23" s="5">
        <v>713</v>
      </c>
      <c r="AK23" s="4" t="s">
        <v>72</v>
      </c>
      <c r="AL23" s="4">
        <v>2000</v>
      </c>
      <c r="AM23" s="4" t="s">
        <v>27</v>
      </c>
      <c r="AN23" s="5">
        <v>198</v>
      </c>
      <c r="AO23" s="14"/>
      <c r="AQ23" s="4" t="s">
        <v>73</v>
      </c>
      <c r="AR23" s="4">
        <v>2000</v>
      </c>
      <c r="AS23" s="4" t="s">
        <v>27</v>
      </c>
      <c r="AT23" s="5">
        <v>143</v>
      </c>
      <c r="AW23" s="4" t="s">
        <v>172</v>
      </c>
      <c r="AX23" s="4">
        <v>2000</v>
      </c>
      <c r="AY23" s="4" t="s">
        <v>27</v>
      </c>
      <c r="AZ23" s="5">
        <v>140</v>
      </c>
      <c r="BC23" s="4" t="s">
        <v>174</v>
      </c>
      <c r="BD23" s="4">
        <v>2000</v>
      </c>
      <c r="BE23" s="4" t="s">
        <v>27</v>
      </c>
      <c r="BF23" s="5">
        <v>72</v>
      </c>
      <c r="BI23" s="4" t="s">
        <v>74</v>
      </c>
      <c r="BJ23" s="4">
        <v>2000</v>
      </c>
      <c r="BK23" s="4" t="s">
        <v>27</v>
      </c>
      <c r="BL23" s="5">
        <v>584</v>
      </c>
      <c r="BO23" s="4" t="s">
        <v>176</v>
      </c>
      <c r="BP23" s="4">
        <v>2000</v>
      </c>
      <c r="BQ23" s="4" t="s">
        <v>27</v>
      </c>
      <c r="BR23" s="5">
        <v>110</v>
      </c>
      <c r="BU23" s="4" t="s">
        <v>178</v>
      </c>
      <c r="BV23" s="4">
        <v>2000</v>
      </c>
      <c r="BW23" s="4" t="s">
        <v>27</v>
      </c>
      <c r="BX23" s="5">
        <v>340</v>
      </c>
      <c r="CA23" s="4" t="s">
        <v>75</v>
      </c>
      <c r="CB23" s="4">
        <v>2000</v>
      </c>
      <c r="CC23" s="4" t="s">
        <v>27</v>
      </c>
      <c r="CD23" s="5">
        <v>97</v>
      </c>
      <c r="CG23" s="4" t="s">
        <v>76</v>
      </c>
      <c r="CH23" s="4">
        <v>2000</v>
      </c>
      <c r="CI23" s="4" t="s">
        <v>27</v>
      </c>
      <c r="CJ23" s="5">
        <v>579</v>
      </c>
      <c r="CM23" s="4" t="s">
        <v>183</v>
      </c>
      <c r="CN23" s="4">
        <v>2000</v>
      </c>
      <c r="CO23" s="4" t="s">
        <v>27</v>
      </c>
      <c r="CP23" s="5">
        <v>187</v>
      </c>
      <c r="CS23" s="4" t="s">
        <v>208</v>
      </c>
      <c r="CT23" s="4">
        <v>2000</v>
      </c>
      <c r="CU23" s="4" t="s">
        <v>28</v>
      </c>
      <c r="CV23" s="5">
        <v>408</v>
      </c>
    </row>
    <row r="24" spans="1:100" ht="14.45" x14ac:dyDescent="0.3">
      <c r="A24" s="4" t="s">
        <v>180</v>
      </c>
      <c r="B24" s="4">
        <v>2000</v>
      </c>
      <c r="C24" s="4" t="s">
        <v>28</v>
      </c>
      <c r="D24" s="5">
        <v>25</v>
      </c>
      <c r="G24" s="4" t="s">
        <v>71</v>
      </c>
      <c r="H24" s="4">
        <v>2000</v>
      </c>
      <c r="I24" s="4" t="s">
        <v>28</v>
      </c>
      <c r="J24" s="5">
        <v>386</v>
      </c>
      <c r="M24" s="4" t="s">
        <v>164</v>
      </c>
      <c r="N24" s="4">
        <v>2000</v>
      </c>
      <c r="O24" s="4" t="s">
        <v>28</v>
      </c>
      <c r="P24" s="5">
        <v>390</v>
      </c>
      <c r="S24" s="4" t="s">
        <v>166</v>
      </c>
      <c r="T24" s="4">
        <v>2000</v>
      </c>
      <c r="U24" s="4" t="s">
        <v>28</v>
      </c>
      <c r="V24" s="5">
        <v>277</v>
      </c>
      <c r="Y24" s="4" t="s">
        <v>168</v>
      </c>
      <c r="Z24" s="4">
        <v>2000</v>
      </c>
      <c r="AA24" s="4" t="s">
        <v>28</v>
      </c>
      <c r="AB24" s="5">
        <v>132</v>
      </c>
      <c r="AE24" s="4" t="s">
        <v>170</v>
      </c>
      <c r="AF24" s="4">
        <v>2000</v>
      </c>
      <c r="AG24" s="4" t="s">
        <v>28</v>
      </c>
      <c r="AH24" s="5">
        <v>660</v>
      </c>
      <c r="AK24" s="4" t="s">
        <v>72</v>
      </c>
      <c r="AL24" s="4">
        <v>2000</v>
      </c>
      <c r="AM24" s="4" t="s">
        <v>28</v>
      </c>
      <c r="AN24" s="5">
        <v>231</v>
      </c>
      <c r="AO24" s="14"/>
      <c r="AQ24" s="4" t="s">
        <v>73</v>
      </c>
      <c r="AR24" s="4">
        <v>2000</v>
      </c>
      <c r="AS24" s="4" t="s">
        <v>28</v>
      </c>
      <c r="AT24" s="5">
        <v>130</v>
      </c>
      <c r="AW24" s="4" t="s">
        <v>172</v>
      </c>
      <c r="AX24" s="4">
        <v>2000</v>
      </c>
      <c r="AY24" s="4" t="s">
        <v>28</v>
      </c>
      <c r="AZ24" s="5">
        <v>136</v>
      </c>
      <c r="BC24" s="4" t="s">
        <v>174</v>
      </c>
      <c r="BD24" s="4">
        <v>2000</v>
      </c>
      <c r="BE24" s="4" t="s">
        <v>28</v>
      </c>
      <c r="BF24" s="5">
        <v>51</v>
      </c>
      <c r="BI24" s="4" t="s">
        <v>74</v>
      </c>
      <c r="BJ24" s="4">
        <v>2000</v>
      </c>
      <c r="BK24" s="4" t="s">
        <v>28</v>
      </c>
      <c r="BL24" s="5">
        <v>559</v>
      </c>
      <c r="BO24" s="4" t="s">
        <v>176</v>
      </c>
      <c r="BP24" s="4">
        <v>2000</v>
      </c>
      <c r="BQ24" s="4" t="s">
        <v>28</v>
      </c>
      <c r="BR24" s="5">
        <v>66</v>
      </c>
      <c r="BU24" s="4" t="s">
        <v>178</v>
      </c>
      <c r="BV24" s="4">
        <v>2000</v>
      </c>
      <c r="BW24" s="4" t="s">
        <v>28</v>
      </c>
      <c r="BX24" s="5">
        <v>331</v>
      </c>
      <c r="CA24" s="4" t="s">
        <v>75</v>
      </c>
      <c r="CB24" s="4">
        <v>2000</v>
      </c>
      <c r="CC24" s="4" t="s">
        <v>28</v>
      </c>
      <c r="CD24" s="5">
        <v>119</v>
      </c>
      <c r="CG24" s="4" t="s">
        <v>76</v>
      </c>
      <c r="CH24" s="4">
        <v>2000</v>
      </c>
      <c r="CI24" s="4" t="s">
        <v>28</v>
      </c>
      <c r="CJ24" s="5">
        <v>518</v>
      </c>
      <c r="CM24" s="4" t="s">
        <v>183</v>
      </c>
      <c r="CN24" s="4">
        <v>2000</v>
      </c>
      <c r="CO24" s="4" t="s">
        <v>28</v>
      </c>
      <c r="CP24" s="5">
        <v>220</v>
      </c>
      <c r="CS24" s="4" t="s">
        <v>208</v>
      </c>
      <c r="CT24" s="4">
        <v>2000</v>
      </c>
      <c r="CU24" s="4" t="s">
        <v>29</v>
      </c>
      <c r="CV24" s="5">
        <v>391</v>
      </c>
    </row>
    <row r="25" spans="1:100" ht="14.45" x14ac:dyDescent="0.3">
      <c r="A25" s="4" t="s">
        <v>180</v>
      </c>
      <c r="B25" s="4">
        <v>2000</v>
      </c>
      <c r="C25" s="4" t="s">
        <v>29</v>
      </c>
      <c r="D25" s="5">
        <v>39</v>
      </c>
      <c r="G25" s="4" t="s">
        <v>71</v>
      </c>
      <c r="H25" s="4">
        <v>2000</v>
      </c>
      <c r="I25" s="4" t="s">
        <v>29</v>
      </c>
      <c r="J25" s="5">
        <v>417</v>
      </c>
      <c r="M25" s="4" t="s">
        <v>164</v>
      </c>
      <c r="N25" s="4">
        <v>2000</v>
      </c>
      <c r="O25" s="4" t="s">
        <v>29</v>
      </c>
      <c r="P25" s="5">
        <v>409</v>
      </c>
      <c r="S25" s="4" t="s">
        <v>166</v>
      </c>
      <c r="T25" s="4">
        <v>2000</v>
      </c>
      <c r="U25" s="4" t="s">
        <v>29</v>
      </c>
      <c r="V25" s="5">
        <v>283</v>
      </c>
      <c r="Y25" s="4" t="s">
        <v>168</v>
      </c>
      <c r="Z25" s="4">
        <v>2000</v>
      </c>
      <c r="AA25" s="4" t="s">
        <v>29</v>
      </c>
      <c r="AB25" s="5">
        <v>96</v>
      </c>
      <c r="AE25" s="4" t="s">
        <v>170</v>
      </c>
      <c r="AF25" s="4">
        <v>2000</v>
      </c>
      <c r="AG25" s="4" t="s">
        <v>29</v>
      </c>
      <c r="AH25" s="5">
        <v>643</v>
      </c>
      <c r="AK25" s="4" t="s">
        <v>72</v>
      </c>
      <c r="AL25" s="4">
        <v>2000</v>
      </c>
      <c r="AM25" s="4" t="s">
        <v>29</v>
      </c>
      <c r="AN25" s="5">
        <v>153</v>
      </c>
      <c r="AO25" s="14"/>
      <c r="AQ25" s="4" t="s">
        <v>73</v>
      </c>
      <c r="AR25" s="4">
        <v>2000</v>
      </c>
      <c r="AS25" s="4" t="s">
        <v>29</v>
      </c>
      <c r="AT25" s="5">
        <v>96</v>
      </c>
      <c r="AW25" s="4" t="s">
        <v>172</v>
      </c>
      <c r="AX25" s="4">
        <v>2000</v>
      </c>
      <c r="AY25" s="4" t="s">
        <v>29</v>
      </c>
      <c r="AZ25" s="5">
        <v>159</v>
      </c>
      <c r="BC25" s="4" t="s">
        <v>174</v>
      </c>
      <c r="BD25" s="4">
        <v>2000</v>
      </c>
      <c r="BE25" s="4" t="s">
        <v>29</v>
      </c>
      <c r="BF25" s="5">
        <v>65</v>
      </c>
      <c r="BI25" s="4" t="s">
        <v>74</v>
      </c>
      <c r="BJ25" s="4">
        <v>2000</v>
      </c>
      <c r="BK25" s="4" t="s">
        <v>29</v>
      </c>
      <c r="BL25" s="5">
        <v>504</v>
      </c>
      <c r="BO25" s="4" t="s">
        <v>176</v>
      </c>
      <c r="BP25" s="4">
        <v>2000</v>
      </c>
      <c r="BQ25" s="4" t="s">
        <v>29</v>
      </c>
      <c r="BR25" s="5">
        <v>26</v>
      </c>
      <c r="BU25" s="4" t="s">
        <v>178</v>
      </c>
      <c r="BV25" s="4">
        <v>2000</v>
      </c>
      <c r="BW25" s="4" t="s">
        <v>29</v>
      </c>
      <c r="BX25" s="5">
        <v>313</v>
      </c>
      <c r="CA25" s="4" t="s">
        <v>75</v>
      </c>
      <c r="CB25" s="4">
        <v>2000</v>
      </c>
      <c r="CC25" s="4" t="s">
        <v>29</v>
      </c>
      <c r="CD25" s="5">
        <v>118</v>
      </c>
      <c r="CG25" s="4" t="s">
        <v>76</v>
      </c>
      <c r="CH25" s="4">
        <v>2000</v>
      </c>
      <c r="CI25" s="4" t="s">
        <v>29</v>
      </c>
      <c r="CJ25" s="5">
        <v>573</v>
      </c>
      <c r="CM25" s="4" t="s">
        <v>183</v>
      </c>
      <c r="CN25" s="4">
        <v>2000</v>
      </c>
      <c r="CO25" s="4" t="s">
        <v>29</v>
      </c>
      <c r="CP25" s="5">
        <v>161</v>
      </c>
      <c r="CS25" s="4" t="s">
        <v>208</v>
      </c>
      <c r="CT25" s="4">
        <v>2000</v>
      </c>
      <c r="CU25" s="4" t="s">
        <v>30</v>
      </c>
      <c r="CV25" s="5">
        <v>384</v>
      </c>
    </row>
    <row r="26" spans="1:100" x14ac:dyDescent="0.25">
      <c r="A26" s="4" t="s">
        <v>180</v>
      </c>
      <c r="B26" s="4">
        <v>2000</v>
      </c>
      <c r="C26" s="4" t="s">
        <v>30</v>
      </c>
      <c r="D26" s="5">
        <v>11</v>
      </c>
      <c r="G26" s="4" t="s">
        <v>71</v>
      </c>
      <c r="H26" s="4">
        <v>2000</v>
      </c>
      <c r="I26" s="4" t="s">
        <v>30</v>
      </c>
      <c r="J26" s="5">
        <v>482</v>
      </c>
      <c r="M26" s="4" t="s">
        <v>164</v>
      </c>
      <c r="N26" s="4">
        <v>2000</v>
      </c>
      <c r="O26" s="4" t="s">
        <v>30</v>
      </c>
      <c r="P26" s="5">
        <v>408</v>
      </c>
      <c r="S26" s="4" t="s">
        <v>166</v>
      </c>
      <c r="T26" s="4">
        <v>2000</v>
      </c>
      <c r="U26" s="4" t="s">
        <v>30</v>
      </c>
      <c r="V26" s="5">
        <v>264</v>
      </c>
      <c r="Y26" s="4" t="s">
        <v>168</v>
      </c>
      <c r="Z26" s="4">
        <v>2000</v>
      </c>
      <c r="AA26" s="4" t="s">
        <v>30</v>
      </c>
      <c r="AB26" s="5">
        <v>135</v>
      </c>
      <c r="AE26" s="4" t="s">
        <v>170</v>
      </c>
      <c r="AF26" s="4">
        <v>2000</v>
      </c>
      <c r="AG26" s="4" t="s">
        <v>30</v>
      </c>
      <c r="AH26" s="5">
        <v>566</v>
      </c>
      <c r="AK26" s="4" t="s">
        <v>72</v>
      </c>
      <c r="AL26" s="4">
        <v>2000</v>
      </c>
      <c r="AM26" s="4" t="s">
        <v>30</v>
      </c>
      <c r="AN26" s="5">
        <v>129</v>
      </c>
      <c r="AO26" s="14"/>
      <c r="AQ26" s="4" t="s">
        <v>73</v>
      </c>
      <c r="AR26" s="4">
        <v>2000</v>
      </c>
      <c r="AS26" s="4" t="s">
        <v>30</v>
      </c>
      <c r="AT26" s="5">
        <v>117</v>
      </c>
      <c r="AW26" s="4" t="s">
        <v>172</v>
      </c>
      <c r="AX26" s="4">
        <v>2000</v>
      </c>
      <c r="AY26" s="4" t="s">
        <v>30</v>
      </c>
      <c r="AZ26" s="5">
        <v>110</v>
      </c>
      <c r="BC26" s="4" t="s">
        <v>174</v>
      </c>
      <c r="BD26" s="4">
        <v>2000</v>
      </c>
      <c r="BE26" s="4" t="s">
        <v>30</v>
      </c>
      <c r="BF26" s="5">
        <v>74</v>
      </c>
      <c r="BI26" s="4" t="s">
        <v>74</v>
      </c>
      <c r="BJ26" s="4">
        <v>2000</v>
      </c>
      <c r="BK26" s="4" t="s">
        <v>30</v>
      </c>
      <c r="BL26" s="5">
        <v>547</v>
      </c>
      <c r="BO26" s="4" t="s">
        <v>176</v>
      </c>
      <c r="BP26" s="4">
        <v>2000</v>
      </c>
      <c r="BQ26" s="4" t="s">
        <v>30</v>
      </c>
      <c r="BR26" s="5">
        <v>41</v>
      </c>
      <c r="BU26" s="4" t="s">
        <v>178</v>
      </c>
      <c r="BV26" s="4">
        <v>2000</v>
      </c>
      <c r="BW26" s="4" t="s">
        <v>30</v>
      </c>
      <c r="BX26" s="5">
        <v>311</v>
      </c>
      <c r="CA26" s="4" t="s">
        <v>75</v>
      </c>
      <c r="CB26" s="4">
        <v>2000</v>
      </c>
      <c r="CC26" s="4" t="s">
        <v>30</v>
      </c>
      <c r="CD26" s="5">
        <v>121</v>
      </c>
      <c r="CG26" s="4" t="s">
        <v>76</v>
      </c>
      <c r="CH26" s="4">
        <v>2000</v>
      </c>
      <c r="CI26" s="4" t="s">
        <v>30</v>
      </c>
      <c r="CJ26" s="5">
        <v>573</v>
      </c>
      <c r="CM26" s="4" t="s">
        <v>183</v>
      </c>
      <c r="CN26" s="4">
        <v>2000</v>
      </c>
      <c r="CO26" s="4" t="s">
        <v>30</v>
      </c>
      <c r="CP26" s="5">
        <v>217</v>
      </c>
      <c r="CS26" s="4" t="s">
        <v>208</v>
      </c>
      <c r="CT26" s="4">
        <v>2000</v>
      </c>
      <c r="CU26" s="4" t="s">
        <v>19</v>
      </c>
      <c r="CV26" s="5">
        <v>365</v>
      </c>
    </row>
    <row r="27" spans="1:100" x14ac:dyDescent="0.25">
      <c r="A27" s="4" t="s">
        <v>180</v>
      </c>
      <c r="B27" s="4">
        <v>2000</v>
      </c>
      <c r="C27" s="4" t="s">
        <v>19</v>
      </c>
      <c r="D27" s="5">
        <v>20</v>
      </c>
      <c r="G27" s="4" t="s">
        <v>71</v>
      </c>
      <c r="H27" s="4">
        <v>2000</v>
      </c>
      <c r="I27" s="4" t="s">
        <v>19</v>
      </c>
      <c r="J27" s="5">
        <v>580</v>
      </c>
      <c r="M27" s="4" t="s">
        <v>164</v>
      </c>
      <c r="N27" s="4">
        <v>2000</v>
      </c>
      <c r="O27" s="4" t="s">
        <v>19</v>
      </c>
      <c r="P27" s="5">
        <v>378</v>
      </c>
      <c r="S27" s="4" t="s">
        <v>166</v>
      </c>
      <c r="T27" s="4">
        <v>2000</v>
      </c>
      <c r="U27" s="4" t="s">
        <v>19</v>
      </c>
      <c r="V27" s="5">
        <v>276</v>
      </c>
      <c r="Y27" s="4" t="s">
        <v>168</v>
      </c>
      <c r="Z27" s="4">
        <v>2000</v>
      </c>
      <c r="AA27" s="4" t="s">
        <v>19</v>
      </c>
      <c r="AB27" s="5">
        <v>142</v>
      </c>
      <c r="AE27" s="4" t="s">
        <v>170</v>
      </c>
      <c r="AF27" s="4">
        <v>2000</v>
      </c>
      <c r="AG27" s="4" t="s">
        <v>19</v>
      </c>
      <c r="AH27" s="5">
        <v>573</v>
      </c>
      <c r="AK27" s="4" t="s">
        <v>72</v>
      </c>
      <c r="AL27" s="4">
        <v>2000</v>
      </c>
      <c r="AM27" s="4" t="s">
        <v>19</v>
      </c>
      <c r="AN27" s="5">
        <v>168</v>
      </c>
      <c r="AO27" s="14"/>
      <c r="AQ27" s="4" t="s">
        <v>73</v>
      </c>
      <c r="AR27" s="4">
        <v>2000</v>
      </c>
      <c r="AS27" s="4" t="s">
        <v>19</v>
      </c>
      <c r="AT27" s="5">
        <v>151</v>
      </c>
      <c r="AW27" s="4" t="s">
        <v>172</v>
      </c>
      <c r="AX27" s="4">
        <v>2000</v>
      </c>
      <c r="AY27" s="4" t="s">
        <v>19</v>
      </c>
      <c r="AZ27" s="5">
        <v>118</v>
      </c>
      <c r="BC27" s="4" t="s">
        <v>174</v>
      </c>
      <c r="BD27" s="4">
        <v>2000</v>
      </c>
      <c r="BE27" s="4" t="s">
        <v>19</v>
      </c>
      <c r="BF27" s="5">
        <v>81</v>
      </c>
      <c r="BI27" s="4" t="s">
        <v>74</v>
      </c>
      <c r="BJ27" s="4">
        <v>2000</v>
      </c>
      <c r="BK27" s="4" t="s">
        <v>19</v>
      </c>
      <c r="BL27" s="5">
        <v>564</v>
      </c>
      <c r="BO27" s="4" t="s">
        <v>176</v>
      </c>
      <c r="BP27" s="4">
        <v>2000</v>
      </c>
      <c r="BQ27" s="4" t="s">
        <v>19</v>
      </c>
      <c r="BR27" s="5">
        <v>27</v>
      </c>
      <c r="BU27" s="4" t="s">
        <v>178</v>
      </c>
      <c r="BV27" s="4">
        <v>2000</v>
      </c>
      <c r="BW27" s="4" t="s">
        <v>19</v>
      </c>
      <c r="BX27" s="5">
        <v>266</v>
      </c>
      <c r="CA27" s="4" t="s">
        <v>75</v>
      </c>
      <c r="CB27" s="4">
        <v>2000</v>
      </c>
      <c r="CC27" s="4" t="s">
        <v>19</v>
      </c>
      <c r="CD27" s="5">
        <v>106</v>
      </c>
      <c r="CG27" s="4" t="s">
        <v>76</v>
      </c>
      <c r="CH27" s="4">
        <v>2000</v>
      </c>
      <c r="CI27" s="4" t="s">
        <v>19</v>
      </c>
      <c r="CJ27" s="5">
        <v>533</v>
      </c>
      <c r="CM27" s="4" t="s">
        <v>183</v>
      </c>
      <c r="CN27" s="4">
        <v>2000</v>
      </c>
      <c r="CO27" s="4" t="s">
        <v>19</v>
      </c>
      <c r="CP27" s="5">
        <v>167</v>
      </c>
      <c r="CS27" s="4" t="s">
        <v>208</v>
      </c>
      <c r="CT27" s="4">
        <v>2000</v>
      </c>
      <c r="CU27" s="4" t="s">
        <v>96</v>
      </c>
      <c r="CV27" s="5">
        <v>422</v>
      </c>
    </row>
    <row r="28" spans="1:100" x14ac:dyDescent="0.25">
      <c r="A28" s="4" t="s">
        <v>180</v>
      </c>
      <c r="B28" s="4">
        <v>2000</v>
      </c>
      <c r="C28" s="4" t="s">
        <v>96</v>
      </c>
      <c r="D28" s="5">
        <v>21</v>
      </c>
      <c r="G28" s="4" t="s">
        <v>71</v>
      </c>
      <c r="H28" s="4">
        <v>2000</v>
      </c>
      <c r="I28" s="4" t="s">
        <v>96</v>
      </c>
      <c r="J28" s="5">
        <v>513</v>
      </c>
      <c r="M28" s="4" t="s">
        <v>164</v>
      </c>
      <c r="N28" s="4">
        <v>2000</v>
      </c>
      <c r="O28" s="4" t="s">
        <v>96</v>
      </c>
      <c r="P28" s="5">
        <v>400</v>
      </c>
      <c r="S28" s="4" t="s">
        <v>166</v>
      </c>
      <c r="T28" s="4">
        <v>2000</v>
      </c>
      <c r="U28" s="4" t="s">
        <v>96</v>
      </c>
      <c r="V28" s="5">
        <v>290</v>
      </c>
      <c r="Y28" s="4" t="s">
        <v>168</v>
      </c>
      <c r="Z28" s="4">
        <v>2000</v>
      </c>
      <c r="AA28" s="4" t="s">
        <v>96</v>
      </c>
      <c r="AB28" s="5">
        <v>137</v>
      </c>
      <c r="AE28" s="4" t="s">
        <v>170</v>
      </c>
      <c r="AF28" s="4">
        <v>2000</v>
      </c>
      <c r="AG28" s="4" t="s">
        <v>96</v>
      </c>
      <c r="AH28" s="5">
        <v>701</v>
      </c>
      <c r="AK28" s="4" t="s">
        <v>72</v>
      </c>
      <c r="AL28" s="4">
        <v>2000</v>
      </c>
      <c r="AM28" s="4" t="s">
        <v>96</v>
      </c>
      <c r="AN28" s="5">
        <v>193</v>
      </c>
      <c r="AO28" s="14"/>
      <c r="AQ28" s="4" t="s">
        <v>73</v>
      </c>
      <c r="AR28" s="4">
        <v>2000</v>
      </c>
      <c r="AS28" s="4" t="s">
        <v>96</v>
      </c>
      <c r="AT28" s="5">
        <v>124</v>
      </c>
      <c r="AW28" s="4" t="s">
        <v>172</v>
      </c>
      <c r="AX28" s="4">
        <v>2000</v>
      </c>
      <c r="AY28" s="4" t="s">
        <v>96</v>
      </c>
      <c r="AZ28" s="5">
        <v>139</v>
      </c>
      <c r="BC28" s="4" t="s">
        <v>174</v>
      </c>
      <c r="BD28" s="4">
        <v>2000</v>
      </c>
      <c r="BE28" s="4" t="s">
        <v>96</v>
      </c>
      <c r="BF28" s="5">
        <v>69</v>
      </c>
      <c r="BI28" s="4" t="s">
        <v>74</v>
      </c>
      <c r="BJ28" s="4">
        <v>2000</v>
      </c>
      <c r="BK28" s="4" t="s">
        <v>96</v>
      </c>
      <c r="BL28" s="5">
        <v>573</v>
      </c>
      <c r="BO28" s="4" t="s">
        <v>176</v>
      </c>
      <c r="BP28" s="4">
        <v>2000</v>
      </c>
      <c r="BQ28" s="4" t="s">
        <v>96</v>
      </c>
      <c r="BR28" s="5">
        <v>71</v>
      </c>
      <c r="BU28" s="4" t="s">
        <v>178</v>
      </c>
      <c r="BV28" s="4">
        <v>2000</v>
      </c>
      <c r="BW28" s="4" t="s">
        <v>96</v>
      </c>
      <c r="BX28" s="5">
        <v>312</v>
      </c>
      <c r="CA28" s="4" t="s">
        <v>75</v>
      </c>
      <c r="CB28" s="4">
        <v>2000</v>
      </c>
      <c r="CC28" s="4" t="s">
        <v>96</v>
      </c>
      <c r="CD28" s="5">
        <v>115</v>
      </c>
      <c r="CG28" s="4" t="s">
        <v>76</v>
      </c>
      <c r="CH28" s="4">
        <v>2000</v>
      </c>
      <c r="CI28" s="4" t="s">
        <v>96</v>
      </c>
      <c r="CJ28" s="5">
        <v>604</v>
      </c>
      <c r="CM28" s="4" t="s">
        <v>183</v>
      </c>
      <c r="CN28" s="4">
        <v>2000</v>
      </c>
      <c r="CO28" s="4" t="s">
        <v>96</v>
      </c>
      <c r="CP28" s="5">
        <v>219</v>
      </c>
      <c r="CS28" s="4" t="s">
        <v>208</v>
      </c>
      <c r="CT28" s="4">
        <v>2001</v>
      </c>
      <c r="CU28" s="4" t="s">
        <v>20</v>
      </c>
      <c r="CV28" s="5">
        <v>463</v>
      </c>
    </row>
    <row r="29" spans="1:100" x14ac:dyDescent="0.25">
      <c r="A29" s="4" t="s">
        <v>180</v>
      </c>
      <c r="B29" s="4">
        <v>2001</v>
      </c>
      <c r="C29" s="4" t="s">
        <v>20</v>
      </c>
      <c r="D29" s="5">
        <v>11</v>
      </c>
      <c r="G29" s="4" t="s">
        <v>71</v>
      </c>
      <c r="H29" s="4">
        <v>2001</v>
      </c>
      <c r="I29" s="4" t="s">
        <v>20</v>
      </c>
      <c r="J29" s="5">
        <v>836</v>
      </c>
      <c r="M29" s="4" t="s">
        <v>164</v>
      </c>
      <c r="N29" s="4">
        <v>2001</v>
      </c>
      <c r="O29" s="4" t="s">
        <v>20</v>
      </c>
      <c r="P29" s="5">
        <v>549</v>
      </c>
      <c r="S29" s="4" t="s">
        <v>166</v>
      </c>
      <c r="T29" s="4">
        <v>2001</v>
      </c>
      <c r="U29" s="4" t="s">
        <v>20</v>
      </c>
      <c r="V29" s="5">
        <v>361</v>
      </c>
      <c r="Y29" s="4" t="s">
        <v>168</v>
      </c>
      <c r="Z29" s="4">
        <v>2001</v>
      </c>
      <c r="AA29" s="4" t="s">
        <v>20</v>
      </c>
      <c r="AB29" s="5">
        <v>162</v>
      </c>
      <c r="AE29" s="4" t="s">
        <v>170</v>
      </c>
      <c r="AF29" s="4">
        <v>2001</v>
      </c>
      <c r="AG29" s="4" t="s">
        <v>20</v>
      </c>
      <c r="AH29" s="5">
        <v>746</v>
      </c>
      <c r="AK29" s="4" t="s">
        <v>72</v>
      </c>
      <c r="AL29" s="4">
        <v>2001</v>
      </c>
      <c r="AM29" s="4" t="s">
        <v>20</v>
      </c>
      <c r="AN29" s="5">
        <v>194</v>
      </c>
      <c r="AO29" s="14"/>
      <c r="AQ29" s="4" t="s">
        <v>73</v>
      </c>
      <c r="AR29" s="4">
        <v>2001</v>
      </c>
      <c r="AS29" s="4" t="s">
        <v>20</v>
      </c>
      <c r="AT29" s="5">
        <v>161</v>
      </c>
      <c r="AW29" s="4" t="s">
        <v>172</v>
      </c>
      <c r="AX29" s="4">
        <v>2001</v>
      </c>
      <c r="AY29" s="4" t="s">
        <v>20</v>
      </c>
      <c r="AZ29" s="5">
        <v>156</v>
      </c>
      <c r="BC29" s="4" t="s">
        <v>174</v>
      </c>
      <c r="BD29" s="4">
        <v>2001</v>
      </c>
      <c r="BE29" s="4" t="s">
        <v>20</v>
      </c>
      <c r="BF29" s="5">
        <v>76</v>
      </c>
      <c r="BI29" s="4" t="s">
        <v>74</v>
      </c>
      <c r="BJ29" s="4">
        <v>2001</v>
      </c>
      <c r="BK29" s="4" t="s">
        <v>20</v>
      </c>
      <c r="BL29" s="5">
        <v>734</v>
      </c>
      <c r="BO29" s="4" t="s">
        <v>176</v>
      </c>
      <c r="BP29" s="4">
        <v>2001</v>
      </c>
      <c r="BQ29" s="4" t="s">
        <v>20</v>
      </c>
      <c r="BR29" s="5">
        <v>80</v>
      </c>
      <c r="BU29" s="4" t="s">
        <v>178</v>
      </c>
      <c r="BV29" s="4">
        <v>2001</v>
      </c>
      <c r="BW29" s="4" t="s">
        <v>20</v>
      </c>
      <c r="BX29" s="5">
        <v>347</v>
      </c>
      <c r="CA29" s="4" t="s">
        <v>75</v>
      </c>
      <c r="CB29" s="4">
        <v>2001</v>
      </c>
      <c r="CC29" s="4" t="s">
        <v>20</v>
      </c>
      <c r="CD29" s="5">
        <v>146</v>
      </c>
      <c r="CG29" s="4" t="s">
        <v>76</v>
      </c>
      <c r="CH29" s="4">
        <v>2001</v>
      </c>
      <c r="CI29" s="4" t="s">
        <v>20</v>
      </c>
      <c r="CJ29" s="5">
        <v>661</v>
      </c>
      <c r="CM29" s="4" t="s">
        <v>183</v>
      </c>
      <c r="CN29" s="4">
        <v>2001</v>
      </c>
      <c r="CO29" s="4" t="s">
        <v>20</v>
      </c>
      <c r="CP29" s="5">
        <v>197</v>
      </c>
      <c r="CS29" s="4" t="s">
        <v>208</v>
      </c>
      <c r="CT29" s="4">
        <v>2001</v>
      </c>
      <c r="CU29" s="4" t="s">
        <v>21</v>
      </c>
      <c r="CV29" s="5">
        <v>298</v>
      </c>
    </row>
    <row r="30" spans="1:100" x14ac:dyDescent="0.25">
      <c r="A30" s="4" t="s">
        <v>180</v>
      </c>
      <c r="B30" s="4">
        <v>2001</v>
      </c>
      <c r="C30" s="4" t="s">
        <v>21</v>
      </c>
      <c r="D30" s="5">
        <v>27</v>
      </c>
      <c r="G30" s="4" t="s">
        <v>71</v>
      </c>
      <c r="H30" s="4">
        <v>2001</v>
      </c>
      <c r="I30" s="4" t="s">
        <v>21</v>
      </c>
      <c r="J30" s="5">
        <v>826</v>
      </c>
      <c r="M30" s="4" t="s">
        <v>164</v>
      </c>
      <c r="N30" s="4">
        <v>2001</v>
      </c>
      <c r="O30" s="4" t="s">
        <v>21</v>
      </c>
      <c r="P30" s="5">
        <v>512</v>
      </c>
      <c r="S30" s="4" t="s">
        <v>166</v>
      </c>
      <c r="T30" s="4">
        <v>2001</v>
      </c>
      <c r="U30" s="4" t="s">
        <v>21</v>
      </c>
      <c r="V30" s="5">
        <v>390</v>
      </c>
      <c r="Y30" s="4" t="s">
        <v>168</v>
      </c>
      <c r="Z30" s="4">
        <v>2001</v>
      </c>
      <c r="AA30" s="4" t="s">
        <v>21</v>
      </c>
      <c r="AB30" s="5">
        <v>170</v>
      </c>
      <c r="AE30" s="4" t="s">
        <v>170</v>
      </c>
      <c r="AF30" s="4">
        <v>2001</v>
      </c>
      <c r="AG30" s="4" t="s">
        <v>21</v>
      </c>
      <c r="AH30" s="5">
        <v>820</v>
      </c>
      <c r="AK30" s="4" t="s">
        <v>72</v>
      </c>
      <c r="AL30" s="4">
        <v>2001</v>
      </c>
      <c r="AM30" s="4" t="s">
        <v>21</v>
      </c>
      <c r="AN30" s="5">
        <v>189</v>
      </c>
      <c r="AO30" s="14"/>
      <c r="AQ30" s="4" t="s">
        <v>73</v>
      </c>
      <c r="AR30" s="4">
        <v>2001</v>
      </c>
      <c r="AS30" s="4" t="s">
        <v>21</v>
      </c>
      <c r="AT30" s="5">
        <v>109</v>
      </c>
      <c r="AW30" s="4" t="s">
        <v>172</v>
      </c>
      <c r="AX30" s="4">
        <v>2001</v>
      </c>
      <c r="AY30" s="4" t="s">
        <v>21</v>
      </c>
      <c r="AZ30" s="5">
        <v>167</v>
      </c>
      <c r="BC30" s="4" t="s">
        <v>174</v>
      </c>
      <c r="BD30" s="4">
        <v>2001</v>
      </c>
      <c r="BE30" s="4" t="s">
        <v>21</v>
      </c>
      <c r="BF30" s="5">
        <v>68</v>
      </c>
      <c r="BI30" s="4" t="s">
        <v>74</v>
      </c>
      <c r="BJ30" s="4">
        <v>2001</v>
      </c>
      <c r="BK30" s="4" t="s">
        <v>21</v>
      </c>
      <c r="BL30" s="5">
        <v>724</v>
      </c>
      <c r="BO30" s="4" t="s">
        <v>176</v>
      </c>
      <c r="BP30" s="4">
        <v>2001</v>
      </c>
      <c r="BQ30" s="4" t="s">
        <v>21</v>
      </c>
      <c r="BR30" s="5">
        <v>54</v>
      </c>
      <c r="BU30" s="4" t="s">
        <v>178</v>
      </c>
      <c r="BV30" s="4">
        <v>2001</v>
      </c>
      <c r="BW30" s="4" t="s">
        <v>21</v>
      </c>
      <c r="BX30" s="5">
        <v>370</v>
      </c>
      <c r="CA30" s="4" t="s">
        <v>75</v>
      </c>
      <c r="CB30" s="4">
        <v>2001</v>
      </c>
      <c r="CC30" s="4" t="s">
        <v>21</v>
      </c>
      <c r="CD30" s="5">
        <v>134</v>
      </c>
      <c r="CG30" s="4" t="s">
        <v>76</v>
      </c>
      <c r="CH30" s="4">
        <v>2001</v>
      </c>
      <c r="CI30" s="4" t="s">
        <v>21</v>
      </c>
      <c r="CJ30" s="5">
        <v>687</v>
      </c>
      <c r="CM30" s="4" t="s">
        <v>183</v>
      </c>
      <c r="CN30" s="4">
        <v>2001</v>
      </c>
      <c r="CO30" s="4" t="s">
        <v>21</v>
      </c>
      <c r="CP30" s="5">
        <v>243</v>
      </c>
      <c r="CS30" s="4" t="s">
        <v>208</v>
      </c>
      <c r="CT30" s="4">
        <v>2001</v>
      </c>
      <c r="CU30" s="4" t="s">
        <v>22</v>
      </c>
      <c r="CV30" s="5">
        <v>355</v>
      </c>
    </row>
    <row r="31" spans="1:100" x14ac:dyDescent="0.25">
      <c r="A31" s="4" t="s">
        <v>180</v>
      </c>
      <c r="B31" s="4">
        <v>2001</v>
      </c>
      <c r="C31" s="4" t="s">
        <v>22</v>
      </c>
      <c r="D31" s="5">
        <v>14</v>
      </c>
      <c r="G31" s="4" t="s">
        <v>71</v>
      </c>
      <c r="H31" s="4">
        <v>2001</v>
      </c>
      <c r="I31" s="4" t="s">
        <v>22</v>
      </c>
      <c r="J31" s="5">
        <v>683</v>
      </c>
      <c r="M31" s="4" t="s">
        <v>164</v>
      </c>
      <c r="N31" s="4">
        <v>2001</v>
      </c>
      <c r="O31" s="4" t="s">
        <v>22</v>
      </c>
      <c r="P31" s="5">
        <v>564</v>
      </c>
      <c r="S31" s="4" t="s">
        <v>166</v>
      </c>
      <c r="T31" s="4">
        <v>2001</v>
      </c>
      <c r="U31" s="4" t="s">
        <v>22</v>
      </c>
      <c r="V31" s="5">
        <v>390</v>
      </c>
      <c r="Y31" s="4" t="s">
        <v>168</v>
      </c>
      <c r="Z31" s="4">
        <v>2001</v>
      </c>
      <c r="AA31" s="4" t="s">
        <v>22</v>
      </c>
      <c r="AB31" s="5">
        <v>200</v>
      </c>
      <c r="AE31" s="4" t="s">
        <v>170</v>
      </c>
      <c r="AF31" s="4">
        <v>2001</v>
      </c>
      <c r="AG31" s="4" t="s">
        <v>22</v>
      </c>
      <c r="AH31" s="5">
        <v>837</v>
      </c>
      <c r="AK31" s="4" t="s">
        <v>72</v>
      </c>
      <c r="AL31" s="4">
        <v>2001</v>
      </c>
      <c r="AM31" s="4" t="s">
        <v>22</v>
      </c>
      <c r="AN31" s="5">
        <v>193</v>
      </c>
      <c r="AO31" s="14"/>
      <c r="AQ31" s="4" t="s">
        <v>73</v>
      </c>
      <c r="AR31" s="4">
        <v>2001</v>
      </c>
      <c r="AS31" s="4" t="s">
        <v>22</v>
      </c>
      <c r="AT31" s="5">
        <v>148</v>
      </c>
      <c r="AW31" s="4" t="s">
        <v>172</v>
      </c>
      <c r="AX31" s="4">
        <v>2001</v>
      </c>
      <c r="AY31" s="4" t="s">
        <v>22</v>
      </c>
      <c r="AZ31" s="5">
        <v>159</v>
      </c>
      <c r="BC31" s="4" t="s">
        <v>174</v>
      </c>
      <c r="BD31" s="4">
        <v>2001</v>
      </c>
      <c r="BE31" s="4" t="s">
        <v>22</v>
      </c>
      <c r="BF31" s="5">
        <v>52</v>
      </c>
      <c r="BI31" s="4" t="s">
        <v>74</v>
      </c>
      <c r="BJ31" s="4">
        <v>2001</v>
      </c>
      <c r="BK31" s="4" t="s">
        <v>22</v>
      </c>
      <c r="BL31" s="5">
        <v>652</v>
      </c>
      <c r="BO31" s="4" t="s">
        <v>176</v>
      </c>
      <c r="BP31" s="4">
        <v>2001</v>
      </c>
      <c r="BQ31" s="4" t="s">
        <v>22</v>
      </c>
      <c r="BR31" s="5">
        <v>95</v>
      </c>
      <c r="BU31" s="4" t="s">
        <v>178</v>
      </c>
      <c r="BV31" s="4">
        <v>2001</v>
      </c>
      <c r="BW31" s="4" t="s">
        <v>22</v>
      </c>
      <c r="BX31" s="5">
        <v>360</v>
      </c>
      <c r="CA31" s="4" t="s">
        <v>75</v>
      </c>
      <c r="CB31" s="4">
        <v>2001</v>
      </c>
      <c r="CC31" s="4" t="s">
        <v>22</v>
      </c>
      <c r="CD31" s="5">
        <v>123</v>
      </c>
      <c r="CG31" s="4" t="s">
        <v>76</v>
      </c>
      <c r="CH31" s="4">
        <v>2001</v>
      </c>
      <c r="CI31" s="4" t="s">
        <v>22</v>
      </c>
      <c r="CJ31" s="5">
        <v>694</v>
      </c>
      <c r="CM31" s="4" t="s">
        <v>183</v>
      </c>
      <c r="CN31" s="4">
        <v>2001</v>
      </c>
      <c r="CO31" s="4" t="s">
        <v>22</v>
      </c>
      <c r="CP31" s="5">
        <v>200</v>
      </c>
      <c r="CS31" s="4" t="s">
        <v>208</v>
      </c>
      <c r="CT31" s="4">
        <v>2001</v>
      </c>
      <c r="CU31" s="4" t="s">
        <v>23</v>
      </c>
      <c r="CV31" s="5">
        <v>369</v>
      </c>
    </row>
    <row r="32" spans="1:100" x14ac:dyDescent="0.25">
      <c r="A32" s="4" t="s">
        <v>180</v>
      </c>
      <c r="B32" s="4">
        <v>2001</v>
      </c>
      <c r="C32" s="4" t="s">
        <v>23</v>
      </c>
      <c r="D32" s="5">
        <v>24</v>
      </c>
      <c r="G32" s="4" t="s">
        <v>71</v>
      </c>
      <c r="H32" s="4">
        <v>2001</v>
      </c>
      <c r="I32" s="4" t="s">
        <v>23</v>
      </c>
      <c r="J32" s="5">
        <v>596</v>
      </c>
      <c r="M32" s="4" t="s">
        <v>164</v>
      </c>
      <c r="N32" s="4">
        <v>2001</v>
      </c>
      <c r="O32" s="4" t="s">
        <v>23</v>
      </c>
      <c r="P32" s="5">
        <v>508</v>
      </c>
      <c r="S32" s="4" t="s">
        <v>166</v>
      </c>
      <c r="T32" s="4">
        <v>2001</v>
      </c>
      <c r="U32" s="4" t="s">
        <v>23</v>
      </c>
      <c r="V32" s="5">
        <v>347</v>
      </c>
      <c r="Y32" s="4" t="s">
        <v>168</v>
      </c>
      <c r="Z32" s="4">
        <v>2001</v>
      </c>
      <c r="AA32" s="4" t="s">
        <v>23</v>
      </c>
      <c r="AB32" s="5">
        <v>129</v>
      </c>
      <c r="AE32" s="4" t="s">
        <v>170</v>
      </c>
      <c r="AF32" s="4">
        <v>2001</v>
      </c>
      <c r="AG32" s="4" t="s">
        <v>23</v>
      </c>
      <c r="AH32" s="5">
        <v>691</v>
      </c>
      <c r="AK32" s="4" t="s">
        <v>72</v>
      </c>
      <c r="AL32" s="4">
        <v>2001</v>
      </c>
      <c r="AM32" s="4" t="s">
        <v>23</v>
      </c>
      <c r="AN32" s="5">
        <v>232</v>
      </c>
      <c r="AO32" s="14"/>
      <c r="AQ32" s="4" t="s">
        <v>73</v>
      </c>
      <c r="AR32" s="4">
        <v>2001</v>
      </c>
      <c r="AS32" s="4" t="s">
        <v>23</v>
      </c>
      <c r="AT32" s="5">
        <v>148</v>
      </c>
      <c r="AW32" s="4" t="s">
        <v>172</v>
      </c>
      <c r="AX32" s="4">
        <v>2001</v>
      </c>
      <c r="AY32" s="4" t="s">
        <v>23</v>
      </c>
      <c r="AZ32" s="5">
        <v>161</v>
      </c>
      <c r="BC32" s="4" t="s">
        <v>174</v>
      </c>
      <c r="BD32" s="4">
        <v>2001</v>
      </c>
      <c r="BE32" s="4" t="s">
        <v>23</v>
      </c>
      <c r="BF32" s="5">
        <v>71</v>
      </c>
      <c r="BI32" s="4" t="s">
        <v>74</v>
      </c>
      <c r="BJ32" s="4">
        <v>2001</v>
      </c>
      <c r="BK32" s="4" t="s">
        <v>23</v>
      </c>
      <c r="BL32" s="5">
        <v>655</v>
      </c>
      <c r="BO32" s="4" t="s">
        <v>176</v>
      </c>
      <c r="BP32" s="4">
        <v>2001</v>
      </c>
      <c r="BQ32" s="4" t="s">
        <v>23</v>
      </c>
      <c r="BR32" s="5">
        <v>55</v>
      </c>
      <c r="BU32" s="4" t="s">
        <v>178</v>
      </c>
      <c r="BV32" s="4">
        <v>2001</v>
      </c>
      <c r="BW32" s="4" t="s">
        <v>23</v>
      </c>
      <c r="BX32" s="5">
        <v>286</v>
      </c>
      <c r="CA32" s="4" t="s">
        <v>75</v>
      </c>
      <c r="CB32" s="4">
        <v>2001</v>
      </c>
      <c r="CC32" s="4" t="s">
        <v>23</v>
      </c>
      <c r="CD32" s="5">
        <v>81</v>
      </c>
      <c r="CG32" s="4" t="s">
        <v>76</v>
      </c>
      <c r="CH32" s="4">
        <v>2001</v>
      </c>
      <c r="CI32" s="4" t="s">
        <v>23</v>
      </c>
      <c r="CJ32" s="5">
        <v>663</v>
      </c>
      <c r="CM32" s="4" t="s">
        <v>183</v>
      </c>
      <c r="CN32" s="4">
        <v>2001</v>
      </c>
      <c r="CO32" s="4" t="s">
        <v>23</v>
      </c>
      <c r="CP32" s="5">
        <v>220</v>
      </c>
      <c r="CS32" s="4" t="s">
        <v>208</v>
      </c>
      <c r="CT32" s="4">
        <v>2001</v>
      </c>
      <c r="CU32" s="4" t="s">
        <v>24</v>
      </c>
      <c r="CV32" s="5">
        <v>361</v>
      </c>
    </row>
    <row r="33" spans="1:100" x14ac:dyDescent="0.25">
      <c r="A33" s="4" t="s">
        <v>180</v>
      </c>
      <c r="B33" s="4">
        <v>2001</v>
      </c>
      <c r="C33" s="4" t="s">
        <v>24</v>
      </c>
      <c r="D33" s="5">
        <v>34</v>
      </c>
      <c r="G33" s="4" t="s">
        <v>71</v>
      </c>
      <c r="H33" s="4">
        <v>2001</v>
      </c>
      <c r="I33" s="4" t="s">
        <v>24</v>
      </c>
      <c r="J33" s="5">
        <v>478</v>
      </c>
      <c r="M33" s="4" t="s">
        <v>164</v>
      </c>
      <c r="N33" s="4">
        <v>2001</v>
      </c>
      <c r="O33" s="4" t="s">
        <v>24</v>
      </c>
      <c r="P33" s="5">
        <v>580</v>
      </c>
      <c r="S33" s="4" t="s">
        <v>166</v>
      </c>
      <c r="T33" s="4">
        <v>2001</v>
      </c>
      <c r="U33" s="4" t="s">
        <v>24</v>
      </c>
      <c r="V33" s="5">
        <v>323</v>
      </c>
      <c r="Y33" s="4" t="s">
        <v>168</v>
      </c>
      <c r="Z33" s="4">
        <v>2001</v>
      </c>
      <c r="AA33" s="4" t="s">
        <v>24</v>
      </c>
      <c r="AB33" s="5">
        <v>143</v>
      </c>
      <c r="AE33" s="4" t="s">
        <v>170</v>
      </c>
      <c r="AF33" s="4">
        <v>2001</v>
      </c>
      <c r="AG33" s="4" t="s">
        <v>24</v>
      </c>
      <c r="AH33" s="5">
        <v>733</v>
      </c>
      <c r="AK33" s="4" t="s">
        <v>72</v>
      </c>
      <c r="AL33" s="4">
        <v>2001</v>
      </c>
      <c r="AM33" s="4" t="s">
        <v>24</v>
      </c>
      <c r="AN33" s="5">
        <v>178</v>
      </c>
      <c r="AO33" s="14"/>
      <c r="AQ33" s="4" t="s">
        <v>73</v>
      </c>
      <c r="AR33" s="4">
        <v>2001</v>
      </c>
      <c r="AS33" s="4" t="s">
        <v>24</v>
      </c>
      <c r="AT33" s="5">
        <v>164</v>
      </c>
      <c r="AW33" s="4" t="s">
        <v>172</v>
      </c>
      <c r="AX33" s="4">
        <v>2001</v>
      </c>
      <c r="AY33" s="4" t="s">
        <v>24</v>
      </c>
      <c r="AZ33" s="5">
        <v>131</v>
      </c>
      <c r="BC33" s="4" t="s">
        <v>174</v>
      </c>
      <c r="BD33" s="4">
        <v>2001</v>
      </c>
      <c r="BE33" s="4" t="s">
        <v>24</v>
      </c>
      <c r="BF33" s="5">
        <v>60</v>
      </c>
      <c r="BI33" s="4" t="s">
        <v>74</v>
      </c>
      <c r="BJ33" s="4">
        <v>2001</v>
      </c>
      <c r="BK33" s="4" t="s">
        <v>24</v>
      </c>
      <c r="BL33" s="5">
        <v>652</v>
      </c>
      <c r="BO33" s="4" t="s">
        <v>176</v>
      </c>
      <c r="BP33" s="4">
        <v>2001</v>
      </c>
      <c r="BQ33" s="4" t="s">
        <v>24</v>
      </c>
      <c r="BR33" s="5">
        <v>66</v>
      </c>
      <c r="BU33" s="4" t="s">
        <v>178</v>
      </c>
      <c r="BV33" s="4">
        <v>2001</v>
      </c>
      <c r="BW33" s="4" t="s">
        <v>24</v>
      </c>
      <c r="BX33" s="5">
        <v>324</v>
      </c>
      <c r="CA33" s="4" t="s">
        <v>75</v>
      </c>
      <c r="CB33" s="4">
        <v>2001</v>
      </c>
      <c r="CC33" s="4" t="s">
        <v>24</v>
      </c>
      <c r="CD33" s="5">
        <v>83</v>
      </c>
      <c r="CG33" s="4" t="s">
        <v>76</v>
      </c>
      <c r="CH33" s="4">
        <v>2001</v>
      </c>
      <c r="CI33" s="4" t="s">
        <v>24</v>
      </c>
      <c r="CJ33" s="5">
        <v>648</v>
      </c>
      <c r="CM33" s="4" t="s">
        <v>183</v>
      </c>
      <c r="CN33" s="4">
        <v>2001</v>
      </c>
      <c r="CO33" s="4" t="s">
        <v>24</v>
      </c>
      <c r="CP33" s="5">
        <v>172</v>
      </c>
      <c r="CS33" s="4" t="s">
        <v>208</v>
      </c>
      <c r="CT33" s="4">
        <v>2001</v>
      </c>
      <c r="CU33" s="4" t="s">
        <v>25</v>
      </c>
      <c r="CV33" s="5">
        <v>525</v>
      </c>
    </row>
    <row r="34" spans="1:100" x14ac:dyDescent="0.25">
      <c r="A34" s="4" t="s">
        <v>180</v>
      </c>
      <c r="B34" s="4">
        <v>2001</v>
      </c>
      <c r="C34" s="4" t="s">
        <v>25</v>
      </c>
      <c r="D34" s="5">
        <v>26</v>
      </c>
      <c r="G34" s="4" t="s">
        <v>71</v>
      </c>
      <c r="H34" s="4">
        <v>2001</v>
      </c>
      <c r="I34" s="4" t="s">
        <v>25</v>
      </c>
      <c r="J34" s="5">
        <v>443</v>
      </c>
      <c r="M34" s="4" t="s">
        <v>164</v>
      </c>
      <c r="N34" s="4">
        <v>2001</v>
      </c>
      <c r="O34" s="4" t="s">
        <v>25</v>
      </c>
      <c r="P34" s="5">
        <v>610</v>
      </c>
      <c r="S34" s="4" t="s">
        <v>166</v>
      </c>
      <c r="T34" s="4">
        <v>2001</v>
      </c>
      <c r="U34" s="4" t="s">
        <v>25</v>
      </c>
      <c r="V34" s="5">
        <v>346</v>
      </c>
      <c r="Y34" s="4" t="s">
        <v>168</v>
      </c>
      <c r="Z34" s="4">
        <v>2001</v>
      </c>
      <c r="AA34" s="4" t="s">
        <v>25</v>
      </c>
      <c r="AB34" s="5">
        <v>151</v>
      </c>
      <c r="AE34" s="4" t="s">
        <v>170</v>
      </c>
      <c r="AF34" s="4">
        <v>2001</v>
      </c>
      <c r="AG34" s="4" t="s">
        <v>25</v>
      </c>
      <c r="AH34" s="5">
        <v>805</v>
      </c>
      <c r="AK34" s="4" t="s">
        <v>72</v>
      </c>
      <c r="AL34" s="4">
        <v>2001</v>
      </c>
      <c r="AM34" s="4" t="s">
        <v>25</v>
      </c>
      <c r="AN34" s="5">
        <v>242</v>
      </c>
      <c r="AO34" s="14"/>
      <c r="AQ34" s="4" t="s">
        <v>73</v>
      </c>
      <c r="AR34" s="4">
        <v>2001</v>
      </c>
      <c r="AS34" s="4" t="s">
        <v>25</v>
      </c>
      <c r="AT34" s="5">
        <v>163</v>
      </c>
      <c r="AW34" s="4" t="s">
        <v>172</v>
      </c>
      <c r="AX34" s="4">
        <v>2001</v>
      </c>
      <c r="AY34" s="4" t="s">
        <v>25</v>
      </c>
      <c r="AZ34" s="5">
        <v>157</v>
      </c>
      <c r="BC34" s="4" t="s">
        <v>174</v>
      </c>
      <c r="BD34" s="4">
        <v>2001</v>
      </c>
      <c r="BE34" s="4" t="s">
        <v>25</v>
      </c>
      <c r="BF34" s="5">
        <v>92</v>
      </c>
      <c r="BI34" s="4" t="s">
        <v>74</v>
      </c>
      <c r="BJ34" s="4">
        <v>2001</v>
      </c>
      <c r="BK34" s="4" t="s">
        <v>25</v>
      </c>
      <c r="BL34" s="5">
        <v>694</v>
      </c>
      <c r="BO34" s="4" t="s">
        <v>176</v>
      </c>
      <c r="BP34" s="4">
        <v>2001</v>
      </c>
      <c r="BQ34" s="4" t="s">
        <v>25</v>
      </c>
      <c r="BR34" s="5">
        <v>119</v>
      </c>
      <c r="BU34" s="4" t="s">
        <v>178</v>
      </c>
      <c r="BV34" s="4">
        <v>2001</v>
      </c>
      <c r="BW34" s="4" t="s">
        <v>25</v>
      </c>
      <c r="BX34" s="5">
        <v>357</v>
      </c>
      <c r="CA34" s="4" t="s">
        <v>75</v>
      </c>
      <c r="CB34" s="4">
        <v>2001</v>
      </c>
      <c r="CC34" s="4" t="s">
        <v>25</v>
      </c>
      <c r="CD34" s="5">
        <v>78</v>
      </c>
      <c r="CG34" s="4" t="s">
        <v>76</v>
      </c>
      <c r="CH34" s="4">
        <v>2001</v>
      </c>
      <c r="CI34" s="4" t="s">
        <v>25</v>
      </c>
      <c r="CJ34" s="5">
        <v>743</v>
      </c>
      <c r="CM34" s="4" t="s">
        <v>183</v>
      </c>
      <c r="CN34" s="4">
        <v>2001</v>
      </c>
      <c r="CO34" s="4" t="s">
        <v>25</v>
      </c>
      <c r="CP34" s="5">
        <v>246</v>
      </c>
      <c r="CS34" s="4" t="s">
        <v>208</v>
      </c>
      <c r="CT34" s="4">
        <v>2001</v>
      </c>
      <c r="CU34" s="4" t="s">
        <v>26</v>
      </c>
      <c r="CV34" s="5">
        <v>548</v>
      </c>
    </row>
    <row r="35" spans="1:100" x14ac:dyDescent="0.25">
      <c r="A35" s="4" t="s">
        <v>180</v>
      </c>
      <c r="B35" s="4">
        <v>2001</v>
      </c>
      <c r="C35" s="4" t="s">
        <v>26</v>
      </c>
      <c r="D35" s="5">
        <v>17</v>
      </c>
      <c r="G35" s="4" t="s">
        <v>71</v>
      </c>
      <c r="H35" s="4">
        <v>2001</v>
      </c>
      <c r="I35" s="4" t="s">
        <v>26</v>
      </c>
      <c r="J35" s="5">
        <v>447</v>
      </c>
      <c r="M35" s="4" t="s">
        <v>164</v>
      </c>
      <c r="N35" s="4">
        <v>2001</v>
      </c>
      <c r="O35" s="4" t="s">
        <v>26</v>
      </c>
      <c r="P35" s="5">
        <v>684</v>
      </c>
      <c r="S35" s="4" t="s">
        <v>166</v>
      </c>
      <c r="T35" s="4">
        <v>2001</v>
      </c>
      <c r="U35" s="4" t="s">
        <v>26</v>
      </c>
      <c r="V35" s="5">
        <v>370</v>
      </c>
      <c r="Y35" s="4" t="s">
        <v>168</v>
      </c>
      <c r="Z35" s="4">
        <v>2001</v>
      </c>
      <c r="AA35" s="4" t="s">
        <v>26</v>
      </c>
      <c r="AB35" s="5">
        <v>125</v>
      </c>
      <c r="AE35" s="4" t="s">
        <v>170</v>
      </c>
      <c r="AF35" s="4">
        <v>2001</v>
      </c>
      <c r="AG35" s="4" t="s">
        <v>26</v>
      </c>
      <c r="AH35" s="5">
        <v>708</v>
      </c>
      <c r="AK35" s="4" t="s">
        <v>72</v>
      </c>
      <c r="AL35" s="4">
        <v>2001</v>
      </c>
      <c r="AM35" s="4" t="s">
        <v>26</v>
      </c>
      <c r="AN35" s="5">
        <v>236</v>
      </c>
      <c r="AO35" s="14"/>
      <c r="AQ35" s="4" t="s">
        <v>73</v>
      </c>
      <c r="AR35" s="4">
        <v>2001</v>
      </c>
      <c r="AS35" s="4" t="s">
        <v>26</v>
      </c>
      <c r="AT35" s="5">
        <v>206</v>
      </c>
      <c r="AW35" s="4" t="s">
        <v>172</v>
      </c>
      <c r="AX35" s="4">
        <v>2001</v>
      </c>
      <c r="AY35" s="4" t="s">
        <v>26</v>
      </c>
      <c r="AZ35" s="5">
        <v>202</v>
      </c>
      <c r="BC35" s="4" t="s">
        <v>174</v>
      </c>
      <c r="BD35" s="4">
        <v>2001</v>
      </c>
      <c r="BE35" s="4" t="s">
        <v>26</v>
      </c>
      <c r="BF35" s="5">
        <v>87</v>
      </c>
      <c r="BI35" s="4" t="s">
        <v>74</v>
      </c>
      <c r="BJ35" s="4">
        <v>2001</v>
      </c>
      <c r="BK35" s="4" t="s">
        <v>26</v>
      </c>
      <c r="BL35" s="5">
        <v>731</v>
      </c>
      <c r="BO35" s="4" t="s">
        <v>176</v>
      </c>
      <c r="BP35" s="4">
        <v>2001</v>
      </c>
      <c r="BQ35" s="4" t="s">
        <v>26</v>
      </c>
      <c r="BR35" s="5">
        <v>145</v>
      </c>
      <c r="BU35" s="4" t="s">
        <v>178</v>
      </c>
      <c r="BV35" s="4">
        <v>2001</v>
      </c>
      <c r="BW35" s="4" t="s">
        <v>26</v>
      </c>
      <c r="BX35" s="5">
        <v>368</v>
      </c>
      <c r="CA35" s="4" t="s">
        <v>75</v>
      </c>
      <c r="CB35" s="4">
        <v>2001</v>
      </c>
      <c r="CC35" s="4" t="s">
        <v>26</v>
      </c>
      <c r="CD35" s="5">
        <v>126</v>
      </c>
      <c r="CG35" s="4" t="s">
        <v>76</v>
      </c>
      <c r="CH35" s="4">
        <v>2001</v>
      </c>
      <c r="CI35" s="4" t="s">
        <v>26</v>
      </c>
      <c r="CJ35" s="5">
        <v>687</v>
      </c>
      <c r="CM35" s="4" t="s">
        <v>183</v>
      </c>
      <c r="CN35" s="4">
        <v>2001</v>
      </c>
      <c r="CO35" s="4" t="s">
        <v>26</v>
      </c>
      <c r="CP35" s="5">
        <v>228</v>
      </c>
      <c r="CS35" s="4" t="s">
        <v>208</v>
      </c>
      <c r="CT35" s="4">
        <v>2001</v>
      </c>
      <c r="CU35" s="4" t="s">
        <v>27</v>
      </c>
      <c r="CV35" s="5">
        <v>540</v>
      </c>
    </row>
    <row r="36" spans="1:100" x14ac:dyDescent="0.25">
      <c r="A36" s="4" t="s">
        <v>180</v>
      </c>
      <c r="B36" s="4">
        <v>2001</v>
      </c>
      <c r="C36" s="4" t="s">
        <v>27</v>
      </c>
      <c r="D36" s="5">
        <v>18</v>
      </c>
      <c r="G36" s="4" t="s">
        <v>71</v>
      </c>
      <c r="H36" s="4">
        <v>2001</v>
      </c>
      <c r="I36" s="4" t="s">
        <v>27</v>
      </c>
      <c r="J36" s="5">
        <v>522</v>
      </c>
      <c r="M36" s="4" t="s">
        <v>164</v>
      </c>
      <c r="N36" s="4">
        <v>2001</v>
      </c>
      <c r="O36" s="4" t="s">
        <v>27</v>
      </c>
      <c r="P36" s="5">
        <v>653</v>
      </c>
      <c r="S36" s="4" t="s">
        <v>166</v>
      </c>
      <c r="T36" s="4">
        <v>2001</v>
      </c>
      <c r="U36" s="4" t="s">
        <v>27</v>
      </c>
      <c r="V36" s="5">
        <v>370</v>
      </c>
      <c r="Y36" s="4" t="s">
        <v>168</v>
      </c>
      <c r="Z36" s="4">
        <v>2001</v>
      </c>
      <c r="AA36" s="4" t="s">
        <v>27</v>
      </c>
      <c r="AB36" s="5">
        <v>163</v>
      </c>
      <c r="AE36" s="4" t="s">
        <v>170</v>
      </c>
      <c r="AF36" s="4">
        <v>2001</v>
      </c>
      <c r="AG36" s="4" t="s">
        <v>27</v>
      </c>
      <c r="AH36" s="5">
        <v>765</v>
      </c>
      <c r="AK36" s="4" t="s">
        <v>72</v>
      </c>
      <c r="AL36" s="4">
        <v>2001</v>
      </c>
      <c r="AM36" s="4" t="s">
        <v>27</v>
      </c>
      <c r="AN36" s="5">
        <v>226</v>
      </c>
      <c r="AO36" s="14"/>
      <c r="AQ36" s="4" t="s">
        <v>73</v>
      </c>
      <c r="AR36" s="4">
        <v>2001</v>
      </c>
      <c r="AS36" s="4" t="s">
        <v>27</v>
      </c>
      <c r="AT36" s="5">
        <v>210</v>
      </c>
      <c r="AW36" s="4" t="s">
        <v>172</v>
      </c>
      <c r="AX36" s="4">
        <v>2001</v>
      </c>
      <c r="AY36" s="4" t="s">
        <v>27</v>
      </c>
      <c r="AZ36" s="5">
        <v>171</v>
      </c>
      <c r="BC36" s="4" t="s">
        <v>174</v>
      </c>
      <c r="BD36" s="4">
        <v>2001</v>
      </c>
      <c r="BE36" s="4" t="s">
        <v>27</v>
      </c>
      <c r="BF36" s="5">
        <v>86</v>
      </c>
      <c r="BI36" s="4" t="s">
        <v>74</v>
      </c>
      <c r="BJ36" s="4">
        <v>2001</v>
      </c>
      <c r="BK36" s="4" t="s">
        <v>27</v>
      </c>
      <c r="BL36" s="5">
        <v>790</v>
      </c>
      <c r="BO36" s="4" t="s">
        <v>176</v>
      </c>
      <c r="BP36" s="4">
        <v>2001</v>
      </c>
      <c r="BQ36" s="4" t="s">
        <v>27</v>
      </c>
      <c r="BR36" s="5">
        <v>182</v>
      </c>
      <c r="BU36" s="4" t="s">
        <v>178</v>
      </c>
      <c r="BV36" s="4">
        <v>2001</v>
      </c>
      <c r="BW36" s="4" t="s">
        <v>27</v>
      </c>
      <c r="BX36" s="5">
        <v>413</v>
      </c>
      <c r="CA36" s="4" t="s">
        <v>75</v>
      </c>
      <c r="CB36" s="4">
        <v>2001</v>
      </c>
      <c r="CC36" s="4" t="s">
        <v>27</v>
      </c>
      <c r="CD36" s="5">
        <v>131</v>
      </c>
      <c r="CG36" s="4" t="s">
        <v>76</v>
      </c>
      <c r="CH36" s="4">
        <v>2001</v>
      </c>
      <c r="CI36" s="4" t="s">
        <v>27</v>
      </c>
      <c r="CJ36" s="5">
        <v>636</v>
      </c>
      <c r="CM36" s="4" t="s">
        <v>183</v>
      </c>
      <c r="CN36" s="4">
        <v>2001</v>
      </c>
      <c r="CO36" s="4" t="s">
        <v>27</v>
      </c>
      <c r="CP36" s="5">
        <v>241</v>
      </c>
      <c r="CS36" s="4" t="s">
        <v>208</v>
      </c>
      <c r="CT36" s="4">
        <v>2001</v>
      </c>
      <c r="CU36" s="4" t="s">
        <v>28</v>
      </c>
      <c r="CV36" s="5">
        <v>438</v>
      </c>
    </row>
    <row r="37" spans="1:100" x14ac:dyDescent="0.25">
      <c r="A37" s="4" t="s">
        <v>180</v>
      </c>
      <c r="B37" s="4">
        <v>2001</v>
      </c>
      <c r="C37" s="4" t="s">
        <v>28</v>
      </c>
      <c r="D37" s="5">
        <v>23</v>
      </c>
      <c r="G37" s="4" t="s">
        <v>71</v>
      </c>
      <c r="H37" s="4">
        <v>2001</v>
      </c>
      <c r="I37" s="4" t="s">
        <v>28</v>
      </c>
      <c r="J37" s="5">
        <v>489</v>
      </c>
      <c r="M37" s="4" t="s">
        <v>164</v>
      </c>
      <c r="N37" s="4">
        <v>2001</v>
      </c>
      <c r="O37" s="4" t="s">
        <v>28</v>
      </c>
      <c r="P37" s="5">
        <v>647</v>
      </c>
      <c r="S37" s="4" t="s">
        <v>166</v>
      </c>
      <c r="T37" s="4">
        <v>2001</v>
      </c>
      <c r="U37" s="4" t="s">
        <v>28</v>
      </c>
      <c r="V37" s="5">
        <v>349</v>
      </c>
      <c r="Y37" s="4" t="s">
        <v>168</v>
      </c>
      <c r="Z37" s="4">
        <v>2001</v>
      </c>
      <c r="AA37" s="4" t="s">
        <v>28</v>
      </c>
      <c r="AB37" s="5">
        <v>187</v>
      </c>
      <c r="AE37" s="4" t="s">
        <v>170</v>
      </c>
      <c r="AF37" s="4">
        <v>2001</v>
      </c>
      <c r="AG37" s="4" t="s">
        <v>28</v>
      </c>
      <c r="AH37" s="5">
        <v>748</v>
      </c>
      <c r="AK37" s="4" t="s">
        <v>72</v>
      </c>
      <c r="AL37" s="4">
        <v>2001</v>
      </c>
      <c r="AM37" s="4" t="s">
        <v>28</v>
      </c>
      <c r="AN37" s="5">
        <v>214</v>
      </c>
      <c r="AO37" s="14"/>
      <c r="AQ37" s="4" t="s">
        <v>73</v>
      </c>
      <c r="AR37" s="4">
        <v>2001</v>
      </c>
      <c r="AS37" s="4" t="s">
        <v>28</v>
      </c>
      <c r="AT37" s="5">
        <v>219</v>
      </c>
      <c r="AW37" s="4" t="s">
        <v>172</v>
      </c>
      <c r="AX37" s="4">
        <v>2001</v>
      </c>
      <c r="AY37" s="4" t="s">
        <v>28</v>
      </c>
      <c r="AZ37" s="5">
        <v>196</v>
      </c>
      <c r="BC37" s="4" t="s">
        <v>174</v>
      </c>
      <c r="BD37" s="4">
        <v>2001</v>
      </c>
      <c r="BE37" s="4" t="s">
        <v>28</v>
      </c>
      <c r="BF37" s="5">
        <v>72</v>
      </c>
      <c r="BI37" s="4" t="s">
        <v>74</v>
      </c>
      <c r="BJ37" s="4">
        <v>2001</v>
      </c>
      <c r="BK37" s="4" t="s">
        <v>28</v>
      </c>
      <c r="BL37" s="5">
        <v>810</v>
      </c>
      <c r="BO37" s="4" t="s">
        <v>176</v>
      </c>
      <c r="BP37" s="4">
        <v>2001</v>
      </c>
      <c r="BQ37" s="4" t="s">
        <v>28</v>
      </c>
      <c r="BR37" s="5">
        <v>93</v>
      </c>
      <c r="BU37" s="4" t="s">
        <v>178</v>
      </c>
      <c r="BV37" s="4">
        <v>2001</v>
      </c>
      <c r="BW37" s="4" t="s">
        <v>28</v>
      </c>
      <c r="BX37" s="5">
        <v>362</v>
      </c>
      <c r="CA37" s="4" t="s">
        <v>75</v>
      </c>
      <c r="CB37" s="4">
        <v>2001</v>
      </c>
      <c r="CC37" s="4" t="s">
        <v>28</v>
      </c>
      <c r="CD37" s="5">
        <v>153</v>
      </c>
      <c r="CG37" s="4" t="s">
        <v>76</v>
      </c>
      <c r="CH37" s="4">
        <v>2001</v>
      </c>
      <c r="CI37" s="4" t="s">
        <v>28</v>
      </c>
      <c r="CJ37" s="5">
        <v>748</v>
      </c>
      <c r="CM37" s="4" t="s">
        <v>183</v>
      </c>
      <c r="CN37" s="4">
        <v>2001</v>
      </c>
      <c r="CO37" s="4" t="s">
        <v>28</v>
      </c>
      <c r="CP37" s="5">
        <v>225</v>
      </c>
      <c r="CS37" s="4" t="s">
        <v>208</v>
      </c>
      <c r="CT37" s="4">
        <v>2001</v>
      </c>
      <c r="CU37" s="4" t="s">
        <v>29</v>
      </c>
      <c r="CV37" s="5">
        <v>429</v>
      </c>
    </row>
    <row r="38" spans="1:100" x14ac:dyDescent="0.25">
      <c r="A38" s="4" t="s">
        <v>180</v>
      </c>
      <c r="B38" s="4">
        <v>2001</v>
      </c>
      <c r="C38" s="4" t="s">
        <v>29</v>
      </c>
      <c r="D38" s="5">
        <v>32</v>
      </c>
      <c r="G38" s="4" t="s">
        <v>71</v>
      </c>
      <c r="H38" s="4">
        <v>2001</v>
      </c>
      <c r="I38" s="4" t="s">
        <v>29</v>
      </c>
      <c r="J38" s="5">
        <v>535</v>
      </c>
      <c r="M38" s="4" t="s">
        <v>164</v>
      </c>
      <c r="N38" s="4">
        <v>2001</v>
      </c>
      <c r="O38" s="4" t="s">
        <v>29</v>
      </c>
      <c r="P38" s="5">
        <v>720</v>
      </c>
      <c r="S38" s="4" t="s">
        <v>166</v>
      </c>
      <c r="T38" s="4">
        <v>2001</v>
      </c>
      <c r="U38" s="4" t="s">
        <v>29</v>
      </c>
      <c r="V38" s="5">
        <v>345</v>
      </c>
      <c r="Y38" s="4" t="s">
        <v>168</v>
      </c>
      <c r="Z38" s="4">
        <v>2001</v>
      </c>
      <c r="AA38" s="4" t="s">
        <v>29</v>
      </c>
      <c r="AB38" s="5">
        <v>151</v>
      </c>
      <c r="AE38" s="4" t="s">
        <v>170</v>
      </c>
      <c r="AF38" s="4">
        <v>2001</v>
      </c>
      <c r="AG38" s="4" t="s">
        <v>29</v>
      </c>
      <c r="AH38" s="5">
        <v>790</v>
      </c>
      <c r="AK38" s="4" t="s">
        <v>72</v>
      </c>
      <c r="AL38" s="4">
        <v>2001</v>
      </c>
      <c r="AM38" s="4" t="s">
        <v>29</v>
      </c>
      <c r="AN38" s="5">
        <v>321</v>
      </c>
      <c r="AO38" s="14"/>
      <c r="AQ38" s="4" t="s">
        <v>73</v>
      </c>
      <c r="AR38" s="4">
        <v>2001</v>
      </c>
      <c r="AS38" s="4" t="s">
        <v>29</v>
      </c>
      <c r="AT38" s="5">
        <v>233</v>
      </c>
      <c r="AW38" s="4" t="s">
        <v>172</v>
      </c>
      <c r="AX38" s="4">
        <v>2001</v>
      </c>
      <c r="AY38" s="4" t="s">
        <v>29</v>
      </c>
      <c r="AZ38" s="5">
        <v>210</v>
      </c>
      <c r="BC38" s="4" t="s">
        <v>174</v>
      </c>
      <c r="BD38" s="4">
        <v>2001</v>
      </c>
      <c r="BE38" s="4" t="s">
        <v>29</v>
      </c>
      <c r="BF38" s="5">
        <v>72</v>
      </c>
      <c r="BI38" s="4" t="s">
        <v>74</v>
      </c>
      <c r="BJ38" s="4">
        <v>2001</v>
      </c>
      <c r="BK38" s="4" t="s">
        <v>29</v>
      </c>
      <c r="BL38" s="5">
        <v>910</v>
      </c>
      <c r="BO38" s="4" t="s">
        <v>176</v>
      </c>
      <c r="BP38" s="4">
        <v>2001</v>
      </c>
      <c r="BQ38" s="4" t="s">
        <v>29</v>
      </c>
      <c r="BR38" s="5">
        <v>64</v>
      </c>
      <c r="BU38" s="4" t="s">
        <v>178</v>
      </c>
      <c r="BV38" s="4">
        <v>2001</v>
      </c>
      <c r="BW38" s="4" t="s">
        <v>29</v>
      </c>
      <c r="BX38" s="5">
        <v>421</v>
      </c>
      <c r="CA38" s="4" t="s">
        <v>75</v>
      </c>
      <c r="CB38" s="4">
        <v>2001</v>
      </c>
      <c r="CC38" s="4" t="s">
        <v>29</v>
      </c>
      <c r="CD38" s="5">
        <v>166</v>
      </c>
      <c r="CG38" s="4" t="s">
        <v>76</v>
      </c>
      <c r="CH38" s="4">
        <v>2001</v>
      </c>
      <c r="CI38" s="4" t="s">
        <v>29</v>
      </c>
      <c r="CJ38" s="5">
        <v>737</v>
      </c>
      <c r="CM38" s="4" t="s">
        <v>183</v>
      </c>
      <c r="CN38" s="4">
        <v>2001</v>
      </c>
      <c r="CO38" s="4" t="s">
        <v>29</v>
      </c>
      <c r="CP38" s="5">
        <v>239</v>
      </c>
      <c r="CS38" s="4" t="s">
        <v>208</v>
      </c>
      <c r="CT38" s="4">
        <v>2001</v>
      </c>
      <c r="CU38" s="4" t="s">
        <v>30</v>
      </c>
      <c r="CV38" s="5">
        <v>420</v>
      </c>
    </row>
    <row r="39" spans="1:100" x14ac:dyDescent="0.25">
      <c r="A39" s="4" t="s">
        <v>180</v>
      </c>
      <c r="B39" s="4">
        <v>2001</v>
      </c>
      <c r="C39" s="4" t="s">
        <v>30</v>
      </c>
      <c r="D39" s="5">
        <v>20</v>
      </c>
      <c r="G39" s="4" t="s">
        <v>71</v>
      </c>
      <c r="H39" s="4">
        <v>2001</v>
      </c>
      <c r="I39" s="4" t="s">
        <v>30</v>
      </c>
      <c r="J39" s="5">
        <v>670</v>
      </c>
      <c r="M39" s="4" t="s">
        <v>164</v>
      </c>
      <c r="N39" s="4">
        <v>2001</v>
      </c>
      <c r="O39" s="4" t="s">
        <v>30</v>
      </c>
      <c r="P39" s="5">
        <v>746</v>
      </c>
      <c r="S39" s="4" t="s">
        <v>166</v>
      </c>
      <c r="T39" s="4">
        <v>2001</v>
      </c>
      <c r="U39" s="4" t="s">
        <v>30</v>
      </c>
      <c r="V39" s="5">
        <v>362</v>
      </c>
      <c r="Y39" s="4" t="s">
        <v>168</v>
      </c>
      <c r="Z39" s="4">
        <v>2001</v>
      </c>
      <c r="AA39" s="4" t="s">
        <v>30</v>
      </c>
      <c r="AB39" s="5">
        <v>192</v>
      </c>
      <c r="AE39" s="4" t="s">
        <v>170</v>
      </c>
      <c r="AF39" s="4">
        <v>2001</v>
      </c>
      <c r="AG39" s="4" t="s">
        <v>30</v>
      </c>
      <c r="AH39" s="5">
        <v>854</v>
      </c>
      <c r="AK39" s="4" t="s">
        <v>72</v>
      </c>
      <c r="AL39" s="4">
        <v>2001</v>
      </c>
      <c r="AM39" s="4" t="s">
        <v>30</v>
      </c>
      <c r="AN39" s="5">
        <v>302</v>
      </c>
      <c r="AO39" s="14"/>
      <c r="AQ39" s="4" t="s">
        <v>73</v>
      </c>
      <c r="AR39" s="4">
        <v>2001</v>
      </c>
      <c r="AS39" s="4" t="s">
        <v>30</v>
      </c>
      <c r="AT39" s="5">
        <v>241</v>
      </c>
      <c r="AW39" s="4" t="s">
        <v>172</v>
      </c>
      <c r="AX39" s="4">
        <v>2001</v>
      </c>
      <c r="AY39" s="4" t="s">
        <v>30</v>
      </c>
      <c r="AZ39" s="5">
        <v>258</v>
      </c>
      <c r="BC39" s="4" t="s">
        <v>174</v>
      </c>
      <c r="BD39" s="4">
        <v>2001</v>
      </c>
      <c r="BE39" s="4" t="s">
        <v>30</v>
      </c>
      <c r="BF39" s="5">
        <v>63</v>
      </c>
      <c r="BI39" s="4" t="s">
        <v>74</v>
      </c>
      <c r="BJ39" s="4">
        <v>2001</v>
      </c>
      <c r="BK39" s="4" t="s">
        <v>30</v>
      </c>
      <c r="BL39" s="5">
        <v>946</v>
      </c>
      <c r="BO39" s="4" t="s">
        <v>176</v>
      </c>
      <c r="BP39" s="4">
        <v>2001</v>
      </c>
      <c r="BQ39" s="4" t="s">
        <v>30</v>
      </c>
      <c r="BR39" s="5">
        <v>82</v>
      </c>
      <c r="BU39" s="4" t="s">
        <v>178</v>
      </c>
      <c r="BV39" s="4">
        <v>2001</v>
      </c>
      <c r="BW39" s="4" t="s">
        <v>30</v>
      </c>
      <c r="BX39" s="5">
        <v>434</v>
      </c>
      <c r="CA39" s="4" t="s">
        <v>75</v>
      </c>
      <c r="CB39" s="4">
        <v>2001</v>
      </c>
      <c r="CC39" s="4" t="s">
        <v>30</v>
      </c>
      <c r="CD39" s="5">
        <v>185</v>
      </c>
      <c r="CG39" s="4" t="s">
        <v>76</v>
      </c>
      <c r="CH39" s="4">
        <v>2001</v>
      </c>
      <c r="CI39" s="4" t="s">
        <v>30</v>
      </c>
      <c r="CJ39" s="5">
        <v>749</v>
      </c>
      <c r="CM39" s="4" t="s">
        <v>183</v>
      </c>
      <c r="CN39" s="4">
        <v>2001</v>
      </c>
      <c r="CO39" s="4" t="s">
        <v>30</v>
      </c>
      <c r="CP39" s="5">
        <v>256</v>
      </c>
      <c r="CS39" s="4" t="s">
        <v>208</v>
      </c>
      <c r="CT39" s="4">
        <v>2001</v>
      </c>
      <c r="CU39" s="4" t="s">
        <v>19</v>
      </c>
      <c r="CV39" s="5">
        <v>419</v>
      </c>
    </row>
    <row r="40" spans="1:100" x14ac:dyDescent="0.25">
      <c r="A40" s="4" t="s">
        <v>180</v>
      </c>
      <c r="B40" s="4">
        <v>2001</v>
      </c>
      <c r="C40" s="4" t="s">
        <v>19</v>
      </c>
      <c r="D40" s="5">
        <v>27</v>
      </c>
      <c r="G40" s="4" t="s">
        <v>71</v>
      </c>
      <c r="H40" s="4">
        <v>2001</v>
      </c>
      <c r="I40" s="4" t="s">
        <v>19</v>
      </c>
      <c r="J40" s="5">
        <v>785</v>
      </c>
      <c r="M40" s="4" t="s">
        <v>164</v>
      </c>
      <c r="N40" s="4">
        <v>2001</v>
      </c>
      <c r="O40" s="4" t="s">
        <v>19</v>
      </c>
      <c r="P40" s="5">
        <v>782</v>
      </c>
      <c r="S40" s="4" t="s">
        <v>166</v>
      </c>
      <c r="T40" s="4">
        <v>2001</v>
      </c>
      <c r="U40" s="4" t="s">
        <v>19</v>
      </c>
      <c r="V40" s="5">
        <v>389</v>
      </c>
      <c r="Y40" s="4" t="s">
        <v>168</v>
      </c>
      <c r="Z40" s="4">
        <v>2001</v>
      </c>
      <c r="AA40" s="4" t="s">
        <v>19</v>
      </c>
      <c r="AB40" s="5">
        <v>229</v>
      </c>
      <c r="AE40" s="4" t="s">
        <v>170</v>
      </c>
      <c r="AF40" s="4">
        <v>2001</v>
      </c>
      <c r="AG40" s="4" t="s">
        <v>19</v>
      </c>
      <c r="AH40" s="5">
        <v>845</v>
      </c>
      <c r="AK40" s="4" t="s">
        <v>72</v>
      </c>
      <c r="AL40" s="4">
        <v>2001</v>
      </c>
      <c r="AM40" s="4" t="s">
        <v>19</v>
      </c>
      <c r="AN40" s="5">
        <v>310</v>
      </c>
      <c r="AO40" s="14"/>
      <c r="AQ40" s="4" t="s">
        <v>73</v>
      </c>
      <c r="AR40" s="4">
        <v>2001</v>
      </c>
      <c r="AS40" s="4" t="s">
        <v>19</v>
      </c>
      <c r="AT40" s="5">
        <v>275</v>
      </c>
      <c r="AW40" s="4" t="s">
        <v>172</v>
      </c>
      <c r="AX40" s="4">
        <v>2001</v>
      </c>
      <c r="AY40" s="4" t="s">
        <v>19</v>
      </c>
      <c r="AZ40" s="5">
        <v>194</v>
      </c>
      <c r="BC40" s="4" t="s">
        <v>174</v>
      </c>
      <c r="BD40" s="4">
        <v>2001</v>
      </c>
      <c r="BE40" s="4" t="s">
        <v>19</v>
      </c>
      <c r="BF40" s="5">
        <v>64</v>
      </c>
      <c r="BI40" s="4" t="s">
        <v>74</v>
      </c>
      <c r="BJ40" s="4">
        <v>2001</v>
      </c>
      <c r="BK40" s="4" t="s">
        <v>19</v>
      </c>
      <c r="BL40" s="5">
        <v>921</v>
      </c>
      <c r="BO40" s="4" t="s">
        <v>176</v>
      </c>
      <c r="BP40" s="4">
        <v>2001</v>
      </c>
      <c r="BQ40" s="4" t="s">
        <v>19</v>
      </c>
      <c r="BR40" s="5">
        <v>85</v>
      </c>
      <c r="BU40" s="4" t="s">
        <v>178</v>
      </c>
      <c r="BV40" s="4">
        <v>2001</v>
      </c>
      <c r="BW40" s="4" t="s">
        <v>19</v>
      </c>
      <c r="BX40" s="5">
        <v>398</v>
      </c>
      <c r="CA40" s="4" t="s">
        <v>75</v>
      </c>
      <c r="CB40" s="4">
        <v>2001</v>
      </c>
      <c r="CC40" s="4" t="s">
        <v>19</v>
      </c>
      <c r="CD40" s="5">
        <v>163</v>
      </c>
      <c r="CG40" s="4" t="s">
        <v>76</v>
      </c>
      <c r="CH40" s="4">
        <v>2001</v>
      </c>
      <c r="CI40" s="4" t="s">
        <v>19</v>
      </c>
      <c r="CJ40" s="5">
        <v>775</v>
      </c>
      <c r="CM40" s="4" t="s">
        <v>183</v>
      </c>
      <c r="CN40" s="4">
        <v>2001</v>
      </c>
      <c r="CO40" s="4" t="s">
        <v>19</v>
      </c>
      <c r="CP40" s="5">
        <v>277</v>
      </c>
      <c r="CS40" s="4" t="s">
        <v>208</v>
      </c>
      <c r="CT40" s="4">
        <v>2001</v>
      </c>
      <c r="CU40" s="4" t="s">
        <v>96</v>
      </c>
      <c r="CV40" s="5">
        <v>430</v>
      </c>
    </row>
    <row r="41" spans="1:100" x14ac:dyDescent="0.25">
      <c r="A41" s="4" t="s">
        <v>180</v>
      </c>
      <c r="B41" s="4">
        <v>2001</v>
      </c>
      <c r="C41" s="4" t="s">
        <v>96</v>
      </c>
      <c r="D41" s="5">
        <v>23</v>
      </c>
      <c r="G41" s="4" t="s">
        <v>71</v>
      </c>
      <c r="H41" s="4">
        <v>2001</v>
      </c>
      <c r="I41" s="4" t="s">
        <v>96</v>
      </c>
      <c r="J41" s="5">
        <v>609</v>
      </c>
      <c r="M41" s="4" t="s">
        <v>164</v>
      </c>
      <c r="N41" s="4">
        <v>2001</v>
      </c>
      <c r="O41" s="4" t="s">
        <v>96</v>
      </c>
      <c r="P41" s="5">
        <v>630</v>
      </c>
      <c r="S41" s="4" t="s">
        <v>166</v>
      </c>
      <c r="T41" s="4">
        <v>2001</v>
      </c>
      <c r="U41" s="4" t="s">
        <v>96</v>
      </c>
      <c r="V41" s="5">
        <v>362</v>
      </c>
      <c r="Y41" s="4" t="s">
        <v>168</v>
      </c>
      <c r="Z41" s="4">
        <v>2001</v>
      </c>
      <c r="AA41" s="4" t="s">
        <v>96</v>
      </c>
      <c r="AB41" s="5">
        <v>167</v>
      </c>
      <c r="AE41" s="4" t="s">
        <v>170</v>
      </c>
      <c r="AF41" s="4">
        <v>2001</v>
      </c>
      <c r="AG41" s="4" t="s">
        <v>96</v>
      </c>
      <c r="AH41" s="5">
        <v>779</v>
      </c>
      <c r="AK41" s="4" t="s">
        <v>72</v>
      </c>
      <c r="AL41" s="4">
        <v>2001</v>
      </c>
      <c r="AM41" s="4" t="s">
        <v>96</v>
      </c>
      <c r="AN41" s="5">
        <v>236</v>
      </c>
      <c r="AO41" s="14"/>
      <c r="AQ41" s="4" t="s">
        <v>73</v>
      </c>
      <c r="AR41" s="4">
        <v>2001</v>
      </c>
      <c r="AS41" s="4" t="s">
        <v>96</v>
      </c>
      <c r="AT41" s="5">
        <v>190</v>
      </c>
      <c r="AW41" s="4" t="s">
        <v>172</v>
      </c>
      <c r="AX41" s="4">
        <v>2001</v>
      </c>
      <c r="AY41" s="4" t="s">
        <v>96</v>
      </c>
      <c r="AZ41" s="5">
        <v>180</v>
      </c>
      <c r="BC41" s="4" t="s">
        <v>174</v>
      </c>
      <c r="BD41" s="4">
        <v>2001</v>
      </c>
      <c r="BE41" s="4" t="s">
        <v>96</v>
      </c>
      <c r="BF41" s="5">
        <v>72</v>
      </c>
      <c r="BI41" s="4" t="s">
        <v>74</v>
      </c>
      <c r="BJ41" s="4">
        <v>2001</v>
      </c>
      <c r="BK41" s="4" t="s">
        <v>96</v>
      </c>
      <c r="BL41" s="5">
        <v>768</v>
      </c>
      <c r="BO41" s="4" t="s">
        <v>176</v>
      </c>
      <c r="BP41" s="4">
        <v>2001</v>
      </c>
      <c r="BQ41" s="4" t="s">
        <v>96</v>
      </c>
      <c r="BR41" s="5">
        <v>93</v>
      </c>
      <c r="BU41" s="4" t="s">
        <v>178</v>
      </c>
      <c r="BV41" s="4">
        <v>2001</v>
      </c>
      <c r="BW41" s="4" t="s">
        <v>96</v>
      </c>
      <c r="BX41" s="5">
        <v>370</v>
      </c>
      <c r="CA41" s="4" t="s">
        <v>75</v>
      </c>
      <c r="CB41" s="4">
        <v>2001</v>
      </c>
      <c r="CC41" s="4" t="s">
        <v>96</v>
      </c>
      <c r="CD41" s="5">
        <v>131</v>
      </c>
      <c r="CG41" s="4" t="s">
        <v>76</v>
      </c>
      <c r="CH41" s="4">
        <v>2001</v>
      </c>
      <c r="CI41" s="4" t="s">
        <v>96</v>
      </c>
      <c r="CJ41" s="5">
        <v>702</v>
      </c>
      <c r="CM41" s="4" t="s">
        <v>183</v>
      </c>
      <c r="CN41" s="4">
        <v>2001</v>
      </c>
      <c r="CO41" s="4" t="s">
        <v>96</v>
      </c>
      <c r="CP41" s="5">
        <v>229</v>
      </c>
      <c r="CS41" s="4" t="s">
        <v>208</v>
      </c>
      <c r="CT41" s="4">
        <v>2002</v>
      </c>
      <c r="CU41" s="4" t="s">
        <v>20</v>
      </c>
      <c r="CV41" s="5">
        <v>486</v>
      </c>
    </row>
    <row r="42" spans="1:100" x14ac:dyDescent="0.25">
      <c r="A42" s="4" t="s">
        <v>180</v>
      </c>
      <c r="B42" s="4">
        <v>2002</v>
      </c>
      <c r="C42" s="4" t="s">
        <v>20</v>
      </c>
      <c r="D42" s="5">
        <v>33</v>
      </c>
      <c r="G42" s="4" t="s">
        <v>71</v>
      </c>
      <c r="H42" s="4">
        <v>2002</v>
      </c>
      <c r="I42" s="4" t="s">
        <v>20</v>
      </c>
      <c r="J42" s="5">
        <v>1211</v>
      </c>
      <c r="M42" s="4" t="s">
        <v>164</v>
      </c>
      <c r="N42" s="4">
        <v>2002</v>
      </c>
      <c r="O42" s="4" t="s">
        <v>20</v>
      </c>
      <c r="P42" s="5">
        <v>918</v>
      </c>
      <c r="S42" s="4" t="s">
        <v>166</v>
      </c>
      <c r="T42" s="4">
        <v>2002</v>
      </c>
      <c r="U42" s="4" t="s">
        <v>20</v>
      </c>
      <c r="V42" s="5">
        <v>459</v>
      </c>
      <c r="Y42" s="4" t="s">
        <v>168</v>
      </c>
      <c r="Z42" s="4">
        <v>2002</v>
      </c>
      <c r="AA42" s="4" t="s">
        <v>20</v>
      </c>
      <c r="AB42" s="5">
        <v>195</v>
      </c>
      <c r="AE42" s="4" t="s">
        <v>170</v>
      </c>
      <c r="AF42" s="4">
        <v>2002</v>
      </c>
      <c r="AG42" s="4" t="s">
        <v>20</v>
      </c>
      <c r="AH42" s="5">
        <v>1017</v>
      </c>
      <c r="AK42" s="4" t="s">
        <v>72</v>
      </c>
      <c r="AL42" s="4">
        <v>2002</v>
      </c>
      <c r="AM42" s="4" t="s">
        <v>20</v>
      </c>
      <c r="AN42" s="5">
        <v>368</v>
      </c>
      <c r="AO42" s="14"/>
      <c r="AQ42" s="4" t="s">
        <v>73</v>
      </c>
      <c r="AR42" s="4">
        <v>2002</v>
      </c>
      <c r="AS42" s="4" t="s">
        <v>20</v>
      </c>
      <c r="AT42" s="5">
        <v>263</v>
      </c>
      <c r="AW42" s="4" t="s">
        <v>172</v>
      </c>
      <c r="AX42" s="4">
        <v>2002</v>
      </c>
      <c r="AY42" s="4" t="s">
        <v>20</v>
      </c>
      <c r="AZ42" s="5">
        <v>173</v>
      </c>
      <c r="BC42" s="4" t="s">
        <v>174</v>
      </c>
      <c r="BD42" s="4">
        <v>2002</v>
      </c>
      <c r="BE42" s="4" t="s">
        <v>20</v>
      </c>
      <c r="BF42" s="5">
        <v>94</v>
      </c>
      <c r="BI42" s="4" t="s">
        <v>74</v>
      </c>
      <c r="BJ42" s="4">
        <v>2002</v>
      </c>
      <c r="BK42" s="4" t="s">
        <v>20</v>
      </c>
      <c r="BL42" s="5">
        <v>1120</v>
      </c>
      <c r="BO42" s="4" t="s">
        <v>176</v>
      </c>
      <c r="BP42" s="4">
        <v>2002</v>
      </c>
      <c r="BQ42" s="4" t="s">
        <v>20</v>
      </c>
      <c r="BR42" s="5">
        <v>119</v>
      </c>
      <c r="BU42" s="4" t="s">
        <v>178</v>
      </c>
      <c r="BV42" s="4">
        <v>2002</v>
      </c>
      <c r="BW42" s="4" t="s">
        <v>20</v>
      </c>
      <c r="BX42" s="5">
        <v>467</v>
      </c>
      <c r="CA42" s="4" t="s">
        <v>75</v>
      </c>
      <c r="CB42" s="4">
        <v>2002</v>
      </c>
      <c r="CC42" s="4" t="s">
        <v>20</v>
      </c>
      <c r="CD42" s="5">
        <v>175</v>
      </c>
      <c r="CG42" s="4" t="s">
        <v>76</v>
      </c>
      <c r="CH42" s="4">
        <v>2002</v>
      </c>
      <c r="CI42" s="4" t="s">
        <v>20</v>
      </c>
      <c r="CJ42" s="5">
        <v>771</v>
      </c>
      <c r="CM42" s="4" t="s">
        <v>183</v>
      </c>
      <c r="CN42" s="4">
        <v>2002</v>
      </c>
      <c r="CO42" s="4" t="s">
        <v>20</v>
      </c>
      <c r="CP42" s="5">
        <v>304</v>
      </c>
      <c r="CS42" s="4" t="s">
        <v>208</v>
      </c>
      <c r="CT42" s="4">
        <v>2002</v>
      </c>
      <c r="CU42" s="4" t="s">
        <v>21</v>
      </c>
      <c r="CV42" s="5">
        <v>508</v>
      </c>
    </row>
    <row r="43" spans="1:100" x14ac:dyDescent="0.25">
      <c r="A43" s="4" t="s">
        <v>180</v>
      </c>
      <c r="B43" s="4">
        <v>2002</v>
      </c>
      <c r="C43" s="4" t="s">
        <v>21</v>
      </c>
      <c r="D43" s="5">
        <v>35</v>
      </c>
      <c r="G43" s="4" t="s">
        <v>71</v>
      </c>
      <c r="H43" s="4">
        <v>2002</v>
      </c>
      <c r="I43" s="4" t="s">
        <v>21</v>
      </c>
      <c r="J43" s="5">
        <v>1060</v>
      </c>
      <c r="M43" s="4" t="s">
        <v>164</v>
      </c>
      <c r="N43" s="4">
        <v>2002</v>
      </c>
      <c r="O43" s="4" t="s">
        <v>21</v>
      </c>
      <c r="P43" s="5">
        <v>882</v>
      </c>
      <c r="S43" s="4" t="s">
        <v>166</v>
      </c>
      <c r="T43" s="4">
        <v>2002</v>
      </c>
      <c r="U43" s="4" t="s">
        <v>21</v>
      </c>
      <c r="V43" s="5">
        <v>414</v>
      </c>
      <c r="Y43" s="4" t="s">
        <v>168</v>
      </c>
      <c r="Z43" s="4">
        <v>2002</v>
      </c>
      <c r="AA43" s="4" t="s">
        <v>21</v>
      </c>
      <c r="AB43" s="5">
        <v>196</v>
      </c>
      <c r="AE43" s="4" t="s">
        <v>170</v>
      </c>
      <c r="AF43" s="4">
        <v>2002</v>
      </c>
      <c r="AG43" s="4" t="s">
        <v>21</v>
      </c>
      <c r="AH43" s="5">
        <v>1068</v>
      </c>
      <c r="AK43" s="4" t="s">
        <v>72</v>
      </c>
      <c r="AL43" s="4">
        <v>2002</v>
      </c>
      <c r="AM43" s="4" t="s">
        <v>21</v>
      </c>
      <c r="AN43" s="5">
        <v>331</v>
      </c>
      <c r="AO43" s="14"/>
      <c r="AQ43" s="4" t="s">
        <v>73</v>
      </c>
      <c r="AR43" s="4">
        <v>2002</v>
      </c>
      <c r="AS43" s="4" t="s">
        <v>21</v>
      </c>
      <c r="AT43" s="5">
        <v>279</v>
      </c>
      <c r="AW43" s="4" t="s">
        <v>172</v>
      </c>
      <c r="AX43" s="4">
        <v>2002</v>
      </c>
      <c r="AY43" s="4" t="s">
        <v>21</v>
      </c>
      <c r="AZ43" s="5">
        <v>226</v>
      </c>
      <c r="BC43" s="4" t="s">
        <v>174</v>
      </c>
      <c r="BD43" s="4">
        <v>2002</v>
      </c>
      <c r="BE43" s="4" t="s">
        <v>21</v>
      </c>
      <c r="BF43" s="5">
        <v>92</v>
      </c>
      <c r="BI43" s="4" t="s">
        <v>74</v>
      </c>
      <c r="BJ43" s="4">
        <v>2002</v>
      </c>
      <c r="BK43" s="4" t="s">
        <v>21</v>
      </c>
      <c r="BL43" s="5">
        <v>973</v>
      </c>
      <c r="BO43" s="4" t="s">
        <v>176</v>
      </c>
      <c r="BP43" s="4">
        <v>2002</v>
      </c>
      <c r="BQ43" s="4" t="s">
        <v>21</v>
      </c>
      <c r="BR43" s="5">
        <v>91</v>
      </c>
      <c r="BU43" s="4" t="s">
        <v>178</v>
      </c>
      <c r="BV43" s="4">
        <v>2002</v>
      </c>
      <c r="BW43" s="4" t="s">
        <v>21</v>
      </c>
      <c r="BX43" s="5">
        <v>499</v>
      </c>
      <c r="CA43" s="4" t="s">
        <v>75</v>
      </c>
      <c r="CB43" s="4">
        <v>2002</v>
      </c>
      <c r="CC43" s="4" t="s">
        <v>21</v>
      </c>
      <c r="CD43" s="5">
        <v>203</v>
      </c>
      <c r="CG43" s="4" t="s">
        <v>76</v>
      </c>
      <c r="CH43" s="4">
        <v>2002</v>
      </c>
      <c r="CI43" s="4" t="s">
        <v>21</v>
      </c>
      <c r="CJ43" s="5">
        <v>770</v>
      </c>
      <c r="CM43" s="4" t="s">
        <v>183</v>
      </c>
      <c r="CN43" s="4">
        <v>2002</v>
      </c>
      <c r="CO43" s="4" t="s">
        <v>21</v>
      </c>
      <c r="CP43" s="5">
        <v>339</v>
      </c>
      <c r="CS43" s="4" t="s">
        <v>208</v>
      </c>
      <c r="CT43" s="4">
        <v>2002</v>
      </c>
      <c r="CU43" s="4" t="s">
        <v>22</v>
      </c>
      <c r="CV43" s="5">
        <v>477</v>
      </c>
    </row>
    <row r="44" spans="1:100" x14ac:dyDescent="0.25">
      <c r="A44" s="4" t="s">
        <v>180</v>
      </c>
      <c r="B44" s="4">
        <v>2002</v>
      </c>
      <c r="C44" s="4" t="s">
        <v>22</v>
      </c>
      <c r="D44" s="5">
        <v>28</v>
      </c>
      <c r="G44" s="4" t="s">
        <v>71</v>
      </c>
      <c r="H44" s="4">
        <v>2002</v>
      </c>
      <c r="I44" s="4" t="s">
        <v>22</v>
      </c>
      <c r="J44" s="5">
        <v>1009</v>
      </c>
      <c r="M44" s="4" t="s">
        <v>164</v>
      </c>
      <c r="N44" s="4">
        <v>2002</v>
      </c>
      <c r="O44" s="4" t="s">
        <v>22</v>
      </c>
      <c r="P44" s="5">
        <v>872</v>
      </c>
      <c r="S44" s="4" t="s">
        <v>166</v>
      </c>
      <c r="T44" s="4">
        <v>2002</v>
      </c>
      <c r="U44" s="4" t="s">
        <v>22</v>
      </c>
      <c r="V44" s="5">
        <v>495</v>
      </c>
      <c r="Y44" s="4" t="s">
        <v>168</v>
      </c>
      <c r="Z44" s="4">
        <v>2002</v>
      </c>
      <c r="AA44" s="4" t="s">
        <v>22</v>
      </c>
      <c r="AB44" s="5">
        <v>195</v>
      </c>
      <c r="AE44" s="4" t="s">
        <v>170</v>
      </c>
      <c r="AF44" s="4">
        <v>2002</v>
      </c>
      <c r="AG44" s="4" t="s">
        <v>22</v>
      </c>
      <c r="AH44" s="5">
        <v>1074</v>
      </c>
      <c r="AK44" s="4" t="s">
        <v>72</v>
      </c>
      <c r="AL44" s="4">
        <v>2002</v>
      </c>
      <c r="AM44" s="4" t="s">
        <v>22</v>
      </c>
      <c r="AN44" s="5">
        <v>313</v>
      </c>
      <c r="AO44" s="14"/>
      <c r="AQ44" s="4" t="s">
        <v>73</v>
      </c>
      <c r="AR44" s="4">
        <v>2002</v>
      </c>
      <c r="AS44" s="4" t="s">
        <v>22</v>
      </c>
      <c r="AT44" s="5">
        <v>266</v>
      </c>
      <c r="AW44" s="4" t="s">
        <v>172</v>
      </c>
      <c r="AX44" s="4">
        <v>2002</v>
      </c>
      <c r="AY44" s="4" t="s">
        <v>22</v>
      </c>
      <c r="AZ44" s="5">
        <v>191</v>
      </c>
      <c r="BC44" s="4" t="s">
        <v>174</v>
      </c>
      <c r="BD44" s="4">
        <v>2002</v>
      </c>
      <c r="BE44" s="4" t="s">
        <v>22</v>
      </c>
      <c r="BF44" s="5">
        <v>96</v>
      </c>
      <c r="BI44" s="4" t="s">
        <v>74</v>
      </c>
      <c r="BJ44" s="4">
        <v>2002</v>
      </c>
      <c r="BK44" s="4" t="s">
        <v>22</v>
      </c>
      <c r="BL44" s="5">
        <v>964</v>
      </c>
      <c r="BO44" s="4" t="s">
        <v>176</v>
      </c>
      <c r="BP44" s="4">
        <v>2002</v>
      </c>
      <c r="BQ44" s="4" t="s">
        <v>22</v>
      </c>
      <c r="BR44" s="5">
        <v>93</v>
      </c>
      <c r="BU44" s="4" t="s">
        <v>178</v>
      </c>
      <c r="BV44" s="4">
        <v>2002</v>
      </c>
      <c r="BW44" s="4" t="s">
        <v>22</v>
      </c>
      <c r="BX44" s="5">
        <v>447</v>
      </c>
      <c r="CA44" s="4" t="s">
        <v>75</v>
      </c>
      <c r="CB44" s="4">
        <v>2002</v>
      </c>
      <c r="CC44" s="4" t="s">
        <v>22</v>
      </c>
      <c r="CD44" s="5">
        <v>176</v>
      </c>
      <c r="CG44" s="4" t="s">
        <v>76</v>
      </c>
      <c r="CH44" s="4">
        <v>2002</v>
      </c>
      <c r="CI44" s="4" t="s">
        <v>22</v>
      </c>
      <c r="CJ44" s="5">
        <v>800</v>
      </c>
      <c r="CM44" s="4" t="s">
        <v>183</v>
      </c>
      <c r="CN44" s="4">
        <v>2002</v>
      </c>
      <c r="CO44" s="4" t="s">
        <v>22</v>
      </c>
      <c r="CP44" s="5">
        <v>314</v>
      </c>
      <c r="CS44" s="4" t="s">
        <v>208</v>
      </c>
      <c r="CT44" s="4">
        <v>2002</v>
      </c>
      <c r="CU44" s="4" t="s">
        <v>23</v>
      </c>
      <c r="CV44" s="5">
        <v>447</v>
      </c>
    </row>
    <row r="45" spans="1:100" x14ac:dyDescent="0.25">
      <c r="A45" s="4" t="s">
        <v>180</v>
      </c>
      <c r="B45" s="4">
        <v>2002</v>
      </c>
      <c r="C45" s="4" t="s">
        <v>23</v>
      </c>
      <c r="D45" s="5">
        <v>33</v>
      </c>
      <c r="G45" s="4" t="s">
        <v>71</v>
      </c>
      <c r="H45" s="4">
        <v>2002</v>
      </c>
      <c r="I45" s="4" t="s">
        <v>23</v>
      </c>
      <c r="J45" s="5">
        <v>855</v>
      </c>
      <c r="M45" s="4" t="s">
        <v>164</v>
      </c>
      <c r="N45" s="4">
        <v>2002</v>
      </c>
      <c r="O45" s="4" t="s">
        <v>23</v>
      </c>
      <c r="P45" s="5">
        <v>861</v>
      </c>
      <c r="S45" s="4" t="s">
        <v>166</v>
      </c>
      <c r="T45" s="4">
        <v>2002</v>
      </c>
      <c r="U45" s="4" t="s">
        <v>23</v>
      </c>
      <c r="V45" s="5">
        <v>461</v>
      </c>
      <c r="Y45" s="4" t="s">
        <v>168</v>
      </c>
      <c r="Z45" s="4">
        <v>2002</v>
      </c>
      <c r="AA45" s="4" t="s">
        <v>23</v>
      </c>
      <c r="AB45" s="5">
        <v>216</v>
      </c>
      <c r="AE45" s="4" t="s">
        <v>170</v>
      </c>
      <c r="AF45" s="4">
        <v>2002</v>
      </c>
      <c r="AG45" s="4" t="s">
        <v>23</v>
      </c>
      <c r="AH45" s="5">
        <v>1007</v>
      </c>
      <c r="AK45" s="4" t="s">
        <v>72</v>
      </c>
      <c r="AL45" s="4">
        <v>2002</v>
      </c>
      <c r="AM45" s="4" t="s">
        <v>23</v>
      </c>
      <c r="AN45" s="5">
        <v>280</v>
      </c>
      <c r="AO45" s="14"/>
      <c r="AQ45" s="4" t="s">
        <v>73</v>
      </c>
      <c r="AR45" s="4">
        <v>2002</v>
      </c>
      <c r="AS45" s="4" t="s">
        <v>23</v>
      </c>
      <c r="AT45" s="5">
        <v>257</v>
      </c>
      <c r="AW45" s="4" t="s">
        <v>172</v>
      </c>
      <c r="AX45" s="4">
        <v>2002</v>
      </c>
      <c r="AY45" s="4" t="s">
        <v>23</v>
      </c>
      <c r="AZ45" s="5">
        <v>180</v>
      </c>
      <c r="BC45" s="4" t="s">
        <v>174</v>
      </c>
      <c r="BD45" s="4">
        <v>2002</v>
      </c>
      <c r="BE45" s="4" t="s">
        <v>23</v>
      </c>
      <c r="BF45" s="5">
        <v>111</v>
      </c>
      <c r="BI45" s="4" t="s">
        <v>74</v>
      </c>
      <c r="BJ45" s="4">
        <v>2002</v>
      </c>
      <c r="BK45" s="4" t="s">
        <v>23</v>
      </c>
      <c r="BL45" s="5">
        <v>951</v>
      </c>
      <c r="BO45" s="4" t="s">
        <v>176</v>
      </c>
      <c r="BP45" s="4">
        <v>2002</v>
      </c>
      <c r="BQ45" s="4" t="s">
        <v>23</v>
      </c>
      <c r="BR45" s="5">
        <v>79</v>
      </c>
      <c r="BU45" s="4" t="s">
        <v>178</v>
      </c>
      <c r="BV45" s="4">
        <v>2002</v>
      </c>
      <c r="BW45" s="4" t="s">
        <v>23</v>
      </c>
      <c r="BX45" s="5">
        <v>414</v>
      </c>
      <c r="CA45" s="4" t="s">
        <v>75</v>
      </c>
      <c r="CB45" s="4">
        <v>2002</v>
      </c>
      <c r="CC45" s="4" t="s">
        <v>23</v>
      </c>
      <c r="CD45" s="5">
        <v>168</v>
      </c>
      <c r="CG45" s="4" t="s">
        <v>76</v>
      </c>
      <c r="CH45" s="4">
        <v>2002</v>
      </c>
      <c r="CI45" s="4" t="s">
        <v>23</v>
      </c>
      <c r="CJ45" s="5">
        <v>786</v>
      </c>
      <c r="CM45" s="4" t="s">
        <v>183</v>
      </c>
      <c r="CN45" s="4">
        <v>2002</v>
      </c>
      <c r="CO45" s="4" t="s">
        <v>23</v>
      </c>
      <c r="CP45" s="5">
        <v>268</v>
      </c>
      <c r="CS45" s="4" t="s">
        <v>208</v>
      </c>
      <c r="CT45" s="4">
        <v>2002</v>
      </c>
      <c r="CU45" s="4" t="s">
        <v>24</v>
      </c>
      <c r="CV45" s="5">
        <v>484</v>
      </c>
    </row>
    <row r="46" spans="1:100" x14ac:dyDescent="0.25">
      <c r="A46" s="4" t="s">
        <v>180</v>
      </c>
      <c r="B46" s="4">
        <v>2002</v>
      </c>
      <c r="C46" s="4" t="s">
        <v>24</v>
      </c>
      <c r="D46" s="5">
        <v>25</v>
      </c>
      <c r="G46" s="4" t="s">
        <v>71</v>
      </c>
      <c r="H46" s="4">
        <v>2002</v>
      </c>
      <c r="I46" s="4" t="s">
        <v>24</v>
      </c>
      <c r="J46" s="5">
        <v>626</v>
      </c>
      <c r="M46" s="4" t="s">
        <v>164</v>
      </c>
      <c r="N46" s="4">
        <v>2002</v>
      </c>
      <c r="O46" s="4" t="s">
        <v>24</v>
      </c>
      <c r="P46" s="5">
        <v>731</v>
      </c>
      <c r="S46" s="4" t="s">
        <v>166</v>
      </c>
      <c r="T46" s="4">
        <v>2002</v>
      </c>
      <c r="U46" s="4" t="s">
        <v>24</v>
      </c>
      <c r="V46" s="5">
        <v>463</v>
      </c>
      <c r="Y46" s="4" t="s">
        <v>168</v>
      </c>
      <c r="Z46" s="4">
        <v>2002</v>
      </c>
      <c r="AA46" s="4" t="s">
        <v>24</v>
      </c>
      <c r="AB46" s="5">
        <v>190</v>
      </c>
      <c r="AE46" s="4" t="s">
        <v>170</v>
      </c>
      <c r="AF46" s="4">
        <v>2002</v>
      </c>
      <c r="AG46" s="4" t="s">
        <v>24</v>
      </c>
      <c r="AH46" s="5">
        <v>948</v>
      </c>
      <c r="AK46" s="4" t="s">
        <v>72</v>
      </c>
      <c r="AL46" s="4">
        <v>2002</v>
      </c>
      <c r="AM46" s="4" t="s">
        <v>24</v>
      </c>
      <c r="AN46" s="5">
        <v>257</v>
      </c>
      <c r="AO46" s="14"/>
      <c r="AQ46" s="4" t="s">
        <v>73</v>
      </c>
      <c r="AR46" s="4">
        <v>2002</v>
      </c>
      <c r="AS46" s="4" t="s">
        <v>24</v>
      </c>
      <c r="AT46" s="5">
        <v>260</v>
      </c>
      <c r="AW46" s="4" t="s">
        <v>172</v>
      </c>
      <c r="AX46" s="4">
        <v>2002</v>
      </c>
      <c r="AY46" s="4" t="s">
        <v>24</v>
      </c>
      <c r="AZ46" s="5">
        <v>233</v>
      </c>
      <c r="BC46" s="4" t="s">
        <v>174</v>
      </c>
      <c r="BD46" s="4">
        <v>2002</v>
      </c>
      <c r="BE46" s="4" t="s">
        <v>24</v>
      </c>
      <c r="BF46" s="5">
        <v>108</v>
      </c>
      <c r="BI46" s="4" t="s">
        <v>74</v>
      </c>
      <c r="BJ46" s="4">
        <v>2002</v>
      </c>
      <c r="BK46" s="4" t="s">
        <v>24</v>
      </c>
      <c r="BL46" s="5">
        <v>983</v>
      </c>
      <c r="BO46" s="4" t="s">
        <v>176</v>
      </c>
      <c r="BP46" s="4">
        <v>2002</v>
      </c>
      <c r="BQ46" s="4" t="s">
        <v>24</v>
      </c>
      <c r="BR46" s="5">
        <v>120</v>
      </c>
      <c r="BU46" s="4" t="s">
        <v>178</v>
      </c>
      <c r="BV46" s="4">
        <v>2002</v>
      </c>
      <c r="BW46" s="4" t="s">
        <v>24</v>
      </c>
      <c r="BX46" s="5">
        <v>413</v>
      </c>
      <c r="CA46" s="4" t="s">
        <v>75</v>
      </c>
      <c r="CB46" s="4">
        <v>2002</v>
      </c>
      <c r="CC46" s="4" t="s">
        <v>24</v>
      </c>
      <c r="CD46" s="5">
        <v>171</v>
      </c>
      <c r="CG46" s="4" t="s">
        <v>76</v>
      </c>
      <c r="CH46" s="4">
        <v>2002</v>
      </c>
      <c r="CI46" s="4" t="s">
        <v>24</v>
      </c>
      <c r="CJ46" s="5">
        <v>852</v>
      </c>
      <c r="CM46" s="4" t="s">
        <v>183</v>
      </c>
      <c r="CN46" s="4">
        <v>2002</v>
      </c>
      <c r="CO46" s="4" t="s">
        <v>24</v>
      </c>
      <c r="CP46" s="5">
        <v>264</v>
      </c>
      <c r="CS46" s="4" t="s">
        <v>208</v>
      </c>
      <c r="CT46" s="4">
        <v>2002</v>
      </c>
      <c r="CU46" s="4" t="s">
        <v>25</v>
      </c>
      <c r="CV46" s="5">
        <v>561</v>
      </c>
    </row>
    <row r="47" spans="1:100" x14ac:dyDescent="0.25">
      <c r="A47" s="4" t="s">
        <v>180</v>
      </c>
      <c r="B47" s="4">
        <v>2002</v>
      </c>
      <c r="C47" s="4" t="s">
        <v>25</v>
      </c>
      <c r="D47" s="5">
        <v>35</v>
      </c>
      <c r="G47" s="4" t="s">
        <v>71</v>
      </c>
      <c r="H47" s="4">
        <v>2002</v>
      </c>
      <c r="I47" s="4" t="s">
        <v>25</v>
      </c>
      <c r="J47" s="5">
        <v>593</v>
      </c>
      <c r="M47" s="4" t="s">
        <v>164</v>
      </c>
      <c r="N47" s="4">
        <v>2002</v>
      </c>
      <c r="O47" s="4" t="s">
        <v>25</v>
      </c>
      <c r="P47" s="5">
        <v>783</v>
      </c>
      <c r="S47" s="4" t="s">
        <v>166</v>
      </c>
      <c r="T47" s="4">
        <v>2002</v>
      </c>
      <c r="U47" s="4" t="s">
        <v>25</v>
      </c>
      <c r="V47" s="5">
        <v>404</v>
      </c>
      <c r="Y47" s="4" t="s">
        <v>168</v>
      </c>
      <c r="Z47" s="4">
        <v>2002</v>
      </c>
      <c r="AA47" s="4" t="s">
        <v>25</v>
      </c>
      <c r="AB47" s="5">
        <v>189</v>
      </c>
      <c r="AE47" s="4" t="s">
        <v>170</v>
      </c>
      <c r="AF47" s="4">
        <v>2002</v>
      </c>
      <c r="AG47" s="4" t="s">
        <v>25</v>
      </c>
      <c r="AH47" s="5">
        <v>1051</v>
      </c>
      <c r="AK47" s="4" t="s">
        <v>72</v>
      </c>
      <c r="AL47" s="4">
        <v>2002</v>
      </c>
      <c r="AM47" s="4" t="s">
        <v>25</v>
      </c>
      <c r="AN47" s="5">
        <v>274</v>
      </c>
      <c r="AO47" s="14"/>
      <c r="AQ47" s="4" t="s">
        <v>73</v>
      </c>
      <c r="AR47" s="4">
        <v>2002</v>
      </c>
      <c r="AS47" s="4" t="s">
        <v>25</v>
      </c>
      <c r="AT47" s="5">
        <v>255</v>
      </c>
      <c r="AW47" s="4" t="s">
        <v>172</v>
      </c>
      <c r="AX47" s="4">
        <v>2002</v>
      </c>
      <c r="AY47" s="4" t="s">
        <v>25</v>
      </c>
      <c r="AZ47" s="5">
        <v>240</v>
      </c>
      <c r="BC47" s="4" t="s">
        <v>174</v>
      </c>
      <c r="BD47" s="4">
        <v>2002</v>
      </c>
      <c r="BE47" s="4" t="s">
        <v>25</v>
      </c>
      <c r="BF47" s="5">
        <v>133</v>
      </c>
      <c r="BI47" s="4" t="s">
        <v>74</v>
      </c>
      <c r="BJ47" s="4">
        <v>2002</v>
      </c>
      <c r="BK47" s="4" t="s">
        <v>25</v>
      </c>
      <c r="BL47" s="5">
        <v>1079</v>
      </c>
      <c r="BO47" s="4" t="s">
        <v>176</v>
      </c>
      <c r="BP47" s="4">
        <v>2002</v>
      </c>
      <c r="BQ47" s="4" t="s">
        <v>25</v>
      </c>
      <c r="BR47" s="5">
        <v>194</v>
      </c>
      <c r="BU47" s="4" t="s">
        <v>178</v>
      </c>
      <c r="BV47" s="4">
        <v>2002</v>
      </c>
      <c r="BW47" s="4" t="s">
        <v>25</v>
      </c>
      <c r="BX47" s="5">
        <v>445</v>
      </c>
      <c r="CA47" s="4" t="s">
        <v>75</v>
      </c>
      <c r="CB47" s="4">
        <v>2002</v>
      </c>
      <c r="CC47" s="4" t="s">
        <v>25</v>
      </c>
      <c r="CD47" s="5">
        <v>175</v>
      </c>
      <c r="CG47" s="4" t="s">
        <v>76</v>
      </c>
      <c r="CH47" s="4">
        <v>2002</v>
      </c>
      <c r="CI47" s="4" t="s">
        <v>25</v>
      </c>
      <c r="CJ47" s="5">
        <v>859</v>
      </c>
      <c r="CM47" s="4" t="s">
        <v>183</v>
      </c>
      <c r="CN47" s="4">
        <v>2002</v>
      </c>
      <c r="CO47" s="4" t="s">
        <v>25</v>
      </c>
      <c r="CP47" s="5">
        <v>335</v>
      </c>
      <c r="CS47" s="4" t="s">
        <v>208</v>
      </c>
      <c r="CT47" s="4">
        <v>2002</v>
      </c>
      <c r="CU47" s="4" t="s">
        <v>26</v>
      </c>
      <c r="CV47" s="5">
        <v>645</v>
      </c>
    </row>
    <row r="48" spans="1:100" x14ac:dyDescent="0.25">
      <c r="A48" s="4" t="s">
        <v>180</v>
      </c>
      <c r="B48" s="4">
        <v>2002</v>
      </c>
      <c r="C48" s="4" t="s">
        <v>26</v>
      </c>
      <c r="D48" s="5">
        <v>19</v>
      </c>
      <c r="G48" s="4" t="s">
        <v>71</v>
      </c>
      <c r="H48" s="4">
        <v>2002</v>
      </c>
      <c r="I48" s="4" t="s">
        <v>26</v>
      </c>
      <c r="J48" s="5">
        <v>594</v>
      </c>
      <c r="M48" s="4" t="s">
        <v>164</v>
      </c>
      <c r="N48" s="4">
        <v>2002</v>
      </c>
      <c r="O48" s="4" t="s">
        <v>26</v>
      </c>
      <c r="P48" s="5">
        <v>791</v>
      </c>
      <c r="S48" s="4" t="s">
        <v>166</v>
      </c>
      <c r="T48" s="4">
        <v>2002</v>
      </c>
      <c r="U48" s="4" t="s">
        <v>26</v>
      </c>
      <c r="V48" s="5">
        <v>394</v>
      </c>
      <c r="Y48" s="4" t="s">
        <v>168</v>
      </c>
      <c r="Z48" s="4">
        <v>2002</v>
      </c>
      <c r="AA48" s="4" t="s">
        <v>26</v>
      </c>
      <c r="AB48" s="5">
        <v>199</v>
      </c>
      <c r="AE48" s="4" t="s">
        <v>170</v>
      </c>
      <c r="AF48" s="4">
        <v>2002</v>
      </c>
      <c r="AG48" s="4" t="s">
        <v>26</v>
      </c>
      <c r="AH48" s="5">
        <v>933</v>
      </c>
      <c r="AK48" s="4" t="s">
        <v>72</v>
      </c>
      <c r="AL48" s="4">
        <v>2002</v>
      </c>
      <c r="AM48" s="4" t="s">
        <v>26</v>
      </c>
      <c r="AN48" s="5">
        <v>270</v>
      </c>
      <c r="AO48" s="14"/>
      <c r="AQ48" s="4" t="s">
        <v>73</v>
      </c>
      <c r="AR48" s="4">
        <v>2002</v>
      </c>
      <c r="AS48" s="4" t="s">
        <v>26</v>
      </c>
      <c r="AT48" s="5">
        <v>264</v>
      </c>
      <c r="AW48" s="4" t="s">
        <v>172</v>
      </c>
      <c r="AX48" s="4">
        <v>2002</v>
      </c>
      <c r="AY48" s="4" t="s">
        <v>26</v>
      </c>
      <c r="AZ48" s="5">
        <v>235</v>
      </c>
      <c r="BC48" s="4" t="s">
        <v>174</v>
      </c>
      <c r="BD48" s="4">
        <v>2002</v>
      </c>
      <c r="BE48" s="4" t="s">
        <v>26</v>
      </c>
      <c r="BF48" s="5">
        <v>109</v>
      </c>
      <c r="BI48" s="4" t="s">
        <v>74</v>
      </c>
      <c r="BJ48" s="4">
        <v>2002</v>
      </c>
      <c r="BK48" s="4" t="s">
        <v>26</v>
      </c>
      <c r="BL48" s="5">
        <v>1075</v>
      </c>
      <c r="BO48" s="4" t="s">
        <v>176</v>
      </c>
      <c r="BP48" s="4">
        <v>2002</v>
      </c>
      <c r="BQ48" s="4" t="s">
        <v>26</v>
      </c>
      <c r="BR48" s="5">
        <v>196</v>
      </c>
      <c r="BU48" s="4" t="s">
        <v>178</v>
      </c>
      <c r="BV48" s="4">
        <v>2002</v>
      </c>
      <c r="BW48" s="4" t="s">
        <v>26</v>
      </c>
      <c r="BX48" s="5">
        <v>476</v>
      </c>
      <c r="CA48" s="4" t="s">
        <v>75</v>
      </c>
      <c r="CB48" s="4">
        <v>2002</v>
      </c>
      <c r="CC48" s="4" t="s">
        <v>26</v>
      </c>
      <c r="CD48" s="5">
        <v>165</v>
      </c>
      <c r="CG48" s="4" t="s">
        <v>76</v>
      </c>
      <c r="CH48" s="4">
        <v>2002</v>
      </c>
      <c r="CI48" s="4" t="s">
        <v>26</v>
      </c>
      <c r="CJ48" s="5">
        <v>834</v>
      </c>
      <c r="CM48" s="4" t="s">
        <v>183</v>
      </c>
      <c r="CN48" s="4">
        <v>2002</v>
      </c>
      <c r="CO48" s="4" t="s">
        <v>26</v>
      </c>
      <c r="CP48" s="5">
        <v>356</v>
      </c>
      <c r="CS48" s="4" t="s">
        <v>208</v>
      </c>
      <c r="CT48" s="4">
        <v>2002</v>
      </c>
      <c r="CU48" s="4" t="s">
        <v>27</v>
      </c>
      <c r="CV48" s="5">
        <v>596</v>
      </c>
    </row>
    <row r="49" spans="1:100" x14ac:dyDescent="0.25">
      <c r="A49" s="4" t="s">
        <v>180</v>
      </c>
      <c r="B49" s="4">
        <v>2002</v>
      </c>
      <c r="C49" s="4" t="s">
        <v>27</v>
      </c>
      <c r="D49" s="5">
        <v>32</v>
      </c>
      <c r="G49" s="4" t="s">
        <v>71</v>
      </c>
      <c r="H49" s="4">
        <v>2002</v>
      </c>
      <c r="I49" s="4" t="s">
        <v>27</v>
      </c>
      <c r="J49" s="5">
        <v>654</v>
      </c>
      <c r="M49" s="4" t="s">
        <v>164</v>
      </c>
      <c r="N49" s="4">
        <v>2002</v>
      </c>
      <c r="O49" s="4" t="s">
        <v>27</v>
      </c>
      <c r="P49" s="5">
        <v>722</v>
      </c>
      <c r="S49" s="4" t="s">
        <v>166</v>
      </c>
      <c r="T49" s="4">
        <v>2002</v>
      </c>
      <c r="U49" s="4" t="s">
        <v>27</v>
      </c>
      <c r="V49" s="5">
        <v>386</v>
      </c>
      <c r="Y49" s="4" t="s">
        <v>168</v>
      </c>
      <c r="Z49" s="4">
        <v>2002</v>
      </c>
      <c r="AA49" s="4" t="s">
        <v>27</v>
      </c>
      <c r="AB49" s="5">
        <v>217</v>
      </c>
      <c r="AE49" s="4" t="s">
        <v>170</v>
      </c>
      <c r="AF49" s="4">
        <v>2002</v>
      </c>
      <c r="AG49" s="4" t="s">
        <v>27</v>
      </c>
      <c r="AH49" s="5">
        <v>953</v>
      </c>
      <c r="AK49" s="4" t="s">
        <v>72</v>
      </c>
      <c r="AL49" s="4">
        <v>2002</v>
      </c>
      <c r="AM49" s="4" t="s">
        <v>27</v>
      </c>
      <c r="AN49" s="5">
        <v>221</v>
      </c>
      <c r="AO49" s="14"/>
      <c r="AQ49" s="4" t="s">
        <v>73</v>
      </c>
      <c r="AR49" s="4">
        <v>2002</v>
      </c>
      <c r="AS49" s="4" t="s">
        <v>27</v>
      </c>
      <c r="AT49" s="5">
        <v>270</v>
      </c>
      <c r="AW49" s="4" t="s">
        <v>172</v>
      </c>
      <c r="AX49" s="4">
        <v>2002</v>
      </c>
      <c r="AY49" s="4" t="s">
        <v>27</v>
      </c>
      <c r="AZ49" s="5">
        <v>236</v>
      </c>
      <c r="BC49" s="4" t="s">
        <v>174</v>
      </c>
      <c r="BD49" s="4">
        <v>2002</v>
      </c>
      <c r="BE49" s="4" t="s">
        <v>27</v>
      </c>
      <c r="BF49" s="5">
        <v>107</v>
      </c>
      <c r="BI49" s="4" t="s">
        <v>74</v>
      </c>
      <c r="BJ49" s="4">
        <v>2002</v>
      </c>
      <c r="BK49" s="4" t="s">
        <v>27</v>
      </c>
      <c r="BL49" s="5">
        <v>926</v>
      </c>
      <c r="BO49" s="4" t="s">
        <v>176</v>
      </c>
      <c r="BP49" s="4">
        <v>2002</v>
      </c>
      <c r="BQ49" s="4" t="s">
        <v>27</v>
      </c>
      <c r="BR49" s="5">
        <v>168</v>
      </c>
      <c r="BU49" s="4" t="s">
        <v>178</v>
      </c>
      <c r="BV49" s="4">
        <v>2002</v>
      </c>
      <c r="BW49" s="4" t="s">
        <v>27</v>
      </c>
      <c r="BX49" s="5">
        <v>492</v>
      </c>
      <c r="CA49" s="4" t="s">
        <v>75</v>
      </c>
      <c r="CB49" s="4">
        <v>2002</v>
      </c>
      <c r="CC49" s="4" t="s">
        <v>27</v>
      </c>
      <c r="CD49" s="5">
        <v>149</v>
      </c>
      <c r="CG49" s="4" t="s">
        <v>76</v>
      </c>
      <c r="CH49" s="4">
        <v>2002</v>
      </c>
      <c r="CI49" s="4" t="s">
        <v>27</v>
      </c>
      <c r="CJ49" s="5">
        <v>735</v>
      </c>
      <c r="CM49" s="4" t="s">
        <v>183</v>
      </c>
      <c r="CN49" s="4">
        <v>2002</v>
      </c>
      <c r="CO49" s="4" t="s">
        <v>27</v>
      </c>
      <c r="CP49" s="5">
        <v>353</v>
      </c>
      <c r="CS49" s="4" t="s">
        <v>208</v>
      </c>
      <c r="CT49" s="4">
        <v>2002</v>
      </c>
      <c r="CU49" s="4" t="s">
        <v>28</v>
      </c>
      <c r="CV49" s="5">
        <v>530</v>
      </c>
    </row>
    <row r="50" spans="1:100" x14ac:dyDescent="0.25">
      <c r="A50" s="4" t="s">
        <v>180</v>
      </c>
      <c r="B50" s="4">
        <v>2002</v>
      </c>
      <c r="C50" s="4" t="s">
        <v>28</v>
      </c>
      <c r="D50" s="5">
        <v>42</v>
      </c>
      <c r="G50" s="4" t="s">
        <v>71</v>
      </c>
      <c r="H50" s="4">
        <v>2002</v>
      </c>
      <c r="I50" s="4" t="s">
        <v>28</v>
      </c>
      <c r="J50" s="5">
        <v>615</v>
      </c>
      <c r="M50" s="4" t="s">
        <v>164</v>
      </c>
      <c r="N50" s="4">
        <v>2002</v>
      </c>
      <c r="O50" s="4" t="s">
        <v>28</v>
      </c>
      <c r="P50" s="5">
        <v>681</v>
      </c>
      <c r="S50" s="4" t="s">
        <v>166</v>
      </c>
      <c r="T50" s="4">
        <v>2002</v>
      </c>
      <c r="U50" s="4" t="s">
        <v>28</v>
      </c>
      <c r="V50" s="5">
        <v>395</v>
      </c>
      <c r="Y50" s="4" t="s">
        <v>168</v>
      </c>
      <c r="Z50" s="4">
        <v>2002</v>
      </c>
      <c r="AA50" s="4" t="s">
        <v>28</v>
      </c>
      <c r="AB50" s="5">
        <v>211</v>
      </c>
      <c r="AE50" s="4" t="s">
        <v>170</v>
      </c>
      <c r="AF50" s="4">
        <v>2002</v>
      </c>
      <c r="AG50" s="4" t="s">
        <v>28</v>
      </c>
      <c r="AH50" s="5">
        <v>960</v>
      </c>
      <c r="AK50" s="4" t="s">
        <v>72</v>
      </c>
      <c r="AL50" s="4">
        <v>2002</v>
      </c>
      <c r="AM50" s="4" t="s">
        <v>28</v>
      </c>
      <c r="AN50" s="5">
        <v>235</v>
      </c>
      <c r="AO50" s="14"/>
      <c r="AQ50" s="4" t="s">
        <v>73</v>
      </c>
      <c r="AR50" s="4">
        <v>2002</v>
      </c>
      <c r="AS50" s="4" t="s">
        <v>28</v>
      </c>
      <c r="AT50" s="5">
        <v>231</v>
      </c>
      <c r="AW50" s="4" t="s">
        <v>172</v>
      </c>
      <c r="AX50" s="4">
        <v>2002</v>
      </c>
      <c r="AY50" s="4" t="s">
        <v>28</v>
      </c>
      <c r="AZ50" s="5">
        <v>218</v>
      </c>
      <c r="BC50" s="4" t="s">
        <v>174</v>
      </c>
      <c r="BD50" s="4">
        <v>2002</v>
      </c>
      <c r="BE50" s="4" t="s">
        <v>28</v>
      </c>
      <c r="BF50" s="5">
        <v>82</v>
      </c>
      <c r="BI50" s="4" t="s">
        <v>74</v>
      </c>
      <c r="BJ50" s="4">
        <v>2002</v>
      </c>
      <c r="BK50" s="4" t="s">
        <v>28</v>
      </c>
      <c r="BL50" s="5">
        <v>1007</v>
      </c>
      <c r="BO50" s="4" t="s">
        <v>176</v>
      </c>
      <c r="BP50" s="4">
        <v>2002</v>
      </c>
      <c r="BQ50" s="4" t="s">
        <v>28</v>
      </c>
      <c r="BR50" s="5">
        <v>145</v>
      </c>
      <c r="BU50" s="4" t="s">
        <v>178</v>
      </c>
      <c r="BV50" s="4">
        <v>2002</v>
      </c>
      <c r="BW50" s="4" t="s">
        <v>28</v>
      </c>
      <c r="BX50" s="5">
        <v>417</v>
      </c>
      <c r="CA50" s="4" t="s">
        <v>75</v>
      </c>
      <c r="CB50" s="4">
        <v>2002</v>
      </c>
      <c r="CC50" s="4" t="s">
        <v>28</v>
      </c>
      <c r="CD50" s="5">
        <v>144</v>
      </c>
      <c r="CG50" s="4" t="s">
        <v>76</v>
      </c>
      <c r="CH50" s="4">
        <v>2002</v>
      </c>
      <c r="CI50" s="4" t="s">
        <v>28</v>
      </c>
      <c r="CJ50" s="5">
        <v>741</v>
      </c>
      <c r="CM50" s="4" t="s">
        <v>183</v>
      </c>
      <c r="CN50" s="4">
        <v>2002</v>
      </c>
      <c r="CO50" s="4" t="s">
        <v>28</v>
      </c>
      <c r="CP50" s="5">
        <v>281</v>
      </c>
      <c r="CS50" s="4" t="s">
        <v>208</v>
      </c>
      <c r="CT50" s="4">
        <v>2002</v>
      </c>
      <c r="CU50" s="4" t="s">
        <v>29</v>
      </c>
      <c r="CV50" s="5">
        <v>499</v>
      </c>
    </row>
    <row r="51" spans="1:100" x14ac:dyDescent="0.25">
      <c r="A51" s="4" t="s">
        <v>180</v>
      </c>
      <c r="B51" s="4">
        <v>2002</v>
      </c>
      <c r="C51" s="4" t="s">
        <v>29</v>
      </c>
      <c r="D51" s="5">
        <v>36</v>
      </c>
      <c r="G51" s="4" t="s">
        <v>71</v>
      </c>
      <c r="H51" s="4">
        <v>2002</v>
      </c>
      <c r="I51" s="4" t="s">
        <v>29</v>
      </c>
      <c r="J51" s="5">
        <v>680</v>
      </c>
      <c r="M51" s="4" t="s">
        <v>164</v>
      </c>
      <c r="N51" s="4">
        <v>2002</v>
      </c>
      <c r="O51" s="4" t="s">
        <v>29</v>
      </c>
      <c r="P51" s="5">
        <v>666</v>
      </c>
      <c r="S51" s="4" t="s">
        <v>166</v>
      </c>
      <c r="T51" s="4">
        <v>2002</v>
      </c>
      <c r="U51" s="4" t="s">
        <v>29</v>
      </c>
      <c r="V51" s="5">
        <v>380</v>
      </c>
      <c r="Y51" s="4" t="s">
        <v>168</v>
      </c>
      <c r="Z51" s="4">
        <v>2002</v>
      </c>
      <c r="AA51" s="4" t="s">
        <v>29</v>
      </c>
      <c r="AB51" s="5">
        <v>209</v>
      </c>
      <c r="AE51" s="4" t="s">
        <v>170</v>
      </c>
      <c r="AF51" s="4">
        <v>2002</v>
      </c>
      <c r="AG51" s="4" t="s">
        <v>29</v>
      </c>
      <c r="AH51" s="5">
        <v>1003</v>
      </c>
      <c r="AK51" s="4" t="s">
        <v>72</v>
      </c>
      <c r="AL51" s="4">
        <v>2002</v>
      </c>
      <c r="AM51" s="4" t="s">
        <v>29</v>
      </c>
      <c r="AN51" s="5">
        <v>262</v>
      </c>
      <c r="AO51" s="14"/>
      <c r="AQ51" s="4" t="s">
        <v>73</v>
      </c>
      <c r="AR51" s="4">
        <v>2002</v>
      </c>
      <c r="AS51" s="4" t="s">
        <v>29</v>
      </c>
      <c r="AT51" s="5">
        <v>211</v>
      </c>
      <c r="AW51" s="4" t="s">
        <v>172</v>
      </c>
      <c r="AX51" s="4">
        <v>2002</v>
      </c>
      <c r="AY51" s="4" t="s">
        <v>29</v>
      </c>
      <c r="AZ51" s="5">
        <v>207</v>
      </c>
      <c r="BC51" s="4" t="s">
        <v>174</v>
      </c>
      <c r="BD51" s="4">
        <v>2002</v>
      </c>
      <c r="BE51" s="4" t="s">
        <v>29</v>
      </c>
      <c r="BF51" s="5">
        <v>105</v>
      </c>
      <c r="BI51" s="4" t="s">
        <v>74</v>
      </c>
      <c r="BJ51" s="4">
        <v>2002</v>
      </c>
      <c r="BK51" s="4" t="s">
        <v>29</v>
      </c>
      <c r="BL51" s="5">
        <v>962</v>
      </c>
      <c r="BO51" s="4" t="s">
        <v>176</v>
      </c>
      <c r="BP51" s="4">
        <v>2002</v>
      </c>
      <c r="BQ51" s="4" t="s">
        <v>29</v>
      </c>
      <c r="BR51" s="5">
        <v>120</v>
      </c>
      <c r="BU51" s="4" t="s">
        <v>178</v>
      </c>
      <c r="BV51" s="4">
        <v>2002</v>
      </c>
      <c r="BW51" s="4" t="s">
        <v>29</v>
      </c>
      <c r="BX51" s="5">
        <v>397</v>
      </c>
      <c r="CA51" s="4" t="s">
        <v>75</v>
      </c>
      <c r="CB51" s="4">
        <v>2002</v>
      </c>
      <c r="CC51" s="4" t="s">
        <v>29</v>
      </c>
      <c r="CD51" s="5">
        <v>175</v>
      </c>
      <c r="CG51" s="4" t="s">
        <v>76</v>
      </c>
      <c r="CH51" s="4">
        <v>2002</v>
      </c>
      <c r="CI51" s="4" t="s">
        <v>29</v>
      </c>
      <c r="CJ51" s="5">
        <v>781</v>
      </c>
      <c r="CM51" s="4" t="s">
        <v>183</v>
      </c>
      <c r="CN51" s="4">
        <v>2002</v>
      </c>
      <c r="CO51" s="4" t="s">
        <v>29</v>
      </c>
      <c r="CP51" s="5">
        <v>272</v>
      </c>
      <c r="CS51" s="4" t="s">
        <v>208</v>
      </c>
      <c r="CT51" s="4">
        <v>2002</v>
      </c>
      <c r="CU51" s="4" t="s">
        <v>30</v>
      </c>
      <c r="CV51" s="5">
        <v>468</v>
      </c>
    </row>
    <row r="52" spans="1:100" x14ac:dyDescent="0.25">
      <c r="A52" s="4" t="s">
        <v>180</v>
      </c>
      <c r="B52" s="4">
        <v>2002</v>
      </c>
      <c r="C52" s="4" t="s">
        <v>30</v>
      </c>
      <c r="D52" s="5">
        <v>32</v>
      </c>
      <c r="G52" s="4" t="s">
        <v>71</v>
      </c>
      <c r="H52" s="4">
        <v>2002</v>
      </c>
      <c r="I52" s="4" t="s">
        <v>30</v>
      </c>
      <c r="J52" s="5">
        <v>758</v>
      </c>
      <c r="M52" s="4" t="s">
        <v>164</v>
      </c>
      <c r="N52" s="4">
        <v>2002</v>
      </c>
      <c r="O52" s="4" t="s">
        <v>30</v>
      </c>
      <c r="P52" s="5">
        <v>754</v>
      </c>
      <c r="S52" s="4" t="s">
        <v>166</v>
      </c>
      <c r="T52" s="4">
        <v>2002</v>
      </c>
      <c r="U52" s="4" t="s">
        <v>30</v>
      </c>
      <c r="V52" s="5">
        <v>362</v>
      </c>
      <c r="Y52" s="4" t="s">
        <v>168</v>
      </c>
      <c r="Z52" s="4">
        <v>2002</v>
      </c>
      <c r="AA52" s="4" t="s">
        <v>30</v>
      </c>
      <c r="AB52" s="5">
        <v>225</v>
      </c>
      <c r="AE52" s="4" t="s">
        <v>170</v>
      </c>
      <c r="AF52" s="4">
        <v>2002</v>
      </c>
      <c r="AG52" s="4" t="s">
        <v>30</v>
      </c>
      <c r="AH52" s="5">
        <v>1016</v>
      </c>
      <c r="AK52" s="4" t="s">
        <v>72</v>
      </c>
      <c r="AL52" s="4">
        <v>2002</v>
      </c>
      <c r="AM52" s="4" t="s">
        <v>30</v>
      </c>
      <c r="AN52" s="5">
        <v>233</v>
      </c>
      <c r="AO52" s="14"/>
      <c r="AQ52" s="4" t="s">
        <v>73</v>
      </c>
      <c r="AR52" s="4">
        <v>2002</v>
      </c>
      <c r="AS52" s="4" t="s">
        <v>30</v>
      </c>
      <c r="AT52" s="5">
        <v>220</v>
      </c>
      <c r="AW52" s="4" t="s">
        <v>172</v>
      </c>
      <c r="AX52" s="4">
        <v>2002</v>
      </c>
      <c r="AY52" s="4" t="s">
        <v>30</v>
      </c>
      <c r="AZ52" s="5">
        <v>223</v>
      </c>
      <c r="BC52" s="4" t="s">
        <v>174</v>
      </c>
      <c r="BD52" s="4">
        <v>2002</v>
      </c>
      <c r="BE52" s="4" t="s">
        <v>30</v>
      </c>
      <c r="BF52" s="5">
        <v>113</v>
      </c>
      <c r="BI52" s="4" t="s">
        <v>74</v>
      </c>
      <c r="BJ52" s="4">
        <v>2002</v>
      </c>
      <c r="BK52" s="4" t="s">
        <v>30</v>
      </c>
      <c r="BL52" s="5">
        <v>1029</v>
      </c>
      <c r="BO52" s="4" t="s">
        <v>176</v>
      </c>
      <c r="BP52" s="4">
        <v>2002</v>
      </c>
      <c r="BQ52" s="4" t="s">
        <v>30</v>
      </c>
      <c r="BR52" s="5">
        <v>84</v>
      </c>
      <c r="BU52" s="4" t="s">
        <v>178</v>
      </c>
      <c r="BV52" s="4">
        <v>2002</v>
      </c>
      <c r="BW52" s="4" t="s">
        <v>30</v>
      </c>
      <c r="BX52" s="5">
        <v>409</v>
      </c>
      <c r="CA52" s="4" t="s">
        <v>75</v>
      </c>
      <c r="CB52" s="4">
        <v>2002</v>
      </c>
      <c r="CC52" s="4" t="s">
        <v>30</v>
      </c>
      <c r="CD52" s="5">
        <v>171</v>
      </c>
      <c r="CG52" s="4" t="s">
        <v>76</v>
      </c>
      <c r="CH52" s="4">
        <v>2002</v>
      </c>
      <c r="CI52" s="4" t="s">
        <v>30</v>
      </c>
      <c r="CJ52" s="5">
        <v>807</v>
      </c>
      <c r="CM52" s="4" t="s">
        <v>183</v>
      </c>
      <c r="CN52" s="4">
        <v>2002</v>
      </c>
      <c r="CO52" s="4" t="s">
        <v>30</v>
      </c>
      <c r="CP52" s="5">
        <v>284</v>
      </c>
      <c r="CS52" s="4" t="s">
        <v>208</v>
      </c>
      <c r="CT52" s="4">
        <v>2002</v>
      </c>
      <c r="CU52" s="4" t="s">
        <v>19</v>
      </c>
      <c r="CV52" s="5">
        <v>446</v>
      </c>
    </row>
    <row r="53" spans="1:100" x14ac:dyDescent="0.25">
      <c r="A53" s="4" t="s">
        <v>180</v>
      </c>
      <c r="B53" s="4">
        <v>2002</v>
      </c>
      <c r="C53" s="4" t="s">
        <v>19</v>
      </c>
      <c r="D53" s="5">
        <v>45</v>
      </c>
      <c r="G53" s="4" t="s">
        <v>71</v>
      </c>
      <c r="H53" s="4">
        <v>2002</v>
      </c>
      <c r="I53" s="4" t="s">
        <v>19</v>
      </c>
      <c r="J53" s="5">
        <v>941</v>
      </c>
      <c r="M53" s="4" t="s">
        <v>164</v>
      </c>
      <c r="N53" s="4">
        <v>2002</v>
      </c>
      <c r="O53" s="4" t="s">
        <v>19</v>
      </c>
      <c r="P53" s="5">
        <v>810</v>
      </c>
      <c r="S53" s="4" t="s">
        <v>166</v>
      </c>
      <c r="T53" s="4">
        <v>2002</v>
      </c>
      <c r="U53" s="4" t="s">
        <v>19</v>
      </c>
      <c r="V53" s="5">
        <v>379</v>
      </c>
      <c r="Y53" s="4" t="s">
        <v>168</v>
      </c>
      <c r="Z53" s="4">
        <v>2002</v>
      </c>
      <c r="AA53" s="4" t="s">
        <v>19</v>
      </c>
      <c r="AB53" s="5">
        <v>212</v>
      </c>
      <c r="AE53" s="4" t="s">
        <v>170</v>
      </c>
      <c r="AF53" s="4">
        <v>2002</v>
      </c>
      <c r="AG53" s="4" t="s">
        <v>19</v>
      </c>
      <c r="AH53" s="5">
        <v>938</v>
      </c>
      <c r="AK53" s="4" t="s">
        <v>72</v>
      </c>
      <c r="AL53" s="4">
        <v>2002</v>
      </c>
      <c r="AM53" s="4" t="s">
        <v>19</v>
      </c>
      <c r="AN53" s="5">
        <v>243</v>
      </c>
      <c r="AO53" s="14"/>
      <c r="AQ53" s="4" t="s">
        <v>73</v>
      </c>
      <c r="AR53" s="4">
        <v>2002</v>
      </c>
      <c r="AS53" s="4" t="s">
        <v>19</v>
      </c>
      <c r="AT53" s="5">
        <v>255</v>
      </c>
      <c r="AW53" s="4" t="s">
        <v>172</v>
      </c>
      <c r="AX53" s="4">
        <v>2002</v>
      </c>
      <c r="AY53" s="4" t="s">
        <v>19</v>
      </c>
      <c r="AZ53" s="5">
        <v>226</v>
      </c>
      <c r="BC53" s="4" t="s">
        <v>174</v>
      </c>
      <c r="BD53" s="4">
        <v>2002</v>
      </c>
      <c r="BE53" s="4" t="s">
        <v>19</v>
      </c>
      <c r="BF53" s="5">
        <v>96</v>
      </c>
      <c r="BI53" s="4" t="s">
        <v>74</v>
      </c>
      <c r="BJ53" s="4">
        <v>2002</v>
      </c>
      <c r="BK53" s="4" t="s">
        <v>19</v>
      </c>
      <c r="BL53" s="5">
        <v>1038</v>
      </c>
      <c r="BO53" s="4" t="s">
        <v>176</v>
      </c>
      <c r="BP53" s="4">
        <v>2002</v>
      </c>
      <c r="BQ53" s="4" t="s">
        <v>19</v>
      </c>
      <c r="BR53" s="5">
        <v>100</v>
      </c>
      <c r="BU53" s="4" t="s">
        <v>178</v>
      </c>
      <c r="BV53" s="4">
        <v>2002</v>
      </c>
      <c r="BW53" s="4" t="s">
        <v>19</v>
      </c>
      <c r="BX53" s="5">
        <v>458</v>
      </c>
      <c r="CA53" s="4" t="s">
        <v>75</v>
      </c>
      <c r="CB53" s="4">
        <v>2002</v>
      </c>
      <c r="CC53" s="4" t="s">
        <v>19</v>
      </c>
      <c r="CD53" s="5">
        <v>187</v>
      </c>
      <c r="CG53" s="4" t="s">
        <v>76</v>
      </c>
      <c r="CH53" s="4">
        <v>2002</v>
      </c>
      <c r="CI53" s="4" t="s">
        <v>19</v>
      </c>
      <c r="CJ53" s="5">
        <v>735</v>
      </c>
      <c r="CM53" s="4" t="s">
        <v>183</v>
      </c>
      <c r="CN53" s="4">
        <v>2002</v>
      </c>
      <c r="CO53" s="4" t="s">
        <v>19</v>
      </c>
      <c r="CP53" s="5">
        <v>241</v>
      </c>
      <c r="CS53" s="4" t="s">
        <v>208</v>
      </c>
      <c r="CT53" s="4">
        <v>2002</v>
      </c>
      <c r="CU53" s="4" t="s">
        <v>96</v>
      </c>
      <c r="CV53" s="5">
        <v>512</v>
      </c>
    </row>
    <row r="54" spans="1:100" x14ac:dyDescent="0.25">
      <c r="A54" s="4" t="s">
        <v>180</v>
      </c>
      <c r="B54" s="4">
        <v>2002</v>
      </c>
      <c r="C54" s="4" t="s">
        <v>96</v>
      </c>
      <c r="D54" s="5">
        <v>33</v>
      </c>
      <c r="G54" s="4" t="s">
        <v>71</v>
      </c>
      <c r="H54" s="4">
        <v>2002</v>
      </c>
      <c r="I54" s="4" t="s">
        <v>96</v>
      </c>
      <c r="J54" s="5">
        <v>800</v>
      </c>
      <c r="M54" s="4" t="s">
        <v>164</v>
      </c>
      <c r="N54" s="4">
        <v>2002</v>
      </c>
      <c r="O54" s="4" t="s">
        <v>96</v>
      </c>
      <c r="P54" s="5">
        <v>789</v>
      </c>
      <c r="S54" s="4" t="s">
        <v>166</v>
      </c>
      <c r="T54" s="4">
        <v>2002</v>
      </c>
      <c r="U54" s="4" t="s">
        <v>96</v>
      </c>
      <c r="V54" s="5">
        <v>416</v>
      </c>
      <c r="Y54" s="4" t="s">
        <v>168</v>
      </c>
      <c r="Z54" s="4">
        <v>2002</v>
      </c>
      <c r="AA54" s="4" t="s">
        <v>96</v>
      </c>
      <c r="AB54" s="5">
        <v>205</v>
      </c>
      <c r="AE54" s="4" t="s">
        <v>170</v>
      </c>
      <c r="AF54" s="4">
        <v>2002</v>
      </c>
      <c r="AG54" s="4" t="s">
        <v>96</v>
      </c>
      <c r="AH54" s="5">
        <v>997</v>
      </c>
      <c r="AK54" s="4" t="s">
        <v>72</v>
      </c>
      <c r="AL54" s="4">
        <v>2002</v>
      </c>
      <c r="AM54" s="4" t="s">
        <v>96</v>
      </c>
      <c r="AN54" s="5">
        <v>274</v>
      </c>
      <c r="AO54" s="14"/>
      <c r="AQ54" s="4" t="s">
        <v>73</v>
      </c>
      <c r="AR54" s="4">
        <v>2002</v>
      </c>
      <c r="AS54" s="4" t="s">
        <v>96</v>
      </c>
      <c r="AT54" s="5">
        <v>253</v>
      </c>
      <c r="AW54" s="4" t="s">
        <v>172</v>
      </c>
      <c r="AX54" s="4">
        <v>2002</v>
      </c>
      <c r="AY54" s="4" t="s">
        <v>96</v>
      </c>
      <c r="AZ54" s="5">
        <v>216</v>
      </c>
      <c r="BC54" s="4" t="s">
        <v>174</v>
      </c>
      <c r="BD54" s="4">
        <v>2002</v>
      </c>
      <c r="BE54" s="4" t="s">
        <v>96</v>
      </c>
      <c r="BF54" s="5">
        <v>104</v>
      </c>
      <c r="BI54" s="4" t="s">
        <v>74</v>
      </c>
      <c r="BJ54" s="4">
        <v>2002</v>
      </c>
      <c r="BK54" s="4" t="s">
        <v>96</v>
      </c>
      <c r="BL54" s="5">
        <v>1009</v>
      </c>
      <c r="BO54" s="4" t="s">
        <v>176</v>
      </c>
      <c r="BP54" s="4">
        <v>2002</v>
      </c>
      <c r="BQ54" s="4" t="s">
        <v>96</v>
      </c>
      <c r="BR54" s="5">
        <v>126</v>
      </c>
      <c r="BU54" s="4" t="s">
        <v>178</v>
      </c>
      <c r="BV54" s="4">
        <v>2002</v>
      </c>
      <c r="BW54" s="4" t="s">
        <v>96</v>
      </c>
      <c r="BX54" s="5">
        <v>444</v>
      </c>
      <c r="CA54" s="4" t="s">
        <v>75</v>
      </c>
      <c r="CB54" s="4">
        <v>2002</v>
      </c>
      <c r="CC54" s="4" t="s">
        <v>96</v>
      </c>
      <c r="CD54" s="5">
        <v>171</v>
      </c>
      <c r="CG54" s="4" t="s">
        <v>76</v>
      </c>
      <c r="CH54" s="4">
        <v>2002</v>
      </c>
      <c r="CI54" s="4" t="s">
        <v>96</v>
      </c>
      <c r="CJ54" s="5">
        <v>789</v>
      </c>
      <c r="CM54" s="4" t="s">
        <v>183</v>
      </c>
      <c r="CN54" s="4">
        <v>2002</v>
      </c>
      <c r="CO54" s="4" t="s">
        <v>96</v>
      </c>
      <c r="CP54" s="5">
        <v>301</v>
      </c>
      <c r="CS54" s="4" t="s">
        <v>208</v>
      </c>
      <c r="CT54" s="4">
        <v>2003</v>
      </c>
      <c r="CU54" s="4" t="s">
        <v>20</v>
      </c>
      <c r="CV54" s="5">
        <v>571</v>
      </c>
    </row>
    <row r="55" spans="1:100" x14ac:dyDescent="0.25">
      <c r="A55" s="4" t="s">
        <v>180</v>
      </c>
      <c r="B55" s="4">
        <v>2003</v>
      </c>
      <c r="C55" s="4" t="s">
        <v>20</v>
      </c>
      <c r="D55" s="5">
        <v>54</v>
      </c>
      <c r="G55" s="4" t="s">
        <v>71</v>
      </c>
      <c r="H55" s="4">
        <v>2003</v>
      </c>
      <c r="I55" s="4" t="s">
        <v>20</v>
      </c>
      <c r="J55" s="5">
        <v>1196</v>
      </c>
      <c r="M55" s="4" t="s">
        <v>164</v>
      </c>
      <c r="N55" s="4">
        <v>2003</v>
      </c>
      <c r="O55" s="4" t="s">
        <v>20</v>
      </c>
      <c r="P55" s="5">
        <v>896</v>
      </c>
      <c r="S55" s="4" t="s">
        <v>166</v>
      </c>
      <c r="T55" s="4">
        <v>2003</v>
      </c>
      <c r="U55" s="4" t="s">
        <v>20</v>
      </c>
      <c r="V55" s="5">
        <v>406</v>
      </c>
      <c r="Y55" s="4" t="s">
        <v>168</v>
      </c>
      <c r="Z55" s="4">
        <v>2003</v>
      </c>
      <c r="AA55" s="4" t="s">
        <v>20</v>
      </c>
      <c r="AB55" s="5">
        <v>251</v>
      </c>
      <c r="AE55" s="4" t="s">
        <v>170</v>
      </c>
      <c r="AF55" s="4">
        <v>2003</v>
      </c>
      <c r="AG55" s="4" t="s">
        <v>20</v>
      </c>
      <c r="AH55" s="5">
        <v>1091</v>
      </c>
      <c r="AK55" s="4" t="s">
        <v>72</v>
      </c>
      <c r="AL55" s="4">
        <v>2003</v>
      </c>
      <c r="AM55" s="4" t="s">
        <v>20</v>
      </c>
      <c r="AN55" s="5">
        <v>331</v>
      </c>
      <c r="AO55" s="14"/>
      <c r="AQ55" s="4" t="s">
        <v>73</v>
      </c>
      <c r="AR55" s="4">
        <v>2003</v>
      </c>
      <c r="AS55" s="4" t="s">
        <v>20</v>
      </c>
      <c r="AT55" s="5">
        <v>243</v>
      </c>
      <c r="AW55" s="4" t="s">
        <v>172</v>
      </c>
      <c r="AX55" s="4">
        <v>2003</v>
      </c>
      <c r="AY55" s="4" t="s">
        <v>20</v>
      </c>
      <c r="AZ55" s="5">
        <v>225</v>
      </c>
      <c r="BC55" s="4" t="s">
        <v>174</v>
      </c>
      <c r="BD55" s="4">
        <v>2003</v>
      </c>
      <c r="BE55" s="4" t="s">
        <v>20</v>
      </c>
      <c r="BF55" s="5">
        <v>101</v>
      </c>
      <c r="BI55" s="4" t="s">
        <v>74</v>
      </c>
      <c r="BJ55" s="4">
        <v>2003</v>
      </c>
      <c r="BK55" s="4" t="s">
        <v>20</v>
      </c>
      <c r="BL55" s="5">
        <v>1112</v>
      </c>
      <c r="BO55" s="4" t="s">
        <v>176</v>
      </c>
      <c r="BP55" s="4">
        <v>2003</v>
      </c>
      <c r="BQ55" s="4" t="s">
        <v>20</v>
      </c>
      <c r="BR55" s="5">
        <v>127</v>
      </c>
      <c r="BU55" s="4" t="s">
        <v>178</v>
      </c>
      <c r="BV55" s="4">
        <v>2003</v>
      </c>
      <c r="BW55" s="4" t="s">
        <v>20</v>
      </c>
      <c r="BX55" s="5">
        <v>432</v>
      </c>
      <c r="CA55" s="4" t="s">
        <v>75</v>
      </c>
      <c r="CB55" s="4">
        <v>2003</v>
      </c>
      <c r="CC55" s="4" t="s">
        <v>20</v>
      </c>
      <c r="CD55" s="5">
        <v>201</v>
      </c>
      <c r="CG55" s="4" t="s">
        <v>76</v>
      </c>
      <c r="CH55" s="4">
        <v>2003</v>
      </c>
      <c r="CI55" s="4" t="s">
        <v>20</v>
      </c>
      <c r="CJ55" s="5">
        <v>848</v>
      </c>
      <c r="CM55" s="4" t="s">
        <v>183</v>
      </c>
      <c r="CN55" s="4">
        <v>2003</v>
      </c>
      <c r="CO55" s="4" t="s">
        <v>20</v>
      </c>
      <c r="CP55" s="5">
        <v>304</v>
      </c>
      <c r="CS55" s="4" t="s">
        <v>208</v>
      </c>
      <c r="CT55" s="4">
        <v>2003</v>
      </c>
      <c r="CU55" s="4" t="s">
        <v>21</v>
      </c>
      <c r="CV55" s="5">
        <v>483</v>
      </c>
    </row>
    <row r="56" spans="1:100" x14ac:dyDescent="0.25">
      <c r="A56" s="4" t="s">
        <v>180</v>
      </c>
      <c r="B56" s="4">
        <v>2003</v>
      </c>
      <c r="C56" s="4" t="s">
        <v>21</v>
      </c>
      <c r="D56" s="5">
        <v>41</v>
      </c>
      <c r="G56" s="4" t="s">
        <v>71</v>
      </c>
      <c r="H56" s="4">
        <v>2003</v>
      </c>
      <c r="I56" s="4" t="s">
        <v>21</v>
      </c>
      <c r="J56" s="5">
        <v>1173</v>
      </c>
      <c r="M56" s="4" t="s">
        <v>164</v>
      </c>
      <c r="N56" s="4">
        <v>2003</v>
      </c>
      <c r="O56" s="4" t="s">
        <v>21</v>
      </c>
      <c r="P56" s="5">
        <v>791</v>
      </c>
      <c r="S56" s="4" t="s">
        <v>166</v>
      </c>
      <c r="T56" s="4">
        <v>2003</v>
      </c>
      <c r="U56" s="4" t="s">
        <v>21</v>
      </c>
      <c r="V56" s="5">
        <v>438</v>
      </c>
      <c r="Y56" s="4" t="s">
        <v>168</v>
      </c>
      <c r="Z56" s="4">
        <v>2003</v>
      </c>
      <c r="AA56" s="4" t="s">
        <v>21</v>
      </c>
      <c r="AB56" s="5">
        <v>206</v>
      </c>
      <c r="AE56" s="4" t="s">
        <v>170</v>
      </c>
      <c r="AF56" s="4">
        <v>2003</v>
      </c>
      <c r="AG56" s="4" t="s">
        <v>21</v>
      </c>
      <c r="AH56" s="5">
        <v>1031</v>
      </c>
      <c r="AK56" s="4" t="s">
        <v>72</v>
      </c>
      <c r="AL56" s="4">
        <v>2003</v>
      </c>
      <c r="AM56" s="4" t="s">
        <v>21</v>
      </c>
      <c r="AN56" s="5">
        <v>316</v>
      </c>
      <c r="AO56" s="14"/>
      <c r="AQ56" s="4" t="s">
        <v>73</v>
      </c>
      <c r="AR56" s="4">
        <v>2003</v>
      </c>
      <c r="AS56" s="4" t="s">
        <v>21</v>
      </c>
      <c r="AT56" s="5">
        <v>321</v>
      </c>
      <c r="AW56" s="4" t="s">
        <v>172</v>
      </c>
      <c r="AX56" s="4">
        <v>2003</v>
      </c>
      <c r="AY56" s="4" t="s">
        <v>21</v>
      </c>
      <c r="AZ56" s="5">
        <v>244</v>
      </c>
      <c r="BC56" s="4" t="s">
        <v>174</v>
      </c>
      <c r="BD56" s="4">
        <v>2003</v>
      </c>
      <c r="BE56" s="4" t="s">
        <v>21</v>
      </c>
      <c r="BF56" s="5">
        <v>66</v>
      </c>
      <c r="BI56" s="4" t="s">
        <v>74</v>
      </c>
      <c r="BJ56" s="4">
        <v>2003</v>
      </c>
      <c r="BK56" s="4" t="s">
        <v>21</v>
      </c>
      <c r="BL56" s="5">
        <v>1140</v>
      </c>
      <c r="BO56" s="4" t="s">
        <v>176</v>
      </c>
      <c r="BP56" s="4">
        <v>2003</v>
      </c>
      <c r="BQ56" s="4" t="s">
        <v>21</v>
      </c>
      <c r="BR56" s="5">
        <v>106</v>
      </c>
      <c r="BU56" s="4" t="s">
        <v>178</v>
      </c>
      <c r="BV56" s="4">
        <v>2003</v>
      </c>
      <c r="BW56" s="4" t="s">
        <v>21</v>
      </c>
      <c r="BX56" s="5">
        <v>471</v>
      </c>
      <c r="CA56" s="4" t="s">
        <v>75</v>
      </c>
      <c r="CB56" s="4">
        <v>2003</v>
      </c>
      <c r="CC56" s="4" t="s">
        <v>21</v>
      </c>
      <c r="CD56" s="5">
        <v>222</v>
      </c>
      <c r="CG56" s="4" t="s">
        <v>76</v>
      </c>
      <c r="CH56" s="4">
        <v>2003</v>
      </c>
      <c r="CI56" s="4" t="s">
        <v>21</v>
      </c>
      <c r="CJ56" s="5">
        <v>922</v>
      </c>
      <c r="CM56" s="4" t="s">
        <v>183</v>
      </c>
      <c r="CN56" s="4">
        <v>2003</v>
      </c>
      <c r="CO56" s="4" t="s">
        <v>21</v>
      </c>
      <c r="CP56" s="5">
        <v>331</v>
      </c>
      <c r="CS56" s="4" t="s">
        <v>208</v>
      </c>
      <c r="CT56" s="4">
        <v>2003</v>
      </c>
      <c r="CU56" s="4" t="s">
        <v>22</v>
      </c>
      <c r="CV56" s="5">
        <v>526</v>
      </c>
    </row>
    <row r="57" spans="1:100" x14ac:dyDescent="0.25">
      <c r="A57" s="4" t="s">
        <v>180</v>
      </c>
      <c r="B57" s="4">
        <v>2003</v>
      </c>
      <c r="C57" s="4" t="s">
        <v>22</v>
      </c>
      <c r="D57" s="5">
        <v>46</v>
      </c>
      <c r="G57" s="4" t="s">
        <v>71</v>
      </c>
      <c r="H57" s="4">
        <v>2003</v>
      </c>
      <c r="I57" s="4" t="s">
        <v>22</v>
      </c>
      <c r="J57" s="5">
        <v>987</v>
      </c>
      <c r="M57" s="4" t="s">
        <v>164</v>
      </c>
      <c r="N57" s="4">
        <v>2003</v>
      </c>
      <c r="O57" s="4" t="s">
        <v>22</v>
      </c>
      <c r="P57" s="5">
        <v>743</v>
      </c>
      <c r="S57" s="4" t="s">
        <v>166</v>
      </c>
      <c r="T57" s="4">
        <v>2003</v>
      </c>
      <c r="U57" s="4" t="s">
        <v>22</v>
      </c>
      <c r="V57" s="5">
        <v>479</v>
      </c>
      <c r="Y57" s="4" t="s">
        <v>168</v>
      </c>
      <c r="Z57" s="4">
        <v>2003</v>
      </c>
      <c r="AA57" s="4" t="s">
        <v>22</v>
      </c>
      <c r="AB57" s="5">
        <v>218</v>
      </c>
      <c r="AE57" s="4" t="s">
        <v>170</v>
      </c>
      <c r="AF57" s="4">
        <v>2003</v>
      </c>
      <c r="AG57" s="4" t="s">
        <v>22</v>
      </c>
      <c r="AH57" s="5">
        <v>962</v>
      </c>
      <c r="AK57" s="4" t="s">
        <v>72</v>
      </c>
      <c r="AL57" s="4">
        <v>2003</v>
      </c>
      <c r="AM57" s="4" t="s">
        <v>22</v>
      </c>
      <c r="AN57" s="5">
        <v>319</v>
      </c>
      <c r="AO57" s="14"/>
      <c r="AQ57" s="4" t="s">
        <v>73</v>
      </c>
      <c r="AR57" s="4">
        <v>2003</v>
      </c>
      <c r="AS57" s="4" t="s">
        <v>22</v>
      </c>
      <c r="AT57" s="5">
        <v>267</v>
      </c>
      <c r="AW57" s="4" t="s">
        <v>172</v>
      </c>
      <c r="AX57" s="4">
        <v>2003</v>
      </c>
      <c r="AY57" s="4" t="s">
        <v>22</v>
      </c>
      <c r="AZ57" s="5">
        <v>237</v>
      </c>
      <c r="BC57" s="4" t="s">
        <v>174</v>
      </c>
      <c r="BD57" s="4">
        <v>2003</v>
      </c>
      <c r="BE57" s="4" t="s">
        <v>22</v>
      </c>
      <c r="BF57" s="5">
        <v>119</v>
      </c>
      <c r="BI57" s="4" t="s">
        <v>74</v>
      </c>
      <c r="BJ57" s="4">
        <v>2003</v>
      </c>
      <c r="BK57" s="4" t="s">
        <v>22</v>
      </c>
      <c r="BL57" s="5">
        <v>1190</v>
      </c>
      <c r="BO57" s="4" t="s">
        <v>176</v>
      </c>
      <c r="BP57" s="4">
        <v>2003</v>
      </c>
      <c r="BQ57" s="4" t="s">
        <v>22</v>
      </c>
      <c r="BR57" s="5">
        <v>100</v>
      </c>
      <c r="BU57" s="4" t="s">
        <v>178</v>
      </c>
      <c r="BV57" s="4">
        <v>2003</v>
      </c>
      <c r="BW57" s="4" t="s">
        <v>22</v>
      </c>
      <c r="BX57" s="5">
        <v>417</v>
      </c>
      <c r="CA57" s="4" t="s">
        <v>75</v>
      </c>
      <c r="CB57" s="4">
        <v>2003</v>
      </c>
      <c r="CC57" s="4" t="s">
        <v>22</v>
      </c>
      <c r="CD57" s="5">
        <v>161</v>
      </c>
      <c r="CG57" s="4" t="s">
        <v>76</v>
      </c>
      <c r="CH57" s="4">
        <v>2003</v>
      </c>
      <c r="CI57" s="4" t="s">
        <v>22</v>
      </c>
      <c r="CJ57" s="5">
        <v>874</v>
      </c>
      <c r="CM57" s="4" t="s">
        <v>183</v>
      </c>
      <c r="CN57" s="4">
        <v>2003</v>
      </c>
      <c r="CO57" s="4" t="s">
        <v>22</v>
      </c>
      <c r="CP57" s="5">
        <v>370</v>
      </c>
      <c r="CS57" s="4" t="s">
        <v>208</v>
      </c>
      <c r="CT57" s="4">
        <v>2003</v>
      </c>
      <c r="CU57" s="4" t="s">
        <v>23</v>
      </c>
      <c r="CV57" s="5">
        <v>440</v>
      </c>
    </row>
    <row r="58" spans="1:100" x14ac:dyDescent="0.25">
      <c r="A58" s="4" t="s">
        <v>180</v>
      </c>
      <c r="B58" s="4">
        <v>2003</v>
      </c>
      <c r="C58" s="4" t="s">
        <v>23</v>
      </c>
      <c r="D58" s="5">
        <v>41</v>
      </c>
      <c r="G58" s="4" t="s">
        <v>71</v>
      </c>
      <c r="H58" s="4">
        <v>2003</v>
      </c>
      <c r="I58" s="4" t="s">
        <v>23</v>
      </c>
      <c r="J58" s="5">
        <v>772</v>
      </c>
      <c r="M58" s="4" t="s">
        <v>164</v>
      </c>
      <c r="N58" s="4">
        <v>2003</v>
      </c>
      <c r="O58" s="4" t="s">
        <v>23</v>
      </c>
      <c r="P58" s="5">
        <v>799</v>
      </c>
      <c r="S58" s="4" t="s">
        <v>166</v>
      </c>
      <c r="T58" s="4">
        <v>2003</v>
      </c>
      <c r="U58" s="4" t="s">
        <v>23</v>
      </c>
      <c r="V58" s="5">
        <v>400</v>
      </c>
      <c r="Y58" s="4" t="s">
        <v>168</v>
      </c>
      <c r="Z58" s="4">
        <v>2003</v>
      </c>
      <c r="AA58" s="4" t="s">
        <v>23</v>
      </c>
      <c r="AB58" s="5">
        <v>218</v>
      </c>
      <c r="AE58" s="4" t="s">
        <v>170</v>
      </c>
      <c r="AF58" s="4">
        <v>2003</v>
      </c>
      <c r="AG58" s="4" t="s">
        <v>23</v>
      </c>
      <c r="AH58" s="5">
        <v>983</v>
      </c>
      <c r="AK58" s="4" t="s">
        <v>72</v>
      </c>
      <c r="AL58" s="4">
        <v>2003</v>
      </c>
      <c r="AM58" s="4" t="s">
        <v>23</v>
      </c>
      <c r="AN58" s="5">
        <v>274</v>
      </c>
      <c r="AO58" s="14"/>
      <c r="AQ58" s="4" t="s">
        <v>73</v>
      </c>
      <c r="AR58" s="4">
        <v>2003</v>
      </c>
      <c r="AS58" s="4" t="s">
        <v>23</v>
      </c>
      <c r="AT58" s="5">
        <v>268</v>
      </c>
      <c r="AW58" s="4" t="s">
        <v>172</v>
      </c>
      <c r="AX58" s="4">
        <v>2003</v>
      </c>
      <c r="AY58" s="4" t="s">
        <v>23</v>
      </c>
      <c r="AZ58" s="5">
        <v>239</v>
      </c>
      <c r="BC58" s="4" t="s">
        <v>174</v>
      </c>
      <c r="BD58" s="4">
        <v>2003</v>
      </c>
      <c r="BE58" s="4" t="s">
        <v>23</v>
      </c>
      <c r="BF58" s="5">
        <v>85</v>
      </c>
      <c r="BI58" s="4" t="s">
        <v>74</v>
      </c>
      <c r="BJ58" s="4">
        <v>2003</v>
      </c>
      <c r="BK58" s="4" t="s">
        <v>23</v>
      </c>
      <c r="BL58" s="5">
        <v>1076</v>
      </c>
      <c r="BO58" s="4" t="s">
        <v>176</v>
      </c>
      <c r="BP58" s="4">
        <v>2003</v>
      </c>
      <c r="BQ58" s="4" t="s">
        <v>23</v>
      </c>
      <c r="BR58" s="5">
        <v>124</v>
      </c>
      <c r="BU58" s="4" t="s">
        <v>178</v>
      </c>
      <c r="BV58" s="4">
        <v>2003</v>
      </c>
      <c r="BW58" s="4" t="s">
        <v>23</v>
      </c>
      <c r="BX58" s="5">
        <v>486</v>
      </c>
      <c r="CA58" s="4" t="s">
        <v>75</v>
      </c>
      <c r="CB58" s="4">
        <v>2003</v>
      </c>
      <c r="CC58" s="4" t="s">
        <v>23</v>
      </c>
      <c r="CD58" s="5">
        <v>158</v>
      </c>
      <c r="CG58" s="4" t="s">
        <v>76</v>
      </c>
      <c r="CH58" s="4">
        <v>2003</v>
      </c>
      <c r="CI58" s="4" t="s">
        <v>23</v>
      </c>
      <c r="CJ58" s="5">
        <v>828</v>
      </c>
      <c r="CM58" s="4" t="s">
        <v>183</v>
      </c>
      <c r="CN58" s="4">
        <v>2003</v>
      </c>
      <c r="CO58" s="4" t="s">
        <v>23</v>
      </c>
      <c r="CP58" s="5">
        <v>331</v>
      </c>
      <c r="CS58" s="4" t="s">
        <v>208</v>
      </c>
      <c r="CT58" s="4">
        <v>2003</v>
      </c>
      <c r="CU58" s="4" t="s">
        <v>24</v>
      </c>
      <c r="CV58" s="5">
        <v>478</v>
      </c>
    </row>
    <row r="59" spans="1:100" x14ac:dyDescent="0.25">
      <c r="A59" s="4" t="s">
        <v>180</v>
      </c>
      <c r="B59" s="4">
        <v>2003</v>
      </c>
      <c r="C59" s="4" t="s">
        <v>24</v>
      </c>
      <c r="D59" s="5">
        <v>40</v>
      </c>
      <c r="G59" s="4" t="s">
        <v>71</v>
      </c>
      <c r="H59" s="4">
        <v>2003</v>
      </c>
      <c r="I59" s="4" t="s">
        <v>24</v>
      </c>
      <c r="J59" s="5">
        <v>715</v>
      </c>
      <c r="M59" s="4" t="s">
        <v>164</v>
      </c>
      <c r="N59" s="4">
        <v>2003</v>
      </c>
      <c r="O59" s="4" t="s">
        <v>24</v>
      </c>
      <c r="P59" s="5">
        <v>755</v>
      </c>
      <c r="S59" s="4" t="s">
        <v>166</v>
      </c>
      <c r="T59" s="4">
        <v>2003</v>
      </c>
      <c r="U59" s="4" t="s">
        <v>24</v>
      </c>
      <c r="V59" s="5">
        <v>395</v>
      </c>
      <c r="Y59" s="4" t="s">
        <v>168</v>
      </c>
      <c r="Z59" s="4">
        <v>2003</v>
      </c>
      <c r="AA59" s="4" t="s">
        <v>24</v>
      </c>
      <c r="AB59" s="5">
        <v>220</v>
      </c>
      <c r="AE59" s="4" t="s">
        <v>170</v>
      </c>
      <c r="AF59" s="4">
        <v>2003</v>
      </c>
      <c r="AG59" s="4" t="s">
        <v>24</v>
      </c>
      <c r="AH59" s="5">
        <v>1027</v>
      </c>
      <c r="AK59" s="4" t="s">
        <v>72</v>
      </c>
      <c r="AL59" s="4">
        <v>2003</v>
      </c>
      <c r="AM59" s="4" t="s">
        <v>24</v>
      </c>
      <c r="AN59" s="5">
        <v>260</v>
      </c>
      <c r="AO59" s="14"/>
      <c r="AQ59" s="4" t="s">
        <v>73</v>
      </c>
      <c r="AR59" s="4">
        <v>2003</v>
      </c>
      <c r="AS59" s="4" t="s">
        <v>24</v>
      </c>
      <c r="AT59" s="5">
        <v>251</v>
      </c>
      <c r="AW59" s="4" t="s">
        <v>172</v>
      </c>
      <c r="AX59" s="4">
        <v>2003</v>
      </c>
      <c r="AY59" s="4" t="s">
        <v>24</v>
      </c>
      <c r="AZ59" s="5">
        <v>234</v>
      </c>
      <c r="BC59" s="4" t="s">
        <v>174</v>
      </c>
      <c r="BD59" s="4">
        <v>2003</v>
      </c>
      <c r="BE59" s="4" t="s">
        <v>24</v>
      </c>
      <c r="BF59" s="5">
        <v>87</v>
      </c>
      <c r="BI59" s="4" t="s">
        <v>74</v>
      </c>
      <c r="BJ59" s="4">
        <v>2003</v>
      </c>
      <c r="BK59" s="4" t="s">
        <v>24</v>
      </c>
      <c r="BL59" s="5">
        <v>1105</v>
      </c>
      <c r="BO59" s="4" t="s">
        <v>176</v>
      </c>
      <c r="BP59" s="4">
        <v>2003</v>
      </c>
      <c r="BQ59" s="4" t="s">
        <v>24</v>
      </c>
      <c r="BR59" s="5">
        <v>170</v>
      </c>
      <c r="BU59" s="4" t="s">
        <v>178</v>
      </c>
      <c r="BV59" s="4">
        <v>2003</v>
      </c>
      <c r="BW59" s="4" t="s">
        <v>24</v>
      </c>
      <c r="BX59" s="5">
        <v>448</v>
      </c>
      <c r="CA59" s="4" t="s">
        <v>75</v>
      </c>
      <c r="CB59" s="4">
        <v>2003</v>
      </c>
      <c r="CC59" s="4" t="s">
        <v>24</v>
      </c>
      <c r="CD59" s="5">
        <v>124</v>
      </c>
      <c r="CG59" s="4" t="s">
        <v>76</v>
      </c>
      <c r="CH59" s="4">
        <v>2003</v>
      </c>
      <c r="CI59" s="4" t="s">
        <v>24</v>
      </c>
      <c r="CJ59" s="5">
        <v>831</v>
      </c>
      <c r="CM59" s="4" t="s">
        <v>183</v>
      </c>
      <c r="CN59" s="4">
        <v>2003</v>
      </c>
      <c r="CO59" s="4" t="s">
        <v>24</v>
      </c>
      <c r="CP59" s="5">
        <v>339</v>
      </c>
      <c r="CS59" s="4" t="s">
        <v>208</v>
      </c>
      <c r="CT59" s="4">
        <v>2003</v>
      </c>
      <c r="CU59" s="4" t="s">
        <v>25</v>
      </c>
      <c r="CV59" s="5">
        <v>704</v>
      </c>
    </row>
    <row r="60" spans="1:100" x14ac:dyDescent="0.25">
      <c r="A60" s="4" t="s">
        <v>180</v>
      </c>
      <c r="B60" s="4">
        <v>2003</v>
      </c>
      <c r="C60" s="4" t="s">
        <v>25</v>
      </c>
      <c r="D60" s="5">
        <v>36</v>
      </c>
      <c r="G60" s="4" t="s">
        <v>71</v>
      </c>
      <c r="H60" s="4">
        <v>2003</v>
      </c>
      <c r="I60" s="4" t="s">
        <v>25</v>
      </c>
      <c r="J60" s="5">
        <v>710</v>
      </c>
      <c r="M60" s="4" t="s">
        <v>164</v>
      </c>
      <c r="N60" s="4">
        <v>2003</v>
      </c>
      <c r="O60" s="4" t="s">
        <v>25</v>
      </c>
      <c r="P60" s="5">
        <v>800</v>
      </c>
      <c r="S60" s="4" t="s">
        <v>166</v>
      </c>
      <c r="T60" s="4">
        <v>2003</v>
      </c>
      <c r="U60" s="4" t="s">
        <v>25</v>
      </c>
      <c r="V60" s="5">
        <v>432</v>
      </c>
      <c r="Y60" s="4" t="s">
        <v>168</v>
      </c>
      <c r="Z60" s="4">
        <v>2003</v>
      </c>
      <c r="AA60" s="4" t="s">
        <v>25</v>
      </c>
      <c r="AB60" s="5">
        <v>272</v>
      </c>
      <c r="AE60" s="4" t="s">
        <v>170</v>
      </c>
      <c r="AF60" s="4">
        <v>2003</v>
      </c>
      <c r="AG60" s="4" t="s">
        <v>25</v>
      </c>
      <c r="AH60" s="5">
        <v>1162</v>
      </c>
      <c r="AK60" s="4" t="s">
        <v>72</v>
      </c>
      <c r="AL60" s="4">
        <v>2003</v>
      </c>
      <c r="AM60" s="4" t="s">
        <v>25</v>
      </c>
      <c r="AN60" s="5">
        <v>300</v>
      </c>
      <c r="AO60" s="14"/>
      <c r="AQ60" s="4" t="s">
        <v>73</v>
      </c>
      <c r="AR60" s="4">
        <v>2003</v>
      </c>
      <c r="AS60" s="4" t="s">
        <v>25</v>
      </c>
      <c r="AT60" s="5">
        <v>239</v>
      </c>
      <c r="AW60" s="4" t="s">
        <v>172</v>
      </c>
      <c r="AX60" s="4">
        <v>2003</v>
      </c>
      <c r="AY60" s="4" t="s">
        <v>25</v>
      </c>
      <c r="AZ60" s="5">
        <v>228</v>
      </c>
      <c r="BC60" s="4" t="s">
        <v>174</v>
      </c>
      <c r="BD60" s="4">
        <v>2003</v>
      </c>
      <c r="BE60" s="4" t="s">
        <v>25</v>
      </c>
      <c r="BF60" s="5">
        <v>130</v>
      </c>
      <c r="BI60" s="4" t="s">
        <v>74</v>
      </c>
      <c r="BJ60" s="4">
        <v>2003</v>
      </c>
      <c r="BK60" s="4" t="s">
        <v>25</v>
      </c>
      <c r="BL60" s="5">
        <v>1092</v>
      </c>
      <c r="BO60" s="4" t="s">
        <v>176</v>
      </c>
      <c r="BP60" s="4">
        <v>2003</v>
      </c>
      <c r="BQ60" s="4" t="s">
        <v>25</v>
      </c>
      <c r="BR60" s="5">
        <v>215</v>
      </c>
      <c r="BU60" s="4" t="s">
        <v>178</v>
      </c>
      <c r="BV60" s="4">
        <v>2003</v>
      </c>
      <c r="BW60" s="4" t="s">
        <v>25</v>
      </c>
      <c r="BX60" s="5">
        <v>555</v>
      </c>
      <c r="CA60" s="4" t="s">
        <v>75</v>
      </c>
      <c r="CB60" s="4">
        <v>2003</v>
      </c>
      <c r="CC60" s="4" t="s">
        <v>25</v>
      </c>
      <c r="CD60" s="5">
        <v>115</v>
      </c>
      <c r="CG60" s="4" t="s">
        <v>76</v>
      </c>
      <c r="CH60" s="4">
        <v>2003</v>
      </c>
      <c r="CI60" s="4" t="s">
        <v>25</v>
      </c>
      <c r="CJ60" s="5">
        <v>933</v>
      </c>
      <c r="CM60" s="4" t="s">
        <v>183</v>
      </c>
      <c r="CN60" s="4">
        <v>2003</v>
      </c>
      <c r="CO60" s="4" t="s">
        <v>25</v>
      </c>
      <c r="CP60" s="5">
        <v>359</v>
      </c>
      <c r="CS60" s="4" t="s">
        <v>208</v>
      </c>
      <c r="CT60" s="4">
        <v>2003</v>
      </c>
      <c r="CU60" s="4" t="s">
        <v>26</v>
      </c>
      <c r="CV60" s="5">
        <v>749</v>
      </c>
    </row>
    <row r="61" spans="1:100" x14ac:dyDescent="0.25">
      <c r="A61" s="4" t="s">
        <v>180</v>
      </c>
      <c r="B61" s="4">
        <v>2003</v>
      </c>
      <c r="C61" s="4" t="s">
        <v>26</v>
      </c>
      <c r="D61" s="5">
        <v>43</v>
      </c>
      <c r="G61" s="4" t="s">
        <v>71</v>
      </c>
      <c r="H61" s="4">
        <v>2003</v>
      </c>
      <c r="I61" s="4" t="s">
        <v>26</v>
      </c>
      <c r="J61" s="5">
        <v>677</v>
      </c>
      <c r="M61" s="4" t="s">
        <v>164</v>
      </c>
      <c r="N61" s="4">
        <v>2003</v>
      </c>
      <c r="O61" s="4" t="s">
        <v>26</v>
      </c>
      <c r="P61" s="5">
        <v>799</v>
      </c>
      <c r="S61" s="4" t="s">
        <v>166</v>
      </c>
      <c r="T61" s="4">
        <v>2003</v>
      </c>
      <c r="U61" s="4" t="s">
        <v>26</v>
      </c>
      <c r="V61" s="5">
        <v>394</v>
      </c>
      <c r="Y61" s="4" t="s">
        <v>168</v>
      </c>
      <c r="Z61" s="4">
        <v>2003</v>
      </c>
      <c r="AA61" s="4" t="s">
        <v>26</v>
      </c>
      <c r="AB61" s="5">
        <v>228</v>
      </c>
      <c r="AE61" s="4" t="s">
        <v>170</v>
      </c>
      <c r="AF61" s="4">
        <v>2003</v>
      </c>
      <c r="AG61" s="4" t="s">
        <v>26</v>
      </c>
      <c r="AH61" s="5">
        <v>1159</v>
      </c>
      <c r="AK61" s="4" t="s">
        <v>72</v>
      </c>
      <c r="AL61" s="4">
        <v>2003</v>
      </c>
      <c r="AM61" s="4" t="s">
        <v>26</v>
      </c>
      <c r="AN61" s="5">
        <v>289</v>
      </c>
      <c r="AO61" s="14"/>
      <c r="AQ61" s="4" t="s">
        <v>73</v>
      </c>
      <c r="AR61" s="4">
        <v>2003</v>
      </c>
      <c r="AS61" s="4" t="s">
        <v>26</v>
      </c>
      <c r="AT61" s="5">
        <v>224</v>
      </c>
      <c r="AW61" s="4" t="s">
        <v>172</v>
      </c>
      <c r="AX61" s="4">
        <v>2003</v>
      </c>
      <c r="AY61" s="4" t="s">
        <v>26</v>
      </c>
      <c r="AZ61" s="5">
        <v>187</v>
      </c>
      <c r="BC61" s="4" t="s">
        <v>174</v>
      </c>
      <c r="BD61" s="4">
        <v>2003</v>
      </c>
      <c r="BE61" s="4" t="s">
        <v>26</v>
      </c>
      <c r="BF61" s="5">
        <v>97</v>
      </c>
      <c r="BI61" s="4" t="s">
        <v>74</v>
      </c>
      <c r="BJ61" s="4">
        <v>2003</v>
      </c>
      <c r="BK61" s="4" t="s">
        <v>26</v>
      </c>
      <c r="BL61" s="5">
        <v>1021</v>
      </c>
      <c r="BO61" s="4" t="s">
        <v>176</v>
      </c>
      <c r="BP61" s="4">
        <v>2003</v>
      </c>
      <c r="BQ61" s="4" t="s">
        <v>26</v>
      </c>
      <c r="BR61" s="5">
        <v>191</v>
      </c>
      <c r="BU61" s="4" t="s">
        <v>178</v>
      </c>
      <c r="BV61" s="4">
        <v>2003</v>
      </c>
      <c r="BW61" s="4" t="s">
        <v>26</v>
      </c>
      <c r="BX61" s="5">
        <v>507</v>
      </c>
      <c r="CA61" s="4" t="s">
        <v>75</v>
      </c>
      <c r="CB61" s="4">
        <v>2003</v>
      </c>
      <c r="CC61" s="4" t="s">
        <v>26</v>
      </c>
      <c r="CD61" s="5">
        <v>131</v>
      </c>
      <c r="CG61" s="4" t="s">
        <v>76</v>
      </c>
      <c r="CH61" s="4">
        <v>2003</v>
      </c>
      <c r="CI61" s="4" t="s">
        <v>26</v>
      </c>
      <c r="CJ61" s="5">
        <v>889</v>
      </c>
      <c r="CM61" s="4" t="s">
        <v>183</v>
      </c>
      <c r="CN61" s="4">
        <v>2003</v>
      </c>
      <c r="CO61" s="4" t="s">
        <v>26</v>
      </c>
      <c r="CP61" s="5">
        <v>405</v>
      </c>
      <c r="CS61" s="4" t="s">
        <v>208</v>
      </c>
      <c r="CT61" s="4">
        <v>2003</v>
      </c>
      <c r="CU61" s="4" t="s">
        <v>27</v>
      </c>
      <c r="CV61" s="5">
        <v>745</v>
      </c>
    </row>
    <row r="62" spans="1:100" x14ac:dyDescent="0.25">
      <c r="A62" s="4" t="s">
        <v>180</v>
      </c>
      <c r="B62" s="4">
        <v>2003</v>
      </c>
      <c r="C62" s="4" t="s">
        <v>27</v>
      </c>
      <c r="D62" s="5">
        <v>20</v>
      </c>
      <c r="G62" s="4" t="s">
        <v>71</v>
      </c>
      <c r="H62" s="4">
        <v>2003</v>
      </c>
      <c r="I62" s="4" t="s">
        <v>27</v>
      </c>
      <c r="J62" s="5">
        <v>650</v>
      </c>
      <c r="M62" s="4" t="s">
        <v>164</v>
      </c>
      <c r="N62" s="4">
        <v>2003</v>
      </c>
      <c r="O62" s="4" t="s">
        <v>27</v>
      </c>
      <c r="P62" s="5">
        <v>752</v>
      </c>
      <c r="S62" s="4" t="s">
        <v>166</v>
      </c>
      <c r="T62" s="4">
        <v>2003</v>
      </c>
      <c r="U62" s="4" t="s">
        <v>27</v>
      </c>
      <c r="V62" s="5">
        <v>434</v>
      </c>
      <c r="Y62" s="4" t="s">
        <v>168</v>
      </c>
      <c r="Z62" s="4">
        <v>2003</v>
      </c>
      <c r="AA62" s="4" t="s">
        <v>27</v>
      </c>
      <c r="AB62" s="5">
        <v>217</v>
      </c>
      <c r="AE62" s="4" t="s">
        <v>170</v>
      </c>
      <c r="AF62" s="4">
        <v>2003</v>
      </c>
      <c r="AG62" s="4" t="s">
        <v>27</v>
      </c>
      <c r="AH62" s="5">
        <v>944</v>
      </c>
      <c r="AK62" s="4" t="s">
        <v>72</v>
      </c>
      <c r="AL62" s="4">
        <v>2003</v>
      </c>
      <c r="AM62" s="4" t="s">
        <v>27</v>
      </c>
      <c r="AN62" s="5">
        <v>255</v>
      </c>
      <c r="AO62" s="14"/>
      <c r="AQ62" s="4" t="s">
        <v>73</v>
      </c>
      <c r="AR62" s="4">
        <v>2003</v>
      </c>
      <c r="AS62" s="4" t="s">
        <v>27</v>
      </c>
      <c r="AT62" s="5">
        <v>224</v>
      </c>
      <c r="AW62" s="4" t="s">
        <v>172</v>
      </c>
      <c r="AX62" s="4">
        <v>2003</v>
      </c>
      <c r="AY62" s="4" t="s">
        <v>27</v>
      </c>
      <c r="AZ62" s="5">
        <v>241</v>
      </c>
      <c r="BC62" s="4" t="s">
        <v>174</v>
      </c>
      <c r="BD62" s="4">
        <v>2003</v>
      </c>
      <c r="BE62" s="4" t="s">
        <v>27</v>
      </c>
      <c r="BF62" s="5">
        <v>101</v>
      </c>
      <c r="BI62" s="4" t="s">
        <v>74</v>
      </c>
      <c r="BJ62" s="4">
        <v>2003</v>
      </c>
      <c r="BK62" s="4" t="s">
        <v>27</v>
      </c>
      <c r="BL62" s="5">
        <v>881</v>
      </c>
      <c r="BO62" s="4" t="s">
        <v>176</v>
      </c>
      <c r="BP62" s="4">
        <v>2003</v>
      </c>
      <c r="BQ62" s="4" t="s">
        <v>27</v>
      </c>
      <c r="BR62" s="5">
        <v>218</v>
      </c>
      <c r="BU62" s="4" t="s">
        <v>178</v>
      </c>
      <c r="BV62" s="4">
        <v>2003</v>
      </c>
      <c r="BW62" s="4" t="s">
        <v>27</v>
      </c>
      <c r="BX62" s="5">
        <v>542</v>
      </c>
      <c r="CA62" s="4" t="s">
        <v>75</v>
      </c>
      <c r="CB62" s="4">
        <v>2003</v>
      </c>
      <c r="CC62" s="4" t="s">
        <v>27</v>
      </c>
      <c r="CD62" s="5">
        <v>130</v>
      </c>
      <c r="CG62" s="4" t="s">
        <v>76</v>
      </c>
      <c r="CH62" s="4">
        <v>2003</v>
      </c>
      <c r="CI62" s="4" t="s">
        <v>27</v>
      </c>
      <c r="CJ62" s="5">
        <v>920</v>
      </c>
      <c r="CM62" s="4" t="s">
        <v>183</v>
      </c>
      <c r="CN62" s="4">
        <v>2003</v>
      </c>
      <c r="CO62" s="4" t="s">
        <v>27</v>
      </c>
      <c r="CP62" s="5">
        <v>373</v>
      </c>
      <c r="CS62" s="4" t="s">
        <v>208</v>
      </c>
      <c r="CT62" s="4">
        <v>2003</v>
      </c>
      <c r="CU62" s="4" t="s">
        <v>28</v>
      </c>
      <c r="CV62" s="5">
        <v>556</v>
      </c>
    </row>
    <row r="63" spans="1:100" x14ac:dyDescent="0.25">
      <c r="A63" s="4" t="s">
        <v>180</v>
      </c>
      <c r="B63" s="4">
        <v>2003</v>
      </c>
      <c r="C63" s="4" t="s">
        <v>28</v>
      </c>
      <c r="D63" s="5">
        <v>25</v>
      </c>
      <c r="G63" s="4" t="s">
        <v>71</v>
      </c>
      <c r="H63" s="4">
        <v>2003</v>
      </c>
      <c r="I63" s="4" t="s">
        <v>28</v>
      </c>
      <c r="J63" s="5">
        <v>681</v>
      </c>
      <c r="M63" s="4" t="s">
        <v>164</v>
      </c>
      <c r="N63" s="4">
        <v>2003</v>
      </c>
      <c r="O63" s="4" t="s">
        <v>28</v>
      </c>
      <c r="P63" s="5">
        <v>788</v>
      </c>
      <c r="S63" s="4" t="s">
        <v>166</v>
      </c>
      <c r="T63" s="4">
        <v>2003</v>
      </c>
      <c r="U63" s="4" t="s">
        <v>28</v>
      </c>
      <c r="V63" s="5">
        <v>386</v>
      </c>
      <c r="Y63" s="4" t="s">
        <v>168</v>
      </c>
      <c r="Z63" s="4">
        <v>2003</v>
      </c>
      <c r="AA63" s="4" t="s">
        <v>28</v>
      </c>
      <c r="AB63" s="5">
        <v>221</v>
      </c>
      <c r="AE63" s="4" t="s">
        <v>170</v>
      </c>
      <c r="AF63" s="4">
        <v>2003</v>
      </c>
      <c r="AG63" s="4" t="s">
        <v>28</v>
      </c>
      <c r="AH63" s="5">
        <v>1008</v>
      </c>
      <c r="AK63" s="4" t="s">
        <v>72</v>
      </c>
      <c r="AL63" s="4">
        <v>2003</v>
      </c>
      <c r="AM63" s="4" t="s">
        <v>28</v>
      </c>
      <c r="AN63" s="5">
        <v>255</v>
      </c>
      <c r="AO63" s="14"/>
      <c r="AQ63" s="4" t="s">
        <v>73</v>
      </c>
      <c r="AR63" s="4">
        <v>2003</v>
      </c>
      <c r="AS63" s="4" t="s">
        <v>28</v>
      </c>
      <c r="AT63" s="5">
        <v>248</v>
      </c>
      <c r="AW63" s="4" t="s">
        <v>172</v>
      </c>
      <c r="AX63" s="4">
        <v>2003</v>
      </c>
      <c r="AY63" s="4" t="s">
        <v>28</v>
      </c>
      <c r="AZ63" s="5">
        <v>198</v>
      </c>
      <c r="BC63" s="4" t="s">
        <v>174</v>
      </c>
      <c r="BD63" s="4">
        <v>2003</v>
      </c>
      <c r="BE63" s="4" t="s">
        <v>28</v>
      </c>
      <c r="BF63" s="5">
        <v>107</v>
      </c>
      <c r="BI63" s="4" t="s">
        <v>74</v>
      </c>
      <c r="BJ63" s="4">
        <v>2003</v>
      </c>
      <c r="BK63" s="4" t="s">
        <v>28</v>
      </c>
      <c r="BL63" s="5">
        <v>975</v>
      </c>
      <c r="BO63" s="4" t="s">
        <v>176</v>
      </c>
      <c r="BP63" s="4">
        <v>2003</v>
      </c>
      <c r="BQ63" s="4" t="s">
        <v>28</v>
      </c>
      <c r="BR63" s="5">
        <v>139</v>
      </c>
      <c r="BU63" s="4" t="s">
        <v>178</v>
      </c>
      <c r="BV63" s="4">
        <v>2003</v>
      </c>
      <c r="BW63" s="4" t="s">
        <v>28</v>
      </c>
      <c r="BX63" s="5">
        <v>510</v>
      </c>
      <c r="CA63" s="4" t="s">
        <v>75</v>
      </c>
      <c r="CB63" s="4">
        <v>2003</v>
      </c>
      <c r="CC63" s="4" t="s">
        <v>28</v>
      </c>
      <c r="CD63" s="5">
        <v>181</v>
      </c>
      <c r="CG63" s="4" t="s">
        <v>76</v>
      </c>
      <c r="CH63" s="4">
        <v>2003</v>
      </c>
      <c r="CI63" s="4" t="s">
        <v>28</v>
      </c>
      <c r="CJ63" s="5">
        <v>796</v>
      </c>
      <c r="CM63" s="4" t="s">
        <v>183</v>
      </c>
      <c r="CN63" s="4">
        <v>2003</v>
      </c>
      <c r="CO63" s="4" t="s">
        <v>28</v>
      </c>
      <c r="CP63" s="5">
        <v>338</v>
      </c>
      <c r="CS63" s="4" t="s">
        <v>208</v>
      </c>
      <c r="CT63" s="4">
        <v>2003</v>
      </c>
      <c r="CU63" s="4" t="s">
        <v>29</v>
      </c>
      <c r="CV63" s="5">
        <v>500</v>
      </c>
    </row>
    <row r="64" spans="1:100" x14ac:dyDescent="0.25">
      <c r="A64" s="4" t="s">
        <v>180</v>
      </c>
      <c r="B64" s="4">
        <v>2003</v>
      </c>
      <c r="C64" s="4" t="s">
        <v>29</v>
      </c>
      <c r="D64" s="5">
        <v>31</v>
      </c>
      <c r="G64" s="4" t="s">
        <v>71</v>
      </c>
      <c r="H64" s="4">
        <v>2003</v>
      </c>
      <c r="I64" s="4" t="s">
        <v>29</v>
      </c>
      <c r="J64" s="5">
        <v>651</v>
      </c>
      <c r="M64" s="4" t="s">
        <v>164</v>
      </c>
      <c r="N64" s="4">
        <v>2003</v>
      </c>
      <c r="O64" s="4" t="s">
        <v>29</v>
      </c>
      <c r="P64" s="5">
        <v>683</v>
      </c>
      <c r="S64" s="4" t="s">
        <v>166</v>
      </c>
      <c r="T64" s="4">
        <v>2003</v>
      </c>
      <c r="U64" s="4" t="s">
        <v>29</v>
      </c>
      <c r="V64" s="5">
        <v>358</v>
      </c>
      <c r="Y64" s="4" t="s">
        <v>168</v>
      </c>
      <c r="Z64" s="4">
        <v>2003</v>
      </c>
      <c r="AA64" s="4" t="s">
        <v>29</v>
      </c>
      <c r="AB64" s="5">
        <v>212</v>
      </c>
      <c r="AE64" s="4" t="s">
        <v>170</v>
      </c>
      <c r="AF64" s="4">
        <v>2003</v>
      </c>
      <c r="AG64" s="4" t="s">
        <v>29</v>
      </c>
      <c r="AH64" s="5">
        <v>977</v>
      </c>
      <c r="AK64" s="4" t="s">
        <v>72</v>
      </c>
      <c r="AL64" s="4">
        <v>2003</v>
      </c>
      <c r="AM64" s="4" t="s">
        <v>29</v>
      </c>
      <c r="AN64" s="5">
        <v>260</v>
      </c>
      <c r="AO64" s="14"/>
      <c r="AQ64" s="4" t="s">
        <v>73</v>
      </c>
      <c r="AR64" s="4">
        <v>2003</v>
      </c>
      <c r="AS64" s="4" t="s">
        <v>29</v>
      </c>
      <c r="AT64" s="5">
        <v>182</v>
      </c>
      <c r="AW64" s="4" t="s">
        <v>172</v>
      </c>
      <c r="AX64" s="4">
        <v>2003</v>
      </c>
      <c r="AY64" s="4" t="s">
        <v>29</v>
      </c>
      <c r="AZ64" s="5">
        <v>192</v>
      </c>
      <c r="BC64" s="4" t="s">
        <v>174</v>
      </c>
      <c r="BD64" s="4">
        <v>2003</v>
      </c>
      <c r="BE64" s="4" t="s">
        <v>29</v>
      </c>
      <c r="BF64" s="5">
        <v>111</v>
      </c>
      <c r="BI64" s="4" t="s">
        <v>74</v>
      </c>
      <c r="BJ64" s="4">
        <v>2003</v>
      </c>
      <c r="BK64" s="4" t="s">
        <v>29</v>
      </c>
      <c r="BL64" s="5">
        <v>1014</v>
      </c>
      <c r="BO64" s="4" t="s">
        <v>176</v>
      </c>
      <c r="BP64" s="4">
        <v>2003</v>
      </c>
      <c r="BQ64" s="4" t="s">
        <v>29</v>
      </c>
      <c r="BR64" s="5">
        <v>107</v>
      </c>
      <c r="BU64" s="4" t="s">
        <v>178</v>
      </c>
      <c r="BV64" s="4">
        <v>2003</v>
      </c>
      <c r="BW64" s="4" t="s">
        <v>29</v>
      </c>
      <c r="BX64" s="5">
        <v>532</v>
      </c>
      <c r="CA64" s="4" t="s">
        <v>75</v>
      </c>
      <c r="CB64" s="4">
        <v>2003</v>
      </c>
      <c r="CC64" s="4" t="s">
        <v>29</v>
      </c>
      <c r="CD64" s="5">
        <v>134</v>
      </c>
      <c r="CG64" s="4" t="s">
        <v>76</v>
      </c>
      <c r="CH64" s="4">
        <v>2003</v>
      </c>
      <c r="CI64" s="4" t="s">
        <v>29</v>
      </c>
      <c r="CJ64" s="5">
        <v>799</v>
      </c>
      <c r="CM64" s="4" t="s">
        <v>183</v>
      </c>
      <c r="CN64" s="4">
        <v>2003</v>
      </c>
      <c r="CO64" s="4" t="s">
        <v>29</v>
      </c>
      <c r="CP64" s="5">
        <v>378</v>
      </c>
      <c r="CS64" s="4" t="s">
        <v>208</v>
      </c>
      <c r="CT64" s="4">
        <v>2003</v>
      </c>
      <c r="CU64" s="4" t="s">
        <v>30</v>
      </c>
      <c r="CV64" s="5">
        <v>542</v>
      </c>
    </row>
    <row r="65" spans="1:100" x14ac:dyDescent="0.25">
      <c r="A65" s="4" t="s">
        <v>180</v>
      </c>
      <c r="B65" s="4">
        <v>2003</v>
      </c>
      <c r="C65" s="4" t="s">
        <v>30</v>
      </c>
      <c r="D65" s="5">
        <v>34</v>
      </c>
      <c r="G65" s="4" t="s">
        <v>71</v>
      </c>
      <c r="H65" s="4">
        <v>2003</v>
      </c>
      <c r="I65" s="4" t="s">
        <v>30</v>
      </c>
      <c r="J65" s="5">
        <v>690</v>
      </c>
      <c r="M65" s="4" t="s">
        <v>164</v>
      </c>
      <c r="N65" s="4">
        <v>2003</v>
      </c>
      <c r="O65" s="4" t="s">
        <v>30</v>
      </c>
      <c r="P65" s="5">
        <v>691</v>
      </c>
      <c r="S65" s="4" t="s">
        <v>166</v>
      </c>
      <c r="T65" s="4">
        <v>2003</v>
      </c>
      <c r="U65" s="4" t="s">
        <v>30</v>
      </c>
      <c r="V65" s="5">
        <v>343</v>
      </c>
      <c r="Y65" s="4" t="s">
        <v>168</v>
      </c>
      <c r="Z65" s="4">
        <v>2003</v>
      </c>
      <c r="AA65" s="4" t="s">
        <v>30</v>
      </c>
      <c r="AB65" s="5">
        <v>237</v>
      </c>
      <c r="AE65" s="4" t="s">
        <v>170</v>
      </c>
      <c r="AF65" s="4">
        <v>2003</v>
      </c>
      <c r="AG65" s="4" t="s">
        <v>30</v>
      </c>
      <c r="AH65" s="5">
        <v>919</v>
      </c>
      <c r="AK65" s="4" t="s">
        <v>72</v>
      </c>
      <c r="AL65" s="4">
        <v>2003</v>
      </c>
      <c r="AM65" s="4" t="s">
        <v>30</v>
      </c>
      <c r="AN65" s="5">
        <v>275</v>
      </c>
      <c r="AO65" s="14"/>
      <c r="AQ65" s="4" t="s">
        <v>73</v>
      </c>
      <c r="AR65" s="4">
        <v>2003</v>
      </c>
      <c r="AS65" s="4" t="s">
        <v>30</v>
      </c>
      <c r="AT65" s="5">
        <v>257</v>
      </c>
      <c r="AW65" s="4" t="s">
        <v>172</v>
      </c>
      <c r="AX65" s="4">
        <v>2003</v>
      </c>
      <c r="AY65" s="4" t="s">
        <v>30</v>
      </c>
      <c r="AZ65" s="5">
        <v>191</v>
      </c>
      <c r="BC65" s="4" t="s">
        <v>174</v>
      </c>
      <c r="BD65" s="4">
        <v>2003</v>
      </c>
      <c r="BE65" s="4" t="s">
        <v>30</v>
      </c>
      <c r="BF65" s="5">
        <v>121</v>
      </c>
      <c r="BI65" s="4" t="s">
        <v>74</v>
      </c>
      <c r="BJ65" s="4">
        <v>2003</v>
      </c>
      <c r="BK65" s="4" t="s">
        <v>30</v>
      </c>
      <c r="BL65" s="5">
        <v>948</v>
      </c>
      <c r="BO65" s="4" t="s">
        <v>176</v>
      </c>
      <c r="BP65" s="4">
        <v>2003</v>
      </c>
      <c r="BQ65" s="4" t="s">
        <v>30</v>
      </c>
      <c r="BR65" s="5">
        <v>120</v>
      </c>
      <c r="BU65" s="4" t="s">
        <v>178</v>
      </c>
      <c r="BV65" s="4">
        <v>2003</v>
      </c>
      <c r="BW65" s="4" t="s">
        <v>30</v>
      </c>
      <c r="BX65" s="5">
        <v>542</v>
      </c>
      <c r="CA65" s="4" t="s">
        <v>75</v>
      </c>
      <c r="CB65" s="4">
        <v>2003</v>
      </c>
      <c r="CC65" s="4" t="s">
        <v>30</v>
      </c>
      <c r="CD65" s="5">
        <v>162</v>
      </c>
      <c r="CG65" s="4" t="s">
        <v>76</v>
      </c>
      <c r="CH65" s="4">
        <v>2003</v>
      </c>
      <c r="CI65" s="4" t="s">
        <v>30</v>
      </c>
      <c r="CJ65" s="5">
        <v>828</v>
      </c>
      <c r="CM65" s="4" t="s">
        <v>183</v>
      </c>
      <c r="CN65" s="4">
        <v>2003</v>
      </c>
      <c r="CO65" s="4" t="s">
        <v>30</v>
      </c>
      <c r="CP65" s="5">
        <v>357</v>
      </c>
      <c r="CS65" s="4" t="s">
        <v>208</v>
      </c>
      <c r="CT65" s="4">
        <v>2003</v>
      </c>
      <c r="CU65" s="4" t="s">
        <v>19</v>
      </c>
      <c r="CV65" s="5">
        <v>516</v>
      </c>
    </row>
    <row r="66" spans="1:100" x14ac:dyDescent="0.25">
      <c r="A66" s="4" t="s">
        <v>180</v>
      </c>
      <c r="B66" s="4">
        <v>2003</v>
      </c>
      <c r="C66" s="4" t="s">
        <v>19</v>
      </c>
      <c r="D66" s="5">
        <v>32</v>
      </c>
      <c r="G66" s="4" t="s">
        <v>71</v>
      </c>
      <c r="H66" s="4">
        <v>2003</v>
      </c>
      <c r="I66" s="4" t="s">
        <v>19</v>
      </c>
      <c r="J66" s="5">
        <v>813</v>
      </c>
      <c r="M66" s="4" t="s">
        <v>164</v>
      </c>
      <c r="N66" s="4">
        <v>2003</v>
      </c>
      <c r="O66" s="4" t="s">
        <v>19</v>
      </c>
      <c r="P66" s="5">
        <v>647</v>
      </c>
      <c r="S66" s="4" t="s">
        <v>166</v>
      </c>
      <c r="T66" s="4">
        <v>2003</v>
      </c>
      <c r="U66" s="4" t="s">
        <v>19</v>
      </c>
      <c r="V66" s="5">
        <v>378</v>
      </c>
      <c r="Y66" s="4" t="s">
        <v>168</v>
      </c>
      <c r="Z66" s="4">
        <v>2003</v>
      </c>
      <c r="AA66" s="4" t="s">
        <v>19</v>
      </c>
      <c r="AB66" s="5">
        <v>215</v>
      </c>
      <c r="AE66" s="4" t="s">
        <v>170</v>
      </c>
      <c r="AF66" s="4">
        <v>2003</v>
      </c>
      <c r="AG66" s="4" t="s">
        <v>19</v>
      </c>
      <c r="AH66" s="5">
        <v>867</v>
      </c>
      <c r="AK66" s="4" t="s">
        <v>72</v>
      </c>
      <c r="AL66" s="4">
        <v>2003</v>
      </c>
      <c r="AM66" s="4" t="s">
        <v>19</v>
      </c>
      <c r="AN66" s="5">
        <v>267</v>
      </c>
      <c r="AO66" s="14"/>
      <c r="AQ66" s="4" t="s">
        <v>73</v>
      </c>
      <c r="AR66" s="4">
        <v>2003</v>
      </c>
      <c r="AS66" s="4" t="s">
        <v>19</v>
      </c>
      <c r="AT66" s="5">
        <v>224</v>
      </c>
      <c r="AW66" s="4" t="s">
        <v>172</v>
      </c>
      <c r="AX66" s="4">
        <v>2003</v>
      </c>
      <c r="AY66" s="4" t="s">
        <v>19</v>
      </c>
      <c r="AZ66" s="5">
        <v>195</v>
      </c>
      <c r="BC66" s="4" t="s">
        <v>174</v>
      </c>
      <c r="BD66" s="4">
        <v>2003</v>
      </c>
      <c r="BE66" s="4" t="s">
        <v>19</v>
      </c>
      <c r="BF66" s="5">
        <v>88</v>
      </c>
      <c r="BI66" s="4" t="s">
        <v>74</v>
      </c>
      <c r="BJ66" s="4">
        <v>2003</v>
      </c>
      <c r="BK66" s="4" t="s">
        <v>19</v>
      </c>
      <c r="BL66" s="5">
        <v>948</v>
      </c>
      <c r="BO66" s="4" t="s">
        <v>176</v>
      </c>
      <c r="BP66" s="4">
        <v>2003</v>
      </c>
      <c r="BQ66" s="4" t="s">
        <v>19</v>
      </c>
      <c r="BR66" s="5">
        <v>128</v>
      </c>
      <c r="BU66" s="4" t="s">
        <v>178</v>
      </c>
      <c r="BV66" s="4">
        <v>2003</v>
      </c>
      <c r="BW66" s="4" t="s">
        <v>19</v>
      </c>
      <c r="BX66" s="5">
        <v>492</v>
      </c>
      <c r="CA66" s="4" t="s">
        <v>75</v>
      </c>
      <c r="CB66" s="4">
        <v>2003</v>
      </c>
      <c r="CC66" s="4" t="s">
        <v>19</v>
      </c>
      <c r="CD66" s="5">
        <v>144</v>
      </c>
      <c r="CG66" s="4" t="s">
        <v>76</v>
      </c>
      <c r="CH66" s="4">
        <v>2003</v>
      </c>
      <c r="CI66" s="4" t="s">
        <v>19</v>
      </c>
      <c r="CJ66" s="5">
        <v>741</v>
      </c>
      <c r="CM66" s="4" t="s">
        <v>183</v>
      </c>
      <c r="CN66" s="4">
        <v>2003</v>
      </c>
      <c r="CO66" s="4" t="s">
        <v>19</v>
      </c>
      <c r="CP66" s="5">
        <v>278</v>
      </c>
      <c r="CS66" s="4" t="s">
        <v>208</v>
      </c>
      <c r="CT66" s="4">
        <v>2003</v>
      </c>
      <c r="CU66" s="4" t="s">
        <v>96</v>
      </c>
      <c r="CV66" s="5">
        <v>568</v>
      </c>
    </row>
    <row r="67" spans="1:100" x14ac:dyDescent="0.25">
      <c r="A67" s="4" t="s">
        <v>180</v>
      </c>
      <c r="B67" s="4">
        <v>2003</v>
      </c>
      <c r="C67" s="4" t="s">
        <v>96</v>
      </c>
      <c r="D67" s="5">
        <v>37</v>
      </c>
      <c r="G67" s="4" t="s">
        <v>71</v>
      </c>
      <c r="H67" s="4">
        <v>2003</v>
      </c>
      <c r="I67" s="4" t="s">
        <v>96</v>
      </c>
      <c r="J67" s="5">
        <v>810</v>
      </c>
      <c r="M67" s="4" t="s">
        <v>164</v>
      </c>
      <c r="N67" s="4">
        <v>2003</v>
      </c>
      <c r="O67" s="4" t="s">
        <v>96</v>
      </c>
      <c r="P67" s="5">
        <v>762</v>
      </c>
      <c r="S67" s="4" t="s">
        <v>166</v>
      </c>
      <c r="T67" s="4">
        <v>2003</v>
      </c>
      <c r="U67" s="4" t="s">
        <v>96</v>
      </c>
      <c r="V67" s="5">
        <v>404</v>
      </c>
      <c r="Y67" s="4" t="s">
        <v>168</v>
      </c>
      <c r="Z67" s="4">
        <v>2003</v>
      </c>
      <c r="AA67" s="4" t="s">
        <v>96</v>
      </c>
      <c r="AB67" s="5">
        <v>226</v>
      </c>
      <c r="AE67" s="4" t="s">
        <v>170</v>
      </c>
      <c r="AF67" s="4">
        <v>2003</v>
      </c>
      <c r="AG67" s="4" t="s">
        <v>96</v>
      </c>
      <c r="AH67" s="5">
        <v>1011</v>
      </c>
      <c r="AK67" s="4" t="s">
        <v>72</v>
      </c>
      <c r="AL67" s="4">
        <v>2003</v>
      </c>
      <c r="AM67" s="4" t="s">
        <v>96</v>
      </c>
      <c r="AN67" s="5">
        <v>283</v>
      </c>
      <c r="AO67" s="14"/>
      <c r="AQ67" s="4" t="s">
        <v>73</v>
      </c>
      <c r="AR67" s="4">
        <v>2003</v>
      </c>
      <c r="AS67" s="4" t="s">
        <v>96</v>
      </c>
      <c r="AT67" s="5">
        <v>246</v>
      </c>
      <c r="AW67" s="4" t="s">
        <v>172</v>
      </c>
      <c r="AX67" s="4">
        <v>2003</v>
      </c>
      <c r="AY67" s="4" t="s">
        <v>96</v>
      </c>
      <c r="AZ67" s="5">
        <v>217</v>
      </c>
      <c r="BC67" s="4" t="s">
        <v>174</v>
      </c>
      <c r="BD67" s="4">
        <v>2003</v>
      </c>
      <c r="BE67" s="4" t="s">
        <v>96</v>
      </c>
      <c r="BF67" s="5">
        <v>101</v>
      </c>
      <c r="BI67" s="4" t="s">
        <v>74</v>
      </c>
      <c r="BJ67" s="4">
        <v>2003</v>
      </c>
      <c r="BK67" s="4" t="s">
        <v>96</v>
      </c>
      <c r="BL67" s="5">
        <v>1042</v>
      </c>
      <c r="BO67" s="4" t="s">
        <v>176</v>
      </c>
      <c r="BP67" s="4">
        <v>2003</v>
      </c>
      <c r="BQ67" s="4" t="s">
        <v>96</v>
      </c>
      <c r="BR67" s="5">
        <v>145</v>
      </c>
      <c r="BU67" s="4" t="s">
        <v>178</v>
      </c>
      <c r="BV67" s="4">
        <v>2003</v>
      </c>
      <c r="BW67" s="4" t="s">
        <v>96</v>
      </c>
      <c r="BX67" s="5">
        <v>494</v>
      </c>
      <c r="CA67" s="4" t="s">
        <v>75</v>
      </c>
      <c r="CB67" s="4">
        <v>2003</v>
      </c>
      <c r="CC67" s="4" t="s">
        <v>96</v>
      </c>
      <c r="CD67" s="5">
        <v>155</v>
      </c>
      <c r="CG67" s="4" t="s">
        <v>76</v>
      </c>
      <c r="CH67" s="4">
        <v>2003</v>
      </c>
      <c r="CI67" s="4" t="s">
        <v>96</v>
      </c>
      <c r="CJ67" s="5">
        <v>851</v>
      </c>
      <c r="CM67" s="4" t="s">
        <v>183</v>
      </c>
      <c r="CN67" s="4">
        <v>2003</v>
      </c>
      <c r="CO67" s="4" t="s">
        <v>96</v>
      </c>
      <c r="CP67" s="5">
        <v>347</v>
      </c>
      <c r="CS67" s="4" t="s">
        <v>208</v>
      </c>
      <c r="CT67" s="4">
        <v>2004</v>
      </c>
      <c r="CU67" s="4" t="s">
        <v>20</v>
      </c>
      <c r="CV67" s="5">
        <v>511</v>
      </c>
    </row>
    <row r="68" spans="1:100" x14ac:dyDescent="0.25">
      <c r="A68" s="4" t="s">
        <v>180</v>
      </c>
      <c r="B68" s="4">
        <v>2004</v>
      </c>
      <c r="C68" s="4" t="s">
        <v>20</v>
      </c>
      <c r="D68" s="5">
        <v>31</v>
      </c>
      <c r="G68" s="4" t="s">
        <v>71</v>
      </c>
      <c r="H68" s="4">
        <v>2004</v>
      </c>
      <c r="I68" s="4" t="s">
        <v>20</v>
      </c>
      <c r="J68" s="5">
        <v>994</v>
      </c>
      <c r="M68" s="4" t="s">
        <v>164</v>
      </c>
      <c r="N68" s="4">
        <v>2004</v>
      </c>
      <c r="O68" s="4" t="s">
        <v>20</v>
      </c>
      <c r="P68" s="5">
        <v>695</v>
      </c>
      <c r="S68" s="4" t="s">
        <v>166</v>
      </c>
      <c r="T68" s="4">
        <v>2004</v>
      </c>
      <c r="U68" s="4" t="s">
        <v>20</v>
      </c>
      <c r="V68" s="5">
        <v>414</v>
      </c>
      <c r="Y68" s="4" t="s">
        <v>168</v>
      </c>
      <c r="Z68" s="4">
        <v>2004</v>
      </c>
      <c r="AA68" s="4" t="s">
        <v>20</v>
      </c>
      <c r="AB68" s="5">
        <v>192</v>
      </c>
      <c r="AE68" s="4" t="s">
        <v>170</v>
      </c>
      <c r="AF68" s="4">
        <v>2004</v>
      </c>
      <c r="AG68" s="4" t="s">
        <v>20</v>
      </c>
      <c r="AH68" s="5">
        <v>1196</v>
      </c>
      <c r="AK68" s="4" t="s">
        <v>72</v>
      </c>
      <c r="AL68" s="4">
        <v>2004</v>
      </c>
      <c r="AM68" s="4" t="s">
        <v>20</v>
      </c>
      <c r="AN68" s="5">
        <v>243</v>
      </c>
      <c r="AO68" s="14"/>
      <c r="AQ68" s="4" t="s">
        <v>73</v>
      </c>
      <c r="AR68" s="4">
        <v>2004</v>
      </c>
      <c r="AS68" s="4" t="s">
        <v>20</v>
      </c>
      <c r="AT68" s="5">
        <v>236</v>
      </c>
      <c r="AW68" s="4" t="s">
        <v>172</v>
      </c>
      <c r="AX68" s="4">
        <v>2004</v>
      </c>
      <c r="AY68" s="4" t="s">
        <v>20</v>
      </c>
      <c r="AZ68" s="5">
        <v>278</v>
      </c>
      <c r="BC68" s="4" t="s">
        <v>174</v>
      </c>
      <c r="BD68" s="4">
        <v>2004</v>
      </c>
      <c r="BE68" s="4" t="s">
        <v>20</v>
      </c>
      <c r="BF68" s="5">
        <v>126</v>
      </c>
      <c r="BI68" s="4" t="s">
        <v>74</v>
      </c>
      <c r="BJ68" s="4">
        <v>2004</v>
      </c>
      <c r="BK68" s="4" t="s">
        <v>20</v>
      </c>
      <c r="BL68" s="5">
        <v>1070</v>
      </c>
      <c r="BO68" s="4" t="s">
        <v>176</v>
      </c>
      <c r="BP68" s="4">
        <v>2004</v>
      </c>
      <c r="BQ68" s="4" t="s">
        <v>20</v>
      </c>
      <c r="BR68" s="5">
        <v>142</v>
      </c>
      <c r="BU68" s="4" t="s">
        <v>178</v>
      </c>
      <c r="BV68" s="4">
        <v>2004</v>
      </c>
      <c r="BW68" s="4" t="s">
        <v>20</v>
      </c>
      <c r="BX68" s="5">
        <v>520</v>
      </c>
      <c r="CA68" s="4" t="s">
        <v>75</v>
      </c>
      <c r="CB68" s="4">
        <v>2004</v>
      </c>
      <c r="CC68" s="4" t="s">
        <v>20</v>
      </c>
      <c r="CD68" s="5">
        <v>203</v>
      </c>
      <c r="CG68" s="4" t="s">
        <v>76</v>
      </c>
      <c r="CH68" s="4">
        <v>2004</v>
      </c>
      <c r="CI68" s="4" t="s">
        <v>20</v>
      </c>
      <c r="CJ68" s="5">
        <v>893</v>
      </c>
      <c r="CM68" s="4" t="s">
        <v>183</v>
      </c>
      <c r="CN68" s="4">
        <v>2004</v>
      </c>
      <c r="CO68" s="4" t="s">
        <v>20</v>
      </c>
      <c r="CP68" s="5">
        <v>322</v>
      </c>
      <c r="CS68" s="4" t="s">
        <v>208</v>
      </c>
      <c r="CT68" s="4">
        <v>2004</v>
      </c>
      <c r="CU68" s="4" t="s">
        <v>21</v>
      </c>
      <c r="CV68" s="5">
        <v>490</v>
      </c>
    </row>
    <row r="69" spans="1:100" x14ac:dyDescent="0.25">
      <c r="A69" s="4" t="s">
        <v>180</v>
      </c>
      <c r="B69" s="4">
        <v>2004</v>
      </c>
      <c r="C69" s="4" t="s">
        <v>21</v>
      </c>
      <c r="D69" s="5">
        <v>24</v>
      </c>
      <c r="G69" s="4" t="s">
        <v>71</v>
      </c>
      <c r="H69" s="4">
        <v>2004</v>
      </c>
      <c r="I69" s="4" t="s">
        <v>21</v>
      </c>
      <c r="J69" s="5">
        <v>1039</v>
      </c>
      <c r="M69" s="4" t="s">
        <v>164</v>
      </c>
      <c r="N69" s="4">
        <v>2004</v>
      </c>
      <c r="O69" s="4" t="s">
        <v>21</v>
      </c>
      <c r="P69" s="5">
        <v>706</v>
      </c>
      <c r="S69" s="4" t="s">
        <v>166</v>
      </c>
      <c r="T69" s="4">
        <v>2004</v>
      </c>
      <c r="U69" s="4" t="s">
        <v>21</v>
      </c>
      <c r="V69" s="5">
        <v>388</v>
      </c>
      <c r="Y69" s="4" t="s">
        <v>168</v>
      </c>
      <c r="Z69" s="4">
        <v>2004</v>
      </c>
      <c r="AA69" s="4" t="s">
        <v>21</v>
      </c>
      <c r="AB69" s="5">
        <v>248</v>
      </c>
      <c r="AE69" s="4" t="s">
        <v>170</v>
      </c>
      <c r="AF69" s="4">
        <v>2004</v>
      </c>
      <c r="AG69" s="4" t="s">
        <v>21</v>
      </c>
      <c r="AH69" s="5">
        <v>1121</v>
      </c>
      <c r="AK69" s="4" t="s">
        <v>72</v>
      </c>
      <c r="AL69" s="4">
        <v>2004</v>
      </c>
      <c r="AM69" s="4" t="s">
        <v>21</v>
      </c>
      <c r="AN69" s="5">
        <v>291</v>
      </c>
      <c r="AO69" s="14"/>
      <c r="AQ69" s="4" t="s">
        <v>73</v>
      </c>
      <c r="AR69" s="4">
        <v>2004</v>
      </c>
      <c r="AS69" s="4" t="s">
        <v>21</v>
      </c>
      <c r="AT69" s="5">
        <v>194</v>
      </c>
      <c r="AW69" s="4" t="s">
        <v>172</v>
      </c>
      <c r="AX69" s="4">
        <v>2004</v>
      </c>
      <c r="AY69" s="4" t="s">
        <v>21</v>
      </c>
      <c r="AZ69" s="5">
        <v>271</v>
      </c>
      <c r="BC69" s="4" t="s">
        <v>174</v>
      </c>
      <c r="BD69" s="4">
        <v>2004</v>
      </c>
      <c r="BE69" s="4" t="s">
        <v>21</v>
      </c>
      <c r="BF69" s="5">
        <v>93</v>
      </c>
      <c r="BI69" s="4" t="s">
        <v>74</v>
      </c>
      <c r="BJ69" s="4">
        <v>2004</v>
      </c>
      <c r="BK69" s="4" t="s">
        <v>21</v>
      </c>
      <c r="BL69" s="5">
        <v>964</v>
      </c>
      <c r="BO69" s="4" t="s">
        <v>176</v>
      </c>
      <c r="BP69" s="4">
        <v>2004</v>
      </c>
      <c r="BQ69" s="4" t="s">
        <v>21</v>
      </c>
      <c r="BR69" s="5">
        <v>114</v>
      </c>
      <c r="BU69" s="4" t="s">
        <v>178</v>
      </c>
      <c r="BV69" s="4">
        <v>2004</v>
      </c>
      <c r="BW69" s="4" t="s">
        <v>21</v>
      </c>
      <c r="BX69" s="5">
        <v>494</v>
      </c>
      <c r="CA69" s="4" t="s">
        <v>75</v>
      </c>
      <c r="CB69" s="4">
        <v>2004</v>
      </c>
      <c r="CC69" s="4" t="s">
        <v>21</v>
      </c>
      <c r="CD69" s="5">
        <v>133</v>
      </c>
      <c r="CG69" s="4" t="s">
        <v>76</v>
      </c>
      <c r="CH69" s="4">
        <v>2004</v>
      </c>
      <c r="CI69" s="4" t="s">
        <v>21</v>
      </c>
      <c r="CJ69" s="5">
        <v>854</v>
      </c>
      <c r="CM69" s="4" t="s">
        <v>183</v>
      </c>
      <c r="CN69" s="4">
        <v>2004</v>
      </c>
      <c r="CO69" s="4" t="s">
        <v>21</v>
      </c>
      <c r="CP69" s="5">
        <v>366</v>
      </c>
      <c r="CS69" s="4" t="s">
        <v>208</v>
      </c>
      <c r="CT69" s="4">
        <v>2004</v>
      </c>
      <c r="CU69" s="4" t="s">
        <v>22</v>
      </c>
      <c r="CV69" s="5">
        <v>530</v>
      </c>
    </row>
    <row r="70" spans="1:100" x14ac:dyDescent="0.25">
      <c r="A70" s="4" t="s">
        <v>180</v>
      </c>
      <c r="B70" s="4">
        <v>2004</v>
      </c>
      <c r="C70" s="4" t="s">
        <v>22</v>
      </c>
      <c r="D70" s="5">
        <v>22</v>
      </c>
      <c r="G70" s="4" t="s">
        <v>71</v>
      </c>
      <c r="H70" s="4">
        <v>2004</v>
      </c>
      <c r="I70" s="4" t="s">
        <v>22</v>
      </c>
      <c r="J70" s="5">
        <v>1011</v>
      </c>
      <c r="M70" s="4" t="s">
        <v>164</v>
      </c>
      <c r="N70" s="4">
        <v>2004</v>
      </c>
      <c r="O70" s="4" t="s">
        <v>22</v>
      </c>
      <c r="P70" s="5">
        <v>676</v>
      </c>
      <c r="S70" s="4" t="s">
        <v>166</v>
      </c>
      <c r="T70" s="4">
        <v>2004</v>
      </c>
      <c r="U70" s="4" t="s">
        <v>22</v>
      </c>
      <c r="V70" s="5">
        <v>408</v>
      </c>
      <c r="Y70" s="4" t="s">
        <v>168</v>
      </c>
      <c r="Z70" s="4">
        <v>2004</v>
      </c>
      <c r="AA70" s="4" t="s">
        <v>22</v>
      </c>
      <c r="AB70" s="5">
        <v>282</v>
      </c>
      <c r="AE70" s="4" t="s">
        <v>170</v>
      </c>
      <c r="AF70" s="4">
        <v>2004</v>
      </c>
      <c r="AG70" s="4" t="s">
        <v>22</v>
      </c>
      <c r="AH70" s="5">
        <v>1104</v>
      </c>
      <c r="AK70" s="4" t="s">
        <v>72</v>
      </c>
      <c r="AL70" s="4">
        <v>2004</v>
      </c>
      <c r="AM70" s="4" t="s">
        <v>22</v>
      </c>
      <c r="AN70" s="5">
        <v>284</v>
      </c>
      <c r="AO70" s="14"/>
      <c r="AQ70" s="4" t="s">
        <v>73</v>
      </c>
      <c r="AR70" s="4">
        <v>2004</v>
      </c>
      <c r="AS70" s="4" t="s">
        <v>22</v>
      </c>
      <c r="AT70" s="5">
        <v>216</v>
      </c>
      <c r="AW70" s="4" t="s">
        <v>172</v>
      </c>
      <c r="AX70" s="4">
        <v>2004</v>
      </c>
      <c r="AY70" s="4" t="s">
        <v>22</v>
      </c>
      <c r="AZ70" s="5">
        <v>243</v>
      </c>
      <c r="BC70" s="4" t="s">
        <v>174</v>
      </c>
      <c r="BD70" s="4">
        <v>2004</v>
      </c>
      <c r="BE70" s="4" t="s">
        <v>22</v>
      </c>
      <c r="BF70" s="5">
        <v>99</v>
      </c>
      <c r="BI70" s="4" t="s">
        <v>74</v>
      </c>
      <c r="BJ70" s="4">
        <v>2004</v>
      </c>
      <c r="BK70" s="4" t="s">
        <v>22</v>
      </c>
      <c r="BL70" s="5">
        <v>999</v>
      </c>
      <c r="BO70" s="4" t="s">
        <v>176</v>
      </c>
      <c r="BP70" s="4">
        <v>2004</v>
      </c>
      <c r="BQ70" s="4" t="s">
        <v>22</v>
      </c>
      <c r="BR70" s="5">
        <v>89</v>
      </c>
      <c r="BU70" s="4" t="s">
        <v>178</v>
      </c>
      <c r="BV70" s="4">
        <v>2004</v>
      </c>
      <c r="BW70" s="4" t="s">
        <v>22</v>
      </c>
      <c r="BX70" s="5">
        <v>495</v>
      </c>
      <c r="CA70" s="4" t="s">
        <v>75</v>
      </c>
      <c r="CB70" s="4">
        <v>2004</v>
      </c>
      <c r="CC70" s="4" t="s">
        <v>22</v>
      </c>
      <c r="CD70" s="5">
        <v>172</v>
      </c>
      <c r="CG70" s="4" t="s">
        <v>76</v>
      </c>
      <c r="CH70" s="4">
        <v>2004</v>
      </c>
      <c r="CI70" s="4" t="s">
        <v>22</v>
      </c>
      <c r="CJ70" s="5">
        <v>867</v>
      </c>
      <c r="CM70" s="4" t="s">
        <v>183</v>
      </c>
      <c r="CN70" s="4">
        <v>2004</v>
      </c>
      <c r="CO70" s="4" t="s">
        <v>22</v>
      </c>
      <c r="CP70" s="5">
        <v>366</v>
      </c>
      <c r="CS70" s="4" t="s">
        <v>208</v>
      </c>
      <c r="CT70" s="4">
        <v>2004</v>
      </c>
      <c r="CU70" s="4" t="s">
        <v>23</v>
      </c>
      <c r="CV70" s="5">
        <v>433</v>
      </c>
    </row>
    <row r="71" spans="1:100" x14ac:dyDescent="0.25">
      <c r="A71" s="4" t="s">
        <v>180</v>
      </c>
      <c r="B71" s="4">
        <v>2004</v>
      </c>
      <c r="C71" s="4" t="s">
        <v>23</v>
      </c>
      <c r="D71" s="5">
        <v>34</v>
      </c>
      <c r="G71" s="4" t="s">
        <v>71</v>
      </c>
      <c r="H71" s="4">
        <v>2004</v>
      </c>
      <c r="I71" s="4" t="s">
        <v>23</v>
      </c>
      <c r="J71" s="5">
        <v>849</v>
      </c>
      <c r="M71" s="4" t="s">
        <v>164</v>
      </c>
      <c r="N71" s="4">
        <v>2004</v>
      </c>
      <c r="O71" s="4" t="s">
        <v>23</v>
      </c>
      <c r="P71" s="5">
        <v>598</v>
      </c>
      <c r="S71" s="4" t="s">
        <v>166</v>
      </c>
      <c r="T71" s="4">
        <v>2004</v>
      </c>
      <c r="U71" s="4" t="s">
        <v>23</v>
      </c>
      <c r="V71" s="5">
        <v>406</v>
      </c>
      <c r="Y71" s="4" t="s">
        <v>168</v>
      </c>
      <c r="Z71" s="4">
        <v>2004</v>
      </c>
      <c r="AA71" s="4" t="s">
        <v>23</v>
      </c>
      <c r="AB71" s="5">
        <v>216</v>
      </c>
      <c r="AE71" s="4" t="s">
        <v>170</v>
      </c>
      <c r="AF71" s="4">
        <v>2004</v>
      </c>
      <c r="AG71" s="4" t="s">
        <v>23</v>
      </c>
      <c r="AH71" s="5">
        <v>1032</v>
      </c>
      <c r="AK71" s="4" t="s">
        <v>72</v>
      </c>
      <c r="AL71" s="4">
        <v>2004</v>
      </c>
      <c r="AM71" s="4" t="s">
        <v>23</v>
      </c>
      <c r="AN71" s="5">
        <v>239</v>
      </c>
      <c r="AO71" s="14"/>
      <c r="AQ71" s="4" t="s">
        <v>73</v>
      </c>
      <c r="AR71" s="4">
        <v>2004</v>
      </c>
      <c r="AS71" s="4" t="s">
        <v>23</v>
      </c>
      <c r="AT71" s="5">
        <v>168</v>
      </c>
      <c r="AW71" s="4" t="s">
        <v>172</v>
      </c>
      <c r="AX71" s="4">
        <v>2004</v>
      </c>
      <c r="AY71" s="4" t="s">
        <v>23</v>
      </c>
      <c r="AZ71" s="5">
        <v>201</v>
      </c>
      <c r="BC71" s="4" t="s">
        <v>174</v>
      </c>
      <c r="BD71" s="4">
        <v>2004</v>
      </c>
      <c r="BE71" s="4" t="s">
        <v>23</v>
      </c>
      <c r="BF71" s="5">
        <v>111</v>
      </c>
      <c r="BI71" s="4" t="s">
        <v>74</v>
      </c>
      <c r="BJ71" s="4">
        <v>2004</v>
      </c>
      <c r="BK71" s="4" t="s">
        <v>23</v>
      </c>
      <c r="BL71" s="5">
        <v>752</v>
      </c>
      <c r="BO71" s="4" t="s">
        <v>176</v>
      </c>
      <c r="BP71" s="4">
        <v>2004</v>
      </c>
      <c r="BQ71" s="4" t="s">
        <v>23</v>
      </c>
      <c r="BR71" s="5">
        <v>98</v>
      </c>
      <c r="BU71" s="4" t="s">
        <v>178</v>
      </c>
      <c r="BV71" s="4">
        <v>2004</v>
      </c>
      <c r="BW71" s="4" t="s">
        <v>23</v>
      </c>
      <c r="BX71" s="5">
        <v>491</v>
      </c>
      <c r="CA71" s="4" t="s">
        <v>75</v>
      </c>
      <c r="CB71" s="4">
        <v>2004</v>
      </c>
      <c r="CC71" s="4" t="s">
        <v>23</v>
      </c>
      <c r="CD71" s="5">
        <v>151</v>
      </c>
      <c r="CG71" s="4" t="s">
        <v>76</v>
      </c>
      <c r="CH71" s="4">
        <v>2004</v>
      </c>
      <c r="CI71" s="4" t="s">
        <v>23</v>
      </c>
      <c r="CJ71" s="5">
        <v>774</v>
      </c>
      <c r="CM71" s="4" t="s">
        <v>183</v>
      </c>
      <c r="CN71" s="4">
        <v>2004</v>
      </c>
      <c r="CO71" s="4" t="s">
        <v>23</v>
      </c>
      <c r="CP71" s="5">
        <v>347</v>
      </c>
      <c r="CS71" s="4" t="s">
        <v>208</v>
      </c>
      <c r="CT71" s="4">
        <v>2004</v>
      </c>
      <c r="CU71" s="4" t="s">
        <v>24</v>
      </c>
      <c r="CV71" s="5">
        <v>468</v>
      </c>
    </row>
    <row r="72" spans="1:100" x14ac:dyDescent="0.25">
      <c r="A72" s="4" t="s">
        <v>180</v>
      </c>
      <c r="B72" s="4">
        <v>2004</v>
      </c>
      <c r="C72" s="4" t="s">
        <v>24</v>
      </c>
      <c r="D72" s="5">
        <v>22</v>
      </c>
      <c r="G72" s="4" t="s">
        <v>71</v>
      </c>
      <c r="H72" s="4">
        <v>2004</v>
      </c>
      <c r="I72" s="4" t="s">
        <v>24</v>
      </c>
      <c r="J72" s="5">
        <v>665</v>
      </c>
      <c r="M72" s="4" t="s">
        <v>164</v>
      </c>
      <c r="N72" s="4">
        <v>2004</v>
      </c>
      <c r="O72" s="4" t="s">
        <v>24</v>
      </c>
      <c r="P72" s="5">
        <v>550</v>
      </c>
      <c r="S72" s="4" t="s">
        <v>166</v>
      </c>
      <c r="T72" s="4">
        <v>2004</v>
      </c>
      <c r="U72" s="4" t="s">
        <v>24</v>
      </c>
      <c r="V72" s="5">
        <v>416</v>
      </c>
      <c r="Y72" s="4" t="s">
        <v>168</v>
      </c>
      <c r="Z72" s="4">
        <v>2004</v>
      </c>
      <c r="AA72" s="4" t="s">
        <v>24</v>
      </c>
      <c r="AB72" s="5">
        <v>238</v>
      </c>
      <c r="AE72" s="4" t="s">
        <v>170</v>
      </c>
      <c r="AF72" s="4">
        <v>2004</v>
      </c>
      <c r="AG72" s="4" t="s">
        <v>24</v>
      </c>
      <c r="AH72" s="5">
        <v>946</v>
      </c>
      <c r="AK72" s="4" t="s">
        <v>72</v>
      </c>
      <c r="AL72" s="4">
        <v>2004</v>
      </c>
      <c r="AM72" s="4" t="s">
        <v>24</v>
      </c>
      <c r="AN72" s="5">
        <v>230</v>
      </c>
      <c r="AO72" s="14"/>
      <c r="AQ72" s="4" t="s">
        <v>73</v>
      </c>
      <c r="AR72" s="4">
        <v>2004</v>
      </c>
      <c r="AS72" s="4" t="s">
        <v>24</v>
      </c>
      <c r="AT72" s="5">
        <v>190</v>
      </c>
      <c r="AW72" s="4" t="s">
        <v>172</v>
      </c>
      <c r="AX72" s="4">
        <v>2004</v>
      </c>
      <c r="AY72" s="4" t="s">
        <v>24</v>
      </c>
      <c r="AZ72" s="5">
        <v>217</v>
      </c>
      <c r="BC72" s="4" t="s">
        <v>174</v>
      </c>
      <c r="BD72" s="4">
        <v>2004</v>
      </c>
      <c r="BE72" s="4" t="s">
        <v>24</v>
      </c>
      <c r="BF72" s="5">
        <v>85</v>
      </c>
      <c r="BI72" s="4" t="s">
        <v>74</v>
      </c>
      <c r="BJ72" s="4">
        <v>2004</v>
      </c>
      <c r="BK72" s="4" t="s">
        <v>24</v>
      </c>
      <c r="BL72" s="5">
        <v>819</v>
      </c>
      <c r="BO72" s="4" t="s">
        <v>176</v>
      </c>
      <c r="BP72" s="4">
        <v>2004</v>
      </c>
      <c r="BQ72" s="4" t="s">
        <v>24</v>
      </c>
      <c r="BR72" s="5">
        <v>114</v>
      </c>
      <c r="BU72" s="4" t="s">
        <v>178</v>
      </c>
      <c r="BV72" s="4">
        <v>2004</v>
      </c>
      <c r="BW72" s="4" t="s">
        <v>24</v>
      </c>
      <c r="BX72" s="5">
        <v>456</v>
      </c>
      <c r="CA72" s="4" t="s">
        <v>75</v>
      </c>
      <c r="CB72" s="4">
        <v>2004</v>
      </c>
      <c r="CC72" s="4" t="s">
        <v>24</v>
      </c>
      <c r="CD72" s="5">
        <v>125</v>
      </c>
      <c r="CG72" s="4" t="s">
        <v>76</v>
      </c>
      <c r="CH72" s="4">
        <v>2004</v>
      </c>
      <c r="CI72" s="4" t="s">
        <v>24</v>
      </c>
      <c r="CJ72" s="5">
        <v>851</v>
      </c>
      <c r="CM72" s="4" t="s">
        <v>183</v>
      </c>
      <c r="CN72" s="4">
        <v>2004</v>
      </c>
      <c r="CO72" s="4" t="s">
        <v>24</v>
      </c>
      <c r="CP72" s="5">
        <v>310</v>
      </c>
      <c r="CS72" s="4" t="s">
        <v>208</v>
      </c>
      <c r="CT72" s="4">
        <v>2004</v>
      </c>
      <c r="CU72" s="4" t="s">
        <v>25</v>
      </c>
      <c r="CV72" s="5">
        <v>580</v>
      </c>
    </row>
    <row r="73" spans="1:100" x14ac:dyDescent="0.25">
      <c r="A73" s="4" t="s">
        <v>180</v>
      </c>
      <c r="B73" s="4">
        <v>2004</v>
      </c>
      <c r="C73" s="4" t="s">
        <v>25</v>
      </c>
      <c r="D73" s="5">
        <v>27</v>
      </c>
      <c r="G73" s="4" t="s">
        <v>71</v>
      </c>
      <c r="H73" s="4">
        <v>2004</v>
      </c>
      <c r="I73" s="4" t="s">
        <v>25</v>
      </c>
      <c r="J73" s="5">
        <v>668</v>
      </c>
      <c r="M73" s="4" t="s">
        <v>164</v>
      </c>
      <c r="N73" s="4">
        <v>2004</v>
      </c>
      <c r="O73" s="4" t="s">
        <v>25</v>
      </c>
      <c r="P73" s="5">
        <v>542</v>
      </c>
      <c r="S73" s="4" t="s">
        <v>166</v>
      </c>
      <c r="T73" s="4">
        <v>2004</v>
      </c>
      <c r="U73" s="4" t="s">
        <v>25</v>
      </c>
      <c r="V73" s="5">
        <v>415</v>
      </c>
      <c r="Y73" s="4" t="s">
        <v>168</v>
      </c>
      <c r="Z73" s="4">
        <v>2004</v>
      </c>
      <c r="AA73" s="4" t="s">
        <v>25</v>
      </c>
      <c r="AB73" s="5">
        <v>168</v>
      </c>
      <c r="AE73" s="4" t="s">
        <v>170</v>
      </c>
      <c r="AF73" s="4">
        <v>2004</v>
      </c>
      <c r="AG73" s="4" t="s">
        <v>25</v>
      </c>
      <c r="AH73" s="5">
        <v>1014</v>
      </c>
      <c r="AK73" s="4" t="s">
        <v>72</v>
      </c>
      <c r="AL73" s="4">
        <v>2004</v>
      </c>
      <c r="AM73" s="4" t="s">
        <v>25</v>
      </c>
      <c r="AN73" s="5">
        <v>227</v>
      </c>
      <c r="AO73" s="14"/>
      <c r="AQ73" s="4" t="s">
        <v>73</v>
      </c>
      <c r="AR73" s="4">
        <v>2004</v>
      </c>
      <c r="AS73" s="4" t="s">
        <v>25</v>
      </c>
      <c r="AT73" s="5">
        <v>172</v>
      </c>
      <c r="AW73" s="4" t="s">
        <v>172</v>
      </c>
      <c r="AX73" s="4">
        <v>2004</v>
      </c>
      <c r="AY73" s="4" t="s">
        <v>25</v>
      </c>
      <c r="AZ73" s="5">
        <v>199</v>
      </c>
      <c r="BC73" s="4" t="s">
        <v>174</v>
      </c>
      <c r="BD73" s="4">
        <v>2004</v>
      </c>
      <c r="BE73" s="4" t="s">
        <v>25</v>
      </c>
      <c r="BF73" s="5">
        <v>136</v>
      </c>
      <c r="BI73" s="4" t="s">
        <v>74</v>
      </c>
      <c r="BJ73" s="4">
        <v>2004</v>
      </c>
      <c r="BK73" s="4" t="s">
        <v>25</v>
      </c>
      <c r="BL73" s="5">
        <v>814</v>
      </c>
      <c r="BO73" s="4" t="s">
        <v>176</v>
      </c>
      <c r="BP73" s="4">
        <v>2004</v>
      </c>
      <c r="BQ73" s="4" t="s">
        <v>25</v>
      </c>
      <c r="BR73" s="5">
        <v>192</v>
      </c>
      <c r="BU73" s="4" t="s">
        <v>178</v>
      </c>
      <c r="BV73" s="4">
        <v>2004</v>
      </c>
      <c r="BW73" s="4" t="s">
        <v>25</v>
      </c>
      <c r="BX73" s="5">
        <v>577</v>
      </c>
      <c r="CA73" s="4" t="s">
        <v>75</v>
      </c>
      <c r="CB73" s="4">
        <v>2004</v>
      </c>
      <c r="CC73" s="4" t="s">
        <v>25</v>
      </c>
      <c r="CD73" s="5">
        <v>217</v>
      </c>
      <c r="CG73" s="4" t="s">
        <v>76</v>
      </c>
      <c r="CH73" s="4">
        <v>2004</v>
      </c>
      <c r="CI73" s="4" t="s">
        <v>25</v>
      </c>
      <c r="CJ73" s="5">
        <v>972</v>
      </c>
      <c r="CM73" s="4" t="s">
        <v>183</v>
      </c>
      <c r="CN73" s="4">
        <v>2004</v>
      </c>
      <c r="CO73" s="4" t="s">
        <v>25</v>
      </c>
      <c r="CP73" s="5">
        <v>326</v>
      </c>
      <c r="CS73" s="4" t="s">
        <v>208</v>
      </c>
      <c r="CT73" s="4">
        <v>2004</v>
      </c>
      <c r="CU73" s="4" t="s">
        <v>26</v>
      </c>
      <c r="CV73" s="5">
        <v>741</v>
      </c>
    </row>
    <row r="74" spans="1:100" x14ac:dyDescent="0.25">
      <c r="A74" s="4" t="s">
        <v>180</v>
      </c>
      <c r="B74" s="4">
        <v>2004</v>
      </c>
      <c r="C74" s="4" t="s">
        <v>26</v>
      </c>
      <c r="D74" s="5">
        <v>28</v>
      </c>
      <c r="G74" s="4" t="s">
        <v>71</v>
      </c>
      <c r="H74" s="4">
        <v>2004</v>
      </c>
      <c r="I74" s="4" t="s">
        <v>26</v>
      </c>
      <c r="J74" s="5">
        <v>610</v>
      </c>
      <c r="M74" s="4" t="s">
        <v>164</v>
      </c>
      <c r="N74" s="4">
        <v>2004</v>
      </c>
      <c r="O74" s="4" t="s">
        <v>26</v>
      </c>
      <c r="P74" s="5">
        <v>655</v>
      </c>
      <c r="S74" s="4" t="s">
        <v>166</v>
      </c>
      <c r="T74" s="4">
        <v>2004</v>
      </c>
      <c r="U74" s="4" t="s">
        <v>26</v>
      </c>
      <c r="V74" s="5">
        <v>364</v>
      </c>
      <c r="Y74" s="4" t="s">
        <v>168</v>
      </c>
      <c r="Z74" s="4">
        <v>2004</v>
      </c>
      <c r="AA74" s="4" t="s">
        <v>26</v>
      </c>
      <c r="AB74" s="5">
        <v>161</v>
      </c>
      <c r="AE74" s="4" t="s">
        <v>170</v>
      </c>
      <c r="AF74" s="4">
        <v>2004</v>
      </c>
      <c r="AG74" s="4" t="s">
        <v>26</v>
      </c>
      <c r="AH74" s="5">
        <v>1002</v>
      </c>
      <c r="AK74" s="4" t="s">
        <v>72</v>
      </c>
      <c r="AL74" s="4">
        <v>2004</v>
      </c>
      <c r="AM74" s="4" t="s">
        <v>26</v>
      </c>
      <c r="AN74" s="5">
        <v>231</v>
      </c>
      <c r="AO74" s="14"/>
      <c r="AQ74" s="4" t="s">
        <v>73</v>
      </c>
      <c r="AR74" s="4">
        <v>2004</v>
      </c>
      <c r="AS74" s="4" t="s">
        <v>26</v>
      </c>
      <c r="AT74" s="5">
        <v>174</v>
      </c>
      <c r="AW74" s="4" t="s">
        <v>172</v>
      </c>
      <c r="AX74" s="4">
        <v>2004</v>
      </c>
      <c r="AY74" s="4" t="s">
        <v>26</v>
      </c>
      <c r="AZ74" s="5">
        <v>207</v>
      </c>
      <c r="BC74" s="4" t="s">
        <v>174</v>
      </c>
      <c r="BD74" s="4">
        <v>2004</v>
      </c>
      <c r="BE74" s="4" t="s">
        <v>26</v>
      </c>
      <c r="BF74" s="5">
        <v>100</v>
      </c>
      <c r="BI74" s="4" t="s">
        <v>74</v>
      </c>
      <c r="BJ74" s="4">
        <v>2004</v>
      </c>
      <c r="BK74" s="4" t="s">
        <v>26</v>
      </c>
      <c r="BL74" s="5">
        <v>790</v>
      </c>
      <c r="BO74" s="4" t="s">
        <v>176</v>
      </c>
      <c r="BP74" s="4">
        <v>2004</v>
      </c>
      <c r="BQ74" s="4" t="s">
        <v>26</v>
      </c>
      <c r="BR74" s="5">
        <v>177</v>
      </c>
      <c r="BU74" s="4" t="s">
        <v>178</v>
      </c>
      <c r="BV74" s="4">
        <v>2004</v>
      </c>
      <c r="BW74" s="4" t="s">
        <v>26</v>
      </c>
      <c r="BX74" s="5">
        <v>548</v>
      </c>
      <c r="CA74" s="4" t="s">
        <v>75</v>
      </c>
      <c r="CB74" s="4">
        <v>2004</v>
      </c>
      <c r="CC74" s="4" t="s">
        <v>26</v>
      </c>
      <c r="CD74" s="5">
        <v>129</v>
      </c>
      <c r="CG74" s="4" t="s">
        <v>76</v>
      </c>
      <c r="CH74" s="4">
        <v>2004</v>
      </c>
      <c r="CI74" s="4" t="s">
        <v>26</v>
      </c>
      <c r="CJ74" s="5">
        <v>836</v>
      </c>
      <c r="CM74" s="4" t="s">
        <v>183</v>
      </c>
      <c r="CN74" s="4">
        <v>2004</v>
      </c>
      <c r="CO74" s="4" t="s">
        <v>26</v>
      </c>
      <c r="CP74" s="5">
        <v>346</v>
      </c>
      <c r="CS74" s="4" t="s">
        <v>208</v>
      </c>
      <c r="CT74" s="4">
        <v>2004</v>
      </c>
      <c r="CU74" s="4" t="s">
        <v>27</v>
      </c>
      <c r="CV74" s="5">
        <v>676</v>
      </c>
    </row>
    <row r="75" spans="1:100" x14ac:dyDescent="0.25">
      <c r="A75" s="4" t="s">
        <v>180</v>
      </c>
      <c r="B75" s="4">
        <v>2004</v>
      </c>
      <c r="C75" s="4" t="s">
        <v>27</v>
      </c>
      <c r="D75" s="5">
        <v>10</v>
      </c>
      <c r="G75" s="4" t="s">
        <v>71</v>
      </c>
      <c r="H75" s="4">
        <v>2004</v>
      </c>
      <c r="I75" s="4" t="s">
        <v>27</v>
      </c>
      <c r="J75" s="5">
        <v>563</v>
      </c>
      <c r="M75" s="4" t="s">
        <v>164</v>
      </c>
      <c r="N75" s="4">
        <v>2004</v>
      </c>
      <c r="O75" s="4" t="s">
        <v>27</v>
      </c>
      <c r="P75" s="5">
        <v>541</v>
      </c>
      <c r="S75" s="4" t="s">
        <v>166</v>
      </c>
      <c r="T75" s="4">
        <v>2004</v>
      </c>
      <c r="U75" s="4" t="s">
        <v>27</v>
      </c>
      <c r="V75" s="5">
        <v>300</v>
      </c>
      <c r="Y75" s="4" t="s">
        <v>168</v>
      </c>
      <c r="Z75" s="4">
        <v>2004</v>
      </c>
      <c r="AA75" s="4" t="s">
        <v>27</v>
      </c>
      <c r="AB75" s="5">
        <v>183</v>
      </c>
      <c r="AE75" s="4" t="s">
        <v>170</v>
      </c>
      <c r="AF75" s="4">
        <v>2004</v>
      </c>
      <c r="AG75" s="4" t="s">
        <v>27</v>
      </c>
      <c r="AH75" s="5">
        <v>896</v>
      </c>
      <c r="AK75" s="4" t="s">
        <v>72</v>
      </c>
      <c r="AL75" s="4">
        <v>2004</v>
      </c>
      <c r="AM75" s="4" t="s">
        <v>27</v>
      </c>
      <c r="AN75" s="5">
        <v>236</v>
      </c>
      <c r="AO75" s="14"/>
      <c r="AQ75" s="4" t="s">
        <v>73</v>
      </c>
      <c r="AR75" s="4">
        <v>2004</v>
      </c>
      <c r="AS75" s="4" t="s">
        <v>27</v>
      </c>
      <c r="AT75" s="5">
        <v>191</v>
      </c>
      <c r="AW75" s="4" t="s">
        <v>172</v>
      </c>
      <c r="AX75" s="4">
        <v>2004</v>
      </c>
      <c r="AY75" s="4" t="s">
        <v>27</v>
      </c>
      <c r="AZ75" s="5">
        <v>214</v>
      </c>
      <c r="BC75" s="4" t="s">
        <v>174</v>
      </c>
      <c r="BD75" s="4">
        <v>2004</v>
      </c>
      <c r="BE75" s="4" t="s">
        <v>27</v>
      </c>
      <c r="BF75" s="5">
        <v>97</v>
      </c>
      <c r="BI75" s="4" t="s">
        <v>74</v>
      </c>
      <c r="BJ75" s="4">
        <v>2004</v>
      </c>
      <c r="BK75" s="4" t="s">
        <v>27</v>
      </c>
      <c r="BL75" s="5">
        <v>845</v>
      </c>
      <c r="BO75" s="4" t="s">
        <v>176</v>
      </c>
      <c r="BP75" s="4">
        <v>2004</v>
      </c>
      <c r="BQ75" s="4" t="s">
        <v>27</v>
      </c>
      <c r="BR75" s="5">
        <v>198</v>
      </c>
      <c r="BU75" s="4" t="s">
        <v>178</v>
      </c>
      <c r="BV75" s="4">
        <v>2004</v>
      </c>
      <c r="BW75" s="4" t="s">
        <v>27</v>
      </c>
      <c r="BX75" s="5">
        <v>449</v>
      </c>
      <c r="CA75" s="4" t="s">
        <v>75</v>
      </c>
      <c r="CB75" s="4">
        <v>2004</v>
      </c>
      <c r="CC75" s="4" t="s">
        <v>27</v>
      </c>
      <c r="CD75" s="5">
        <v>158</v>
      </c>
      <c r="CG75" s="4" t="s">
        <v>76</v>
      </c>
      <c r="CH75" s="4">
        <v>2004</v>
      </c>
      <c r="CI75" s="4" t="s">
        <v>27</v>
      </c>
      <c r="CJ75" s="5">
        <v>852</v>
      </c>
      <c r="CM75" s="4" t="s">
        <v>183</v>
      </c>
      <c r="CN75" s="4">
        <v>2004</v>
      </c>
      <c r="CO75" s="4" t="s">
        <v>27</v>
      </c>
      <c r="CP75" s="5">
        <v>341</v>
      </c>
      <c r="CS75" s="4" t="s">
        <v>208</v>
      </c>
      <c r="CT75" s="4">
        <v>2004</v>
      </c>
      <c r="CU75" s="4" t="s">
        <v>28</v>
      </c>
      <c r="CV75" s="5">
        <v>568</v>
      </c>
    </row>
    <row r="76" spans="1:100" x14ac:dyDescent="0.25">
      <c r="A76" s="4" t="s">
        <v>180</v>
      </c>
      <c r="B76" s="4">
        <v>2004</v>
      </c>
      <c r="C76" s="4" t="s">
        <v>28</v>
      </c>
      <c r="D76" s="5">
        <v>8</v>
      </c>
      <c r="G76" s="4" t="s">
        <v>71</v>
      </c>
      <c r="H76" s="4">
        <v>2004</v>
      </c>
      <c r="I76" s="4" t="s">
        <v>28</v>
      </c>
      <c r="J76" s="5">
        <v>629</v>
      </c>
      <c r="M76" s="4" t="s">
        <v>164</v>
      </c>
      <c r="N76" s="4">
        <v>2004</v>
      </c>
      <c r="O76" s="4" t="s">
        <v>28</v>
      </c>
      <c r="P76" s="5">
        <v>512</v>
      </c>
      <c r="S76" s="4" t="s">
        <v>166</v>
      </c>
      <c r="T76" s="4">
        <v>2004</v>
      </c>
      <c r="U76" s="4" t="s">
        <v>28</v>
      </c>
      <c r="V76" s="5">
        <v>339</v>
      </c>
      <c r="Y76" s="4" t="s">
        <v>168</v>
      </c>
      <c r="Z76" s="4">
        <v>2004</v>
      </c>
      <c r="AA76" s="4" t="s">
        <v>28</v>
      </c>
      <c r="AB76" s="5">
        <v>237</v>
      </c>
      <c r="AE76" s="4" t="s">
        <v>170</v>
      </c>
      <c r="AF76" s="4">
        <v>2004</v>
      </c>
      <c r="AG76" s="4" t="s">
        <v>28</v>
      </c>
      <c r="AH76" s="5">
        <v>891</v>
      </c>
      <c r="AK76" s="4" t="s">
        <v>72</v>
      </c>
      <c r="AL76" s="4">
        <v>2004</v>
      </c>
      <c r="AM76" s="4" t="s">
        <v>28</v>
      </c>
      <c r="AN76" s="5">
        <v>208</v>
      </c>
      <c r="AO76" s="14"/>
      <c r="AQ76" s="4" t="s">
        <v>73</v>
      </c>
      <c r="AR76" s="4">
        <v>2004</v>
      </c>
      <c r="AS76" s="4" t="s">
        <v>28</v>
      </c>
      <c r="AT76" s="5">
        <v>178</v>
      </c>
      <c r="AW76" s="4" t="s">
        <v>172</v>
      </c>
      <c r="AX76" s="4">
        <v>2004</v>
      </c>
      <c r="AY76" s="4" t="s">
        <v>28</v>
      </c>
      <c r="AZ76" s="5">
        <v>249</v>
      </c>
      <c r="BC76" s="4" t="s">
        <v>174</v>
      </c>
      <c r="BD76" s="4">
        <v>2004</v>
      </c>
      <c r="BE76" s="4" t="s">
        <v>28</v>
      </c>
      <c r="BF76" s="5">
        <v>125</v>
      </c>
      <c r="BI76" s="4" t="s">
        <v>74</v>
      </c>
      <c r="BJ76" s="4">
        <v>2004</v>
      </c>
      <c r="BK76" s="4" t="s">
        <v>28</v>
      </c>
      <c r="BL76" s="5">
        <v>750</v>
      </c>
      <c r="BO76" s="4" t="s">
        <v>176</v>
      </c>
      <c r="BP76" s="4">
        <v>2004</v>
      </c>
      <c r="BQ76" s="4" t="s">
        <v>28</v>
      </c>
      <c r="BR76" s="5">
        <v>107</v>
      </c>
      <c r="BU76" s="4" t="s">
        <v>178</v>
      </c>
      <c r="BV76" s="4">
        <v>2004</v>
      </c>
      <c r="BW76" s="4" t="s">
        <v>28</v>
      </c>
      <c r="BX76" s="5">
        <v>486</v>
      </c>
      <c r="CA76" s="4" t="s">
        <v>75</v>
      </c>
      <c r="CB76" s="4">
        <v>2004</v>
      </c>
      <c r="CC76" s="4" t="s">
        <v>28</v>
      </c>
      <c r="CD76" s="5">
        <v>139</v>
      </c>
      <c r="CG76" s="4" t="s">
        <v>76</v>
      </c>
      <c r="CH76" s="4">
        <v>2004</v>
      </c>
      <c r="CI76" s="4" t="s">
        <v>28</v>
      </c>
      <c r="CJ76" s="5">
        <v>715</v>
      </c>
      <c r="CM76" s="4" t="s">
        <v>183</v>
      </c>
      <c r="CN76" s="4">
        <v>2004</v>
      </c>
      <c r="CO76" s="4" t="s">
        <v>28</v>
      </c>
      <c r="CP76" s="5">
        <v>301</v>
      </c>
      <c r="CS76" s="4" t="s">
        <v>208</v>
      </c>
      <c r="CT76" s="4">
        <v>2004</v>
      </c>
      <c r="CU76" s="4" t="s">
        <v>29</v>
      </c>
      <c r="CV76" s="5">
        <v>561</v>
      </c>
    </row>
    <row r="77" spans="1:100" x14ac:dyDescent="0.25">
      <c r="A77" s="4" t="s">
        <v>180</v>
      </c>
      <c r="B77" s="4">
        <v>2004</v>
      </c>
      <c r="C77" s="4" t="s">
        <v>29</v>
      </c>
      <c r="D77" s="5">
        <v>15</v>
      </c>
      <c r="G77" s="4" t="s">
        <v>71</v>
      </c>
      <c r="H77" s="4">
        <v>2004</v>
      </c>
      <c r="I77" s="4" t="s">
        <v>29</v>
      </c>
      <c r="J77" s="5">
        <v>635</v>
      </c>
      <c r="M77" s="4" t="s">
        <v>164</v>
      </c>
      <c r="N77" s="4">
        <v>2004</v>
      </c>
      <c r="O77" s="4" t="s">
        <v>29</v>
      </c>
      <c r="P77" s="5">
        <v>525</v>
      </c>
      <c r="S77" s="4" t="s">
        <v>166</v>
      </c>
      <c r="T77" s="4">
        <v>2004</v>
      </c>
      <c r="U77" s="4" t="s">
        <v>29</v>
      </c>
      <c r="V77" s="5">
        <v>360</v>
      </c>
      <c r="Y77" s="4" t="s">
        <v>168</v>
      </c>
      <c r="Z77" s="4">
        <v>2004</v>
      </c>
      <c r="AA77" s="4" t="s">
        <v>29</v>
      </c>
      <c r="AB77" s="5">
        <v>206</v>
      </c>
      <c r="AE77" s="4" t="s">
        <v>170</v>
      </c>
      <c r="AF77" s="4">
        <v>2004</v>
      </c>
      <c r="AG77" s="4" t="s">
        <v>29</v>
      </c>
      <c r="AH77" s="5">
        <v>932</v>
      </c>
      <c r="AK77" s="4" t="s">
        <v>72</v>
      </c>
      <c r="AL77" s="4">
        <v>2004</v>
      </c>
      <c r="AM77" s="4" t="s">
        <v>29</v>
      </c>
      <c r="AN77" s="5">
        <v>219</v>
      </c>
      <c r="AO77" s="14"/>
      <c r="AQ77" s="4" t="s">
        <v>73</v>
      </c>
      <c r="AR77" s="4">
        <v>2004</v>
      </c>
      <c r="AS77" s="4" t="s">
        <v>29</v>
      </c>
      <c r="AT77" s="5">
        <v>185</v>
      </c>
      <c r="AW77" s="4" t="s">
        <v>172</v>
      </c>
      <c r="AX77" s="4">
        <v>2004</v>
      </c>
      <c r="AY77" s="4" t="s">
        <v>29</v>
      </c>
      <c r="AZ77" s="5">
        <v>254</v>
      </c>
      <c r="BC77" s="4" t="s">
        <v>174</v>
      </c>
      <c r="BD77" s="4">
        <v>2004</v>
      </c>
      <c r="BE77" s="4" t="s">
        <v>29</v>
      </c>
      <c r="BF77" s="5">
        <v>104</v>
      </c>
      <c r="BI77" s="4" t="s">
        <v>74</v>
      </c>
      <c r="BJ77" s="4">
        <v>2004</v>
      </c>
      <c r="BK77" s="4" t="s">
        <v>29</v>
      </c>
      <c r="BL77" s="5">
        <v>781</v>
      </c>
      <c r="BO77" s="4" t="s">
        <v>176</v>
      </c>
      <c r="BP77" s="4">
        <v>2004</v>
      </c>
      <c r="BQ77" s="4" t="s">
        <v>29</v>
      </c>
      <c r="BR77" s="5">
        <v>100</v>
      </c>
      <c r="BU77" s="4" t="s">
        <v>178</v>
      </c>
      <c r="BV77" s="4">
        <v>2004</v>
      </c>
      <c r="BW77" s="4" t="s">
        <v>29</v>
      </c>
      <c r="BX77" s="5">
        <v>425</v>
      </c>
      <c r="CA77" s="4" t="s">
        <v>75</v>
      </c>
      <c r="CB77" s="4">
        <v>2004</v>
      </c>
      <c r="CC77" s="4" t="s">
        <v>29</v>
      </c>
      <c r="CD77" s="5">
        <v>123</v>
      </c>
      <c r="CG77" s="4" t="s">
        <v>76</v>
      </c>
      <c r="CH77" s="4">
        <v>2004</v>
      </c>
      <c r="CI77" s="4" t="s">
        <v>29</v>
      </c>
      <c r="CJ77" s="5">
        <v>730</v>
      </c>
      <c r="CM77" s="4" t="s">
        <v>183</v>
      </c>
      <c r="CN77" s="4">
        <v>2004</v>
      </c>
      <c r="CO77" s="4" t="s">
        <v>29</v>
      </c>
      <c r="CP77" s="5">
        <v>300</v>
      </c>
      <c r="CS77" s="4" t="s">
        <v>208</v>
      </c>
      <c r="CT77" s="4">
        <v>2004</v>
      </c>
      <c r="CU77" s="4" t="s">
        <v>30</v>
      </c>
      <c r="CV77" s="5">
        <v>514</v>
      </c>
    </row>
    <row r="78" spans="1:100" x14ac:dyDescent="0.25">
      <c r="A78" s="4" t="s">
        <v>180</v>
      </c>
      <c r="B78" s="4">
        <v>2004</v>
      </c>
      <c r="C78" s="4" t="s">
        <v>30</v>
      </c>
      <c r="D78" s="5">
        <v>20</v>
      </c>
      <c r="G78" s="4" t="s">
        <v>71</v>
      </c>
      <c r="H78" s="4">
        <v>2004</v>
      </c>
      <c r="I78" s="4" t="s">
        <v>30</v>
      </c>
      <c r="J78" s="5">
        <v>695</v>
      </c>
      <c r="M78" s="4" t="s">
        <v>164</v>
      </c>
      <c r="N78" s="4">
        <v>2004</v>
      </c>
      <c r="O78" s="4" t="s">
        <v>30</v>
      </c>
      <c r="P78" s="5">
        <v>557</v>
      </c>
      <c r="S78" s="4" t="s">
        <v>166</v>
      </c>
      <c r="T78" s="4">
        <v>2004</v>
      </c>
      <c r="U78" s="4" t="s">
        <v>30</v>
      </c>
      <c r="V78" s="5">
        <v>348</v>
      </c>
      <c r="Y78" s="4" t="s">
        <v>168</v>
      </c>
      <c r="Z78" s="4">
        <v>2004</v>
      </c>
      <c r="AA78" s="4" t="s">
        <v>30</v>
      </c>
      <c r="AB78" s="5">
        <v>182</v>
      </c>
      <c r="AE78" s="4" t="s">
        <v>170</v>
      </c>
      <c r="AF78" s="4">
        <v>2004</v>
      </c>
      <c r="AG78" s="4" t="s">
        <v>30</v>
      </c>
      <c r="AH78" s="5">
        <v>863</v>
      </c>
      <c r="AK78" s="4" t="s">
        <v>72</v>
      </c>
      <c r="AL78" s="4">
        <v>2004</v>
      </c>
      <c r="AM78" s="4" t="s">
        <v>30</v>
      </c>
      <c r="AN78" s="5">
        <v>217</v>
      </c>
      <c r="AO78" s="14"/>
      <c r="AQ78" s="4" t="s">
        <v>73</v>
      </c>
      <c r="AR78" s="4">
        <v>2004</v>
      </c>
      <c r="AS78" s="4" t="s">
        <v>30</v>
      </c>
      <c r="AT78" s="5">
        <v>187</v>
      </c>
      <c r="AW78" s="4" t="s">
        <v>172</v>
      </c>
      <c r="AX78" s="4">
        <v>2004</v>
      </c>
      <c r="AY78" s="4" t="s">
        <v>30</v>
      </c>
      <c r="AZ78" s="5">
        <v>188</v>
      </c>
      <c r="BC78" s="4" t="s">
        <v>174</v>
      </c>
      <c r="BD78" s="4">
        <v>2004</v>
      </c>
      <c r="BE78" s="4" t="s">
        <v>30</v>
      </c>
      <c r="BF78" s="5">
        <v>102</v>
      </c>
      <c r="BI78" s="4" t="s">
        <v>74</v>
      </c>
      <c r="BJ78" s="4">
        <v>2004</v>
      </c>
      <c r="BK78" s="4" t="s">
        <v>30</v>
      </c>
      <c r="BL78" s="5">
        <v>872</v>
      </c>
      <c r="BO78" s="4" t="s">
        <v>176</v>
      </c>
      <c r="BP78" s="4">
        <v>2004</v>
      </c>
      <c r="BQ78" s="4" t="s">
        <v>30</v>
      </c>
      <c r="BR78" s="5">
        <v>92</v>
      </c>
      <c r="BU78" s="4" t="s">
        <v>178</v>
      </c>
      <c r="BV78" s="4">
        <v>2004</v>
      </c>
      <c r="BW78" s="4" t="s">
        <v>30</v>
      </c>
      <c r="BX78" s="5">
        <v>478</v>
      </c>
      <c r="CA78" s="4" t="s">
        <v>75</v>
      </c>
      <c r="CB78" s="4">
        <v>2004</v>
      </c>
      <c r="CC78" s="4" t="s">
        <v>30</v>
      </c>
      <c r="CD78" s="5">
        <v>116</v>
      </c>
      <c r="CG78" s="4" t="s">
        <v>76</v>
      </c>
      <c r="CH78" s="4">
        <v>2004</v>
      </c>
      <c r="CI78" s="4" t="s">
        <v>30</v>
      </c>
      <c r="CJ78" s="5">
        <v>800</v>
      </c>
      <c r="CM78" s="4" t="s">
        <v>183</v>
      </c>
      <c r="CN78" s="4">
        <v>2004</v>
      </c>
      <c r="CO78" s="4" t="s">
        <v>30</v>
      </c>
      <c r="CP78" s="5">
        <v>294</v>
      </c>
      <c r="CS78" s="4" t="s">
        <v>208</v>
      </c>
      <c r="CT78" s="4">
        <v>2004</v>
      </c>
      <c r="CU78" s="4" t="s">
        <v>19</v>
      </c>
      <c r="CV78" s="5">
        <v>499</v>
      </c>
    </row>
    <row r="79" spans="1:100" x14ac:dyDescent="0.25">
      <c r="A79" s="4" t="s">
        <v>180</v>
      </c>
      <c r="B79" s="4">
        <v>2004</v>
      </c>
      <c r="C79" s="4" t="s">
        <v>19</v>
      </c>
      <c r="D79" s="5">
        <v>16</v>
      </c>
      <c r="G79" s="4" t="s">
        <v>71</v>
      </c>
      <c r="H79" s="4">
        <v>2004</v>
      </c>
      <c r="I79" s="4" t="s">
        <v>19</v>
      </c>
      <c r="J79" s="5">
        <v>870</v>
      </c>
      <c r="M79" s="4" t="s">
        <v>164</v>
      </c>
      <c r="N79" s="4">
        <v>2004</v>
      </c>
      <c r="O79" s="4" t="s">
        <v>19</v>
      </c>
      <c r="P79" s="5">
        <v>529</v>
      </c>
      <c r="S79" s="4" t="s">
        <v>166</v>
      </c>
      <c r="T79" s="4">
        <v>2004</v>
      </c>
      <c r="U79" s="4" t="s">
        <v>19</v>
      </c>
      <c r="V79" s="5">
        <v>344</v>
      </c>
      <c r="Y79" s="4" t="s">
        <v>168</v>
      </c>
      <c r="Z79" s="4">
        <v>2004</v>
      </c>
      <c r="AA79" s="4" t="s">
        <v>19</v>
      </c>
      <c r="AB79" s="5">
        <v>213</v>
      </c>
      <c r="AE79" s="4" t="s">
        <v>170</v>
      </c>
      <c r="AF79" s="4">
        <v>2004</v>
      </c>
      <c r="AG79" s="4" t="s">
        <v>19</v>
      </c>
      <c r="AH79" s="5">
        <v>845</v>
      </c>
      <c r="AK79" s="4" t="s">
        <v>72</v>
      </c>
      <c r="AL79" s="4">
        <v>2004</v>
      </c>
      <c r="AM79" s="4" t="s">
        <v>19</v>
      </c>
      <c r="AN79" s="5">
        <v>204</v>
      </c>
      <c r="AO79" s="14"/>
      <c r="AQ79" s="4" t="s">
        <v>73</v>
      </c>
      <c r="AR79" s="4">
        <v>2004</v>
      </c>
      <c r="AS79" s="4" t="s">
        <v>19</v>
      </c>
      <c r="AT79" s="5">
        <v>173</v>
      </c>
      <c r="AW79" s="4" t="s">
        <v>172</v>
      </c>
      <c r="AX79" s="4">
        <v>2004</v>
      </c>
      <c r="AY79" s="4" t="s">
        <v>19</v>
      </c>
      <c r="AZ79" s="5">
        <v>218</v>
      </c>
      <c r="BC79" s="4" t="s">
        <v>174</v>
      </c>
      <c r="BD79" s="4">
        <v>2004</v>
      </c>
      <c r="BE79" s="4" t="s">
        <v>19</v>
      </c>
      <c r="BF79" s="5">
        <v>72</v>
      </c>
      <c r="BI79" s="4" t="s">
        <v>74</v>
      </c>
      <c r="BJ79" s="4">
        <v>2004</v>
      </c>
      <c r="BK79" s="4" t="s">
        <v>19</v>
      </c>
      <c r="BL79" s="5">
        <v>875</v>
      </c>
      <c r="BO79" s="4" t="s">
        <v>176</v>
      </c>
      <c r="BP79" s="4">
        <v>2004</v>
      </c>
      <c r="BQ79" s="4" t="s">
        <v>19</v>
      </c>
      <c r="BR79" s="5">
        <v>110</v>
      </c>
      <c r="BU79" s="4" t="s">
        <v>178</v>
      </c>
      <c r="BV79" s="4">
        <v>2004</v>
      </c>
      <c r="BW79" s="4" t="s">
        <v>19</v>
      </c>
      <c r="BX79" s="5">
        <v>452</v>
      </c>
      <c r="CA79" s="4" t="s">
        <v>75</v>
      </c>
      <c r="CB79" s="4">
        <v>2004</v>
      </c>
      <c r="CC79" s="4" t="s">
        <v>19</v>
      </c>
      <c r="CD79" s="5">
        <v>116</v>
      </c>
      <c r="CG79" s="4" t="s">
        <v>76</v>
      </c>
      <c r="CH79" s="4">
        <v>2004</v>
      </c>
      <c r="CI79" s="4" t="s">
        <v>19</v>
      </c>
      <c r="CJ79" s="5">
        <v>734</v>
      </c>
      <c r="CM79" s="4" t="s">
        <v>183</v>
      </c>
      <c r="CN79" s="4">
        <v>2004</v>
      </c>
      <c r="CO79" s="4" t="s">
        <v>19</v>
      </c>
      <c r="CP79" s="5">
        <v>276</v>
      </c>
      <c r="CS79" s="4" t="s">
        <v>208</v>
      </c>
      <c r="CT79" s="4">
        <v>2004</v>
      </c>
      <c r="CU79" s="4" t="s">
        <v>96</v>
      </c>
      <c r="CV79" s="5">
        <v>548</v>
      </c>
    </row>
    <row r="80" spans="1:100" x14ac:dyDescent="0.25">
      <c r="A80" s="4" t="s">
        <v>180</v>
      </c>
      <c r="B80" s="4">
        <v>2004</v>
      </c>
      <c r="C80" s="4" t="s">
        <v>96</v>
      </c>
      <c r="D80" s="5">
        <v>21</v>
      </c>
      <c r="G80" s="4" t="s">
        <v>71</v>
      </c>
      <c r="H80" s="4">
        <v>2004</v>
      </c>
      <c r="I80" s="4" t="s">
        <v>96</v>
      </c>
      <c r="J80" s="5">
        <v>769</v>
      </c>
      <c r="M80" s="4" t="s">
        <v>164</v>
      </c>
      <c r="N80" s="4">
        <v>2004</v>
      </c>
      <c r="O80" s="4" t="s">
        <v>96</v>
      </c>
      <c r="P80" s="5">
        <v>590</v>
      </c>
      <c r="S80" s="4" t="s">
        <v>166</v>
      </c>
      <c r="T80" s="4">
        <v>2004</v>
      </c>
      <c r="U80" s="4" t="s">
        <v>96</v>
      </c>
      <c r="V80" s="5">
        <v>375</v>
      </c>
      <c r="Y80" s="4" t="s">
        <v>168</v>
      </c>
      <c r="Z80" s="4">
        <v>2004</v>
      </c>
      <c r="AA80" s="4" t="s">
        <v>96</v>
      </c>
      <c r="AB80" s="5">
        <v>210</v>
      </c>
      <c r="AE80" s="4" t="s">
        <v>170</v>
      </c>
      <c r="AF80" s="4">
        <v>2004</v>
      </c>
      <c r="AG80" s="4" t="s">
        <v>96</v>
      </c>
      <c r="AH80" s="5">
        <v>987</v>
      </c>
      <c r="AK80" s="4" t="s">
        <v>72</v>
      </c>
      <c r="AL80" s="4">
        <v>2004</v>
      </c>
      <c r="AM80" s="4" t="s">
        <v>96</v>
      </c>
      <c r="AN80" s="5">
        <v>236</v>
      </c>
      <c r="AO80" s="14"/>
      <c r="AQ80" s="4" t="s">
        <v>73</v>
      </c>
      <c r="AR80" s="4">
        <v>2004</v>
      </c>
      <c r="AS80" s="4" t="s">
        <v>96</v>
      </c>
      <c r="AT80" s="5">
        <v>189</v>
      </c>
      <c r="AW80" s="4" t="s">
        <v>172</v>
      </c>
      <c r="AX80" s="4">
        <v>2004</v>
      </c>
      <c r="AY80" s="4" t="s">
        <v>96</v>
      </c>
      <c r="AZ80" s="5">
        <v>228</v>
      </c>
      <c r="BC80" s="4" t="s">
        <v>174</v>
      </c>
      <c r="BD80" s="4">
        <v>2004</v>
      </c>
      <c r="BE80" s="4" t="s">
        <v>96</v>
      </c>
      <c r="BF80" s="5">
        <v>104</v>
      </c>
      <c r="BI80" s="4" t="s">
        <v>74</v>
      </c>
      <c r="BJ80" s="4">
        <v>2004</v>
      </c>
      <c r="BK80" s="4" t="s">
        <v>96</v>
      </c>
      <c r="BL80" s="5">
        <v>861</v>
      </c>
      <c r="BO80" s="4" t="s">
        <v>176</v>
      </c>
      <c r="BP80" s="4">
        <v>2004</v>
      </c>
      <c r="BQ80" s="4" t="s">
        <v>96</v>
      </c>
      <c r="BR80" s="5">
        <v>128</v>
      </c>
      <c r="BU80" s="4" t="s">
        <v>178</v>
      </c>
      <c r="BV80" s="4">
        <v>2004</v>
      </c>
      <c r="BW80" s="4" t="s">
        <v>96</v>
      </c>
      <c r="BX80" s="5">
        <v>489</v>
      </c>
      <c r="CA80" s="4" t="s">
        <v>75</v>
      </c>
      <c r="CB80" s="4">
        <v>2004</v>
      </c>
      <c r="CC80" s="4" t="s">
        <v>96</v>
      </c>
      <c r="CD80" s="5">
        <v>149</v>
      </c>
      <c r="CG80" s="4" t="s">
        <v>76</v>
      </c>
      <c r="CH80" s="4">
        <v>2004</v>
      </c>
      <c r="CI80" s="4" t="s">
        <v>96</v>
      </c>
      <c r="CJ80" s="5">
        <v>823</v>
      </c>
      <c r="CM80" s="4" t="s">
        <v>183</v>
      </c>
      <c r="CN80" s="4">
        <v>2004</v>
      </c>
      <c r="CO80" s="4" t="s">
        <v>96</v>
      </c>
      <c r="CP80" s="5">
        <v>324</v>
      </c>
      <c r="CS80" s="4" t="s">
        <v>208</v>
      </c>
      <c r="CT80" s="4">
        <v>2005</v>
      </c>
      <c r="CU80" s="4" t="s">
        <v>20</v>
      </c>
      <c r="CV80" s="5">
        <v>555</v>
      </c>
    </row>
    <row r="81" spans="1:100" x14ac:dyDescent="0.25">
      <c r="A81" s="4" t="s">
        <v>180</v>
      </c>
      <c r="B81" s="4">
        <v>2005</v>
      </c>
      <c r="C81" s="4" t="s">
        <v>20</v>
      </c>
      <c r="D81" s="5">
        <v>29</v>
      </c>
      <c r="G81" s="4" t="s">
        <v>71</v>
      </c>
      <c r="H81" s="4">
        <v>2005</v>
      </c>
      <c r="I81" s="4" t="s">
        <v>20</v>
      </c>
      <c r="J81" s="5">
        <v>1079</v>
      </c>
      <c r="M81" s="4" t="s">
        <v>164</v>
      </c>
      <c r="N81" s="4">
        <v>2005</v>
      </c>
      <c r="O81" s="4" t="s">
        <v>20</v>
      </c>
      <c r="P81" s="5">
        <v>547</v>
      </c>
      <c r="S81" s="4" t="s">
        <v>166</v>
      </c>
      <c r="T81" s="4">
        <v>2005</v>
      </c>
      <c r="U81" s="4" t="s">
        <v>20</v>
      </c>
      <c r="V81" s="5">
        <v>341</v>
      </c>
      <c r="Y81" s="4" t="s">
        <v>168</v>
      </c>
      <c r="Z81" s="4">
        <v>2005</v>
      </c>
      <c r="AA81" s="4" t="s">
        <v>20</v>
      </c>
      <c r="AB81" s="5">
        <v>183</v>
      </c>
      <c r="AE81" s="4" t="s">
        <v>170</v>
      </c>
      <c r="AF81" s="4">
        <v>2005</v>
      </c>
      <c r="AG81" s="4" t="s">
        <v>20</v>
      </c>
      <c r="AH81" s="5">
        <v>1120</v>
      </c>
      <c r="AK81" s="4" t="s">
        <v>72</v>
      </c>
      <c r="AL81" s="4">
        <v>2005</v>
      </c>
      <c r="AM81" s="4" t="s">
        <v>20</v>
      </c>
      <c r="AN81" s="5">
        <v>276</v>
      </c>
      <c r="AO81" s="14"/>
      <c r="AQ81" s="4" t="s">
        <v>73</v>
      </c>
      <c r="AR81" s="4">
        <v>2005</v>
      </c>
      <c r="AS81" s="4" t="s">
        <v>20</v>
      </c>
      <c r="AT81" s="5">
        <v>168</v>
      </c>
      <c r="AW81" s="4" t="s">
        <v>172</v>
      </c>
      <c r="AX81" s="4">
        <v>2005</v>
      </c>
      <c r="AY81" s="4" t="s">
        <v>20</v>
      </c>
      <c r="AZ81" s="5">
        <v>167</v>
      </c>
      <c r="BC81" s="4" t="s">
        <v>174</v>
      </c>
      <c r="BD81" s="4">
        <v>2005</v>
      </c>
      <c r="BE81" s="4" t="s">
        <v>20</v>
      </c>
      <c r="BF81" s="5">
        <v>85</v>
      </c>
      <c r="BI81" s="4" t="s">
        <v>74</v>
      </c>
      <c r="BJ81" s="4">
        <v>2005</v>
      </c>
      <c r="BK81" s="4" t="s">
        <v>20</v>
      </c>
      <c r="BL81" s="5">
        <v>958</v>
      </c>
      <c r="BO81" s="4" t="s">
        <v>176</v>
      </c>
      <c r="BP81" s="4">
        <v>2005</v>
      </c>
      <c r="BQ81" s="4" t="s">
        <v>20</v>
      </c>
      <c r="BR81" s="5">
        <v>144</v>
      </c>
      <c r="BU81" s="4" t="s">
        <v>178</v>
      </c>
      <c r="BV81" s="4">
        <v>2005</v>
      </c>
      <c r="BW81" s="4" t="s">
        <v>20</v>
      </c>
      <c r="BX81" s="5">
        <v>469</v>
      </c>
      <c r="CA81" s="4" t="s">
        <v>75</v>
      </c>
      <c r="CB81" s="4">
        <v>2005</v>
      </c>
      <c r="CC81" s="4" t="s">
        <v>20</v>
      </c>
      <c r="CD81" s="5">
        <v>135</v>
      </c>
      <c r="CG81" s="4" t="s">
        <v>76</v>
      </c>
      <c r="CH81" s="4">
        <v>2005</v>
      </c>
      <c r="CI81" s="4" t="s">
        <v>20</v>
      </c>
      <c r="CJ81" s="5">
        <v>858</v>
      </c>
      <c r="CM81" s="4" t="s">
        <v>183</v>
      </c>
      <c r="CN81" s="4">
        <v>2005</v>
      </c>
      <c r="CO81" s="4" t="s">
        <v>20</v>
      </c>
      <c r="CP81" s="5">
        <v>290</v>
      </c>
      <c r="CS81" s="4" t="s">
        <v>208</v>
      </c>
      <c r="CT81" s="4">
        <v>2005</v>
      </c>
      <c r="CU81" s="4" t="s">
        <v>21</v>
      </c>
      <c r="CV81" s="5">
        <v>472</v>
      </c>
    </row>
    <row r="82" spans="1:100" x14ac:dyDescent="0.25">
      <c r="A82" s="4" t="s">
        <v>180</v>
      </c>
      <c r="B82" s="4">
        <v>2005</v>
      </c>
      <c r="C82" s="4" t="s">
        <v>21</v>
      </c>
      <c r="D82" s="5">
        <v>25</v>
      </c>
      <c r="G82" s="4" t="s">
        <v>71</v>
      </c>
      <c r="H82" s="4">
        <v>2005</v>
      </c>
      <c r="I82" s="4" t="s">
        <v>21</v>
      </c>
      <c r="J82" s="5">
        <v>1150</v>
      </c>
      <c r="M82" s="4" t="s">
        <v>164</v>
      </c>
      <c r="N82" s="4">
        <v>2005</v>
      </c>
      <c r="O82" s="4" t="s">
        <v>21</v>
      </c>
      <c r="P82" s="5">
        <v>532</v>
      </c>
      <c r="S82" s="4" t="s">
        <v>166</v>
      </c>
      <c r="T82" s="4">
        <v>2005</v>
      </c>
      <c r="U82" s="4" t="s">
        <v>21</v>
      </c>
      <c r="V82" s="5">
        <v>357</v>
      </c>
      <c r="Y82" s="4" t="s">
        <v>168</v>
      </c>
      <c r="Z82" s="4">
        <v>2005</v>
      </c>
      <c r="AA82" s="4" t="s">
        <v>21</v>
      </c>
      <c r="AB82" s="5">
        <v>230</v>
      </c>
      <c r="AE82" s="4" t="s">
        <v>170</v>
      </c>
      <c r="AF82" s="4">
        <v>2005</v>
      </c>
      <c r="AG82" s="4" t="s">
        <v>21</v>
      </c>
      <c r="AH82" s="5">
        <v>1071</v>
      </c>
      <c r="AK82" s="4" t="s">
        <v>72</v>
      </c>
      <c r="AL82" s="4">
        <v>2005</v>
      </c>
      <c r="AM82" s="4" t="s">
        <v>21</v>
      </c>
      <c r="AN82" s="5">
        <v>245</v>
      </c>
      <c r="AO82" s="14"/>
      <c r="AQ82" s="4" t="s">
        <v>73</v>
      </c>
      <c r="AR82" s="4">
        <v>2005</v>
      </c>
      <c r="AS82" s="4" t="s">
        <v>21</v>
      </c>
      <c r="AT82" s="5">
        <v>204</v>
      </c>
      <c r="AW82" s="4" t="s">
        <v>172</v>
      </c>
      <c r="AX82" s="4">
        <v>2005</v>
      </c>
      <c r="AY82" s="4" t="s">
        <v>21</v>
      </c>
      <c r="AZ82" s="5">
        <v>221</v>
      </c>
      <c r="BC82" s="4" t="s">
        <v>174</v>
      </c>
      <c r="BD82" s="4">
        <v>2005</v>
      </c>
      <c r="BE82" s="4" t="s">
        <v>21</v>
      </c>
      <c r="BF82" s="5">
        <v>81</v>
      </c>
      <c r="BI82" s="4" t="s">
        <v>74</v>
      </c>
      <c r="BJ82" s="4">
        <v>2005</v>
      </c>
      <c r="BK82" s="4" t="s">
        <v>21</v>
      </c>
      <c r="BL82" s="5">
        <v>916</v>
      </c>
      <c r="BO82" s="4" t="s">
        <v>176</v>
      </c>
      <c r="BP82" s="4">
        <v>2005</v>
      </c>
      <c r="BQ82" s="4" t="s">
        <v>21</v>
      </c>
      <c r="BR82" s="5">
        <v>138</v>
      </c>
      <c r="BU82" s="4" t="s">
        <v>178</v>
      </c>
      <c r="BV82" s="4">
        <v>2005</v>
      </c>
      <c r="BW82" s="4" t="s">
        <v>21</v>
      </c>
      <c r="BX82" s="5">
        <v>481</v>
      </c>
      <c r="CA82" s="4" t="s">
        <v>75</v>
      </c>
      <c r="CB82" s="4">
        <v>2005</v>
      </c>
      <c r="CC82" s="4" t="s">
        <v>21</v>
      </c>
      <c r="CD82" s="5">
        <v>171</v>
      </c>
      <c r="CG82" s="4" t="s">
        <v>76</v>
      </c>
      <c r="CH82" s="4">
        <v>2005</v>
      </c>
      <c r="CI82" s="4" t="s">
        <v>21</v>
      </c>
      <c r="CJ82" s="5">
        <v>837</v>
      </c>
      <c r="CM82" s="4" t="s">
        <v>183</v>
      </c>
      <c r="CN82" s="4">
        <v>2005</v>
      </c>
      <c r="CO82" s="4" t="s">
        <v>21</v>
      </c>
      <c r="CP82" s="5">
        <v>325</v>
      </c>
      <c r="CS82" s="4" t="s">
        <v>208</v>
      </c>
      <c r="CT82" s="4">
        <v>2005</v>
      </c>
      <c r="CU82" s="4" t="s">
        <v>22</v>
      </c>
      <c r="CV82" s="5">
        <v>468</v>
      </c>
    </row>
    <row r="83" spans="1:100" x14ac:dyDescent="0.25">
      <c r="A83" s="4" t="s">
        <v>180</v>
      </c>
      <c r="B83" s="4">
        <v>2005</v>
      </c>
      <c r="C83" s="4" t="s">
        <v>22</v>
      </c>
      <c r="D83" s="5">
        <v>32</v>
      </c>
      <c r="G83" s="4" t="s">
        <v>71</v>
      </c>
      <c r="H83" s="4">
        <v>2005</v>
      </c>
      <c r="I83" s="4" t="s">
        <v>22</v>
      </c>
      <c r="J83" s="5">
        <v>961</v>
      </c>
      <c r="M83" s="4" t="s">
        <v>164</v>
      </c>
      <c r="N83" s="4">
        <v>2005</v>
      </c>
      <c r="O83" s="4" t="s">
        <v>22</v>
      </c>
      <c r="P83" s="5">
        <v>507</v>
      </c>
      <c r="S83" s="4" t="s">
        <v>166</v>
      </c>
      <c r="T83" s="4">
        <v>2005</v>
      </c>
      <c r="U83" s="4" t="s">
        <v>22</v>
      </c>
      <c r="V83" s="5">
        <v>372</v>
      </c>
      <c r="Y83" s="4" t="s">
        <v>168</v>
      </c>
      <c r="Z83" s="4">
        <v>2005</v>
      </c>
      <c r="AA83" s="4" t="s">
        <v>22</v>
      </c>
      <c r="AB83" s="5">
        <v>194</v>
      </c>
      <c r="AE83" s="4" t="s">
        <v>170</v>
      </c>
      <c r="AF83" s="4">
        <v>2005</v>
      </c>
      <c r="AG83" s="4" t="s">
        <v>22</v>
      </c>
      <c r="AH83" s="5">
        <v>979</v>
      </c>
      <c r="AK83" s="4" t="s">
        <v>72</v>
      </c>
      <c r="AL83" s="4">
        <v>2005</v>
      </c>
      <c r="AM83" s="4" t="s">
        <v>22</v>
      </c>
      <c r="AN83" s="5">
        <v>267</v>
      </c>
      <c r="AO83" s="14"/>
      <c r="AQ83" s="4" t="s">
        <v>73</v>
      </c>
      <c r="AR83" s="4">
        <v>2005</v>
      </c>
      <c r="AS83" s="4" t="s">
        <v>22</v>
      </c>
      <c r="AT83" s="5">
        <v>177</v>
      </c>
      <c r="AW83" s="4" t="s">
        <v>172</v>
      </c>
      <c r="AX83" s="4">
        <v>2005</v>
      </c>
      <c r="AY83" s="4" t="s">
        <v>22</v>
      </c>
      <c r="AZ83" s="5">
        <v>172</v>
      </c>
      <c r="BC83" s="4" t="s">
        <v>174</v>
      </c>
      <c r="BD83" s="4">
        <v>2005</v>
      </c>
      <c r="BE83" s="4" t="s">
        <v>22</v>
      </c>
      <c r="BF83" s="5">
        <v>89</v>
      </c>
      <c r="BI83" s="4" t="s">
        <v>74</v>
      </c>
      <c r="BJ83" s="4">
        <v>2005</v>
      </c>
      <c r="BK83" s="4" t="s">
        <v>22</v>
      </c>
      <c r="BL83" s="5">
        <v>807</v>
      </c>
      <c r="BO83" s="4" t="s">
        <v>176</v>
      </c>
      <c r="BP83" s="4">
        <v>2005</v>
      </c>
      <c r="BQ83" s="4" t="s">
        <v>22</v>
      </c>
      <c r="BR83" s="5">
        <v>112</v>
      </c>
      <c r="BU83" s="4" t="s">
        <v>178</v>
      </c>
      <c r="BV83" s="4">
        <v>2005</v>
      </c>
      <c r="BW83" s="4" t="s">
        <v>22</v>
      </c>
      <c r="BX83" s="5">
        <v>501</v>
      </c>
      <c r="CA83" s="4" t="s">
        <v>75</v>
      </c>
      <c r="CB83" s="4">
        <v>2005</v>
      </c>
      <c r="CC83" s="4" t="s">
        <v>22</v>
      </c>
      <c r="CD83" s="5">
        <v>162</v>
      </c>
      <c r="CG83" s="4" t="s">
        <v>76</v>
      </c>
      <c r="CH83" s="4">
        <v>2005</v>
      </c>
      <c r="CI83" s="4" t="s">
        <v>22</v>
      </c>
      <c r="CJ83" s="5">
        <v>804</v>
      </c>
      <c r="CM83" s="4" t="s">
        <v>183</v>
      </c>
      <c r="CN83" s="4">
        <v>2005</v>
      </c>
      <c r="CO83" s="4" t="s">
        <v>22</v>
      </c>
      <c r="CP83" s="5">
        <v>308</v>
      </c>
      <c r="CS83" s="4" t="s">
        <v>208</v>
      </c>
      <c r="CT83" s="4">
        <v>2005</v>
      </c>
      <c r="CU83" s="4" t="s">
        <v>23</v>
      </c>
      <c r="CV83" s="5">
        <v>478</v>
      </c>
    </row>
    <row r="84" spans="1:100" x14ac:dyDescent="0.25">
      <c r="A84" s="4" t="s">
        <v>180</v>
      </c>
      <c r="B84" s="4">
        <v>2005</v>
      </c>
      <c r="C84" s="4" t="s">
        <v>23</v>
      </c>
      <c r="D84" s="5">
        <v>19</v>
      </c>
      <c r="G84" s="4" t="s">
        <v>71</v>
      </c>
      <c r="H84" s="4">
        <v>2005</v>
      </c>
      <c r="I84" s="4" t="s">
        <v>23</v>
      </c>
      <c r="J84" s="5">
        <v>693</v>
      </c>
      <c r="M84" s="4" t="s">
        <v>164</v>
      </c>
      <c r="N84" s="4">
        <v>2005</v>
      </c>
      <c r="O84" s="4" t="s">
        <v>23</v>
      </c>
      <c r="P84" s="5">
        <v>450</v>
      </c>
      <c r="S84" s="4" t="s">
        <v>166</v>
      </c>
      <c r="T84" s="4">
        <v>2005</v>
      </c>
      <c r="U84" s="4" t="s">
        <v>23</v>
      </c>
      <c r="V84" s="5">
        <v>343</v>
      </c>
      <c r="Y84" s="4" t="s">
        <v>168</v>
      </c>
      <c r="Z84" s="4">
        <v>2005</v>
      </c>
      <c r="AA84" s="4" t="s">
        <v>23</v>
      </c>
      <c r="AB84" s="5">
        <v>188</v>
      </c>
      <c r="AE84" s="4" t="s">
        <v>170</v>
      </c>
      <c r="AF84" s="4">
        <v>2005</v>
      </c>
      <c r="AG84" s="4" t="s">
        <v>23</v>
      </c>
      <c r="AH84" s="5">
        <v>943</v>
      </c>
      <c r="AK84" s="4" t="s">
        <v>72</v>
      </c>
      <c r="AL84" s="4">
        <v>2005</v>
      </c>
      <c r="AM84" s="4" t="s">
        <v>23</v>
      </c>
      <c r="AN84" s="5">
        <v>257</v>
      </c>
      <c r="AO84" s="14"/>
      <c r="AQ84" s="4" t="s">
        <v>73</v>
      </c>
      <c r="AR84" s="4">
        <v>2005</v>
      </c>
      <c r="AS84" s="4" t="s">
        <v>23</v>
      </c>
      <c r="AT84" s="5">
        <v>178</v>
      </c>
      <c r="AW84" s="4" t="s">
        <v>172</v>
      </c>
      <c r="AX84" s="4">
        <v>2005</v>
      </c>
      <c r="AY84" s="4" t="s">
        <v>23</v>
      </c>
      <c r="AZ84" s="5">
        <v>160</v>
      </c>
      <c r="BC84" s="4" t="s">
        <v>174</v>
      </c>
      <c r="BD84" s="4">
        <v>2005</v>
      </c>
      <c r="BE84" s="4" t="s">
        <v>23</v>
      </c>
      <c r="BF84" s="5">
        <v>96</v>
      </c>
      <c r="BI84" s="4" t="s">
        <v>74</v>
      </c>
      <c r="BJ84" s="4">
        <v>2005</v>
      </c>
      <c r="BK84" s="4" t="s">
        <v>23</v>
      </c>
      <c r="BL84" s="5">
        <v>714</v>
      </c>
      <c r="BO84" s="4" t="s">
        <v>176</v>
      </c>
      <c r="BP84" s="4">
        <v>2005</v>
      </c>
      <c r="BQ84" s="4" t="s">
        <v>23</v>
      </c>
      <c r="BR84" s="5">
        <v>94</v>
      </c>
      <c r="BU84" s="4" t="s">
        <v>178</v>
      </c>
      <c r="BV84" s="4">
        <v>2005</v>
      </c>
      <c r="BW84" s="4" t="s">
        <v>23</v>
      </c>
      <c r="BX84" s="5">
        <v>497</v>
      </c>
      <c r="CA84" s="4" t="s">
        <v>75</v>
      </c>
      <c r="CB84" s="4">
        <v>2005</v>
      </c>
      <c r="CC84" s="4" t="s">
        <v>23</v>
      </c>
      <c r="CD84" s="5">
        <v>144</v>
      </c>
      <c r="CG84" s="4" t="s">
        <v>76</v>
      </c>
      <c r="CH84" s="4">
        <v>2005</v>
      </c>
      <c r="CI84" s="4" t="s">
        <v>23</v>
      </c>
      <c r="CJ84" s="5">
        <v>738</v>
      </c>
      <c r="CM84" s="4" t="s">
        <v>183</v>
      </c>
      <c r="CN84" s="4">
        <v>2005</v>
      </c>
      <c r="CO84" s="4" t="s">
        <v>23</v>
      </c>
      <c r="CP84" s="5">
        <v>306</v>
      </c>
      <c r="CS84" s="4" t="s">
        <v>208</v>
      </c>
      <c r="CT84" s="4">
        <v>2005</v>
      </c>
      <c r="CU84" s="4" t="s">
        <v>24</v>
      </c>
      <c r="CV84" s="5">
        <v>453</v>
      </c>
    </row>
    <row r="85" spans="1:100" x14ac:dyDescent="0.25">
      <c r="A85" s="4" t="s">
        <v>180</v>
      </c>
      <c r="B85" s="4">
        <v>2005</v>
      </c>
      <c r="C85" s="4" t="s">
        <v>24</v>
      </c>
      <c r="D85" s="5">
        <v>16</v>
      </c>
      <c r="G85" s="4" t="s">
        <v>71</v>
      </c>
      <c r="H85" s="4">
        <v>2005</v>
      </c>
      <c r="I85" s="4" t="s">
        <v>24</v>
      </c>
      <c r="J85" s="5">
        <v>567</v>
      </c>
      <c r="M85" s="4" t="s">
        <v>164</v>
      </c>
      <c r="N85" s="4">
        <v>2005</v>
      </c>
      <c r="O85" s="4" t="s">
        <v>24</v>
      </c>
      <c r="P85" s="5">
        <v>422</v>
      </c>
      <c r="S85" s="4" t="s">
        <v>166</v>
      </c>
      <c r="T85" s="4">
        <v>2005</v>
      </c>
      <c r="U85" s="4" t="s">
        <v>24</v>
      </c>
      <c r="V85" s="5">
        <v>322</v>
      </c>
      <c r="Y85" s="4" t="s">
        <v>168</v>
      </c>
      <c r="Z85" s="4">
        <v>2005</v>
      </c>
      <c r="AA85" s="4" t="s">
        <v>24</v>
      </c>
      <c r="AB85" s="5">
        <v>170</v>
      </c>
      <c r="AE85" s="4" t="s">
        <v>170</v>
      </c>
      <c r="AF85" s="4">
        <v>2005</v>
      </c>
      <c r="AG85" s="4" t="s">
        <v>24</v>
      </c>
      <c r="AH85" s="5">
        <v>976</v>
      </c>
      <c r="AK85" s="4" t="s">
        <v>72</v>
      </c>
      <c r="AL85" s="4">
        <v>2005</v>
      </c>
      <c r="AM85" s="4" t="s">
        <v>24</v>
      </c>
      <c r="AN85" s="5">
        <v>223</v>
      </c>
      <c r="AO85" s="14"/>
      <c r="AQ85" s="4" t="s">
        <v>73</v>
      </c>
      <c r="AR85" s="4">
        <v>2005</v>
      </c>
      <c r="AS85" s="4" t="s">
        <v>24</v>
      </c>
      <c r="AT85" s="5">
        <v>145</v>
      </c>
      <c r="AW85" s="4" t="s">
        <v>172</v>
      </c>
      <c r="AX85" s="4">
        <v>2005</v>
      </c>
      <c r="AY85" s="4" t="s">
        <v>24</v>
      </c>
      <c r="AZ85" s="5">
        <v>190</v>
      </c>
      <c r="BC85" s="4" t="s">
        <v>174</v>
      </c>
      <c r="BD85" s="4">
        <v>2005</v>
      </c>
      <c r="BE85" s="4" t="s">
        <v>24</v>
      </c>
      <c r="BF85" s="5">
        <v>98</v>
      </c>
      <c r="BI85" s="4" t="s">
        <v>74</v>
      </c>
      <c r="BJ85" s="4">
        <v>2005</v>
      </c>
      <c r="BK85" s="4" t="s">
        <v>24</v>
      </c>
      <c r="BL85" s="5">
        <v>730</v>
      </c>
      <c r="BO85" s="4" t="s">
        <v>176</v>
      </c>
      <c r="BP85" s="4">
        <v>2005</v>
      </c>
      <c r="BQ85" s="4" t="s">
        <v>24</v>
      </c>
      <c r="BR85" s="5">
        <v>115</v>
      </c>
      <c r="BU85" s="4" t="s">
        <v>178</v>
      </c>
      <c r="BV85" s="4">
        <v>2005</v>
      </c>
      <c r="BW85" s="4" t="s">
        <v>24</v>
      </c>
      <c r="BX85" s="5">
        <v>533</v>
      </c>
      <c r="CA85" s="4" t="s">
        <v>75</v>
      </c>
      <c r="CB85" s="4">
        <v>2005</v>
      </c>
      <c r="CC85" s="4" t="s">
        <v>24</v>
      </c>
      <c r="CD85" s="5">
        <v>159</v>
      </c>
      <c r="CG85" s="4" t="s">
        <v>76</v>
      </c>
      <c r="CH85" s="4">
        <v>2005</v>
      </c>
      <c r="CI85" s="4" t="s">
        <v>24</v>
      </c>
      <c r="CJ85" s="5">
        <v>785</v>
      </c>
      <c r="CM85" s="4" t="s">
        <v>183</v>
      </c>
      <c r="CN85" s="4">
        <v>2005</v>
      </c>
      <c r="CO85" s="4" t="s">
        <v>24</v>
      </c>
      <c r="CP85" s="5">
        <v>314</v>
      </c>
      <c r="CS85" s="4" t="s">
        <v>208</v>
      </c>
      <c r="CT85" s="4">
        <v>2005</v>
      </c>
      <c r="CU85" s="4" t="s">
        <v>25</v>
      </c>
      <c r="CV85" s="5">
        <v>681</v>
      </c>
    </row>
    <row r="86" spans="1:100" x14ac:dyDescent="0.25">
      <c r="A86" s="4" t="s">
        <v>180</v>
      </c>
      <c r="B86" s="4">
        <v>2005</v>
      </c>
      <c r="C86" s="4" t="s">
        <v>25</v>
      </c>
      <c r="D86" s="5">
        <v>25</v>
      </c>
      <c r="G86" s="4" t="s">
        <v>71</v>
      </c>
      <c r="H86" s="4">
        <v>2005</v>
      </c>
      <c r="I86" s="4" t="s">
        <v>25</v>
      </c>
      <c r="J86" s="5">
        <v>559</v>
      </c>
      <c r="M86" s="4" t="s">
        <v>164</v>
      </c>
      <c r="N86" s="4">
        <v>2005</v>
      </c>
      <c r="O86" s="4" t="s">
        <v>25</v>
      </c>
      <c r="P86" s="5">
        <v>455</v>
      </c>
      <c r="S86" s="4" t="s">
        <v>166</v>
      </c>
      <c r="T86" s="4">
        <v>2005</v>
      </c>
      <c r="U86" s="4" t="s">
        <v>25</v>
      </c>
      <c r="V86" s="5">
        <v>288</v>
      </c>
      <c r="Y86" s="4" t="s">
        <v>168</v>
      </c>
      <c r="Z86" s="4">
        <v>2005</v>
      </c>
      <c r="AA86" s="4" t="s">
        <v>25</v>
      </c>
      <c r="AB86" s="5">
        <v>192</v>
      </c>
      <c r="AE86" s="4" t="s">
        <v>170</v>
      </c>
      <c r="AF86" s="4">
        <v>2005</v>
      </c>
      <c r="AG86" s="4" t="s">
        <v>25</v>
      </c>
      <c r="AH86" s="5">
        <v>1004</v>
      </c>
      <c r="AK86" s="4" t="s">
        <v>72</v>
      </c>
      <c r="AL86" s="4">
        <v>2005</v>
      </c>
      <c r="AM86" s="4" t="s">
        <v>25</v>
      </c>
      <c r="AN86" s="5">
        <v>247</v>
      </c>
      <c r="AO86" s="14"/>
      <c r="AQ86" s="4" t="s">
        <v>73</v>
      </c>
      <c r="AR86" s="4">
        <v>2005</v>
      </c>
      <c r="AS86" s="4" t="s">
        <v>25</v>
      </c>
      <c r="AT86" s="5">
        <v>160</v>
      </c>
      <c r="AW86" s="4" t="s">
        <v>172</v>
      </c>
      <c r="AX86" s="4">
        <v>2005</v>
      </c>
      <c r="AY86" s="4" t="s">
        <v>25</v>
      </c>
      <c r="AZ86" s="5">
        <v>209</v>
      </c>
      <c r="BC86" s="4" t="s">
        <v>174</v>
      </c>
      <c r="BD86" s="4">
        <v>2005</v>
      </c>
      <c r="BE86" s="4" t="s">
        <v>25</v>
      </c>
      <c r="BF86" s="5">
        <v>98</v>
      </c>
      <c r="BI86" s="4" t="s">
        <v>74</v>
      </c>
      <c r="BJ86" s="4">
        <v>2005</v>
      </c>
      <c r="BK86" s="4" t="s">
        <v>25</v>
      </c>
      <c r="BL86" s="5">
        <v>743</v>
      </c>
      <c r="BO86" s="4" t="s">
        <v>176</v>
      </c>
      <c r="BP86" s="4">
        <v>2005</v>
      </c>
      <c r="BQ86" s="4" t="s">
        <v>25</v>
      </c>
      <c r="BR86" s="5">
        <v>191</v>
      </c>
      <c r="BU86" s="4" t="s">
        <v>178</v>
      </c>
      <c r="BV86" s="4">
        <v>2005</v>
      </c>
      <c r="BW86" s="4" t="s">
        <v>25</v>
      </c>
      <c r="BX86" s="5">
        <v>476</v>
      </c>
      <c r="CA86" s="4" t="s">
        <v>75</v>
      </c>
      <c r="CB86" s="4">
        <v>2005</v>
      </c>
      <c r="CC86" s="4" t="s">
        <v>25</v>
      </c>
      <c r="CD86" s="5">
        <v>117</v>
      </c>
      <c r="CG86" s="4" t="s">
        <v>76</v>
      </c>
      <c r="CH86" s="4">
        <v>2005</v>
      </c>
      <c r="CI86" s="4" t="s">
        <v>25</v>
      </c>
      <c r="CJ86" s="5">
        <v>833</v>
      </c>
      <c r="CM86" s="4" t="s">
        <v>183</v>
      </c>
      <c r="CN86" s="4">
        <v>2005</v>
      </c>
      <c r="CO86" s="4" t="s">
        <v>25</v>
      </c>
      <c r="CP86" s="5">
        <v>291</v>
      </c>
      <c r="CS86" s="4" t="s">
        <v>208</v>
      </c>
      <c r="CT86" s="4">
        <v>2005</v>
      </c>
      <c r="CU86" s="4" t="s">
        <v>26</v>
      </c>
      <c r="CV86" s="5">
        <v>683</v>
      </c>
    </row>
    <row r="87" spans="1:100" x14ac:dyDescent="0.25">
      <c r="A87" s="4" t="s">
        <v>180</v>
      </c>
      <c r="B87" s="4">
        <v>2005</v>
      </c>
      <c r="C87" s="4" t="s">
        <v>26</v>
      </c>
      <c r="D87" s="5">
        <v>22</v>
      </c>
      <c r="G87" s="4" t="s">
        <v>71</v>
      </c>
      <c r="H87" s="4">
        <v>2005</v>
      </c>
      <c r="I87" s="4" t="s">
        <v>26</v>
      </c>
      <c r="J87" s="5">
        <v>509</v>
      </c>
      <c r="M87" s="4" t="s">
        <v>164</v>
      </c>
      <c r="N87" s="4">
        <v>2005</v>
      </c>
      <c r="O87" s="4" t="s">
        <v>26</v>
      </c>
      <c r="P87" s="5">
        <v>580</v>
      </c>
      <c r="S87" s="4" t="s">
        <v>166</v>
      </c>
      <c r="T87" s="4">
        <v>2005</v>
      </c>
      <c r="U87" s="4" t="s">
        <v>26</v>
      </c>
      <c r="V87" s="5">
        <v>303</v>
      </c>
      <c r="Y87" s="4" t="s">
        <v>168</v>
      </c>
      <c r="Z87" s="4">
        <v>2005</v>
      </c>
      <c r="AA87" s="4" t="s">
        <v>26</v>
      </c>
      <c r="AB87" s="5">
        <v>195</v>
      </c>
      <c r="AE87" s="4" t="s">
        <v>170</v>
      </c>
      <c r="AF87" s="4">
        <v>2005</v>
      </c>
      <c r="AG87" s="4" t="s">
        <v>26</v>
      </c>
      <c r="AH87" s="5">
        <v>999</v>
      </c>
      <c r="AK87" s="4" t="s">
        <v>72</v>
      </c>
      <c r="AL87" s="4">
        <v>2005</v>
      </c>
      <c r="AM87" s="4" t="s">
        <v>26</v>
      </c>
      <c r="AN87" s="5">
        <v>222</v>
      </c>
      <c r="AO87" s="14"/>
      <c r="AQ87" s="4" t="s">
        <v>73</v>
      </c>
      <c r="AR87" s="4">
        <v>2005</v>
      </c>
      <c r="AS87" s="4" t="s">
        <v>26</v>
      </c>
      <c r="AT87" s="5">
        <v>142</v>
      </c>
      <c r="AW87" s="4" t="s">
        <v>172</v>
      </c>
      <c r="AX87" s="4">
        <v>2005</v>
      </c>
      <c r="AY87" s="4" t="s">
        <v>26</v>
      </c>
      <c r="AZ87" s="5">
        <v>219</v>
      </c>
      <c r="BC87" s="4" t="s">
        <v>174</v>
      </c>
      <c r="BD87" s="4">
        <v>2005</v>
      </c>
      <c r="BE87" s="4" t="s">
        <v>26</v>
      </c>
      <c r="BF87" s="5">
        <v>90</v>
      </c>
      <c r="BI87" s="4" t="s">
        <v>74</v>
      </c>
      <c r="BJ87" s="4">
        <v>2005</v>
      </c>
      <c r="BK87" s="4" t="s">
        <v>26</v>
      </c>
      <c r="BL87" s="5">
        <v>804</v>
      </c>
      <c r="BO87" s="4" t="s">
        <v>176</v>
      </c>
      <c r="BP87" s="4">
        <v>2005</v>
      </c>
      <c r="BQ87" s="4" t="s">
        <v>26</v>
      </c>
      <c r="BR87" s="5">
        <v>160</v>
      </c>
      <c r="BU87" s="4" t="s">
        <v>178</v>
      </c>
      <c r="BV87" s="4">
        <v>2005</v>
      </c>
      <c r="BW87" s="4" t="s">
        <v>26</v>
      </c>
      <c r="BX87" s="5">
        <v>474</v>
      </c>
      <c r="CA87" s="4" t="s">
        <v>75</v>
      </c>
      <c r="CB87" s="4">
        <v>2005</v>
      </c>
      <c r="CC87" s="4" t="s">
        <v>26</v>
      </c>
      <c r="CD87" s="5">
        <v>142</v>
      </c>
      <c r="CG87" s="4" t="s">
        <v>76</v>
      </c>
      <c r="CH87" s="4">
        <v>2005</v>
      </c>
      <c r="CI87" s="4" t="s">
        <v>26</v>
      </c>
      <c r="CJ87" s="5">
        <v>787</v>
      </c>
      <c r="CM87" s="4" t="s">
        <v>183</v>
      </c>
      <c r="CN87" s="4">
        <v>2005</v>
      </c>
      <c r="CO87" s="4" t="s">
        <v>26</v>
      </c>
      <c r="CP87" s="5">
        <v>274</v>
      </c>
      <c r="CS87" s="4" t="s">
        <v>208</v>
      </c>
      <c r="CT87" s="4">
        <v>2005</v>
      </c>
      <c r="CU87" s="4" t="s">
        <v>27</v>
      </c>
      <c r="CV87" s="5">
        <v>664</v>
      </c>
    </row>
    <row r="88" spans="1:100" x14ac:dyDescent="0.25">
      <c r="A88" s="4" t="s">
        <v>180</v>
      </c>
      <c r="B88" s="4">
        <v>2005</v>
      </c>
      <c r="C88" s="4" t="s">
        <v>27</v>
      </c>
      <c r="D88" s="5">
        <v>12</v>
      </c>
      <c r="G88" s="4" t="s">
        <v>71</v>
      </c>
      <c r="H88" s="4">
        <v>2005</v>
      </c>
      <c r="I88" s="4" t="s">
        <v>27</v>
      </c>
      <c r="J88" s="5">
        <v>561</v>
      </c>
      <c r="M88" s="4" t="s">
        <v>164</v>
      </c>
      <c r="N88" s="4">
        <v>2005</v>
      </c>
      <c r="O88" s="4" t="s">
        <v>27</v>
      </c>
      <c r="P88" s="5">
        <v>458</v>
      </c>
      <c r="S88" s="4" t="s">
        <v>166</v>
      </c>
      <c r="T88" s="4">
        <v>2005</v>
      </c>
      <c r="U88" s="4" t="s">
        <v>27</v>
      </c>
      <c r="V88" s="5">
        <v>309</v>
      </c>
      <c r="Y88" s="4" t="s">
        <v>168</v>
      </c>
      <c r="Z88" s="4">
        <v>2005</v>
      </c>
      <c r="AA88" s="4" t="s">
        <v>27</v>
      </c>
      <c r="AB88" s="5">
        <v>182</v>
      </c>
      <c r="AE88" s="4" t="s">
        <v>170</v>
      </c>
      <c r="AF88" s="4">
        <v>2005</v>
      </c>
      <c r="AG88" s="4" t="s">
        <v>27</v>
      </c>
      <c r="AH88" s="5">
        <v>948</v>
      </c>
      <c r="AK88" s="4" t="s">
        <v>72</v>
      </c>
      <c r="AL88" s="4">
        <v>2005</v>
      </c>
      <c r="AM88" s="4" t="s">
        <v>27</v>
      </c>
      <c r="AN88" s="5">
        <v>187</v>
      </c>
      <c r="AO88" s="14"/>
      <c r="AQ88" s="4" t="s">
        <v>73</v>
      </c>
      <c r="AR88" s="4">
        <v>2005</v>
      </c>
      <c r="AS88" s="4" t="s">
        <v>27</v>
      </c>
      <c r="AT88" s="5">
        <v>156</v>
      </c>
      <c r="AW88" s="4" t="s">
        <v>172</v>
      </c>
      <c r="AX88" s="4">
        <v>2005</v>
      </c>
      <c r="AY88" s="4" t="s">
        <v>27</v>
      </c>
      <c r="AZ88" s="5">
        <v>200</v>
      </c>
      <c r="BC88" s="4" t="s">
        <v>174</v>
      </c>
      <c r="BD88" s="4">
        <v>2005</v>
      </c>
      <c r="BE88" s="4" t="s">
        <v>27</v>
      </c>
      <c r="BF88" s="5">
        <v>100</v>
      </c>
      <c r="BI88" s="4" t="s">
        <v>74</v>
      </c>
      <c r="BJ88" s="4">
        <v>2005</v>
      </c>
      <c r="BK88" s="4" t="s">
        <v>27</v>
      </c>
      <c r="BL88" s="5">
        <v>728</v>
      </c>
      <c r="BO88" s="4" t="s">
        <v>176</v>
      </c>
      <c r="BP88" s="4">
        <v>2005</v>
      </c>
      <c r="BQ88" s="4" t="s">
        <v>27</v>
      </c>
      <c r="BR88" s="5">
        <v>153</v>
      </c>
      <c r="BU88" s="4" t="s">
        <v>178</v>
      </c>
      <c r="BV88" s="4">
        <v>2005</v>
      </c>
      <c r="BW88" s="4" t="s">
        <v>27</v>
      </c>
      <c r="BX88" s="5">
        <v>491</v>
      </c>
      <c r="CA88" s="4" t="s">
        <v>75</v>
      </c>
      <c r="CB88" s="4">
        <v>2005</v>
      </c>
      <c r="CC88" s="4" t="s">
        <v>27</v>
      </c>
      <c r="CD88" s="5">
        <v>136</v>
      </c>
      <c r="CG88" s="4" t="s">
        <v>76</v>
      </c>
      <c r="CH88" s="4">
        <v>2005</v>
      </c>
      <c r="CI88" s="4" t="s">
        <v>27</v>
      </c>
      <c r="CJ88" s="5">
        <v>707</v>
      </c>
      <c r="CM88" s="4" t="s">
        <v>183</v>
      </c>
      <c r="CN88" s="4">
        <v>2005</v>
      </c>
      <c r="CO88" s="4" t="s">
        <v>27</v>
      </c>
      <c r="CP88" s="5">
        <v>306</v>
      </c>
      <c r="CS88" s="4" t="s">
        <v>208</v>
      </c>
      <c r="CT88" s="4">
        <v>2005</v>
      </c>
      <c r="CU88" s="4" t="s">
        <v>28</v>
      </c>
      <c r="CV88" s="5">
        <v>568</v>
      </c>
    </row>
    <row r="89" spans="1:100" x14ac:dyDescent="0.25">
      <c r="A89" s="4" t="s">
        <v>180</v>
      </c>
      <c r="B89" s="4">
        <v>2005</v>
      </c>
      <c r="C89" s="4" t="s">
        <v>28</v>
      </c>
      <c r="D89" s="5">
        <v>12</v>
      </c>
      <c r="G89" s="4" t="s">
        <v>71</v>
      </c>
      <c r="H89" s="4">
        <v>2005</v>
      </c>
      <c r="I89" s="4" t="s">
        <v>28</v>
      </c>
      <c r="J89" s="5">
        <v>572</v>
      </c>
      <c r="M89" s="4" t="s">
        <v>164</v>
      </c>
      <c r="N89" s="4">
        <v>2005</v>
      </c>
      <c r="O89" s="4" t="s">
        <v>28</v>
      </c>
      <c r="P89" s="5">
        <v>439</v>
      </c>
      <c r="S89" s="4" t="s">
        <v>166</v>
      </c>
      <c r="T89" s="4">
        <v>2005</v>
      </c>
      <c r="U89" s="4" t="s">
        <v>28</v>
      </c>
      <c r="V89" s="5">
        <v>337</v>
      </c>
      <c r="Y89" s="4" t="s">
        <v>168</v>
      </c>
      <c r="Z89" s="4">
        <v>2005</v>
      </c>
      <c r="AA89" s="4" t="s">
        <v>28</v>
      </c>
      <c r="AB89" s="5">
        <v>152</v>
      </c>
      <c r="AE89" s="4" t="s">
        <v>170</v>
      </c>
      <c r="AF89" s="4">
        <v>2005</v>
      </c>
      <c r="AG89" s="4" t="s">
        <v>28</v>
      </c>
      <c r="AH89" s="5">
        <v>886</v>
      </c>
      <c r="AK89" s="4" t="s">
        <v>72</v>
      </c>
      <c r="AL89" s="4">
        <v>2005</v>
      </c>
      <c r="AM89" s="4" t="s">
        <v>28</v>
      </c>
      <c r="AN89" s="5">
        <v>211</v>
      </c>
      <c r="AO89" s="14"/>
      <c r="AQ89" s="4" t="s">
        <v>73</v>
      </c>
      <c r="AR89" s="4">
        <v>2005</v>
      </c>
      <c r="AS89" s="4" t="s">
        <v>28</v>
      </c>
      <c r="AT89" s="5">
        <v>168</v>
      </c>
      <c r="AW89" s="4" t="s">
        <v>172</v>
      </c>
      <c r="AX89" s="4">
        <v>2005</v>
      </c>
      <c r="AY89" s="4" t="s">
        <v>28</v>
      </c>
      <c r="AZ89" s="5">
        <v>194</v>
      </c>
      <c r="BC89" s="4" t="s">
        <v>174</v>
      </c>
      <c r="BD89" s="4">
        <v>2005</v>
      </c>
      <c r="BE89" s="4" t="s">
        <v>28</v>
      </c>
      <c r="BF89" s="5">
        <v>67</v>
      </c>
      <c r="BI89" s="4" t="s">
        <v>74</v>
      </c>
      <c r="BJ89" s="4">
        <v>2005</v>
      </c>
      <c r="BK89" s="4" t="s">
        <v>28</v>
      </c>
      <c r="BL89" s="5">
        <v>862</v>
      </c>
      <c r="BO89" s="4" t="s">
        <v>176</v>
      </c>
      <c r="BP89" s="4">
        <v>2005</v>
      </c>
      <c r="BQ89" s="4" t="s">
        <v>28</v>
      </c>
      <c r="BR89" s="5">
        <v>128</v>
      </c>
      <c r="BU89" s="4" t="s">
        <v>178</v>
      </c>
      <c r="BV89" s="4">
        <v>2005</v>
      </c>
      <c r="BW89" s="4" t="s">
        <v>28</v>
      </c>
      <c r="BX89" s="5">
        <v>530</v>
      </c>
      <c r="CA89" s="4" t="s">
        <v>75</v>
      </c>
      <c r="CB89" s="4">
        <v>2005</v>
      </c>
      <c r="CC89" s="4" t="s">
        <v>28</v>
      </c>
      <c r="CD89" s="5">
        <v>144</v>
      </c>
      <c r="CG89" s="4" t="s">
        <v>76</v>
      </c>
      <c r="CH89" s="4">
        <v>2005</v>
      </c>
      <c r="CI89" s="4" t="s">
        <v>28</v>
      </c>
      <c r="CJ89" s="5">
        <v>698</v>
      </c>
      <c r="CM89" s="4" t="s">
        <v>183</v>
      </c>
      <c r="CN89" s="4">
        <v>2005</v>
      </c>
      <c r="CO89" s="4" t="s">
        <v>28</v>
      </c>
      <c r="CP89" s="5">
        <v>307</v>
      </c>
      <c r="CS89" s="4" t="s">
        <v>208</v>
      </c>
      <c r="CT89" s="4">
        <v>2005</v>
      </c>
      <c r="CU89" s="4" t="s">
        <v>29</v>
      </c>
      <c r="CV89" s="5">
        <v>502</v>
      </c>
    </row>
    <row r="90" spans="1:100" x14ac:dyDescent="0.25">
      <c r="A90" s="4" t="s">
        <v>180</v>
      </c>
      <c r="B90" s="4">
        <v>2005</v>
      </c>
      <c r="C90" s="4" t="s">
        <v>29</v>
      </c>
      <c r="D90" s="5">
        <v>2</v>
      </c>
      <c r="G90" s="4" t="s">
        <v>71</v>
      </c>
      <c r="H90" s="4">
        <v>2005</v>
      </c>
      <c r="I90" s="4" t="s">
        <v>29</v>
      </c>
      <c r="J90" s="5">
        <v>519</v>
      </c>
      <c r="M90" s="4" t="s">
        <v>164</v>
      </c>
      <c r="N90" s="4">
        <v>2005</v>
      </c>
      <c r="O90" s="4" t="s">
        <v>29</v>
      </c>
      <c r="P90" s="5">
        <v>481</v>
      </c>
      <c r="S90" s="4" t="s">
        <v>166</v>
      </c>
      <c r="T90" s="4">
        <v>2005</v>
      </c>
      <c r="U90" s="4" t="s">
        <v>29</v>
      </c>
      <c r="V90" s="5">
        <v>319</v>
      </c>
      <c r="Y90" s="4" t="s">
        <v>168</v>
      </c>
      <c r="Z90" s="4">
        <v>2005</v>
      </c>
      <c r="AA90" s="4" t="s">
        <v>29</v>
      </c>
      <c r="AB90" s="5">
        <v>178</v>
      </c>
      <c r="AE90" s="4" t="s">
        <v>170</v>
      </c>
      <c r="AF90" s="4">
        <v>2005</v>
      </c>
      <c r="AG90" s="4" t="s">
        <v>29</v>
      </c>
      <c r="AH90" s="5">
        <v>872</v>
      </c>
      <c r="AK90" s="4" t="s">
        <v>72</v>
      </c>
      <c r="AL90" s="4">
        <v>2005</v>
      </c>
      <c r="AM90" s="4" t="s">
        <v>29</v>
      </c>
      <c r="AN90" s="5">
        <v>251</v>
      </c>
      <c r="AO90" s="14"/>
      <c r="AQ90" s="4" t="s">
        <v>73</v>
      </c>
      <c r="AR90" s="4">
        <v>2005</v>
      </c>
      <c r="AS90" s="4" t="s">
        <v>29</v>
      </c>
      <c r="AT90" s="5">
        <v>162</v>
      </c>
      <c r="AW90" s="4" t="s">
        <v>172</v>
      </c>
      <c r="AX90" s="4">
        <v>2005</v>
      </c>
      <c r="AY90" s="4" t="s">
        <v>29</v>
      </c>
      <c r="AZ90" s="5">
        <v>157</v>
      </c>
      <c r="BC90" s="4" t="s">
        <v>174</v>
      </c>
      <c r="BD90" s="4">
        <v>2005</v>
      </c>
      <c r="BE90" s="4" t="s">
        <v>29</v>
      </c>
      <c r="BF90" s="5">
        <v>99</v>
      </c>
      <c r="BI90" s="4" t="s">
        <v>74</v>
      </c>
      <c r="BJ90" s="4">
        <v>2005</v>
      </c>
      <c r="BK90" s="4" t="s">
        <v>29</v>
      </c>
      <c r="BL90" s="5">
        <v>748</v>
      </c>
      <c r="BO90" s="4" t="s">
        <v>176</v>
      </c>
      <c r="BP90" s="4">
        <v>2005</v>
      </c>
      <c r="BQ90" s="4" t="s">
        <v>29</v>
      </c>
      <c r="BR90" s="5">
        <v>122</v>
      </c>
      <c r="BU90" s="4" t="s">
        <v>178</v>
      </c>
      <c r="BV90" s="4">
        <v>2005</v>
      </c>
      <c r="BW90" s="4" t="s">
        <v>29</v>
      </c>
      <c r="BX90" s="5">
        <v>506</v>
      </c>
      <c r="CA90" s="4" t="s">
        <v>75</v>
      </c>
      <c r="CB90" s="4">
        <v>2005</v>
      </c>
      <c r="CC90" s="4" t="s">
        <v>29</v>
      </c>
      <c r="CD90" s="5">
        <v>118</v>
      </c>
      <c r="CG90" s="4" t="s">
        <v>76</v>
      </c>
      <c r="CH90" s="4">
        <v>2005</v>
      </c>
      <c r="CI90" s="4" t="s">
        <v>29</v>
      </c>
      <c r="CJ90" s="5">
        <v>678</v>
      </c>
      <c r="CM90" s="4" t="s">
        <v>183</v>
      </c>
      <c r="CN90" s="4">
        <v>2005</v>
      </c>
      <c r="CO90" s="4" t="s">
        <v>29</v>
      </c>
      <c r="CP90" s="5">
        <v>319</v>
      </c>
      <c r="CS90" s="4" t="s">
        <v>208</v>
      </c>
      <c r="CT90" s="4">
        <v>2005</v>
      </c>
      <c r="CU90" s="4" t="s">
        <v>30</v>
      </c>
      <c r="CV90" s="5">
        <v>494</v>
      </c>
    </row>
    <row r="91" spans="1:100" x14ac:dyDescent="0.25">
      <c r="A91" s="4" t="s">
        <v>180</v>
      </c>
      <c r="B91" s="4">
        <v>2005</v>
      </c>
      <c r="C91" s="4" t="s">
        <v>30</v>
      </c>
      <c r="D91" s="5">
        <v>18</v>
      </c>
      <c r="G91" s="4" t="s">
        <v>71</v>
      </c>
      <c r="H91" s="4">
        <v>2005</v>
      </c>
      <c r="I91" s="4" t="s">
        <v>30</v>
      </c>
      <c r="J91" s="5">
        <v>564</v>
      </c>
      <c r="M91" s="4" t="s">
        <v>164</v>
      </c>
      <c r="N91" s="4">
        <v>2005</v>
      </c>
      <c r="O91" s="4" t="s">
        <v>30</v>
      </c>
      <c r="P91" s="5">
        <v>493</v>
      </c>
      <c r="S91" s="4" t="s">
        <v>166</v>
      </c>
      <c r="T91" s="4">
        <v>2005</v>
      </c>
      <c r="U91" s="4" t="s">
        <v>30</v>
      </c>
      <c r="V91" s="5">
        <v>330</v>
      </c>
      <c r="Y91" s="4" t="s">
        <v>168</v>
      </c>
      <c r="Z91" s="4">
        <v>2005</v>
      </c>
      <c r="AA91" s="4" t="s">
        <v>30</v>
      </c>
      <c r="AB91" s="5">
        <v>141</v>
      </c>
      <c r="AE91" s="4" t="s">
        <v>170</v>
      </c>
      <c r="AF91" s="4">
        <v>2005</v>
      </c>
      <c r="AG91" s="4" t="s">
        <v>30</v>
      </c>
      <c r="AH91" s="5">
        <v>872</v>
      </c>
      <c r="AK91" s="4" t="s">
        <v>72</v>
      </c>
      <c r="AL91" s="4">
        <v>2005</v>
      </c>
      <c r="AM91" s="4" t="s">
        <v>30</v>
      </c>
      <c r="AN91" s="5">
        <v>199</v>
      </c>
      <c r="AO91" s="14"/>
      <c r="AQ91" s="4" t="s">
        <v>73</v>
      </c>
      <c r="AR91" s="4">
        <v>2005</v>
      </c>
      <c r="AS91" s="4" t="s">
        <v>30</v>
      </c>
      <c r="AT91" s="5">
        <v>172</v>
      </c>
      <c r="AW91" s="4" t="s">
        <v>172</v>
      </c>
      <c r="AX91" s="4">
        <v>2005</v>
      </c>
      <c r="AY91" s="4" t="s">
        <v>30</v>
      </c>
      <c r="AZ91" s="5">
        <v>175</v>
      </c>
      <c r="BC91" s="4" t="s">
        <v>174</v>
      </c>
      <c r="BD91" s="4">
        <v>2005</v>
      </c>
      <c r="BE91" s="4" t="s">
        <v>30</v>
      </c>
      <c r="BF91" s="5">
        <v>94</v>
      </c>
      <c r="BI91" s="4" t="s">
        <v>74</v>
      </c>
      <c r="BJ91" s="4">
        <v>2005</v>
      </c>
      <c r="BK91" s="4" t="s">
        <v>30</v>
      </c>
      <c r="BL91" s="5">
        <v>711</v>
      </c>
      <c r="BO91" s="4" t="s">
        <v>176</v>
      </c>
      <c r="BP91" s="4">
        <v>2005</v>
      </c>
      <c r="BQ91" s="4" t="s">
        <v>30</v>
      </c>
      <c r="BR91" s="5">
        <v>116</v>
      </c>
      <c r="BU91" s="4" t="s">
        <v>178</v>
      </c>
      <c r="BV91" s="4">
        <v>2005</v>
      </c>
      <c r="BW91" s="4" t="s">
        <v>30</v>
      </c>
      <c r="BX91" s="5">
        <v>561</v>
      </c>
      <c r="CA91" s="4" t="s">
        <v>75</v>
      </c>
      <c r="CB91" s="4">
        <v>2005</v>
      </c>
      <c r="CC91" s="4" t="s">
        <v>30</v>
      </c>
      <c r="CD91" s="5">
        <v>150</v>
      </c>
      <c r="CG91" s="4" t="s">
        <v>76</v>
      </c>
      <c r="CH91" s="4">
        <v>2005</v>
      </c>
      <c r="CI91" s="4" t="s">
        <v>30</v>
      </c>
      <c r="CJ91" s="5">
        <v>816</v>
      </c>
      <c r="CM91" s="4" t="s">
        <v>183</v>
      </c>
      <c r="CN91" s="4">
        <v>2005</v>
      </c>
      <c r="CO91" s="4" t="s">
        <v>30</v>
      </c>
      <c r="CP91" s="5">
        <v>300</v>
      </c>
      <c r="CS91" s="4" t="s">
        <v>208</v>
      </c>
      <c r="CT91" s="4">
        <v>2005</v>
      </c>
      <c r="CU91" s="4" t="s">
        <v>19</v>
      </c>
      <c r="CV91" s="5">
        <v>393</v>
      </c>
    </row>
    <row r="92" spans="1:100" x14ac:dyDescent="0.25">
      <c r="A92" s="4" t="s">
        <v>180</v>
      </c>
      <c r="B92" s="4">
        <v>2005</v>
      </c>
      <c r="C92" s="4" t="s">
        <v>19</v>
      </c>
      <c r="D92" s="5">
        <v>23</v>
      </c>
      <c r="G92" s="4" t="s">
        <v>71</v>
      </c>
      <c r="H92" s="4">
        <v>2005</v>
      </c>
      <c r="I92" s="4" t="s">
        <v>19</v>
      </c>
      <c r="J92" s="5">
        <v>813</v>
      </c>
      <c r="M92" s="4" t="s">
        <v>164</v>
      </c>
      <c r="N92" s="4">
        <v>2005</v>
      </c>
      <c r="O92" s="4" t="s">
        <v>19</v>
      </c>
      <c r="P92" s="5">
        <v>461</v>
      </c>
      <c r="S92" s="4" t="s">
        <v>166</v>
      </c>
      <c r="T92" s="4">
        <v>2005</v>
      </c>
      <c r="U92" s="4" t="s">
        <v>19</v>
      </c>
      <c r="V92" s="5">
        <v>296</v>
      </c>
      <c r="Y92" s="4" t="s">
        <v>168</v>
      </c>
      <c r="Z92" s="4">
        <v>2005</v>
      </c>
      <c r="AA92" s="4" t="s">
        <v>19</v>
      </c>
      <c r="AB92" s="5">
        <v>184</v>
      </c>
      <c r="AE92" s="4" t="s">
        <v>170</v>
      </c>
      <c r="AF92" s="4">
        <v>2005</v>
      </c>
      <c r="AG92" s="4" t="s">
        <v>19</v>
      </c>
      <c r="AH92" s="5">
        <v>785</v>
      </c>
      <c r="AK92" s="4" t="s">
        <v>72</v>
      </c>
      <c r="AL92" s="4">
        <v>2005</v>
      </c>
      <c r="AM92" s="4" t="s">
        <v>19</v>
      </c>
      <c r="AN92" s="5">
        <v>202</v>
      </c>
      <c r="AO92" s="14"/>
      <c r="AQ92" s="4" t="s">
        <v>73</v>
      </c>
      <c r="AR92" s="4">
        <v>2005</v>
      </c>
      <c r="AS92" s="4" t="s">
        <v>19</v>
      </c>
      <c r="AT92" s="5">
        <v>128</v>
      </c>
      <c r="AW92" s="4" t="s">
        <v>172</v>
      </c>
      <c r="AX92" s="4">
        <v>2005</v>
      </c>
      <c r="AY92" s="4" t="s">
        <v>19</v>
      </c>
      <c r="AZ92" s="5">
        <v>137</v>
      </c>
      <c r="BC92" s="4" t="s">
        <v>174</v>
      </c>
      <c r="BD92" s="4">
        <v>2005</v>
      </c>
      <c r="BE92" s="4" t="s">
        <v>19</v>
      </c>
      <c r="BF92" s="5">
        <v>67</v>
      </c>
      <c r="BI92" s="4" t="s">
        <v>74</v>
      </c>
      <c r="BJ92" s="4">
        <v>2005</v>
      </c>
      <c r="BK92" s="4" t="s">
        <v>19</v>
      </c>
      <c r="BL92" s="5">
        <v>788</v>
      </c>
      <c r="BO92" s="4" t="s">
        <v>176</v>
      </c>
      <c r="BP92" s="4">
        <v>2005</v>
      </c>
      <c r="BQ92" s="4" t="s">
        <v>19</v>
      </c>
      <c r="BR92" s="5">
        <v>76</v>
      </c>
      <c r="BU92" s="4" t="s">
        <v>178</v>
      </c>
      <c r="BV92" s="4">
        <v>2005</v>
      </c>
      <c r="BW92" s="4" t="s">
        <v>19</v>
      </c>
      <c r="BX92" s="5">
        <v>453</v>
      </c>
      <c r="CA92" s="4" t="s">
        <v>75</v>
      </c>
      <c r="CB92" s="4">
        <v>2005</v>
      </c>
      <c r="CC92" s="4" t="s">
        <v>19</v>
      </c>
      <c r="CD92" s="5">
        <v>164</v>
      </c>
      <c r="CG92" s="4" t="s">
        <v>76</v>
      </c>
      <c r="CH92" s="4">
        <v>2005</v>
      </c>
      <c r="CI92" s="4" t="s">
        <v>19</v>
      </c>
      <c r="CJ92" s="5">
        <v>766</v>
      </c>
      <c r="CM92" s="4" t="s">
        <v>183</v>
      </c>
      <c r="CN92" s="4">
        <v>2005</v>
      </c>
      <c r="CO92" s="4" t="s">
        <v>19</v>
      </c>
      <c r="CP92" s="5">
        <v>269</v>
      </c>
      <c r="CS92" s="4" t="s">
        <v>208</v>
      </c>
      <c r="CT92" s="4">
        <v>2005</v>
      </c>
      <c r="CU92" s="4" t="s">
        <v>96</v>
      </c>
      <c r="CV92" s="5">
        <v>534</v>
      </c>
    </row>
    <row r="93" spans="1:100" x14ac:dyDescent="0.25">
      <c r="A93" s="4" t="s">
        <v>180</v>
      </c>
      <c r="B93" s="4">
        <v>2005</v>
      </c>
      <c r="C93" s="4" t="s">
        <v>96</v>
      </c>
      <c r="D93" s="5">
        <v>20</v>
      </c>
      <c r="G93" s="4" t="s">
        <v>71</v>
      </c>
      <c r="H93" s="4">
        <v>2005</v>
      </c>
      <c r="I93" s="4" t="s">
        <v>96</v>
      </c>
      <c r="J93" s="5">
        <v>712</v>
      </c>
      <c r="M93" s="4" t="s">
        <v>164</v>
      </c>
      <c r="N93" s="4">
        <v>2005</v>
      </c>
      <c r="O93" s="4" t="s">
        <v>96</v>
      </c>
      <c r="P93" s="5">
        <v>485</v>
      </c>
      <c r="S93" s="4" t="s">
        <v>166</v>
      </c>
      <c r="T93" s="4">
        <v>2005</v>
      </c>
      <c r="U93" s="4" t="s">
        <v>96</v>
      </c>
      <c r="V93" s="5">
        <v>326</v>
      </c>
      <c r="Y93" s="4" t="s">
        <v>168</v>
      </c>
      <c r="Z93" s="4">
        <v>2005</v>
      </c>
      <c r="AA93" s="4" t="s">
        <v>96</v>
      </c>
      <c r="AB93" s="5">
        <v>182</v>
      </c>
      <c r="AE93" s="4" t="s">
        <v>170</v>
      </c>
      <c r="AF93" s="4">
        <v>2005</v>
      </c>
      <c r="AG93" s="4" t="s">
        <v>96</v>
      </c>
      <c r="AH93" s="5">
        <v>954</v>
      </c>
      <c r="AK93" s="4" t="s">
        <v>72</v>
      </c>
      <c r="AL93" s="4">
        <v>2005</v>
      </c>
      <c r="AM93" s="4" t="s">
        <v>96</v>
      </c>
      <c r="AN93" s="5">
        <v>232</v>
      </c>
      <c r="AO93" s="14"/>
      <c r="AQ93" s="4" t="s">
        <v>73</v>
      </c>
      <c r="AR93" s="4">
        <v>2005</v>
      </c>
      <c r="AS93" s="4" t="s">
        <v>96</v>
      </c>
      <c r="AT93" s="5">
        <v>163</v>
      </c>
      <c r="AW93" s="4" t="s">
        <v>172</v>
      </c>
      <c r="AX93" s="4">
        <v>2005</v>
      </c>
      <c r="AY93" s="4" t="s">
        <v>96</v>
      </c>
      <c r="AZ93" s="5">
        <v>183</v>
      </c>
      <c r="BC93" s="4" t="s">
        <v>174</v>
      </c>
      <c r="BD93" s="4">
        <v>2005</v>
      </c>
      <c r="BE93" s="4" t="s">
        <v>96</v>
      </c>
      <c r="BF93" s="5">
        <v>89</v>
      </c>
      <c r="BI93" s="4" t="s">
        <v>74</v>
      </c>
      <c r="BJ93" s="4">
        <v>2005</v>
      </c>
      <c r="BK93" s="4" t="s">
        <v>96</v>
      </c>
      <c r="BL93" s="5">
        <v>792</v>
      </c>
      <c r="BO93" s="4" t="s">
        <v>176</v>
      </c>
      <c r="BP93" s="4">
        <v>2005</v>
      </c>
      <c r="BQ93" s="4" t="s">
        <v>96</v>
      </c>
      <c r="BR93" s="5">
        <v>129</v>
      </c>
      <c r="BU93" s="4" t="s">
        <v>178</v>
      </c>
      <c r="BV93" s="4">
        <v>2005</v>
      </c>
      <c r="BW93" s="4" t="s">
        <v>96</v>
      </c>
      <c r="BX93" s="5">
        <v>498</v>
      </c>
      <c r="CA93" s="4" t="s">
        <v>75</v>
      </c>
      <c r="CB93" s="4">
        <v>2005</v>
      </c>
      <c r="CC93" s="4" t="s">
        <v>96</v>
      </c>
      <c r="CD93" s="5">
        <v>145</v>
      </c>
      <c r="CG93" s="4" t="s">
        <v>76</v>
      </c>
      <c r="CH93" s="4">
        <v>2005</v>
      </c>
      <c r="CI93" s="4" t="s">
        <v>96</v>
      </c>
      <c r="CJ93" s="5">
        <v>776</v>
      </c>
      <c r="CM93" s="4" t="s">
        <v>183</v>
      </c>
      <c r="CN93" s="4">
        <v>2005</v>
      </c>
      <c r="CO93" s="4" t="s">
        <v>96</v>
      </c>
      <c r="CP93" s="5">
        <v>301</v>
      </c>
      <c r="CS93" s="4" t="s">
        <v>208</v>
      </c>
      <c r="CT93" s="4">
        <v>2006</v>
      </c>
      <c r="CU93" s="4" t="s">
        <v>20</v>
      </c>
      <c r="CV93" s="5">
        <v>457</v>
      </c>
    </row>
    <row r="94" spans="1:100" x14ac:dyDescent="0.25">
      <c r="A94" s="4" t="s">
        <v>180</v>
      </c>
      <c r="B94" s="4">
        <v>2006</v>
      </c>
      <c r="C94" s="4" t="s">
        <v>20</v>
      </c>
      <c r="D94" s="5">
        <v>26</v>
      </c>
      <c r="G94" s="4" t="s">
        <v>71</v>
      </c>
      <c r="H94" s="4">
        <v>2006</v>
      </c>
      <c r="I94" s="4" t="s">
        <v>20</v>
      </c>
      <c r="J94" s="5">
        <v>868</v>
      </c>
      <c r="M94" s="4" t="s">
        <v>164</v>
      </c>
      <c r="N94" s="4">
        <v>2006</v>
      </c>
      <c r="O94" s="4" t="s">
        <v>20</v>
      </c>
      <c r="P94" s="5">
        <v>450</v>
      </c>
      <c r="S94" s="4" t="s">
        <v>166</v>
      </c>
      <c r="T94" s="4">
        <v>2006</v>
      </c>
      <c r="U94" s="4" t="s">
        <v>20</v>
      </c>
      <c r="V94" s="5">
        <v>328</v>
      </c>
      <c r="Y94" s="4" t="s">
        <v>168</v>
      </c>
      <c r="Z94" s="4">
        <v>2006</v>
      </c>
      <c r="AA94" s="4" t="s">
        <v>20</v>
      </c>
      <c r="AB94" s="5">
        <v>169</v>
      </c>
      <c r="AE94" s="4" t="s">
        <v>170</v>
      </c>
      <c r="AF94" s="4">
        <v>2006</v>
      </c>
      <c r="AG94" s="4" t="s">
        <v>20</v>
      </c>
      <c r="AH94" s="5">
        <v>1034</v>
      </c>
      <c r="AK94" s="4" t="s">
        <v>72</v>
      </c>
      <c r="AL94" s="4">
        <v>2006</v>
      </c>
      <c r="AM94" s="4" t="s">
        <v>20</v>
      </c>
      <c r="AN94" s="5">
        <v>287</v>
      </c>
      <c r="AO94" s="14"/>
      <c r="AQ94" s="4" t="s">
        <v>73</v>
      </c>
      <c r="AR94" s="4">
        <v>2006</v>
      </c>
      <c r="AS94" s="4" t="s">
        <v>20</v>
      </c>
      <c r="AT94" s="5">
        <v>105</v>
      </c>
      <c r="AW94" s="4" t="s">
        <v>172</v>
      </c>
      <c r="AX94" s="4">
        <v>2006</v>
      </c>
      <c r="AY94" s="4" t="s">
        <v>20</v>
      </c>
      <c r="AZ94" s="5">
        <v>133</v>
      </c>
      <c r="BC94" s="4" t="s">
        <v>174</v>
      </c>
      <c r="BD94" s="4">
        <v>2006</v>
      </c>
      <c r="BE94" s="4" t="s">
        <v>20</v>
      </c>
      <c r="BF94" s="5">
        <v>100</v>
      </c>
      <c r="BI94" s="4" t="s">
        <v>74</v>
      </c>
      <c r="BJ94" s="4">
        <v>2006</v>
      </c>
      <c r="BK94" s="4" t="s">
        <v>20</v>
      </c>
      <c r="BL94" s="5">
        <v>825</v>
      </c>
      <c r="BO94" s="4" t="s">
        <v>176</v>
      </c>
      <c r="BP94" s="4">
        <v>2006</v>
      </c>
      <c r="BQ94" s="4" t="s">
        <v>20</v>
      </c>
      <c r="BR94" s="5">
        <v>113</v>
      </c>
      <c r="BU94" s="4" t="s">
        <v>178</v>
      </c>
      <c r="BV94" s="4">
        <v>2006</v>
      </c>
      <c r="BW94" s="4" t="s">
        <v>20</v>
      </c>
      <c r="BX94" s="5">
        <v>481</v>
      </c>
      <c r="CA94" s="4" t="s">
        <v>75</v>
      </c>
      <c r="CB94" s="4">
        <v>2006</v>
      </c>
      <c r="CC94" s="4" t="s">
        <v>20</v>
      </c>
      <c r="CD94" s="5">
        <v>171</v>
      </c>
      <c r="CG94" s="4" t="s">
        <v>76</v>
      </c>
      <c r="CH94" s="4">
        <v>2006</v>
      </c>
      <c r="CI94" s="4" t="s">
        <v>20</v>
      </c>
      <c r="CJ94" s="5">
        <v>739</v>
      </c>
      <c r="CM94" s="4" t="s">
        <v>183</v>
      </c>
      <c r="CN94" s="4">
        <v>2006</v>
      </c>
      <c r="CO94" s="4" t="s">
        <v>20</v>
      </c>
      <c r="CP94" s="5">
        <v>308</v>
      </c>
      <c r="CS94" s="4" t="s">
        <v>208</v>
      </c>
      <c r="CT94" s="4">
        <v>2006</v>
      </c>
      <c r="CU94" s="4" t="s">
        <v>21</v>
      </c>
      <c r="CV94" s="5">
        <v>472</v>
      </c>
    </row>
    <row r="95" spans="1:100" x14ac:dyDescent="0.25">
      <c r="A95" s="4" t="s">
        <v>180</v>
      </c>
      <c r="B95" s="4">
        <v>2006</v>
      </c>
      <c r="C95" s="4" t="s">
        <v>21</v>
      </c>
      <c r="D95" s="5">
        <v>25</v>
      </c>
      <c r="G95" s="4" t="s">
        <v>71</v>
      </c>
      <c r="H95" s="4">
        <v>2006</v>
      </c>
      <c r="I95" s="4" t="s">
        <v>21</v>
      </c>
      <c r="J95" s="5">
        <v>836</v>
      </c>
      <c r="M95" s="4" t="s">
        <v>164</v>
      </c>
      <c r="N95" s="4">
        <v>2006</v>
      </c>
      <c r="O95" s="4" t="s">
        <v>21</v>
      </c>
      <c r="P95" s="5">
        <v>477</v>
      </c>
      <c r="S95" s="4" t="s">
        <v>166</v>
      </c>
      <c r="T95" s="4">
        <v>2006</v>
      </c>
      <c r="U95" s="4" t="s">
        <v>21</v>
      </c>
      <c r="V95" s="5">
        <v>344</v>
      </c>
      <c r="Y95" s="4" t="s">
        <v>168</v>
      </c>
      <c r="Z95" s="4">
        <v>2006</v>
      </c>
      <c r="AA95" s="4" t="s">
        <v>21</v>
      </c>
      <c r="AB95" s="5">
        <v>155</v>
      </c>
      <c r="AE95" s="4" t="s">
        <v>170</v>
      </c>
      <c r="AF95" s="4">
        <v>2006</v>
      </c>
      <c r="AG95" s="4" t="s">
        <v>21</v>
      </c>
      <c r="AH95" s="5">
        <v>986</v>
      </c>
      <c r="AK95" s="4" t="s">
        <v>72</v>
      </c>
      <c r="AL95" s="4">
        <v>2006</v>
      </c>
      <c r="AM95" s="4" t="s">
        <v>21</v>
      </c>
      <c r="AN95" s="5">
        <v>260</v>
      </c>
      <c r="AO95" s="14"/>
      <c r="AQ95" s="4" t="s">
        <v>73</v>
      </c>
      <c r="AR95" s="4">
        <v>2006</v>
      </c>
      <c r="AS95" s="4" t="s">
        <v>21</v>
      </c>
      <c r="AT95" s="5">
        <v>119</v>
      </c>
      <c r="AW95" s="4" t="s">
        <v>172</v>
      </c>
      <c r="AX95" s="4">
        <v>2006</v>
      </c>
      <c r="AY95" s="4" t="s">
        <v>21</v>
      </c>
      <c r="AZ95" s="5">
        <v>180</v>
      </c>
      <c r="BC95" s="4" t="s">
        <v>174</v>
      </c>
      <c r="BD95" s="4">
        <v>2006</v>
      </c>
      <c r="BE95" s="4" t="s">
        <v>21</v>
      </c>
      <c r="BF95" s="5">
        <v>89</v>
      </c>
      <c r="BI95" s="4" t="s">
        <v>74</v>
      </c>
      <c r="BJ95" s="4">
        <v>2006</v>
      </c>
      <c r="BK95" s="4" t="s">
        <v>21</v>
      </c>
      <c r="BL95" s="5">
        <v>841</v>
      </c>
      <c r="BO95" s="4" t="s">
        <v>176</v>
      </c>
      <c r="BP95" s="4">
        <v>2006</v>
      </c>
      <c r="BQ95" s="4" t="s">
        <v>21</v>
      </c>
      <c r="BR95" s="5">
        <v>86</v>
      </c>
      <c r="BU95" s="4" t="s">
        <v>178</v>
      </c>
      <c r="BV95" s="4">
        <v>2006</v>
      </c>
      <c r="BW95" s="4" t="s">
        <v>21</v>
      </c>
      <c r="BX95" s="5">
        <v>441</v>
      </c>
      <c r="CA95" s="4" t="s">
        <v>75</v>
      </c>
      <c r="CB95" s="4">
        <v>2006</v>
      </c>
      <c r="CC95" s="4" t="s">
        <v>21</v>
      </c>
      <c r="CD95" s="5">
        <v>203</v>
      </c>
      <c r="CG95" s="4" t="s">
        <v>76</v>
      </c>
      <c r="CH95" s="4">
        <v>2006</v>
      </c>
      <c r="CI95" s="4" t="s">
        <v>21</v>
      </c>
      <c r="CJ95" s="5">
        <v>838</v>
      </c>
      <c r="CM95" s="4" t="s">
        <v>183</v>
      </c>
      <c r="CN95" s="4">
        <v>2006</v>
      </c>
      <c r="CO95" s="4" t="s">
        <v>21</v>
      </c>
      <c r="CP95" s="5">
        <v>281</v>
      </c>
      <c r="CS95" s="4" t="s">
        <v>208</v>
      </c>
      <c r="CT95" s="4">
        <v>2006</v>
      </c>
      <c r="CU95" s="4" t="s">
        <v>22</v>
      </c>
      <c r="CV95" s="5">
        <v>461</v>
      </c>
    </row>
    <row r="96" spans="1:100" x14ac:dyDescent="0.25">
      <c r="A96" s="4" t="s">
        <v>180</v>
      </c>
      <c r="B96" s="4">
        <v>2006</v>
      </c>
      <c r="C96" s="4" t="s">
        <v>22</v>
      </c>
      <c r="D96" s="5">
        <v>14</v>
      </c>
      <c r="G96" s="4" t="s">
        <v>71</v>
      </c>
      <c r="H96" s="4">
        <v>2006</v>
      </c>
      <c r="I96" s="4" t="s">
        <v>22</v>
      </c>
      <c r="J96" s="5">
        <v>820</v>
      </c>
      <c r="M96" s="4" t="s">
        <v>164</v>
      </c>
      <c r="N96" s="4">
        <v>2006</v>
      </c>
      <c r="O96" s="4" t="s">
        <v>22</v>
      </c>
      <c r="P96" s="5">
        <v>409</v>
      </c>
      <c r="S96" s="4" t="s">
        <v>166</v>
      </c>
      <c r="T96" s="4">
        <v>2006</v>
      </c>
      <c r="U96" s="4" t="s">
        <v>22</v>
      </c>
      <c r="V96" s="5">
        <v>292</v>
      </c>
      <c r="Y96" s="4" t="s">
        <v>168</v>
      </c>
      <c r="Z96" s="4">
        <v>2006</v>
      </c>
      <c r="AA96" s="4" t="s">
        <v>22</v>
      </c>
      <c r="AB96" s="5">
        <v>135</v>
      </c>
      <c r="AE96" s="4" t="s">
        <v>170</v>
      </c>
      <c r="AF96" s="4">
        <v>2006</v>
      </c>
      <c r="AG96" s="4" t="s">
        <v>22</v>
      </c>
      <c r="AH96" s="5">
        <v>888</v>
      </c>
      <c r="AK96" s="4" t="s">
        <v>72</v>
      </c>
      <c r="AL96" s="4">
        <v>2006</v>
      </c>
      <c r="AM96" s="4" t="s">
        <v>22</v>
      </c>
      <c r="AN96" s="5">
        <v>263</v>
      </c>
      <c r="AO96" s="14"/>
      <c r="AQ96" s="4" t="s">
        <v>73</v>
      </c>
      <c r="AR96" s="4">
        <v>2006</v>
      </c>
      <c r="AS96" s="4" t="s">
        <v>22</v>
      </c>
      <c r="AT96" s="5">
        <v>116</v>
      </c>
      <c r="AW96" s="4" t="s">
        <v>172</v>
      </c>
      <c r="AX96" s="4">
        <v>2006</v>
      </c>
      <c r="AY96" s="4" t="s">
        <v>22</v>
      </c>
      <c r="AZ96" s="5">
        <v>213</v>
      </c>
      <c r="BC96" s="4" t="s">
        <v>174</v>
      </c>
      <c r="BD96" s="4">
        <v>2006</v>
      </c>
      <c r="BE96" s="4" t="s">
        <v>22</v>
      </c>
      <c r="BF96" s="5">
        <v>85</v>
      </c>
      <c r="BI96" s="4" t="s">
        <v>74</v>
      </c>
      <c r="BJ96" s="4">
        <v>2006</v>
      </c>
      <c r="BK96" s="4" t="s">
        <v>22</v>
      </c>
      <c r="BL96" s="5">
        <v>824</v>
      </c>
      <c r="BO96" s="4" t="s">
        <v>176</v>
      </c>
      <c r="BP96" s="4">
        <v>2006</v>
      </c>
      <c r="BQ96" s="4" t="s">
        <v>22</v>
      </c>
      <c r="BR96" s="5">
        <v>83</v>
      </c>
      <c r="BU96" s="4" t="s">
        <v>178</v>
      </c>
      <c r="BV96" s="4">
        <v>2006</v>
      </c>
      <c r="BW96" s="4" t="s">
        <v>22</v>
      </c>
      <c r="BX96" s="5">
        <v>480</v>
      </c>
      <c r="CA96" s="4" t="s">
        <v>75</v>
      </c>
      <c r="CB96" s="4">
        <v>2006</v>
      </c>
      <c r="CC96" s="4" t="s">
        <v>22</v>
      </c>
      <c r="CD96" s="5">
        <v>172</v>
      </c>
      <c r="CG96" s="4" t="s">
        <v>76</v>
      </c>
      <c r="CH96" s="4">
        <v>2006</v>
      </c>
      <c r="CI96" s="4" t="s">
        <v>22</v>
      </c>
      <c r="CJ96" s="5">
        <v>745</v>
      </c>
      <c r="CM96" s="4" t="s">
        <v>183</v>
      </c>
      <c r="CN96" s="4">
        <v>2006</v>
      </c>
      <c r="CO96" s="4" t="s">
        <v>22</v>
      </c>
      <c r="CP96" s="5">
        <v>292</v>
      </c>
      <c r="CS96" s="4" t="s">
        <v>208</v>
      </c>
      <c r="CT96" s="4">
        <v>2006</v>
      </c>
      <c r="CU96" s="4" t="s">
        <v>23</v>
      </c>
      <c r="CV96" s="5">
        <v>414</v>
      </c>
    </row>
    <row r="97" spans="1:100" x14ac:dyDescent="0.25">
      <c r="A97" s="4" t="s">
        <v>180</v>
      </c>
      <c r="B97" s="4">
        <v>2006</v>
      </c>
      <c r="C97" s="4" t="s">
        <v>23</v>
      </c>
      <c r="D97" s="5">
        <v>17</v>
      </c>
      <c r="G97" s="4" t="s">
        <v>71</v>
      </c>
      <c r="H97" s="4">
        <v>2006</v>
      </c>
      <c r="I97" s="4" t="s">
        <v>23</v>
      </c>
      <c r="J97" s="5">
        <v>674</v>
      </c>
      <c r="M97" s="4" t="s">
        <v>164</v>
      </c>
      <c r="N97" s="4">
        <v>2006</v>
      </c>
      <c r="O97" s="4" t="s">
        <v>23</v>
      </c>
      <c r="P97" s="5">
        <v>414</v>
      </c>
      <c r="S97" s="4" t="s">
        <v>166</v>
      </c>
      <c r="T97" s="4">
        <v>2006</v>
      </c>
      <c r="U97" s="4" t="s">
        <v>23</v>
      </c>
      <c r="V97" s="5">
        <v>331</v>
      </c>
      <c r="Y97" s="4" t="s">
        <v>168</v>
      </c>
      <c r="Z97" s="4">
        <v>2006</v>
      </c>
      <c r="AA97" s="4" t="s">
        <v>23</v>
      </c>
      <c r="AB97" s="5">
        <v>137</v>
      </c>
      <c r="AE97" s="4" t="s">
        <v>170</v>
      </c>
      <c r="AF97" s="4">
        <v>2006</v>
      </c>
      <c r="AG97" s="4" t="s">
        <v>23</v>
      </c>
      <c r="AH97" s="5">
        <v>836</v>
      </c>
      <c r="AK97" s="4" t="s">
        <v>72</v>
      </c>
      <c r="AL97" s="4">
        <v>2006</v>
      </c>
      <c r="AM97" s="4" t="s">
        <v>23</v>
      </c>
      <c r="AN97" s="5">
        <v>272</v>
      </c>
      <c r="AO97" s="14"/>
      <c r="AQ97" s="4" t="s">
        <v>73</v>
      </c>
      <c r="AR97" s="4">
        <v>2006</v>
      </c>
      <c r="AS97" s="4" t="s">
        <v>23</v>
      </c>
      <c r="AT97" s="5">
        <v>132</v>
      </c>
      <c r="AW97" s="4" t="s">
        <v>172</v>
      </c>
      <c r="AX97" s="4">
        <v>2006</v>
      </c>
      <c r="AY97" s="4" t="s">
        <v>23</v>
      </c>
      <c r="AZ97" s="5">
        <v>215</v>
      </c>
      <c r="BC97" s="4" t="s">
        <v>174</v>
      </c>
      <c r="BD97" s="4">
        <v>2006</v>
      </c>
      <c r="BE97" s="4" t="s">
        <v>23</v>
      </c>
      <c r="BF97" s="5">
        <v>78</v>
      </c>
      <c r="BI97" s="4" t="s">
        <v>74</v>
      </c>
      <c r="BJ97" s="4">
        <v>2006</v>
      </c>
      <c r="BK97" s="4" t="s">
        <v>23</v>
      </c>
      <c r="BL97" s="5">
        <v>644</v>
      </c>
      <c r="BO97" s="4" t="s">
        <v>176</v>
      </c>
      <c r="BP97" s="4">
        <v>2006</v>
      </c>
      <c r="BQ97" s="4" t="s">
        <v>23</v>
      </c>
      <c r="BR97" s="5">
        <v>92</v>
      </c>
      <c r="BU97" s="4" t="s">
        <v>178</v>
      </c>
      <c r="BV97" s="4">
        <v>2006</v>
      </c>
      <c r="BW97" s="4" t="s">
        <v>23</v>
      </c>
      <c r="BX97" s="5">
        <v>466</v>
      </c>
      <c r="CA97" s="4" t="s">
        <v>75</v>
      </c>
      <c r="CB97" s="4">
        <v>2006</v>
      </c>
      <c r="CC97" s="4" t="s">
        <v>23</v>
      </c>
      <c r="CD97" s="5">
        <v>135</v>
      </c>
      <c r="CG97" s="4" t="s">
        <v>76</v>
      </c>
      <c r="CH97" s="4">
        <v>2006</v>
      </c>
      <c r="CI97" s="4" t="s">
        <v>23</v>
      </c>
      <c r="CJ97" s="5">
        <v>747</v>
      </c>
      <c r="CM97" s="4" t="s">
        <v>183</v>
      </c>
      <c r="CN97" s="4">
        <v>2006</v>
      </c>
      <c r="CO97" s="4" t="s">
        <v>23</v>
      </c>
      <c r="CP97" s="5">
        <v>266</v>
      </c>
      <c r="CS97" s="4" t="s">
        <v>208</v>
      </c>
      <c r="CT97" s="4">
        <v>2006</v>
      </c>
      <c r="CU97" s="4" t="s">
        <v>24</v>
      </c>
      <c r="CV97" s="5">
        <v>429</v>
      </c>
    </row>
    <row r="98" spans="1:100" x14ac:dyDescent="0.25">
      <c r="A98" s="4" t="s">
        <v>180</v>
      </c>
      <c r="B98" s="4">
        <v>2006</v>
      </c>
      <c r="C98" s="4" t="s">
        <v>24</v>
      </c>
      <c r="D98" s="5">
        <v>20</v>
      </c>
      <c r="G98" s="4" t="s">
        <v>71</v>
      </c>
      <c r="H98" s="4">
        <v>2006</v>
      </c>
      <c r="I98" s="4" t="s">
        <v>24</v>
      </c>
      <c r="J98" s="5">
        <v>647</v>
      </c>
      <c r="M98" s="4" t="s">
        <v>164</v>
      </c>
      <c r="N98" s="4">
        <v>2006</v>
      </c>
      <c r="O98" s="4" t="s">
        <v>24</v>
      </c>
      <c r="P98" s="5">
        <v>372</v>
      </c>
      <c r="S98" s="4" t="s">
        <v>166</v>
      </c>
      <c r="T98" s="4">
        <v>2006</v>
      </c>
      <c r="U98" s="4" t="s">
        <v>24</v>
      </c>
      <c r="V98" s="5">
        <v>308</v>
      </c>
      <c r="Y98" s="4" t="s">
        <v>168</v>
      </c>
      <c r="Z98" s="4">
        <v>2006</v>
      </c>
      <c r="AA98" s="4" t="s">
        <v>24</v>
      </c>
      <c r="AB98" s="5">
        <v>140</v>
      </c>
      <c r="AE98" s="4" t="s">
        <v>170</v>
      </c>
      <c r="AF98" s="4">
        <v>2006</v>
      </c>
      <c r="AG98" s="4" t="s">
        <v>24</v>
      </c>
      <c r="AH98" s="5">
        <v>885</v>
      </c>
      <c r="AK98" s="4" t="s">
        <v>72</v>
      </c>
      <c r="AL98" s="4">
        <v>2006</v>
      </c>
      <c r="AM98" s="4" t="s">
        <v>24</v>
      </c>
      <c r="AN98" s="5">
        <v>226</v>
      </c>
      <c r="AO98" s="14"/>
      <c r="AQ98" s="4" t="s">
        <v>73</v>
      </c>
      <c r="AR98" s="4">
        <v>2006</v>
      </c>
      <c r="AS98" s="4" t="s">
        <v>24</v>
      </c>
      <c r="AT98" s="5">
        <v>158</v>
      </c>
      <c r="AW98" s="4" t="s">
        <v>172</v>
      </c>
      <c r="AX98" s="4">
        <v>2006</v>
      </c>
      <c r="AY98" s="4" t="s">
        <v>24</v>
      </c>
      <c r="AZ98" s="5">
        <v>203</v>
      </c>
      <c r="BC98" s="4" t="s">
        <v>174</v>
      </c>
      <c r="BD98" s="4">
        <v>2006</v>
      </c>
      <c r="BE98" s="4" t="s">
        <v>24</v>
      </c>
      <c r="BF98" s="5">
        <v>86</v>
      </c>
      <c r="BI98" s="4" t="s">
        <v>74</v>
      </c>
      <c r="BJ98" s="4">
        <v>2006</v>
      </c>
      <c r="BK98" s="4" t="s">
        <v>24</v>
      </c>
      <c r="BL98" s="5">
        <v>695</v>
      </c>
      <c r="BO98" s="4" t="s">
        <v>176</v>
      </c>
      <c r="BP98" s="4">
        <v>2006</v>
      </c>
      <c r="BQ98" s="4" t="s">
        <v>24</v>
      </c>
      <c r="BR98" s="5">
        <v>96</v>
      </c>
      <c r="BU98" s="4" t="s">
        <v>178</v>
      </c>
      <c r="BV98" s="4">
        <v>2006</v>
      </c>
      <c r="BW98" s="4" t="s">
        <v>24</v>
      </c>
      <c r="BX98" s="5">
        <v>447</v>
      </c>
      <c r="CA98" s="4" t="s">
        <v>75</v>
      </c>
      <c r="CB98" s="4">
        <v>2006</v>
      </c>
      <c r="CC98" s="4" t="s">
        <v>24</v>
      </c>
      <c r="CD98" s="5">
        <v>130</v>
      </c>
      <c r="CG98" s="4" t="s">
        <v>76</v>
      </c>
      <c r="CH98" s="4">
        <v>2006</v>
      </c>
      <c r="CI98" s="4" t="s">
        <v>24</v>
      </c>
      <c r="CJ98" s="5">
        <v>700</v>
      </c>
      <c r="CM98" s="4" t="s">
        <v>183</v>
      </c>
      <c r="CN98" s="4">
        <v>2006</v>
      </c>
      <c r="CO98" s="4" t="s">
        <v>24</v>
      </c>
      <c r="CP98" s="5">
        <v>265</v>
      </c>
      <c r="CS98" s="4" t="s">
        <v>208</v>
      </c>
      <c r="CT98" s="4">
        <v>2006</v>
      </c>
      <c r="CU98" s="4" t="s">
        <v>25</v>
      </c>
      <c r="CV98" s="5">
        <v>578</v>
      </c>
    </row>
    <row r="99" spans="1:100" x14ac:dyDescent="0.25">
      <c r="A99" s="4" t="s">
        <v>180</v>
      </c>
      <c r="B99" s="4">
        <v>2006</v>
      </c>
      <c r="C99" s="4" t="s">
        <v>25</v>
      </c>
      <c r="D99" s="5">
        <v>31</v>
      </c>
      <c r="G99" s="4" t="s">
        <v>71</v>
      </c>
      <c r="H99" s="4">
        <v>2006</v>
      </c>
      <c r="I99" s="4" t="s">
        <v>25</v>
      </c>
      <c r="J99" s="5">
        <v>569</v>
      </c>
      <c r="M99" s="4" t="s">
        <v>164</v>
      </c>
      <c r="N99" s="4">
        <v>2006</v>
      </c>
      <c r="O99" s="4" t="s">
        <v>25</v>
      </c>
      <c r="P99" s="5">
        <v>380</v>
      </c>
      <c r="S99" s="4" t="s">
        <v>166</v>
      </c>
      <c r="T99" s="4">
        <v>2006</v>
      </c>
      <c r="U99" s="4" t="s">
        <v>25</v>
      </c>
      <c r="V99" s="5">
        <v>254</v>
      </c>
      <c r="Y99" s="4" t="s">
        <v>168</v>
      </c>
      <c r="Z99" s="4">
        <v>2006</v>
      </c>
      <c r="AA99" s="4" t="s">
        <v>25</v>
      </c>
      <c r="AB99" s="5">
        <v>142</v>
      </c>
      <c r="AE99" s="4" t="s">
        <v>170</v>
      </c>
      <c r="AF99" s="4">
        <v>2006</v>
      </c>
      <c r="AG99" s="4" t="s">
        <v>25</v>
      </c>
      <c r="AH99" s="5">
        <v>943</v>
      </c>
      <c r="AK99" s="4" t="s">
        <v>72</v>
      </c>
      <c r="AL99" s="4">
        <v>2006</v>
      </c>
      <c r="AM99" s="4" t="s">
        <v>25</v>
      </c>
      <c r="AN99" s="5">
        <v>225</v>
      </c>
      <c r="AO99" s="14"/>
      <c r="AQ99" s="4" t="s">
        <v>73</v>
      </c>
      <c r="AR99" s="4">
        <v>2006</v>
      </c>
      <c r="AS99" s="4" t="s">
        <v>25</v>
      </c>
      <c r="AT99" s="5">
        <v>114</v>
      </c>
      <c r="AW99" s="4" t="s">
        <v>172</v>
      </c>
      <c r="AX99" s="4">
        <v>2006</v>
      </c>
      <c r="AY99" s="4" t="s">
        <v>25</v>
      </c>
      <c r="AZ99" s="5">
        <v>205</v>
      </c>
      <c r="BC99" s="4" t="s">
        <v>174</v>
      </c>
      <c r="BD99" s="4">
        <v>2006</v>
      </c>
      <c r="BE99" s="4" t="s">
        <v>25</v>
      </c>
      <c r="BF99" s="5">
        <v>94</v>
      </c>
      <c r="BI99" s="4" t="s">
        <v>74</v>
      </c>
      <c r="BJ99" s="4">
        <v>2006</v>
      </c>
      <c r="BK99" s="4" t="s">
        <v>25</v>
      </c>
      <c r="BL99" s="5">
        <v>753</v>
      </c>
      <c r="BO99" s="4" t="s">
        <v>176</v>
      </c>
      <c r="BP99" s="4">
        <v>2006</v>
      </c>
      <c r="BQ99" s="4" t="s">
        <v>25</v>
      </c>
      <c r="BR99" s="5">
        <v>159</v>
      </c>
      <c r="BU99" s="4" t="s">
        <v>178</v>
      </c>
      <c r="BV99" s="4">
        <v>2006</v>
      </c>
      <c r="BW99" s="4" t="s">
        <v>25</v>
      </c>
      <c r="BX99" s="5">
        <v>458</v>
      </c>
      <c r="CA99" s="4" t="s">
        <v>75</v>
      </c>
      <c r="CB99" s="4">
        <v>2006</v>
      </c>
      <c r="CC99" s="4" t="s">
        <v>25</v>
      </c>
      <c r="CD99" s="5">
        <v>140</v>
      </c>
      <c r="CG99" s="4" t="s">
        <v>76</v>
      </c>
      <c r="CH99" s="4">
        <v>2006</v>
      </c>
      <c r="CI99" s="4" t="s">
        <v>25</v>
      </c>
      <c r="CJ99" s="5">
        <v>803</v>
      </c>
      <c r="CM99" s="4" t="s">
        <v>183</v>
      </c>
      <c r="CN99" s="4">
        <v>2006</v>
      </c>
      <c r="CO99" s="4" t="s">
        <v>25</v>
      </c>
      <c r="CP99" s="5">
        <v>265</v>
      </c>
      <c r="CS99" s="4" t="s">
        <v>208</v>
      </c>
      <c r="CT99" s="4">
        <v>2006</v>
      </c>
      <c r="CU99" s="4" t="s">
        <v>26</v>
      </c>
      <c r="CV99" s="5">
        <v>659</v>
      </c>
    </row>
    <row r="100" spans="1:100" x14ac:dyDescent="0.25">
      <c r="A100" s="4" t="s">
        <v>180</v>
      </c>
      <c r="B100" s="4">
        <v>2006</v>
      </c>
      <c r="C100" s="4" t="s">
        <v>26</v>
      </c>
      <c r="D100" s="5">
        <v>25</v>
      </c>
      <c r="G100" s="4" t="s">
        <v>71</v>
      </c>
      <c r="H100" s="4">
        <v>2006</v>
      </c>
      <c r="I100" s="4" t="s">
        <v>26</v>
      </c>
      <c r="J100" s="5">
        <v>633</v>
      </c>
      <c r="M100" s="4" t="s">
        <v>164</v>
      </c>
      <c r="N100" s="4">
        <v>2006</v>
      </c>
      <c r="O100" s="4" t="s">
        <v>26</v>
      </c>
      <c r="P100" s="5">
        <v>444</v>
      </c>
      <c r="S100" s="4" t="s">
        <v>166</v>
      </c>
      <c r="T100" s="4">
        <v>2006</v>
      </c>
      <c r="U100" s="4" t="s">
        <v>26</v>
      </c>
      <c r="V100" s="5">
        <v>292</v>
      </c>
      <c r="Y100" s="4" t="s">
        <v>168</v>
      </c>
      <c r="Z100" s="4">
        <v>2006</v>
      </c>
      <c r="AA100" s="4" t="s">
        <v>26</v>
      </c>
      <c r="AB100" s="5">
        <v>150</v>
      </c>
      <c r="AE100" s="4" t="s">
        <v>170</v>
      </c>
      <c r="AF100" s="4">
        <v>2006</v>
      </c>
      <c r="AG100" s="4" t="s">
        <v>26</v>
      </c>
      <c r="AH100" s="5">
        <v>934</v>
      </c>
      <c r="AK100" s="4" t="s">
        <v>72</v>
      </c>
      <c r="AL100" s="4">
        <v>2006</v>
      </c>
      <c r="AM100" s="4" t="s">
        <v>26</v>
      </c>
      <c r="AN100" s="5">
        <v>237</v>
      </c>
      <c r="AO100" s="14"/>
      <c r="AQ100" s="4" t="s">
        <v>73</v>
      </c>
      <c r="AR100" s="4">
        <v>2006</v>
      </c>
      <c r="AS100" s="4" t="s">
        <v>26</v>
      </c>
      <c r="AT100" s="5">
        <v>103</v>
      </c>
      <c r="AW100" s="4" t="s">
        <v>172</v>
      </c>
      <c r="AX100" s="4">
        <v>2006</v>
      </c>
      <c r="AY100" s="4" t="s">
        <v>26</v>
      </c>
      <c r="AZ100" s="5">
        <v>235</v>
      </c>
      <c r="BC100" s="4" t="s">
        <v>174</v>
      </c>
      <c r="BD100" s="4">
        <v>2006</v>
      </c>
      <c r="BE100" s="4" t="s">
        <v>26</v>
      </c>
      <c r="BF100" s="5">
        <v>93</v>
      </c>
      <c r="BI100" s="4" t="s">
        <v>74</v>
      </c>
      <c r="BJ100" s="4">
        <v>2006</v>
      </c>
      <c r="BK100" s="4" t="s">
        <v>26</v>
      </c>
      <c r="BL100" s="5">
        <v>735</v>
      </c>
      <c r="BO100" s="4" t="s">
        <v>176</v>
      </c>
      <c r="BP100" s="4">
        <v>2006</v>
      </c>
      <c r="BQ100" s="4" t="s">
        <v>26</v>
      </c>
      <c r="BR100" s="5">
        <v>175</v>
      </c>
      <c r="BU100" s="4" t="s">
        <v>178</v>
      </c>
      <c r="BV100" s="4">
        <v>2006</v>
      </c>
      <c r="BW100" s="4" t="s">
        <v>26</v>
      </c>
      <c r="BX100" s="5">
        <v>484</v>
      </c>
      <c r="CA100" s="4" t="s">
        <v>75</v>
      </c>
      <c r="CB100" s="4">
        <v>2006</v>
      </c>
      <c r="CC100" s="4" t="s">
        <v>26</v>
      </c>
      <c r="CD100" s="5">
        <v>146</v>
      </c>
      <c r="CG100" s="4" t="s">
        <v>76</v>
      </c>
      <c r="CH100" s="4">
        <v>2006</v>
      </c>
      <c r="CI100" s="4" t="s">
        <v>26</v>
      </c>
      <c r="CJ100" s="5">
        <v>721</v>
      </c>
      <c r="CM100" s="4" t="s">
        <v>183</v>
      </c>
      <c r="CN100" s="4">
        <v>2006</v>
      </c>
      <c r="CO100" s="4" t="s">
        <v>26</v>
      </c>
      <c r="CP100" s="5">
        <v>305</v>
      </c>
      <c r="CS100" s="4" t="s">
        <v>208</v>
      </c>
      <c r="CT100" s="4">
        <v>2006</v>
      </c>
      <c r="CU100" s="4" t="s">
        <v>27</v>
      </c>
      <c r="CV100" s="5">
        <v>595</v>
      </c>
    </row>
    <row r="101" spans="1:100" x14ac:dyDescent="0.25">
      <c r="A101" s="4" t="s">
        <v>180</v>
      </c>
      <c r="B101" s="4">
        <v>2006</v>
      </c>
      <c r="C101" s="4" t="s">
        <v>27</v>
      </c>
      <c r="D101" s="5">
        <v>32</v>
      </c>
      <c r="G101" s="4" t="s">
        <v>71</v>
      </c>
      <c r="H101" s="4">
        <v>2006</v>
      </c>
      <c r="I101" s="4" t="s">
        <v>27</v>
      </c>
      <c r="J101" s="5">
        <v>618</v>
      </c>
      <c r="M101" s="4" t="s">
        <v>164</v>
      </c>
      <c r="N101" s="4">
        <v>2006</v>
      </c>
      <c r="O101" s="4" t="s">
        <v>27</v>
      </c>
      <c r="P101" s="5">
        <v>425</v>
      </c>
      <c r="S101" s="4" t="s">
        <v>166</v>
      </c>
      <c r="T101" s="4">
        <v>2006</v>
      </c>
      <c r="U101" s="4" t="s">
        <v>27</v>
      </c>
      <c r="V101" s="5">
        <v>255</v>
      </c>
      <c r="Y101" s="4" t="s">
        <v>168</v>
      </c>
      <c r="Z101" s="4">
        <v>2006</v>
      </c>
      <c r="AA101" s="4" t="s">
        <v>27</v>
      </c>
      <c r="AB101" s="5">
        <v>138</v>
      </c>
      <c r="AE101" s="4" t="s">
        <v>170</v>
      </c>
      <c r="AF101" s="4">
        <v>2006</v>
      </c>
      <c r="AG101" s="4" t="s">
        <v>27</v>
      </c>
      <c r="AH101" s="5">
        <v>839</v>
      </c>
      <c r="AK101" s="4" t="s">
        <v>72</v>
      </c>
      <c r="AL101" s="4">
        <v>2006</v>
      </c>
      <c r="AM101" s="4" t="s">
        <v>27</v>
      </c>
      <c r="AN101" s="5">
        <v>217</v>
      </c>
      <c r="AO101" s="14"/>
      <c r="AQ101" s="4" t="s">
        <v>73</v>
      </c>
      <c r="AR101" s="4">
        <v>2006</v>
      </c>
      <c r="AS101" s="4" t="s">
        <v>27</v>
      </c>
      <c r="AT101" s="5">
        <v>132</v>
      </c>
      <c r="AW101" s="4" t="s">
        <v>172</v>
      </c>
      <c r="AX101" s="4">
        <v>2006</v>
      </c>
      <c r="AY101" s="4" t="s">
        <v>27</v>
      </c>
      <c r="AZ101" s="5">
        <v>183</v>
      </c>
      <c r="BC101" s="4" t="s">
        <v>174</v>
      </c>
      <c r="BD101" s="4">
        <v>2006</v>
      </c>
      <c r="BE101" s="4" t="s">
        <v>27</v>
      </c>
      <c r="BF101" s="5">
        <v>80</v>
      </c>
      <c r="BI101" s="4" t="s">
        <v>74</v>
      </c>
      <c r="BJ101" s="4">
        <v>2006</v>
      </c>
      <c r="BK101" s="4" t="s">
        <v>27</v>
      </c>
      <c r="BL101" s="5">
        <v>681</v>
      </c>
      <c r="BO101" s="4" t="s">
        <v>176</v>
      </c>
      <c r="BP101" s="4">
        <v>2006</v>
      </c>
      <c r="BQ101" s="4" t="s">
        <v>27</v>
      </c>
      <c r="BR101" s="5">
        <v>166</v>
      </c>
      <c r="BU101" s="4" t="s">
        <v>178</v>
      </c>
      <c r="BV101" s="4">
        <v>2006</v>
      </c>
      <c r="BW101" s="4" t="s">
        <v>27</v>
      </c>
      <c r="BX101" s="5">
        <v>445</v>
      </c>
      <c r="CA101" s="4" t="s">
        <v>75</v>
      </c>
      <c r="CB101" s="4">
        <v>2006</v>
      </c>
      <c r="CC101" s="4" t="s">
        <v>27</v>
      </c>
      <c r="CD101" s="5">
        <v>129</v>
      </c>
      <c r="CG101" s="4" t="s">
        <v>76</v>
      </c>
      <c r="CH101" s="4">
        <v>2006</v>
      </c>
      <c r="CI101" s="4" t="s">
        <v>27</v>
      </c>
      <c r="CJ101" s="5">
        <v>726</v>
      </c>
      <c r="CM101" s="4" t="s">
        <v>183</v>
      </c>
      <c r="CN101" s="4">
        <v>2006</v>
      </c>
      <c r="CO101" s="4" t="s">
        <v>27</v>
      </c>
      <c r="CP101" s="5">
        <v>341</v>
      </c>
      <c r="CS101" s="4" t="s">
        <v>208</v>
      </c>
      <c r="CT101" s="4">
        <v>2006</v>
      </c>
      <c r="CU101" s="4" t="s">
        <v>28</v>
      </c>
      <c r="CV101" s="5">
        <v>396</v>
      </c>
    </row>
    <row r="102" spans="1:100" x14ac:dyDescent="0.25">
      <c r="A102" s="4" t="s">
        <v>180</v>
      </c>
      <c r="B102" s="4">
        <v>2006</v>
      </c>
      <c r="C102" s="4" t="s">
        <v>28</v>
      </c>
      <c r="D102" s="5">
        <v>14</v>
      </c>
      <c r="G102" s="4" t="s">
        <v>71</v>
      </c>
      <c r="H102" s="4">
        <v>2006</v>
      </c>
      <c r="I102" s="4" t="s">
        <v>28</v>
      </c>
      <c r="J102" s="5">
        <v>586</v>
      </c>
      <c r="M102" s="4" t="s">
        <v>164</v>
      </c>
      <c r="N102" s="4">
        <v>2006</v>
      </c>
      <c r="O102" s="4" t="s">
        <v>28</v>
      </c>
      <c r="P102" s="5">
        <v>362</v>
      </c>
      <c r="S102" s="4" t="s">
        <v>166</v>
      </c>
      <c r="T102" s="4">
        <v>2006</v>
      </c>
      <c r="U102" s="4" t="s">
        <v>28</v>
      </c>
      <c r="V102" s="5">
        <v>270</v>
      </c>
      <c r="Y102" s="4" t="s">
        <v>168</v>
      </c>
      <c r="Z102" s="4">
        <v>2006</v>
      </c>
      <c r="AA102" s="4" t="s">
        <v>28</v>
      </c>
      <c r="AB102" s="5">
        <v>140</v>
      </c>
      <c r="AE102" s="4" t="s">
        <v>170</v>
      </c>
      <c r="AF102" s="4">
        <v>2006</v>
      </c>
      <c r="AG102" s="4" t="s">
        <v>28</v>
      </c>
      <c r="AH102" s="5">
        <v>868</v>
      </c>
      <c r="AK102" s="4" t="s">
        <v>72</v>
      </c>
      <c r="AL102" s="4">
        <v>2006</v>
      </c>
      <c r="AM102" s="4" t="s">
        <v>28</v>
      </c>
      <c r="AN102" s="5">
        <v>183</v>
      </c>
      <c r="AO102" s="14"/>
      <c r="AQ102" s="4" t="s">
        <v>73</v>
      </c>
      <c r="AR102" s="4">
        <v>2006</v>
      </c>
      <c r="AS102" s="4" t="s">
        <v>28</v>
      </c>
      <c r="AT102" s="5">
        <v>170</v>
      </c>
      <c r="AW102" s="4" t="s">
        <v>172</v>
      </c>
      <c r="AX102" s="4">
        <v>2006</v>
      </c>
      <c r="AY102" s="4" t="s">
        <v>28</v>
      </c>
      <c r="AZ102" s="5">
        <v>135</v>
      </c>
      <c r="BC102" s="4" t="s">
        <v>174</v>
      </c>
      <c r="BD102" s="4">
        <v>2006</v>
      </c>
      <c r="BE102" s="4" t="s">
        <v>28</v>
      </c>
      <c r="BF102" s="5">
        <v>100</v>
      </c>
      <c r="BI102" s="4" t="s">
        <v>74</v>
      </c>
      <c r="BJ102" s="4">
        <v>2006</v>
      </c>
      <c r="BK102" s="4" t="s">
        <v>28</v>
      </c>
      <c r="BL102" s="5">
        <v>736</v>
      </c>
      <c r="BO102" s="4" t="s">
        <v>176</v>
      </c>
      <c r="BP102" s="4">
        <v>2006</v>
      </c>
      <c r="BQ102" s="4" t="s">
        <v>28</v>
      </c>
      <c r="BR102" s="5">
        <v>127</v>
      </c>
      <c r="BU102" s="4" t="s">
        <v>178</v>
      </c>
      <c r="BV102" s="4">
        <v>2006</v>
      </c>
      <c r="BW102" s="4" t="s">
        <v>28</v>
      </c>
      <c r="BX102" s="5">
        <v>449</v>
      </c>
      <c r="CA102" s="4" t="s">
        <v>75</v>
      </c>
      <c r="CB102" s="4">
        <v>2006</v>
      </c>
      <c r="CC102" s="4" t="s">
        <v>28</v>
      </c>
      <c r="CD102" s="5">
        <v>114</v>
      </c>
      <c r="CG102" s="4" t="s">
        <v>76</v>
      </c>
      <c r="CH102" s="4">
        <v>2006</v>
      </c>
      <c r="CI102" s="4" t="s">
        <v>28</v>
      </c>
      <c r="CJ102" s="5">
        <v>696</v>
      </c>
      <c r="CM102" s="4" t="s">
        <v>183</v>
      </c>
      <c r="CN102" s="4">
        <v>2006</v>
      </c>
      <c r="CO102" s="4" t="s">
        <v>28</v>
      </c>
      <c r="CP102" s="5">
        <v>310</v>
      </c>
      <c r="CS102" s="4" t="s">
        <v>208</v>
      </c>
      <c r="CT102" s="4">
        <v>2006</v>
      </c>
      <c r="CU102" s="4" t="s">
        <v>29</v>
      </c>
      <c r="CV102" s="5">
        <v>424</v>
      </c>
    </row>
    <row r="103" spans="1:100" x14ac:dyDescent="0.25">
      <c r="A103" s="4" t="s">
        <v>180</v>
      </c>
      <c r="B103" s="4">
        <v>2006</v>
      </c>
      <c r="C103" s="4" t="s">
        <v>29</v>
      </c>
      <c r="D103" s="5">
        <v>15</v>
      </c>
      <c r="G103" s="4" t="s">
        <v>71</v>
      </c>
      <c r="H103" s="4">
        <v>2006</v>
      </c>
      <c r="I103" s="4" t="s">
        <v>29</v>
      </c>
      <c r="J103" s="5">
        <v>456</v>
      </c>
      <c r="M103" s="4" t="s">
        <v>164</v>
      </c>
      <c r="N103" s="4">
        <v>2006</v>
      </c>
      <c r="O103" s="4" t="s">
        <v>29</v>
      </c>
      <c r="P103" s="5">
        <v>363</v>
      </c>
      <c r="S103" s="4" t="s">
        <v>166</v>
      </c>
      <c r="T103" s="4">
        <v>2006</v>
      </c>
      <c r="U103" s="4" t="s">
        <v>29</v>
      </c>
      <c r="V103" s="5">
        <v>255</v>
      </c>
      <c r="Y103" s="4" t="s">
        <v>168</v>
      </c>
      <c r="Z103" s="4">
        <v>2006</v>
      </c>
      <c r="AA103" s="4" t="s">
        <v>29</v>
      </c>
      <c r="AB103" s="5">
        <v>119</v>
      </c>
      <c r="AE103" s="4" t="s">
        <v>170</v>
      </c>
      <c r="AF103" s="4">
        <v>2006</v>
      </c>
      <c r="AG103" s="4" t="s">
        <v>29</v>
      </c>
      <c r="AH103" s="5">
        <v>853</v>
      </c>
      <c r="AK103" s="4" t="s">
        <v>72</v>
      </c>
      <c r="AL103" s="4">
        <v>2006</v>
      </c>
      <c r="AM103" s="4" t="s">
        <v>29</v>
      </c>
      <c r="AN103" s="5">
        <v>206</v>
      </c>
      <c r="AO103" s="14"/>
      <c r="AQ103" s="4" t="s">
        <v>73</v>
      </c>
      <c r="AR103" s="4">
        <v>2006</v>
      </c>
      <c r="AS103" s="4" t="s">
        <v>29</v>
      </c>
      <c r="AT103" s="5">
        <v>116</v>
      </c>
      <c r="AW103" s="4" t="s">
        <v>172</v>
      </c>
      <c r="AX103" s="4">
        <v>2006</v>
      </c>
      <c r="AY103" s="4" t="s">
        <v>29</v>
      </c>
      <c r="AZ103" s="5">
        <v>163</v>
      </c>
      <c r="BC103" s="4" t="s">
        <v>174</v>
      </c>
      <c r="BD103" s="4">
        <v>2006</v>
      </c>
      <c r="BE103" s="4" t="s">
        <v>29</v>
      </c>
      <c r="BF103" s="5">
        <v>48</v>
      </c>
      <c r="BI103" s="4" t="s">
        <v>74</v>
      </c>
      <c r="BJ103" s="4">
        <v>2006</v>
      </c>
      <c r="BK103" s="4" t="s">
        <v>29</v>
      </c>
      <c r="BL103" s="5">
        <v>768</v>
      </c>
      <c r="BO103" s="4" t="s">
        <v>176</v>
      </c>
      <c r="BP103" s="4">
        <v>2006</v>
      </c>
      <c r="BQ103" s="4" t="s">
        <v>29</v>
      </c>
      <c r="BR103" s="5">
        <v>103</v>
      </c>
      <c r="BU103" s="4" t="s">
        <v>178</v>
      </c>
      <c r="BV103" s="4">
        <v>2006</v>
      </c>
      <c r="BW103" s="4" t="s">
        <v>29</v>
      </c>
      <c r="BX103" s="5">
        <v>428</v>
      </c>
      <c r="CA103" s="4" t="s">
        <v>75</v>
      </c>
      <c r="CB103" s="4">
        <v>2006</v>
      </c>
      <c r="CC103" s="4" t="s">
        <v>29</v>
      </c>
      <c r="CD103" s="5">
        <v>148</v>
      </c>
      <c r="CG103" s="4" t="s">
        <v>76</v>
      </c>
      <c r="CH103" s="4">
        <v>2006</v>
      </c>
      <c r="CI103" s="4" t="s">
        <v>29</v>
      </c>
      <c r="CJ103" s="5">
        <v>647</v>
      </c>
      <c r="CM103" s="4" t="s">
        <v>183</v>
      </c>
      <c r="CN103" s="4">
        <v>2006</v>
      </c>
      <c r="CO103" s="4" t="s">
        <v>29</v>
      </c>
      <c r="CP103" s="5">
        <v>268</v>
      </c>
      <c r="CS103" s="4" t="s">
        <v>208</v>
      </c>
      <c r="CT103" s="4">
        <v>2006</v>
      </c>
      <c r="CU103" s="4" t="s">
        <v>30</v>
      </c>
      <c r="CV103" s="5">
        <v>400</v>
      </c>
    </row>
    <row r="104" spans="1:100" x14ac:dyDescent="0.25">
      <c r="A104" s="4" t="s">
        <v>180</v>
      </c>
      <c r="B104" s="4">
        <v>2006</v>
      </c>
      <c r="C104" s="4" t="s">
        <v>30</v>
      </c>
      <c r="D104" s="5">
        <v>22</v>
      </c>
      <c r="G104" s="4" t="s">
        <v>71</v>
      </c>
      <c r="H104" s="4">
        <v>2006</v>
      </c>
      <c r="I104" s="4" t="s">
        <v>30</v>
      </c>
      <c r="J104" s="5">
        <v>618</v>
      </c>
      <c r="M104" s="4" t="s">
        <v>164</v>
      </c>
      <c r="N104" s="4">
        <v>2006</v>
      </c>
      <c r="O104" s="4" t="s">
        <v>30</v>
      </c>
      <c r="P104" s="5">
        <v>426</v>
      </c>
      <c r="S104" s="4" t="s">
        <v>166</v>
      </c>
      <c r="T104" s="4">
        <v>2006</v>
      </c>
      <c r="U104" s="4" t="s">
        <v>30</v>
      </c>
      <c r="V104" s="5">
        <v>276</v>
      </c>
      <c r="Y104" s="4" t="s">
        <v>168</v>
      </c>
      <c r="Z104" s="4">
        <v>2006</v>
      </c>
      <c r="AA104" s="4" t="s">
        <v>30</v>
      </c>
      <c r="AB104" s="5">
        <v>133</v>
      </c>
      <c r="AE104" s="4" t="s">
        <v>170</v>
      </c>
      <c r="AF104" s="4">
        <v>2006</v>
      </c>
      <c r="AG104" s="4" t="s">
        <v>30</v>
      </c>
      <c r="AH104" s="5">
        <v>885</v>
      </c>
      <c r="AK104" s="4" t="s">
        <v>72</v>
      </c>
      <c r="AL104" s="4">
        <v>2006</v>
      </c>
      <c r="AM104" s="4" t="s">
        <v>30</v>
      </c>
      <c r="AN104" s="5">
        <v>183</v>
      </c>
      <c r="AO104" s="14"/>
      <c r="AQ104" s="4" t="s">
        <v>73</v>
      </c>
      <c r="AR104" s="4">
        <v>2006</v>
      </c>
      <c r="AS104" s="4" t="s">
        <v>30</v>
      </c>
      <c r="AT104" s="5">
        <v>137</v>
      </c>
      <c r="AW104" s="4" t="s">
        <v>172</v>
      </c>
      <c r="AX104" s="4">
        <v>2006</v>
      </c>
      <c r="AY104" s="4" t="s">
        <v>30</v>
      </c>
      <c r="AZ104" s="5">
        <v>139</v>
      </c>
      <c r="BC104" s="4" t="s">
        <v>174</v>
      </c>
      <c r="BD104" s="4">
        <v>2006</v>
      </c>
      <c r="BE104" s="4" t="s">
        <v>30</v>
      </c>
      <c r="BF104" s="5">
        <v>91</v>
      </c>
      <c r="BI104" s="4" t="s">
        <v>74</v>
      </c>
      <c r="BJ104" s="4">
        <v>2006</v>
      </c>
      <c r="BK104" s="4" t="s">
        <v>30</v>
      </c>
      <c r="BL104" s="5">
        <v>658</v>
      </c>
      <c r="BO104" s="4" t="s">
        <v>176</v>
      </c>
      <c r="BP104" s="4">
        <v>2006</v>
      </c>
      <c r="BQ104" s="4" t="s">
        <v>30</v>
      </c>
      <c r="BR104" s="5">
        <v>107</v>
      </c>
      <c r="BU104" s="4" t="s">
        <v>178</v>
      </c>
      <c r="BV104" s="4">
        <v>2006</v>
      </c>
      <c r="BW104" s="4" t="s">
        <v>30</v>
      </c>
      <c r="BX104" s="5">
        <v>429</v>
      </c>
      <c r="CA104" s="4" t="s">
        <v>75</v>
      </c>
      <c r="CB104" s="4">
        <v>2006</v>
      </c>
      <c r="CC104" s="4" t="s">
        <v>30</v>
      </c>
      <c r="CD104" s="5">
        <v>148</v>
      </c>
      <c r="CG104" s="4" t="s">
        <v>76</v>
      </c>
      <c r="CH104" s="4">
        <v>2006</v>
      </c>
      <c r="CI104" s="4" t="s">
        <v>30</v>
      </c>
      <c r="CJ104" s="5">
        <v>688</v>
      </c>
      <c r="CM104" s="4" t="s">
        <v>183</v>
      </c>
      <c r="CN104" s="4">
        <v>2006</v>
      </c>
      <c r="CO104" s="4" t="s">
        <v>30</v>
      </c>
      <c r="CP104" s="5">
        <v>306</v>
      </c>
      <c r="CS104" s="4" t="s">
        <v>208</v>
      </c>
      <c r="CT104" s="4">
        <v>2006</v>
      </c>
      <c r="CU104" s="4" t="s">
        <v>19</v>
      </c>
      <c r="CV104" s="5">
        <v>395</v>
      </c>
    </row>
    <row r="105" spans="1:100" x14ac:dyDescent="0.25">
      <c r="A105" s="4" t="s">
        <v>180</v>
      </c>
      <c r="B105" s="4">
        <v>2006</v>
      </c>
      <c r="C105" s="4" t="s">
        <v>19</v>
      </c>
      <c r="D105" s="5">
        <v>25</v>
      </c>
      <c r="G105" s="4" t="s">
        <v>71</v>
      </c>
      <c r="H105" s="4">
        <v>2006</v>
      </c>
      <c r="I105" s="4" t="s">
        <v>19</v>
      </c>
      <c r="J105" s="5">
        <v>725</v>
      </c>
      <c r="M105" s="4" t="s">
        <v>164</v>
      </c>
      <c r="N105" s="4">
        <v>2006</v>
      </c>
      <c r="O105" s="4" t="s">
        <v>19</v>
      </c>
      <c r="P105" s="5">
        <v>395</v>
      </c>
      <c r="S105" s="4" t="s">
        <v>166</v>
      </c>
      <c r="T105" s="4">
        <v>2006</v>
      </c>
      <c r="U105" s="4" t="s">
        <v>19</v>
      </c>
      <c r="V105" s="5">
        <v>265</v>
      </c>
      <c r="Y105" s="4" t="s">
        <v>168</v>
      </c>
      <c r="Z105" s="4">
        <v>2006</v>
      </c>
      <c r="AA105" s="4" t="s">
        <v>19</v>
      </c>
      <c r="AB105" s="5">
        <v>181</v>
      </c>
      <c r="AE105" s="4" t="s">
        <v>170</v>
      </c>
      <c r="AF105" s="4">
        <v>2006</v>
      </c>
      <c r="AG105" s="4" t="s">
        <v>19</v>
      </c>
      <c r="AH105" s="5">
        <v>784</v>
      </c>
      <c r="AK105" s="4" t="s">
        <v>72</v>
      </c>
      <c r="AL105" s="4">
        <v>2006</v>
      </c>
      <c r="AM105" s="4" t="s">
        <v>19</v>
      </c>
      <c r="AN105" s="5">
        <v>190</v>
      </c>
      <c r="AO105" s="14"/>
      <c r="AQ105" s="4" t="s">
        <v>73</v>
      </c>
      <c r="AR105" s="4">
        <v>2006</v>
      </c>
      <c r="AS105" s="4" t="s">
        <v>19</v>
      </c>
      <c r="AT105" s="5">
        <v>108</v>
      </c>
      <c r="AW105" s="4" t="s">
        <v>172</v>
      </c>
      <c r="AX105" s="4">
        <v>2006</v>
      </c>
      <c r="AY105" s="4" t="s">
        <v>19</v>
      </c>
      <c r="AZ105" s="5">
        <v>128</v>
      </c>
      <c r="BC105" s="4" t="s">
        <v>174</v>
      </c>
      <c r="BD105" s="4">
        <v>2006</v>
      </c>
      <c r="BE105" s="4" t="s">
        <v>19</v>
      </c>
      <c r="BF105" s="5">
        <v>99</v>
      </c>
      <c r="BI105" s="4" t="s">
        <v>74</v>
      </c>
      <c r="BJ105" s="4">
        <v>2006</v>
      </c>
      <c r="BK105" s="4" t="s">
        <v>19</v>
      </c>
      <c r="BL105" s="5">
        <v>791</v>
      </c>
      <c r="BO105" s="4" t="s">
        <v>176</v>
      </c>
      <c r="BP105" s="4">
        <v>2006</v>
      </c>
      <c r="BQ105" s="4" t="s">
        <v>19</v>
      </c>
      <c r="BR105" s="5">
        <v>80</v>
      </c>
      <c r="BU105" s="4" t="s">
        <v>178</v>
      </c>
      <c r="BV105" s="4">
        <v>2006</v>
      </c>
      <c r="BW105" s="4" t="s">
        <v>19</v>
      </c>
      <c r="BX105" s="5">
        <v>421</v>
      </c>
      <c r="CA105" s="4" t="s">
        <v>75</v>
      </c>
      <c r="CB105" s="4">
        <v>2006</v>
      </c>
      <c r="CC105" s="4" t="s">
        <v>19</v>
      </c>
      <c r="CD105" s="5">
        <v>145</v>
      </c>
      <c r="CG105" s="4" t="s">
        <v>76</v>
      </c>
      <c r="CH105" s="4">
        <v>2006</v>
      </c>
      <c r="CI105" s="4" t="s">
        <v>19</v>
      </c>
      <c r="CJ105" s="5">
        <v>556</v>
      </c>
      <c r="CM105" s="4" t="s">
        <v>183</v>
      </c>
      <c r="CN105" s="4">
        <v>2006</v>
      </c>
      <c r="CO105" s="4" t="s">
        <v>19</v>
      </c>
      <c r="CP105" s="5">
        <v>306</v>
      </c>
      <c r="CS105" s="4" t="s">
        <v>208</v>
      </c>
      <c r="CT105" s="4">
        <v>2006</v>
      </c>
      <c r="CU105" s="4" t="s">
        <v>96</v>
      </c>
      <c r="CV105" s="5">
        <v>473</v>
      </c>
    </row>
    <row r="106" spans="1:100" x14ac:dyDescent="0.25">
      <c r="A106" s="4" t="s">
        <v>180</v>
      </c>
      <c r="B106" s="4">
        <v>2006</v>
      </c>
      <c r="C106" s="4" t="s">
        <v>96</v>
      </c>
      <c r="D106" s="5">
        <v>22</v>
      </c>
      <c r="G106" s="4" t="s">
        <v>71</v>
      </c>
      <c r="H106" s="4">
        <v>2006</v>
      </c>
      <c r="I106" s="4" t="s">
        <v>96</v>
      </c>
      <c r="J106" s="5">
        <v>671</v>
      </c>
      <c r="M106" s="4" t="s">
        <v>164</v>
      </c>
      <c r="N106" s="4">
        <v>2006</v>
      </c>
      <c r="O106" s="4" t="s">
        <v>96</v>
      </c>
      <c r="P106" s="5">
        <v>410</v>
      </c>
      <c r="S106" s="4" t="s">
        <v>166</v>
      </c>
      <c r="T106" s="4">
        <v>2006</v>
      </c>
      <c r="U106" s="4" t="s">
        <v>96</v>
      </c>
      <c r="V106" s="5">
        <v>289</v>
      </c>
      <c r="Y106" s="4" t="s">
        <v>168</v>
      </c>
      <c r="Z106" s="4">
        <v>2006</v>
      </c>
      <c r="AA106" s="4" t="s">
        <v>96</v>
      </c>
      <c r="AB106" s="5">
        <v>145</v>
      </c>
      <c r="AE106" s="4" t="s">
        <v>170</v>
      </c>
      <c r="AF106" s="4">
        <v>2006</v>
      </c>
      <c r="AG106" s="4" t="s">
        <v>96</v>
      </c>
      <c r="AH106" s="5">
        <v>894</v>
      </c>
      <c r="AK106" s="4" t="s">
        <v>72</v>
      </c>
      <c r="AL106" s="4">
        <v>2006</v>
      </c>
      <c r="AM106" s="4" t="s">
        <v>96</v>
      </c>
      <c r="AN106" s="5">
        <v>229</v>
      </c>
      <c r="AO106" s="14"/>
      <c r="AQ106" s="4" t="s">
        <v>73</v>
      </c>
      <c r="AR106" s="4">
        <v>2006</v>
      </c>
      <c r="AS106" s="4" t="s">
        <v>96</v>
      </c>
      <c r="AT106" s="5">
        <v>126</v>
      </c>
      <c r="AW106" s="4" t="s">
        <v>172</v>
      </c>
      <c r="AX106" s="4">
        <v>2006</v>
      </c>
      <c r="AY106" s="4" t="s">
        <v>96</v>
      </c>
      <c r="AZ106" s="5">
        <v>178</v>
      </c>
      <c r="BC106" s="4" t="s">
        <v>174</v>
      </c>
      <c r="BD106" s="4">
        <v>2006</v>
      </c>
      <c r="BE106" s="4" t="s">
        <v>96</v>
      </c>
      <c r="BF106" s="5">
        <v>87</v>
      </c>
      <c r="BI106" s="4" t="s">
        <v>74</v>
      </c>
      <c r="BJ106" s="4">
        <v>2006</v>
      </c>
      <c r="BK106" s="4" t="s">
        <v>96</v>
      </c>
      <c r="BL106" s="5">
        <v>746</v>
      </c>
      <c r="BO106" s="4" t="s">
        <v>176</v>
      </c>
      <c r="BP106" s="4">
        <v>2006</v>
      </c>
      <c r="BQ106" s="4" t="s">
        <v>96</v>
      </c>
      <c r="BR106" s="5">
        <v>116</v>
      </c>
      <c r="BU106" s="4" t="s">
        <v>178</v>
      </c>
      <c r="BV106" s="4">
        <v>2006</v>
      </c>
      <c r="BW106" s="4" t="s">
        <v>96</v>
      </c>
      <c r="BX106" s="5">
        <v>452</v>
      </c>
      <c r="CA106" s="4" t="s">
        <v>75</v>
      </c>
      <c r="CB106" s="4">
        <v>2006</v>
      </c>
      <c r="CC106" s="4" t="s">
        <v>96</v>
      </c>
      <c r="CD106" s="5">
        <v>148</v>
      </c>
      <c r="CG106" s="4" t="s">
        <v>76</v>
      </c>
      <c r="CH106" s="4">
        <v>2006</v>
      </c>
      <c r="CI106" s="4" t="s">
        <v>96</v>
      </c>
      <c r="CJ106" s="5">
        <v>717</v>
      </c>
      <c r="CM106" s="4" t="s">
        <v>183</v>
      </c>
      <c r="CN106" s="4">
        <v>2006</v>
      </c>
      <c r="CO106" s="4" t="s">
        <v>96</v>
      </c>
      <c r="CP106" s="5">
        <v>293</v>
      </c>
      <c r="CS106" s="4" t="s">
        <v>208</v>
      </c>
      <c r="CT106" s="4">
        <v>2007</v>
      </c>
      <c r="CU106" s="4" t="s">
        <v>20</v>
      </c>
      <c r="CV106" s="5">
        <v>476</v>
      </c>
    </row>
    <row r="107" spans="1:100" x14ac:dyDescent="0.25">
      <c r="A107" s="4" t="s">
        <v>180</v>
      </c>
      <c r="B107" s="4">
        <v>2007</v>
      </c>
      <c r="C107" s="4" t="s">
        <v>20</v>
      </c>
      <c r="D107" s="5">
        <v>35</v>
      </c>
      <c r="G107" s="4" t="s">
        <v>71</v>
      </c>
      <c r="H107" s="4">
        <v>2007</v>
      </c>
      <c r="I107" s="4" t="s">
        <v>20</v>
      </c>
      <c r="J107" s="5">
        <v>922</v>
      </c>
      <c r="M107" s="4" t="s">
        <v>164</v>
      </c>
      <c r="N107" s="4">
        <v>2007</v>
      </c>
      <c r="O107" s="4" t="s">
        <v>20</v>
      </c>
      <c r="P107" s="5">
        <v>520</v>
      </c>
      <c r="S107" s="4" t="s">
        <v>166</v>
      </c>
      <c r="T107" s="4">
        <v>2007</v>
      </c>
      <c r="U107" s="4" t="s">
        <v>20</v>
      </c>
      <c r="V107" s="5">
        <v>232</v>
      </c>
      <c r="Y107" s="4" t="s">
        <v>168</v>
      </c>
      <c r="Z107" s="4">
        <v>2007</v>
      </c>
      <c r="AA107" s="4" t="s">
        <v>20</v>
      </c>
      <c r="AB107" s="5">
        <v>179</v>
      </c>
      <c r="AE107" s="4" t="s">
        <v>170</v>
      </c>
      <c r="AF107" s="4">
        <v>2007</v>
      </c>
      <c r="AG107" s="4" t="s">
        <v>20</v>
      </c>
      <c r="AH107" s="5">
        <v>987</v>
      </c>
      <c r="AK107" s="4" t="s">
        <v>72</v>
      </c>
      <c r="AL107" s="4">
        <v>2007</v>
      </c>
      <c r="AM107" s="4" t="s">
        <v>20</v>
      </c>
      <c r="AN107" s="5">
        <v>248</v>
      </c>
      <c r="AO107" s="14"/>
      <c r="AQ107" s="4" t="s">
        <v>73</v>
      </c>
      <c r="AR107" s="4">
        <v>2007</v>
      </c>
      <c r="AS107" s="4" t="s">
        <v>20</v>
      </c>
      <c r="AT107" s="5">
        <v>143</v>
      </c>
      <c r="AW107" s="4" t="s">
        <v>172</v>
      </c>
      <c r="AX107" s="4">
        <v>2007</v>
      </c>
      <c r="AY107" s="4" t="s">
        <v>20</v>
      </c>
      <c r="AZ107" s="5">
        <v>132</v>
      </c>
      <c r="BC107" s="4" t="s">
        <v>174</v>
      </c>
      <c r="BD107" s="4">
        <v>2007</v>
      </c>
      <c r="BE107" s="4" t="s">
        <v>20</v>
      </c>
      <c r="BF107" s="5">
        <v>101</v>
      </c>
      <c r="BI107" s="4" t="s">
        <v>74</v>
      </c>
      <c r="BJ107" s="4">
        <v>2007</v>
      </c>
      <c r="BK107" s="4" t="s">
        <v>20</v>
      </c>
      <c r="BL107" s="5">
        <v>885</v>
      </c>
      <c r="BO107" s="4" t="s">
        <v>176</v>
      </c>
      <c r="BP107" s="4">
        <v>2007</v>
      </c>
      <c r="BQ107" s="4" t="s">
        <v>20</v>
      </c>
      <c r="BR107" s="5">
        <v>129</v>
      </c>
      <c r="BU107" s="4" t="s">
        <v>178</v>
      </c>
      <c r="BV107" s="4">
        <v>2007</v>
      </c>
      <c r="BW107" s="4" t="s">
        <v>20</v>
      </c>
      <c r="BX107" s="5">
        <v>434</v>
      </c>
      <c r="CA107" s="4" t="s">
        <v>75</v>
      </c>
      <c r="CB107" s="4">
        <v>2007</v>
      </c>
      <c r="CC107" s="4" t="s">
        <v>20</v>
      </c>
      <c r="CD107" s="5">
        <v>187</v>
      </c>
      <c r="CG107" s="4" t="s">
        <v>76</v>
      </c>
      <c r="CH107" s="4">
        <v>2007</v>
      </c>
      <c r="CI107" s="4" t="s">
        <v>20</v>
      </c>
      <c r="CJ107" s="5">
        <v>724</v>
      </c>
      <c r="CM107" s="4" t="s">
        <v>183</v>
      </c>
      <c r="CN107" s="4">
        <v>2007</v>
      </c>
      <c r="CO107" s="4" t="s">
        <v>20</v>
      </c>
      <c r="CP107" s="5">
        <v>275</v>
      </c>
      <c r="CS107" s="4" t="s">
        <v>208</v>
      </c>
      <c r="CT107" s="4">
        <v>2007</v>
      </c>
      <c r="CU107" s="4" t="s">
        <v>21</v>
      </c>
      <c r="CV107" s="5">
        <v>405</v>
      </c>
    </row>
    <row r="108" spans="1:100" x14ac:dyDescent="0.25">
      <c r="A108" s="4" t="s">
        <v>180</v>
      </c>
      <c r="B108" s="4">
        <v>2007</v>
      </c>
      <c r="C108" s="4" t="s">
        <v>21</v>
      </c>
      <c r="D108" s="5">
        <v>33</v>
      </c>
      <c r="G108" s="4" t="s">
        <v>71</v>
      </c>
      <c r="H108" s="4">
        <v>2007</v>
      </c>
      <c r="I108" s="4" t="s">
        <v>21</v>
      </c>
      <c r="J108" s="5">
        <v>1086</v>
      </c>
      <c r="M108" s="4" t="s">
        <v>164</v>
      </c>
      <c r="N108" s="4">
        <v>2007</v>
      </c>
      <c r="O108" s="4" t="s">
        <v>21</v>
      </c>
      <c r="P108" s="5">
        <v>491</v>
      </c>
      <c r="S108" s="4" t="s">
        <v>166</v>
      </c>
      <c r="T108" s="4">
        <v>2007</v>
      </c>
      <c r="U108" s="4" t="s">
        <v>21</v>
      </c>
      <c r="V108" s="5">
        <v>283</v>
      </c>
      <c r="Y108" s="4" t="s">
        <v>168</v>
      </c>
      <c r="Z108" s="4">
        <v>2007</v>
      </c>
      <c r="AA108" s="4" t="s">
        <v>21</v>
      </c>
      <c r="AB108" s="5">
        <v>134</v>
      </c>
      <c r="AE108" s="4" t="s">
        <v>170</v>
      </c>
      <c r="AF108" s="4">
        <v>2007</v>
      </c>
      <c r="AG108" s="4" t="s">
        <v>21</v>
      </c>
      <c r="AH108" s="5">
        <v>911</v>
      </c>
      <c r="AK108" s="4" t="s">
        <v>72</v>
      </c>
      <c r="AL108" s="4">
        <v>2007</v>
      </c>
      <c r="AM108" s="4" t="s">
        <v>21</v>
      </c>
      <c r="AN108" s="5">
        <v>251</v>
      </c>
      <c r="AO108" s="14"/>
      <c r="AQ108" s="4" t="s">
        <v>73</v>
      </c>
      <c r="AR108" s="4">
        <v>2007</v>
      </c>
      <c r="AS108" s="4" t="s">
        <v>21</v>
      </c>
      <c r="AT108" s="5">
        <v>139</v>
      </c>
      <c r="AW108" s="4" t="s">
        <v>172</v>
      </c>
      <c r="AX108" s="4">
        <v>2007</v>
      </c>
      <c r="AY108" s="4" t="s">
        <v>21</v>
      </c>
      <c r="AZ108" s="5">
        <v>171</v>
      </c>
      <c r="BC108" s="4" t="s">
        <v>174</v>
      </c>
      <c r="BD108" s="4">
        <v>2007</v>
      </c>
      <c r="BE108" s="4" t="s">
        <v>21</v>
      </c>
      <c r="BF108" s="5">
        <v>124</v>
      </c>
      <c r="BI108" s="4" t="s">
        <v>74</v>
      </c>
      <c r="BJ108" s="4">
        <v>2007</v>
      </c>
      <c r="BK108" s="4" t="s">
        <v>21</v>
      </c>
      <c r="BL108" s="5">
        <v>825</v>
      </c>
      <c r="BO108" s="4" t="s">
        <v>176</v>
      </c>
      <c r="BP108" s="4">
        <v>2007</v>
      </c>
      <c r="BQ108" s="4" t="s">
        <v>21</v>
      </c>
      <c r="BR108" s="5">
        <v>100</v>
      </c>
      <c r="BU108" s="4" t="s">
        <v>178</v>
      </c>
      <c r="BV108" s="4">
        <v>2007</v>
      </c>
      <c r="BW108" s="4" t="s">
        <v>21</v>
      </c>
      <c r="BX108" s="5">
        <v>388</v>
      </c>
      <c r="CA108" s="4" t="s">
        <v>75</v>
      </c>
      <c r="CB108" s="4">
        <v>2007</v>
      </c>
      <c r="CC108" s="4" t="s">
        <v>21</v>
      </c>
      <c r="CD108" s="5">
        <v>205</v>
      </c>
      <c r="CG108" s="4" t="s">
        <v>76</v>
      </c>
      <c r="CH108" s="4">
        <v>2007</v>
      </c>
      <c r="CI108" s="4" t="s">
        <v>21</v>
      </c>
      <c r="CJ108" s="5">
        <v>675</v>
      </c>
      <c r="CM108" s="4" t="s">
        <v>183</v>
      </c>
      <c r="CN108" s="4">
        <v>2007</v>
      </c>
      <c r="CO108" s="4" t="s">
        <v>21</v>
      </c>
      <c r="CP108" s="5">
        <v>257</v>
      </c>
      <c r="CS108" s="4" t="s">
        <v>208</v>
      </c>
      <c r="CT108" s="4">
        <v>2007</v>
      </c>
      <c r="CU108" s="4" t="s">
        <v>22</v>
      </c>
      <c r="CV108" s="5">
        <v>419</v>
      </c>
    </row>
    <row r="109" spans="1:100" x14ac:dyDescent="0.25">
      <c r="A109" s="4" t="s">
        <v>180</v>
      </c>
      <c r="B109" s="4">
        <v>2007</v>
      </c>
      <c r="C109" s="4" t="s">
        <v>22</v>
      </c>
      <c r="D109" s="5">
        <v>24</v>
      </c>
      <c r="G109" s="4" t="s">
        <v>71</v>
      </c>
      <c r="H109" s="4">
        <v>2007</v>
      </c>
      <c r="I109" s="4" t="s">
        <v>22</v>
      </c>
      <c r="J109" s="5">
        <v>924</v>
      </c>
      <c r="M109" s="4" t="s">
        <v>164</v>
      </c>
      <c r="N109" s="4">
        <v>2007</v>
      </c>
      <c r="O109" s="4" t="s">
        <v>22</v>
      </c>
      <c r="P109" s="5">
        <v>456</v>
      </c>
      <c r="S109" s="4" t="s">
        <v>166</v>
      </c>
      <c r="T109" s="4">
        <v>2007</v>
      </c>
      <c r="U109" s="4" t="s">
        <v>22</v>
      </c>
      <c r="V109" s="5">
        <v>286</v>
      </c>
      <c r="Y109" s="4" t="s">
        <v>168</v>
      </c>
      <c r="Z109" s="4">
        <v>2007</v>
      </c>
      <c r="AA109" s="4" t="s">
        <v>22</v>
      </c>
      <c r="AB109" s="5">
        <v>153</v>
      </c>
      <c r="AE109" s="4" t="s">
        <v>170</v>
      </c>
      <c r="AF109" s="4">
        <v>2007</v>
      </c>
      <c r="AG109" s="4" t="s">
        <v>22</v>
      </c>
      <c r="AH109" s="5">
        <v>743</v>
      </c>
      <c r="AK109" s="4" t="s">
        <v>72</v>
      </c>
      <c r="AL109" s="4">
        <v>2007</v>
      </c>
      <c r="AM109" s="4" t="s">
        <v>22</v>
      </c>
      <c r="AN109" s="5">
        <v>249</v>
      </c>
      <c r="AO109" s="14"/>
      <c r="AQ109" s="4" t="s">
        <v>73</v>
      </c>
      <c r="AR109" s="4">
        <v>2007</v>
      </c>
      <c r="AS109" s="4" t="s">
        <v>22</v>
      </c>
      <c r="AT109" s="5">
        <v>109</v>
      </c>
      <c r="AW109" s="4" t="s">
        <v>172</v>
      </c>
      <c r="AX109" s="4">
        <v>2007</v>
      </c>
      <c r="AY109" s="4" t="s">
        <v>22</v>
      </c>
      <c r="AZ109" s="5">
        <v>134</v>
      </c>
      <c r="BC109" s="4" t="s">
        <v>174</v>
      </c>
      <c r="BD109" s="4">
        <v>2007</v>
      </c>
      <c r="BE109" s="4" t="s">
        <v>22</v>
      </c>
      <c r="BF109" s="5">
        <v>119</v>
      </c>
      <c r="BI109" s="4" t="s">
        <v>74</v>
      </c>
      <c r="BJ109" s="4">
        <v>2007</v>
      </c>
      <c r="BK109" s="4" t="s">
        <v>22</v>
      </c>
      <c r="BL109" s="5">
        <v>775</v>
      </c>
      <c r="BO109" s="4" t="s">
        <v>176</v>
      </c>
      <c r="BP109" s="4">
        <v>2007</v>
      </c>
      <c r="BQ109" s="4" t="s">
        <v>22</v>
      </c>
      <c r="BR109" s="5">
        <v>106</v>
      </c>
      <c r="BU109" s="4" t="s">
        <v>178</v>
      </c>
      <c r="BV109" s="4">
        <v>2007</v>
      </c>
      <c r="BW109" s="4" t="s">
        <v>22</v>
      </c>
      <c r="BX109" s="5">
        <v>389</v>
      </c>
      <c r="CA109" s="4" t="s">
        <v>75</v>
      </c>
      <c r="CB109" s="4">
        <v>2007</v>
      </c>
      <c r="CC109" s="4" t="s">
        <v>22</v>
      </c>
      <c r="CD109" s="5">
        <v>167</v>
      </c>
      <c r="CG109" s="4" t="s">
        <v>76</v>
      </c>
      <c r="CH109" s="4">
        <v>2007</v>
      </c>
      <c r="CI109" s="4" t="s">
        <v>22</v>
      </c>
      <c r="CJ109" s="5">
        <v>678</v>
      </c>
      <c r="CM109" s="4" t="s">
        <v>183</v>
      </c>
      <c r="CN109" s="4">
        <v>2007</v>
      </c>
      <c r="CO109" s="4" t="s">
        <v>22</v>
      </c>
      <c r="CP109" s="5">
        <v>222</v>
      </c>
      <c r="CS109" s="4" t="s">
        <v>208</v>
      </c>
      <c r="CT109" s="4">
        <v>2007</v>
      </c>
      <c r="CU109" s="4" t="s">
        <v>23</v>
      </c>
      <c r="CV109" s="5">
        <v>408</v>
      </c>
    </row>
    <row r="110" spans="1:100" x14ac:dyDescent="0.25">
      <c r="A110" s="4" t="s">
        <v>180</v>
      </c>
      <c r="B110" s="4">
        <v>2007</v>
      </c>
      <c r="C110" s="4" t="s">
        <v>23</v>
      </c>
      <c r="D110" s="5">
        <v>17</v>
      </c>
      <c r="G110" s="4" t="s">
        <v>71</v>
      </c>
      <c r="H110" s="4">
        <v>2007</v>
      </c>
      <c r="I110" s="4" t="s">
        <v>23</v>
      </c>
      <c r="J110" s="5">
        <v>853</v>
      </c>
      <c r="M110" s="4" t="s">
        <v>164</v>
      </c>
      <c r="N110" s="4">
        <v>2007</v>
      </c>
      <c r="O110" s="4" t="s">
        <v>23</v>
      </c>
      <c r="P110" s="5">
        <v>467</v>
      </c>
      <c r="S110" s="4" t="s">
        <v>166</v>
      </c>
      <c r="T110" s="4">
        <v>2007</v>
      </c>
      <c r="U110" s="4" t="s">
        <v>23</v>
      </c>
      <c r="V110" s="5">
        <v>282</v>
      </c>
      <c r="Y110" s="4" t="s">
        <v>168</v>
      </c>
      <c r="Z110" s="4">
        <v>2007</v>
      </c>
      <c r="AA110" s="4" t="s">
        <v>23</v>
      </c>
      <c r="AB110" s="5">
        <v>116</v>
      </c>
      <c r="AE110" s="4" t="s">
        <v>170</v>
      </c>
      <c r="AF110" s="4">
        <v>2007</v>
      </c>
      <c r="AG110" s="4" t="s">
        <v>23</v>
      </c>
      <c r="AH110" s="5">
        <v>756</v>
      </c>
      <c r="AK110" s="4" t="s">
        <v>72</v>
      </c>
      <c r="AL110" s="4">
        <v>2007</v>
      </c>
      <c r="AM110" s="4" t="s">
        <v>23</v>
      </c>
      <c r="AN110" s="5">
        <v>188</v>
      </c>
      <c r="AO110" s="14"/>
      <c r="AQ110" s="4" t="s">
        <v>73</v>
      </c>
      <c r="AR110" s="4">
        <v>2007</v>
      </c>
      <c r="AS110" s="4" t="s">
        <v>23</v>
      </c>
      <c r="AT110" s="5">
        <v>77</v>
      </c>
      <c r="AW110" s="4" t="s">
        <v>172</v>
      </c>
      <c r="AX110" s="4">
        <v>2007</v>
      </c>
      <c r="AY110" s="4" t="s">
        <v>23</v>
      </c>
      <c r="AZ110" s="5">
        <v>167</v>
      </c>
      <c r="BC110" s="4" t="s">
        <v>174</v>
      </c>
      <c r="BD110" s="4">
        <v>2007</v>
      </c>
      <c r="BE110" s="4" t="s">
        <v>23</v>
      </c>
      <c r="BF110" s="5">
        <v>64</v>
      </c>
      <c r="BI110" s="4" t="s">
        <v>74</v>
      </c>
      <c r="BJ110" s="4">
        <v>2007</v>
      </c>
      <c r="BK110" s="4" t="s">
        <v>23</v>
      </c>
      <c r="BL110" s="5">
        <v>689</v>
      </c>
      <c r="BO110" s="4" t="s">
        <v>176</v>
      </c>
      <c r="BP110" s="4">
        <v>2007</v>
      </c>
      <c r="BQ110" s="4" t="s">
        <v>23</v>
      </c>
      <c r="BR110" s="5">
        <v>117</v>
      </c>
      <c r="BU110" s="4" t="s">
        <v>178</v>
      </c>
      <c r="BV110" s="4">
        <v>2007</v>
      </c>
      <c r="BW110" s="4" t="s">
        <v>23</v>
      </c>
      <c r="BX110" s="5">
        <v>438</v>
      </c>
      <c r="CA110" s="4" t="s">
        <v>75</v>
      </c>
      <c r="CB110" s="4">
        <v>2007</v>
      </c>
      <c r="CC110" s="4" t="s">
        <v>23</v>
      </c>
      <c r="CD110" s="5">
        <v>156</v>
      </c>
      <c r="CG110" s="4" t="s">
        <v>76</v>
      </c>
      <c r="CH110" s="4">
        <v>2007</v>
      </c>
      <c r="CI110" s="4" t="s">
        <v>23</v>
      </c>
      <c r="CJ110" s="5">
        <v>666</v>
      </c>
      <c r="CM110" s="4" t="s">
        <v>183</v>
      </c>
      <c r="CN110" s="4">
        <v>2007</v>
      </c>
      <c r="CO110" s="4" t="s">
        <v>23</v>
      </c>
      <c r="CP110" s="5">
        <v>224</v>
      </c>
      <c r="CS110" s="4" t="s">
        <v>208</v>
      </c>
      <c r="CT110" s="4">
        <v>2007</v>
      </c>
      <c r="CU110" s="4" t="s">
        <v>24</v>
      </c>
      <c r="CV110" s="5">
        <v>428</v>
      </c>
    </row>
    <row r="111" spans="1:100" x14ac:dyDescent="0.25">
      <c r="A111" s="4" t="s">
        <v>180</v>
      </c>
      <c r="B111" s="4">
        <v>2007</v>
      </c>
      <c r="C111" s="4" t="s">
        <v>24</v>
      </c>
      <c r="D111" s="5">
        <v>22</v>
      </c>
      <c r="G111" s="4" t="s">
        <v>71</v>
      </c>
      <c r="H111" s="4">
        <v>2007</v>
      </c>
      <c r="I111" s="4" t="s">
        <v>24</v>
      </c>
      <c r="J111" s="5">
        <v>676</v>
      </c>
      <c r="M111" s="4" t="s">
        <v>164</v>
      </c>
      <c r="N111" s="4">
        <v>2007</v>
      </c>
      <c r="O111" s="4" t="s">
        <v>24</v>
      </c>
      <c r="P111" s="5">
        <v>443</v>
      </c>
      <c r="S111" s="4" t="s">
        <v>166</v>
      </c>
      <c r="T111" s="4">
        <v>2007</v>
      </c>
      <c r="U111" s="4" t="s">
        <v>24</v>
      </c>
      <c r="V111" s="5">
        <v>208</v>
      </c>
      <c r="Y111" s="4" t="s">
        <v>168</v>
      </c>
      <c r="Z111" s="4">
        <v>2007</v>
      </c>
      <c r="AA111" s="4" t="s">
        <v>24</v>
      </c>
      <c r="AB111" s="5">
        <v>119</v>
      </c>
      <c r="AE111" s="4" t="s">
        <v>170</v>
      </c>
      <c r="AF111" s="4">
        <v>2007</v>
      </c>
      <c r="AG111" s="4" t="s">
        <v>24</v>
      </c>
      <c r="AH111" s="5">
        <v>676</v>
      </c>
      <c r="AK111" s="4" t="s">
        <v>72</v>
      </c>
      <c r="AL111" s="4">
        <v>2007</v>
      </c>
      <c r="AM111" s="4" t="s">
        <v>24</v>
      </c>
      <c r="AN111" s="5">
        <v>216</v>
      </c>
      <c r="AO111" s="14"/>
      <c r="AQ111" s="4" t="s">
        <v>73</v>
      </c>
      <c r="AR111" s="4">
        <v>2007</v>
      </c>
      <c r="AS111" s="4" t="s">
        <v>24</v>
      </c>
      <c r="AT111" s="5">
        <v>110</v>
      </c>
      <c r="AW111" s="4" t="s">
        <v>172</v>
      </c>
      <c r="AX111" s="4">
        <v>2007</v>
      </c>
      <c r="AY111" s="4" t="s">
        <v>24</v>
      </c>
      <c r="AZ111" s="5">
        <v>196</v>
      </c>
      <c r="BC111" s="4" t="s">
        <v>174</v>
      </c>
      <c r="BD111" s="4">
        <v>2007</v>
      </c>
      <c r="BE111" s="4" t="s">
        <v>24</v>
      </c>
      <c r="BF111" s="5">
        <v>85</v>
      </c>
      <c r="BI111" s="4" t="s">
        <v>74</v>
      </c>
      <c r="BJ111" s="4">
        <v>2007</v>
      </c>
      <c r="BK111" s="4" t="s">
        <v>24</v>
      </c>
      <c r="BL111" s="5">
        <v>743</v>
      </c>
      <c r="BO111" s="4" t="s">
        <v>176</v>
      </c>
      <c r="BP111" s="4">
        <v>2007</v>
      </c>
      <c r="BQ111" s="4" t="s">
        <v>24</v>
      </c>
      <c r="BR111" s="5">
        <v>169</v>
      </c>
      <c r="BU111" s="4" t="s">
        <v>178</v>
      </c>
      <c r="BV111" s="4">
        <v>2007</v>
      </c>
      <c r="BW111" s="4" t="s">
        <v>24</v>
      </c>
      <c r="BX111" s="5">
        <v>454</v>
      </c>
      <c r="CA111" s="4" t="s">
        <v>75</v>
      </c>
      <c r="CB111" s="4">
        <v>2007</v>
      </c>
      <c r="CC111" s="4" t="s">
        <v>24</v>
      </c>
      <c r="CD111" s="5">
        <v>100</v>
      </c>
      <c r="CG111" s="4" t="s">
        <v>76</v>
      </c>
      <c r="CH111" s="4">
        <v>2007</v>
      </c>
      <c r="CI111" s="4" t="s">
        <v>24</v>
      </c>
      <c r="CJ111" s="5">
        <v>730</v>
      </c>
      <c r="CM111" s="4" t="s">
        <v>183</v>
      </c>
      <c r="CN111" s="4">
        <v>2007</v>
      </c>
      <c r="CO111" s="4" t="s">
        <v>24</v>
      </c>
      <c r="CP111" s="5">
        <v>242</v>
      </c>
      <c r="CS111" s="4" t="s">
        <v>208</v>
      </c>
      <c r="CT111" s="4">
        <v>2007</v>
      </c>
      <c r="CU111" s="4" t="s">
        <v>25</v>
      </c>
      <c r="CV111" s="5">
        <v>572</v>
      </c>
    </row>
    <row r="112" spans="1:100" x14ac:dyDescent="0.25">
      <c r="A112" s="4" t="s">
        <v>180</v>
      </c>
      <c r="B112" s="4">
        <v>2007</v>
      </c>
      <c r="C112" s="4" t="s">
        <v>25</v>
      </c>
      <c r="D112" s="5">
        <v>33</v>
      </c>
      <c r="G112" s="4" t="s">
        <v>71</v>
      </c>
      <c r="H112" s="4">
        <v>2007</v>
      </c>
      <c r="I112" s="4" t="s">
        <v>25</v>
      </c>
      <c r="J112" s="5">
        <v>600</v>
      </c>
      <c r="M112" s="4" t="s">
        <v>164</v>
      </c>
      <c r="N112" s="4">
        <v>2007</v>
      </c>
      <c r="O112" s="4" t="s">
        <v>25</v>
      </c>
      <c r="P112" s="5">
        <v>406</v>
      </c>
      <c r="S112" s="4" t="s">
        <v>166</v>
      </c>
      <c r="T112" s="4">
        <v>2007</v>
      </c>
      <c r="U112" s="4" t="s">
        <v>25</v>
      </c>
      <c r="V112" s="5">
        <v>247</v>
      </c>
      <c r="Y112" s="4" t="s">
        <v>168</v>
      </c>
      <c r="Z112" s="4">
        <v>2007</v>
      </c>
      <c r="AA112" s="4" t="s">
        <v>25</v>
      </c>
      <c r="AB112" s="5">
        <v>123</v>
      </c>
      <c r="AE112" s="4" t="s">
        <v>170</v>
      </c>
      <c r="AF112" s="4">
        <v>2007</v>
      </c>
      <c r="AG112" s="4" t="s">
        <v>25</v>
      </c>
      <c r="AH112" s="5">
        <v>856</v>
      </c>
      <c r="AK112" s="4" t="s">
        <v>72</v>
      </c>
      <c r="AL112" s="4">
        <v>2007</v>
      </c>
      <c r="AM112" s="4" t="s">
        <v>25</v>
      </c>
      <c r="AN112" s="5">
        <v>242</v>
      </c>
      <c r="AO112" s="14"/>
      <c r="AQ112" s="4" t="s">
        <v>73</v>
      </c>
      <c r="AR112" s="4">
        <v>2007</v>
      </c>
      <c r="AS112" s="4" t="s">
        <v>25</v>
      </c>
      <c r="AT112" s="5">
        <v>114</v>
      </c>
      <c r="AW112" s="4" t="s">
        <v>172</v>
      </c>
      <c r="AX112" s="4">
        <v>2007</v>
      </c>
      <c r="AY112" s="4" t="s">
        <v>25</v>
      </c>
      <c r="AZ112" s="5">
        <v>227</v>
      </c>
      <c r="BC112" s="4" t="s">
        <v>174</v>
      </c>
      <c r="BD112" s="4">
        <v>2007</v>
      </c>
      <c r="BE112" s="4" t="s">
        <v>25</v>
      </c>
      <c r="BF112" s="5">
        <v>76</v>
      </c>
      <c r="BI112" s="4" t="s">
        <v>74</v>
      </c>
      <c r="BJ112" s="4">
        <v>2007</v>
      </c>
      <c r="BK112" s="4" t="s">
        <v>25</v>
      </c>
      <c r="BL112" s="5">
        <v>722</v>
      </c>
      <c r="BO112" s="4" t="s">
        <v>176</v>
      </c>
      <c r="BP112" s="4">
        <v>2007</v>
      </c>
      <c r="BQ112" s="4" t="s">
        <v>25</v>
      </c>
      <c r="BR112" s="5">
        <v>241</v>
      </c>
      <c r="BU112" s="4" t="s">
        <v>178</v>
      </c>
      <c r="BV112" s="4">
        <v>2007</v>
      </c>
      <c r="BW112" s="4" t="s">
        <v>25</v>
      </c>
      <c r="BX112" s="5">
        <v>412</v>
      </c>
      <c r="CA112" s="4" t="s">
        <v>75</v>
      </c>
      <c r="CB112" s="4">
        <v>2007</v>
      </c>
      <c r="CC112" s="4" t="s">
        <v>25</v>
      </c>
      <c r="CD112" s="5">
        <v>161</v>
      </c>
      <c r="CG112" s="4" t="s">
        <v>76</v>
      </c>
      <c r="CH112" s="4">
        <v>2007</v>
      </c>
      <c r="CI112" s="4" t="s">
        <v>25</v>
      </c>
      <c r="CJ112" s="5">
        <v>756</v>
      </c>
      <c r="CM112" s="4" t="s">
        <v>183</v>
      </c>
      <c r="CN112" s="4">
        <v>2007</v>
      </c>
      <c r="CO112" s="4" t="s">
        <v>25</v>
      </c>
      <c r="CP112" s="5">
        <v>256</v>
      </c>
      <c r="CS112" s="4" t="s">
        <v>208</v>
      </c>
      <c r="CT112" s="4">
        <v>2007</v>
      </c>
      <c r="CU112" s="4" t="s">
        <v>26</v>
      </c>
      <c r="CV112" s="5">
        <v>704</v>
      </c>
    </row>
    <row r="113" spans="1:100" x14ac:dyDescent="0.25">
      <c r="A113" s="4" t="s">
        <v>180</v>
      </c>
      <c r="B113" s="4">
        <v>2007</v>
      </c>
      <c r="C113" s="4" t="s">
        <v>26</v>
      </c>
      <c r="D113" s="5">
        <v>33</v>
      </c>
      <c r="G113" s="4" t="s">
        <v>71</v>
      </c>
      <c r="H113" s="4">
        <v>2007</v>
      </c>
      <c r="I113" s="4" t="s">
        <v>26</v>
      </c>
      <c r="J113" s="5">
        <v>617</v>
      </c>
      <c r="M113" s="4" t="s">
        <v>164</v>
      </c>
      <c r="N113" s="4">
        <v>2007</v>
      </c>
      <c r="O113" s="4" t="s">
        <v>26</v>
      </c>
      <c r="P113" s="5">
        <v>374</v>
      </c>
      <c r="S113" s="4" t="s">
        <v>166</v>
      </c>
      <c r="T113" s="4">
        <v>2007</v>
      </c>
      <c r="U113" s="4" t="s">
        <v>26</v>
      </c>
      <c r="V113" s="5">
        <v>247</v>
      </c>
      <c r="Y113" s="4" t="s">
        <v>168</v>
      </c>
      <c r="Z113" s="4">
        <v>2007</v>
      </c>
      <c r="AA113" s="4" t="s">
        <v>26</v>
      </c>
      <c r="AB113" s="5">
        <v>136</v>
      </c>
      <c r="AE113" s="4" t="s">
        <v>170</v>
      </c>
      <c r="AF113" s="4">
        <v>2007</v>
      </c>
      <c r="AG113" s="4" t="s">
        <v>26</v>
      </c>
      <c r="AH113" s="5">
        <v>953</v>
      </c>
      <c r="AK113" s="4" t="s">
        <v>72</v>
      </c>
      <c r="AL113" s="4">
        <v>2007</v>
      </c>
      <c r="AM113" s="4" t="s">
        <v>26</v>
      </c>
      <c r="AN113" s="5">
        <v>309</v>
      </c>
      <c r="AO113" s="14"/>
      <c r="AQ113" s="4" t="s">
        <v>73</v>
      </c>
      <c r="AR113" s="4">
        <v>2007</v>
      </c>
      <c r="AS113" s="4" t="s">
        <v>26</v>
      </c>
      <c r="AT113" s="5">
        <v>112</v>
      </c>
      <c r="AW113" s="4" t="s">
        <v>172</v>
      </c>
      <c r="AX113" s="4">
        <v>2007</v>
      </c>
      <c r="AY113" s="4" t="s">
        <v>26</v>
      </c>
      <c r="AZ113" s="5">
        <v>208</v>
      </c>
      <c r="BC113" s="4" t="s">
        <v>174</v>
      </c>
      <c r="BD113" s="4">
        <v>2007</v>
      </c>
      <c r="BE113" s="4" t="s">
        <v>26</v>
      </c>
      <c r="BF113" s="5">
        <v>99</v>
      </c>
      <c r="BI113" s="4" t="s">
        <v>74</v>
      </c>
      <c r="BJ113" s="4">
        <v>2007</v>
      </c>
      <c r="BK113" s="4" t="s">
        <v>26</v>
      </c>
      <c r="BL113" s="5">
        <v>743</v>
      </c>
      <c r="BO113" s="4" t="s">
        <v>176</v>
      </c>
      <c r="BP113" s="4">
        <v>2007</v>
      </c>
      <c r="BQ113" s="4" t="s">
        <v>26</v>
      </c>
      <c r="BR113" s="5">
        <v>235</v>
      </c>
      <c r="BU113" s="4" t="s">
        <v>178</v>
      </c>
      <c r="BV113" s="4">
        <v>2007</v>
      </c>
      <c r="BW113" s="4" t="s">
        <v>26</v>
      </c>
      <c r="BX113" s="5">
        <v>430</v>
      </c>
      <c r="CA113" s="4" t="s">
        <v>75</v>
      </c>
      <c r="CB113" s="4">
        <v>2007</v>
      </c>
      <c r="CC113" s="4" t="s">
        <v>26</v>
      </c>
      <c r="CD113" s="5">
        <v>161</v>
      </c>
      <c r="CG113" s="4" t="s">
        <v>76</v>
      </c>
      <c r="CH113" s="4">
        <v>2007</v>
      </c>
      <c r="CI113" s="4" t="s">
        <v>26</v>
      </c>
      <c r="CJ113" s="5">
        <v>759</v>
      </c>
      <c r="CM113" s="4" t="s">
        <v>183</v>
      </c>
      <c r="CN113" s="4">
        <v>2007</v>
      </c>
      <c r="CO113" s="4" t="s">
        <v>26</v>
      </c>
      <c r="CP113" s="5">
        <v>243</v>
      </c>
      <c r="CS113" s="4" t="s">
        <v>208</v>
      </c>
      <c r="CT113" s="4">
        <v>2007</v>
      </c>
      <c r="CU113" s="4" t="s">
        <v>27</v>
      </c>
      <c r="CV113" s="5">
        <v>695</v>
      </c>
    </row>
    <row r="114" spans="1:100" x14ac:dyDescent="0.25">
      <c r="A114" s="4" t="s">
        <v>180</v>
      </c>
      <c r="B114" s="4">
        <v>2007</v>
      </c>
      <c r="C114" s="4" t="s">
        <v>27</v>
      </c>
      <c r="D114" s="5">
        <v>33</v>
      </c>
      <c r="G114" s="4" t="s">
        <v>71</v>
      </c>
      <c r="H114" s="4">
        <v>2007</v>
      </c>
      <c r="I114" s="4" t="s">
        <v>27</v>
      </c>
      <c r="J114" s="5">
        <v>558</v>
      </c>
      <c r="M114" s="4" t="s">
        <v>164</v>
      </c>
      <c r="N114" s="4">
        <v>2007</v>
      </c>
      <c r="O114" s="4" t="s">
        <v>27</v>
      </c>
      <c r="P114" s="5">
        <v>341</v>
      </c>
      <c r="S114" s="4" t="s">
        <v>166</v>
      </c>
      <c r="T114" s="4">
        <v>2007</v>
      </c>
      <c r="U114" s="4" t="s">
        <v>27</v>
      </c>
      <c r="V114" s="5">
        <v>255</v>
      </c>
      <c r="Y114" s="4" t="s">
        <v>168</v>
      </c>
      <c r="Z114" s="4">
        <v>2007</v>
      </c>
      <c r="AA114" s="4" t="s">
        <v>27</v>
      </c>
      <c r="AB114" s="5">
        <v>152</v>
      </c>
      <c r="AE114" s="4" t="s">
        <v>170</v>
      </c>
      <c r="AF114" s="4">
        <v>2007</v>
      </c>
      <c r="AG114" s="4" t="s">
        <v>27</v>
      </c>
      <c r="AH114" s="5">
        <v>876</v>
      </c>
      <c r="AK114" s="4" t="s">
        <v>72</v>
      </c>
      <c r="AL114" s="4">
        <v>2007</v>
      </c>
      <c r="AM114" s="4" t="s">
        <v>27</v>
      </c>
      <c r="AN114" s="5">
        <v>205</v>
      </c>
      <c r="AO114" s="14"/>
      <c r="AQ114" s="4" t="s">
        <v>73</v>
      </c>
      <c r="AR114" s="4">
        <v>2007</v>
      </c>
      <c r="AS114" s="4" t="s">
        <v>27</v>
      </c>
      <c r="AT114" s="5">
        <v>140</v>
      </c>
      <c r="AW114" s="4" t="s">
        <v>172</v>
      </c>
      <c r="AX114" s="4">
        <v>2007</v>
      </c>
      <c r="AY114" s="4" t="s">
        <v>27</v>
      </c>
      <c r="AZ114" s="5">
        <v>238</v>
      </c>
      <c r="BC114" s="4" t="s">
        <v>174</v>
      </c>
      <c r="BD114" s="4">
        <v>2007</v>
      </c>
      <c r="BE114" s="4" t="s">
        <v>27</v>
      </c>
      <c r="BF114" s="5">
        <v>133</v>
      </c>
      <c r="BI114" s="4" t="s">
        <v>74</v>
      </c>
      <c r="BJ114" s="4">
        <v>2007</v>
      </c>
      <c r="BK114" s="4" t="s">
        <v>27</v>
      </c>
      <c r="BL114" s="5">
        <v>683</v>
      </c>
      <c r="BO114" s="4" t="s">
        <v>176</v>
      </c>
      <c r="BP114" s="4">
        <v>2007</v>
      </c>
      <c r="BQ114" s="4" t="s">
        <v>27</v>
      </c>
      <c r="BR114" s="5">
        <v>169</v>
      </c>
      <c r="BU114" s="4" t="s">
        <v>178</v>
      </c>
      <c r="BV114" s="4">
        <v>2007</v>
      </c>
      <c r="BW114" s="4" t="s">
        <v>27</v>
      </c>
      <c r="BX114" s="5">
        <v>479</v>
      </c>
      <c r="CA114" s="4" t="s">
        <v>75</v>
      </c>
      <c r="CB114" s="4">
        <v>2007</v>
      </c>
      <c r="CC114" s="4" t="s">
        <v>27</v>
      </c>
      <c r="CD114" s="5">
        <v>133</v>
      </c>
      <c r="CG114" s="4" t="s">
        <v>76</v>
      </c>
      <c r="CH114" s="4">
        <v>2007</v>
      </c>
      <c r="CI114" s="4" t="s">
        <v>27</v>
      </c>
      <c r="CJ114" s="5">
        <v>744</v>
      </c>
      <c r="CM114" s="4" t="s">
        <v>183</v>
      </c>
      <c r="CN114" s="4">
        <v>2007</v>
      </c>
      <c r="CO114" s="4" t="s">
        <v>27</v>
      </c>
      <c r="CP114" s="5">
        <v>239</v>
      </c>
      <c r="CS114" s="4" t="s">
        <v>208</v>
      </c>
      <c r="CT114" s="4">
        <v>2007</v>
      </c>
      <c r="CU114" s="4" t="s">
        <v>28</v>
      </c>
      <c r="CV114" s="5">
        <v>525</v>
      </c>
    </row>
    <row r="115" spans="1:100" x14ac:dyDescent="0.25">
      <c r="A115" s="4" t="s">
        <v>180</v>
      </c>
      <c r="B115" s="4">
        <v>2007</v>
      </c>
      <c r="C115" s="4" t="s">
        <v>28</v>
      </c>
      <c r="D115" s="5">
        <v>25</v>
      </c>
      <c r="G115" s="4" t="s">
        <v>71</v>
      </c>
      <c r="H115" s="4">
        <v>2007</v>
      </c>
      <c r="I115" s="4" t="s">
        <v>28</v>
      </c>
      <c r="J115" s="5">
        <v>596</v>
      </c>
      <c r="M115" s="4" t="s">
        <v>164</v>
      </c>
      <c r="N115" s="4">
        <v>2007</v>
      </c>
      <c r="O115" s="4" t="s">
        <v>28</v>
      </c>
      <c r="P115" s="5">
        <v>407</v>
      </c>
      <c r="S115" s="4" t="s">
        <v>166</v>
      </c>
      <c r="T115" s="4">
        <v>2007</v>
      </c>
      <c r="U115" s="4" t="s">
        <v>28</v>
      </c>
      <c r="V115" s="5">
        <v>266</v>
      </c>
      <c r="Y115" s="4" t="s">
        <v>168</v>
      </c>
      <c r="Z115" s="4">
        <v>2007</v>
      </c>
      <c r="AA115" s="4" t="s">
        <v>28</v>
      </c>
      <c r="AB115" s="5">
        <v>167</v>
      </c>
      <c r="AE115" s="4" t="s">
        <v>170</v>
      </c>
      <c r="AF115" s="4">
        <v>2007</v>
      </c>
      <c r="AG115" s="4" t="s">
        <v>28</v>
      </c>
      <c r="AH115" s="5">
        <v>860</v>
      </c>
      <c r="AK115" s="4" t="s">
        <v>72</v>
      </c>
      <c r="AL115" s="4">
        <v>2007</v>
      </c>
      <c r="AM115" s="4" t="s">
        <v>28</v>
      </c>
      <c r="AN115" s="5">
        <v>224</v>
      </c>
      <c r="AO115" s="14"/>
      <c r="AQ115" s="4" t="s">
        <v>73</v>
      </c>
      <c r="AR115" s="4">
        <v>2007</v>
      </c>
      <c r="AS115" s="4" t="s">
        <v>28</v>
      </c>
      <c r="AT115" s="5">
        <v>124</v>
      </c>
      <c r="AW115" s="4" t="s">
        <v>172</v>
      </c>
      <c r="AX115" s="4">
        <v>2007</v>
      </c>
      <c r="AY115" s="4" t="s">
        <v>28</v>
      </c>
      <c r="AZ115" s="5">
        <v>204</v>
      </c>
      <c r="BC115" s="4" t="s">
        <v>174</v>
      </c>
      <c r="BD115" s="4">
        <v>2007</v>
      </c>
      <c r="BE115" s="4" t="s">
        <v>28</v>
      </c>
      <c r="BF115" s="5">
        <v>112</v>
      </c>
      <c r="BI115" s="4" t="s">
        <v>74</v>
      </c>
      <c r="BJ115" s="4">
        <v>2007</v>
      </c>
      <c r="BK115" s="4" t="s">
        <v>28</v>
      </c>
      <c r="BL115" s="5">
        <v>655</v>
      </c>
      <c r="BO115" s="4" t="s">
        <v>176</v>
      </c>
      <c r="BP115" s="4">
        <v>2007</v>
      </c>
      <c r="BQ115" s="4" t="s">
        <v>28</v>
      </c>
      <c r="BR115" s="5">
        <v>104</v>
      </c>
      <c r="BU115" s="4" t="s">
        <v>178</v>
      </c>
      <c r="BV115" s="4">
        <v>2007</v>
      </c>
      <c r="BW115" s="4" t="s">
        <v>28</v>
      </c>
      <c r="BX115" s="5">
        <v>526</v>
      </c>
      <c r="CA115" s="4" t="s">
        <v>75</v>
      </c>
      <c r="CB115" s="4">
        <v>2007</v>
      </c>
      <c r="CC115" s="4" t="s">
        <v>28</v>
      </c>
      <c r="CD115" s="5">
        <v>187</v>
      </c>
      <c r="CG115" s="4" t="s">
        <v>76</v>
      </c>
      <c r="CH115" s="4">
        <v>2007</v>
      </c>
      <c r="CI115" s="4" t="s">
        <v>28</v>
      </c>
      <c r="CJ115" s="5">
        <v>704</v>
      </c>
      <c r="CM115" s="4" t="s">
        <v>183</v>
      </c>
      <c r="CN115" s="4">
        <v>2007</v>
      </c>
      <c r="CO115" s="4" t="s">
        <v>28</v>
      </c>
      <c r="CP115" s="5">
        <v>257</v>
      </c>
      <c r="CS115" s="4" t="s">
        <v>208</v>
      </c>
      <c r="CT115" s="4">
        <v>2007</v>
      </c>
      <c r="CU115" s="4" t="s">
        <v>29</v>
      </c>
      <c r="CV115" s="5">
        <v>492</v>
      </c>
    </row>
    <row r="116" spans="1:100" x14ac:dyDescent="0.25">
      <c r="A116" s="4" t="s">
        <v>180</v>
      </c>
      <c r="B116" s="4">
        <v>2007</v>
      </c>
      <c r="C116" s="4" t="s">
        <v>29</v>
      </c>
      <c r="D116" s="5">
        <v>9</v>
      </c>
      <c r="G116" s="4" t="s">
        <v>71</v>
      </c>
      <c r="H116" s="4">
        <v>2007</v>
      </c>
      <c r="I116" s="4" t="s">
        <v>29</v>
      </c>
      <c r="J116" s="5">
        <v>641</v>
      </c>
      <c r="M116" s="4" t="s">
        <v>164</v>
      </c>
      <c r="N116" s="4">
        <v>2007</v>
      </c>
      <c r="O116" s="4" t="s">
        <v>29</v>
      </c>
      <c r="P116" s="5">
        <v>431</v>
      </c>
      <c r="S116" s="4" t="s">
        <v>166</v>
      </c>
      <c r="T116" s="4">
        <v>2007</v>
      </c>
      <c r="U116" s="4" t="s">
        <v>29</v>
      </c>
      <c r="V116" s="5">
        <v>298</v>
      </c>
      <c r="Y116" s="4" t="s">
        <v>168</v>
      </c>
      <c r="Z116" s="4">
        <v>2007</v>
      </c>
      <c r="AA116" s="4" t="s">
        <v>29</v>
      </c>
      <c r="AB116" s="5">
        <v>137</v>
      </c>
      <c r="AE116" s="4" t="s">
        <v>170</v>
      </c>
      <c r="AF116" s="4">
        <v>2007</v>
      </c>
      <c r="AG116" s="4" t="s">
        <v>29</v>
      </c>
      <c r="AH116" s="5">
        <v>770</v>
      </c>
      <c r="AK116" s="4" t="s">
        <v>72</v>
      </c>
      <c r="AL116" s="4">
        <v>2007</v>
      </c>
      <c r="AM116" s="4" t="s">
        <v>29</v>
      </c>
      <c r="AN116" s="5">
        <v>218</v>
      </c>
      <c r="AO116" s="14"/>
      <c r="AQ116" s="4" t="s">
        <v>73</v>
      </c>
      <c r="AR116" s="4">
        <v>2007</v>
      </c>
      <c r="AS116" s="4" t="s">
        <v>29</v>
      </c>
      <c r="AT116" s="5">
        <v>120</v>
      </c>
      <c r="AW116" s="4" t="s">
        <v>172</v>
      </c>
      <c r="AX116" s="4">
        <v>2007</v>
      </c>
      <c r="AY116" s="4" t="s">
        <v>29</v>
      </c>
      <c r="AZ116" s="5">
        <v>199</v>
      </c>
      <c r="BC116" s="4" t="s">
        <v>174</v>
      </c>
      <c r="BD116" s="4">
        <v>2007</v>
      </c>
      <c r="BE116" s="4" t="s">
        <v>29</v>
      </c>
      <c r="BF116" s="5">
        <v>109</v>
      </c>
      <c r="BI116" s="4" t="s">
        <v>74</v>
      </c>
      <c r="BJ116" s="4">
        <v>2007</v>
      </c>
      <c r="BK116" s="4" t="s">
        <v>29</v>
      </c>
      <c r="BL116" s="5">
        <v>675</v>
      </c>
      <c r="BO116" s="4" t="s">
        <v>176</v>
      </c>
      <c r="BP116" s="4">
        <v>2007</v>
      </c>
      <c r="BQ116" s="4" t="s">
        <v>29</v>
      </c>
      <c r="BR116" s="5">
        <v>104</v>
      </c>
      <c r="BU116" s="4" t="s">
        <v>178</v>
      </c>
      <c r="BV116" s="4">
        <v>2007</v>
      </c>
      <c r="BW116" s="4" t="s">
        <v>29</v>
      </c>
      <c r="BX116" s="5">
        <v>430</v>
      </c>
      <c r="CA116" s="4" t="s">
        <v>75</v>
      </c>
      <c r="CB116" s="4">
        <v>2007</v>
      </c>
      <c r="CC116" s="4" t="s">
        <v>29</v>
      </c>
      <c r="CD116" s="5">
        <v>116</v>
      </c>
      <c r="CG116" s="4" t="s">
        <v>76</v>
      </c>
      <c r="CH116" s="4">
        <v>2007</v>
      </c>
      <c r="CI116" s="4" t="s">
        <v>29</v>
      </c>
      <c r="CJ116" s="5">
        <v>795</v>
      </c>
      <c r="CM116" s="4" t="s">
        <v>183</v>
      </c>
      <c r="CN116" s="4">
        <v>2007</v>
      </c>
      <c r="CO116" s="4" t="s">
        <v>29</v>
      </c>
      <c r="CP116" s="5">
        <v>182</v>
      </c>
      <c r="CS116" s="4" t="s">
        <v>208</v>
      </c>
      <c r="CT116" s="4">
        <v>2007</v>
      </c>
      <c r="CU116" s="4" t="s">
        <v>30</v>
      </c>
      <c r="CV116" s="5">
        <v>482</v>
      </c>
    </row>
    <row r="117" spans="1:100" x14ac:dyDescent="0.25">
      <c r="A117" s="4" t="s">
        <v>180</v>
      </c>
      <c r="B117" s="4">
        <v>2007</v>
      </c>
      <c r="C117" s="4" t="s">
        <v>30</v>
      </c>
      <c r="D117" s="5">
        <v>16</v>
      </c>
      <c r="G117" s="4" t="s">
        <v>71</v>
      </c>
      <c r="H117" s="4">
        <v>2007</v>
      </c>
      <c r="I117" s="4" t="s">
        <v>30</v>
      </c>
      <c r="J117" s="5">
        <v>645</v>
      </c>
      <c r="M117" s="4" t="s">
        <v>164</v>
      </c>
      <c r="N117" s="4">
        <v>2007</v>
      </c>
      <c r="O117" s="4" t="s">
        <v>30</v>
      </c>
      <c r="P117" s="5">
        <v>440</v>
      </c>
      <c r="S117" s="4" t="s">
        <v>166</v>
      </c>
      <c r="T117" s="4">
        <v>2007</v>
      </c>
      <c r="U117" s="4" t="s">
        <v>30</v>
      </c>
      <c r="V117" s="5">
        <v>322</v>
      </c>
      <c r="Y117" s="4" t="s">
        <v>168</v>
      </c>
      <c r="Z117" s="4">
        <v>2007</v>
      </c>
      <c r="AA117" s="4" t="s">
        <v>30</v>
      </c>
      <c r="AB117" s="5">
        <v>140</v>
      </c>
      <c r="AE117" s="4" t="s">
        <v>170</v>
      </c>
      <c r="AF117" s="4">
        <v>2007</v>
      </c>
      <c r="AG117" s="4" t="s">
        <v>30</v>
      </c>
      <c r="AH117" s="5">
        <v>753</v>
      </c>
      <c r="AK117" s="4" t="s">
        <v>72</v>
      </c>
      <c r="AL117" s="4">
        <v>2007</v>
      </c>
      <c r="AM117" s="4" t="s">
        <v>30</v>
      </c>
      <c r="AN117" s="5">
        <v>242</v>
      </c>
      <c r="AO117" s="14"/>
      <c r="AQ117" s="4" t="s">
        <v>73</v>
      </c>
      <c r="AR117" s="4">
        <v>2007</v>
      </c>
      <c r="AS117" s="4" t="s">
        <v>30</v>
      </c>
      <c r="AT117" s="5">
        <v>132</v>
      </c>
      <c r="AW117" s="4" t="s">
        <v>172</v>
      </c>
      <c r="AX117" s="4">
        <v>2007</v>
      </c>
      <c r="AY117" s="4" t="s">
        <v>30</v>
      </c>
      <c r="AZ117" s="5">
        <v>179</v>
      </c>
      <c r="BC117" s="4" t="s">
        <v>174</v>
      </c>
      <c r="BD117" s="4">
        <v>2007</v>
      </c>
      <c r="BE117" s="4" t="s">
        <v>30</v>
      </c>
      <c r="BF117" s="5">
        <v>83</v>
      </c>
      <c r="BI117" s="4" t="s">
        <v>74</v>
      </c>
      <c r="BJ117" s="4">
        <v>2007</v>
      </c>
      <c r="BK117" s="4" t="s">
        <v>30</v>
      </c>
      <c r="BL117" s="5">
        <v>679</v>
      </c>
      <c r="BO117" s="4" t="s">
        <v>176</v>
      </c>
      <c r="BP117" s="4">
        <v>2007</v>
      </c>
      <c r="BQ117" s="4" t="s">
        <v>30</v>
      </c>
      <c r="BR117" s="5">
        <v>119</v>
      </c>
      <c r="BU117" s="4" t="s">
        <v>178</v>
      </c>
      <c r="BV117" s="4">
        <v>2007</v>
      </c>
      <c r="BW117" s="4" t="s">
        <v>30</v>
      </c>
      <c r="BX117" s="5">
        <v>407</v>
      </c>
      <c r="CA117" s="4" t="s">
        <v>75</v>
      </c>
      <c r="CB117" s="4">
        <v>2007</v>
      </c>
      <c r="CC117" s="4" t="s">
        <v>30</v>
      </c>
      <c r="CD117" s="5">
        <v>170</v>
      </c>
      <c r="CG117" s="4" t="s">
        <v>76</v>
      </c>
      <c r="CH117" s="4">
        <v>2007</v>
      </c>
      <c r="CI117" s="4" t="s">
        <v>30</v>
      </c>
      <c r="CJ117" s="5">
        <v>816</v>
      </c>
      <c r="CM117" s="4" t="s">
        <v>183</v>
      </c>
      <c r="CN117" s="4">
        <v>2007</v>
      </c>
      <c r="CO117" s="4" t="s">
        <v>30</v>
      </c>
      <c r="CP117" s="5">
        <v>255</v>
      </c>
      <c r="CS117" s="4" t="s">
        <v>208</v>
      </c>
      <c r="CT117" s="4">
        <v>2007</v>
      </c>
      <c r="CU117" s="4" t="s">
        <v>19</v>
      </c>
      <c r="CV117" s="5">
        <v>451</v>
      </c>
    </row>
    <row r="118" spans="1:100" x14ac:dyDescent="0.25">
      <c r="A118" s="4" t="s">
        <v>180</v>
      </c>
      <c r="B118" s="4">
        <v>2007</v>
      </c>
      <c r="C118" s="4" t="s">
        <v>19</v>
      </c>
      <c r="D118" s="5">
        <v>24</v>
      </c>
      <c r="G118" s="4" t="s">
        <v>71</v>
      </c>
      <c r="H118" s="4">
        <v>2007</v>
      </c>
      <c r="I118" s="4" t="s">
        <v>19</v>
      </c>
      <c r="J118" s="5">
        <v>968</v>
      </c>
      <c r="M118" s="4" t="s">
        <v>164</v>
      </c>
      <c r="N118" s="4">
        <v>2007</v>
      </c>
      <c r="O118" s="4" t="s">
        <v>19</v>
      </c>
      <c r="P118" s="5">
        <v>459</v>
      </c>
      <c r="S118" s="4" t="s">
        <v>166</v>
      </c>
      <c r="T118" s="4">
        <v>2007</v>
      </c>
      <c r="U118" s="4" t="s">
        <v>19</v>
      </c>
      <c r="V118" s="5">
        <v>313</v>
      </c>
      <c r="Y118" s="4" t="s">
        <v>168</v>
      </c>
      <c r="Z118" s="4">
        <v>2007</v>
      </c>
      <c r="AA118" s="4" t="s">
        <v>19</v>
      </c>
      <c r="AB118" s="5">
        <v>135</v>
      </c>
      <c r="AE118" s="4" t="s">
        <v>170</v>
      </c>
      <c r="AF118" s="4">
        <v>2007</v>
      </c>
      <c r="AG118" s="4" t="s">
        <v>19</v>
      </c>
      <c r="AH118" s="5">
        <v>874</v>
      </c>
      <c r="AK118" s="4" t="s">
        <v>72</v>
      </c>
      <c r="AL118" s="4">
        <v>2007</v>
      </c>
      <c r="AM118" s="4" t="s">
        <v>19</v>
      </c>
      <c r="AN118" s="5">
        <v>210</v>
      </c>
      <c r="AO118" s="14"/>
      <c r="AQ118" s="4" t="s">
        <v>73</v>
      </c>
      <c r="AR118" s="4">
        <v>2007</v>
      </c>
      <c r="AS118" s="4" t="s">
        <v>19</v>
      </c>
      <c r="AT118" s="5">
        <v>125</v>
      </c>
      <c r="AW118" s="4" t="s">
        <v>172</v>
      </c>
      <c r="AX118" s="4">
        <v>2007</v>
      </c>
      <c r="AY118" s="4" t="s">
        <v>19</v>
      </c>
      <c r="AZ118" s="5">
        <v>221</v>
      </c>
      <c r="BC118" s="4" t="s">
        <v>174</v>
      </c>
      <c r="BD118" s="4">
        <v>2007</v>
      </c>
      <c r="BE118" s="4" t="s">
        <v>19</v>
      </c>
      <c r="BF118" s="5">
        <v>93</v>
      </c>
      <c r="BI118" s="4" t="s">
        <v>74</v>
      </c>
      <c r="BJ118" s="4">
        <v>2007</v>
      </c>
      <c r="BK118" s="4" t="s">
        <v>19</v>
      </c>
      <c r="BL118" s="5">
        <v>803</v>
      </c>
      <c r="BO118" s="4" t="s">
        <v>176</v>
      </c>
      <c r="BP118" s="4">
        <v>2007</v>
      </c>
      <c r="BQ118" s="4" t="s">
        <v>19</v>
      </c>
      <c r="BR118" s="5">
        <v>114</v>
      </c>
      <c r="BU118" s="4" t="s">
        <v>178</v>
      </c>
      <c r="BV118" s="4">
        <v>2007</v>
      </c>
      <c r="BW118" s="4" t="s">
        <v>19</v>
      </c>
      <c r="BX118" s="5">
        <v>407</v>
      </c>
      <c r="CA118" s="4" t="s">
        <v>75</v>
      </c>
      <c r="CB118" s="4">
        <v>2007</v>
      </c>
      <c r="CC118" s="4" t="s">
        <v>19</v>
      </c>
      <c r="CD118" s="5">
        <v>174</v>
      </c>
      <c r="CG118" s="4" t="s">
        <v>76</v>
      </c>
      <c r="CH118" s="4">
        <v>2007</v>
      </c>
      <c r="CI118" s="4" t="s">
        <v>19</v>
      </c>
      <c r="CJ118" s="5">
        <v>787</v>
      </c>
      <c r="CM118" s="4" t="s">
        <v>183</v>
      </c>
      <c r="CN118" s="4">
        <v>2007</v>
      </c>
      <c r="CO118" s="4" t="s">
        <v>19</v>
      </c>
      <c r="CP118" s="5">
        <v>235</v>
      </c>
      <c r="CS118" s="4" t="s">
        <v>208</v>
      </c>
      <c r="CT118" s="4">
        <v>2007</v>
      </c>
      <c r="CU118" s="4" t="s">
        <v>96</v>
      </c>
      <c r="CV118" s="5">
        <v>505</v>
      </c>
    </row>
    <row r="119" spans="1:100" x14ac:dyDescent="0.25">
      <c r="A119" s="4" t="s">
        <v>180</v>
      </c>
      <c r="B119" s="4">
        <v>2007</v>
      </c>
      <c r="C119" s="4" t="s">
        <v>96</v>
      </c>
      <c r="D119" s="5">
        <v>25</v>
      </c>
      <c r="G119" s="4" t="s">
        <v>71</v>
      </c>
      <c r="H119" s="4">
        <v>2007</v>
      </c>
      <c r="I119" s="4" t="s">
        <v>96</v>
      </c>
      <c r="J119" s="5">
        <v>757</v>
      </c>
      <c r="M119" s="4" t="s">
        <v>164</v>
      </c>
      <c r="N119" s="4">
        <v>2007</v>
      </c>
      <c r="O119" s="4" t="s">
        <v>96</v>
      </c>
      <c r="P119" s="5">
        <v>436</v>
      </c>
      <c r="S119" s="4" t="s">
        <v>166</v>
      </c>
      <c r="T119" s="4">
        <v>2007</v>
      </c>
      <c r="U119" s="4" t="s">
        <v>96</v>
      </c>
      <c r="V119" s="5">
        <v>270</v>
      </c>
      <c r="Y119" s="4" t="s">
        <v>168</v>
      </c>
      <c r="Z119" s="4">
        <v>2007</v>
      </c>
      <c r="AA119" s="4" t="s">
        <v>96</v>
      </c>
      <c r="AB119" s="5">
        <v>141</v>
      </c>
      <c r="AE119" s="4" t="s">
        <v>170</v>
      </c>
      <c r="AF119" s="4">
        <v>2007</v>
      </c>
      <c r="AG119" s="4" t="s">
        <v>96</v>
      </c>
      <c r="AH119" s="5">
        <v>835</v>
      </c>
      <c r="AK119" s="4" t="s">
        <v>72</v>
      </c>
      <c r="AL119" s="4">
        <v>2007</v>
      </c>
      <c r="AM119" s="4" t="s">
        <v>96</v>
      </c>
      <c r="AN119" s="5">
        <v>233</v>
      </c>
      <c r="AO119" s="14"/>
      <c r="AQ119" s="4" t="s">
        <v>73</v>
      </c>
      <c r="AR119" s="4">
        <v>2007</v>
      </c>
      <c r="AS119" s="4" t="s">
        <v>96</v>
      </c>
      <c r="AT119" s="5">
        <v>120</v>
      </c>
      <c r="AW119" s="4" t="s">
        <v>172</v>
      </c>
      <c r="AX119" s="4">
        <v>2007</v>
      </c>
      <c r="AY119" s="4" t="s">
        <v>96</v>
      </c>
      <c r="AZ119" s="5">
        <v>190</v>
      </c>
      <c r="BC119" s="4" t="s">
        <v>174</v>
      </c>
      <c r="BD119" s="4">
        <v>2007</v>
      </c>
      <c r="BE119" s="4" t="s">
        <v>96</v>
      </c>
      <c r="BF119" s="5">
        <v>100</v>
      </c>
      <c r="BI119" s="4" t="s">
        <v>74</v>
      </c>
      <c r="BJ119" s="4">
        <v>2007</v>
      </c>
      <c r="BK119" s="4" t="s">
        <v>96</v>
      </c>
      <c r="BL119" s="5">
        <v>740</v>
      </c>
      <c r="BO119" s="4" t="s">
        <v>176</v>
      </c>
      <c r="BP119" s="4">
        <v>2007</v>
      </c>
      <c r="BQ119" s="4" t="s">
        <v>96</v>
      </c>
      <c r="BR119" s="5">
        <v>142</v>
      </c>
      <c r="BU119" s="4" t="s">
        <v>178</v>
      </c>
      <c r="BV119" s="4">
        <v>2007</v>
      </c>
      <c r="BW119" s="4" t="s">
        <v>96</v>
      </c>
      <c r="BX119" s="5">
        <v>433</v>
      </c>
      <c r="CA119" s="4" t="s">
        <v>75</v>
      </c>
      <c r="CB119" s="4">
        <v>2007</v>
      </c>
      <c r="CC119" s="4" t="s">
        <v>96</v>
      </c>
      <c r="CD119" s="5">
        <v>160</v>
      </c>
      <c r="CG119" s="4" t="s">
        <v>76</v>
      </c>
      <c r="CH119" s="4">
        <v>2007</v>
      </c>
      <c r="CI119" s="4" t="s">
        <v>96</v>
      </c>
      <c r="CJ119" s="5">
        <v>736</v>
      </c>
      <c r="CM119" s="4" t="s">
        <v>183</v>
      </c>
      <c r="CN119" s="4">
        <v>2007</v>
      </c>
      <c r="CO119" s="4" t="s">
        <v>96</v>
      </c>
      <c r="CP119" s="5">
        <v>241</v>
      </c>
      <c r="CS119" s="4" t="s">
        <v>208</v>
      </c>
      <c r="CT119" s="4">
        <v>2008</v>
      </c>
      <c r="CU119" s="4" t="s">
        <v>20</v>
      </c>
      <c r="CV119" s="5">
        <v>471</v>
      </c>
    </row>
    <row r="120" spans="1:100" x14ac:dyDescent="0.25">
      <c r="A120" s="4" t="s">
        <v>180</v>
      </c>
      <c r="B120" s="4">
        <v>2008</v>
      </c>
      <c r="C120" s="4" t="s">
        <v>20</v>
      </c>
      <c r="D120" s="5">
        <v>28</v>
      </c>
      <c r="G120" s="4" t="s">
        <v>71</v>
      </c>
      <c r="H120" s="4">
        <v>2008</v>
      </c>
      <c r="I120" s="4" t="s">
        <v>20</v>
      </c>
      <c r="J120" s="5">
        <v>1099</v>
      </c>
      <c r="M120" s="4" t="s">
        <v>164</v>
      </c>
      <c r="N120" s="4">
        <v>2008</v>
      </c>
      <c r="O120" s="4" t="s">
        <v>20</v>
      </c>
      <c r="P120" s="5">
        <v>454</v>
      </c>
      <c r="S120" s="4" t="s">
        <v>166</v>
      </c>
      <c r="T120" s="4">
        <v>2008</v>
      </c>
      <c r="U120" s="4" t="s">
        <v>20</v>
      </c>
      <c r="V120" s="5">
        <v>383</v>
      </c>
      <c r="Y120" s="4" t="s">
        <v>168</v>
      </c>
      <c r="Z120" s="4">
        <v>2008</v>
      </c>
      <c r="AA120" s="4" t="s">
        <v>20</v>
      </c>
      <c r="AB120" s="5">
        <v>128</v>
      </c>
      <c r="AE120" s="4" t="s">
        <v>170</v>
      </c>
      <c r="AF120" s="4">
        <v>2008</v>
      </c>
      <c r="AG120" s="4" t="s">
        <v>20</v>
      </c>
      <c r="AH120" s="5">
        <v>992</v>
      </c>
      <c r="AK120" s="4" t="s">
        <v>72</v>
      </c>
      <c r="AL120" s="4">
        <v>2008</v>
      </c>
      <c r="AM120" s="4" t="s">
        <v>20</v>
      </c>
      <c r="AN120" s="5">
        <v>271</v>
      </c>
      <c r="AO120" s="14"/>
      <c r="AQ120" s="4" t="s">
        <v>73</v>
      </c>
      <c r="AR120" s="4">
        <v>2008</v>
      </c>
      <c r="AS120" s="4" t="s">
        <v>20</v>
      </c>
      <c r="AT120" s="5">
        <v>169</v>
      </c>
      <c r="AW120" s="4" t="s">
        <v>172</v>
      </c>
      <c r="AX120" s="4">
        <v>2008</v>
      </c>
      <c r="AY120" s="4" t="s">
        <v>20</v>
      </c>
      <c r="AZ120" s="5">
        <v>225</v>
      </c>
      <c r="BC120" s="4" t="s">
        <v>174</v>
      </c>
      <c r="BD120" s="4">
        <v>2008</v>
      </c>
      <c r="BE120" s="4" t="s">
        <v>20</v>
      </c>
      <c r="BF120" s="5">
        <v>61</v>
      </c>
      <c r="BI120" s="4" t="s">
        <v>74</v>
      </c>
      <c r="BJ120" s="4">
        <v>2008</v>
      </c>
      <c r="BK120" s="4" t="s">
        <v>20</v>
      </c>
      <c r="BL120" s="5">
        <v>893</v>
      </c>
      <c r="BO120" s="4" t="s">
        <v>176</v>
      </c>
      <c r="BP120" s="4">
        <v>2008</v>
      </c>
      <c r="BQ120" s="4" t="s">
        <v>20</v>
      </c>
      <c r="BR120" s="5">
        <v>143</v>
      </c>
      <c r="BU120" s="4" t="s">
        <v>178</v>
      </c>
      <c r="BV120" s="4">
        <v>2008</v>
      </c>
      <c r="BW120" s="4" t="s">
        <v>20</v>
      </c>
      <c r="BX120" s="5">
        <v>433</v>
      </c>
      <c r="CA120" s="4" t="s">
        <v>75</v>
      </c>
      <c r="CB120" s="4">
        <v>2008</v>
      </c>
      <c r="CC120" s="4" t="s">
        <v>20</v>
      </c>
      <c r="CD120" s="5">
        <v>216</v>
      </c>
      <c r="CG120" s="4" t="s">
        <v>76</v>
      </c>
      <c r="CH120" s="4">
        <v>2008</v>
      </c>
      <c r="CI120" s="4" t="s">
        <v>20</v>
      </c>
      <c r="CJ120" s="5">
        <v>960</v>
      </c>
      <c r="CM120" s="4" t="s">
        <v>183</v>
      </c>
      <c r="CN120" s="4">
        <v>2008</v>
      </c>
      <c r="CO120" s="4" t="s">
        <v>20</v>
      </c>
      <c r="CP120" s="5">
        <v>264</v>
      </c>
      <c r="CS120" s="4" t="s">
        <v>208</v>
      </c>
      <c r="CT120" s="4">
        <v>2008</v>
      </c>
      <c r="CU120" s="4" t="s">
        <v>21</v>
      </c>
      <c r="CV120" s="5">
        <v>372</v>
      </c>
    </row>
    <row r="121" spans="1:100" x14ac:dyDescent="0.25">
      <c r="A121" s="4" t="s">
        <v>180</v>
      </c>
      <c r="B121" s="4">
        <v>2008</v>
      </c>
      <c r="C121" s="4" t="s">
        <v>21</v>
      </c>
      <c r="D121" s="5">
        <v>16</v>
      </c>
      <c r="G121" s="4" t="s">
        <v>71</v>
      </c>
      <c r="H121" s="4">
        <v>2008</v>
      </c>
      <c r="I121" s="4" t="s">
        <v>21</v>
      </c>
      <c r="J121" s="5">
        <v>1118</v>
      </c>
      <c r="M121" s="4" t="s">
        <v>164</v>
      </c>
      <c r="N121" s="4">
        <v>2008</v>
      </c>
      <c r="O121" s="4" t="s">
        <v>21</v>
      </c>
      <c r="P121" s="5">
        <v>481</v>
      </c>
      <c r="S121" s="4" t="s">
        <v>166</v>
      </c>
      <c r="T121" s="4">
        <v>2008</v>
      </c>
      <c r="U121" s="4" t="s">
        <v>21</v>
      </c>
      <c r="V121" s="5">
        <v>339</v>
      </c>
      <c r="Y121" s="4" t="s">
        <v>168</v>
      </c>
      <c r="Z121" s="4">
        <v>2008</v>
      </c>
      <c r="AA121" s="4" t="s">
        <v>21</v>
      </c>
      <c r="AB121" s="5">
        <v>118</v>
      </c>
      <c r="AE121" s="4" t="s">
        <v>170</v>
      </c>
      <c r="AF121" s="4">
        <v>2008</v>
      </c>
      <c r="AG121" s="4" t="s">
        <v>21</v>
      </c>
      <c r="AH121" s="5">
        <v>889</v>
      </c>
      <c r="AK121" s="4" t="s">
        <v>72</v>
      </c>
      <c r="AL121" s="4">
        <v>2008</v>
      </c>
      <c r="AM121" s="4" t="s">
        <v>21</v>
      </c>
      <c r="AN121" s="5">
        <v>289</v>
      </c>
      <c r="AO121" s="14"/>
      <c r="AQ121" s="4" t="s">
        <v>73</v>
      </c>
      <c r="AR121" s="4">
        <v>2008</v>
      </c>
      <c r="AS121" s="4" t="s">
        <v>21</v>
      </c>
      <c r="AT121" s="5">
        <v>193</v>
      </c>
      <c r="AW121" s="4" t="s">
        <v>172</v>
      </c>
      <c r="AX121" s="4">
        <v>2008</v>
      </c>
      <c r="AY121" s="4" t="s">
        <v>21</v>
      </c>
      <c r="AZ121" s="5">
        <v>209</v>
      </c>
      <c r="BC121" s="4" t="s">
        <v>174</v>
      </c>
      <c r="BD121" s="4">
        <v>2008</v>
      </c>
      <c r="BE121" s="4" t="s">
        <v>21</v>
      </c>
      <c r="BF121" s="5">
        <v>114</v>
      </c>
      <c r="BI121" s="4" t="s">
        <v>74</v>
      </c>
      <c r="BJ121" s="4">
        <v>2008</v>
      </c>
      <c r="BK121" s="4" t="s">
        <v>21</v>
      </c>
      <c r="BL121" s="5">
        <v>866</v>
      </c>
      <c r="BO121" s="4" t="s">
        <v>176</v>
      </c>
      <c r="BP121" s="4">
        <v>2008</v>
      </c>
      <c r="BQ121" s="4" t="s">
        <v>21</v>
      </c>
      <c r="BR121" s="5">
        <v>141</v>
      </c>
      <c r="BU121" s="4" t="s">
        <v>178</v>
      </c>
      <c r="BV121" s="4">
        <v>2008</v>
      </c>
      <c r="BW121" s="4" t="s">
        <v>21</v>
      </c>
      <c r="BX121" s="5">
        <v>421</v>
      </c>
      <c r="CA121" s="4" t="s">
        <v>75</v>
      </c>
      <c r="CB121" s="4">
        <v>2008</v>
      </c>
      <c r="CC121" s="4" t="s">
        <v>21</v>
      </c>
      <c r="CD121" s="5">
        <v>189</v>
      </c>
      <c r="CG121" s="4" t="s">
        <v>76</v>
      </c>
      <c r="CH121" s="4">
        <v>2008</v>
      </c>
      <c r="CI121" s="4" t="s">
        <v>21</v>
      </c>
      <c r="CJ121" s="5">
        <v>867</v>
      </c>
      <c r="CM121" s="4" t="s">
        <v>183</v>
      </c>
      <c r="CN121" s="4">
        <v>2008</v>
      </c>
      <c r="CO121" s="4" t="s">
        <v>21</v>
      </c>
      <c r="CP121" s="5">
        <v>313</v>
      </c>
      <c r="CS121" s="4" t="s">
        <v>208</v>
      </c>
      <c r="CT121" s="4">
        <v>2008</v>
      </c>
      <c r="CU121" s="4" t="s">
        <v>22</v>
      </c>
      <c r="CV121" s="5">
        <v>425</v>
      </c>
    </row>
    <row r="122" spans="1:100" x14ac:dyDescent="0.25">
      <c r="A122" s="4" t="s">
        <v>180</v>
      </c>
      <c r="B122" s="4">
        <v>2008</v>
      </c>
      <c r="C122" s="4" t="s">
        <v>22</v>
      </c>
      <c r="D122" s="5">
        <v>28</v>
      </c>
      <c r="G122" s="4" t="s">
        <v>71</v>
      </c>
      <c r="H122" s="4">
        <v>2008</v>
      </c>
      <c r="I122" s="4" t="s">
        <v>22</v>
      </c>
      <c r="J122" s="5">
        <v>1170</v>
      </c>
      <c r="M122" s="4" t="s">
        <v>164</v>
      </c>
      <c r="N122" s="4">
        <v>2008</v>
      </c>
      <c r="O122" s="4" t="s">
        <v>22</v>
      </c>
      <c r="P122" s="5">
        <v>507</v>
      </c>
      <c r="S122" s="4" t="s">
        <v>166</v>
      </c>
      <c r="T122" s="4">
        <v>2008</v>
      </c>
      <c r="U122" s="4" t="s">
        <v>22</v>
      </c>
      <c r="V122" s="5">
        <v>324</v>
      </c>
      <c r="Y122" s="4" t="s">
        <v>168</v>
      </c>
      <c r="Z122" s="4">
        <v>2008</v>
      </c>
      <c r="AA122" s="4" t="s">
        <v>22</v>
      </c>
      <c r="AB122" s="5">
        <v>113</v>
      </c>
      <c r="AE122" s="4" t="s">
        <v>170</v>
      </c>
      <c r="AF122" s="4">
        <v>2008</v>
      </c>
      <c r="AG122" s="4" t="s">
        <v>22</v>
      </c>
      <c r="AH122" s="5">
        <v>880</v>
      </c>
      <c r="AK122" s="4" t="s">
        <v>72</v>
      </c>
      <c r="AL122" s="4">
        <v>2008</v>
      </c>
      <c r="AM122" s="4" t="s">
        <v>22</v>
      </c>
      <c r="AN122" s="5">
        <v>267</v>
      </c>
      <c r="AO122" s="14"/>
      <c r="AQ122" s="4" t="s">
        <v>73</v>
      </c>
      <c r="AR122" s="4">
        <v>2008</v>
      </c>
      <c r="AS122" s="4" t="s">
        <v>22</v>
      </c>
      <c r="AT122" s="5">
        <v>155</v>
      </c>
      <c r="AW122" s="4" t="s">
        <v>172</v>
      </c>
      <c r="AX122" s="4">
        <v>2008</v>
      </c>
      <c r="AY122" s="4" t="s">
        <v>22</v>
      </c>
      <c r="AZ122" s="5">
        <v>214</v>
      </c>
      <c r="BC122" s="4" t="s">
        <v>174</v>
      </c>
      <c r="BD122" s="4">
        <v>2008</v>
      </c>
      <c r="BE122" s="4" t="s">
        <v>22</v>
      </c>
      <c r="BF122" s="5">
        <v>110</v>
      </c>
      <c r="BI122" s="4" t="s">
        <v>74</v>
      </c>
      <c r="BJ122" s="4">
        <v>2008</v>
      </c>
      <c r="BK122" s="4" t="s">
        <v>22</v>
      </c>
      <c r="BL122" s="5">
        <v>876</v>
      </c>
      <c r="BO122" s="4" t="s">
        <v>176</v>
      </c>
      <c r="BP122" s="4">
        <v>2008</v>
      </c>
      <c r="BQ122" s="4" t="s">
        <v>22</v>
      </c>
      <c r="BR122" s="5">
        <v>123</v>
      </c>
      <c r="BU122" s="4" t="s">
        <v>178</v>
      </c>
      <c r="BV122" s="4">
        <v>2008</v>
      </c>
      <c r="BW122" s="4" t="s">
        <v>22</v>
      </c>
      <c r="BX122" s="5">
        <v>486</v>
      </c>
      <c r="CA122" s="4" t="s">
        <v>75</v>
      </c>
      <c r="CB122" s="4">
        <v>2008</v>
      </c>
      <c r="CC122" s="4" t="s">
        <v>22</v>
      </c>
      <c r="CD122" s="5">
        <v>152</v>
      </c>
      <c r="CG122" s="4" t="s">
        <v>76</v>
      </c>
      <c r="CH122" s="4">
        <v>2008</v>
      </c>
      <c r="CI122" s="4" t="s">
        <v>22</v>
      </c>
      <c r="CJ122" s="5">
        <v>792</v>
      </c>
      <c r="CM122" s="4" t="s">
        <v>183</v>
      </c>
      <c r="CN122" s="4">
        <v>2008</v>
      </c>
      <c r="CO122" s="4" t="s">
        <v>22</v>
      </c>
      <c r="CP122" s="5">
        <v>283</v>
      </c>
      <c r="CS122" s="4" t="s">
        <v>208</v>
      </c>
      <c r="CT122" s="4">
        <v>2008</v>
      </c>
      <c r="CU122" s="4" t="s">
        <v>23</v>
      </c>
      <c r="CV122" s="5">
        <v>373</v>
      </c>
    </row>
    <row r="123" spans="1:100" x14ac:dyDescent="0.25">
      <c r="A123" s="4" t="s">
        <v>180</v>
      </c>
      <c r="B123" s="4">
        <v>2008</v>
      </c>
      <c r="C123" s="4" t="s">
        <v>23</v>
      </c>
      <c r="D123" s="5">
        <v>28</v>
      </c>
      <c r="G123" s="4" t="s">
        <v>71</v>
      </c>
      <c r="H123" s="4">
        <v>2008</v>
      </c>
      <c r="I123" s="4" t="s">
        <v>23</v>
      </c>
      <c r="J123" s="5">
        <v>1057</v>
      </c>
      <c r="M123" s="4" t="s">
        <v>164</v>
      </c>
      <c r="N123" s="4">
        <v>2008</v>
      </c>
      <c r="O123" s="4" t="s">
        <v>23</v>
      </c>
      <c r="P123" s="5">
        <v>505</v>
      </c>
      <c r="S123" s="4" t="s">
        <v>166</v>
      </c>
      <c r="T123" s="4">
        <v>2008</v>
      </c>
      <c r="U123" s="4" t="s">
        <v>23</v>
      </c>
      <c r="V123" s="5">
        <v>291</v>
      </c>
      <c r="Y123" s="4" t="s">
        <v>168</v>
      </c>
      <c r="Z123" s="4">
        <v>2008</v>
      </c>
      <c r="AA123" s="4" t="s">
        <v>23</v>
      </c>
      <c r="AB123" s="5">
        <v>137</v>
      </c>
      <c r="AE123" s="4" t="s">
        <v>170</v>
      </c>
      <c r="AF123" s="4">
        <v>2008</v>
      </c>
      <c r="AG123" s="4" t="s">
        <v>23</v>
      </c>
      <c r="AH123" s="5">
        <v>782</v>
      </c>
      <c r="AK123" s="4" t="s">
        <v>72</v>
      </c>
      <c r="AL123" s="4">
        <v>2008</v>
      </c>
      <c r="AM123" s="4" t="s">
        <v>23</v>
      </c>
      <c r="AN123" s="5">
        <v>245</v>
      </c>
      <c r="AO123" s="14"/>
      <c r="AQ123" s="4" t="s">
        <v>73</v>
      </c>
      <c r="AR123" s="4">
        <v>2008</v>
      </c>
      <c r="AS123" s="4" t="s">
        <v>23</v>
      </c>
      <c r="AT123" s="5">
        <v>143</v>
      </c>
      <c r="AW123" s="4" t="s">
        <v>172</v>
      </c>
      <c r="AX123" s="4">
        <v>2008</v>
      </c>
      <c r="AY123" s="4" t="s">
        <v>23</v>
      </c>
      <c r="AZ123" s="5">
        <v>222</v>
      </c>
      <c r="BC123" s="4" t="s">
        <v>174</v>
      </c>
      <c r="BD123" s="4">
        <v>2008</v>
      </c>
      <c r="BE123" s="4" t="s">
        <v>23</v>
      </c>
      <c r="BF123" s="5">
        <v>103</v>
      </c>
      <c r="BI123" s="4" t="s">
        <v>74</v>
      </c>
      <c r="BJ123" s="4">
        <v>2008</v>
      </c>
      <c r="BK123" s="4" t="s">
        <v>23</v>
      </c>
      <c r="BL123" s="5">
        <v>736</v>
      </c>
      <c r="BO123" s="4" t="s">
        <v>176</v>
      </c>
      <c r="BP123" s="4">
        <v>2008</v>
      </c>
      <c r="BQ123" s="4" t="s">
        <v>23</v>
      </c>
      <c r="BR123" s="5">
        <v>86</v>
      </c>
      <c r="BU123" s="4" t="s">
        <v>178</v>
      </c>
      <c r="BV123" s="4">
        <v>2008</v>
      </c>
      <c r="BW123" s="4" t="s">
        <v>23</v>
      </c>
      <c r="BX123" s="5">
        <v>466</v>
      </c>
      <c r="CA123" s="4" t="s">
        <v>75</v>
      </c>
      <c r="CB123" s="4">
        <v>2008</v>
      </c>
      <c r="CC123" s="4" t="s">
        <v>23</v>
      </c>
      <c r="CD123" s="5">
        <v>139</v>
      </c>
      <c r="CG123" s="4" t="s">
        <v>76</v>
      </c>
      <c r="CH123" s="4">
        <v>2008</v>
      </c>
      <c r="CI123" s="4" t="s">
        <v>23</v>
      </c>
      <c r="CJ123" s="5">
        <v>734</v>
      </c>
      <c r="CM123" s="4" t="s">
        <v>183</v>
      </c>
      <c r="CN123" s="4">
        <v>2008</v>
      </c>
      <c r="CO123" s="4" t="s">
        <v>23</v>
      </c>
      <c r="CP123" s="5">
        <v>251</v>
      </c>
      <c r="CS123" s="4" t="s">
        <v>208</v>
      </c>
      <c r="CT123" s="4">
        <v>2008</v>
      </c>
      <c r="CU123" s="4" t="s">
        <v>24</v>
      </c>
      <c r="CV123" s="5">
        <v>461</v>
      </c>
    </row>
    <row r="124" spans="1:100" x14ac:dyDescent="0.25">
      <c r="A124" s="4" t="s">
        <v>180</v>
      </c>
      <c r="B124" s="4">
        <v>2008</v>
      </c>
      <c r="C124" s="4" t="s">
        <v>24</v>
      </c>
      <c r="D124" s="5">
        <v>28</v>
      </c>
      <c r="G124" s="4" t="s">
        <v>71</v>
      </c>
      <c r="H124" s="4">
        <v>2008</v>
      </c>
      <c r="I124" s="4" t="s">
        <v>24</v>
      </c>
      <c r="J124" s="5">
        <v>809</v>
      </c>
      <c r="M124" s="4" t="s">
        <v>164</v>
      </c>
      <c r="N124" s="4">
        <v>2008</v>
      </c>
      <c r="O124" s="4" t="s">
        <v>24</v>
      </c>
      <c r="P124" s="5">
        <v>565</v>
      </c>
      <c r="S124" s="4" t="s">
        <v>166</v>
      </c>
      <c r="T124" s="4">
        <v>2008</v>
      </c>
      <c r="U124" s="4" t="s">
        <v>24</v>
      </c>
      <c r="V124" s="5">
        <v>314</v>
      </c>
      <c r="Y124" s="4" t="s">
        <v>168</v>
      </c>
      <c r="Z124" s="4">
        <v>2008</v>
      </c>
      <c r="AA124" s="4" t="s">
        <v>24</v>
      </c>
      <c r="AB124" s="5">
        <v>165</v>
      </c>
      <c r="AE124" s="4" t="s">
        <v>170</v>
      </c>
      <c r="AF124" s="4">
        <v>2008</v>
      </c>
      <c r="AG124" s="4" t="s">
        <v>24</v>
      </c>
      <c r="AH124" s="5">
        <v>884</v>
      </c>
      <c r="AK124" s="4" t="s">
        <v>72</v>
      </c>
      <c r="AL124" s="4">
        <v>2008</v>
      </c>
      <c r="AM124" s="4" t="s">
        <v>24</v>
      </c>
      <c r="AN124" s="5">
        <v>269</v>
      </c>
      <c r="AO124" s="14"/>
      <c r="AQ124" s="4" t="s">
        <v>73</v>
      </c>
      <c r="AR124" s="4">
        <v>2008</v>
      </c>
      <c r="AS124" s="4" t="s">
        <v>24</v>
      </c>
      <c r="AT124" s="5">
        <v>170</v>
      </c>
      <c r="AW124" s="4" t="s">
        <v>172</v>
      </c>
      <c r="AX124" s="4">
        <v>2008</v>
      </c>
      <c r="AY124" s="4" t="s">
        <v>24</v>
      </c>
      <c r="AZ124" s="5">
        <v>240</v>
      </c>
      <c r="BC124" s="4" t="s">
        <v>174</v>
      </c>
      <c r="BD124" s="4">
        <v>2008</v>
      </c>
      <c r="BE124" s="4" t="s">
        <v>24</v>
      </c>
      <c r="BF124" s="5">
        <v>121</v>
      </c>
      <c r="BI124" s="4" t="s">
        <v>74</v>
      </c>
      <c r="BJ124" s="4">
        <v>2008</v>
      </c>
      <c r="BK124" s="4" t="s">
        <v>24</v>
      </c>
      <c r="BL124" s="5">
        <v>829</v>
      </c>
      <c r="BO124" s="4" t="s">
        <v>176</v>
      </c>
      <c r="BP124" s="4">
        <v>2008</v>
      </c>
      <c r="BQ124" s="4" t="s">
        <v>24</v>
      </c>
      <c r="BR124" s="5">
        <v>178</v>
      </c>
      <c r="BU124" s="4" t="s">
        <v>178</v>
      </c>
      <c r="BV124" s="4">
        <v>2008</v>
      </c>
      <c r="BW124" s="4" t="s">
        <v>24</v>
      </c>
      <c r="BX124" s="5">
        <v>441</v>
      </c>
      <c r="CA124" s="4" t="s">
        <v>75</v>
      </c>
      <c r="CB124" s="4">
        <v>2008</v>
      </c>
      <c r="CC124" s="4" t="s">
        <v>24</v>
      </c>
      <c r="CD124" s="5">
        <v>172</v>
      </c>
      <c r="CG124" s="4" t="s">
        <v>76</v>
      </c>
      <c r="CH124" s="4">
        <v>2008</v>
      </c>
      <c r="CI124" s="4" t="s">
        <v>24</v>
      </c>
      <c r="CJ124" s="5">
        <v>902</v>
      </c>
      <c r="CM124" s="4" t="s">
        <v>183</v>
      </c>
      <c r="CN124" s="4">
        <v>2008</v>
      </c>
      <c r="CO124" s="4" t="s">
        <v>24</v>
      </c>
      <c r="CP124" s="5">
        <v>275</v>
      </c>
      <c r="CS124" s="4" t="s">
        <v>208</v>
      </c>
      <c r="CT124" s="4">
        <v>2008</v>
      </c>
      <c r="CU124" s="4" t="s">
        <v>25</v>
      </c>
      <c r="CV124" s="5">
        <v>654</v>
      </c>
    </row>
    <row r="125" spans="1:100" x14ac:dyDescent="0.25">
      <c r="A125" s="4" t="s">
        <v>180</v>
      </c>
      <c r="B125" s="4">
        <v>2008</v>
      </c>
      <c r="C125" s="4" t="s">
        <v>25</v>
      </c>
      <c r="D125" s="5">
        <v>28</v>
      </c>
      <c r="G125" s="4" t="s">
        <v>71</v>
      </c>
      <c r="H125" s="4">
        <v>2008</v>
      </c>
      <c r="I125" s="4" t="s">
        <v>25</v>
      </c>
      <c r="J125" s="5">
        <v>785</v>
      </c>
      <c r="M125" s="4" t="s">
        <v>164</v>
      </c>
      <c r="N125" s="4">
        <v>2008</v>
      </c>
      <c r="O125" s="4" t="s">
        <v>25</v>
      </c>
      <c r="P125" s="5">
        <v>544</v>
      </c>
      <c r="S125" s="4" t="s">
        <v>166</v>
      </c>
      <c r="T125" s="4">
        <v>2008</v>
      </c>
      <c r="U125" s="4" t="s">
        <v>25</v>
      </c>
      <c r="V125" s="5">
        <v>318</v>
      </c>
      <c r="Y125" s="4" t="s">
        <v>168</v>
      </c>
      <c r="Z125" s="4">
        <v>2008</v>
      </c>
      <c r="AA125" s="4" t="s">
        <v>25</v>
      </c>
      <c r="AB125" s="5">
        <v>160</v>
      </c>
      <c r="AE125" s="4" t="s">
        <v>170</v>
      </c>
      <c r="AF125" s="4">
        <v>2008</v>
      </c>
      <c r="AG125" s="4" t="s">
        <v>25</v>
      </c>
      <c r="AH125" s="5">
        <v>1000</v>
      </c>
      <c r="AK125" s="4" t="s">
        <v>72</v>
      </c>
      <c r="AL125" s="4">
        <v>2008</v>
      </c>
      <c r="AM125" s="4" t="s">
        <v>25</v>
      </c>
      <c r="AN125" s="5">
        <v>329</v>
      </c>
      <c r="AO125" s="14"/>
      <c r="AQ125" s="4" t="s">
        <v>73</v>
      </c>
      <c r="AR125" s="4">
        <v>2008</v>
      </c>
      <c r="AS125" s="4" t="s">
        <v>25</v>
      </c>
      <c r="AT125" s="5">
        <v>157</v>
      </c>
      <c r="AW125" s="4" t="s">
        <v>172</v>
      </c>
      <c r="AX125" s="4">
        <v>2008</v>
      </c>
      <c r="AY125" s="4" t="s">
        <v>25</v>
      </c>
      <c r="AZ125" s="5">
        <v>193</v>
      </c>
      <c r="BC125" s="4" t="s">
        <v>174</v>
      </c>
      <c r="BD125" s="4">
        <v>2008</v>
      </c>
      <c r="BE125" s="4" t="s">
        <v>25</v>
      </c>
      <c r="BF125" s="5">
        <v>144</v>
      </c>
      <c r="BI125" s="4" t="s">
        <v>74</v>
      </c>
      <c r="BJ125" s="4">
        <v>2008</v>
      </c>
      <c r="BK125" s="4" t="s">
        <v>25</v>
      </c>
      <c r="BL125" s="5">
        <v>890</v>
      </c>
      <c r="BO125" s="4" t="s">
        <v>176</v>
      </c>
      <c r="BP125" s="4">
        <v>2008</v>
      </c>
      <c r="BQ125" s="4" t="s">
        <v>25</v>
      </c>
      <c r="BR125" s="5">
        <v>178</v>
      </c>
      <c r="BU125" s="4" t="s">
        <v>178</v>
      </c>
      <c r="BV125" s="4">
        <v>2008</v>
      </c>
      <c r="BW125" s="4" t="s">
        <v>25</v>
      </c>
      <c r="BX125" s="5">
        <v>492</v>
      </c>
      <c r="CA125" s="4" t="s">
        <v>75</v>
      </c>
      <c r="CB125" s="4">
        <v>2008</v>
      </c>
      <c r="CC125" s="4" t="s">
        <v>25</v>
      </c>
      <c r="CD125" s="5">
        <v>171</v>
      </c>
      <c r="CG125" s="4" t="s">
        <v>76</v>
      </c>
      <c r="CH125" s="4">
        <v>2008</v>
      </c>
      <c r="CI125" s="4" t="s">
        <v>25</v>
      </c>
      <c r="CJ125" s="5">
        <v>983</v>
      </c>
      <c r="CM125" s="4" t="s">
        <v>183</v>
      </c>
      <c r="CN125" s="4">
        <v>2008</v>
      </c>
      <c r="CO125" s="4" t="s">
        <v>25</v>
      </c>
      <c r="CP125" s="5">
        <v>322</v>
      </c>
      <c r="CS125" s="4" t="s">
        <v>208</v>
      </c>
      <c r="CT125" s="4">
        <v>2008</v>
      </c>
      <c r="CU125" s="4" t="s">
        <v>26</v>
      </c>
      <c r="CV125" s="5">
        <v>770</v>
      </c>
    </row>
    <row r="126" spans="1:100" x14ac:dyDescent="0.25">
      <c r="A126" s="4" t="s">
        <v>180</v>
      </c>
      <c r="B126" s="4">
        <v>2008</v>
      </c>
      <c r="C126" s="4" t="s">
        <v>26</v>
      </c>
      <c r="D126" s="5">
        <v>13</v>
      </c>
      <c r="G126" s="4" t="s">
        <v>71</v>
      </c>
      <c r="H126" s="4">
        <v>2008</v>
      </c>
      <c r="I126" s="4" t="s">
        <v>26</v>
      </c>
      <c r="J126" s="5">
        <v>783</v>
      </c>
      <c r="M126" s="4" t="s">
        <v>164</v>
      </c>
      <c r="N126" s="4">
        <v>2008</v>
      </c>
      <c r="O126" s="4" t="s">
        <v>26</v>
      </c>
      <c r="P126" s="5">
        <v>607</v>
      </c>
      <c r="S126" s="4" t="s">
        <v>166</v>
      </c>
      <c r="T126" s="4">
        <v>2008</v>
      </c>
      <c r="U126" s="4" t="s">
        <v>26</v>
      </c>
      <c r="V126" s="5">
        <v>301</v>
      </c>
      <c r="Y126" s="4" t="s">
        <v>168</v>
      </c>
      <c r="Z126" s="4">
        <v>2008</v>
      </c>
      <c r="AA126" s="4" t="s">
        <v>26</v>
      </c>
      <c r="AB126" s="5">
        <v>183</v>
      </c>
      <c r="AE126" s="4" t="s">
        <v>170</v>
      </c>
      <c r="AF126" s="4">
        <v>2008</v>
      </c>
      <c r="AG126" s="4" t="s">
        <v>26</v>
      </c>
      <c r="AH126" s="5">
        <v>1146</v>
      </c>
      <c r="AK126" s="4" t="s">
        <v>72</v>
      </c>
      <c r="AL126" s="4">
        <v>2008</v>
      </c>
      <c r="AM126" s="4" t="s">
        <v>26</v>
      </c>
      <c r="AN126" s="5">
        <v>359</v>
      </c>
      <c r="AO126" s="14"/>
      <c r="AQ126" s="4" t="s">
        <v>73</v>
      </c>
      <c r="AR126" s="4">
        <v>2008</v>
      </c>
      <c r="AS126" s="4" t="s">
        <v>26</v>
      </c>
      <c r="AT126" s="5">
        <v>141</v>
      </c>
      <c r="AW126" s="4" t="s">
        <v>172</v>
      </c>
      <c r="AX126" s="4">
        <v>2008</v>
      </c>
      <c r="AY126" s="4" t="s">
        <v>26</v>
      </c>
      <c r="AZ126" s="5">
        <v>233</v>
      </c>
      <c r="BC126" s="4" t="s">
        <v>174</v>
      </c>
      <c r="BD126" s="4">
        <v>2008</v>
      </c>
      <c r="BE126" s="4" t="s">
        <v>26</v>
      </c>
      <c r="BF126" s="5">
        <v>117</v>
      </c>
      <c r="BI126" s="4" t="s">
        <v>74</v>
      </c>
      <c r="BJ126" s="4">
        <v>2008</v>
      </c>
      <c r="BK126" s="4" t="s">
        <v>26</v>
      </c>
      <c r="BL126" s="5">
        <v>866</v>
      </c>
      <c r="BO126" s="4" t="s">
        <v>176</v>
      </c>
      <c r="BP126" s="4">
        <v>2008</v>
      </c>
      <c r="BQ126" s="4" t="s">
        <v>26</v>
      </c>
      <c r="BR126" s="5">
        <v>237</v>
      </c>
      <c r="BU126" s="4" t="s">
        <v>178</v>
      </c>
      <c r="BV126" s="4">
        <v>2008</v>
      </c>
      <c r="BW126" s="4" t="s">
        <v>26</v>
      </c>
      <c r="BX126" s="5">
        <v>539</v>
      </c>
      <c r="CA126" s="4" t="s">
        <v>75</v>
      </c>
      <c r="CB126" s="4">
        <v>2008</v>
      </c>
      <c r="CC126" s="4" t="s">
        <v>26</v>
      </c>
      <c r="CD126" s="5">
        <v>197</v>
      </c>
      <c r="CG126" s="4" t="s">
        <v>76</v>
      </c>
      <c r="CH126" s="4">
        <v>2008</v>
      </c>
      <c r="CI126" s="4" t="s">
        <v>26</v>
      </c>
      <c r="CJ126" s="5">
        <v>976</v>
      </c>
      <c r="CM126" s="4" t="s">
        <v>183</v>
      </c>
      <c r="CN126" s="4">
        <v>2008</v>
      </c>
      <c r="CO126" s="4" t="s">
        <v>26</v>
      </c>
      <c r="CP126" s="5">
        <v>352</v>
      </c>
      <c r="CS126" s="4" t="s">
        <v>208</v>
      </c>
      <c r="CT126" s="4">
        <v>2008</v>
      </c>
      <c r="CU126" s="4" t="s">
        <v>27</v>
      </c>
      <c r="CV126" s="5">
        <v>721</v>
      </c>
    </row>
    <row r="127" spans="1:100" x14ac:dyDescent="0.25">
      <c r="A127" s="4" t="s">
        <v>180</v>
      </c>
      <c r="B127" s="4">
        <v>2008</v>
      </c>
      <c r="C127" s="4" t="s">
        <v>27</v>
      </c>
      <c r="D127" s="5">
        <v>17</v>
      </c>
      <c r="G127" s="4" t="s">
        <v>71</v>
      </c>
      <c r="H127" s="4">
        <v>2008</v>
      </c>
      <c r="I127" s="4" t="s">
        <v>27</v>
      </c>
      <c r="J127" s="5">
        <v>814</v>
      </c>
      <c r="M127" s="4" t="s">
        <v>164</v>
      </c>
      <c r="N127" s="4">
        <v>2008</v>
      </c>
      <c r="O127" s="4" t="s">
        <v>27</v>
      </c>
      <c r="P127" s="5">
        <v>631</v>
      </c>
      <c r="S127" s="4" t="s">
        <v>166</v>
      </c>
      <c r="T127" s="4">
        <v>2008</v>
      </c>
      <c r="U127" s="4" t="s">
        <v>27</v>
      </c>
      <c r="V127" s="5">
        <v>329</v>
      </c>
      <c r="Y127" s="4" t="s">
        <v>168</v>
      </c>
      <c r="Z127" s="4">
        <v>2008</v>
      </c>
      <c r="AA127" s="4" t="s">
        <v>27</v>
      </c>
      <c r="AB127" s="5">
        <v>196</v>
      </c>
      <c r="AE127" s="4" t="s">
        <v>170</v>
      </c>
      <c r="AF127" s="4">
        <v>2008</v>
      </c>
      <c r="AG127" s="4" t="s">
        <v>27</v>
      </c>
      <c r="AH127" s="5">
        <v>1170</v>
      </c>
      <c r="AK127" s="4" t="s">
        <v>72</v>
      </c>
      <c r="AL127" s="4">
        <v>2008</v>
      </c>
      <c r="AM127" s="4" t="s">
        <v>27</v>
      </c>
      <c r="AN127" s="5">
        <v>309</v>
      </c>
      <c r="AO127" s="14"/>
      <c r="AQ127" s="4" t="s">
        <v>73</v>
      </c>
      <c r="AR127" s="4">
        <v>2008</v>
      </c>
      <c r="AS127" s="4" t="s">
        <v>27</v>
      </c>
      <c r="AT127" s="5">
        <v>144</v>
      </c>
      <c r="AW127" s="4" t="s">
        <v>172</v>
      </c>
      <c r="AX127" s="4">
        <v>2008</v>
      </c>
      <c r="AY127" s="4" t="s">
        <v>27</v>
      </c>
      <c r="AZ127" s="5">
        <v>287</v>
      </c>
      <c r="BC127" s="4" t="s">
        <v>174</v>
      </c>
      <c r="BD127" s="4">
        <v>2008</v>
      </c>
      <c r="BE127" s="4" t="s">
        <v>27</v>
      </c>
      <c r="BF127" s="5">
        <v>122</v>
      </c>
      <c r="BI127" s="4" t="s">
        <v>74</v>
      </c>
      <c r="BJ127" s="4">
        <v>2008</v>
      </c>
      <c r="BK127" s="4" t="s">
        <v>27</v>
      </c>
      <c r="BL127" s="5">
        <v>961</v>
      </c>
      <c r="BO127" s="4" t="s">
        <v>176</v>
      </c>
      <c r="BP127" s="4">
        <v>2008</v>
      </c>
      <c r="BQ127" s="4" t="s">
        <v>27</v>
      </c>
      <c r="BR127" s="5">
        <v>269</v>
      </c>
      <c r="BU127" s="4" t="s">
        <v>178</v>
      </c>
      <c r="BV127" s="4">
        <v>2008</v>
      </c>
      <c r="BW127" s="4" t="s">
        <v>27</v>
      </c>
      <c r="BX127" s="5">
        <v>575</v>
      </c>
      <c r="CA127" s="4" t="s">
        <v>75</v>
      </c>
      <c r="CB127" s="4">
        <v>2008</v>
      </c>
      <c r="CC127" s="4" t="s">
        <v>27</v>
      </c>
      <c r="CD127" s="5">
        <v>183</v>
      </c>
      <c r="CG127" s="4" t="s">
        <v>76</v>
      </c>
      <c r="CH127" s="4">
        <v>2008</v>
      </c>
      <c r="CI127" s="4" t="s">
        <v>27</v>
      </c>
      <c r="CJ127" s="5">
        <v>939</v>
      </c>
      <c r="CM127" s="4" t="s">
        <v>183</v>
      </c>
      <c r="CN127" s="4">
        <v>2008</v>
      </c>
      <c r="CO127" s="4" t="s">
        <v>27</v>
      </c>
      <c r="CP127" s="5">
        <v>412</v>
      </c>
      <c r="CS127" s="4" t="s">
        <v>208</v>
      </c>
      <c r="CT127" s="4">
        <v>2008</v>
      </c>
      <c r="CU127" s="4" t="s">
        <v>28</v>
      </c>
      <c r="CV127" s="5">
        <v>573</v>
      </c>
    </row>
    <row r="128" spans="1:100" x14ac:dyDescent="0.25">
      <c r="A128" s="4" t="s">
        <v>180</v>
      </c>
      <c r="B128" s="4">
        <v>2008</v>
      </c>
      <c r="C128" s="4" t="s">
        <v>28</v>
      </c>
      <c r="D128" s="5">
        <v>25</v>
      </c>
      <c r="G128" s="4" t="s">
        <v>71</v>
      </c>
      <c r="H128" s="4">
        <v>2008</v>
      </c>
      <c r="I128" s="4" t="s">
        <v>28</v>
      </c>
      <c r="J128" s="5">
        <v>970</v>
      </c>
      <c r="M128" s="4" t="s">
        <v>164</v>
      </c>
      <c r="N128" s="4">
        <v>2008</v>
      </c>
      <c r="O128" s="4" t="s">
        <v>28</v>
      </c>
      <c r="P128" s="5">
        <v>688</v>
      </c>
      <c r="S128" s="4" t="s">
        <v>166</v>
      </c>
      <c r="T128" s="4">
        <v>2008</v>
      </c>
      <c r="U128" s="4" t="s">
        <v>28</v>
      </c>
      <c r="V128" s="5">
        <v>296</v>
      </c>
      <c r="Y128" s="4" t="s">
        <v>168</v>
      </c>
      <c r="Z128" s="4">
        <v>2008</v>
      </c>
      <c r="AA128" s="4" t="s">
        <v>28</v>
      </c>
      <c r="AB128" s="5">
        <v>215</v>
      </c>
      <c r="AE128" s="4" t="s">
        <v>170</v>
      </c>
      <c r="AF128" s="4">
        <v>2008</v>
      </c>
      <c r="AG128" s="4" t="s">
        <v>28</v>
      </c>
      <c r="AH128" s="5">
        <v>1062</v>
      </c>
      <c r="AK128" s="4" t="s">
        <v>72</v>
      </c>
      <c r="AL128" s="4">
        <v>2008</v>
      </c>
      <c r="AM128" s="4" t="s">
        <v>28</v>
      </c>
      <c r="AN128" s="5">
        <v>337</v>
      </c>
      <c r="AO128" s="14"/>
      <c r="AQ128" s="4" t="s">
        <v>73</v>
      </c>
      <c r="AR128" s="4">
        <v>2008</v>
      </c>
      <c r="AS128" s="4" t="s">
        <v>28</v>
      </c>
      <c r="AT128" s="5">
        <v>166</v>
      </c>
      <c r="AW128" s="4" t="s">
        <v>172</v>
      </c>
      <c r="AX128" s="4">
        <v>2008</v>
      </c>
      <c r="AY128" s="4" t="s">
        <v>28</v>
      </c>
      <c r="AZ128" s="5">
        <v>279</v>
      </c>
      <c r="BC128" s="4" t="s">
        <v>174</v>
      </c>
      <c r="BD128" s="4">
        <v>2008</v>
      </c>
      <c r="BE128" s="4" t="s">
        <v>28</v>
      </c>
      <c r="BF128" s="5">
        <v>100</v>
      </c>
      <c r="BI128" s="4" t="s">
        <v>74</v>
      </c>
      <c r="BJ128" s="4">
        <v>2008</v>
      </c>
      <c r="BK128" s="4" t="s">
        <v>28</v>
      </c>
      <c r="BL128" s="5">
        <v>951</v>
      </c>
      <c r="BO128" s="4" t="s">
        <v>176</v>
      </c>
      <c r="BP128" s="4">
        <v>2008</v>
      </c>
      <c r="BQ128" s="4" t="s">
        <v>28</v>
      </c>
      <c r="BR128" s="5">
        <v>222</v>
      </c>
      <c r="BU128" s="4" t="s">
        <v>178</v>
      </c>
      <c r="BV128" s="4">
        <v>2008</v>
      </c>
      <c r="BW128" s="4" t="s">
        <v>28</v>
      </c>
      <c r="BX128" s="5">
        <v>613</v>
      </c>
      <c r="CA128" s="4" t="s">
        <v>75</v>
      </c>
      <c r="CB128" s="4">
        <v>2008</v>
      </c>
      <c r="CC128" s="4" t="s">
        <v>28</v>
      </c>
      <c r="CD128" s="5">
        <v>194</v>
      </c>
      <c r="CG128" s="4" t="s">
        <v>76</v>
      </c>
      <c r="CH128" s="4">
        <v>2008</v>
      </c>
      <c r="CI128" s="4" t="s">
        <v>28</v>
      </c>
      <c r="CJ128" s="5">
        <v>835</v>
      </c>
      <c r="CM128" s="4" t="s">
        <v>183</v>
      </c>
      <c r="CN128" s="4">
        <v>2008</v>
      </c>
      <c r="CO128" s="4" t="s">
        <v>28</v>
      </c>
      <c r="CP128" s="5">
        <v>374</v>
      </c>
      <c r="CS128" s="4" t="s">
        <v>208</v>
      </c>
      <c r="CT128" s="4">
        <v>2008</v>
      </c>
      <c r="CU128" s="4" t="s">
        <v>29</v>
      </c>
      <c r="CV128" s="5">
        <v>552</v>
      </c>
    </row>
    <row r="129" spans="1:100" x14ac:dyDescent="0.25">
      <c r="A129" s="4" t="s">
        <v>180</v>
      </c>
      <c r="B129" s="4">
        <v>2008</v>
      </c>
      <c r="C129" s="4" t="s">
        <v>29</v>
      </c>
      <c r="D129" s="5">
        <v>15</v>
      </c>
      <c r="G129" s="4" t="s">
        <v>71</v>
      </c>
      <c r="H129" s="4">
        <v>2008</v>
      </c>
      <c r="I129" s="4" t="s">
        <v>29</v>
      </c>
      <c r="J129" s="5">
        <v>1078</v>
      </c>
      <c r="M129" s="4" t="s">
        <v>164</v>
      </c>
      <c r="N129" s="4">
        <v>2008</v>
      </c>
      <c r="O129" s="4" t="s">
        <v>29</v>
      </c>
      <c r="P129" s="5">
        <v>616</v>
      </c>
      <c r="S129" s="4" t="s">
        <v>166</v>
      </c>
      <c r="T129" s="4">
        <v>2008</v>
      </c>
      <c r="U129" s="4" t="s">
        <v>29</v>
      </c>
      <c r="V129" s="5">
        <v>390</v>
      </c>
      <c r="Y129" s="4" t="s">
        <v>168</v>
      </c>
      <c r="Z129" s="4">
        <v>2008</v>
      </c>
      <c r="AA129" s="4" t="s">
        <v>29</v>
      </c>
      <c r="AB129" s="5">
        <v>237</v>
      </c>
      <c r="AE129" s="4" t="s">
        <v>170</v>
      </c>
      <c r="AF129" s="4">
        <v>2008</v>
      </c>
      <c r="AG129" s="4" t="s">
        <v>29</v>
      </c>
      <c r="AH129" s="5">
        <v>1076</v>
      </c>
      <c r="AK129" s="4" t="s">
        <v>72</v>
      </c>
      <c r="AL129" s="4">
        <v>2008</v>
      </c>
      <c r="AM129" s="4" t="s">
        <v>29</v>
      </c>
      <c r="AN129" s="5">
        <v>316</v>
      </c>
      <c r="AO129" s="14"/>
      <c r="AQ129" s="4" t="s">
        <v>73</v>
      </c>
      <c r="AR129" s="4">
        <v>2008</v>
      </c>
      <c r="AS129" s="4" t="s">
        <v>29</v>
      </c>
      <c r="AT129" s="5">
        <v>168</v>
      </c>
      <c r="AW129" s="4" t="s">
        <v>172</v>
      </c>
      <c r="AX129" s="4">
        <v>2008</v>
      </c>
      <c r="AY129" s="4" t="s">
        <v>29</v>
      </c>
      <c r="AZ129" s="5">
        <v>320</v>
      </c>
      <c r="BC129" s="4" t="s">
        <v>174</v>
      </c>
      <c r="BD129" s="4">
        <v>2008</v>
      </c>
      <c r="BE129" s="4" t="s">
        <v>29</v>
      </c>
      <c r="BF129" s="5">
        <v>114</v>
      </c>
      <c r="BI129" s="4" t="s">
        <v>74</v>
      </c>
      <c r="BJ129" s="4">
        <v>2008</v>
      </c>
      <c r="BK129" s="4" t="s">
        <v>29</v>
      </c>
      <c r="BL129" s="5">
        <v>1052</v>
      </c>
      <c r="BO129" s="4" t="s">
        <v>176</v>
      </c>
      <c r="BP129" s="4">
        <v>2008</v>
      </c>
      <c r="BQ129" s="4" t="s">
        <v>29</v>
      </c>
      <c r="BR129" s="5">
        <v>216</v>
      </c>
      <c r="BU129" s="4" t="s">
        <v>178</v>
      </c>
      <c r="BV129" s="4">
        <v>2008</v>
      </c>
      <c r="BW129" s="4" t="s">
        <v>29</v>
      </c>
      <c r="BX129" s="5">
        <v>581</v>
      </c>
      <c r="CA129" s="4" t="s">
        <v>75</v>
      </c>
      <c r="CB129" s="4">
        <v>2008</v>
      </c>
      <c r="CC129" s="4" t="s">
        <v>29</v>
      </c>
      <c r="CD129" s="5">
        <v>249</v>
      </c>
      <c r="CG129" s="4" t="s">
        <v>76</v>
      </c>
      <c r="CH129" s="4">
        <v>2008</v>
      </c>
      <c r="CI129" s="4" t="s">
        <v>29</v>
      </c>
      <c r="CJ129" s="5">
        <v>877</v>
      </c>
      <c r="CM129" s="4" t="s">
        <v>183</v>
      </c>
      <c r="CN129" s="4">
        <v>2008</v>
      </c>
      <c r="CO129" s="4" t="s">
        <v>29</v>
      </c>
      <c r="CP129" s="5">
        <v>334</v>
      </c>
      <c r="CS129" s="4" t="s">
        <v>208</v>
      </c>
      <c r="CT129" s="4">
        <v>2008</v>
      </c>
      <c r="CU129" s="4" t="s">
        <v>30</v>
      </c>
      <c r="CV129" s="5">
        <v>527</v>
      </c>
    </row>
    <row r="130" spans="1:100" x14ac:dyDescent="0.25">
      <c r="A130" s="4" t="s">
        <v>180</v>
      </c>
      <c r="B130" s="4">
        <v>2008</v>
      </c>
      <c r="C130" s="4" t="s">
        <v>30</v>
      </c>
      <c r="D130" s="5">
        <v>32</v>
      </c>
      <c r="G130" s="4" t="s">
        <v>71</v>
      </c>
      <c r="H130" s="4">
        <v>2008</v>
      </c>
      <c r="I130" s="4" t="s">
        <v>30</v>
      </c>
      <c r="J130" s="5">
        <v>1237</v>
      </c>
      <c r="M130" s="4" t="s">
        <v>164</v>
      </c>
      <c r="N130" s="4">
        <v>2008</v>
      </c>
      <c r="O130" s="4" t="s">
        <v>30</v>
      </c>
      <c r="P130" s="5">
        <v>729</v>
      </c>
      <c r="S130" s="4" t="s">
        <v>166</v>
      </c>
      <c r="T130" s="4">
        <v>2008</v>
      </c>
      <c r="U130" s="4" t="s">
        <v>30</v>
      </c>
      <c r="V130" s="5">
        <v>415</v>
      </c>
      <c r="Y130" s="4" t="s">
        <v>168</v>
      </c>
      <c r="Z130" s="4">
        <v>2008</v>
      </c>
      <c r="AA130" s="4" t="s">
        <v>30</v>
      </c>
      <c r="AB130" s="5">
        <v>248</v>
      </c>
      <c r="AE130" s="4" t="s">
        <v>170</v>
      </c>
      <c r="AF130" s="4">
        <v>2008</v>
      </c>
      <c r="AG130" s="4" t="s">
        <v>30</v>
      </c>
      <c r="AH130" s="5">
        <v>1149</v>
      </c>
      <c r="AK130" s="4" t="s">
        <v>72</v>
      </c>
      <c r="AL130" s="4">
        <v>2008</v>
      </c>
      <c r="AM130" s="4" t="s">
        <v>30</v>
      </c>
      <c r="AN130" s="5">
        <v>331</v>
      </c>
      <c r="AO130" s="14"/>
      <c r="AQ130" s="4" t="s">
        <v>73</v>
      </c>
      <c r="AR130" s="4">
        <v>2008</v>
      </c>
      <c r="AS130" s="4" t="s">
        <v>30</v>
      </c>
      <c r="AT130" s="5">
        <v>173</v>
      </c>
      <c r="AW130" s="4" t="s">
        <v>172</v>
      </c>
      <c r="AX130" s="4">
        <v>2008</v>
      </c>
      <c r="AY130" s="4" t="s">
        <v>30</v>
      </c>
      <c r="AZ130" s="5">
        <v>321</v>
      </c>
      <c r="BC130" s="4" t="s">
        <v>174</v>
      </c>
      <c r="BD130" s="4">
        <v>2008</v>
      </c>
      <c r="BE130" s="4" t="s">
        <v>30</v>
      </c>
      <c r="BF130" s="5">
        <v>173</v>
      </c>
      <c r="BI130" s="4" t="s">
        <v>74</v>
      </c>
      <c r="BJ130" s="4">
        <v>2008</v>
      </c>
      <c r="BK130" s="4" t="s">
        <v>30</v>
      </c>
      <c r="BL130" s="5">
        <v>992</v>
      </c>
      <c r="BO130" s="4" t="s">
        <v>176</v>
      </c>
      <c r="BP130" s="4">
        <v>2008</v>
      </c>
      <c r="BQ130" s="4" t="s">
        <v>30</v>
      </c>
      <c r="BR130" s="5">
        <v>210</v>
      </c>
      <c r="BU130" s="4" t="s">
        <v>178</v>
      </c>
      <c r="BV130" s="4">
        <v>2008</v>
      </c>
      <c r="BW130" s="4" t="s">
        <v>30</v>
      </c>
      <c r="BX130" s="5">
        <v>538</v>
      </c>
      <c r="CA130" s="4" t="s">
        <v>75</v>
      </c>
      <c r="CB130" s="4">
        <v>2008</v>
      </c>
      <c r="CC130" s="4" t="s">
        <v>30</v>
      </c>
      <c r="CD130" s="5">
        <v>290</v>
      </c>
      <c r="CG130" s="4" t="s">
        <v>76</v>
      </c>
      <c r="CH130" s="4">
        <v>2008</v>
      </c>
      <c r="CI130" s="4" t="s">
        <v>30</v>
      </c>
      <c r="CJ130" s="5">
        <v>992</v>
      </c>
      <c r="CM130" s="4" t="s">
        <v>183</v>
      </c>
      <c r="CN130" s="4">
        <v>2008</v>
      </c>
      <c r="CO130" s="4" t="s">
        <v>30</v>
      </c>
      <c r="CP130" s="5">
        <v>434</v>
      </c>
      <c r="CS130" s="4" t="s">
        <v>208</v>
      </c>
      <c r="CT130" s="4">
        <v>2008</v>
      </c>
      <c r="CU130" s="4" t="s">
        <v>19</v>
      </c>
      <c r="CV130" s="5">
        <v>511</v>
      </c>
    </row>
    <row r="131" spans="1:100" x14ac:dyDescent="0.25">
      <c r="A131" s="4" t="s">
        <v>180</v>
      </c>
      <c r="B131" s="4">
        <v>2008</v>
      </c>
      <c r="C131" s="4" t="s">
        <v>19</v>
      </c>
      <c r="D131" s="5">
        <v>46</v>
      </c>
      <c r="G131" s="4" t="s">
        <v>71</v>
      </c>
      <c r="H131" s="4">
        <v>2008</v>
      </c>
      <c r="I131" s="4" t="s">
        <v>19</v>
      </c>
      <c r="J131" s="5">
        <v>1438</v>
      </c>
      <c r="M131" s="4" t="s">
        <v>164</v>
      </c>
      <c r="N131" s="4">
        <v>2008</v>
      </c>
      <c r="O131" s="4" t="s">
        <v>19</v>
      </c>
      <c r="P131" s="5">
        <v>839</v>
      </c>
      <c r="S131" s="4" t="s">
        <v>166</v>
      </c>
      <c r="T131" s="4">
        <v>2008</v>
      </c>
      <c r="U131" s="4" t="s">
        <v>19</v>
      </c>
      <c r="V131" s="5">
        <v>477</v>
      </c>
      <c r="Y131" s="4" t="s">
        <v>168</v>
      </c>
      <c r="Z131" s="4">
        <v>2008</v>
      </c>
      <c r="AA131" s="4" t="s">
        <v>19</v>
      </c>
      <c r="AB131" s="5">
        <v>253</v>
      </c>
      <c r="AE131" s="4" t="s">
        <v>170</v>
      </c>
      <c r="AF131" s="4">
        <v>2008</v>
      </c>
      <c r="AG131" s="4" t="s">
        <v>19</v>
      </c>
      <c r="AH131" s="5">
        <v>1282</v>
      </c>
      <c r="AK131" s="4" t="s">
        <v>72</v>
      </c>
      <c r="AL131" s="4">
        <v>2008</v>
      </c>
      <c r="AM131" s="4" t="s">
        <v>19</v>
      </c>
      <c r="AN131" s="5">
        <v>421</v>
      </c>
      <c r="AO131" s="14"/>
      <c r="AQ131" s="4" t="s">
        <v>73</v>
      </c>
      <c r="AR131" s="4">
        <v>2008</v>
      </c>
      <c r="AS131" s="4" t="s">
        <v>19</v>
      </c>
      <c r="AT131" s="5">
        <v>219</v>
      </c>
      <c r="AW131" s="4" t="s">
        <v>172</v>
      </c>
      <c r="AX131" s="4">
        <v>2008</v>
      </c>
      <c r="AY131" s="4" t="s">
        <v>19</v>
      </c>
      <c r="AZ131" s="5">
        <v>335</v>
      </c>
      <c r="BC131" s="4" t="s">
        <v>174</v>
      </c>
      <c r="BD131" s="4">
        <v>2008</v>
      </c>
      <c r="BE131" s="4" t="s">
        <v>19</v>
      </c>
      <c r="BF131" s="5">
        <v>205</v>
      </c>
      <c r="BI131" s="4" t="s">
        <v>74</v>
      </c>
      <c r="BJ131" s="4">
        <v>2008</v>
      </c>
      <c r="BK131" s="4" t="s">
        <v>19</v>
      </c>
      <c r="BL131" s="5">
        <v>1147</v>
      </c>
      <c r="BO131" s="4" t="s">
        <v>176</v>
      </c>
      <c r="BP131" s="4">
        <v>2008</v>
      </c>
      <c r="BQ131" s="4" t="s">
        <v>19</v>
      </c>
      <c r="BR131" s="5">
        <v>220</v>
      </c>
      <c r="BU131" s="4" t="s">
        <v>178</v>
      </c>
      <c r="BV131" s="4">
        <v>2008</v>
      </c>
      <c r="BW131" s="4" t="s">
        <v>19</v>
      </c>
      <c r="BX131" s="5">
        <v>570</v>
      </c>
      <c r="CA131" s="4" t="s">
        <v>75</v>
      </c>
      <c r="CB131" s="4">
        <v>2008</v>
      </c>
      <c r="CC131" s="4" t="s">
        <v>19</v>
      </c>
      <c r="CD131" s="5">
        <v>178</v>
      </c>
      <c r="CG131" s="4" t="s">
        <v>76</v>
      </c>
      <c r="CH131" s="4">
        <v>2008</v>
      </c>
      <c r="CI131" s="4" t="s">
        <v>19</v>
      </c>
      <c r="CJ131" s="5">
        <v>1033</v>
      </c>
      <c r="CM131" s="4" t="s">
        <v>183</v>
      </c>
      <c r="CN131" s="4">
        <v>2008</v>
      </c>
      <c r="CO131" s="4" t="s">
        <v>19</v>
      </c>
      <c r="CP131" s="5">
        <v>367</v>
      </c>
      <c r="CS131" s="4" t="s">
        <v>208</v>
      </c>
      <c r="CT131" s="4">
        <v>2008</v>
      </c>
      <c r="CU131" s="4" t="s">
        <v>96</v>
      </c>
      <c r="CV131" s="5">
        <v>534</v>
      </c>
    </row>
    <row r="132" spans="1:100" x14ac:dyDescent="0.25">
      <c r="A132" s="4" t="s">
        <v>180</v>
      </c>
      <c r="B132" s="4">
        <v>2008</v>
      </c>
      <c r="C132" s="4" t="s">
        <v>96</v>
      </c>
      <c r="D132" s="5">
        <v>25</v>
      </c>
      <c r="G132" s="4" t="s">
        <v>71</v>
      </c>
      <c r="H132" s="4">
        <v>2008</v>
      </c>
      <c r="I132" s="4" t="s">
        <v>96</v>
      </c>
      <c r="J132" s="5">
        <v>1030</v>
      </c>
      <c r="M132" s="4" t="s">
        <v>164</v>
      </c>
      <c r="N132" s="4">
        <v>2008</v>
      </c>
      <c r="O132" s="4" t="s">
        <v>96</v>
      </c>
      <c r="P132" s="5">
        <v>597</v>
      </c>
      <c r="S132" s="4" t="s">
        <v>166</v>
      </c>
      <c r="T132" s="4">
        <v>2008</v>
      </c>
      <c r="U132" s="4" t="s">
        <v>96</v>
      </c>
      <c r="V132" s="5">
        <v>348</v>
      </c>
      <c r="Y132" s="4" t="s">
        <v>168</v>
      </c>
      <c r="Z132" s="4">
        <v>2008</v>
      </c>
      <c r="AA132" s="4" t="s">
        <v>96</v>
      </c>
      <c r="AB132" s="5">
        <v>179</v>
      </c>
      <c r="AE132" s="4" t="s">
        <v>170</v>
      </c>
      <c r="AF132" s="4">
        <v>2008</v>
      </c>
      <c r="AG132" s="4" t="s">
        <v>96</v>
      </c>
      <c r="AH132" s="5">
        <v>1026</v>
      </c>
      <c r="AK132" s="4" t="s">
        <v>72</v>
      </c>
      <c r="AL132" s="4">
        <v>2008</v>
      </c>
      <c r="AM132" s="4" t="s">
        <v>96</v>
      </c>
      <c r="AN132" s="5">
        <v>312</v>
      </c>
      <c r="AO132" s="14"/>
      <c r="AQ132" s="4" t="s">
        <v>73</v>
      </c>
      <c r="AR132" s="4">
        <v>2008</v>
      </c>
      <c r="AS132" s="4" t="s">
        <v>96</v>
      </c>
      <c r="AT132" s="5">
        <v>167</v>
      </c>
      <c r="AW132" s="4" t="s">
        <v>172</v>
      </c>
      <c r="AX132" s="4">
        <v>2008</v>
      </c>
      <c r="AY132" s="4" t="s">
        <v>96</v>
      </c>
      <c r="AZ132" s="5">
        <v>256</v>
      </c>
      <c r="BC132" s="4" t="s">
        <v>174</v>
      </c>
      <c r="BD132" s="4">
        <v>2008</v>
      </c>
      <c r="BE132" s="4" t="s">
        <v>96</v>
      </c>
      <c r="BF132" s="5">
        <v>124</v>
      </c>
      <c r="BI132" s="4" t="s">
        <v>74</v>
      </c>
      <c r="BJ132" s="4">
        <v>2008</v>
      </c>
      <c r="BK132" s="4" t="s">
        <v>96</v>
      </c>
      <c r="BL132" s="5">
        <v>921</v>
      </c>
      <c r="BO132" s="4" t="s">
        <v>176</v>
      </c>
      <c r="BP132" s="4">
        <v>2008</v>
      </c>
      <c r="BQ132" s="4" t="s">
        <v>96</v>
      </c>
      <c r="BR132" s="5">
        <v>185</v>
      </c>
      <c r="BU132" s="4" t="s">
        <v>178</v>
      </c>
      <c r="BV132" s="4">
        <v>2008</v>
      </c>
      <c r="BW132" s="4" t="s">
        <v>96</v>
      </c>
      <c r="BX132" s="5">
        <v>513</v>
      </c>
      <c r="CA132" s="4" t="s">
        <v>75</v>
      </c>
      <c r="CB132" s="4">
        <v>2008</v>
      </c>
      <c r="CC132" s="4" t="s">
        <v>96</v>
      </c>
      <c r="CD132" s="5">
        <v>194</v>
      </c>
      <c r="CG132" s="4" t="s">
        <v>76</v>
      </c>
      <c r="CH132" s="4">
        <v>2008</v>
      </c>
      <c r="CI132" s="4" t="s">
        <v>96</v>
      </c>
      <c r="CJ132" s="5">
        <v>908</v>
      </c>
      <c r="CM132" s="4" t="s">
        <v>183</v>
      </c>
      <c r="CN132" s="4">
        <v>2008</v>
      </c>
      <c r="CO132" s="4" t="s">
        <v>96</v>
      </c>
      <c r="CP132" s="5">
        <v>332</v>
      </c>
      <c r="CS132" s="4" t="s">
        <v>208</v>
      </c>
      <c r="CT132" s="4">
        <v>2009</v>
      </c>
      <c r="CU132" s="4" t="s">
        <v>20</v>
      </c>
      <c r="CV132" s="5">
        <v>652</v>
      </c>
    </row>
    <row r="133" spans="1:100" x14ac:dyDescent="0.25">
      <c r="A133" s="4" t="s">
        <v>180</v>
      </c>
      <c r="B133" s="4">
        <v>2009</v>
      </c>
      <c r="C133" s="4" t="s">
        <v>20</v>
      </c>
      <c r="D133" s="5">
        <v>59</v>
      </c>
      <c r="G133" s="4" t="s">
        <v>71</v>
      </c>
      <c r="H133" s="4">
        <v>2009</v>
      </c>
      <c r="I133" s="4" t="s">
        <v>20</v>
      </c>
      <c r="J133" s="5">
        <v>1744</v>
      </c>
      <c r="M133" s="4" t="s">
        <v>164</v>
      </c>
      <c r="N133" s="4">
        <v>2009</v>
      </c>
      <c r="O133" s="4" t="s">
        <v>20</v>
      </c>
      <c r="P133" s="5">
        <v>1157</v>
      </c>
      <c r="S133" s="4" t="s">
        <v>166</v>
      </c>
      <c r="T133" s="4">
        <v>2009</v>
      </c>
      <c r="U133" s="4" t="s">
        <v>20</v>
      </c>
      <c r="V133" s="5">
        <v>554</v>
      </c>
      <c r="Y133" s="4" t="s">
        <v>168</v>
      </c>
      <c r="Z133" s="4">
        <v>2009</v>
      </c>
      <c r="AA133" s="4" t="s">
        <v>20</v>
      </c>
      <c r="AB133" s="5">
        <v>281</v>
      </c>
      <c r="AE133" s="4" t="s">
        <v>170</v>
      </c>
      <c r="AF133" s="4">
        <v>2009</v>
      </c>
      <c r="AG133" s="4" t="s">
        <v>20</v>
      </c>
      <c r="AH133" s="5">
        <v>1513</v>
      </c>
      <c r="AK133" s="4" t="s">
        <v>72</v>
      </c>
      <c r="AL133" s="4">
        <v>2009</v>
      </c>
      <c r="AM133" s="4" t="s">
        <v>20</v>
      </c>
      <c r="AN133" s="5">
        <v>522</v>
      </c>
      <c r="AO133" s="14"/>
      <c r="AQ133" s="4" t="s">
        <v>73</v>
      </c>
      <c r="AR133" s="4">
        <v>2009</v>
      </c>
      <c r="AS133" s="4" t="s">
        <v>20</v>
      </c>
      <c r="AT133" s="5">
        <v>232</v>
      </c>
      <c r="AW133" s="4" t="s">
        <v>172</v>
      </c>
      <c r="AX133" s="4">
        <v>2009</v>
      </c>
      <c r="AY133" s="4" t="s">
        <v>20</v>
      </c>
      <c r="AZ133" s="5">
        <v>383</v>
      </c>
      <c r="BC133" s="4" t="s">
        <v>174</v>
      </c>
      <c r="BD133" s="4">
        <v>2009</v>
      </c>
      <c r="BE133" s="4" t="s">
        <v>20</v>
      </c>
      <c r="BF133" s="5">
        <v>188</v>
      </c>
      <c r="BI133" s="4" t="s">
        <v>74</v>
      </c>
      <c r="BJ133" s="4">
        <v>2009</v>
      </c>
      <c r="BK133" s="4" t="s">
        <v>20</v>
      </c>
      <c r="BL133" s="5">
        <v>1445</v>
      </c>
      <c r="BO133" s="4" t="s">
        <v>176</v>
      </c>
      <c r="BP133" s="4">
        <v>2009</v>
      </c>
      <c r="BQ133" s="4" t="s">
        <v>20</v>
      </c>
      <c r="BR133" s="5">
        <v>169</v>
      </c>
      <c r="BU133" s="4" t="s">
        <v>178</v>
      </c>
      <c r="BV133" s="4">
        <v>2009</v>
      </c>
      <c r="BW133" s="4" t="s">
        <v>20</v>
      </c>
      <c r="BX133" s="5">
        <v>623</v>
      </c>
      <c r="CA133" s="4" t="s">
        <v>75</v>
      </c>
      <c r="CB133" s="4">
        <v>2009</v>
      </c>
      <c r="CC133" s="4" t="s">
        <v>20</v>
      </c>
      <c r="CD133" s="5">
        <v>253</v>
      </c>
      <c r="CG133" s="4" t="s">
        <v>76</v>
      </c>
      <c r="CH133" s="4">
        <v>2009</v>
      </c>
      <c r="CI133" s="4" t="s">
        <v>20</v>
      </c>
      <c r="CJ133" s="5">
        <v>1234</v>
      </c>
      <c r="CM133" s="4" t="s">
        <v>183</v>
      </c>
      <c r="CN133" s="4">
        <v>2009</v>
      </c>
      <c r="CO133" s="4" t="s">
        <v>20</v>
      </c>
      <c r="CP133" s="5">
        <v>431</v>
      </c>
      <c r="CS133" s="4" t="s">
        <v>208</v>
      </c>
      <c r="CT133" s="4">
        <v>2009</v>
      </c>
      <c r="CU133" s="4" t="s">
        <v>21</v>
      </c>
      <c r="CV133" s="5">
        <v>563</v>
      </c>
    </row>
    <row r="134" spans="1:100" x14ac:dyDescent="0.25">
      <c r="A134" s="4" t="s">
        <v>180</v>
      </c>
      <c r="B134" s="4">
        <v>2009</v>
      </c>
      <c r="C134" s="4" t="s">
        <v>21</v>
      </c>
      <c r="D134" s="5">
        <v>63</v>
      </c>
      <c r="G134" s="4" t="s">
        <v>71</v>
      </c>
      <c r="H134" s="4">
        <v>2009</v>
      </c>
      <c r="I134" s="4" t="s">
        <v>21</v>
      </c>
      <c r="J134" s="5">
        <v>2025</v>
      </c>
      <c r="M134" s="4" t="s">
        <v>164</v>
      </c>
      <c r="N134" s="4">
        <v>2009</v>
      </c>
      <c r="O134" s="4" t="s">
        <v>21</v>
      </c>
      <c r="P134" s="5">
        <v>1219</v>
      </c>
      <c r="S134" s="4" t="s">
        <v>166</v>
      </c>
      <c r="T134" s="4">
        <v>2009</v>
      </c>
      <c r="U134" s="4" t="s">
        <v>21</v>
      </c>
      <c r="V134" s="5">
        <v>603</v>
      </c>
      <c r="Y134" s="4" t="s">
        <v>168</v>
      </c>
      <c r="Z134" s="4">
        <v>2009</v>
      </c>
      <c r="AA134" s="4" t="s">
        <v>21</v>
      </c>
      <c r="AB134" s="5">
        <v>300</v>
      </c>
      <c r="AE134" s="4" t="s">
        <v>170</v>
      </c>
      <c r="AF134" s="4">
        <v>2009</v>
      </c>
      <c r="AG134" s="4" t="s">
        <v>21</v>
      </c>
      <c r="AH134" s="5">
        <v>1547</v>
      </c>
      <c r="AK134" s="4" t="s">
        <v>72</v>
      </c>
      <c r="AL134" s="4">
        <v>2009</v>
      </c>
      <c r="AM134" s="4" t="s">
        <v>21</v>
      </c>
      <c r="AN134" s="5">
        <v>563</v>
      </c>
      <c r="AO134" s="14"/>
      <c r="AQ134" s="4" t="s">
        <v>73</v>
      </c>
      <c r="AR134" s="4">
        <v>2009</v>
      </c>
      <c r="AS134" s="4" t="s">
        <v>21</v>
      </c>
      <c r="AT134" s="5">
        <v>224</v>
      </c>
      <c r="AW134" s="4" t="s">
        <v>172</v>
      </c>
      <c r="AX134" s="4">
        <v>2009</v>
      </c>
      <c r="AY134" s="4" t="s">
        <v>21</v>
      </c>
      <c r="AZ134" s="5">
        <v>393</v>
      </c>
      <c r="BC134" s="4" t="s">
        <v>174</v>
      </c>
      <c r="BD134" s="4">
        <v>2009</v>
      </c>
      <c r="BE134" s="4" t="s">
        <v>21</v>
      </c>
      <c r="BF134" s="5">
        <v>244</v>
      </c>
      <c r="BI134" s="4" t="s">
        <v>74</v>
      </c>
      <c r="BJ134" s="4">
        <v>2009</v>
      </c>
      <c r="BK134" s="4" t="s">
        <v>21</v>
      </c>
      <c r="BL134" s="5">
        <v>1512</v>
      </c>
      <c r="BO134" s="4" t="s">
        <v>176</v>
      </c>
      <c r="BP134" s="4">
        <v>2009</v>
      </c>
      <c r="BQ134" s="4" t="s">
        <v>21</v>
      </c>
      <c r="BR134" s="5">
        <v>163</v>
      </c>
      <c r="BU134" s="4" t="s">
        <v>178</v>
      </c>
      <c r="BV134" s="4">
        <v>2009</v>
      </c>
      <c r="BW134" s="4" t="s">
        <v>21</v>
      </c>
      <c r="BX134" s="5">
        <v>684</v>
      </c>
      <c r="CA134" s="4" t="s">
        <v>75</v>
      </c>
      <c r="CB134" s="4">
        <v>2009</v>
      </c>
      <c r="CC134" s="4" t="s">
        <v>21</v>
      </c>
      <c r="CD134" s="5">
        <v>224</v>
      </c>
      <c r="CG134" s="4" t="s">
        <v>76</v>
      </c>
      <c r="CH134" s="4">
        <v>2009</v>
      </c>
      <c r="CI134" s="4" t="s">
        <v>21</v>
      </c>
      <c r="CJ134" s="5">
        <v>1254</v>
      </c>
      <c r="CM134" s="4" t="s">
        <v>183</v>
      </c>
      <c r="CN134" s="4">
        <v>2009</v>
      </c>
      <c r="CO134" s="4" t="s">
        <v>21</v>
      </c>
      <c r="CP134" s="5">
        <v>453</v>
      </c>
      <c r="CS134" s="4" t="s">
        <v>208</v>
      </c>
      <c r="CT134" s="4">
        <v>2009</v>
      </c>
      <c r="CU134" s="4" t="s">
        <v>22</v>
      </c>
      <c r="CV134" s="5">
        <v>598</v>
      </c>
    </row>
    <row r="135" spans="1:100" x14ac:dyDescent="0.25">
      <c r="A135" s="4" t="s">
        <v>180</v>
      </c>
      <c r="B135" s="4">
        <v>2009</v>
      </c>
      <c r="C135" s="4" t="s">
        <v>22</v>
      </c>
      <c r="D135" s="5">
        <v>105</v>
      </c>
      <c r="G135" s="4" t="s">
        <v>71</v>
      </c>
      <c r="H135" s="4">
        <v>2009</v>
      </c>
      <c r="I135" s="4" t="s">
        <v>22</v>
      </c>
      <c r="J135" s="5">
        <v>1979</v>
      </c>
      <c r="M135" s="4" t="s">
        <v>164</v>
      </c>
      <c r="N135" s="4">
        <v>2009</v>
      </c>
      <c r="O135" s="4" t="s">
        <v>22</v>
      </c>
      <c r="P135" s="5">
        <v>1307</v>
      </c>
      <c r="S135" s="4" t="s">
        <v>166</v>
      </c>
      <c r="T135" s="4">
        <v>2009</v>
      </c>
      <c r="U135" s="4" t="s">
        <v>22</v>
      </c>
      <c r="V135" s="5">
        <v>605</v>
      </c>
      <c r="Y135" s="4" t="s">
        <v>168</v>
      </c>
      <c r="Z135" s="4">
        <v>2009</v>
      </c>
      <c r="AA135" s="4" t="s">
        <v>22</v>
      </c>
      <c r="AB135" s="5">
        <v>246</v>
      </c>
      <c r="AE135" s="4" t="s">
        <v>170</v>
      </c>
      <c r="AF135" s="4">
        <v>2009</v>
      </c>
      <c r="AG135" s="4" t="s">
        <v>22</v>
      </c>
      <c r="AH135" s="5">
        <v>1606</v>
      </c>
      <c r="AK135" s="4" t="s">
        <v>72</v>
      </c>
      <c r="AL135" s="4">
        <v>2009</v>
      </c>
      <c r="AM135" s="4" t="s">
        <v>22</v>
      </c>
      <c r="AN135" s="5">
        <v>558</v>
      </c>
      <c r="AO135" s="14"/>
      <c r="AQ135" s="4" t="s">
        <v>73</v>
      </c>
      <c r="AR135" s="4">
        <v>2009</v>
      </c>
      <c r="AS135" s="4" t="s">
        <v>22</v>
      </c>
      <c r="AT135" s="5">
        <v>252</v>
      </c>
      <c r="AW135" s="4" t="s">
        <v>172</v>
      </c>
      <c r="AX135" s="4">
        <v>2009</v>
      </c>
      <c r="AY135" s="4" t="s">
        <v>22</v>
      </c>
      <c r="AZ135" s="5">
        <v>398</v>
      </c>
      <c r="BC135" s="4" t="s">
        <v>174</v>
      </c>
      <c r="BD135" s="4">
        <v>2009</v>
      </c>
      <c r="BE135" s="4" t="s">
        <v>22</v>
      </c>
      <c r="BF135" s="5">
        <v>241</v>
      </c>
      <c r="BI135" s="4" t="s">
        <v>74</v>
      </c>
      <c r="BJ135" s="4">
        <v>2009</v>
      </c>
      <c r="BK135" s="4" t="s">
        <v>22</v>
      </c>
      <c r="BL135" s="5">
        <v>1597</v>
      </c>
      <c r="BO135" s="4" t="s">
        <v>176</v>
      </c>
      <c r="BP135" s="4">
        <v>2009</v>
      </c>
      <c r="BQ135" s="4" t="s">
        <v>22</v>
      </c>
      <c r="BR135" s="5">
        <v>195</v>
      </c>
      <c r="BU135" s="4" t="s">
        <v>178</v>
      </c>
      <c r="BV135" s="4">
        <v>2009</v>
      </c>
      <c r="BW135" s="4" t="s">
        <v>22</v>
      </c>
      <c r="BX135" s="5">
        <v>736</v>
      </c>
      <c r="CA135" s="4" t="s">
        <v>75</v>
      </c>
      <c r="CB135" s="4">
        <v>2009</v>
      </c>
      <c r="CC135" s="4" t="s">
        <v>22</v>
      </c>
      <c r="CD135" s="5">
        <v>268</v>
      </c>
      <c r="CG135" s="4" t="s">
        <v>76</v>
      </c>
      <c r="CH135" s="4">
        <v>2009</v>
      </c>
      <c r="CI135" s="4" t="s">
        <v>22</v>
      </c>
      <c r="CJ135" s="5">
        <v>1216</v>
      </c>
      <c r="CM135" s="4" t="s">
        <v>183</v>
      </c>
      <c r="CN135" s="4">
        <v>2009</v>
      </c>
      <c r="CO135" s="4" t="s">
        <v>22</v>
      </c>
      <c r="CP135" s="5">
        <v>377</v>
      </c>
      <c r="CS135" s="4" t="s">
        <v>208</v>
      </c>
      <c r="CT135" s="4">
        <v>2009</v>
      </c>
      <c r="CU135" s="4" t="s">
        <v>23</v>
      </c>
      <c r="CV135" s="5">
        <v>575</v>
      </c>
    </row>
    <row r="136" spans="1:100" x14ac:dyDescent="0.25">
      <c r="A136" s="4" t="s">
        <v>180</v>
      </c>
      <c r="B136" s="4">
        <v>2009</v>
      </c>
      <c r="C136" s="4" t="s">
        <v>23</v>
      </c>
      <c r="D136" s="5">
        <v>125</v>
      </c>
      <c r="G136" s="4" t="s">
        <v>71</v>
      </c>
      <c r="H136" s="4">
        <v>2009</v>
      </c>
      <c r="I136" s="4" t="s">
        <v>23</v>
      </c>
      <c r="J136" s="5">
        <v>1737</v>
      </c>
      <c r="M136" s="4" t="s">
        <v>164</v>
      </c>
      <c r="N136" s="4">
        <v>2009</v>
      </c>
      <c r="O136" s="4" t="s">
        <v>23</v>
      </c>
      <c r="P136" s="5">
        <v>1278</v>
      </c>
      <c r="S136" s="4" t="s">
        <v>166</v>
      </c>
      <c r="T136" s="4">
        <v>2009</v>
      </c>
      <c r="U136" s="4" t="s">
        <v>23</v>
      </c>
      <c r="V136" s="5">
        <v>690</v>
      </c>
      <c r="Y136" s="4" t="s">
        <v>168</v>
      </c>
      <c r="Z136" s="4">
        <v>2009</v>
      </c>
      <c r="AA136" s="4" t="s">
        <v>23</v>
      </c>
      <c r="AB136" s="5">
        <v>243</v>
      </c>
      <c r="AE136" s="4" t="s">
        <v>170</v>
      </c>
      <c r="AF136" s="4">
        <v>2009</v>
      </c>
      <c r="AG136" s="4" t="s">
        <v>23</v>
      </c>
      <c r="AH136" s="5">
        <v>1591</v>
      </c>
      <c r="AK136" s="4" t="s">
        <v>72</v>
      </c>
      <c r="AL136" s="4">
        <v>2009</v>
      </c>
      <c r="AM136" s="4" t="s">
        <v>23</v>
      </c>
      <c r="AN136" s="5">
        <v>541</v>
      </c>
      <c r="AO136" s="14"/>
      <c r="AQ136" s="4" t="s">
        <v>73</v>
      </c>
      <c r="AR136" s="4">
        <v>2009</v>
      </c>
      <c r="AS136" s="4" t="s">
        <v>23</v>
      </c>
      <c r="AT136" s="5">
        <v>320</v>
      </c>
      <c r="AW136" s="4" t="s">
        <v>172</v>
      </c>
      <c r="AX136" s="4">
        <v>2009</v>
      </c>
      <c r="AY136" s="4" t="s">
        <v>23</v>
      </c>
      <c r="AZ136" s="5">
        <v>363</v>
      </c>
      <c r="BC136" s="4" t="s">
        <v>174</v>
      </c>
      <c r="BD136" s="4">
        <v>2009</v>
      </c>
      <c r="BE136" s="4" t="s">
        <v>23</v>
      </c>
      <c r="BF136" s="5">
        <v>199</v>
      </c>
      <c r="BI136" s="4" t="s">
        <v>74</v>
      </c>
      <c r="BJ136" s="4">
        <v>2009</v>
      </c>
      <c r="BK136" s="4" t="s">
        <v>23</v>
      </c>
      <c r="BL136" s="5">
        <v>1448</v>
      </c>
      <c r="BO136" s="4" t="s">
        <v>176</v>
      </c>
      <c r="BP136" s="4">
        <v>2009</v>
      </c>
      <c r="BQ136" s="4" t="s">
        <v>23</v>
      </c>
      <c r="BR136" s="5">
        <v>214</v>
      </c>
      <c r="BU136" s="4" t="s">
        <v>178</v>
      </c>
      <c r="BV136" s="4">
        <v>2009</v>
      </c>
      <c r="BW136" s="4" t="s">
        <v>23</v>
      </c>
      <c r="BX136" s="5">
        <v>750</v>
      </c>
      <c r="CA136" s="4" t="s">
        <v>75</v>
      </c>
      <c r="CB136" s="4">
        <v>2009</v>
      </c>
      <c r="CC136" s="4" t="s">
        <v>23</v>
      </c>
      <c r="CD136" s="5">
        <v>255</v>
      </c>
      <c r="CG136" s="4" t="s">
        <v>76</v>
      </c>
      <c r="CH136" s="4">
        <v>2009</v>
      </c>
      <c r="CI136" s="4" t="s">
        <v>23</v>
      </c>
      <c r="CJ136" s="5">
        <v>1067</v>
      </c>
      <c r="CM136" s="4" t="s">
        <v>183</v>
      </c>
      <c r="CN136" s="4">
        <v>2009</v>
      </c>
      <c r="CO136" s="4" t="s">
        <v>23</v>
      </c>
      <c r="CP136" s="5">
        <v>403</v>
      </c>
      <c r="CS136" s="4" t="s">
        <v>208</v>
      </c>
      <c r="CT136" s="4">
        <v>2009</v>
      </c>
      <c r="CU136" s="4" t="s">
        <v>24</v>
      </c>
      <c r="CV136" s="5">
        <v>702</v>
      </c>
    </row>
    <row r="137" spans="1:100" x14ac:dyDescent="0.25">
      <c r="A137" s="4" t="s">
        <v>180</v>
      </c>
      <c r="B137" s="4">
        <v>2009</v>
      </c>
      <c r="C137" s="4" t="s">
        <v>24</v>
      </c>
      <c r="D137" s="5">
        <v>98</v>
      </c>
      <c r="G137" s="4" t="s">
        <v>71</v>
      </c>
      <c r="H137" s="4">
        <v>2009</v>
      </c>
      <c r="I137" s="4" t="s">
        <v>24</v>
      </c>
      <c r="J137" s="5">
        <v>1768</v>
      </c>
      <c r="M137" s="4" t="s">
        <v>164</v>
      </c>
      <c r="N137" s="4">
        <v>2009</v>
      </c>
      <c r="O137" s="4" t="s">
        <v>24</v>
      </c>
      <c r="P137" s="5">
        <v>1320</v>
      </c>
      <c r="S137" s="4" t="s">
        <v>166</v>
      </c>
      <c r="T137" s="4">
        <v>2009</v>
      </c>
      <c r="U137" s="4" t="s">
        <v>24</v>
      </c>
      <c r="V137" s="5">
        <v>690</v>
      </c>
      <c r="Y137" s="4" t="s">
        <v>168</v>
      </c>
      <c r="Z137" s="4">
        <v>2009</v>
      </c>
      <c r="AA137" s="4" t="s">
        <v>24</v>
      </c>
      <c r="AB137" s="5">
        <v>266</v>
      </c>
      <c r="AE137" s="4" t="s">
        <v>170</v>
      </c>
      <c r="AF137" s="4">
        <v>2009</v>
      </c>
      <c r="AG137" s="4" t="s">
        <v>24</v>
      </c>
      <c r="AH137" s="5">
        <v>1569</v>
      </c>
      <c r="AK137" s="4" t="s">
        <v>72</v>
      </c>
      <c r="AL137" s="4">
        <v>2009</v>
      </c>
      <c r="AM137" s="4" t="s">
        <v>24</v>
      </c>
      <c r="AN137" s="5">
        <v>506</v>
      </c>
      <c r="AO137" s="14"/>
      <c r="AQ137" s="4" t="s">
        <v>73</v>
      </c>
      <c r="AR137" s="4">
        <v>2009</v>
      </c>
      <c r="AS137" s="4" t="s">
        <v>24</v>
      </c>
      <c r="AT137" s="5">
        <v>303</v>
      </c>
      <c r="AW137" s="4" t="s">
        <v>172</v>
      </c>
      <c r="AX137" s="4">
        <v>2009</v>
      </c>
      <c r="AY137" s="4" t="s">
        <v>24</v>
      </c>
      <c r="AZ137" s="5">
        <v>335</v>
      </c>
      <c r="BC137" s="4" t="s">
        <v>174</v>
      </c>
      <c r="BD137" s="4">
        <v>2009</v>
      </c>
      <c r="BE137" s="4" t="s">
        <v>24</v>
      </c>
      <c r="BF137" s="5">
        <v>201</v>
      </c>
      <c r="BI137" s="4" t="s">
        <v>74</v>
      </c>
      <c r="BJ137" s="4">
        <v>2009</v>
      </c>
      <c r="BK137" s="4" t="s">
        <v>24</v>
      </c>
      <c r="BL137" s="5">
        <v>1514</v>
      </c>
      <c r="BO137" s="4" t="s">
        <v>176</v>
      </c>
      <c r="BP137" s="4">
        <v>2009</v>
      </c>
      <c r="BQ137" s="4" t="s">
        <v>24</v>
      </c>
      <c r="BR137" s="5">
        <v>223</v>
      </c>
      <c r="BU137" s="4" t="s">
        <v>178</v>
      </c>
      <c r="BV137" s="4">
        <v>2009</v>
      </c>
      <c r="BW137" s="4" t="s">
        <v>24</v>
      </c>
      <c r="BX137" s="5">
        <v>782</v>
      </c>
      <c r="CA137" s="4" t="s">
        <v>75</v>
      </c>
      <c r="CB137" s="4">
        <v>2009</v>
      </c>
      <c r="CC137" s="4" t="s">
        <v>24</v>
      </c>
      <c r="CD137" s="5">
        <v>283</v>
      </c>
      <c r="CG137" s="4" t="s">
        <v>76</v>
      </c>
      <c r="CH137" s="4">
        <v>2009</v>
      </c>
      <c r="CI137" s="4" t="s">
        <v>24</v>
      </c>
      <c r="CJ137" s="5">
        <v>1316</v>
      </c>
      <c r="CM137" s="4" t="s">
        <v>183</v>
      </c>
      <c r="CN137" s="4">
        <v>2009</v>
      </c>
      <c r="CO137" s="4" t="s">
        <v>24</v>
      </c>
      <c r="CP137" s="5">
        <v>476</v>
      </c>
      <c r="CS137" s="4" t="s">
        <v>208</v>
      </c>
      <c r="CT137" s="4">
        <v>2009</v>
      </c>
      <c r="CU137" s="4" t="s">
        <v>25</v>
      </c>
      <c r="CV137" s="5">
        <v>991</v>
      </c>
    </row>
    <row r="138" spans="1:100" x14ac:dyDescent="0.25">
      <c r="A138" s="4" t="s">
        <v>180</v>
      </c>
      <c r="B138" s="4">
        <v>2009</v>
      </c>
      <c r="C138" s="4" t="s">
        <v>25</v>
      </c>
      <c r="D138" s="5">
        <v>100</v>
      </c>
      <c r="G138" s="4" t="s">
        <v>71</v>
      </c>
      <c r="H138" s="4">
        <v>2009</v>
      </c>
      <c r="I138" s="4" t="s">
        <v>25</v>
      </c>
      <c r="J138" s="5">
        <v>1601</v>
      </c>
      <c r="M138" s="4" t="s">
        <v>164</v>
      </c>
      <c r="N138" s="4">
        <v>2009</v>
      </c>
      <c r="O138" s="4" t="s">
        <v>25</v>
      </c>
      <c r="P138" s="5">
        <v>1377</v>
      </c>
      <c r="S138" s="4" t="s">
        <v>166</v>
      </c>
      <c r="T138" s="4">
        <v>2009</v>
      </c>
      <c r="U138" s="4" t="s">
        <v>25</v>
      </c>
      <c r="V138" s="5">
        <v>632</v>
      </c>
      <c r="Y138" s="4" t="s">
        <v>168</v>
      </c>
      <c r="Z138" s="4">
        <v>2009</v>
      </c>
      <c r="AA138" s="4" t="s">
        <v>25</v>
      </c>
      <c r="AB138" s="5">
        <v>271</v>
      </c>
      <c r="AE138" s="4" t="s">
        <v>170</v>
      </c>
      <c r="AF138" s="4">
        <v>2009</v>
      </c>
      <c r="AG138" s="4" t="s">
        <v>25</v>
      </c>
      <c r="AH138" s="5">
        <v>1592</v>
      </c>
      <c r="AK138" s="4" t="s">
        <v>72</v>
      </c>
      <c r="AL138" s="4">
        <v>2009</v>
      </c>
      <c r="AM138" s="4" t="s">
        <v>25</v>
      </c>
      <c r="AN138" s="5">
        <v>499</v>
      </c>
      <c r="AO138" s="14"/>
      <c r="AQ138" s="4" t="s">
        <v>73</v>
      </c>
      <c r="AR138" s="4">
        <v>2009</v>
      </c>
      <c r="AS138" s="4" t="s">
        <v>25</v>
      </c>
      <c r="AT138" s="5">
        <v>347</v>
      </c>
      <c r="AW138" s="4" t="s">
        <v>172</v>
      </c>
      <c r="AX138" s="4">
        <v>2009</v>
      </c>
      <c r="AY138" s="4" t="s">
        <v>25</v>
      </c>
      <c r="AZ138" s="5">
        <v>355</v>
      </c>
      <c r="BC138" s="4" t="s">
        <v>174</v>
      </c>
      <c r="BD138" s="4">
        <v>2009</v>
      </c>
      <c r="BE138" s="4" t="s">
        <v>25</v>
      </c>
      <c r="BF138" s="5">
        <v>159</v>
      </c>
      <c r="BI138" s="4" t="s">
        <v>74</v>
      </c>
      <c r="BJ138" s="4">
        <v>2009</v>
      </c>
      <c r="BK138" s="4" t="s">
        <v>25</v>
      </c>
      <c r="BL138" s="5">
        <v>1580</v>
      </c>
      <c r="BO138" s="4" t="s">
        <v>176</v>
      </c>
      <c r="BP138" s="4">
        <v>2009</v>
      </c>
      <c r="BQ138" s="4" t="s">
        <v>25</v>
      </c>
      <c r="BR138" s="5">
        <v>397</v>
      </c>
      <c r="BU138" s="4" t="s">
        <v>178</v>
      </c>
      <c r="BV138" s="4">
        <v>2009</v>
      </c>
      <c r="BW138" s="4" t="s">
        <v>25</v>
      </c>
      <c r="BX138" s="5">
        <v>870</v>
      </c>
      <c r="CA138" s="4" t="s">
        <v>75</v>
      </c>
      <c r="CB138" s="4">
        <v>2009</v>
      </c>
      <c r="CC138" s="4" t="s">
        <v>25</v>
      </c>
      <c r="CD138" s="5">
        <v>310</v>
      </c>
      <c r="CG138" s="4" t="s">
        <v>76</v>
      </c>
      <c r="CH138" s="4">
        <v>2009</v>
      </c>
      <c r="CI138" s="4" t="s">
        <v>25</v>
      </c>
      <c r="CJ138" s="5">
        <v>1378</v>
      </c>
      <c r="CM138" s="4" t="s">
        <v>183</v>
      </c>
      <c r="CN138" s="4">
        <v>2009</v>
      </c>
      <c r="CO138" s="4" t="s">
        <v>25</v>
      </c>
      <c r="CP138" s="5">
        <v>557</v>
      </c>
      <c r="CS138" s="4" t="s">
        <v>208</v>
      </c>
      <c r="CT138" s="4">
        <v>2009</v>
      </c>
      <c r="CU138" s="4" t="s">
        <v>26</v>
      </c>
      <c r="CV138" s="5">
        <v>1129</v>
      </c>
    </row>
    <row r="139" spans="1:100" x14ac:dyDescent="0.25">
      <c r="A139" s="4" t="s">
        <v>180</v>
      </c>
      <c r="B139" s="4">
        <v>2009</v>
      </c>
      <c r="C139" s="4" t="s">
        <v>26</v>
      </c>
      <c r="D139" s="5">
        <v>95</v>
      </c>
      <c r="G139" s="4" t="s">
        <v>71</v>
      </c>
      <c r="H139" s="4">
        <v>2009</v>
      </c>
      <c r="I139" s="4" t="s">
        <v>26</v>
      </c>
      <c r="J139" s="5">
        <v>1687</v>
      </c>
      <c r="M139" s="4" t="s">
        <v>164</v>
      </c>
      <c r="N139" s="4">
        <v>2009</v>
      </c>
      <c r="O139" s="4" t="s">
        <v>26</v>
      </c>
      <c r="P139" s="5">
        <v>1379</v>
      </c>
      <c r="S139" s="4" t="s">
        <v>166</v>
      </c>
      <c r="T139" s="4">
        <v>2009</v>
      </c>
      <c r="U139" s="4" t="s">
        <v>26</v>
      </c>
      <c r="V139" s="5">
        <v>609</v>
      </c>
      <c r="Y139" s="4" t="s">
        <v>168</v>
      </c>
      <c r="Z139" s="4">
        <v>2009</v>
      </c>
      <c r="AA139" s="4" t="s">
        <v>26</v>
      </c>
      <c r="AB139" s="5">
        <v>317</v>
      </c>
      <c r="AE139" s="4" t="s">
        <v>170</v>
      </c>
      <c r="AF139" s="4">
        <v>2009</v>
      </c>
      <c r="AG139" s="4" t="s">
        <v>26</v>
      </c>
      <c r="AH139" s="5">
        <v>1538</v>
      </c>
      <c r="AK139" s="4" t="s">
        <v>72</v>
      </c>
      <c r="AL139" s="4">
        <v>2009</v>
      </c>
      <c r="AM139" s="4" t="s">
        <v>26</v>
      </c>
      <c r="AN139" s="5">
        <v>511</v>
      </c>
      <c r="AO139" s="14"/>
      <c r="AQ139" s="4" t="s">
        <v>73</v>
      </c>
      <c r="AR139" s="4">
        <v>2009</v>
      </c>
      <c r="AS139" s="4" t="s">
        <v>26</v>
      </c>
      <c r="AT139" s="5">
        <v>373</v>
      </c>
      <c r="AW139" s="4" t="s">
        <v>172</v>
      </c>
      <c r="AX139" s="4">
        <v>2009</v>
      </c>
      <c r="AY139" s="4" t="s">
        <v>26</v>
      </c>
      <c r="AZ139" s="5">
        <v>389</v>
      </c>
      <c r="BC139" s="4" t="s">
        <v>174</v>
      </c>
      <c r="BD139" s="4">
        <v>2009</v>
      </c>
      <c r="BE139" s="4" t="s">
        <v>26</v>
      </c>
      <c r="BF139" s="5">
        <v>181</v>
      </c>
      <c r="BI139" s="4" t="s">
        <v>74</v>
      </c>
      <c r="BJ139" s="4">
        <v>2009</v>
      </c>
      <c r="BK139" s="4" t="s">
        <v>26</v>
      </c>
      <c r="BL139" s="5">
        <v>1531</v>
      </c>
      <c r="BO139" s="4" t="s">
        <v>176</v>
      </c>
      <c r="BP139" s="4">
        <v>2009</v>
      </c>
      <c r="BQ139" s="4" t="s">
        <v>26</v>
      </c>
      <c r="BR139" s="5">
        <v>387</v>
      </c>
      <c r="BU139" s="4" t="s">
        <v>178</v>
      </c>
      <c r="BV139" s="4">
        <v>2009</v>
      </c>
      <c r="BW139" s="4" t="s">
        <v>26</v>
      </c>
      <c r="BX139" s="5">
        <v>882</v>
      </c>
      <c r="CA139" s="4" t="s">
        <v>75</v>
      </c>
      <c r="CB139" s="4">
        <v>2009</v>
      </c>
      <c r="CC139" s="4" t="s">
        <v>26</v>
      </c>
      <c r="CD139" s="5">
        <v>273</v>
      </c>
      <c r="CG139" s="4" t="s">
        <v>76</v>
      </c>
      <c r="CH139" s="4">
        <v>2009</v>
      </c>
      <c r="CI139" s="4" t="s">
        <v>26</v>
      </c>
      <c r="CJ139" s="5">
        <v>1327</v>
      </c>
      <c r="CM139" s="4" t="s">
        <v>183</v>
      </c>
      <c r="CN139" s="4">
        <v>2009</v>
      </c>
      <c r="CO139" s="4" t="s">
        <v>26</v>
      </c>
      <c r="CP139" s="5">
        <v>490</v>
      </c>
      <c r="CS139" s="4" t="s">
        <v>208</v>
      </c>
      <c r="CT139" s="4">
        <v>2009</v>
      </c>
      <c r="CU139" s="4" t="s">
        <v>27</v>
      </c>
      <c r="CV139" s="5">
        <v>1118</v>
      </c>
    </row>
    <row r="140" spans="1:100" x14ac:dyDescent="0.25">
      <c r="A140" s="4" t="s">
        <v>180</v>
      </c>
      <c r="B140" s="4">
        <v>2009</v>
      </c>
      <c r="C140" s="4" t="s">
        <v>27</v>
      </c>
      <c r="D140" s="5">
        <v>93</v>
      </c>
      <c r="G140" s="4" t="s">
        <v>71</v>
      </c>
      <c r="H140" s="4">
        <v>2009</v>
      </c>
      <c r="I140" s="4" t="s">
        <v>27</v>
      </c>
      <c r="J140" s="5">
        <v>1542</v>
      </c>
      <c r="M140" s="4" t="s">
        <v>164</v>
      </c>
      <c r="N140" s="4">
        <v>2009</v>
      </c>
      <c r="O140" s="4" t="s">
        <v>27</v>
      </c>
      <c r="P140" s="5">
        <v>1297</v>
      </c>
      <c r="S140" s="4" t="s">
        <v>166</v>
      </c>
      <c r="T140" s="4">
        <v>2009</v>
      </c>
      <c r="U140" s="4" t="s">
        <v>27</v>
      </c>
      <c r="V140" s="5">
        <v>569</v>
      </c>
      <c r="Y140" s="4" t="s">
        <v>168</v>
      </c>
      <c r="Z140" s="4">
        <v>2009</v>
      </c>
      <c r="AA140" s="4" t="s">
        <v>27</v>
      </c>
      <c r="AB140" s="5">
        <v>277</v>
      </c>
      <c r="AE140" s="4" t="s">
        <v>170</v>
      </c>
      <c r="AF140" s="4">
        <v>2009</v>
      </c>
      <c r="AG140" s="4" t="s">
        <v>27</v>
      </c>
      <c r="AH140" s="5">
        <v>1517</v>
      </c>
      <c r="AK140" s="4" t="s">
        <v>72</v>
      </c>
      <c r="AL140" s="4">
        <v>2009</v>
      </c>
      <c r="AM140" s="4" t="s">
        <v>27</v>
      </c>
      <c r="AN140" s="5">
        <v>547</v>
      </c>
      <c r="AO140" s="14"/>
      <c r="AQ140" s="4" t="s">
        <v>73</v>
      </c>
      <c r="AR140" s="4">
        <v>2009</v>
      </c>
      <c r="AS140" s="4" t="s">
        <v>27</v>
      </c>
      <c r="AT140" s="5">
        <v>358</v>
      </c>
      <c r="AW140" s="4" t="s">
        <v>172</v>
      </c>
      <c r="AX140" s="4">
        <v>2009</v>
      </c>
      <c r="AY140" s="4" t="s">
        <v>27</v>
      </c>
      <c r="AZ140" s="5">
        <v>405</v>
      </c>
      <c r="BC140" s="4" t="s">
        <v>174</v>
      </c>
      <c r="BD140" s="4">
        <v>2009</v>
      </c>
      <c r="BE140" s="4" t="s">
        <v>27</v>
      </c>
      <c r="BF140" s="5">
        <v>161</v>
      </c>
      <c r="BI140" s="4" t="s">
        <v>74</v>
      </c>
      <c r="BJ140" s="4">
        <v>2009</v>
      </c>
      <c r="BK140" s="4" t="s">
        <v>27</v>
      </c>
      <c r="BL140" s="5">
        <v>1560</v>
      </c>
      <c r="BO140" s="4" t="s">
        <v>176</v>
      </c>
      <c r="BP140" s="4">
        <v>2009</v>
      </c>
      <c r="BQ140" s="4" t="s">
        <v>27</v>
      </c>
      <c r="BR140" s="5">
        <v>378</v>
      </c>
      <c r="BU140" s="4" t="s">
        <v>178</v>
      </c>
      <c r="BV140" s="4">
        <v>2009</v>
      </c>
      <c r="BW140" s="4" t="s">
        <v>27</v>
      </c>
      <c r="BX140" s="5">
        <v>861</v>
      </c>
      <c r="CA140" s="4" t="s">
        <v>75</v>
      </c>
      <c r="CB140" s="4">
        <v>2009</v>
      </c>
      <c r="CC140" s="4" t="s">
        <v>27</v>
      </c>
      <c r="CD140" s="5">
        <v>269</v>
      </c>
      <c r="CG140" s="4" t="s">
        <v>76</v>
      </c>
      <c r="CH140" s="4">
        <v>2009</v>
      </c>
      <c r="CI140" s="4" t="s">
        <v>27</v>
      </c>
      <c r="CJ140" s="5">
        <v>1368</v>
      </c>
      <c r="CM140" s="4" t="s">
        <v>183</v>
      </c>
      <c r="CN140" s="4">
        <v>2009</v>
      </c>
      <c r="CO140" s="4" t="s">
        <v>27</v>
      </c>
      <c r="CP140" s="5">
        <v>528</v>
      </c>
      <c r="CS140" s="4" t="s">
        <v>208</v>
      </c>
      <c r="CT140" s="4">
        <v>2009</v>
      </c>
      <c r="CU140" s="4" t="s">
        <v>28</v>
      </c>
      <c r="CV140" s="5">
        <v>928</v>
      </c>
    </row>
    <row r="141" spans="1:100" x14ac:dyDescent="0.25">
      <c r="A141" s="4" t="s">
        <v>180</v>
      </c>
      <c r="B141" s="4">
        <v>2009</v>
      </c>
      <c r="C141" s="4" t="s">
        <v>28</v>
      </c>
      <c r="D141" s="5">
        <v>76</v>
      </c>
      <c r="G141" s="4" t="s">
        <v>71</v>
      </c>
      <c r="H141" s="4">
        <v>2009</v>
      </c>
      <c r="I141" s="4" t="s">
        <v>28</v>
      </c>
      <c r="J141" s="5">
        <v>1594</v>
      </c>
      <c r="M141" s="4" t="s">
        <v>164</v>
      </c>
      <c r="N141" s="4">
        <v>2009</v>
      </c>
      <c r="O141" s="4" t="s">
        <v>28</v>
      </c>
      <c r="P141" s="5">
        <v>1280</v>
      </c>
      <c r="S141" s="4" t="s">
        <v>166</v>
      </c>
      <c r="T141" s="4">
        <v>2009</v>
      </c>
      <c r="U141" s="4" t="s">
        <v>28</v>
      </c>
      <c r="V141" s="5">
        <v>596</v>
      </c>
      <c r="Y141" s="4" t="s">
        <v>168</v>
      </c>
      <c r="Z141" s="4">
        <v>2009</v>
      </c>
      <c r="AA141" s="4" t="s">
        <v>28</v>
      </c>
      <c r="AB141" s="5">
        <v>290</v>
      </c>
      <c r="AE141" s="4" t="s">
        <v>170</v>
      </c>
      <c r="AF141" s="4">
        <v>2009</v>
      </c>
      <c r="AG141" s="4" t="s">
        <v>28</v>
      </c>
      <c r="AH141" s="5">
        <v>1519</v>
      </c>
      <c r="AK141" s="4" t="s">
        <v>72</v>
      </c>
      <c r="AL141" s="4">
        <v>2009</v>
      </c>
      <c r="AM141" s="4" t="s">
        <v>28</v>
      </c>
      <c r="AN141" s="5">
        <v>538</v>
      </c>
      <c r="AO141" s="14"/>
      <c r="AQ141" s="4" t="s">
        <v>73</v>
      </c>
      <c r="AR141" s="4">
        <v>2009</v>
      </c>
      <c r="AS141" s="4" t="s">
        <v>28</v>
      </c>
      <c r="AT141" s="5">
        <v>362</v>
      </c>
      <c r="AW141" s="4" t="s">
        <v>172</v>
      </c>
      <c r="AX141" s="4">
        <v>2009</v>
      </c>
      <c r="AY141" s="4" t="s">
        <v>28</v>
      </c>
      <c r="AZ141" s="5">
        <v>454</v>
      </c>
      <c r="BC141" s="4" t="s">
        <v>174</v>
      </c>
      <c r="BD141" s="4">
        <v>2009</v>
      </c>
      <c r="BE141" s="4" t="s">
        <v>28</v>
      </c>
      <c r="BF141" s="5">
        <v>203</v>
      </c>
      <c r="BI141" s="4" t="s">
        <v>74</v>
      </c>
      <c r="BJ141" s="4">
        <v>2009</v>
      </c>
      <c r="BK141" s="4" t="s">
        <v>28</v>
      </c>
      <c r="BL141" s="5">
        <v>1596</v>
      </c>
      <c r="BO141" s="4" t="s">
        <v>176</v>
      </c>
      <c r="BP141" s="4">
        <v>2009</v>
      </c>
      <c r="BQ141" s="4" t="s">
        <v>28</v>
      </c>
      <c r="BR141" s="5">
        <v>340</v>
      </c>
      <c r="BU141" s="4" t="s">
        <v>178</v>
      </c>
      <c r="BV141" s="4">
        <v>2009</v>
      </c>
      <c r="BW141" s="4" t="s">
        <v>28</v>
      </c>
      <c r="BX141" s="5">
        <v>916</v>
      </c>
      <c r="CA141" s="4" t="s">
        <v>75</v>
      </c>
      <c r="CB141" s="4">
        <v>2009</v>
      </c>
      <c r="CC141" s="4" t="s">
        <v>28</v>
      </c>
      <c r="CD141" s="5">
        <v>254</v>
      </c>
      <c r="CG141" s="4" t="s">
        <v>76</v>
      </c>
      <c r="CH141" s="4">
        <v>2009</v>
      </c>
      <c r="CI141" s="4" t="s">
        <v>28</v>
      </c>
      <c r="CJ141" s="5">
        <v>1215</v>
      </c>
      <c r="CM141" s="4" t="s">
        <v>183</v>
      </c>
      <c r="CN141" s="4">
        <v>2009</v>
      </c>
      <c r="CO141" s="4" t="s">
        <v>28</v>
      </c>
      <c r="CP141" s="5">
        <v>462</v>
      </c>
      <c r="CS141" s="4" t="s">
        <v>208</v>
      </c>
      <c r="CT141" s="4">
        <v>2009</v>
      </c>
      <c r="CU141" s="4" t="s">
        <v>29</v>
      </c>
      <c r="CV141" s="5">
        <v>785</v>
      </c>
    </row>
    <row r="142" spans="1:100" x14ac:dyDescent="0.25">
      <c r="A142" s="4" t="s">
        <v>180</v>
      </c>
      <c r="B142" s="4">
        <v>2009</v>
      </c>
      <c r="C142" s="4" t="s">
        <v>29</v>
      </c>
      <c r="D142" s="5">
        <v>84</v>
      </c>
      <c r="G142" s="4" t="s">
        <v>71</v>
      </c>
      <c r="H142" s="4">
        <v>2009</v>
      </c>
      <c r="I142" s="4" t="s">
        <v>29</v>
      </c>
      <c r="J142" s="5">
        <v>1744</v>
      </c>
      <c r="M142" s="4" t="s">
        <v>164</v>
      </c>
      <c r="N142" s="4">
        <v>2009</v>
      </c>
      <c r="O142" s="4" t="s">
        <v>29</v>
      </c>
      <c r="P142" s="5">
        <v>1265</v>
      </c>
      <c r="S142" s="4" t="s">
        <v>166</v>
      </c>
      <c r="T142" s="4">
        <v>2009</v>
      </c>
      <c r="U142" s="4" t="s">
        <v>29</v>
      </c>
      <c r="V142" s="5">
        <v>618</v>
      </c>
      <c r="Y142" s="4" t="s">
        <v>168</v>
      </c>
      <c r="Z142" s="4">
        <v>2009</v>
      </c>
      <c r="AA142" s="4" t="s">
        <v>29</v>
      </c>
      <c r="AB142" s="5">
        <v>278</v>
      </c>
      <c r="AE142" s="4" t="s">
        <v>170</v>
      </c>
      <c r="AF142" s="4">
        <v>2009</v>
      </c>
      <c r="AG142" s="4" t="s">
        <v>29</v>
      </c>
      <c r="AH142" s="5">
        <v>1641</v>
      </c>
      <c r="AK142" s="4" t="s">
        <v>72</v>
      </c>
      <c r="AL142" s="4">
        <v>2009</v>
      </c>
      <c r="AM142" s="4" t="s">
        <v>29</v>
      </c>
      <c r="AN142" s="5">
        <v>480</v>
      </c>
      <c r="AO142" s="14"/>
      <c r="AQ142" s="4" t="s">
        <v>73</v>
      </c>
      <c r="AR142" s="4">
        <v>2009</v>
      </c>
      <c r="AS142" s="4" t="s">
        <v>29</v>
      </c>
      <c r="AT142" s="5">
        <v>261</v>
      </c>
      <c r="AW142" s="4" t="s">
        <v>172</v>
      </c>
      <c r="AX142" s="4">
        <v>2009</v>
      </c>
      <c r="AY142" s="4" t="s">
        <v>29</v>
      </c>
      <c r="AZ142" s="5">
        <v>424</v>
      </c>
      <c r="BC142" s="4" t="s">
        <v>174</v>
      </c>
      <c r="BD142" s="4">
        <v>2009</v>
      </c>
      <c r="BE142" s="4" t="s">
        <v>29</v>
      </c>
      <c r="BF142" s="5">
        <v>222</v>
      </c>
      <c r="BI142" s="4" t="s">
        <v>74</v>
      </c>
      <c r="BJ142" s="4">
        <v>2009</v>
      </c>
      <c r="BK142" s="4" t="s">
        <v>29</v>
      </c>
      <c r="BL142" s="5">
        <v>1488</v>
      </c>
      <c r="BO142" s="4" t="s">
        <v>176</v>
      </c>
      <c r="BP142" s="4">
        <v>2009</v>
      </c>
      <c r="BQ142" s="4" t="s">
        <v>29</v>
      </c>
      <c r="BR142" s="5">
        <v>306</v>
      </c>
      <c r="BU142" s="4" t="s">
        <v>178</v>
      </c>
      <c r="BV142" s="4">
        <v>2009</v>
      </c>
      <c r="BW142" s="4" t="s">
        <v>29</v>
      </c>
      <c r="BX142" s="5">
        <v>974</v>
      </c>
      <c r="CA142" s="4" t="s">
        <v>75</v>
      </c>
      <c r="CB142" s="4">
        <v>2009</v>
      </c>
      <c r="CC142" s="4" t="s">
        <v>29</v>
      </c>
      <c r="CD142" s="5">
        <v>302</v>
      </c>
      <c r="CG142" s="4" t="s">
        <v>76</v>
      </c>
      <c r="CH142" s="4">
        <v>2009</v>
      </c>
      <c r="CI142" s="4" t="s">
        <v>29</v>
      </c>
      <c r="CJ142" s="5">
        <v>1302</v>
      </c>
      <c r="CM142" s="4" t="s">
        <v>183</v>
      </c>
      <c r="CN142" s="4">
        <v>2009</v>
      </c>
      <c r="CO142" s="4" t="s">
        <v>29</v>
      </c>
      <c r="CP142" s="5">
        <v>541</v>
      </c>
      <c r="CS142" s="4" t="s">
        <v>208</v>
      </c>
      <c r="CT142" s="4">
        <v>2009</v>
      </c>
      <c r="CU142" s="4" t="s">
        <v>30</v>
      </c>
      <c r="CV142" s="5">
        <v>748</v>
      </c>
    </row>
    <row r="143" spans="1:100" x14ac:dyDescent="0.25">
      <c r="A143" s="4" t="s">
        <v>180</v>
      </c>
      <c r="B143" s="4">
        <v>2009</v>
      </c>
      <c r="C143" s="4" t="s">
        <v>30</v>
      </c>
      <c r="D143" s="5">
        <v>96</v>
      </c>
      <c r="G143" s="4" t="s">
        <v>71</v>
      </c>
      <c r="H143" s="4">
        <v>2009</v>
      </c>
      <c r="I143" s="4" t="s">
        <v>30</v>
      </c>
      <c r="J143" s="5">
        <v>1780</v>
      </c>
      <c r="M143" s="4" t="s">
        <v>164</v>
      </c>
      <c r="N143" s="4">
        <v>2009</v>
      </c>
      <c r="O143" s="4" t="s">
        <v>30</v>
      </c>
      <c r="P143" s="5">
        <v>1219</v>
      </c>
      <c r="S143" s="4" t="s">
        <v>166</v>
      </c>
      <c r="T143" s="4">
        <v>2009</v>
      </c>
      <c r="U143" s="4" t="s">
        <v>30</v>
      </c>
      <c r="V143" s="5">
        <v>663</v>
      </c>
      <c r="Y143" s="4" t="s">
        <v>168</v>
      </c>
      <c r="Z143" s="4">
        <v>2009</v>
      </c>
      <c r="AA143" s="4" t="s">
        <v>30</v>
      </c>
      <c r="AB143" s="5">
        <v>291</v>
      </c>
      <c r="AE143" s="4" t="s">
        <v>170</v>
      </c>
      <c r="AF143" s="4">
        <v>2009</v>
      </c>
      <c r="AG143" s="4" t="s">
        <v>30</v>
      </c>
      <c r="AH143" s="5">
        <v>1588</v>
      </c>
      <c r="AK143" s="4" t="s">
        <v>72</v>
      </c>
      <c r="AL143" s="4">
        <v>2009</v>
      </c>
      <c r="AM143" s="4" t="s">
        <v>30</v>
      </c>
      <c r="AN143" s="5">
        <v>493</v>
      </c>
      <c r="AO143" s="14"/>
      <c r="AQ143" s="4" t="s">
        <v>73</v>
      </c>
      <c r="AR143" s="4">
        <v>2009</v>
      </c>
      <c r="AS143" s="4" t="s">
        <v>30</v>
      </c>
      <c r="AT143" s="5">
        <v>243</v>
      </c>
      <c r="AW143" s="4" t="s">
        <v>172</v>
      </c>
      <c r="AX143" s="4">
        <v>2009</v>
      </c>
      <c r="AY143" s="4" t="s">
        <v>30</v>
      </c>
      <c r="AZ143" s="5">
        <v>411</v>
      </c>
      <c r="BC143" s="4" t="s">
        <v>174</v>
      </c>
      <c r="BD143" s="4">
        <v>2009</v>
      </c>
      <c r="BE143" s="4" t="s">
        <v>30</v>
      </c>
      <c r="BF143" s="5">
        <v>208</v>
      </c>
      <c r="BI143" s="4" t="s">
        <v>74</v>
      </c>
      <c r="BJ143" s="4">
        <v>2009</v>
      </c>
      <c r="BK143" s="4" t="s">
        <v>30</v>
      </c>
      <c r="BL143" s="5">
        <v>1514</v>
      </c>
      <c r="BO143" s="4" t="s">
        <v>176</v>
      </c>
      <c r="BP143" s="4">
        <v>2009</v>
      </c>
      <c r="BQ143" s="4" t="s">
        <v>30</v>
      </c>
      <c r="BR143" s="5">
        <v>269</v>
      </c>
      <c r="BU143" s="4" t="s">
        <v>178</v>
      </c>
      <c r="BV143" s="4">
        <v>2009</v>
      </c>
      <c r="BW143" s="4" t="s">
        <v>30</v>
      </c>
      <c r="BX143" s="5">
        <v>899</v>
      </c>
      <c r="CA143" s="4" t="s">
        <v>75</v>
      </c>
      <c r="CB143" s="4">
        <v>2009</v>
      </c>
      <c r="CC143" s="4" t="s">
        <v>30</v>
      </c>
      <c r="CD143" s="5">
        <v>341</v>
      </c>
      <c r="CG143" s="4" t="s">
        <v>76</v>
      </c>
      <c r="CH143" s="4">
        <v>2009</v>
      </c>
      <c r="CI143" s="4" t="s">
        <v>30</v>
      </c>
      <c r="CJ143" s="5">
        <v>1183</v>
      </c>
      <c r="CM143" s="4" t="s">
        <v>183</v>
      </c>
      <c r="CN143" s="4">
        <v>2009</v>
      </c>
      <c r="CO143" s="4" t="s">
        <v>30</v>
      </c>
      <c r="CP143" s="5">
        <v>491</v>
      </c>
      <c r="CS143" s="4" t="s">
        <v>208</v>
      </c>
      <c r="CT143" s="4">
        <v>2009</v>
      </c>
      <c r="CU143" s="4" t="s">
        <v>19</v>
      </c>
      <c r="CV143" s="5">
        <v>797</v>
      </c>
    </row>
    <row r="144" spans="1:100" x14ac:dyDescent="0.25">
      <c r="A144" s="4" t="s">
        <v>180</v>
      </c>
      <c r="B144" s="4">
        <v>2009</v>
      </c>
      <c r="C144" s="4" t="s">
        <v>19</v>
      </c>
      <c r="D144" s="5">
        <v>89</v>
      </c>
      <c r="G144" s="4" t="s">
        <v>71</v>
      </c>
      <c r="H144" s="4">
        <v>2009</v>
      </c>
      <c r="I144" s="4" t="s">
        <v>19</v>
      </c>
      <c r="J144" s="5">
        <v>2044</v>
      </c>
      <c r="M144" s="4" t="s">
        <v>164</v>
      </c>
      <c r="N144" s="4">
        <v>2009</v>
      </c>
      <c r="O144" s="4" t="s">
        <v>19</v>
      </c>
      <c r="P144" s="5">
        <v>1245</v>
      </c>
      <c r="S144" s="4" t="s">
        <v>166</v>
      </c>
      <c r="T144" s="4">
        <v>2009</v>
      </c>
      <c r="U144" s="4" t="s">
        <v>19</v>
      </c>
      <c r="V144" s="5">
        <v>502</v>
      </c>
      <c r="Y144" s="4" t="s">
        <v>168</v>
      </c>
      <c r="Z144" s="4">
        <v>2009</v>
      </c>
      <c r="AA144" s="4" t="s">
        <v>19</v>
      </c>
      <c r="AB144" s="5">
        <v>307</v>
      </c>
      <c r="AE144" s="4" t="s">
        <v>170</v>
      </c>
      <c r="AF144" s="4">
        <v>2009</v>
      </c>
      <c r="AG144" s="4" t="s">
        <v>19</v>
      </c>
      <c r="AH144" s="5">
        <v>1544</v>
      </c>
      <c r="AK144" s="4" t="s">
        <v>72</v>
      </c>
      <c r="AL144" s="4">
        <v>2009</v>
      </c>
      <c r="AM144" s="4" t="s">
        <v>19</v>
      </c>
      <c r="AN144" s="5">
        <v>539</v>
      </c>
      <c r="AO144" s="14"/>
      <c r="AQ144" s="4" t="s">
        <v>73</v>
      </c>
      <c r="AR144" s="4">
        <v>2009</v>
      </c>
      <c r="AS144" s="4" t="s">
        <v>19</v>
      </c>
      <c r="AT144" s="5">
        <v>256</v>
      </c>
      <c r="AW144" s="4" t="s">
        <v>172</v>
      </c>
      <c r="AX144" s="4">
        <v>2009</v>
      </c>
      <c r="AY144" s="4" t="s">
        <v>19</v>
      </c>
      <c r="AZ144" s="5">
        <v>430</v>
      </c>
      <c r="BC144" s="4" t="s">
        <v>174</v>
      </c>
      <c r="BD144" s="4">
        <v>2009</v>
      </c>
      <c r="BE144" s="4" t="s">
        <v>19</v>
      </c>
      <c r="BF144" s="5">
        <v>235</v>
      </c>
      <c r="BI144" s="4" t="s">
        <v>74</v>
      </c>
      <c r="BJ144" s="4">
        <v>2009</v>
      </c>
      <c r="BK144" s="4" t="s">
        <v>19</v>
      </c>
      <c r="BL144" s="5">
        <v>1486</v>
      </c>
      <c r="BO144" s="4" t="s">
        <v>176</v>
      </c>
      <c r="BP144" s="4">
        <v>2009</v>
      </c>
      <c r="BQ144" s="4" t="s">
        <v>19</v>
      </c>
      <c r="BR144" s="5">
        <v>253</v>
      </c>
      <c r="BU144" s="4" t="s">
        <v>178</v>
      </c>
      <c r="BV144" s="4">
        <v>2009</v>
      </c>
      <c r="BW144" s="4" t="s">
        <v>19</v>
      </c>
      <c r="BX144" s="5">
        <v>930</v>
      </c>
      <c r="CA144" s="4" t="s">
        <v>75</v>
      </c>
      <c r="CB144" s="4">
        <v>2009</v>
      </c>
      <c r="CC144" s="4" t="s">
        <v>19</v>
      </c>
      <c r="CD144" s="5">
        <v>321</v>
      </c>
      <c r="CG144" s="4" t="s">
        <v>76</v>
      </c>
      <c r="CH144" s="4">
        <v>2009</v>
      </c>
      <c r="CI144" s="4" t="s">
        <v>19</v>
      </c>
      <c r="CJ144" s="5">
        <v>1303</v>
      </c>
      <c r="CM144" s="4" t="s">
        <v>183</v>
      </c>
      <c r="CN144" s="4">
        <v>2009</v>
      </c>
      <c r="CO144" s="4" t="s">
        <v>19</v>
      </c>
      <c r="CP144" s="5">
        <v>513</v>
      </c>
      <c r="CS144" s="4" t="s">
        <v>208</v>
      </c>
      <c r="CT144" s="4">
        <v>2009</v>
      </c>
      <c r="CU144" s="4" t="s">
        <v>96</v>
      </c>
      <c r="CV144" s="5">
        <v>799</v>
      </c>
    </row>
    <row r="145" spans="1:100" x14ac:dyDescent="0.25">
      <c r="A145" s="4" t="s">
        <v>180</v>
      </c>
      <c r="B145" s="4">
        <v>2009</v>
      </c>
      <c r="C145" s="4" t="s">
        <v>96</v>
      </c>
      <c r="D145" s="5">
        <v>90</v>
      </c>
      <c r="G145" s="4" t="s">
        <v>71</v>
      </c>
      <c r="H145" s="4">
        <v>2009</v>
      </c>
      <c r="I145" s="4" t="s">
        <v>96</v>
      </c>
      <c r="J145" s="5">
        <v>1770</v>
      </c>
      <c r="M145" s="4" t="s">
        <v>164</v>
      </c>
      <c r="N145" s="4">
        <v>2009</v>
      </c>
      <c r="O145" s="4" t="s">
        <v>96</v>
      </c>
      <c r="P145" s="5">
        <v>1279</v>
      </c>
      <c r="S145" s="4" t="s">
        <v>166</v>
      </c>
      <c r="T145" s="4">
        <v>2009</v>
      </c>
      <c r="U145" s="4" t="s">
        <v>96</v>
      </c>
      <c r="V145" s="5">
        <v>611</v>
      </c>
      <c r="Y145" s="4" t="s">
        <v>168</v>
      </c>
      <c r="Z145" s="4">
        <v>2009</v>
      </c>
      <c r="AA145" s="4" t="s">
        <v>96</v>
      </c>
      <c r="AB145" s="5">
        <v>280</v>
      </c>
      <c r="AE145" s="4" t="s">
        <v>170</v>
      </c>
      <c r="AF145" s="4">
        <v>2009</v>
      </c>
      <c r="AG145" s="4" t="s">
        <v>96</v>
      </c>
      <c r="AH145" s="5">
        <v>1564</v>
      </c>
      <c r="AK145" s="4" t="s">
        <v>72</v>
      </c>
      <c r="AL145" s="4">
        <v>2009</v>
      </c>
      <c r="AM145" s="4" t="s">
        <v>96</v>
      </c>
      <c r="AN145" s="5">
        <v>525</v>
      </c>
      <c r="AO145" s="14"/>
      <c r="AQ145" s="4" t="s">
        <v>73</v>
      </c>
      <c r="AR145" s="4">
        <v>2009</v>
      </c>
      <c r="AS145" s="4" t="s">
        <v>96</v>
      </c>
      <c r="AT145" s="5">
        <v>294</v>
      </c>
      <c r="AW145" s="4" t="s">
        <v>172</v>
      </c>
      <c r="AX145" s="4">
        <v>2009</v>
      </c>
      <c r="AY145" s="4" t="s">
        <v>96</v>
      </c>
      <c r="AZ145" s="5">
        <v>395</v>
      </c>
      <c r="BC145" s="4" t="s">
        <v>174</v>
      </c>
      <c r="BD145" s="4">
        <v>2009</v>
      </c>
      <c r="BE145" s="4" t="s">
        <v>96</v>
      </c>
      <c r="BF145" s="5">
        <v>203</v>
      </c>
      <c r="BI145" s="4" t="s">
        <v>74</v>
      </c>
      <c r="BJ145" s="4">
        <v>2009</v>
      </c>
      <c r="BK145" s="4" t="s">
        <v>96</v>
      </c>
      <c r="BL145" s="5">
        <v>1522</v>
      </c>
      <c r="BO145" s="4" t="s">
        <v>176</v>
      </c>
      <c r="BP145" s="4">
        <v>2009</v>
      </c>
      <c r="BQ145" s="4" t="s">
        <v>96</v>
      </c>
      <c r="BR145" s="5">
        <v>274</v>
      </c>
      <c r="BU145" s="4" t="s">
        <v>178</v>
      </c>
      <c r="BV145" s="4">
        <v>2009</v>
      </c>
      <c r="BW145" s="4" t="s">
        <v>96</v>
      </c>
      <c r="BX145" s="5">
        <v>826</v>
      </c>
      <c r="CA145" s="4" t="s">
        <v>75</v>
      </c>
      <c r="CB145" s="4">
        <v>2009</v>
      </c>
      <c r="CC145" s="4" t="s">
        <v>96</v>
      </c>
      <c r="CD145" s="5">
        <v>279</v>
      </c>
      <c r="CG145" s="4" t="s">
        <v>76</v>
      </c>
      <c r="CH145" s="4">
        <v>2009</v>
      </c>
      <c r="CI145" s="4" t="s">
        <v>96</v>
      </c>
      <c r="CJ145" s="5">
        <v>1263</v>
      </c>
      <c r="CM145" s="4" t="s">
        <v>183</v>
      </c>
      <c r="CN145" s="4">
        <v>2009</v>
      </c>
      <c r="CO145" s="4" t="s">
        <v>96</v>
      </c>
      <c r="CP145" s="5">
        <v>477</v>
      </c>
      <c r="CS145" s="4" t="s">
        <v>208</v>
      </c>
      <c r="CT145" s="4">
        <v>2010</v>
      </c>
      <c r="CU145" s="4" t="s">
        <v>20</v>
      </c>
      <c r="CV145" s="5">
        <v>948</v>
      </c>
    </row>
    <row r="146" spans="1:100" x14ac:dyDescent="0.25">
      <c r="A146" s="4" t="s">
        <v>180</v>
      </c>
      <c r="B146" s="4">
        <v>2010</v>
      </c>
      <c r="C146" s="4" t="s">
        <v>20</v>
      </c>
      <c r="D146" s="5">
        <v>68</v>
      </c>
      <c r="G146" s="4" t="s">
        <v>71</v>
      </c>
      <c r="H146" s="4">
        <v>2010</v>
      </c>
      <c r="I146" s="4" t="s">
        <v>20</v>
      </c>
      <c r="J146" s="5">
        <v>2194</v>
      </c>
      <c r="M146" s="4" t="s">
        <v>164</v>
      </c>
      <c r="N146" s="4">
        <v>2010</v>
      </c>
      <c r="O146" s="4" t="s">
        <v>20</v>
      </c>
      <c r="P146" s="5">
        <v>1318</v>
      </c>
      <c r="S146" s="4" t="s">
        <v>166</v>
      </c>
      <c r="T146" s="4">
        <v>2010</v>
      </c>
      <c r="U146" s="4" t="s">
        <v>20</v>
      </c>
      <c r="V146" s="5">
        <v>600</v>
      </c>
      <c r="Y146" s="4" t="s">
        <v>168</v>
      </c>
      <c r="Z146" s="4">
        <v>2010</v>
      </c>
      <c r="AA146" s="4" t="s">
        <v>20</v>
      </c>
      <c r="AB146" s="5">
        <v>339</v>
      </c>
      <c r="AE146" s="4" t="s">
        <v>170</v>
      </c>
      <c r="AF146" s="4">
        <v>2010</v>
      </c>
      <c r="AG146" s="4" t="s">
        <v>20</v>
      </c>
      <c r="AH146" s="5">
        <v>1815</v>
      </c>
      <c r="AK146" s="4" t="s">
        <v>72</v>
      </c>
      <c r="AL146" s="4">
        <v>2010</v>
      </c>
      <c r="AM146" s="4" t="s">
        <v>20</v>
      </c>
      <c r="AN146" s="5">
        <v>657</v>
      </c>
      <c r="AO146" s="14"/>
      <c r="AQ146" s="4" t="s">
        <v>73</v>
      </c>
      <c r="AR146" s="4">
        <v>2010</v>
      </c>
      <c r="AS146" s="4" t="s">
        <v>20</v>
      </c>
      <c r="AT146" s="5">
        <v>313</v>
      </c>
      <c r="AW146" s="4" t="s">
        <v>172</v>
      </c>
      <c r="AX146" s="4">
        <v>2010</v>
      </c>
      <c r="AY146" s="4" t="s">
        <v>20</v>
      </c>
      <c r="AZ146" s="5">
        <v>420</v>
      </c>
      <c r="BC146" s="4" t="s">
        <v>174</v>
      </c>
      <c r="BD146" s="4">
        <v>2010</v>
      </c>
      <c r="BE146" s="4" t="s">
        <v>20</v>
      </c>
      <c r="BF146" s="5">
        <v>203</v>
      </c>
      <c r="BI146" s="4" t="s">
        <v>74</v>
      </c>
      <c r="BJ146" s="4">
        <v>2010</v>
      </c>
      <c r="BK146" s="4" t="s">
        <v>20</v>
      </c>
      <c r="BL146" s="5">
        <v>1614</v>
      </c>
      <c r="BO146" s="4" t="s">
        <v>176</v>
      </c>
      <c r="BP146" s="4">
        <v>2010</v>
      </c>
      <c r="BQ146" s="4" t="s">
        <v>20</v>
      </c>
      <c r="BR146" s="5">
        <v>256</v>
      </c>
      <c r="BU146" s="4" t="s">
        <v>178</v>
      </c>
      <c r="BV146" s="4">
        <v>2010</v>
      </c>
      <c r="BW146" s="4" t="s">
        <v>20</v>
      </c>
      <c r="BX146" s="5">
        <v>919</v>
      </c>
      <c r="CA146" s="4" t="s">
        <v>75</v>
      </c>
      <c r="CB146" s="4">
        <v>2010</v>
      </c>
      <c r="CC146" s="4" t="s">
        <v>20</v>
      </c>
      <c r="CD146" s="5">
        <v>370</v>
      </c>
      <c r="CG146" s="4" t="s">
        <v>76</v>
      </c>
      <c r="CH146" s="4">
        <v>2010</v>
      </c>
      <c r="CI146" s="4" t="s">
        <v>20</v>
      </c>
      <c r="CJ146" s="5">
        <v>1434</v>
      </c>
      <c r="CM146" s="4" t="s">
        <v>183</v>
      </c>
      <c r="CN146" s="4">
        <v>2010</v>
      </c>
      <c r="CO146" s="4" t="s">
        <v>20</v>
      </c>
      <c r="CP146" s="5">
        <v>609</v>
      </c>
      <c r="CS146" s="4" t="s">
        <v>208</v>
      </c>
      <c r="CT146" s="4">
        <v>2010</v>
      </c>
      <c r="CU146" s="4" t="s">
        <v>21</v>
      </c>
      <c r="CV146" s="5">
        <v>880</v>
      </c>
    </row>
    <row r="147" spans="1:100" x14ac:dyDescent="0.25">
      <c r="A147" s="4" t="s">
        <v>180</v>
      </c>
      <c r="B147" s="4">
        <v>2010</v>
      </c>
      <c r="C147" s="4" t="s">
        <v>21</v>
      </c>
      <c r="D147" s="5">
        <v>79</v>
      </c>
      <c r="G147" s="4" t="s">
        <v>71</v>
      </c>
      <c r="H147" s="4">
        <v>2010</v>
      </c>
      <c r="I147" s="4" t="s">
        <v>21</v>
      </c>
      <c r="J147" s="5">
        <v>2440</v>
      </c>
      <c r="M147" s="4" t="s">
        <v>164</v>
      </c>
      <c r="N147" s="4">
        <v>2010</v>
      </c>
      <c r="O147" s="4" t="s">
        <v>21</v>
      </c>
      <c r="P147" s="5">
        <v>1276</v>
      </c>
      <c r="S147" s="4" t="s">
        <v>166</v>
      </c>
      <c r="T147" s="4">
        <v>2010</v>
      </c>
      <c r="U147" s="4" t="s">
        <v>21</v>
      </c>
      <c r="V147" s="5">
        <v>538</v>
      </c>
      <c r="Y147" s="4" t="s">
        <v>168</v>
      </c>
      <c r="Z147" s="4">
        <v>2010</v>
      </c>
      <c r="AA147" s="4" t="s">
        <v>21</v>
      </c>
      <c r="AB147" s="5">
        <v>294</v>
      </c>
      <c r="AE147" s="4" t="s">
        <v>170</v>
      </c>
      <c r="AF147" s="4">
        <v>2010</v>
      </c>
      <c r="AG147" s="4" t="s">
        <v>21</v>
      </c>
      <c r="AH147" s="5">
        <v>1776</v>
      </c>
      <c r="AK147" s="4" t="s">
        <v>72</v>
      </c>
      <c r="AL147" s="4">
        <v>2010</v>
      </c>
      <c r="AM147" s="4" t="s">
        <v>21</v>
      </c>
      <c r="AN147" s="5">
        <v>591</v>
      </c>
      <c r="AO147" s="14"/>
      <c r="AQ147" s="4" t="s">
        <v>73</v>
      </c>
      <c r="AR147" s="4">
        <v>2010</v>
      </c>
      <c r="AS147" s="4" t="s">
        <v>21</v>
      </c>
      <c r="AT147" s="5">
        <v>300</v>
      </c>
      <c r="AW147" s="4" t="s">
        <v>172</v>
      </c>
      <c r="AX147" s="4">
        <v>2010</v>
      </c>
      <c r="AY147" s="4" t="s">
        <v>21</v>
      </c>
      <c r="AZ147" s="5">
        <v>532</v>
      </c>
      <c r="BC147" s="4" t="s">
        <v>174</v>
      </c>
      <c r="BD147" s="4">
        <v>2010</v>
      </c>
      <c r="BE147" s="4" t="s">
        <v>21</v>
      </c>
      <c r="BF147" s="5">
        <v>176</v>
      </c>
      <c r="BI147" s="4" t="s">
        <v>74</v>
      </c>
      <c r="BJ147" s="4">
        <v>2010</v>
      </c>
      <c r="BK147" s="4" t="s">
        <v>21</v>
      </c>
      <c r="BL147" s="5">
        <v>1740</v>
      </c>
      <c r="BO147" s="4" t="s">
        <v>176</v>
      </c>
      <c r="BP147" s="4">
        <v>2010</v>
      </c>
      <c r="BQ147" s="4" t="s">
        <v>21</v>
      </c>
      <c r="BR147" s="5">
        <v>229</v>
      </c>
      <c r="BU147" s="4" t="s">
        <v>178</v>
      </c>
      <c r="BV147" s="4">
        <v>2010</v>
      </c>
      <c r="BW147" s="4" t="s">
        <v>21</v>
      </c>
      <c r="BX147" s="5">
        <v>971</v>
      </c>
      <c r="CA147" s="4" t="s">
        <v>75</v>
      </c>
      <c r="CB147" s="4">
        <v>2010</v>
      </c>
      <c r="CC147" s="4" t="s">
        <v>21</v>
      </c>
      <c r="CD147" s="5">
        <v>280</v>
      </c>
      <c r="CG147" s="4" t="s">
        <v>76</v>
      </c>
      <c r="CH147" s="4">
        <v>2010</v>
      </c>
      <c r="CI147" s="4" t="s">
        <v>21</v>
      </c>
      <c r="CJ147" s="5">
        <v>1318</v>
      </c>
      <c r="CM147" s="4" t="s">
        <v>183</v>
      </c>
      <c r="CN147" s="4">
        <v>2010</v>
      </c>
      <c r="CO147" s="4" t="s">
        <v>21</v>
      </c>
      <c r="CP147" s="5">
        <v>603</v>
      </c>
      <c r="CS147" s="4" t="s">
        <v>208</v>
      </c>
      <c r="CT147" s="4">
        <v>2010</v>
      </c>
      <c r="CU147" s="4" t="s">
        <v>22</v>
      </c>
      <c r="CV147" s="5">
        <v>881</v>
      </c>
    </row>
    <row r="148" spans="1:100" x14ac:dyDescent="0.25">
      <c r="A148" s="4" t="s">
        <v>180</v>
      </c>
      <c r="B148" s="4">
        <v>2010</v>
      </c>
      <c r="C148" s="4" t="s">
        <v>22</v>
      </c>
      <c r="D148" s="5">
        <v>73</v>
      </c>
      <c r="G148" s="4" t="s">
        <v>71</v>
      </c>
      <c r="H148" s="4">
        <v>2010</v>
      </c>
      <c r="I148" s="4" t="s">
        <v>22</v>
      </c>
      <c r="J148" s="5">
        <v>2251</v>
      </c>
      <c r="M148" s="4" t="s">
        <v>164</v>
      </c>
      <c r="N148" s="4">
        <v>2010</v>
      </c>
      <c r="O148" s="4" t="s">
        <v>22</v>
      </c>
      <c r="P148" s="5">
        <v>1289</v>
      </c>
      <c r="S148" s="4" t="s">
        <v>166</v>
      </c>
      <c r="T148" s="4">
        <v>2010</v>
      </c>
      <c r="U148" s="4" t="s">
        <v>22</v>
      </c>
      <c r="V148" s="5">
        <v>608</v>
      </c>
      <c r="Y148" s="4" t="s">
        <v>168</v>
      </c>
      <c r="Z148" s="4">
        <v>2010</v>
      </c>
      <c r="AA148" s="4" t="s">
        <v>22</v>
      </c>
      <c r="AB148" s="5">
        <v>303</v>
      </c>
      <c r="AE148" s="4" t="s">
        <v>170</v>
      </c>
      <c r="AF148" s="4">
        <v>2010</v>
      </c>
      <c r="AG148" s="4" t="s">
        <v>22</v>
      </c>
      <c r="AH148" s="5">
        <v>1794</v>
      </c>
      <c r="AK148" s="4" t="s">
        <v>72</v>
      </c>
      <c r="AL148" s="4">
        <v>2010</v>
      </c>
      <c r="AM148" s="4" t="s">
        <v>22</v>
      </c>
      <c r="AN148" s="5">
        <v>569</v>
      </c>
      <c r="AO148" s="14"/>
      <c r="AQ148" s="4" t="s">
        <v>73</v>
      </c>
      <c r="AR148" s="4">
        <v>2010</v>
      </c>
      <c r="AS148" s="4" t="s">
        <v>22</v>
      </c>
      <c r="AT148" s="5">
        <v>322</v>
      </c>
      <c r="AW148" s="4" t="s">
        <v>172</v>
      </c>
      <c r="AX148" s="4">
        <v>2010</v>
      </c>
      <c r="AY148" s="4" t="s">
        <v>22</v>
      </c>
      <c r="AZ148" s="5">
        <v>522</v>
      </c>
      <c r="BC148" s="4" t="s">
        <v>174</v>
      </c>
      <c r="BD148" s="4">
        <v>2010</v>
      </c>
      <c r="BE148" s="4" t="s">
        <v>22</v>
      </c>
      <c r="BF148" s="5">
        <v>196</v>
      </c>
      <c r="BI148" s="4" t="s">
        <v>74</v>
      </c>
      <c r="BJ148" s="4">
        <v>2010</v>
      </c>
      <c r="BK148" s="4" t="s">
        <v>22</v>
      </c>
      <c r="BL148" s="5">
        <v>1785</v>
      </c>
      <c r="BO148" s="4" t="s">
        <v>176</v>
      </c>
      <c r="BP148" s="4">
        <v>2010</v>
      </c>
      <c r="BQ148" s="4" t="s">
        <v>22</v>
      </c>
      <c r="BR148" s="5">
        <v>217</v>
      </c>
      <c r="BU148" s="4" t="s">
        <v>178</v>
      </c>
      <c r="BV148" s="4">
        <v>2010</v>
      </c>
      <c r="BW148" s="4" t="s">
        <v>22</v>
      </c>
      <c r="BX148" s="5">
        <v>884</v>
      </c>
      <c r="CA148" s="4" t="s">
        <v>75</v>
      </c>
      <c r="CB148" s="4">
        <v>2010</v>
      </c>
      <c r="CC148" s="4" t="s">
        <v>22</v>
      </c>
      <c r="CD148" s="5">
        <v>282</v>
      </c>
      <c r="CG148" s="4" t="s">
        <v>76</v>
      </c>
      <c r="CH148" s="4">
        <v>2010</v>
      </c>
      <c r="CI148" s="4" t="s">
        <v>22</v>
      </c>
      <c r="CJ148" s="5">
        <v>1289</v>
      </c>
      <c r="CM148" s="4" t="s">
        <v>183</v>
      </c>
      <c r="CN148" s="4">
        <v>2010</v>
      </c>
      <c r="CO148" s="4" t="s">
        <v>22</v>
      </c>
      <c r="CP148" s="5">
        <v>517</v>
      </c>
      <c r="CS148" s="4" t="s">
        <v>208</v>
      </c>
      <c r="CT148" s="4">
        <v>2010</v>
      </c>
      <c r="CU148" s="4" t="s">
        <v>23</v>
      </c>
      <c r="CV148" s="5">
        <v>769</v>
      </c>
    </row>
    <row r="149" spans="1:100" x14ac:dyDescent="0.25">
      <c r="A149" s="4" t="s">
        <v>180</v>
      </c>
      <c r="B149" s="4">
        <v>2010</v>
      </c>
      <c r="C149" s="4" t="s">
        <v>23</v>
      </c>
      <c r="D149" s="5">
        <v>69</v>
      </c>
      <c r="G149" s="4" t="s">
        <v>71</v>
      </c>
      <c r="H149" s="4">
        <v>2010</v>
      </c>
      <c r="I149" s="4" t="s">
        <v>23</v>
      </c>
      <c r="J149" s="5">
        <v>1919</v>
      </c>
      <c r="M149" s="4" t="s">
        <v>164</v>
      </c>
      <c r="N149" s="4">
        <v>2010</v>
      </c>
      <c r="O149" s="4" t="s">
        <v>23</v>
      </c>
      <c r="P149" s="5">
        <v>1100</v>
      </c>
      <c r="S149" s="4" t="s">
        <v>166</v>
      </c>
      <c r="T149" s="4">
        <v>2010</v>
      </c>
      <c r="U149" s="4" t="s">
        <v>23</v>
      </c>
      <c r="V149" s="5">
        <v>588</v>
      </c>
      <c r="Y149" s="4" t="s">
        <v>168</v>
      </c>
      <c r="Z149" s="4">
        <v>2010</v>
      </c>
      <c r="AA149" s="4" t="s">
        <v>23</v>
      </c>
      <c r="AB149" s="5">
        <v>299</v>
      </c>
      <c r="AE149" s="4" t="s">
        <v>170</v>
      </c>
      <c r="AF149" s="4">
        <v>2010</v>
      </c>
      <c r="AG149" s="4" t="s">
        <v>23</v>
      </c>
      <c r="AH149" s="5">
        <v>1668</v>
      </c>
      <c r="AK149" s="4" t="s">
        <v>72</v>
      </c>
      <c r="AL149" s="4">
        <v>2010</v>
      </c>
      <c r="AM149" s="4" t="s">
        <v>23</v>
      </c>
      <c r="AN149" s="5">
        <v>530</v>
      </c>
      <c r="AO149" s="14"/>
      <c r="AQ149" s="4" t="s">
        <v>73</v>
      </c>
      <c r="AR149" s="4">
        <v>2010</v>
      </c>
      <c r="AS149" s="4" t="s">
        <v>23</v>
      </c>
      <c r="AT149" s="5">
        <v>302</v>
      </c>
      <c r="AW149" s="4" t="s">
        <v>172</v>
      </c>
      <c r="AX149" s="4">
        <v>2010</v>
      </c>
      <c r="AY149" s="4" t="s">
        <v>23</v>
      </c>
      <c r="AZ149" s="5">
        <v>499</v>
      </c>
      <c r="BC149" s="4" t="s">
        <v>174</v>
      </c>
      <c r="BD149" s="4">
        <v>2010</v>
      </c>
      <c r="BE149" s="4" t="s">
        <v>23</v>
      </c>
      <c r="BF149" s="5">
        <v>209</v>
      </c>
      <c r="BI149" s="4" t="s">
        <v>74</v>
      </c>
      <c r="BJ149" s="4">
        <v>2010</v>
      </c>
      <c r="BK149" s="4" t="s">
        <v>23</v>
      </c>
      <c r="BL149" s="5">
        <v>1586</v>
      </c>
      <c r="BO149" s="4" t="s">
        <v>176</v>
      </c>
      <c r="BP149" s="4">
        <v>2010</v>
      </c>
      <c r="BQ149" s="4" t="s">
        <v>23</v>
      </c>
      <c r="BR149" s="5">
        <v>187</v>
      </c>
      <c r="BU149" s="4" t="s">
        <v>178</v>
      </c>
      <c r="BV149" s="4">
        <v>2010</v>
      </c>
      <c r="BW149" s="4" t="s">
        <v>23</v>
      </c>
      <c r="BX149" s="5">
        <v>863</v>
      </c>
      <c r="CA149" s="4" t="s">
        <v>75</v>
      </c>
      <c r="CB149" s="4">
        <v>2010</v>
      </c>
      <c r="CC149" s="4" t="s">
        <v>23</v>
      </c>
      <c r="CD149" s="5">
        <v>278</v>
      </c>
      <c r="CG149" s="4" t="s">
        <v>76</v>
      </c>
      <c r="CH149" s="4">
        <v>2010</v>
      </c>
      <c r="CI149" s="4" t="s">
        <v>23</v>
      </c>
      <c r="CJ149" s="5">
        <v>1355</v>
      </c>
      <c r="CM149" s="4" t="s">
        <v>183</v>
      </c>
      <c r="CN149" s="4">
        <v>2010</v>
      </c>
      <c r="CO149" s="4" t="s">
        <v>23</v>
      </c>
      <c r="CP149" s="5">
        <v>515</v>
      </c>
      <c r="CS149" s="4" t="s">
        <v>208</v>
      </c>
      <c r="CT149" s="4">
        <v>2010</v>
      </c>
      <c r="CU149" s="4" t="s">
        <v>24</v>
      </c>
      <c r="CV149" s="5">
        <v>771</v>
      </c>
    </row>
    <row r="150" spans="1:100" x14ac:dyDescent="0.25">
      <c r="A150" s="4" t="s">
        <v>180</v>
      </c>
      <c r="B150" s="4">
        <v>2010</v>
      </c>
      <c r="C150" s="4" t="s">
        <v>24</v>
      </c>
      <c r="D150" s="5">
        <v>46</v>
      </c>
      <c r="G150" s="4" t="s">
        <v>71</v>
      </c>
      <c r="H150" s="4">
        <v>2010</v>
      </c>
      <c r="I150" s="4" t="s">
        <v>24</v>
      </c>
      <c r="J150" s="5">
        <v>1755</v>
      </c>
      <c r="M150" s="4" t="s">
        <v>164</v>
      </c>
      <c r="N150" s="4">
        <v>2010</v>
      </c>
      <c r="O150" s="4" t="s">
        <v>24</v>
      </c>
      <c r="P150" s="5">
        <v>1028</v>
      </c>
      <c r="S150" s="4" t="s">
        <v>166</v>
      </c>
      <c r="T150" s="4">
        <v>2010</v>
      </c>
      <c r="U150" s="4" t="s">
        <v>24</v>
      </c>
      <c r="V150" s="5">
        <v>556</v>
      </c>
      <c r="Y150" s="4" t="s">
        <v>168</v>
      </c>
      <c r="Z150" s="4">
        <v>2010</v>
      </c>
      <c r="AA150" s="4" t="s">
        <v>24</v>
      </c>
      <c r="AB150" s="5">
        <v>289</v>
      </c>
      <c r="AE150" s="4" t="s">
        <v>170</v>
      </c>
      <c r="AF150" s="4">
        <v>2010</v>
      </c>
      <c r="AG150" s="4" t="s">
        <v>24</v>
      </c>
      <c r="AH150" s="5">
        <v>1709</v>
      </c>
      <c r="AK150" s="4" t="s">
        <v>72</v>
      </c>
      <c r="AL150" s="4">
        <v>2010</v>
      </c>
      <c r="AM150" s="4" t="s">
        <v>24</v>
      </c>
      <c r="AN150" s="5">
        <v>461</v>
      </c>
      <c r="AO150" s="14"/>
      <c r="AQ150" s="4" t="s">
        <v>73</v>
      </c>
      <c r="AR150" s="4">
        <v>2010</v>
      </c>
      <c r="AS150" s="4" t="s">
        <v>24</v>
      </c>
      <c r="AT150" s="5">
        <v>319</v>
      </c>
      <c r="AW150" s="4" t="s">
        <v>172</v>
      </c>
      <c r="AX150" s="4">
        <v>2010</v>
      </c>
      <c r="AY150" s="4" t="s">
        <v>24</v>
      </c>
      <c r="AZ150" s="5">
        <v>451</v>
      </c>
      <c r="BC150" s="4" t="s">
        <v>174</v>
      </c>
      <c r="BD150" s="4">
        <v>2010</v>
      </c>
      <c r="BE150" s="4" t="s">
        <v>24</v>
      </c>
      <c r="BF150" s="5">
        <v>167</v>
      </c>
      <c r="BI150" s="4" t="s">
        <v>74</v>
      </c>
      <c r="BJ150" s="4">
        <v>2010</v>
      </c>
      <c r="BK150" s="4" t="s">
        <v>24</v>
      </c>
      <c r="BL150" s="5">
        <v>1624</v>
      </c>
      <c r="BO150" s="4" t="s">
        <v>176</v>
      </c>
      <c r="BP150" s="4">
        <v>2010</v>
      </c>
      <c r="BQ150" s="4" t="s">
        <v>24</v>
      </c>
      <c r="BR150" s="5">
        <v>247</v>
      </c>
      <c r="BU150" s="4" t="s">
        <v>178</v>
      </c>
      <c r="BV150" s="4">
        <v>2010</v>
      </c>
      <c r="BW150" s="4" t="s">
        <v>24</v>
      </c>
      <c r="BX150" s="5">
        <v>903</v>
      </c>
      <c r="CA150" s="4" t="s">
        <v>75</v>
      </c>
      <c r="CB150" s="4">
        <v>2010</v>
      </c>
      <c r="CC150" s="4" t="s">
        <v>24</v>
      </c>
      <c r="CD150" s="5">
        <v>256</v>
      </c>
      <c r="CG150" s="4" t="s">
        <v>76</v>
      </c>
      <c r="CH150" s="4">
        <v>2010</v>
      </c>
      <c r="CI150" s="4" t="s">
        <v>24</v>
      </c>
      <c r="CJ150" s="5">
        <v>1345</v>
      </c>
      <c r="CM150" s="4" t="s">
        <v>183</v>
      </c>
      <c r="CN150" s="4">
        <v>2010</v>
      </c>
      <c r="CO150" s="4" t="s">
        <v>24</v>
      </c>
      <c r="CP150" s="5">
        <v>498</v>
      </c>
      <c r="CS150" s="4" t="s">
        <v>208</v>
      </c>
      <c r="CT150" s="4">
        <v>2010</v>
      </c>
      <c r="CU150" s="4" t="s">
        <v>25</v>
      </c>
      <c r="CV150" s="5">
        <v>966</v>
      </c>
    </row>
    <row r="151" spans="1:100" x14ac:dyDescent="0.25">
      <c r="A151" s="4" t="s">
        <v>180</v>
      </c>
      <c r="B151" s="4">
        <v>2010</v>
      </c>
      <c r="C151" s="4" t="s">
        <v>25</v>
      </c>
      <c r="D151" s="5">
        <v>64</v>
      </c>
      <c r="G151" s="4" t="s">
        <v>71</v>
      </c>
      <c r="H151" s="4">
        <v>2010</v>
      </c>
      <c r="I151" s="4" t="s">
        <v>25</v>
      </c>
      <c r="J151" s="5">
        <v>1785</v>
      </c>
      <c r="M151" s="4" t="s">
        <v>164</v>
      </c>
      <c r="N151" s="4">
        <v>2010</v>
      </c>
      <c r="O151" s="4" t="s">
        <v>25</v>
      </c>
      <c r="P151" s="5">
        <v>1002</v>
      </c>
      <c r="S151" s="4" t="s">
        <v>166</v>
      </c>
      <c r="T151" s="4">
        <v>2010</v>
      </c>
      <c r="U151" s="4" t="s">
        <v>25</v>
      </c>
      <c r="V151" s="5">
        <v>517</v>
      </c>
      <c r="Y151" s="4" t="s">
        <v>168</v>
      </c>
      <c r="Z151" s="4">
        <v>2010</v>
      </c>
      <c r="AA151" s="4" t="s">
        <v>25</v>
      </c>
      <c r="AB151" s="5">
        <v>269</v>
      </c>
      <c r="AE151" s="4" t="s">
        <v>170</v>
      </c>
      <c r="AF151" s="4">
        <v>2010</v>
      </c>
      <c r="AG151" s="4" t="s">
        <v>25</v>
      </c>
      <c r="AH151" s="5">
        <v>1631</v>
      </c>
      <c r="AK151" s="4" t="s">
        <v>72</v>
      </c>
      <c r="AL151" s="4">
        <v>2010</v>
      </c>
      <c r="AM151" s="4" t="s">
        <v>25</v>
      </c>
      <c r="AN151" s="5">
        <v>434</v>
      </c>
      <c r="AO151" s="14"/>
      <c r="AQ151" s="4" t="s">
        <v>73</v>
      </c>
      <c r="AR151" s="4">
        <v>2010</v>
      </c>
      <c r="AS151" s="4" t="s">
        <v>25</v>
      </c>
      <c r="AT151" s="5">
        <v>291</v>
      </c>
      <c r="AW151" s="4" t="s">
        <v>172</v>
      </c>
      <c r="AX151" s="4">
        <v>2010</v>
      </c>
      <c r="AY151" s="4" t="s">
        <v>25</v>
      </c>
      <c r="AZ151" s="5">
        <v>435</v>
      </c>
      <c r="BC151" s="4" t="s">
        <v>174</v>
      </c>
      <c r="BD151" s="4">
        <v>2010</v>
      </c>
      <c r="BE151" s="4" t="s">
        <v>25</v>
      </c>
      <c r="BF151" s="5">
        <v>196</v>
      </c>
      <c r="BI151" s="4" t="s">
        <v>74</v>
      </c>
      <c r="BJ151" s="4">
        <v>2010</v>
      </c>
      <c r="BK151" s="4" t="s">
        <v>25</v>
      </c>
      <c r="BL151" s="5">
        <v>1465</v>
      </c>
      <c r="BO151" s="4" t="s">
        <v>176</v>
      </c>
      <c r="BP151" s="4">
        <v>2010</v>
      </c>
      <c r="BQ151" s="4" t="s">
        <v>25</v>
      </c>
      <c r="BR151" s="5">
        <v>326</v>
      </c>
      <c r="BU151" s="4" t="s">
        <v>178</v>
      </c>
      <c r="BV151" s="4">
        <v>2010</v>
      </c>
      <c r="BW151" s="4" t="s">
        <v>25</v>
      </c>
      <c r="BX151" s="5">
        <v>1012</v>
      </c>
      <c r="CA151" s="4" t="s">
        <v>75</v>
      </c>
      <c r="CB151" s="4">
        <v>2010</v>
      </c>
      <c r="CC151" s="4" t="s">
        <v>25</v>
      </c>
      <c r="CD151" s="5">
        <v>282</v>
      </c>
      <c r="CG151" s="4" t="s">
        <v>76</v>
      </c>
      <c r="CH151" s="4">
        <v>2010</v>
      </c>
      <c r="CI151" s="4" t="s">
        <v>25</v>
      </c>
      <c r="CJ151" s="5">
        <v>1327</v>
      </c>
      <c r="CM151" s="4" t="s">
        <v>183</v>
      </c>
      <c r="CN151" s="4">
        <v>2010</v>
      </c>
      <c r="CO151" s="4" t="s">
        <v>25</v>
      </c>
      <c r="CP151" s="5">
        <v>532</v>
      </c>
      <c r="CS151" s="4" t="s">
        <v>208</v>
      </c>
      <c r="CT151" s="4">
        <v>2010</v>
      </c>
      <c r="CU151" s="4" t="s">
        <v>26</v>
      </c>
      <c r="CV151" s="5">
        <v>1187</v>
      </c>
    </row>
    <row r="152" spans="1:100" x14ac:dyDescent="0.25">
      <c r="A152" s="4" t="s">
        <v>180</v>
      </c>
      <c r="B152" s="4">
        <v>2010</v>
      </c>
      <c r="C152" s="4" t="s">
        <v>26</v>
      </c>
      <c r="D152" s="5">
        <v>79</v>
      </c>
      <c r="G152" s="4" t="s">
        <v>71</v>
      </c>
      <c r="H152" s="4">
        <v>2010</v>
      </c>
      <c r="I152" s="4" t="s">
        <v>26</v>
      </c>
      <c r="J152" s="5">
        <v>1528</v>
      </c>
      <c r="M152" s="4" t="s">
        <v>164</v>
      </c>
      <c r="N152" s="4">
        <v>2010</v>
      </c>
      <c r="O152" s="4" t="s">
        <v>26</v>
      </c>
      <c r="P152" s="5">
        <v>1028</v>
      </c>
      <c r="S152" s="4" t="s">
        <v>166</v>
      </c>
      <c r="T152" s="4">
        <v>2010</v>
      </c>
      <c r="U152" s="4" t="s">
        <v>26</v>
      </c>
      <c r="V152" s="5">
        <v>528</v>
      </c>
      <c r="Y152" s="4" t="s">
        <v>168</v>
      </c>
      <c r="Z152" s="4">
        <v>2010</v>
      </c>
      <c r="AA152" s="4" t="s">
        <v>26</v>
      </c>
      <c r="AB152" s="5">
        <v>278</v>
      </c>
      <c r="AE152" s="4" t="s">
        <v>170</v>
      </c>
      <c r="AF152" s="4">
        <v>2010</v>
      </c>
      <c r="AG152" s="4" t="s">
        <v>26</v>
      </c>
      <c r="AH152" s="5">
        <v>1745</v>
      </c>
      <c r="AK152" s="4" t="s">
        <v>72</v>
      </c>
      <c r="AL152" s="4">
        <v>2010</v>
      </c>
      <c r="AM152" s="4" t="s">
        <v>26</v>
      </c>
      <c r="AN152" s="5">
        <v>537</v>
      </c>
      <c r="AO152" s="14"/>
      <c r="AQ152" s="4" t="s">
        <v>73</v>
      </c>
      <c r="AR152" s="4">
        <v>2010</v>
      </c>
      <c r="AS152" s="4" t="s">
        <v>26</v>
      </c>
      <c r="AT152" s="5">
        <v>344</v>
      </c>
      <c r="AW152" s="4" t="s">
        <v>172</v>
      </c>
      <c r="AX152" s="4">
        <v>2010</v>
      </c>
      <c r="AY152" s="4" t="s">
        <v>26</v>
      </c>
      <c r="AZ152" s="5">
        <v>408</v>
      </c>
      <c r="BC152" s="4" t="s">
        <v>174</v>
      </c>
      <c r="BD152" s="4">
        <v>2010</v>
      </c>
      <c r="BE152" s="4" t="s">
        <v>26</v>
      </c>
      <c r="BF152" s="5">
        <v>174</v>
      </c>
      <c r="BI152" s="4" t="s">
        <v>74</v>
      </c>
      <c r="BJ152" s="4">
        <v>2010</v>
      </c>
      <c r="BK152" s="4" t="s">
        <v>26</v>
      </c>
      <c r="BL152" s="5">
        <v>1447</v>
      </c>
      <c r="BO152" s="4" t="s">
        <v>176</v>
      </c>
      <c r="BP152" s="4">
        <v>2010</v>
      </c>
      <c r="BQ152" s="4" t="s">
        <v>26</v>
      </c>
      <c r="BR152" s="5">
        <v>375</v>
      </c>
      <c r="BU152" s="4" t="s">
        <v>178</v>
      </c>
      <c r="BV152" s="4">
        <v>2010</v>
      </c>
      <c r="BW152" s="4" t="s">
        <v>26</v>
      </c>
      <c r="BX152" s="5">
        <v>1045</v>
      </c>
      <c r="CA152" s="4" t="s">
        <v>75</v>
      </c>
      <c r="CB152" s="4">
        <v>2010</v>
      </c>
      <c r="CC152" s="4" t="s">
        <v>26</v>
      </c>
      <c r="CD152" s="5">
        <v>237</v>
      </c>
      <c r="CG152" s="4" t="s">
        <v>76</v>
      </c>
      <c r="CH152" s="4">
        <v>2010</v>
      </c>
      <c r="CI152" s="4" t="s">
        <v>26</v>
      </c>
      <c r="CJ152" s="5">
        <v>1333</v>
      </c>
      <c r="CM152" s="4" t="s">
        <v>183</v>
      </c>
      <c r="CN152" s="4">
        <v>2010</v>
      </c>
      <c r="CO152" s="4" t="s">
        <v>26</v>
      </c>
      <c r="CP152" s="5">
        <v>469</v>
      </c>
      <c r="CS152" s="4" t="s">
        <v>208</v>
      </c>
      <c r="CT152" s="4">
        <v>2010</v>
      </c>
      <c r="CU152" s="4" t="s">
        <v>27</v>
      </c>
      <c r="CV152" s="5">
        <v>1292</v>
      </c>
    </row>
    <row r="153" spans="1:100" x14ac:dyDescent="0.25">
      <c r="A153" s="4" t="s">
        <v>180</v>
      </c>
      <c r="B153" s="4">
        <v>2010</v>
      </c>
      <c r="C153" s="4" t="s">
        <v>27</v>
      </c>
      <c r="D153" s="5">
        <v>93</v>
      </c>
      <c r="G153" s="4" t="s">
        <v>71</v>
      </c>
      <c r="H153" s="4">
        <v>2010</v>
      </c>
      <c r="I153" s="4" t="s">
        <v>27</v>
      </c>
      <c r="J153" s="5">
        <v>1483</v>
      </c>
      <c r="M153" s="4" t="s">
        <v>164</v>
      </c>
      <c r="N153" s="4">
        <v>2010</v>
      </c>
      <c r="O153" s="4" t="s">
        <v>27</v>
      </c>
      <c r="P153" s="5">
        <v>984</v>
      </c>
      <c r="S153" s="4" t="s">
        <v>166</v>
      </c>
      <c r="T153" s="4">
        <v>2010</v>
      </c>
      <c r="U153" s="4" t="s">
        <v>27</v>
      </c>
      <c r="V153" s="5">
        <v>479</v>
      </c>
      <c r="Y153" s="4" t="s">
        <v>168</v>
      </c>
      <c r="Z153" s="4">
        <v>2010</v>
      </c>
      <c r="AA153" s="4" t="s">
        <v>27</v>
      </c>
      <c r="AB153" s="5">
        <v>272</v>
      </c>
      <c r="AE153" s="4" t="s">
        <v>170</v>
      </c>
      <c r="AF153" s="4">
        <v>2010</v>
      </c>
      <c r="AG153" s="4" t="s">
        <v>27</v>
      </c>
      <c r="AH153" s="5">
        <v>1638</v>
      </c>
      <c r="AK153" s="4" t="s">
        <v>72</v>
      </c>
      <c r="AL153" s="4">
        <v>2010</v>
      </c>
      <c r="AM153" s="4" t="s">
        <v>27</v>
      </c>
      <c r="AN153" s="5">
        <v>440</v>
      </c>
      <c r="AO153" s="14"/>
      <c r="AQ153" s="4" t="s">
        <v>73</v>
      </c>
      <c r="AR153" s="4">
        <v>2010</v>
      </c>
      <c r="AS153" s="4" t="s">
        <v>27</v>
      </c>
      <c r="AT153" s="5">
        <v>302</v>
      </c>
      <c r="AW153" s="4" t="s">
        <v>172</v>
      </c>
      <c r="AX153" s="4">
        <v>2010</v>
      </c>
      <c r="AY153" s="4" t="s">
        <v>27</v>
      </c>
      <c r="AZ153" s="5">
        <v>413</v>
      </c>
      <c r="BC153" s="4" t="s">
        <v>174</v>
      </c>
      <c r="BD153" s="4">
        <v>2010</v>
      </c>
      <c r="BE153" s="4" t="s">
        <v>27</v>
      </c>
      <c r="BF153" s="5">
        <v>193</v>
      </c>
      <c r="BI153" s="4" t="s">
        <v>74</v>
      </c>
      <c r="BJ153" s="4">
        <v>2010</v>
      </c>
      <c r="BK153" s="4" t="s">
        <v>27</v>
      </c>
      <c r="BL153" s="5">
        <v>1524</v>
      </c>
      <c r="BO153" s="4" t="s">
        <v>176</v>
      </c>
      <c r="BP153" s="4">
        <v>2010</v>
      </c>
      <c r="BQ153" s="4" t="s">
        <v>27</v>
      </c>
      <c r="BR153" s="5">
        <v>373</v>
      </c>
      <c r="BU153" s="4" t="s">
        <v>178</v>
      </c>
      <c r="BV153" s="4">
        <v>2010</v>
      </c>
      <c r="BW153" s="4" t="s">
        <v>27</v>
      </c>
      <c r="BX153" s="5">
        <v>1056</v>
      </c>
      <c r="CA153" s="4" t="s">
        <v>75</v>
      </c>
      <c r="CB153" s="4">
        <v>2010</v>
      </c>
      <c r="CC153" s="4" t="s">
        <v>27</v>
      </c>
      <c r="CD153" s="5">
        <v>250</v>
      </c>
      <c r="CG153" s="4" t="s">
        <v>76</v>
      </c>
      <c r="CH153" s="4">
        <v>2010</v>
      </c>
      <c r="CI153" s="4" t="s">
        <v>27</v>
      </c>
      <c r="CJ153" s="5">
        <v>1257</v>
      </c>
      <c r="CM153" s="4" t="s">
        <v>183</v>
      </c>
      <c r="CN153" s="4">
        <v>2010</v>
      </c>
      <c r="CO153" s="4" t="s">
        <v>27</v>
      </c>
      <c r="CP153" s="5">
        <v>530</v>
      </c>
      <c r="CS153" s="4" t="s">
        <v>208</v>
      </c>
      <c r="CT153" s="4">
        <v>2010</v>
      </c>
      <c r="CU153" s="4" t="s">
        <v>28</v>
      </c>
      <c r="CV153" s="5">
        <v>1089</v>
      </c>
    </row>
    <row r="154" spans="1:100" x14ac:dyDescent="0.25">
      <c r="A154" s="4" t="s">
        <v>180</v>
      </c>
      <c r="B154" s="4">
        <v>2010</v>
      </c>
      <c r="C154" s="4" t="s">
        <v>28</v>
      </c>
      <c r="D154" s="5">
        <v>66</v>
      </c>
      <c r="G154" s="4" t="s">
        <v>71</v>
      </c>
      <c r="H154" s="4">
        <v>2010</v>
      </c>
      <c r="I154" s="4" t="s">
        <v>28</v>
      </c>
      <c r="J154" s="5">
        <v>1464</v>
      </c>
      <c r="M154" s="4" t="s">
        <v>164</v>
      </c>
      <c r="N154" s="4">
        <v>2010</v>
      </c>
      <c r="O154" s="4" t="s">
        <v>28</v>
      </c>
      <c r="P154" s="5">
        <v>937</v>
      </c>
      <c r="S154" s="4" t="s">
        <v>166</v>
      </c>
      <c r="T154" s="4">
        <v>2010</v>
      </c>
      <c r="U154" s="4" t="s">
        <v>28</v>
      </c>
      <c r="V154" s="5">
        <v>534</v>
      </c>
      <c r="Y154" s="4" t="s">
        <v>168</v>
      </c>
      <c r="Z154" s="4">
        <v>2010</v>
      </c>
      <c r="AA154" s="4" t="s">
        <v>28</v>
      </c>
      <c r="AB154" s="5">
        <v>265</v>
      </c>
      <c r="AE154" s="4" t="s">
        <v>170</v>
      </c>
      <c r="AF154" s="4">
        <v>2010</v>
      </c>
      <c r="AG154" s="4" t="s">
        <v>28</v>
      </c>
      <c r="AH154" s="5">
        <v>1697</v>
      </c>
      <c r="AK154" s="4" t="s">
        <v>72</v>
      </c>
      <c r="AL154" s="4">
        <v>2010</v>
      </c>
      <c r="AM154" s="4" t="s">
        <v>28</v>
      </c>
      <c r="AN154" s="5">
        <v>418</v>
      </c>
      <c r="AO154" s="14"/>
      <c r="AQ154" s="4" t="s">
        <v>73</v>
      </c>
      <c r="AR154" s="4">
        <v>2010</v>
      </c>
      <c r="AS154" s="4" t="s">
        <v>28</v>
      </c>
      <c r="AT154" s="5">
        <v>330</v>
      </c>
      <c r="AW154" s="4" t="s">
        <v>172</v>
      </c>
      <c r="AX154" s="4">
        <v>2010</v>
      </c>
      <c r="AY154" s="4" t="s">
        <v>28</v>
      </c>
      <c r="AZ154" s="5">
        <v>418</v>
      </c>
      <c r="BC154" s="4" t="s">
        <v>174</v>
      </c>
      <c r="BD154" s="4">
        <v>2010</v>
      </c>
      <c r="BE154" s="4" t="s">
        <v>28</v>
      </c>
      <c r="BF154" s="5">
        <v>150</v>
      </c>
      <c r="BI154" s="4" t="s">
        <v>74</v>
      </c>
      <c r="BJ154" s="4">
        <v>2010</v>
      </c>
      <c r="BK154" s="4" t="s">
        <v>28</v>
      </c>
      <c r="BL154" s="5">
        <v>1426</v>
      </c>
      <c r="BO154" s="4" t="s">
        <v>176</v>
      </c>
      <c r="BP154" s="4">
        <v>2010</v>
      </c>
      <c r="BQ154" s="4" t="s">
        <v>28</v>
      </c>
      <c r="BR154" s="5">
        <v>316</v>
      </c>
      <c r="BU154" s="4" t="s">
        <v>178</v>
      </c>
      <c r="BV154" s="4">
        <v>2010</v>
      </c>
      <c r="BW154" s="4" t="s">
        <v>28</v>
      </c>
      <c r="BX154" s="5">
        <v>1037</v>
      </c>
      <c r="CA154" s="4" t="s">
        <v>75</v>
      </c>
      <c r="CB154" s="4">
        <v>2010</v>
      </c>
      <c r="CC154" s="4" t="s">
        <v>28</v>
      </c>
      <c r="CD154" s="5">
        <v>299</v>
      </c>
      <c r="CG154" s="4" t="s">
        <v>76</v>
      </c>
      <c r="CH154" s="4">
        <v>2010</v>
      </c>
      <c r="CI154" s="4" t="s">
        <v>28</v>
      </c>
      <c r="CJ154" s="5">
        <v>1237</v>
      </c>
      <c r="CM154" s="4" t="s">
        <v>183</v>
      </c>
      <c r="CN154" s="4">
        <v>2010</v>
      </c>
      <c r="CO154" s="4" t="s">
        <v>28</v>
      </c>
      <c r="CP154" s="5">
        <v>534</v>
      </c>
      <c r="CS154" s="4" t="s">
        <v>208</v>
      </c>
      <c r="CT154" s="4">
        <v>2010</v>
      </c>
      <c r="CU154" s="4" t="s">
        <v>29</v>
      </c>
      <c r="CV154" s="5">
        <v>950</v>
      </c>
    </row>
    <row r="155" spans="1:100" x14ac:dyDescent="0.25">
      <c r="A155" s="4" t="s">
        <v>180</v>
      </c>
      <c r="B155" s="4">
        <v>2010</v>
      </c>
      <c r="C155" s="4" t="s">
        <v>29</v>
      </c>
      <c r="D155" s="5">
        <v>89</v>
      </c>
      <c r="G155" s="4" t="s">
        <v>71</v>
      </c>
      <c r="H155" s="4">
        <v>2010</v>
      </c>
      <c r="I155" s="4" t="s">
        <v>29</v>
      </c>
      <c r="J155" s="5">
        <v>1445</v>
      </c>
      <c r="M155" s="4" t="s">
        <v>164</v>
      </c>
      <c r="N155" s="4">
        <v>2010</v>
      </c>
      <c r="O155" s="4" t="s">
        <v>29</v>
      </c>
      <c r="P155" s="5">
        <v>937</v>
      </c>
      <c r="S155" s="4" t="s">
        <v>166</v>
      </c>
      <c r="T155" s="4">
        <v>2010</v>
      </c>
      <c r="U155" s="4" t="s">
        <v>29</v>
      </c>
      <c r="V155" s="5">
        <v>537</v>
      </c>
      <c r="Y155" s="4" t="s">
        <v>168</v>
      </c>
      <c r="Z155" s="4">
        <v>2010</v>
      </c>
      <c r="AA155" s="4" t="s">
        <v>29</v>
      </c>
      <c r="AB155" s="5">
        <v>277</v>
      </c>
      <c r="AE155" s="4" t="s">
        <v>170</v>
      </c>
      <c r="AF155" s="4">
        <v>2010</v>
      </c>
      <c r="AG155" s="4" t="s">
        <v>29</v>
      </c>
      <c r="AH155" s="5">
        <v>1611</v>
      </c>
      <c r="AK155" s="4" t="s">
        <v>72</v>
      </c>
      <c r="AL155" s="4">
        <v>2010</v>
      </c>
      <c r="AM155" s="4" t="s">
        <v>29</v>
      </c>
      <c r="AN155" s="5">
        <v>404</v>
      </c>
      <c r="AO155" s="14"/>
      <c r="AQ155" s="4" t="s">
        <v>73</v>
      </c>
      <c r="AR155" s="4">
        <v>2010</v>
      </c>
      <c r="AS155" s="4" t="s">
        <v>29</v>
      </c>
      <c r="AT155" s="5">
        <v>300</v>
      </c>
      <c r="AW155" s="4" t="s">
        <v>172</v>
      </c>
      <c r="AX155" s="4">
        <v>2010</v>
      </c>
      <c r="AY155" s="4" t="s">
        <v>29</v>
      </c>
      <c r="AZ155" s="5">
        <v>437</v>
      </c>
      <c r="BC155" s="4" t="s">
        <v>174</v>
      </c>
      <c r="BD155" s="4">
        <v>2010</v>
      </c>
      <c r="BE155" s="4" t="s">
        <v>29</v>
      </c>
      <c r="BF155" s="5">
        <v>154</v>
      </c>
      <c r="BI155" s="4" t="s">
        <v>74</v>
      </c>
      <c r="BJ155" s="4">
        <v>2010</v>
      </c>
      <c r="BK155" s="4" t="s">
        <v>29</v>
      </c>
      <c r="BL155" s="5">
        <v>1525</v>
      </c>
      <c r="BO155" s="4" t="s">
        <v>176</v>
      </c>
      <c r="BP155" s="4">
        <v>2010</v>
      </c>
      <c r="BQ155" s="4" t="s">
        <v>29</v>
      </c>
      <c r="BR155" s="5">
        <v>303</v>
      </c>
      <c r="BU155" s="4" t="s">
        <v>178</v>
      </c>
      <c r="BV155" s="4">
        <v>2010</v>
      </c>
      <c r="BW155" s="4" t="s">
        <v>29</v>
      </c>
      <c r="BX155" s="5">
        <v>960</v>
      </c>
      <c r="CA155" s="4" t="s">
        <v>75</v>
      </c>
      <c r="CB155" s="4">
        <v>2010</v>
      </c>
      <c r="CC155" s="4" t="s">
        <v>29</v>
      </c>
      <c r="CD155" s="5">
        <v>285</v>
      </c>
      <c r="CG155" s="4" t="s">
        <v>76</v>
      </c>
      <c r="CH155" s="4">
        <v>2010</v>
      </c>
      <c r="CI155" s="4" t="s">
        <v>29</v>
      </c>
      <c r="CJ155" s="5">
        <v>1173</v>
      </c>
      <c r="CM155" s="4" t="s">
        <v>183</v>
      </c>
      <c r="CN155" s="4">
        <v>2010</v>
      </c>
      <c r="CO155" s="4" t="s">
        <v>29</v>
      </c>
      <c r="CP155" s="5">
        <v>554</v>
      </c>
      <c r="CS155" s="4" t="s">
        <v>208</v>
      </c>
      <c r="CT155" s="4">
        <v>2010</v>
      </c>
      <c r="CU155" s="4" t="s">
        <v>30</v>
      </c>
      <c r="CV155" s="5">
        <v>949</v>
      </c>
    </row>
    <row r="156" spans="1:100" x14ac:dyDescent="0.25">
      <c r="A156" s="4" t="s">
        <v>180</v>
      </c>
      <c r="B156" s="4">
        <v>2010</v>
      </c>
      <c r="C156" s="4" t="s">
        <v>30</v>
      </c>
      <c r="D156" s="5">
        <v>68</v>
      </c>
      <c r="G156" s="4" t="s">
        <v>71</v>
      </c>
      <c r="H156" s="4">
        <v>2010</v>
      </c>
      <c r="I156" s="4" t="s">
        <v>30</v>
      </c>
      <c r="J156" s="5">
        <v>1596</v>
      </c>
      <c r="M156" s="4" t="s">
        <v>164</v>
      </c>
      <c r="N156" s="4">
        <v>2010</v>
      </c>
      <c r="O156" s="4" t="s">
        <v>30</v>
      </c>
      <c r="P156" s="5">
        <v>991</v>
      </c>
      <c r="S156" s="4" t="s">
        <v>166</v>
      </c>
      <c r="T156" s="4">
        <v>2010</v>
      </c>
      <c r="U156" s="4" t="s">
        <v>30</v>
      </c>
      <c r="V156" s="5">
        <v>535</v>
      </c>
      <c r="Y156" s="4" t="s">
        <v>168</v>
      </c>
      <c r="Z156" s="4">
        <v>2010</v>
      </c>
      <c r="AA156" s="4" t="s">
        <v>30</v>
      </c>
      <c r="AB156" s="5">
        <v>304</v>
      </c>
      <c r="AE156" s="4" t="s">
        <v>170</v>
      </c>
      <c r="AF156" s="4">
        <v>2010</v>
      </c>
      <c r="AG156" s="4" t="s">
        <v>30</v>
      </c>
      <c r="AH156" s="5">
        <v>1579</v>
      </c>
      <c r="AK156" s="4" t="s">
        <v>72</v>
      </c>
      <c r="AL156" s="4">
        <v>2010</v>
      </c>
      <c r="AM156" s="4" t="s">
        <v>30</v>
      </c>
      <c r="AN156" s="5">
        <v>434</v>
      </c>
      <c r="AO156" s="14"/>
      <c r="AQ156" s="4" t="s">
        <v>73</v>
      </c>
      <c r="AR156" s="4">
        <v>2010</v>
      </c>
      <c r="AS156" s="4" t="s">
        <v>30</v>
      </c>
      <c r="AT156" s="5">
        <v>268</v>
      </c>
      <c r="AW156" s="4" t="s">
        <v>172</v>
      </c>
      <c r="AX156" s="4">
        <v>2010</v>
      </c>
      <c r="AY156" s="4" t="s">
        <v>30</v>
      </c>
      <c r="AZ156" s="5">
        <v>406</v>
      </c>
      <c r="BC156" s="4" t="s">
        <v>174</v>
      </c>
      <c r="BD156" s="4">
        <v>2010</v>
      </c>
      <c r="BE156" s="4" t="s">
        <v>30</v>
      </c>
      <c r="BF156" s="5">
        <v>184</v>
      </c>
      <c r="BI156" s="4" t="s">
        <v>74</v>
      </c>
      <c r="BJ156" s="4">
        <v>2010</v>
      </c>
      <c r="BK156" s="4" t="s">
        <v>30</v>
      </c>
      <c r="BL156" s="5">
        <v>1521</v>
      </c>
      <c r="BO156" s="4" t="s">
        <v>176</v>
      </c>
      <c r="BP156" s="4">
        <v>2010</v>
      </c>
      <c r="BQ156" s="4" t="s">
        <v>30</v>
      </c>
      <c r="BR156" s="5">
        <v>281</v>
      </c>
      <c r="BU156" s="4" t="s">
        <v>178</v>
      </c>
      <c r="BV156" s="4">
        <v>2010</v>
      </c>
      <c r="BW156" s="4" t="s">
        <v>30</v>
      </c>
      <c r="BX156" s="5">
        <v>1017</v>
      </c>
      <c r="CA156" s="4" t="s">
        <v>75</v>
      </c>
      <c r="CB156" s="4">
        <v>2010</v>
      </c>
      <c r="CC156" s="4" t="s">
        <v>30</v>
      </c>
      <c r="CD156" s="5">
        <v>372</v>
      </c>
      <c r="CG156" s="4" t="s">
        <v>76</v>
      </c>
      <c r="CH156" s="4">
        <v>2010</v>
      </c>
      <c r="CI156" s="4" t="s">
        <v>30</v>
      </c>
      <c r="CJ156" s="5">
        <v>1262</v>
      </c>
      <c r="CM156" s="4" t="s">
        <v>183</v>
      </c>
      <c r="CN156" s="4">
        <v>2010</v>
      </c>
      <c r="CO156" s="4" t="s">
        <v>30</v>
      </c>
      <c r="CP156" s="5">
        <v>545</v>
      </c>
      <c r="CS156" s="4" t="s">
        <v>208</v>
      </c>
      <c r="CT156" s="4">
        <v>2010</v>
      </c>
      <c r="CU156" s="4" t="s">
        <v>19</v>
      </c>
      <c r="CV156" s="5">
        <v>950</v>
      </c>
    </row>
    <row r="157" spans="1:100" x14ac:dyDescent="0.25">
      <c r="A157" s="4" t="s">
        <v>180</v>
      </c>
      <c r="B157" s="4">
        <v>2010</v>
      </c>
      <c r="C157" s="4" t="s">
        <v>19</v>
      </c>
      <c r="D157" s="5">
        <v>83</v>
      </c>
      <c r="G157" s="4" t="s">
        <v>71</v>
      </c>
      <c r="H157" s="4">
        <v>2010</v>
      </c>
      <c r="I157" s="4" t="s">
        <v>19</v>
      </c>
      <c r="J157" s="5">
        <v>1749</v>
      </c>
      <c r="M157" s="4" t="s">
        <v>164</v>
      </c>
      <c r="N157" s="4">
        <v>2010</v>
      </c>
      <c r="O157" s="4" t="s">
        <v>19</v>
      </c>
      <c r="P157" s="5">
        <v>999</v>
      </c>
      <c r="S157" s="4" t="s">
        <v>166</v>
      </c>
      <c r="T157" s="4">
        <v>2010</v>
      </c>
      <c r="U157" s="4" t="s">
        <v>19</v>
      </c>
      <c r="V157" s="5">
        <v>551</v>
      </c>
      <c r="Y157" s="4" t="s">
        <v>168</v>
      </c>
      <c r="Z157" s="4">
        <v>2010</v>
      </c>
      <c r="AA157" s="4" t="s">
        <v>19</v>
      </c>
      <c r="AB157" s="5">
        <v>256</v>
      </c>
      <c r="AE157" s="4" t="s">
        <v>170</v>
      </c>
      <c r="AF157" s="4">
        <v>2010</v>
      </c>
      <c r="AG157" s="4" t="s">
        <v>19</v>
      </c>
      <c r="AH157" s="5">
        <v>1443</v>
      </c>
      <c r="AK157" s="4" t="s">
        <v>72</v>
      </c>
      <c r="AL157" s="4">
        <v>2010</v>
      </c>
      <c r="AM157" s="4" t="s">
        <v>19</v>
      </c>
      <c r="AN157" s="5">
        <v>428</v>
      </c>
      <c r="AO157" s="14"/>
      <c r="AQ157" s="4" t="s">
        <v>73</v>
      </c>
      <c r="AR157" s="4">
        <v>2010</v>
      </c>
      <c r="AS157" s="4" t="s">
        <v>19</v>
      </c>
      <c r="AT157" s="5">
        <v>244</v>
      </c>
      <c r="AW157" s="4" t="s">
        <v>172</v>
      </c>
      <c r="AX157" s="4">
        <v>2010</v>
      </c>
      <c r="AY157" s="4" t="s">
        <v>19</v>
      </c>
      <c r="AZ157" s="5">
        <v>363</v>
      </c>
      <c r="BC157" s="4" t="s">
        <v>174</v>
      </c>
      <c r="BD157" s="4">
        <v>2010</v>
      </c>
      <c r="BE157" s="4" t="s">
        <v>19</v>
      </c>
      <c r="BF157" s="5">
        <v>205</v>
      </c>
      <c r="BI157" s="4" t="s">
        <v>74</v>
      </c>
      <c r="BJ157" s="4">
        <v>2010</v>
      </c>
      <c r="BK157" s="4" t="s">
        <v>19</v>
      </c>
      <c r="BL157" s="5">
        <v>1477</v>
      </c>
      <c r="BO157" s="4" t="s">
        <v>176</v>
      </c>
      <c r="BP157" s="4">
        <v>2010</v>
      </c>
      <c r="BQ157" s="4" t="s">
        <v>19</v>
      </c>
      <c r="BR157" s="5">
        <v>234</v>
      </c>
      <c r="BU157" s="4" t="s">
        <v>178</v>
      </c>
      <c r="BV157" s="4">
        <v>2010</v>
      </c>
      <c r="BW157" s="4" t="s">
        <v>19</v>
      </c>
      <c r="BX157" s="5">
        <v>905</v>
      </c>
      <c r="CA157" s="4" t="s">
        <v>75</v>
      </c>
      <c r="CB157" s="4">
        <v>2010</v>
      </c>
      <c r="CC157" s="4" t="s">
        <v>19</v>
      </c>
      <c r="CD157" s="5">
        <v>296</v>
      </c>
      <c r="CG157" s="4" t="s">
        <v>76</v>
      </c>
      <c r="CH157" s="4">
        <v>2010</v>
      </c>
      <c r="CI157" s="4" t="s">
        <v>19</v>
      </c>
      <c r="CJ157" s="5">
        <v>1284</v>
      </c>
      <c r="CM157" s="4" t="s">
        <v>183</v>
      </c>
      <c r="CN157" s="4">
        <v>2010</v>
      </c>
      <c r="CO157" s="4" t="s">
        <v>19</v>
      </c>
      <c r="CP157" s="5">
        <v>491</v>
      </c>
      <c r="CS157" s="4" t="s">
        <v>208</v>
      </c>
      <c r="CT157" s="4">
        <v>2010</v>
      </c>
      <c r="CU157" s="4" t="s">
        <v>96</v>
      </c>
      <c r="CV157" s="5">
        <v>969</v>
      </c>
    </row>
    <row r="158" spans="1:100" x14ac:dyDescent="0.25">
      <c r="A158" s="4" t="s">
        <v>180</v>
      </c>
      <c r="B158" s="4">
        <v>2010</v>
      </c>
      <c r="C158" s="4" t="s">
        <v>96</v>
      </c>
      <c r="D158" s="5">
        <v>73</v>
      </c>
      <c r="G158" s="4" t="s">
        <v>71</v>
      </c>
      <c r="H158" s="4">
        <v>2010</v>
      </c>
      <c r="I158" s="4" t="s">
        <v>96</v>
      </c>
      <c r="J158" s="5">
        <v>1801</v>
      </c>
      <c r="M158" s="4" t="s">
        <v>164</v>
      </c>
      <c r="N158" s="4">
        <v>2010</v>
      </c>
      <c r="O158" s="4" t="s">
        <v>96</v>
      </c>
      <c r="P158" s="5">
        <v>1074</v>
      </c>
      <c r="S158" s="4" t="s">
        <v>166</v>
      </c>
      <c r="T158" s="4">
        <v>2010</v>
      </c>
      <c r="U158" s="4" t="s">
        <v>96</v>
      </c>
      <c r="V158" s="5">
        <v>548</v>
      </c>
      <c r="Y158" s="4" t="s">
        <v>168</v>
      </c>
      <c r="Z158" s="4">
        <v>2010</v>
      </c>
      <c r="AA158" s="4" t="s">
        <v>96</v>
      </c>
      <c r="AB158" s="5">
        <v>287</v>
      </c>
      <c r="AE158" s="4" t="s">
        <v>170</v>
      </c>
      <c r="AF158" s="4">
        <v>2010</v>
      </c>
      <c r="AG158" s="4" t="s">
        <v>96</v>
      </c>
      <c r="AH158" s="5">
        <v>1675</v>
      </c>
      <c r="AK158" s="4" t="s">
        <v>72</v>
      </c>
      <c r="AL158" s="4">
        <v>2010</v>
      </c>
      <c r="AM158" s="4" t="s">
        <v>96</v>
      </c>
      <c r="AN158" s="5">
        <v>492</v>
      </c>
      <c r="AO158" s="14"/>
      <c r="AQ158" s="4" t="s">
        <v>73</v>
      </c>
      <c r="AR158" s="4">
        <v>2010</v>
      </c>
      <c r="AS158" s="4" t="s">
        <v>96</v>
      </c>
      <c r="AT158" s="5">
        <v>303</v>
      </c>
      <c r="AW158" s="4" t="s">
        <v>172</v>
      </c>
      <c r="AX158" s="4">
        <v>2010</v>
      </c>
      <c r="AY158" s="4" t="s">
        <v>96</v>
      </c>
      <c r="AZ158" s="5">
        <v>442</v>
      </c>
      <c r="BC158" s="4" t="s">
        <v>174</v>
      </c>
      <c r="BD158" s="4">
        <v>2010</v>
      </c>
      <c r="BE158" s="4" t="s">
        <v>96</v>
      </c>
      <c r="BF158" s="5">
        <v>184</v>
      </c>
      <c r="BI158" s="4" t="s">
        <v>74</v>
      </c>
      <c r="BJ158" s="4">
        <v>2010</v>
      </c>
      <c r="BK158" s="4" t="s">
        <v>96</v>
      </c>
      <c r="BL158" s="5">
        <v>1561</v>
      </c>
      <c r="BO158" s="4" t="s">
        <v>176</v>
      </c>
      <c r="BP158" s="4">
        <v>2010</v>
      </c>
      <c r="BQ158" s="4" t="s">
        <v>96</v>
      </c>
      <c r="BR158" s="5">
        <v>279</v>
      </c>
      <c r="BU158" s="4" t="s">
        <v>178</v>
      </c>
      <c r="BV158" s="4">
        <v>2010</v>
      </c>
      <c r="BW158" s="4" t="s">
        <v>96</v>
      </c>
      <c r="BX158" s="5">
        <v>964</v>
      </c>
      <c r="CA158" s="4" t="s">
        <v>75</v>
      </c>
      <c r="CB158" s="4">
        <v>2010</v>
      </c>
      <c r="CC158" s="4" t="s">
        <v>96</v>
      </c>
      <c r="CD158" s="5">
        <v>291</v>
      </c>
      <c r="CG158" s="4" t="s">
        <v>76</v>
      </c>
      <c r="CH158" s="4">
        <v>2010</v>
      </c>
      <c r="CI158" s="4" t="s">
        <v>96</v>
      </c>
      <c r="CJ158" s="5">
        <v>1301</v>
      </c>
      <c r="CM158" s="4" t="s">
        <v>183</v>
      </c>
      <c r="CN158" s="4">
        <v>2010</v>
      </c>
      <c r="CO158" s="4" t="s">
        <v>96</v>
      </c>
      <c r="CP158" s="5">
        <v>533</v>
      </c>
      <c r="CS158" s="4" t="s">
        <v>208</v>
      </c>
      <c r="CT158" s="4">
        <v>2011</v>
      </c>
      <c r="CU158" s="4" t="s">
        <v>20</v>
      </c>
      <c r="CV158" s="5">
        <v>1088</v>
      </c>
    </row>
    <row r="159" spans="1:100" x14ac:dyDescent="0.25">
      <c r="A159" s="4" t="s">
        <v>180</v>
      </c>
      <c r="B159" s="4">
        <v>2011</v>
      </c>
      <c r="C159" s="4" t="s">
        <v>20</v>
      </c>
      <c r="D159" s="5">
        <v>66</v>
      </c>
      <c r="G159" s="4" t="s">
        <v>71</v>
      </c>
      <c r="H159" s="4">
        <v>2011</v>
      </c>
      <c r="I159" s="4" t="s">
        <v>20</v>
      </c>
      <c r="J159" s="5">
        <v>1879</v>
      </c>
      <c r="M159" s="4" t="s">
        <v>164</v>
      </c>
      <c r="N159" s="4">
        <v>2011</v>
      </c>
      <c r="O159" s="4" t="s">
        <v>20</v>
      </c>
      <c r="P159" s="5">
        <v>955</v>
      </c>
      <c r="S159" s="4" t="s">
        <v>166</v>
      </c>
      <c r="T159" s="4">
        <v>2011</v>
      </c>
      <c r="U159" s="4" t="s">
        <v>20</v>
      </c>
      <c r="V159" s="5">
        <v>564</v>
      </c>
      <c r="Y159" s="4" t="s">
        <v>168</v>
      </c>
      <c r="Z159" s="4">
        <v>2011</v>
      </c>
      <c r="AA159" s="4" t="s">
        <v>20</v>
      </c>
      <c r="AB159" s="5">
        <v>267</v>
      </c>
      <c r="AE159" s="4" t="s">
        <v>170</v>
      </c>
      <c r="AF159" s="4">
        <v>2011</v>
      </c>
      <c r="AG159" s="4" t="s">
        <v>20</v>
      </c>
      <c r="AH159" s="5">
        <v>1599</v>
      </c>
      <c r="AK159" s="4" t="s">
        <v>72</v>
      </c>
      <c r="AL159" s="4">
        <v>2011</v>
      </c>
      <c r="AM159" s="4" t="s">
        <v>20</v>
      </c>
      <c r="AN159" s="5">
        <v>498</v>
      </c>
      <c r="AO159" s="14"/>
      <c r="AQ159" s="4" t="s">
        <v>73</v>
      </c>
      <c r="AR159" s="4">
        <v>2011</v>
      </c>
      <c r="AS159" s="4" t="s">
        <v>20</v>
      </c>
      <c r="AT159" s="5">
        <v>228</v>
      </c>
      <c r="AW159" s="4" t="s">
        <v>172</v>
      </c>
      <c r="AX159" s="4">
        <v>2011</v>
      </c>
      <c r="AY159" s="4" t="s">
        <v>20</v>
      </c>
      <c r="AZ159" s="5">
        <v>434</v>
      </c>
      <c r="BC159" s="4" t="s">
        <v>174</v>
      </c>
      <c r="BD159" s="4">
        <v>2011</v>
      </c>
      <c r="BE159" s="4" t="s">
        <v>20</v>
      </c>
      <c r="BF159" s="5">
        <v>213</v>
      </c>
      <c r="BI159" s="4" t="s">
        <v>74</v>
      </c>
      <c r="BJ159" s="4">
        <v>2011</v>
      </c>
      <c r="BK159" s="4" t="s">
        <v>20</v>
      </c>
      <c r="BL159" s="5">
        <v>1511</v>
      </c>
      <c r="BO159" s="4" t="s">
        <v>176</v>
      </c>
      <c r="BP159" s="4">
        <v>2011</v>
      </c>
      <c r="BQ159" s="4" t="s">
        <v>20</v>
      </c>
      <c r="BR159" s="5">
        <v>289</v>
      </c>
      <c r="BU159" s="4" t="s">
        <v>178</v>
      </c>
      <c r="BV159" s="4">
        <v>2011</v>
      </c>
      <c r="BW159" s="4" t="s">
        <v>20</v>
      </c>
      <c r="BX159" s="5">
        <v>974</v>
      </c>
      <c r="CA159" s="4" t="s">
        <v>75</v>
      </c>
      <c r="CB159" s="4">
        <v>2011</v>
      </c>
      <c r="CC159" s="4" t="s">
        <v>20</v>
      </c>
      <c r="CD159" s="5">
        <v>329</v>
      </c>
      <c r="CG159" s="4" t="s">
        <v>76</v>
      </c>
      <c r="CH159" s="4">
        <v>2011</v>
      </c>
      <c r="CI159" s="4" t="s">
        <v>20</v>
      </c>
      <c r="CJ159" s="5">
        <v>1459</v>
      </c>
      <c r="CM159" s="4" t="s">
        <v>183</v>
      </c>
      <c r="CN159" s="4">
        <v>2011</v>
      </c>
      <c r="CO159" s="4" t="s">
        <v>20</v>
      </c>
      <c r="CP159" s="5">
        <v>513</v>
      </c>
      <c r="CS159" s="4" t="s">
        <v>208</v>
      </c>
      <c r="CT159" s="4">
        <v>2011</v>
      </c>
      <c r="CU159" s="4" t="s">
        <v>21</v>
      </c>
      <c r="CV159" s="5">
        <v>927</v>
      </c>
    </row>
    <row r="160" spans="1:100" x14ac:dyDescent="0.25">
      <c r="A160" s="4" t="s">
        <v>180</v>
      </c>
      <c r="B160" s="4">
        <v>2011</v>
      </c>
      <c r="C160" s="4" t="s">
        <v>21</v>
      </c>
      <c r="D160" s="5">
        <v>41</v>
      </c>
      <c r="G160" s="4" t="s">
        <v>71</v>
      </c>
      <c r="H160" s="4">
        <v>2011</v>
      </c>
      <c r="I160" s="4" t="s">
        <v>21</v>
      </c>
      <c r="J160" s="5">
        <v>1883</v>
      </c>
      <c r="M160" s="4" t="s">
        <v>164</v>
      </c>
      <c r="N160" s="4">
        <v>2011</v>
      </c>
      <c r="O160" s="4" t="s">
        <v>21</v>
      </c>
      <c r="P160" s="5">
        <v>989</v>
      </c>
      <c r="S160" s="4" t="s">
        <v>166</v>
      </c>
      <c r="T160" s="4">
        <v>2011</v>
      </c>
      <c r="U160" s="4" t="s">
        <v>21</v>
      </c>
      <c r="V160" s="5">
        <v>503</v>
      </c>
      <c r="Y160" s="4" t="s">
        <v>168</v>
      </c>
      <c r="Z160" s="4">
        <v>2011</v>
      </c>
      <c r="AA160" s="4" t="s">
        <v>21</v>
      </c>
      <c r="AB160" s="5">
        <v>333</v>
      </c>
      <c r="AE160" s="4" t="s">
        <v>170</v>
      </c>
      <c r="AF160" s="4">
        <v>2011</v>
      </c>
      <c r="AG160" s="4" t="s">
        <v>21</v>
      </c>
      <c r="AH160" s="5">
        <v>1556</v>
      </c>
      <c r="AK160" s="4" t="s">
        <v>72</v>
      </c>
      <c r="AL160" s="4">
        <v>2011</v>
      </c>
      <c r="AM160" s="4" t="s">
        <v>21</v>
      </c>
      <c r="AN160" s="5">
        <v>499</v>
      </c>
      <c r="AO160" s="14"/>
      <c r="AQ160" s="4" t="s">
        <v>73</v>
      </c>
      <c r="AR160" s="4">
        <v>2011</v>
      </c>
      <c r="AS160" s="4" t="s">
        <v>21</v>
      </c>
      <c r="AT160" s="5">
        <v>205</v>
      </c>
      <c r="AW160" s="4" t="s">
        <v>172</v>
      </c>
      <c r="AX160" s="4">
        <v>2011</v>
      </c>
      <c r="AY160" s="4" t="s">
        <v>21</v>
      </c>
      <c r="AZ160" s="5">
        <v>434</v>
      </c>
      <c r="BC160" s="4" t="s">
        <v>174</v>
      </c>
      <c r="BD160" s="4">
        <v>2011</v>
      </c>
      <c r="BE160" s="4" t="s">
        <v>21</v>
      </c>
      <c r="BF160" s="5">
        <v>202</v>
      </c>
      <c r="BI160" s="4" t="s">
        <v>74</v>
      </c>
      <c r="BJ160" s="4">
        <v>2011</v>
      </c>
      <c r="BK160" s="4" t="s">
        <v>21</v>
      </c>
      <c r="BL160" s="5">
        <v>1469</v>
      </c>
      <c r="BO160" s="4" t="s">
        <v>176</v>
      </c>
      <c r="BP160" s="4">
        <v>2011</v>
      </c>
      <c r="BQ160" s="4" t="s">
        <v>21</v>
      </c>
      <c r="BR160" s="5">
        <v>260</v>
      </c>
      <c r="BU160" s="4" t="s">
        <v>178</v>
      </c>
      <c r="BV160" s="4">
        <v>2011</v>
      </c>
      <c r="BW160" s="4" t="s">
        <v>21</v>
      </c>
      <c r="BX160" s="5">
        <v>938</v>
      </c>
      <c r="CA160" s="4" t="s">
        <v>75</v>
      </c>
      <c r="CB160" s="4">
        <v>2011</v>
      </c>
      <c r="CC160" s="4" t="s">
        <v>21</v>
      </c>
      <c r="CD160" s="5">
        <v>354</v>
      </c>
      <c r="CG160" s="4" t="s">
        <v>76</v>
      </c>
      <c r="CH160" s="4">
        <v>2011</v>
      </c>
      <c r="CI160" s="4" t="s">
        <v>21</v>
      </c>
      <c r="CJ160" s="5">
        <v>1428</v>
      </c>
      <c r="CM160" s="4" t="s">
        <v>183</v>
      </c>
      <c r="CN160" s="4">
        <v>2011</v>
      </c>
      <c r="CO160" s="4" t="s">
        <v>21</v>
      </c>
      <c r="CP160" s="5">
        <v>546</v>
      </c>
      <c r="CS160" s="4" t="s">
        <v>208</v>
      </c>
      <c r="CT160" s="4">
        <v>2011</v>
      </c>
      <c r="CU160" s="4" t="s">
        <v>22</v>
      </c>
      <c r="CV160" s="5">
        <v>888</v>
      </c>
    </row>
    <row r="161" spans="1:100" x14ac:dyDescent="0.25">
      <c r="A161" s="4" t="s">
        <v>180</v>
      </c>
      <c r="B161" s="4">
        <v>2011</v>
      </c>
      <c r="C161" s="4" t="s">
        <v>22</v>
      </c>
      <c r="D161" s="5">
        <v>46</v>
      </c>
      <c r="G161" s="4" t="s">
        <v>71</v>
      </c>
      <c r="H161" s="4">
        <v>2011</v>
      </c>
      <c r="I161" s="4" t="s">
        <v>22</v>
      </c>
      <c r="J161" s="5">
        <v>1695</v>
      </c>
      <c r="M161" s="4" t="s">
        <v>164</v>
      </c>
      <c r="N161" s="4">
        <v>2011</v>
      </c>
      <c r="O161" s="4" t="s">
        <v>22</v>
      </c>
      <c r="P161" s="5">
        <v>957</v>
      </c>
      <c r="S161" s="4" t="s">
        <v>166</v>
      </c>
      <c r="T161" s="4">
        <v>2011</v>
      </c>
      <c r="U161" s="4" t="s">
        <v>22</v>
      </c>
      <c r="V161" s="5">
        <v>518</v>
      </c>
      <c r="Y161" s="4" t="s">
        <v>168</v>
      </c>
      <c r="Z161" s="4">
        <v>2011</v>
      </c>
      <c r="AA161" s="4" t="s">
        <v>22</v>
      </c>
      <c r="AB161" s="5">
        <v>333</v>
      </c>
      <c r="AE161" s="4" t="s">
        <v>170</v>
      </c>
      <c r="AF161" s="4">
        <v>2011</v>
      </c>
      <c r="AG161" s="4" t="s">
        <v>22</v>
      </c>
      <c r="AH161" s="5">
        <v>1462</v>
      </c>
      <c r="AK161" s="4" t="s">
        <v>72</v>
      </c>
      <c r="AL161" s="4">
        <v>2011</v>
      </c>
      <c r="AM161" s="4" t="s">
        <v>22</v>
      </c>
      <c r="AN161" s="5">
        <v>562</v>
      </c>
      <c r="AO161" s="14"/>
      <c r="AQ161" s="4" t="s">
        <v>73</v>
      </c>
      <c r="AR161" s="4">
        <v>2011</v>
      </c>
      <c r="AS161" s="4" t="s">
        <v>22</v>
      </c>
      <c r="AT161" s="5">
        <v>236</v>
      </c>
      <c r="AW161" s="4" t="s">
        <v>172</v>
      </c>
      <c r="AX161" s="4">
        <v>2011</v>
      </c>
      <c r="AY161" s="4" t="s">
        <v>22</v>
      </c>
      <c r="AZ161" s="5">
        <v>434</v>
      </c>
      <c r="BC161" s="4" t="s">
        <v>174</v>
      </c>
      <c r="BD161" s="4">
        <v>2011</v>
      </c>
      <c r="BE161" s="4" t="s">
        <v>22</v>
      </c>
      <c r="BF161" s="5">
        <v>216</v>
      </c>
      <c r="BI161" s="4" t="s">
        <v>74</v>
      </c>
      <c r="BJ161" s="4">
        <v>2011</v>
      </c>
      <c r="BK161" s="4" t="s">
        <v>22</v>
      </c>
      <c r="BL161" s="5">
        <v>1488</v>
      </c>
      <c r="BO161" s="4" t="s">
        <v>176</v>
      </c>
      <c r="BP161" s="4">
        <v>2011</v>
      </c>
      <c r="BQ161" s="4" t="s">
        <v>22</v>
      </c>
      <c r="BR161" s="5">
        <v>241</v>
      </c>
      <c r="BU161" s="4" t="s">
        <v>178</v>
      </c>
      <c r="BV161" s="4">
        <v>2011</v>
      </c>
      <c r="BW161" s="4" t="s">
        <v>22</v>
      </c>
      <c r="BX161" s="5">
        <v>911</v>
      </c>
      <c r="CA161" s="4" t="s">
        <v>75</v>
      </c>
      <c r="CB161" s="4">
        <v>2011</v>
      </c>
      <c r="CC161" s="4" t="s">
        <v>22</v>
      </c>
      <c r="CD161" s="5">
        <v>386</v>
      </c>
      <c r="CG161" s="4" t="s">
        <v>76</v>
      </c>
      <c r="CH161" s="4">
        <v>2011</v>
      </c>
      <c r="CI161" s="4" t="s">
        <v>22</v>
      </c>
      <c r="CJ161" s="5">
        <v>1308</v>
      </c>
      <c r="CM161" s="4" t="s">
        <v>183</v>
      </c>
      <c r="CN161" s="4">
        <v>2011</v>
      </c>
      <c r="CO161" s="4" t="s">
        <v>22</v>
      </c>
      <c r="CP161" s="5">
        <v>495</v>
      </c>
      <c r="CS161" s="4" t="s">
        <v>208</v>
      </c>
      <c r="CT161" s="4">
        <v>2011</v>
      </c>
      <c r="CU161" s="4" t="s">
        <v>23</v>
      </c>
      <c r="CV161" s="5">
        <v>778</v>
      </c>
    </row>
    <row r="162" spans="1:100" x14ac:dyDescent="0.25">
      <c r="A162" s="4" t="s">
        <v>180</v>
      </c>
      <c r="B162" s="4">
        <v>2011</v>
      </c>
      <c r="C162" s="4" t="s">
        <v>23</v>
      </c>
      <c r="D162" s="5">
        <v>28</v>
      </c>
      <c r="G162" s="4" t="s">
        <v>71</v>
      </c>
      <c r="H162" s="4">
        <v>2011</v>
      </c>
      <c r="I162" s="4" t="s">
        <v>23</v>
      </c>
      <c r="J162" s="5">
        <v>1501</v>
      </c>
      <c r="M162" s="4" t="s">
        <v>164</v>
      </c>
      <c r="N162" s="4">
        <v>2011</v>
      </c>
      <c r="O162" s="4" t="s">
        <v>23</v>
      </c>
      <c r="P162" s="5">
        <v>951</v>
      </c>
      <c r="S162" s="4" t="s">
        <v>166</v>
      </c>
      <c r="T162" s="4">
        <v>2011</v>
      </c>
      <c r="U162" s="4" t="s">
        <v>23</v>
      </c>
      <c r="V162" s="5">
        <v>493</v>
      </c>
      <c r="Y162" s="4" t="s">
        <v>168</v>
      </c>
      <c r="Z162" s="4">
        <v>2011</v>
      </c>
      <c r="AA162" s="4" t="s">
        <v>23</v>
      </c>
      <c r="AB162" s="5">
        <v>272</v>
      </c>
      <c r="AE162" s="4" t="s">
        <v>170</v>
      </c>
      <c r="AF162" s="4">
        <v>2011</v>
      </c>
      <c r="AG162" s="4" t="s">
        <v>23</v>
      </c>
      <c r="AH162" s="5">
        <v>1504</v>
      </c>
      <c r="AK162" s="4" t="s">
        <v>72</v>
      </c>
      <c r="AL162" s="4">
        <v>2011</v>
      </c>
      <c r="AM162" s="4" t="s">
        <v>23</v>
      </c>
      <c r="AN162" s="5">
        <v>500</v>
      </c>
      <c r="AO162" s="14"/>
      <c r="AQ162" s="4" t="s">
        <v>73</v>
      </c>
      <c r="AR162" s="4">
        <v>2011</v>
      </c>
      <c r="AS162" s="4" t="s">
        <v>23</v>
      </c>
      <c r="AT162" s="5">
        <v>218</v>
      </c>
      <c r="AW162" s="4" t="s">
        <v>172</v>
      </c>
      <c r="AX162" s="4">
        <v>2011</v>
      </c>
      <c r="AY162" s="4" t="s">
        <v>23</v>
      </c>
      <c r="AZ162" s="5">
        <v>397</v>
      </c>
      <c r="BC162" s="4" t="s">
        <v>174</v>
      </c>
      <c r="BD162" s="4">
        <v>2011</v>
      </c>
      <c r="BE162" s="4" t="s">
        <v>23</v>
      </c>
      <c r="BF162" s="5">
        <v>224</v>
      </c>
      <c r="BI162" s="4" t="s">
        <v>74</v>
      </c>
      <c r="BJ162" s="4">
        <v>2011</v>
      </c>
      <c r="BK162" s="4" t="s">
        <v>23</v>
      </c>
      <c r="BL162" s="5">
        <v>1340</v>
      </c>
      <c r="BO162" s="4" t="s">
        <v>176</v>
      </c>
      <c r="BP162" s="4">
        <v>2011</v>
      </c>
      <c r="BQ162" s="4" t="s">
        <v>23</v>
      </c>
      <c r="BR162" s="5">
        <v>171</v>
      </c>
      <c r="BU162" s="4" t="s">
        <v>178</v>
      </c>
      <c r="BV162" s="4">
        <v>2011</v>
      </c>
      <c r="BW162" s="4" t="s">
        <v>23</v>
      </c>
      <c r="BX162" s="5">
        <v>917</v>
      </c>
      <c r="CA162" s="4" t="s">
        <v>75</v>
      </c>
      <c r="CB162" s="4">
        <v>2011</v>
      </c>
      <c r="CC162" s="4" t="s">
        <v>23</v>
      </c>
      <c r="CD162" s="5">
        <v>280</v>
      </c>
      <c r="CG162" s="4" t="s">
        <v>76</v>
      </c>
      <c r="CH162" s="4">
        <v>2011</v>
      </c>
      <c r="CI162" s="4" t="s">
        <v>23</v>
      </c>
      <c r="CJ162" s="5">
        <v>1202</v>
      </c>
      <c r="CM162" s="4" t="s">
        <v>183</v>
      </c>
      <c r="CN162" s="4">
        <v>2011</v>
      </c>
      <c r="CO162" s="4" t="s">
        <v>23</v>
      </c>
      <c r="CP162" s="5">
        <v>564</v>
      </c>
      <c r="CS162" s="4" t="s">
        <v>208</v>
      </c>
      <c r="CT162" s="4">
        <v>2011</v>
      </c>
      <c r="CU162" s="4" t="s">
        <v>24</v>
      </c>
      <c r="CV162" s="5">
        <v>836</v>
      </c>
    </row>
    <row r="163" spans="1:100" x14ac:dyDescent="0.25">
      <c r="A163" s="4" t="s">
        <v>180</v>
      </c>
      <c r="B163" s="4">
        <v>2011</v>
      </c>
      <c r="C163" s="4" t="s">
        <v>24</v>
      </c>
      <c r="D163" s="5">
        <v>32</v>
      </c>
      <c r="G163" s="4" t="s">
        <v>71</v>
      </c>
      <c r="H163" s="4">
        <v>2011</v>
      </c>
      <c r="I163" s="4" t="s">
        <v>24</v>
      </c>
      <c r="J163" s="5">
        <v>1367</v>
      </c>
      <c r="M163" s="4" t="s">
        <v>164</v>
      </c>
      <c r="N163" s="4">
        <v>2011</v>
      </c>
      <c r="O163" s="4" t="s">
        <v>24</v>
      </c>
      <c r="P163" s="5">
        <v>920</v>
      </c>
      <c r="S163" s="4" t="s">
        <v>166</v>
      </c>
      <c r="T163" s="4">
        <v>2011</v>
      </c>
      <c r="U163" s="4" t="s">
        <v>24</v>
      </c>
      <c r="V163" s="5">
        <v>533</v>
      </c>
      <c r="Y163" s="4" t="s">
        <v>168</v>
      </c>
      <c r="Z163" s="4">
        <v>2011</v>
      </c>
      <c r="AA163" s="4" t="s">
        <v>24</v>
      </c>
      <c r="AB163" s="5">
        <v>233</v>
      </c>
      <c r="AE163" s="4" t="s">
        <v>170</v>
      </c>
      <c r="AF163" s="4">
        <v>2011</v>
      </c>
      <c r="AG163" s="4" t="s">
        <v>24</v>
      </c>
      <c r="AH163" s="5">
        <v>1612</v>
      </c>
      <c r="AK163" s="4" t="s">
        <v>72</v>
      </c>
      <c r="AL163" s="4">
        <v>2011</v>
      </c>
      <c r="AM163" s="4" t="s">
        <v>24</v>
      </c>
      <c r="AN163" s="5">
        <v>483</v>
      </c>
      <c r="AO163" s="14"/>
      <c r="AQ163" s="4" t="s">
        <v>73</v>
      </c>
      <c r="AR163" s="4">
        <v>2011</v>
      </c>
      <c r="AS163" s="4" t="s">
        <v>24</v>
      </c>
      <c r="AT163" s="5">
        <v>227</v>
      </c>
      <c r="AW163" s="4" t="s">
        <v>172</v>
      </c>
      <c r="AX163" s="4">
        <v>2011</v>
      </c>
      <c r="AY163" s="4" t="s">
        <v>24</v>
      </c>
      <c r="AZ163" s="5">
        <v>405</v>
      </c>
      <c r="BC163" s="4" t="s">
        <v>174</v>
      </c>
      <c r="BD163" s="4">
        <v>2011</v>
      </c>
      <c r="BE163" s="4" t="s">
        <v>24</v>
      </c>
      <c r="BF163" s="5">
        <v>207</v>
      </c>
      <c r="BI163" s="4" t="s">
        <v>74</v>
      </c>
      <c r="BJ163" s="4">
        <v>2011</v>
      </c>
      <c r="BK163" s="4" t="s">
        <v>24</v>
      </c>
      <c r="BL163" s="5">
        <v>1429</v>
      </c>
      <c r="BO163" s="4" t="s">
        <v>176</v>
      </c>
      <c r="BP163" s="4">
        <v>2011</v>
      </c>
      <c r="BQ163" s="4" t="s">
        <v>24</v>
      </c>
      <c r="BR163" s="5">
        <v>264</v>
      </c>
      <c r="BU163" s="4" t="s">
        <v>178</v>
      </c>
      <c r="BV163" s="4">
        <v>2011</v>
      </c>
      <c r="BW163" s="4" t="s">
        <v>24</v>
      </c>
      <c r="BX163" s="5">
        <v>978</v>
      </c>
      <c r="CA163" s="4" t="s">
        <v>75</v>
      </c>
      <c r="CB163" s="4">
        <v>2011</v>
      </c>
      <c r="CC163" s="4" t="s">
        <v>24</v>
      </c>
      <c r="CD163" s="5">
        <v>262</v>
      </c>
      <c r="CG163" s="4" t="s">
        <v>76</v>
      </c>
      <c r="CH163" s="4">
        <v>2011</v>
      </c>
      <c r="CI163" s="4" t="s">
        <v>24</v>
      </c>
      <c r="CJ163" s="5">
        <v>1140</v>
      </c>
      <c r="CM163" s="4" t="s">
        <v>183</v>
      </c>
      <c r="CN163" s="4">
        <v>2011</v>
      </c>
      <c r="CO163" s="4" t="s">
        <v>24</v>
      </c>
      <c r="CP163" s="5">
        <v>536</v>
      </c>
      <c r="CS163" s="4" t="s">
        <v>208</v>
      </c>
      <c r="CT163" s="4">
        <v>2011</v>
      </c>
      <c r="CU163" s="4" t="s">
        <v>25</v>
      </c>
      <c r="CV163" s="5">
        <v>1232</v>
      </c>
    </row>
    <row r="164" spans="1:100" x14ac:dyDescent="0.25">
      <c r="A164" s="4" t="s">
        <v>180</v>
      </c>
      <c r="B164" s="4">
        <v>2011</v>
      </c>
      <c r="C164" s="4" t="s">
        <v>25</v>
      </c>
      <c r="D164" s="5">
        <v>46</v>
      </c>
      <c r="G164" s="4" t="s">
        <v>71</v>
      </c>
      <c r="H164" s="4">
        <v>2011</v>
      </c>
      <c r="I164" s="4" t="s">
        <v>25</v>
      </c>
      <c r="J164" s="5">
        <v>1317</v>
      </c>
      <c r="M164" s="4" t="s">
        <v>164</v>
      </c>
      <c r="N164" s="4">
        <v>2011</v>
      </c>
      <c r="O164" s="4" t="s">
        <v>25</v>
      </c>
      <c r="P164" s="5">
        <v>952</v>
      </c>
      <c r="S164" s="4" t="s">
        <v>166</v>
      </c>
      <c r="T164" s="4">
        <v>2011</v>
      </c>
      <c r="U164" s="4" t="s">
        <v>25</v>
      </c>
      <c r="V164" s="5">
        <v>453</v>
      </c>
      <c r="Y164" s="4" t="s">
        <v>168</v>
      </c>
      <c r="Z164" s="4">
        <v>2011</v>
      </c>
      <c r="AA164" s="4" t="s">
        <v>25</v>
      </c>
      <c r="AB164" s="5">
        <v>259</v>
      </c>
      <c r="AE164" s="4" t="s">
        <v>170</v>
      </c>
      <c r="AF164" s="4">
        <v>2011</v>
      </c>
      <c r="AG164" s="4" t="s">
        <v>25</v>
      </c>
      <c r="AH164" s="5">
        <v>1737</v>
      </c>
      <c r="AK164" s="4" t="s">
        <v>72</v>
      </c>
      <c r="AL164" s="4">
        <v>2011</v>
      </c>
      <c r="AM164" s="4" t="s">
        <v>25</v>
      </c>
      <c r="AN164" s="5">
        <v>504</v>
      </c>
      <c r="AO164" s="14"/>
      <c r="AQ164" s="4" t="s">
        <v>73</v>
      </c>
      <c r="AR164" s="4">
        <v>2011</v>
      </c>
      <c r="AS164" s="4" t="s">
        <v>25</v>
      </c>
      <c r="AT164" s="5">
        <v>245</v>
      </c>
      <c r="AW164" s="4" t="s">
        <v>172</v>
      </c>
      <c r="AX164" s="4">
        <v>2011</v>
      </c>
      <c r="AY164" s="4" t="s">
        <v>25</v>
      </c>
      <c r="AZ164" s="5">
        <v>399</v>
      </c>
      <c r="BC164" s="4" t="s">
        <v>174</v>
      </c>
      <c r="BD164" s="4">
        <v>2011</v>
      </c>
      <c r="BE164" s="4" t="s">
        <v>25</v>
      </c>
      <c r="BF164" s="5">
        <v>208</v>
      </c>
      <c r="BI164" s="4" t="s">
        <v>74</v>
      </c>
      <c r="BJ164" s="4">
        <v>2011</v>
      </c>
      <c r="BK164" s="4" t="s">
        <v>25</v>
      </c>
      <c r="BL164" s="5">
        <v>1349</v>
      </c>
      <c r="BO164" s="4" t="s">
        <v>176</v>
      </c>
      <c r="BP164" s="4">
        <v>2011</v>
      </c>
      <c r="BQ164" s="4" t="s">
        <v>25</v>
      </c>
      <c r="BR164" s="5">
        <v>344</v>
      </c>
      <c r="BU164" s="4" t="s">
        <v>178</v>
      </c>
      <c r="BV164" s="4">
        <v>2011</v>
      </c>
      <c r="BW164" s="4" t="s">
        <v>25</v>
      </c>
      <c r="BX164" s="5">
        <v>883</v>
      </c>
      <c r="CA164" s="4" t="s">
        <v>75</v>
      </c>
      <c r="CB164" s="4">
        <v>2011</v>
      </c>
      <c r="CC164" s="4" t="s">
        <v>25</v>
      </c>
      <c r="CD164" s="5">
        <v>240</v>
      </c>
      <c r="CG164" s="4" t="s">
        <v>76</v>
      </c>
      <c r="CH164" s="4">
        <v>2011</v>
      </c>
      <c r="CI164" s="4" t="s">
        <v>25</v>
      </c>
      <c r="CJ164" s="5">
        <v>1243</v>
      </c>
      <c r="CM164" s="4" t="s">
        <v>183</v>
      </c>
      <c r="CN164" s="4">
        <v>2011</v>
      </c>
      <c r="CO164" s="4" t="s">
        <v>25</v>
      </c>
      <c r="CP164" s="5">
        <v>553</v>
      </c>
      <c r="CS164" s="4" t="s">
        <v>208</v>
      </c>
      <c r="CT164" s="4">
        <v>2011</v>
      </c>
      <c r="CU164" s="4" t="s">
        <v>26</v>
      </c>
      <c r="CV164" s="5">
        <v>1349</v>
      </c>
    </row>
    <row r="165" spans="1:100" x14ac:dyDescent="0.25">
      <c r="A165" s="4" t="s">
        <v>180</v>
      </c>
      <c r="B165" s="4">
        <v>2011</v>
      </c>
      <c r="C165" s="4" t="s">
        <v>26</v>
      </c>
      <c r="D165" s="5">
        <v>53</v>
      </c>
      <c r="G165" s="4" t="s">
        <v>71</v>
      </c>
      <c r="H165" s="4">
        <v>2011</v>
      </c>
      <c r="I165" s="4" t="s">
        <v>26</v>
      </c>
      <c r="J165" s="5">
        <v>1137</v>
      </c>
      <c r="M165" s="4" t="s">
        <v>164</v>
      </c>
      <c r="N165" s="4">
        <v>2011</v>
      </c>
      <c r="O165" s="4" t="s">
        <v>26</v>
      </c>
      <c r="P165" s="5">
        <v>934</v>
      </c>
      <c r="S165" s="4" t="s">
        <v>166</v>
      </c>
      <c r="T165" s="4">
        <v>2011</v>
      </c>
      <c r="U165" s="4" t="s">
        <v>26</v>
      </c>
      <c r="V165" s="5">
        <v>484</v>
      </c>
      <c r="Y165" s="4" t="s">
        <v>168</v>
      </c>
      <c r="Z165" s="4">
        <v>2011</v>
      </c>
      <c r="AA165" s="4" t="s">
        <v>26</v>
      </c>
      <c r="AB165" s="5">
        <v>251</v>
      </c>
      <c r="AE165" s="4" t="s">
        <v>170</v>
      </c>
      <c r="AF165" s="4">
        <v>2011</v>
      </c>
      <c r="AG165" s="4" t="s">
        <v>26</v>
      </c>
      <c r="AH165" s="5">
        <v>1664</v>
      </c>
      <c r="AK165" s="4" t="s">
        <v>72</v>
      </c>
      <c r="AL165" s="4">
        <v>2011</v>
      </c>
      <c r="AM165" s="4" t="s">
        <v>26</v>
      </c>
      <c r="AN165" s="5">
        <v>486</v>
      </c>
      <c r="AO165" s="14"/>
      <c r="AQ165" s="4" t="s">
        <v>73</v>
      </c>
      <c r="AR165" s="4">
        <v>2011</v>
      </c>
      <c r="AS165" s="4" t="s">
        <v>26</v>
      </c>
      <c r="AT165" s="5">
        <v>237</v>
      </c>
      <c r="AW165" s="4" t="s">
        <v>172</v>
      </c>
      <c r="AX165" s="4">
        <v>2011</v>
      </c>
      <c r="AY165" s="4" t="s">
        <v>26</v>
      </c>
      <c r="AZ165" s="5">
        <v>358</v>
      </c>
      <c r="BC165" s="4" t="s">
        <v>174</v>
      </c>
      <c r="BD165" s="4">
        <v>2011</v>
      </c>
      <c r="BE165" s="4" t="s">
        <v>26</v>
      </c>
      <c r="BF165" s="5">
        <v>194</v>
      </c>
      <c r="BI165" s="4" t="s">
        <v>74</v>
      </c>
      <c r="BJ165" s="4">
        <v>2011</v>
      </c>
      <c r="BK165" s="4" t="s">
        <v>26</v>
      </c>
      <c r="BL165" s="5">
        <v>1389</v>
      </c>
      <c r="BO165" s="4" t="s">
        <v>176</v>
      </c>
      <c r="BP165" s="4">
        <v>2011</v>
      </c>
      <c r="BQ165" s="4" t="s">
        <v>26</v>
      </c>
      <c r="BR165" s="5">
        <v>369</v>
      </c>
      <c r="BU165" s="4" t="s">
        <v>178</v>
      </c>
      <c r="BV165" s="4">
        <v>2011</v>
      </c>
      <c r="BW165" s="4" t="s">
        <v>26</v>
      </c>
      <c r="BX165" s="5">
        <v>894</v>
      </c>
      <c r="CA165" s="4" t="s">
        <v>75</v>
      </c>
      <c r="CB165" s="4">
        <v>2011</v>
      </c>
      <c r="CC165" s="4" t="s">
        <v>26</v>
      </c>
      <c r="CD165" s="5">
        <v>226</v>
      </c>
      <c r="CG165" s="4" t="s">
        <v>76</v>
      </c>
      <c r="CH165" s="4">
        <v>2011</v>
      </c>
      <c r="CI165" s="4" t="s">
        <v>26</v>
      </c>
      <c r="CJ165" s="5">
        <v>1284</v>
      </c>
      <c r="CM165" s="4" t="s">
        <v>183</v>
      </c>
      <c r="CN165" s="4">
        <v>2011</v>
      </c>
      <c r="CO165" s="4" t="s">
        <v>26</v>
      </c>
      <c r="CP165" s="5">
        <v>554</v>
      </c>
      <c r="CS165" s="4" t="s">
        <v>208</v>
      </c>
      <c r="CT165" s="4">
        <v>2011</v>
      </c>
      <c r="CU165" s="4" t="s">
        <v>27</v>
      </c>
      <c r="CV165" s="5">
        <v>1271</v>
      </c>
    </row>
    <row r="166" spans="1:100" x14ac:dyDescent="0.25">
      <c r="A166" s="4" t="s">
        <v>180</v>
      </c>
      <c r="B166" s="4">
        <v>2011</v>
      </c>
      <c r="C166" s="4" t="s">
        <v>27</v>
      </c>
      <c r="D166" s="5">
        <v>53</v>
      </c>
      <c r="G166" s="4" t="s">
        <v>71</v>
      </c>
      <c r="H166" s="4">
        <v>2011</v>
      </c>
      <c r="I166" s="4" t="s">
        <v>27</v>
      </c>
      <c r="J166" s="5">
        <v>1154</v>
      </c>
      <c r="M166" s="4" t="s">
        <v>164</v>
      </c>
      <c r="N166" s="4">
        <v>2011</v>
      </c>
      <c r="O166" s="4" t="s">
        <v>27</v>
      </c>
      <c r="P166" s="5">
        <v>876</v>
      </c>
      <c r="S166" s="4" t="s">
        <v>166</v>
      </c>
      <c r="T166" s="4">
        <v>2011</v>
      </c>
      <c r="U166" s="4" t="s">
        <v>27</v>
      </c>
      <c r="V166" s="5">
        <v>489</v>
      </c>
      <c r="Y166" s="4" t="s">
        <v>168</v>
      </c>
      <c r="Z166" s="4">
        <v>2011</v>
      </c>
      <c r="AA166" s="4" t="s">
        <v>27</v>
      </c>
      <c r="AB166" s="5">
        <v>281</v>
      </c>
      <c r="AE166" s="4" t="s">
        <v>170</v>
      </c>
      <c r="AF166" s="4">
        <v>2011</v>
      </c>
      <c r="AG166" s="4" t="s">
        <v>27</v>
      </c>
      <c r="AH166" s="5">
        <v>1570</v>
      </c>
      <c r="AK166" s="4" t="s">
        <v>72</v>
      </c>
      <c r="AL166" s="4">
        <v>2011</v>
      </c>
      <c r="AM166" s="4" t="s">
        <v>27</v>
      </c>
      <c r="AN166" s="5">
        <v>537</v>
      </c>
      <c r="AO166" s="14"/>
      <c r="AQ166" s="4" t="s">
        <v>73</v>
      </c>
      <c r="AR166" s="4">
        <v>2011</v>
      </c>
      <c r="AS166" s="4" t="s">
        <v>27</v>
      </c>
      <c r="AT166" s="5">
        <v>204</v>
      </c>
      <c r="AW166" s="4" t="s">
        <v>172</v>
      </c>
      <c r="AX166" s="4">
        <v>2011</v>
      </c>
      <c r="AY166" s="4" t="s">
        <v>27</v>
      </c>
      <c r="AZ166" s="5">
        <v>391</v>
      </c>
      <c r="BC166" s="4" t="s">
        <v>174</v>
      </c>
      <c r="BD166" s="4">
        <v>2011</v>
      </c>
      <c r="BE166" s="4" t="s">
        <v>27</v>
      </c>
      <c r="BF166" s="5">
        <v>174</v>
      </c>
      <c r="BI166" s="4" t="s">
        <v>74</v>
      </c>
      <c r="BJ166" s="4">
        <v>2011</v>
      </c>
      <c r="BK166" s="4" t="s">
        <v>27</v>
      </c>
      <c r="BL166" s="5">
        <v>1440</v>
      </c>
      <c r="BO166" s="4" t="s">
        <v>176</v>
      </c>
      <c r="BP166" s="4">
        <v>2011</v>
      </c>
      <c r="BQ166" s="4" t="s">
        <v>27</v>
      </c>
      <c r="BR166" s="5">
        <v>382</v>
      </c>
      <c r="BU166" s="4" t="s">
        <v>178</v>
      </c>
      <c r="BV166" s="4">
        <v>2011</v>
      </c>
      <c r="BW166" s="4" t="s">
        <v>27</v>
      </c>
      <c r="BX166" s="5">
        <v>989</v>
      </c>
      <c r="CA166" s="4" t="s">
        <v>75</v>
      </c>
      <c r="CB166" s="4">
        <v>2011</v>
      </c>
      <c r="CC166" s="4" t="s">
        <v>27</v>
      </c>
      <c r="CD166" s="5">
        <v>251</v>
      </c>
      <c r="CG166" s="4" t="s">
        <v>76</v>
      </c>
      <c r="CH166" s="4">
        <v>2011</v>
      </c>
      <c r="CI166" s="4" t="s">
        <v>27</v>
      </c>
      <c r="CJ166" s="5">
        <v>1149</v>
      </c>
      <c r="CM166" s="4" t="s">
        <v>183</v>
      </c>
      <c r="CN166" s="4">
        <v>2011</v>
      </c>
      <c r="CO166" s="4" t="s">
        <v>27</v>
      </c>
      <c r="CP166" s="5">
        <v>585</v>
      </c>
      <c r="CS166" s="4" t="s">
        <v>208</v>
      </c>
      <c r="CT166" s="4">
        <v>2011</v>
      </c>
      <c r="CU166" s="4" t="s">
        <v>28</v>
      </c>
      <c r="CV166" s="5">
        <v>1013</v>
      </c>
    </row>
    <row r="167" spans="1:100" x14ac:dyDescent="0.25">
      <c r="A167" s="4" t="s">
        <v>180</v>
      </c>
      <c r="B167" s="4">
        <v>2011</v>
      </c>
      <c r="C167" s="4" t="s">
        <v>28</v>
      </c>
      <c r="D167" s="5">
        <v>55</v>
      </c>
      <c r="G167" s="4" t="s">
        <v>71</v>
      </c>
      <c r="H167" s="4">
        <v>2011</v>
      </c>
      <c r="I167" s="4" t="s">
        <v>28</v>
      </c>
      <c r="J167" s="5">
        <v>1110</v>
      </c>
      <c r="M167" s="4" t="s">
        <v>164</v>
      </c>
      <c r="N167" s="4">
        <v>2011</v>
      </c>
      <c r="O167" s="4" t="s">
        <v>28</v>
      </c>
      <c r="P167" s="5">
        <v>821</v>
      </c>
      <c r="S167" s="4" t="s">
        <v>166</v>
      </c>
      <c r="T167" s="4">
        <v>2011</v>
      </c>
      <c r="U167" s="4" t="s">
        <v>28</v>
      </c>
      <c r="V167" s="5">
        <v>484</v>
      </c>
      <c r="Y167" s="4" t="s">
        <v>168</v>
      </c>
      <c r="Z167" s="4">
        <v>2011</v>
      </c>
      <c r="AA167" s="4" t="s">
        <v>28</v>
      </c>
      <c r="AB167" s="5">
        <v>234</v>
      </c>
      <c r="AE167" s="4" t="s">
        <v>170</v>
      </c>
      <c r="AF167" s="4">
        <v>2011</v>
      </c>
      <c r="AG167" s="4" t="s">
        <v>28</v>
      </c>
      <c r="AH167" s="5">
        <v>1648</v>
      </c>
      <c r="AK167" s="4" t="s">
        <v>72</v>
      </c>
      <c r="AL167" s="4">
        <v>2011</v>
      </c>
      <c r="AM167" s="4" t="s">
        <v>28</v>
      </c>
      <c r="AN167" s="5">
        <v>458</v>
      </c>
      <c r="AO167" s="14"/>
      <c r="AQ167" s="4" t="s">
        <v>73</v>
      </c>
      <c r="AR167" s="4">
        <v>2011</v>
      </c>
      <c r="AS167" s="4" t="s">
        <v>28</v>
      </c>
      <c r="AT167" s="5">
        <v>209</v>
      </c>
      <c r="AW167" s="4" t="s">
        <v>172</v>
      </c>
      <c r="AX167" s="4">
        <v>2011</v>
      </c>
      <c r="AY167" s="4" t="s">
        <v>28</v>
      </c>
      <c r="AZ167" s="5">
        <v>381</v>
      </c>
      <c r="BC167" s="4" t="s">
        <v>174</v>
      </c>
      <c r="BD167" s="4">
        <v>2011</v>
      </c>
      <c r="BE167" s="4" t="s">
        <v>28</v>
      </c>
      <c r="BF167" s="5">
        <v>120</v>
      </c>
      <c r="BI167" s="4" t="s">
        <v>74</v>
      </c>
      <c r="BJ167" s="4">
        <v>2011</v>
      </c>
      <c r="BK167" s="4" t="s">
        <v>28</v>
      </c>
      <c r="BL167" s="5">
        <v>1509</v>
      </c>
      <c r="BO167" s="4" t="s">
        <v>176</v>
      </c>
      <c r="BP167" s="4">
        <v>2011</v>
      </c>
      <c r="BQ167" s="4" t="s">
        <v>28</v>
      </c>
      <c r="BR167" s="5">
        <v>269</v>
      </c>
      <c r="BU167" s="4" t="s">
        <v>178</v>
      </c>
      <c r="BV167" s="4">
        <v>2011</v>
      </c>
      <c r="BW167" s="4" t="s">
        <v>28</v>
      </c>
      <c r="BX167" s="5">
        <v>972</v>
      </c>
      <c r="CA167" s="4" t="s">
        <v>75</v>
      </c>
      <c r="CB167" s="4">
        <v>2011</v>
      </c>
      <c r="CC167" s="4" t="s">
        <v>28</v>
      </c>
      <c r="CD167" s="5">
        <v>243</v>
      </c>
      <c r="CG167" s="4" t="s">
        <v>76</v>
      </c>
      <c r="CH167" s="4">
        <v>2011</v>
      </c>
      <c r="CI167" s="4" t="s">
        <v>28</v>
      </c>
      <c r="CJ167" s="5">
        <v>1250</v>
      </c>
      <c r="CM167" s="4" t="s">
        <v>183</v>
      </c>
      <c r="CN167" s="4">
        <v>2011</v>
      </c>
      <c r="CO167" s="4" t="s">
        <v>28</v>
      </c>
      <c r="CP167" s="5">
        <v>613</v>
      </c>
      <c r="CS167" s="4" t="s">
        <v>208</v>
      </c>
      <c r="CT167" s="4">
        <v>2011</v>
      </c>
      <c r="CU167" s="4" t="s">
        <v>29</v>
      </c>
      <c r="CV167" s="5">
        <v>924</v>
      </c>
    </row>
    <row r="168" spans="1:100" x14ac:dyDescent="0.25">
      <c r="A168" s="4" t="s">
        <v>180</v>
      </c>
      <c r="B168" s="4">
        <v>2011</v>
      </c>
      <c r="C168" s="4" t="s">
        <v>29</v>
      </c>
      <c r="D168" s="5">
        <v>69</v>
      </c>
      <c r="G168" s="4" t="s">
        <v>71</v>
      </c>
      <c r="H168" s="4">
        <v>2011</v>
      </c>
      <c r="I168" s="4" t="s">
        <v>29</v>
      </c>
      <c r="J168" s="5">
        <v>1129</v>
      </c>
      <c r="M168" s="4" t="s">
        <v>164</v>
      </c>
      <c r="N168" s="4">
        <v>2011</v>
      </c>
      <c r="O168" s="4" t="s">
        <v>29</v>
      </c>
      <c r="P168" s="5">
        <v>759</v>
      </c>
      <c r="S168" s="4" t="s">
        <v>166</v>
      </c>
      <c r="T168" s="4">
        <v>2011</v>
      </c>
      <c r="U168" s="4" t="s">
        <v>29</v>
      </c>
      <c r="V168" s="5">
        <v>441</v>
      </c>
      <c r="Y168" s="4" t="s">
        <v>168</v>
      </c>
      <c r="Z168" s="4">
        <v>2011</v>
      </c>
      <c r="AA168" s="4" t="s">
        <v>29</v>
      </c>
      <c r="AB168" s="5">
        <v>251</v>
      </c>
      <c r="AE168" s="4" t="s">
        <v>170</v>
      </c>
      <c r="AF168" s="4">
        <v>2011</v>
      </c>
      <c r="AG168" s="4" t="s">
        <v>29</v>
      </c>
      <c r="AH168" s="5">
        <v>1513</v>
      </c>
      <c r="AK168" s="4" t="s">
        <v>72</v>
      </c>
      <c r="AL168" s="4">
        <v>2011</v>
      </c>
      <c r="AM168" s="4" t="s">
        <v>29</v>
      </c>
      <c r="AN168" s="5">
        <v>462</v>
      </c>
      <c r="AO168" s="14"/>
      <c r="AQ168" s="4" t="s">
        <v>73</v>
      </c>
      <c r="AR168" s="4">
        <v>2011</v>
      </c>
      <c r="AS168" s="4" t="s">
        <v>29</v>
      </c>
      <c r="AT168" s="5">
        <v>195</v>
      </c>
      <c r="AW168" s="4" t="s">
        <v>172</v>
      </c>
      <c r="AX168" s="4">
        <v>2011</v>
      </c>
      <c r="AY168" s="4" t="s">
        <v>29</v>
      </c>
      <c r="AZ168" s="5">
        <v>378</v>
      </c>
      <c r="BC168" s="4" t="s">
        <v>174</v>
      </c>
      <c r="BD168" s="4">
        <v>2011</v>
      </c>
      <c r="BE168" s="4" t="s">
        <v>29</v>
      </c>
      <c r="BF168" s="5">
        <v>146</v>
      </c>
      <c r="BI168" s="4" t="s">
        <v>74</v>
      </c>
      <c r="BJ168" s="4">
        <v>2011</v>
      </c>
      <c r="BK168" s="4" t="s">
        <v>29</v>
      </c>
      <c r="BL168" s="5">
        <v>1495</v>
      </c>
      <c r="BO168" s="4" t="s">
        <v>176</v>
      </c>
      <c r="BP168" s="4">
        <v>2011</v>
      </c>
      <c r="BQ168" s="4" t="s">
        <v>29</v>
      </c>
      <c r="BR168" s="5">
        <v>286</v>
      </c>
      <c r="BU168" s="4" t="s">
        <v>178</v>
      </c>
      <c r="BV168" s="4">
        <v>2011</v>
      </c>
      <c r="BW168" s="4" t="s">
        <v>29</v>
      </c>
      <c r="BX168" s="5">
        <v>935</v>
      </c>
      <c r="CA168" s="4" t="s">
        <v>75</v>
      </c>
      <c r="CB168" s="4">
        <v>2011</v>
      </c>
      <c r="CC168" s="4" t="s">
        <v>29</v>
      </c>
      <c r="CD168" s="5">
        <v>260</v>
      </c>
      <c r="CG168" s="4" t="s">
        <v>76</v>
      </c>
      <c r="CH168" s="4">
        <v>2011</v>
      </c>
      <c r="CI168" s="4" t="s">
        <v>29</v>
      </c>
      <c r="CJ168" s="5">
        <v>1187</v>
      </c>
      <c r="CM168" s="4" t="s">
        <v>183</v>
      </c>
      <c r="CN168" s="4">
        <v>2011</v>
      </c>
      <c r="CO168" s="4" t="s">
        <v>29</v>
      </c>
      <c r="CP168" s="5">
        <v>618</v>
      </c>
      <c r="CS168" s="4" t="s">
        <v>208</v>
      </c>
      <c r="CT168" s="4">
        <v>2011</v>
      </c>
      <c r="CU168" s="4" t="s">
        <v>30</v>
      </c>
      <c r="CV168" s="5">
        <v>964</v>
      </c>
    </row>
    <row r="169" spans="1:100" x14ac:dyDescent="0.25">
      <c r="A169" s="4" t="s">
        <v>180</v>
      </c>
      <c r="B169" s="4">
        <v>2011</v>
      </c>
      <c r="C169" s="4" t="s">
        <v>30</v>
      </c>
      <c r="D169" s="5">
        <v>76</v>
      </c>
      <c r="G169" s="4" t="s">
        <v>71</v>
      </c>
      <c r="H169" s="4">
        <v>2011</v>
      </c>
      <c r="I169" s="4" t="s">
        <v>30</v>
      </c>
      <c r="J169" s="5">
        <v>1100</v>
      </c>
      <c r="M169" s="4" t="s">
        <v>164</v>
      </c>
      <c r="N169" s="4">
        <v>2011</v>
      </c>
      <c r="O169" s="4" t="s">
        <v>30</v>
      </c>
      <c r="P169" s="5">
        <v>749</v>
      </c>
      <c r="S169" s="4" t="s">
        <v>166</v>
      </c>
      <c r="T169" s="4">
        <v>2011</v>
      </c>
      <c r="U169" s="4" t="s">
        <v>30</v>
      </c>
      <c r="V169" s="5">
        <v>427</v>
      </c>
      <c r="Y169" s="4" t="s">
        <v>168</v>
      </c>
      <c r="Z169" s="4">
        <v>2011</v>
      </c>
      <c r="AA169" s="4" t="s">
        <v>30</v>
      </c>
      <c r="AB169" s="5">
        <v>254</v>
      </c>
      <c r="AE169" s="4" t="s">
        <v>170</v>
      </c>
      <c r="AF169" s="4">
        <v>2011</v>
      </c>
      <c r="AG169" s="4" t="s">
        <v>30</v>
      </c>
      <c r="AH169" s="5">
        <v>1471</v>
      </c>
      <c r="AK169" s="4" t="s">
        <v>72</v>
      </c>
      <c r="AL169" s="4">
        <v>2011</v>
      </c>
      <c r="AM169" s="4" t="s">
        <v>30</v>
      </c>
      <c r="AN169" s="5">
        <v>423</v>
      </c>
      <c r="AO169" s="14"/>
      <c r="AQ169" s="4" t="s">
        <v>73</v>
      </c>
      <c r="AR169" s="4">
        <v>2011</v>
      </c>
      <c r="AS169" s="4" t="s">
        <v>30</v>
      </c>
      <c r="AT169" s="5">
        <v>225</v>
      </c>
      <c r="AW169" s="4" t="s">
        <v>172</v>
      </c>
      <c r="AX169" s="4">
        <v>2011</v>
      </c>
      <c r="AY169" s="4" t="s">
        <v>30</v>
      </c>
      <c r="AZ169" s="5">
        <v>393</v>
      </c>
      <c r="BC169" s="4" t="s">
        <v>174</v>
      </c>
      <c r="BD169" s="4">
        <v>2011</v>
      </c>
      <c r="BE169" s="4" t="s">
        <v>30</v>
      </c>
      <c r="BF169" s="5">
        <v>163</v>
      </c>
      <c r="BI169" s="4" t="s">
        <v>74</v>
      </c>
      <c r="BJ169" s="4">
        <v>2011</v>
      </c>
      <c r="BK169" s="4" t="s">
        <v>30</v>
      </c>
      <c r="BL169" s="5">
        <v>1340</v>
      </c>
      <c r="BO169" s="4" t="s">
        <v>176</v>
      </c>
      <c r="BP169" s="4">
        <v>2011</v>
      </c>
      <c r="BQ169" s="4" t="s">
        <v>30</v>
      </c>
      <c r="BR169" s="5">
        <v>286</v>
      </c>
      <c r="BU169" s="4" t="s">
        <v>178</v>
      </c>
      <c r="BV169" s="4">
        <v>2011</v>
      </c>
      <c r="BW169" s="4" t="s">
        <v>30</v>
      </c>
      <c r="BX169" s="5">
        <v>846</v>
      </c>
      <c r="CA169" s="4" t="s">
        <v>75</v>
      </c>
      <c r="CB169" s="4">
        <v>2011</v>
      </c>
      <c r="CC169" s="4" t="s">
        <v>30</v>
      </c>
      <c r="CD169" s="5">
        <v>265</v>
      </c>
      <c r="CG169" s="4" t="s">
        <v>76</v>
      </c>
      <c r="CH169" s="4">
        <v>2011</v>
      </c>
      <c r="CI169" s="4" t="s">
        <v>30</v>
      </c>
      <c r="CJ169" s="5">
        <v>1186</v>
      </c>
      <c r="CM169" s="4" t="s">
        <v>183</v>
      </c>
      <c r="CN169" s="4">
        <v>2011</v>
      </c>
      <c r="CO169" s="4" t="s">
        <v>30</v>
      </c>
      <c r="CP169" s="5">
        <v>535</v>
      </c>
      <c r="CS169" s="4" t="s">
        <v>208</v>
      </c>
      <c r="CT169" s="4">
        <v>2011</v>
      </c>
      <c r="CU169" s="4" t="s">
        <v>19</v>
      </c>
      <c r="CV169" s="5">
        <v>892</v>
      </c>
    </row>
    <row r="170" spans="1:100" x14ac:dyDescent="0.25">
      <c r="A170" s="4" t="s">
        <v>180</v>
      </c>
      <c r="B170" s="4">
        <v>2011</v>
      </c>
      <c r="C170" s="4" t="s">
        <v>19</v>
      </c>
      <c r="D170" s="5">
        <v>59</v>
      </c>
      <c r="G170" s="4" t="s">
        <v>71</v>
      </c>
      <c r="H170" s="4">
        <v>2011</v>
      </c>
      <c r="I170" s="4" t="s">
        <v>19</v>
      </c>
      <c r="J170" s="5">
        <v>1327</v>
      </c>
      <c r="M170" s="4" t="s">
        <v>164</v>
      </c>
      <c r="N170" s="4">
        <v>2011</v>
      </c>
      <c r="O170" s="4" t="s">
        <v>19</v>
      </c>
      <c r="P170" s="5">
        <v>783</v>
      </c>
      <c r="S170" s="4" t="s">
        <v>166</v>
      </c>
      <c r="T170" s="4">
        <v>2011</v>
      </c>
      <c r="U170" s="4" t="s">
        <v>19</v>
      </c>
      <c r="V170" s="5">
        <v>434</v>
      </c>
      <c r="Y170" s="4" t="s">
        <v>168</v>
      </c>
      <c r="Z170" s="4">
        <v>2011</v>
      </c>
      <c r="AA170" s="4" t="s">
        <v>19</v>
      </c>
      <c r="AB170" s="5">
        <v>242</v>
      </c>
      <c r="AE170" s="4" t="s">
        <v>170</v>
      </c>
      <c r="AF170" s="4">
        <v>2011</v>
      </c>
      <c r="AG170" s="4" t="s">
        <v>19</v>
      </c>
      <c r="AH170" s="5">
        <v>1459</v>
      </c>
      <c r="AK170" s="4" t="s">
        <v>72</v>
      </c>
      <c r="AL170" s="4">
        <v>2011</v>
      </c>
      <c r="AM170" s="4" t="s">
        <v>19</v>
      </c>
      <c r="AN170" s="5">
        <v>399</v>
      </c>
      <c r="AO170" s="14"/>
      <c r="AQ170" s="4" t="s">
        <v>73</v>
      </c>
      <c r="AR170" s="4">
        <v>2011</v>
      </c>
      <c r="AS170" s="4" t="s">
        <v>19</v>
      </c>
      <c r="AT170" s="5">
        <v>235</v>
      </c>
      <c r="AW170" s="4" t="s">
        <v>172</v>
      </c>
      <c r="AX170" s="4">
        <v>2011</v>
      </c>
      <c r="AY170" s="4" t="s">
        <v>19</v>
      </c>
      <c r="AZ170" s="5">
        <v>323</v>
      </c>
      <c r="BC170" s="4" t="s">
        <v>174</v>
      </c>
      <c r="BD170" s="4">
        <v>2011</v>
      </c>
      <c r="BE170" s="4" t="s">
        <v>19</v>
      </c>
      <c r="BF170" s="5">
        <v>191</v>
      </c>
      <c r="BI170" s="4" t="s">
        <v>74</v>
      </c>
      <c r="BJ170" s="4">
        <v>2011</v>
      </c>
      <c r="BK170" s="4" t="s">
        <v>19</v>
      </c>
      <c r="BL170" s="5">
        <v>1403</v>
      </c>
      <c r="BO170" s="4" t="s">
        <v>176</v>
      </c>
      <c r="BP170" s="4">
        <v>2011</v>
      </c>
      <c r="BQ170" s="4" t="s">
        <v>19</v>
      </c>
      <c r="BR170" s="5">
        <v>245</v>
      </c>
      <c r="BU170" s="4" t="s">
        <v>178</v>
      </c>
      <c r="BV170" s="4">
        <v>2011</v>
      </c>
      <c r="BW170" s="4" t="s">
        <v>19</v>
      </c>
      <c r="BX170" s="5">
        <v>956</v>
      </c>
      <c r="CA170" s="4" t="s">
        <v>75</v>
      </c>
      <c r="CB170" s="4">
        <v>2011</v>
      </c>
      <c r="CC170" s="4" t="s">
        <v>19</v>
      </c>
      <c r="CD170" s="5">
        <v>283</v>
      </c>
      <c r="CG170" s="4" t="s">
        <v>76</v>
      </c>
      <c r="CH170" s="4">
        <v>2011</v>
      </c>
      <c r="CI170" s="4" t="s">
        <v>19</v>
      </c>
      <c r="CJ170" s="5">
        <v>1112</v>
      </c>
      <c r="CM170" s="4" t="s">
        <v>183</v>
      </c>
      <c r="CN170" s="4">
        <v>2011</v>
      </c>
      <c r="CO170" s="4" t="s">
        <v>19</v>
      </c>
      <c r="CP170" s="5">
        <v>505</v>
      </c>
      <c r="CS170" s="4" t="s">
        <v>208</v>
      </c>
      <c r="CT170" s="4">
        <v>2011</v>
      </c>
      <c r="CU170" s="4" t="s">
        <v>96</v>
      </c>
      <c r="CV170" s="5">
        <v>1013</v>
      </c>
    </row>
    <row r="171" spans="1:100" x14ac:dyDescent="0.25">
      <c r="A171" s="4" t="s">
        <v>180</v>
      </c>
      <c r="B171" s="4">
        <v>2011</v>
      </c>
      <c r="C171" s="4" t="s">
        <v>96</v>
      </c>
      <c r="D171" s="5">
        <v>52</v>
      </c>
      <c r="G171" s="4" t="s">
        <v>71</v>
      </c>
      <c r="H171" s="4">
        <v>2011</v>
      </c>
      <c r="I171" s="4" t="s">
        <v>96</v>
      </c>
      <c r="J171" s="5">
        <v>1383</v>
      </c>
      <c r="M171" s="4" t="s">
        <v>164</v>
      </c>
      <c r="N171" s="4">
        <v>2011</v>
      </c>
      <c r="O171" s="4" t="s">
        <v>96</v>
      </c>
      <c r="P171" s="5">
        <v>887</v>
      </c>
      <c r="S171" s="4" t="s">
        <v>166</v>
      </c>
      <c r="T171" s="4">
        <v>2011</v>
      </c>
      <c r="U171" s="4" t="s">
        <v>96</v>
      </c>
      <c r="V171" s="5">
        <v>485</v>
      </c>
      <c r="Y171" s="4" t="s">
        <v>168</v>
      </c>
      <c r="Z171" s="4">
        <v>2011</v>
      </c>
      <c r="AA171" s="4" t="s">
        <v>96</v>
      </c>
      <c r="AB171" s="5">
        <v>268</v>
      </c>
      <c r="AE171" s="4" t="s">
        <v>170</v>
      </c>
      <c r="AF171" s="4">
        <v>2011</v>
      </c>
      <c r="AG171" s="4" t="s">
        <v>96</v>
      </c>
      <c r="AH171" s="5">
        <v>1566</v>
      </c>
      <c r="AK171" s="4" t="s">
        <v>72</v>
      </c>
      <c r="AL171" s="4">
        <v>2011</v>
      </c>
      <c r="AM171" s="4" t="s">
        <v>96</v>
      </c>
      <c r="AN171" s="5">
        <v>484</v>
      </c>
      <c r="AO171" s="14"/>
      <c r="AQ171" s="4" t="s">
        <v>73</v>
      </c>
      <c r="AR171" s="4">
        <v>2011</v>
      </c>
      <c r="AS171" s="4" t="s">
        <v>96</v>
      </c>
      <c r="AT171" s="5">
        <v>222</v>
      </c>
      <c r="AW171" s="4" t="s">
        <v>172</v>
      </c>
      <c r="AX171" s="4">
        <v>2011</v>
      </c>
      <c r="AY171" s="4" t="s">
        <v>96</v>
      </c>
      <c r="AZ171" s="5">
        <v>394</v>
      </c>
      <c r="BC171" s="4" t="s">
        <v>174</v>
      </c>
      <c r="BD171" s="4">
        <v>2011</v>
      </c>
      <c r="BE171" s="4" t="s">
        <v>96</v>
      </c>
      <c r="BF171" s="5">
        <v>188</v>
      </c>
      <c r="BI171" s="4" t="s">
        <v>74</v>
      </c>
      <c r="BJ171" s="4">
        <v>2011</v>
      </c>
      <c r="BK171" s="4" t="s">
        <v>96</v>
      </c>
      <c r="BL171" s="5">
        <v>1430</v>
      </c>
      <c r="BO171" s="4" t="s">
        <v>176</v>
      </c>
      <c r="BP171" s="4">
        <v>2011</v>
      </c>
      <c r="BQ171" s="4" t="s">
        <v>96</v>
      </c>
      <c r="BR171" s="5">
        <v>284</v>
      </c>
      <c r="BU171" s="4" t="s">
        <v>178</v>
      </c>
      <c r="BV171" s="4">
        <v>2011</v>
      </c>
      <c r="BW171" s="4" t="s">
        <v>96</v>
      </c>
      <c r="BX171" s="5">
        <v>933</v>
      </c>
      <c r="CA171" s="4" t="s">
        <v>75</v>
      </c>
      <c r="CB171" s="4">
        <v>2011</v>
      </c>
      <c r="CC171" s="4" t="s">
        <v>96</v>
      </c>
      <c r="CD171" s="5">
        <v>282</v>
      </c>
      <c r="CG171" s="4" t="s">
        <v>76</v>
      </c>
      <c r="CH171" s="4">
        <v>2011</v>
      </c>
      <c r="CI171" s="4" t="s">
        <v>96</v>
      </c>
      <c r="CJ171" s="5">
        <v>1246</v>
      </c>
      <c r="CM171" s="4" t="s">
        <v>183</v>
      </c>
      <c r="CN171" s="4">
        <v>2011</v>
      </c>
      <c r="CO171" s="4" t="s">
        <v>96</v>
      </c>
      <c r="CP171" s="5">
        <v>551</v>
      </c>
      <c r="CS171" s="4" t="s">
        <v>208</v>
      </c>
      <c r="CT171" s="4">
        <v>2012</v>
      </c>
      <c r="CU171" s="4" t="s">
        <v>20</v>
      </c>
      <c r="CV171" s="5">
        <v>890</v>
      </c>
    </row>
    <row r="172" spans="1:100" x14ac:dyDescent="0.25">
      <c r="A172" s="4" t="s">
        <v>180</v>
      </c>
      <c r="B172" s="4">
        <v>2012</v>
      </c>
      <c r="C172" s="4" t="s">
        <v>20</v>
      </c>
      <c r="D172" s="5">
        <v>78</v>
      </c>
      <c r="G172" s="4" t="s">
        <v>71</v>
      </c>
      <c r="H172" s="4">
        <v>2012</v>
      </c>
      <c r="I172" s="4" t="s">
        <v>20</v>
      </c>
      <c r="J172" s="5">
        <v>1479</v>
      </c>
      <c r="M172" s="4" t="s">
        <v>164</v>
      </c>
      <c r="N172" s="4">
        <v>2012</v>
      </c>
      <c r="O172" s="4" t="s">
        <v>20</v>
      </c>
      <c r="P172" s="5">
        <v>796</v>
      </c>
      <c r="S172" s="4" t="s">
        <v>166</v>
      </c>
      <c r="T172" s="4">
        <v>2012</v>
      </c>
      <c r="U172" s="4" t="s">
        <v>20</v>
      </c>
      <c r="V172" s="5">
        <v>487</v>
      </c>
      <c r="Y172" s="4" t="s">
        <v>168</v>
      </c>
      <c r="Z172" s="4">
        <v>2012</v>
      </c>
      <c r="AA172" s="4" t="s">
        <v>20</v>
      </c>
      <c r="AB172" s="5">
        <v>273</v>
      </c>
      <c r="AE172" s="4" t="s">
        <v>170</v>
      </c>
      <c r="AF172" s="4">
        <v>2012</v>
      </c>
      <c r="AG172" s="4" t="s">
        <v>20</v>
      </c>
      <c r="AH172" s="5">
        <v>1633</v>
      </c>
      <c r="AK172" s="4" t="s">
        <v>72</v>
      </c>
      <c r="AL172" s="4">
        <v>2012</v>
      </c>
      <c r="AM172" s="4" t="s">
        <v>20</v>
      </c>
      <c r="AN172" s="5">
        <v>400</v>
      </c>
      <c r="AO172" s="14"/>
      <c r="AQ172" s="4" t="s">
        <v>73</v>
      </c>
      <c r="AR172" s="4">
        <v>2012</v>
      </c>
      <c r="AS172" s="4" t="s">
        <v>20</v>
      </c>
      <c r="AT172" s="5">
        <v>227</v>
      </c>
      <c r="AW172" s="4" t="s">
        <v>172</v>
      </c>
      <c r="AX172" s="4">
        <v>2012</v>
      </c>
      <c r="AY172" s="4" t="s">
        <v>20</v>
      </c>
      <c r="AZ172" s="5">
        <v>264</v>
      </c>
      <c r="BC172" s="4" t="s">
        <v>174</v>
      </c>
      <c r="BD172" s="4">
        <v>2012</v>
      </c>
      <c r="BE172" s="4" t="s">
        <v>20</v>
      </c>
      <c r="BF172" s="5">
        <v>198</v>
      </c>
      <c r="BI172" s="4" t="s">
        <v>74</v>
      </c>
      <c r="BJ172" s="4">
        <v>2012</v>
      </c>
      <c r="BK172" s="4" t="s">
        <v>20</v>
      </c>
      <c r="BL172" s="5">
        <v>1441</v>
      </c>
      <c r="BO172" s="4" t="s">
        <v>176</v>
      </c>
      <c r="BP172" s="4">
        <v>2012</v>
      </c>
      <c r="BQ172" s="4" t="s">
        <v>20</v>
      </c>
      <c r="BR172" s="5">
        <v>277</v>
      </c>
      <c r="BU172" s="4" t="s">
        <v>178</v>
      </c>
      <c r="BV172" s="4">
        <v>2012</v>
      </c>
      <c r="BW172" s="4" t="s">
        <v>20</v>
      </c>
      <c r="BX172" s="5">
        <v>937</v>
      </c>
      <c r="CA172" s="4" t="s">
        <v>75</v>
      </c>
      <c r="CB172" s="4">
        <v>2012</v>
      </c>
      <c r="CC172" s="4" t="s">
        <v>20</v>
      </c>
      <c r="CD172" s="5">
        <v>343</v>
      </c>
      <c r="CG172" s="4" t="s">
        <v>76</v>
      </c>
      <c r="CH172" s="4">
        <v>2012</v>
      </c>
      <c r="CI172" s="4" t="s">
        <v>20</v>
      </c>
      <c r="CJ172" s="5">
        <v>1304</v>
      </c>
      <c r="CM172" s="4" t="s">
        <v>183</v>
      </c>
      <c r="CN172" s="4">
        <v>2012</v>
      </c>
      <c r="CO172" s="4" t="s">
        <v>20</v>
      </c>
      <c r="CP172" s="5">
        <v>601</v>
      </c>
      <c r="CS172" s="4" t="s">
        <v>208</v>
      </c>
      <c r="CT172" s="4">
        <v>2012</v>
      </c>
      <c r="CU172" s="4" t="s">
        <v>21</v>
      </c>
      <c r="CV172" s="5">
        <v>848</v>
      </c>
    </row>
    <row r="173" spans="1:100" x14ac:dyDescent="0.25">
      <c r="A173" s="4" t="s">
        <v>180</v>
      </c>
      <c r="B173" s="4">
        <v>2012</v>
      </c>
      <c r="C173" s="4" t="s">
        <v>21</v>
      </c>
      <c r="D173" s="5">
        <v>66</v>
      </c>
      <c r="G173" s="4" t="s">
        <v>71</v>
      </c>
      <c r="H173" s="4">
        <v>2012</v>
      </c>
      <c r="I173" s="4" t="s">
        <v>21</v>
      </c>
      <c r="J173" s="5">
        <v>1404</v>
      </c>
      <c r="M173" s="4" t="s">
        <v>164</v>
      </c>
      <c r="N173" s="4">
        <v>2012</v>
      </c>
      <c r="O173" s="4" t="s">
        <v>21</v>
      </c>
      <c r="P173" s="5">
        <v>787</v>
      </c>
      <c r="S173" s="4" t="s">
        <v>166</v>
      </c>
      <c r="T173" s="4">
        <v>2012</v>
      </c>
      <c r="U173" s="4" t="s">
        <v>21</v>
      </c>
      <c r="V173" s="5">
        <v>506</v>
      </c>
      <c r="Y173" s="4" t="s">
        <v>168</v>
      </c>
      <c r="Z173" s="4">
        <v>2012</v>
      </c>
      <c r="AA173" s="4" t="s">
        <v>21</v>
      </c>
      <c r="AB173" s="5">
        <v>268</v>
      </c>
      <c r="AE173" s="4" t="s">
        <v>170</v>
      </c>
      <c r="AF173" s="4">
        <v>2012</v>
      </c>
      <c r="AG173" s="4" t="s">
        <v>21</v>
      </c>
      <c r="AH173" s="5">
        <v>1556</v>
      </c>
      <c r="AK173" s="4" t="s">
        <v>72</v>
      </c>
      <c r="AL173" s="4">
        <v>2012</v>
      </c>
      <c r="AM173" s="4" t="s">
        <v>21</v>
      </c>
      <c r="AN173" s="5">
        <v>440</v>
      </c>
      <c r="AO173" s="14"/>
      <c r="AQ173" s="4" t="s">
        <v>73</v>
      </c>
      <c r="AR173" s="4">
        <v>2012</v>
      </c>
      <c r="AS173" s="4" t="s">
        <v>21</v>
      </c>
      <c r="AT173" s="5">
        <v>247</v>
      </c>
      <c r="AW173" s="4" t="s">
        <v>172</v>
      </c>
      <c r="AX173" s="4">
        <v>2012</v>
      </c>
      <c r="AY173" s="4" t="s">
        <v>21</v>
      </c>
      <c r="AZ173" s="5">
        <v>288</v>
      </c>
      <c r="BC173" s="4" t="s">
        <v>174</v>
      </c>
      <c r="BD173" s="4">
        <v>2012</v>
      </c>
      <c r="BE173" s="4" t="s">
        <v>21</v>
      </c>
      <c r="BF173" s="5">
        <v>210</v>
      </c>
      <c r="BI173" s="4" t="s">
        <v>74</v>
      </c>
      <c r="BJ173" s="4">
        <v>2012</v>
      </c>
      <c r="BK173" s="4" t="s">
        <v>21</v>
      </c>
      <c r="BL173" s="5">
        <v>1590</v>
      </c>
      <c r="BO173" s="4" t="s">
        <v>176</v>
      </c>
      <c r="BP173" s="4">
        <v>2012</v>
      </c>
      <c r="BQ173" s="4" t="s">
        <v>21</v>
      </c>
      <c r="BR173" s="5">
        <v>174</v>
      </c>
      <c r="BU173" s="4" t="s">
        <v>178</v>
      </c>
      <c r="BV173" s="4">
        <v>2012</v>
      </c>
      <c r="BW173" s="4" t="s">
        <v>21</v>
      </c>
      <c r="BX173" s="5">
        <v>1023</v>
      </c>
      <c r="CA173" s="4" t="s">
        <v>75</v>
      </c>
      <c r="CB173" s="4">
        <v>2012</v>
      </c>
      <c r="CC173" s="4" t="s">
        <v>21</v>
      </c>
      <c r="CD173" s="5">
        <v>244</v>
      </c>
      <c r="CG173" s="4" t="s">
        <v>76</v>
      </c>
      <c r="CH173" s="4">
        <v>2012</v>
      </c>
      <c r="CI173" s="4" t="s">
        <v>21</v>
      </c>
      <c r="CJ173" s="5">
        <v>1252</v>
      </c>
      <c r="CM173" s="4" t="s">
        <v>183</v>
      </c>
      <c r="CN173" s="4">
        <v>2012</v>
      </c>
      <c r="CO173" s="4" t="s">
        <v>21</v>
      </c>
      <c r="CP173" s="5">
        <v>461</v>
      </c>
      <c r="CS173" s="4" t="s">
        <v>208</v>
      </c>
      <c r="CT173" s="4">
        <v>2012</v>
      </c>
      <c r="CU173" s="4" t="s">
        <v>22</v>
      </c>
      <c r="CV173" s="5">
        <v>787</v>
      </c>
    </row>
    <row r="174" spans="1:100" x14ac:dyDescent="0.25">
      <c r="A174" s="4" t="s">
        <v>180</v>
      </c>
      <c r="B174" s="4">
        <v>2012</v>
      </c>
      <c r="C174" s="4" t="s">
        <v>22</v>
      </c>
      <c r="D174" s="5">
        <v>62</v>
      </c>
      <c r="G174" s="4" t="s">
        <v>71</v>
      </c>
      <c r="H174" s="4">
        <v>2012</v>
      </c>
      <c r="I174" s="4" t="s">
        <v>22</v>
      </c>
      <c r="J174" s="5">
        <v>1431</v>
      </c>
      <c r="M174" s="4" t="s">
        <v>164</v>
      </c>
      <c r="N174" s="4">
        <v>2012</v>
      </c>
      <c r="O174" s="4" t="s">
        <v>22</v>
      </c>
      <c r="P174" s="5">
        <v>684</v>
      </c>
      <c r="S174" s="4" t="s">
        <v>166</v>
      </c>
      <c r="T174" s="4">
        <v>2012</v>
      </c>
      <c r="U174" s="4" t="s">
        <v>22</v>
      </c>
      <c r="V174" s="5">
        <v>480</v>
      </c>
      <c r="Y174" s="4" t="s">
        <v>168</v>
      </c>
      <c r="Z174" s="4">
        <v>2012</v>
      </c>
      <c r="AA174" s="4" t="s">
        <v>22</v>
      </c>
      <c r="AB174" s="5">
        <v>249</v>
      </c>
      <c r="AE174" s="4" t="s">
        <v>170</v>
      </c>
      <c r="AF174" s="4">
        <v>2012</v>
      </c>
      <c r="AG174" s="4" t="s">
        <v>22</v>
      </c>
      <c r="AH174" s="5">
        <v>1514</v>
      </c>
      <c r="AK174" s="4" t="s">
        <v>72</v>
      </c>
      <c r="AL174" s="4">
        <v>2012</v>
      </c>
      <c r="AM174" s="4" t="s">
        <v>22</v>
      </c>
      <c r="AN174" s="5">
        <v>383</v>
      </c>
      <c r="AO174" s="14"/>
      <c r="AQ174" s="4" t="s">
        <v>73</v>
      </c>
      <c r="AR174" s="4">
        <v>2012</v>
      </c>
      <c r="AS174" s="4" t="s">
        <v>22</v>
      </c>
      <c r="AT174" s="5">
        <v>232</v>
      </c>
      <c r="AW174" s="4" t="s">
        <v>172</v>
      </c>
      <c r="AX174" s="4">
        <v>2012</v>
      </c>
      <c r="AY174" s="4" t="s">
        <v>22</v>
      </c>
      <c r="AZ174" s="5">
        <v>330</v>
      </c>
      <c r="BC174" s="4" t="s">
        <v>174</v>
      </c>
      <c r="BD174" s="4">
        <v>2012</v>
      </c>
      <c r="BE174" s="4" t="s">
        <v>22</v>
      </c>
      <c r="BF174" s="5">
        <v>207</v>
      </c>
      <c r="BI174" s="4" t="s">
        <v>74</v>
      </c>
      <c r="BJ174" s="4">
        <v>2012</v>
      </c>
      <c r="BK174" s="4" t="s">
        <v>22</v>
      </c>
      <c r="BL174" s="5">
        <v>1521</v>
      </c>
      <c r="BO174" s="4" t="s">
        <v>176</v>
      </c>
      <c r="BP174" s="4">
        <v>2012</v>
      </c>
      <c r="BQ174" s="4" t="s">
        <v>22</v>
      </c>
      <c r="BR174" s="5">
        <v>234</v>
      </c>
      <c r="BU174" s="4" t="s">
        <v>178</v>
      </c>
      <c r="BV174" s="4">
        <v>2012</v>
      </c>
      <c r="BW174" s="4" t="s">
        <v>22</v>
      </c>
      <c r="BX174" s="5">
        <v>937</v>
      </c>
      <c r="CA174" s="4" t="s">
        <v>75</v>
      </c>
      <c r="CB174" s="4">
        <v>2012</v>
      </c>
      <c r="CC174" s="4" t="s">
        <v>22</v>
      </c>
      <c r="CD174" s="5">
        <v>214</v>
      </c>
      <c r="CG174" s="4" t="s">
        <v>76</v>
      </c>
      <c r="CH174" s="4">
        <v>2012</v>
      </c>
      <c r="CI174" s="4" t="s">
        <v>22</v>
      </c>
      <c r="CJ174" s="5">
        <v>1181</v>
      </c>
      <c r="CM174" s="4" t="s">
        <v>183</v>
      </c>
      <c r="CN174" s="4">
        <v>2012</v>
      </c>
      <c r="CO174" s="4" t="s">
        <v>22</v>
      </c>
      <c r="CP174" s="5">
        <v>447</v>
      </c>
      <c r="CS174" s="4" t="s">
        <v>208</v>
      </c>
      <c r="CT174" s="4">
        <v>2012</v>
      </c>
      <c r="CU174" s="4" t="s">
        <v>23</v>
      </c>
      <c r="CV174" s="5">
        <v>786</v>
      </c>
    </row>
    <row r="175" spans="1:100" x14ac:dyDescent="0.25">
      <c r="A175" s="4" t="s">
        <v>180</v>
      </c>
      <c r="B175" s="4">
        <v>2012</v>
      </c>
      <c r="C175" s="4" t="s">
        <v>23</v>
      </c>
      <c r="D175" s="5">
        <v>43</v>
      </c>
      <c r="G175" s="4" t="s">
        <v>71</v>
      </c>
      <c r="H175" s="4">
        <v>2012</v>
      </c>
      <c r="I175" s="4" t="s">
        <v>23</v>
      </c>
      <c r="J175" s="5">
        <v>1156</v>
      </c>
      <c r="M175" s="4" t="s">
        <v>164</v>
      </c>
      <c r="N175" s="4">
        <v>2012</v>
      </c>
      <c r="O175" s="4" t="s">
        <v>23</v>
      </c>
      <c r="P175" s="5">
        <v>620</v>
      </c>
      <c r="S175" s="4" t="s">
        <v>166</v>
      </c>
      <c r="T175" s="4">
        <v>2012</v>
      </c>
      <c r="U175" s="4" t="s">
        <v>23</v>
      </c>
      <c r="V175" s="5">
        <v>427</v>
      </c>
      <c r="Y175" s="4" t="s">
        <v>168</v>
      </c>
      <c r="Z175" s="4">
        <v>2012</v>
      </c>
      <c r="AA175" s="4" t="s">
        <v>23</v>
      </c>
      <c r="AB175" s="5">
        <v>223</v>
      </c>
      <c r="AE175" s="4" t="s">
        <v>170</v>
      </c>
      <c r="AF175" s="4">
        <v>2012</v>
      </c>
      <c r="AG175" s="4" t="s">
        <v>23</v>
      </c>
      <c r="AH175" s="5">
        <v>1380</v>
      </c>
      <c r="AK175" s="4" t="s">
        <v>72</v>
      </c>
      <c r="AL175" s="4">
        <v>2012</v>
      </c>
      <c r="AM175" s="4" t="s">
        <v>23</v>
      </c>
      <c r="AN175" s="5">
        <v>453</v>
      </c>
      <c r="AO175" s="14"/>
      <c r="AQ175" s="4" t="s">
        <v>73</v>
      </c>
      <c r="AR175" s="4">
        <v>2012</v>
      </c>
      <c r="AS175" s="4" t="s">
        <v>23</v>
      </c>
      <c r="AT175" s="5">
        <v>243</v>
      </c>
      <c r="AW175" s="4" t="s">
        <v>172</v>
      </c>
      <c r="AX175" s="4">
        <v>2012</v>
      </c>
      <c r="AY175" s="4" t="s">
        <v>23</v>
      </c>
      <c r="AZ175" s="5">
        <v>333</v>
      </c>
      <c r="BC175" s="4" t="s">
        <v>174</v>
      </c>
      <c r="BD175" s="4">
        <v>2012</v>
      </c>
      <c r="BE175" s="4" t="s">
        <v>23</v>
      </c>
      <c r="BF175" s="5">
        <v>172</v>
      </c>
      <c r="BI175" s="4" t="s">
        <v>74</v>
      </c>
      <c r="BJ175" s="4">
        <v>2012</v>
      </c>
      <c r="BK175" s="4" t="s">
        <v>23</v>
      </c>
      <c r="BL175" s="5">
        <v>1322</v>
      </c>
      <c r="BO175" s="4" t="s">
        <v>176</v>
      </c>
      <c r="BP175" s="4">
        <v>2012</v>
      </c>
      <c r="BQ175" s="4" t="s">
        <v>23</v>
      </c>
      <c r="BR175" s="5">
        <v>216</v>
      </c>
      <c r="BU175" s="4" t="s">
        <v>178</v>
      </c>
      <c r="BV175" s="4">
        <v>2012</v>
      </c>
      <c r="BW175" s="4" t="s">
        <v>23</v>
      </c>
      <c r="BX175" s="5">
        <v>842</v>
      </c>
      <c r="CA175" s="4" t="s">
        <v>75</v>
      </c>
      <c r="CB175" s="4">
        <v>2012</v>
      </c>
      <c r="CC175" s="4" t="s">
        <v>23</v>
      </c>
      <c r="CD175" s="5">
        <v>210</v>
      </c>
      <c r="CG175" s="4" t="s">
        <v>76</v>
      </c>
      <c r="CH175" s="4">
        <v>2012</v>
      </c>
      <c r="CI175" s="4" t="s">
        <v>23</v>
      </c>
      <c r="CJ175" s="5">
        <v>1080</v>
      </c>
      <c r="CM175" s="4" t="s">
        <v>183</v>
      </c>
      <c r="CN175" s="4">
        <v>2012</v>
      </c>
      <c r="CO175" s="4" t="s">
        <v>23</v>
      </c>
      <c r="CP175" s="5">
        <v>478</v>
      </c>
      <c r="CS175" s="4" t="s">
        <v>208</v>
      </c>
      <c r="CT175" s="4">
        <v>2012</v>
      </c>
      <c r="CU175" s="4" t="s">
        <v>24</v>
      </c>
      <c r="CV175" s="5">
        <v>899</v>
      </c>
    </row>
    <row r="176" spans="1:100" x14ac:dyDescent="0.25">
      <c r="A176" s="4" t="s">
        <v>180</v>
      </c>
      <c r="B176" s="4">
        <v>2012</v>
      </c>
      <c r="C176" s="4" t="s">
        <v>24</v>
      </c>
      <c r="D176" s="5">
        <v>47</v>
      </c>
      <c r="G176" s="4" t="s">
        <v>71</v>
      </c>
      <c r="H176" s="4">
        <v>2012</v>
      </c>
      <c r="I176" s="4" t="s">
        <v>24</v>
      </c>
      <c r="J176" s="5">
        <v>1150</v>
      </c>
      <c r="M176" s="4" t="s">
        <v>164</v>
      </c>
      <c r="N176" s="4">
        <v>2012</v>
      </c>
      <c r="O176" s="4" t="s">
        <v>24</v>
      </c>
      <c r="P176" s="5">
        <v>683</v>
      </c>
      <c r="S176" s="4" t="s">
        <v>166</v>
      </c>
      <c r="T176" s="4">
        <v>2012</v>
      </c>
      <c r="U176" s="4" t="s">
        <v>24</v>
      </c>
      <c r="V176" s="5">
        <v>416</v>
      </c>
      <c r="Y176" s="4" t="s">
        <v>168</v>
      </c>
      <c r="Z176" s="4">
        <v>2012</v>
      </c>
      <c r="AA176" s="4" t="s">
        <v>24</v>
      </c>
      <c r="AB176" s="5">
        <v>212</v>
      </c>
      <c r="AE176" s="4" t="s">
        <v>170</v>
      </c>
      <c r="AF176" s="4">
        <v>2012</v>
      </c>
      <c r="AG176" s="4" t="s">
        <v>24</v>
      </c>
      <c r="AH176" s="5">
        <v>1442</v>
      </c>
      <c r="AK176" s="4" t="s">
        <v>72</v>
      </c>
      <c r="AL176" s="4">
        <v>2012</v>
      </c>
      <c r="AM176" s="4" t="s">
        <v>24</v>
      </c>
      <c r="AN176" s="5">
        <v>480</v>
      </c>
      <c r="AO176" s="14"/>
      <c r="AQ176" s="4" t="s">
        <v>73</v>
      </c>
      <c r="AR176" s="4">
        <v>2012</v>
      </c>
      <c r="AS176" s="4" t="s">
        <v>24</v>
      </c>
      <c r="AT176" s="5">
        <v>230</v>
      </c>
      <c r="AW176" s="4" t="s">
        <v>172</v>
      </c>
      <c r="AX176" s="4">
        <v>2012</v>
      </c>
      <c r="AY176" s="4" t="s">
        <v>24</v>
      </c>
      <c r="AZ176" s="5">
        <v>303</v>
      </c>
      <c r="BC176" s="4" t="s">
        <v>174</v>
      </c>
      <c r="BD176" s="4">
        <v>2012</v>
      </c>
      <c r="BE176" s="4" t="s">
        <v>24</v>
      </c>
      <c r="BF176" s="5">
        <v>159</v>
      </c>
      <c r="BI176" s="4" t="s">
        <v>74</v>
      </c>
      <c r="BJ176" s="4">
        <v>2012</v>
      </c>
      <c r="BK176" s="4" t="s">
        <v>24</v>
      </c>
      <c r="BL176" s="5">
        <v>1296</v>
      </c>
      <c r="BO176" s="4" t="s">
        <v>176</v>
      </c>
      <c r="BP176" s="4">
        <v>2012</v>
      </c>
      <c r="BQ176" s="4" t="s">
        <v>24</v>
      </c>
      <c r="BR176" s="5">
        <v>237</v>
      </c>
      <c r="BU176" s="4" t="s">
        <v>178</v>
      </c>
      <c r="BV176" s="4">
        <v>2012</v>
      </c>
      <c r="BW176" s="4" t="s">
        <v>24</v>
      </c>
      <c r="BX176" s="5">
        <v>936</v>
      </c>
      <c r="CA176" s="4" t="s">
        <v>75</v>
      </c>
      <c r="CB176" s="4">
        <v>2012</v>
      </c>
      <c r="CC176" s="4" t="s">
        <v>24</v>
      </c>
      <c r="CD176" s="5">
        <v>250</v>
      </c>
      <c r="CG176" s="4" t="s">
        <v>76</v>
      </c>
      <c r="CH176" s="4">
        <v>2012</v>
      </c>
      <c r="CI176" s="4" t="s">
        <v>24</v>
      </c>
      <c r="CJ176" s="5">
        <v>1076</v>
      </c>
      <c r="CM176" s="4" t="s">
        <v>183</v>
      </c>
      <c r="CN176" s="4">
        <v>2012</v>
      </c>
      <c r="CO176" s="4" t="s">
        <v>24</v>
      </c>
      <c r="CP176" s="5">
        <v>501</v>
      </c>
      <c r="CS176" s="4" t="s">
        <v>208</v>
      </c>
      <c r="CT176" s="4">
        <v>2012</v>
      </c>
      <c r="CU176" s="4" t="s">
        <v>25</v>
      </c>
      <c r="CV176" s="5">
        <v>1079</v>
      </c>
    </row>
    <row r="177" spans="1:100" x14ac:dyDescent="0.25">
      <c r="A177" s="4" t="s">
        <v>180</v>
      </c>
      <c r="B177" s="4">
        <v>2012</v>
      </c>
      <c r="C177" s="4" t="s">
        <v>25</v>
      </c>
      <c r="D177" s="5">
        <v>52</v>
      </c>
      <c r="G177" s="4" t="s">
        <v>71</v>
      </c>
      <c r="H177" s="4">
        <v>2012</v>
      </c>
      <c r="I177" s="4" t="s">
        <v>25</v>
      </c>
      <c r="J177" s="5">
        <v>1039</v>
      </c>
      <c r="M177" s="4" t="s">
        <v>164</v>
      </c>
      <c r="N177" s="4">
        <v>2012</v>
      </c>
      <c r="O177" s="4" t="s">
        <v>25</v>
      </c>
      <c r="P177" s="5">
        <v>654</v>
      </c>
      <c r="S177" s="4" t="s">
        <v>166</v>
      </c>
      <c r="T177" s="4">
        <v>2012</v>
      </c>
      <c r="U177" s="4" t="s">
        <v>25</v>
      </c>
      <c r="V177" s="5">
        <v>402</v>
      </c>
      <c r="Y177" s="4" t="s">
        <v>168</v>
      </c>
      <c r="Z177" s="4">
        <v>2012</v>
      </c>
      <c r="AA177" s="4" t="s">
        <v>25</v>
      </c>
      <c r="AB177" s="5">
        <v>228</v>
      </c>
      <c r="AE177" s="4" t="s">
        <v>170</v>
      </c>
      <c r="AF177" s="4">
        <v>2012</v>
      </c>
      <c r="AG177" s="4" t="s">
        <v>25</v>
      </c>
      <c r="AH177" s="5">
        <v>1481</v>
      </c>
      <c r="AK177" s="4" t="s">
        <v>72</v>
      </c>
      <c r="AL177" s="4">
        <v>2012</v>
      </c>
      <c r="AM177" s="4" t="s">
        <v>25</v>
      </c>
      <c r="AN177" s="5">
        <v>437</v>
      </c>
      <c r="AO177" s="14"/>
      <c r="AQ177" s="4" t="s">
        <v>73</v>
      </c>
      <c r="AR177" s="4">
        <v>2012</v>
      </c>
      <c r="AS177" s="4" t="s">
        <v>25</v>
      </c>
      <c r="AT177" s="5">
        <v>201</v>
      </c>
      <c r="AW177" s="4" t="s">
        <v>172</v>
      </c>
      <c r="AX177" s="4">
        <v>2012</v>
      </c>
      <c r="AY177" s="4" t="s">
        <v>25</v>
      </c>
      <c r="AZ177" s="5">
        <v>337</v>
      </c>
      <c r="BC177" s="4" t="s">
        <v>174</v>
      </c>
      <c r="BD177" s="4">
        <v>2012</v>
      </c>
      <c r="BE177" s="4" t="s">
        <v>25</v>
      </c>
      <c r="BF177" s="5">
        <v>172</v>
      </c>
      <c r="BI177" s="4" t="s">
        <v>74</v>
      </c>
      <c r="BJ177" s="4">
        <v>2012</v>
      </c>
      <c r="BK177" s="4" t="s">
        <v>25</v>
      </c>
      <c r="BL177" s="5">
        <v>1356</v>
      </c>
      <c r="BO177" s="4" t="s">
        <v>176</v>
      </c>
      <c r="BP177" s="4">
        <v>2012</v>
      </c>
      <c r="BQ177" s="4" t="s">
        <v>25</v>
      </c>
      <c r="BR177" s="5">
        <v>391</v>
      </c>
      <c r="BU177" s="4" t="s">
        <v>178</v>
      </c>
      <c r="BV177" s="4">
        <v>2012</v>
      </c>
      <c r="BW177" s="4" t="s">
        <v>25</v>
      </c>
      <c r="BX177" s="5">
        <v>977</v>
      </c>
      <c r="CA177" s="4" t="s">
        <v>75</v>
      </c>
      <c r="CB177" s="4">
        <v>2012</v>
      </c>
      <c r="CC177" s="4" t="s">
        <v>25</v>
      </c>
      <c r="CD177" s="5">
        <v>248</v>
      </c>
      <c r="CG177" s="4" t="s">
        <v>76</v>
      </c>
      <c r="CH177" s="4">
        <v>2012</v>
      </c>
      <c r="CI177" s="4" t="s">
        <v>25</v>
      </c>
      <c r="CJ177" s="5">
        <v>1159</v>
      </c>
      <c r="CM177" s="4" t="s">
        <v>183</v>
      </c>
      <c r="CN177" s="4">
        <v>2012</v>
      </c>
      <c r="CO177" s="4" t="s">
        <v>25</v>
      </c>
      <c r="CP177" s="5">
        <v>492</v>
      </c>
      <c r="CS177" s="4" t="s">
        <v>208</v>
      </c>
      <c r="CT177" s="4">
        <v>2012</v>
      </c>
      <c r="CU177" s="4" t="s">
        <v>26</v>
      </c>
      <c r="CV177" s="5">
        <v>1182</v>
      </c>
    </row>
    <row r="178" spans="1:100" x14ac:dyDescent="0.25">
      <c r="A178" s="4" t="s">
        <v>180</v>
      </c>
      <c r="B178" s="4">
        <v>2012</v>
      </c>
      <c r="C178" s="4" t="s">
        <v>26</v>
      </c>
      <c r="D178" s="5">
        <v>83</v>
      </c>
      <c r="G178" s="4" t="s">
        <v>71</v>
      </c>
      <c r="H178" s="4">
        <v>2012</v>
      </c>
      <c r="I178" s="4" t="s">
        <v>26</v>
      </c>
      <c r="J178" s="5">
        <v>994</v>
      </c>
      <c r="M178" s="4" t="s">
        <v>164</v>
      </c>
      <c r="N178" s="4">
        <v>2012</v>
      </c>
      <c r="O178" s="4" t="s">
        <v>26</v>
      </c>
      <c r="P178" s="5">
        <v>703</v>
      </c>
      <c r="S178" s="4" t="s">
        <v>166</v>
      </c>
      <c r="T178" s="4">
        <v>2012</v>
      </c>
      <c r="U178" s="4" t="s">
        <v>26</v>
      </c>
      <c r="V178" s="5">
        <v>426</v>
      </c>
      <c r="Y178" s="4" t="s">
        <v>168</v>
      </c>
      <c r="Z178" s="4">
        <v>2012</v>
      </c>
      <c r="AA178" s="4" t="s">
        <v>26</v>
      </c>
      <c r="AB178" s="5">
        <v>212</v>
      </c>
      <c r="AE178" s="4" t="s">
        <v>170</v>
      </c>
      <c r="AF178" s="4">
        <v>2012</v>
      </c>
      <c r="AG178" s="4" t="s">
        <v>26</v>
      </c>
      <c r="AH178" s="5">
        <v>1568</v>
      </c>
      <c r="AK178" s="4" t="s">
        <v>72</v>
      </c>
      <c r="AL178" s="4">
        <v>2012</v>
      </c>
      <c r="AM178" s="4" t="s">
        <v>26</v>
      </c>
      <c r="AN178" s="5">
        <v>392</v>
      </c>
      <c r="AO178" s="14"/>
      <c r="AQ178" s="4" t="s">
        <v>73</v>
      </c>
      <c r="AR178" s="4">
        <v>2012</v>
      </c>
      <c r="AS178" s="4" t="s">
        <v>26</v>
      </c>
      <c r="AT178" s="5">
        <v>190</v>
      </c>
      <c r="AW178" s="4" t="s">
        <v>172</v>
      </c>
      <c r="AX178" s="4">
        <v>2012</v>
      </c>
      <c r="AY178" s="4" t="s">
        <v>26</v>
      </c>
      <c r="AZ178" s="5">
        <v>313</v>
      </c>
      <c r="BC178" s="4" t="s">
        <v>174</v>
      </c>
      <c r="BD178" s="4">
        <v>2012</v>
      </c>
      <c r="BE178" s="4" t="s">
        <v>26</v>
      </c>
      <c r="BF178" s="5">
        <v>145</v>
      </c>
      <c r="BI178" s="4" t="s">
        <v>74</v>
      </c>
      <c r="BJ178" s="4">
        <v>2012</v>
      </c>
      <c r="BK178" s="4" t="s">
        <v>26</v>
      </c>
      <c r="BL178" s="5">
        <v>1378</v>
      </c>
      <c r="BO178" s="4" t="s">
        <v>176</v>
      </c>
      <c r="BP178" s="4">
        <v>2012</v>
      </c>
      <c r="BQ178" s="4" t="s">
        <v>26</v>
      </c>
      <c r="BR178" s="5">
        <v>437</v>
      </c>
      <c r="BU178" s="4" t="s">
        <v>178</v>
      </c>
      <c r="BV178" s="4">
        <v>2012</v>
      </c>
      <c r="BW178" s="4" t="s">
        <v>26</v>
      </c>
      <c r="BX178" s="5">
        <v>998</v>
      </c>
      <c r="CA178" s="4" t="s">
        <v>75</v>
      </c>
      <c r="CB178" s="4">
        <v>2012</v>
      </c>
      <c r="CC178" s="4" t="s">
        <v>26</v>
      </c>
      <c r="CD178" s="5">
        <v>256</v>
      </c>
      <c r="CG178" s="4" t="s">
        <v>76</v>
      </c>
      <c r="CH178" s="4">
        <v>2012</v>
      </c>
      <c r="CI178" s="4" t="s">
        <v>26</v>
      </c>
      <c r="CJ178" s="5">
        <v>1164</v>
      </c>
      <c r="CM178" s="4" t="s">
        <v>183</v>
      </c>
      <c r="CN178" s="4">
        <v>2012</v>
      </c>
      <c r="CO178" s="4" t="s">
        <v>26</v>
      </c>
      <c r="CP178" s="5">
        <v>433</v>
      </c>
      <c r="CS178" s="4" t="s">
        <v>208</v>
      </c>
      <c r="CT178" s="4">
        <v>2012</v>
      </c>
      <c r="CU178" s="4" t="s">
        <v>27</v>
      </c>
      <c r="CV178" s="5">
        <v>1059</v>
      </c>
    </row>
    <row r="179" spans="1:100" x14ac:dyDescent="0.25">
      <c r="A179" s="4" t="s">
        <v>180</v>
      </c>
      <c r="B179" s="4">
        <v>2012</v>
      </c>
      <c r="C179" s="4" t="s">
        <v>27</v>
      </c>
      <c r="D179" s="5">
        <v>61</v>
      </c>
      <c r="G179" s="4" t="s">
        <v>71</v>
      </c>
      <c r="H179" s="4">
        <v>2012</v>
      </c>
      <c r="I179" s="4" t="s">
        <v>27</v>
      </c>
      <c r="J179" s="5">
        <v>923</v>
      </c>
      <c r="M179" s="4" t="s">
        <v>164</v>
      </c>
      <c r="N179" s="4">
        <v>2012</v>
      </c>
      <c r="O179" s="4" t="s">
        <v>27</v>
      </c>
      <c r="P179" s="5">
        <v>698</v>
      </c>
      <c r="S179" s="4" t="s">
        <v>166</v>
      </c>
      <c r="T179" s="4">
        <v>2012</v>
      </c>
      <c r="U179" s="4" t="s">
        <v>27</v>
      </c>
      <c r="V179" s="5">
        <v>437</v>
      </c>
      <c r="Y179" s="4" t="s">
        <v>168</v>
      </c>
      <c r="Z179" s="4">
        <v>2012</v>
      </c>
      <c r="AA179" s="4" t="s">
        <v>27</v>
      </c>
      <c r="AB179" s="5">
        <v>222</v>
      </c>
      <c r="AE179" s="4" t="s">
        <v>170</v>
      </c>
      <c r="AF179" s="4">
        <v>2012</v>
      </c>
      <c r="AG179" s="4" t="s">
        <v>27</v>
      </c>
      <c r="AH179" s="5">
        <v>1501</v>
      </c>
      <c r="AK179" s="4" t="s">
        <v>72</v>
      </c>
      <c r="AL179" s="4">
        <v>2012</v>
      </c>
      <c r="AM179" s="4" t="s">
        <v>27</v>
      </c>
      <c r="AN179" s="5">
        <v>424</v>
      </c>
      <c r="AO179" s="14"/>
      <c r="AQ179" s="4" t="s">
        <v>73</v>
      </c>
      <c r="AR179" s="4">
        <v>2012</v>
      </c>
      <c r="AS179" s="4" t="s">
        <v>27</v>
      </c>
      <c r="AT179" s="5">
        <v>211</v>
      </c>
      <c r="AW179" s="4" t="s">
        <v>172</v>
      </c>
      <c r="AX179" s="4">
        <v>2012</v>
      </c>
      <c r="AY179" s="4" t="s">
        <v>27</v>
      </c>
      <c r="AZ179" s="5">
        <v>321</v>
      </c>
      <c r="BC179" s="4" t="s">
        <v>174</v>
      </c>
      <c r="BD179" s="4">
        <v>2012</v>
      </c>
      <c r="BE179" s="4" t="s">
        <v>27</v>
      </c>
      <c r="BF179" s="5">
        <v>148</v>
      </c>
      <c r="BI179" s="4" t="s">
        <v>74</v>
      </c>
      <c r="BJ179" s="4">
        <v>2012</v>
      </c>
      <c r="BK179" s="4" t="s">
        <v>27</v>
      </c>
      <c r="BL179" s="5">
        <v>1377</v>
      </c>
      <c r="BO179" s="4" t="s">
        <v>176</v>
      </c>
      <c r="BP179" s="4">
        <v>2012</v>
      </c>
      <c r="BQ179" s="4" t="s">
        <v>27</v>
      </c>
      <c r="BR179" s="5">
        <v>392</v>
      </c>
      <c r="BU179" s="4" t="s">
        <v>178</v>
      </c>
      <c r="BV179" s="4">
        <v>2012</v>
      </c>
      <c r="BW179" s="4" t="s">
        <v>27</v>
      </c>
      <c r="BX179" s="5">
        <v>977</v>
      </c>
      <c r="CA179" s="4" t="s">
        <v>75</v>
      </c>
      <c r="CB179" s="4">
        <v>2012</v>
      </c>
      <c r="CC179" s="4" t="s">
        <v>27</v>
      </c>
      <c r="CD179" s="5">
        <v>214</v>
      </c>
      <c r="CG179" s="4" t="s">
        <v>76</v>
      </c>
      <c r="CH179" s="4">
        <v>2012</v>
      </c>
      <c r="CI179" s="4" t="s">
        <v>27</v>
      </c>
      <c r="CJ179" s="5">
        <v>1202</v>
      </c>
      <c r="CM179" s="4" t="s">
        <v>183</v>
      </c>
      <c r="CN179" s="4">
        <v>2012</v>
      </c>
      <c r="CO179" s="4" t="s">
        <v>27</v>
      </c>
      <c r="CP179" s="5">
        <v>443</v>
      </c>
      <c r="CS179" s="4" t="s">
        <v>208</v>
      </c>
      <c r="CT179" s="4">
        <v>2012</v>
      </c>
      <c r="CU179" s="4" t="s">
        <v>28</v>
      </c>
      <c r="CV179" s="5">
        <v>943</v>
      </c>
    </row>
    <row r="180" spans="1:100" x14ac:dyDescent="0.25">
      <c r="A180" s="4" t="s">
        <v>180</v>
      </c>
      <c r="B180" s="4">
        <v>2012</v>
      </c>
      <c r="C180" s="4" t="s">
        <v>28</v>
      </c>
      <c r="D180" s="5">
        <v>48</v>
      </c>
      <c r="G180" s="4" t="s">
        <v>71</v>
      </c>
      <c r="H180" s="4">
        <v>2012</v>
      </c>
      <c r="I180" s="4" t="s">
        <v>28</v>
      </c>
      <c r="J180" s="5">
        <v>954</v>
      </c>
      <c r="M180" s="4" t="s">
        <v>164</v>
      </c>
      <c r="N180" s="4">
        <v>2012</v>
      </c>
      <c r="O180" s="4" t="s">
        <v>28</v>
      </c>
      <c r="P180" s="5">
        <v>668</v>
      </c>
      <c r="S180" s="4" t="s">
        <v>166</v>
      </c>
      <c r="T180" s="4">
        <v>2012</v>
      </c>
      <c r="U180" s="4" t="s">
        <v>28</v>
      </c>
      <c r="V180" s="5">
        <v>364</v>
      </c>
      <c r="Y180" s="4" t="s">
        <v>168</v>
      </c>
      <c r="Z180" s="4">
        <v>2012</v>
      </c>
      <c r="AA180" s="4" t="s">
        <v>28</v>
      </c>
      <c r="AB180" s="5">
        <v>214</v>
      </c>
      <c r="AE180" s="4" t="s">
        <v>170</v>
      </c>
      <c r="AF180" s="4">
        <v>2012</v>
      </c>
      <c r="AG180" s="4" t="s">
        <v>28</v>
      </c>
      <c r="AH180" s="5">
        <v>1437</v>
      </c>
      <c r="AK180" s="4" t="s">
        <v>72</v>
      </c>
      <c r="AL180" s="4">
        <v>2012</v>
      </c>
      <c r="AM180" s="4" t="s">
        <v>28</v>
      </c>
      <c r="AN180" s="5">
        <v>372</v>
      </c>
      <c r="AO180" s="14"/>
      <c r="AQ180" s="4" t="s">
        <v>73</v>
      </c>
      <c r="AR180" s="4">
        <v>2012</v>
      </c>
      <c r="AS180" s="4" t="s">
        <v>28</v>
      </c>
      <c r="AT180" s="5">
        <v>205</v>
      </c>
      <c r="AW180" s="4" t="s">
        <v>172</v>
      </c>
      <c r="AX180" s="4">
        <v>2012</v>
      </c>
      <c r="AY180" s="4" t="s">
        <v>28</v>
      </c>
      <c r="AZ180" s="5">
        <v>302</v>
      </c>
      <c r="BC180" s="4" t="s">
        <v>174</v>
      </c>
      <c r="BD180" s="4">
        <v>2012</v>
      </c>
      <c r="BE180" s="4" t="s">
        <v>28</v>
      </c>
      <c r="BF180" s="5">
        <v>130</v>
      </c>
      <c r="BI180" s="4" t="s">
        <v>74</v>
      </c>
      <c r="BJ180" s="4">
        <v>2012</v>
      </c>
      <c r="BK180" s="4" t="s">
        <v>28</v>
      </c>
      <c r="BL180" s="5">
        <v>1253</v>
      </c>
      <c r="BO180" s="4" t="s">
        <v>176</v>
      </c>
      <c r="BP180" s="4">
        <v>2012</v>
      </c>
      <c r="BQ180" s="4" t="s">
        <v>28</v>
      </c>
      <c r="BR180" s="5">
        <v>337</v>
      </c>
      <c r="BU180" s="4" t="s">
        <v>178</v>
      </c>
      <c r="BV180" s="4">
        <v>2012</v>
      </c>
      <c r="BW180" s="4" t="s">
        <v>28</v>
      </c>
      <c r="BX180" s="5">
        <v>867</v>
      </c>
      <c r="CA180" s="4" t="s">
        <v>75</v>
      </c>
      <c r="CB180" s="4">
        <v>2012</v>
      </c>
      <c r="CC180" s="4" t="s">
        <v>28</v>
      </c>
      <c r="CD180" s="5">
        <v>240</v>
      </c>
      <c r="CG180" s="4" t="s">
        <v>76</v>
      </c>
      <c r="CH180" s="4">
        <v>2012</v>
      </c>
      <c r="CI180" s="4" t="s">
        <v>28</v>
      </c>
      <c r="CJ180" s="5">
        <v>1072</v>
      </c>
      <c r="CM180" s="4" t="s">
        <v>183</v>
      </c>
      <c r="CN180" s="4">
        <v>2012</v>
      </c>
      <c r="CO180" s="4" t="s">
        <v>28</v>
      </c>
      <c r="CP180" s="5">
        <v>473</v>
      </c>
      <c r="CS180" s="4" t="s">
        <v>208</v>
      </c>
      <c r="CT180" s="4">
        <v>2012</v>
      </c>
      <c r="CU180" s="4" t="s">
        <v>29</v>
      </c>
      <c r="CV180" s="5">
        <v>907</v>
      </c>
    </row>
    <row r="181" spans="1:100" x14ac:dyDescent="0.25">
      <c r="A181" s="4" t="s">
        <v>180</v>
      </c>
      <c r="B181" s="4">
        <v>2012</v>
      </c>
      <c r="C181" s="4" t="s">
        <v>29</v>
      </c>
      <c r="D181" s="5">
        <v>61</v>
      </c>
      <c r="G181" s="4" t="s">
        <v>71</v>
      </c>
      <c r="H181" s="4">
        <v>2012</v>
      </c>
      <c r="I181" s="4" t="s">
        <v>29</v>
      </c>
      <c r="J181" s="5">
        <v>930</v>
      </c>
      <c r="M181" s="4" t="s">
        <v>164</v>
      </c>
      <c r="N181" s="4">
        <v>2012</v>
      </c>
      <c r="O181" s="4" t="s">
        <v>29</v>
      </c>
      <c r="P181" s="5">
        <v>672</v>
      </c>
      <c r="S181" s="4" t="s">
        <v>166</v>
      </c>
      <c r="T181" s="4">
        <v>2012</v>
      </c>
      <c r="U181" s="4" t="s">
        <v>29</v>
      </c>
      <c r="V181" s="5">
        <v>430</v>
      </c>
      <c r="Y181" s="4" t="s">
        <v>168</v>
      </c>
      <c r="Z181" s="4">
        <v>2012</v>
      </c>
      <c r="AA181" s="4" t="s">
        <v>29</v>
      </c>
      <c r="AB181" s="5">
        <v>209</v>
      </c>
      <c r="AE181" s="4" t="s">
        <v>170</v>
      </c>
      <c r="AF181" s="4">
        <v>2012</v>
      </c>
      <c r="AG181" s="4" t="s">
        <v>29</v>
      </c>
      <c r="AH181" s="5">
        <v>1247</v>
      </c>
      <c r="AK181" s="4" t="s">
        <v>72</v>
      </c>
      <c r="AL181" s="4">
        <v>2012</v>
      </c>
      <c r="AM181" s="4" t="s">
        <v>29</v>
      </c>
      <c r="AN181" s="5">
        <v>376</v>
      </c>
      <c r="AO181" s="14"/>
      <c r="AQ181" s="4" t="s">
        <v>73</v>
      </c>
      <c r="AR181" s="4">
        <v>2012</v>
      </c>
      <c r="AS181" s="4" t="s">
        <v>29</v>
      </c>
      <c r="AT181" s="5">
        <v>215</v>
      </c>
      <c r="AW181" s="4" t="s">
        <v>172</v>
      </c>
      <c r="AX181" s="4">
        <v>2012</v>
      </c>
      <c r="AY181" s="4" t="s">
        <v>29</v>
      </c>
      <c r="AZ181" s="5">
        <v>289</v>
      </c>
      <c r="BC181" s="4" t="s">
        <v>174</v>
      </c>
      <c r="BD181" s="4">
        <v>2012</v>
      </c>
      <c r="BE181" s="4" t="s">
        <v>29</v>
      </c>
      <c r="BF181" s="5">
        <v>153</v>
      </c>
      <c r="BI181" s="4" t="s">
        <v>74</v>
      </c>
      <c r="BJ181" s="4">
        <v>2012</v>
      </c>
      <c r="BK181" s="4" t="s">
        <v>29</v>
      </c>
      <c r="BL181" s="5">
        <v>1252</v>
      </c>
      <c r="BO181" s="4" t="s">
        <v>176</v>
      </c>
      <c r="BP181" s="4">
        <v>2012</v>
      </c>
      <c r="BQ181" s="4" t="s">
        <v>29</v>
      </c>
      <c r="BR181" s="5">
        <v>287</v>
      </c>
      <c r="BU181" s="4" t="s">
        <v>178</v>
      </c>
      <c r="BV181" s="4">
        <v>2012</v>
      </c>
      <c r="BW181" s="4" t="s">
        <v>29</v>
      </c>
      <c r="BX181" s="5">
        <v>957</v>
      </c>
      <c r="CA181" s="4" t="s">
        <v>75</v>
      </c>
      <c r="CB181" s="4">
        <v>2012</v>
      </c>
      <c r="CC181" s="4" t="s">
        <v>29</v>
      </c>
      <c r="CD181" s="5">
        <v>217</v>
      </c>
      <c r="CG181" s="4" t="s">
        <v>76</v>
      </c>
      <c r="CH181" s="4">
        <v>2012</v>
      </c>
      <c r="CI181" s="4" t="s">
        <v>29</v>
      </c>
      <c r="CJ181" s="5">
        <v>1135</v>
      </c>
      <c r="CM181" s="4" t="s">
        <v>183</v>
      </c>
      <c r="CN181" s="4">
        <v>2012</v>
      </c>
      <c r="CO181" s="4" t="s">
        <v>29</v>
      </c>
      <c r="CP181" s="5">
        <v>460</v>
      </c>
      <c r="CS181" s="4" t="s">
        <v>208</v>
      </c>
      <c r="CT181" s="4">
        <v>2012</v>
      </c>
      <c r="CU181" s="4" t="s">
        <v>30</v>
      </c>
      <c r="CV181" s="5">
        <v>825</v>
      </c>
    </row>
    <row r="182" spans="1:100" x14ac:dyDescent="0.25">
      <c r="A182" s="4" t="s">
        <v>180</v>
      </c>
      <c r="B182" s="4">
        <v>2012</v>
      </c>
      <c r="C182" s="4" t="s">
        <v>30</v>
      </c>
      <c r="D182" s="5">
        <v>53</v>
      </c>
      <c r="G182" s="4" t="s">
        <v>71</v>
      </c>
      <c r="H182" s="4">
        <v>2012</v>
      </c>
      <c r="I182" s="4" t="s">
        <v>30</v>
      </c>
      <c r="J182" s="5">
        <v>988</v>
      </c>
      <c r="M182" s="4" t="s">
        <v>164</v>
      </c>
      <c r="N182" s="4">
        <v>2012</v>
      </c>
      <c r="O182" s="4" t="s">
        <v>30</v>
      </c>
      <c r="P182" s="5">
        <v>640</v>
      </c>
      <c r="S182" s="4" t="s">
        <v>166</v>
      </c>
      <c r="T182" s="4">
        <v>2012</v>
      </c>
      <c r="U182" s="4" t="s">
        <v>30</v>
      </c>
      <c r="V182" s="5">
        <v>341</v>
      </c>
      <c r="Y182" s="4" t="s">
        <v>168</v>
      </c>
      <c r="Z182" s="4">
        <v>2012</v>
      </c>
      <c r="AA182" s="4" t="s">
        <v>30</v>
      </c>
      <c r="AB182" s="5">
        <v>202</v>
      </c>
      <c r="AE182" s="4" t="s">
        <v>170</v>
      </c>
      <c r="AF182" s="4">
        <v>2012</v>
      </c>
      <c r="AG182" s="4" t="s">
        <v>30</v>
      </c>
      <c r="AH182" s="5">
        <v>1253</v>
      </c>
      <c r="AK182" s="4" t="s">
        <v>72</v>
      </c>
      <c r="AL182" s="4">
        <v>2012</v>
      </c>
      <c r="AM182" s="4" t="s">
        <v>30</v>
      </c>
      <c r="AN182" s="5">
        <v>398</v>
      </c>
      <c r="AO182" s="14"/>
      <c r="AQ182" s="4" t="s">
        <v>73</v>
      </c>
      <c r="AR182" s="4">
        <v>2012</v>
      </c>
      <c r="AS182" s="4" t="s">
        <v>30</v>
      </c>
      <c r="AT182" s="5">
        <v>187</v>
      </c>
      <c r="AW182" s="4" t="s">
        <v>172</v>
      </c>
      <c r="AX182" s="4">
        <v>2012</v>
      </c>
      <c r="AY182" s="4" t="s">
        <v>30</v>
      </c>
      <c r="AZ182" s="5">
        <v>295</v>
      </c>
      <c r="BC182" s="4" t="s">
        <v>174</v>
      </c>
      <c r="BD182" s="4">
        <v>2012</v>
      </c>
      <c r="BE182" s="4" t="s">
        <v>30</v>
      </c>
      <c r="BF182" s="5">
        <v>137</v>
      </c>
      <c r="BI182" s="4" t="s">
        <v>74</v>
      </c>
      <c r="BJ182" s="4">
        <v>2012</v>
      </c>
      <c r="BK182" s="4" t="s">
        <v>30</v>
      </c>
      <c r="BL182" s="5">
        <v>1197</v>
      </c>
      <c r="BO182" s="4" t="s">
        <v>176</v>
      </c>
      <c r="BP182" s="4">
        <v>2012</v>
      </c>
      <c r="BQ182" s="4" t="s">
        <v>30</v>
      </c>
      <c r="BR182" s="5">
        <v>287</v>
      </c>
      <c r="BU182" s="4" t="s">
        <v>178</v>
      </c>
      <c r="BV182" s="4">
        <v>2012</v>
      </c>
      <c r="BW182" s="4" t="s">
        <v>30</v>
      </c>
      <c r="BX182" s="5">
        <v>889</v>
      </c>
      <c r="CA182" s="4" t="s">
        <v>75</v>
      </c>
      <c r="CB182" s="4">
        <v>2012</v>
      </c>
      <c r="CC182" s="4" t="s">
        <v>30</v>
      </c>
      <c r="CD182" s="5">
        <v>233</v>
      </c>
      <c r="CG182" s="4" t="s">
        <v>76</v>
      </c>
      <c r="CH182" s="4">
        <v>2012</v>
      </c>
      <c r="CI182" s="4" t="s">
        <v>30</v>
      </c>
      <c r="CJ182" s="5">
        <v>1121</v>
      </c>
      <c r="CM182" s="4" t="s">
        <v>183</v>
      </c>
      <c r="CN182" s="4">
        <v>2012</v>
      </c>
      <c r="CO182" s="4" t="s">
        <v>30</v>
      </c>
      <c r="CP182" s="5">
        <v>381</v>
      </c>
      <c r="CS182" s="4" t="s">
        <v>208</v>
      </c>
      <c r="CT182" s="4">
        <v>2012</v>
      </c>
      <c r="CU182" s="4" t="s">
        <v>19</v>
      </c>
      <c r="CV182" s="5">
        <v>874</v>
      </c>
    </row>
    <row r="183" spans="1:100" x14ac:dyDescent="0.25">
      <c r="A183" s="4" t="s">
        <v>180</v>
      </c>
      <c r="B183" s="4">
        <v>2012</v>
      </c>
      <c r="C183" s="4" t="s">
        <v>19</v>
      </c>
      <c r="D183" s="5">
        <v>58</v>
      </c>
      <c r="G183" s="4" t="s">
        <v>71</v>
      </c>
      <c r="H183" s="4">
        <v>2012</v>
      </c>
      <c r="I183" s="4" t="s">
        <v>19</v>
      </c>
      <c r="J183" s="5">
        <v>1105</v>
      </c>
      <c r="M183" s="4" t="s">
        <v>164</v>
      </c>
      <c r="N183" s="4">
        <v>2012</v>
      </c>
      <c r="O183" s="4" t="s">
        <v>19</v>
      </c>
      <c r="P183" s="5">
        <v>706</v>
      </c>
      <c r="S183" s="4" t="s">
        <v>166</v>
      </c>
      <c r="T183" s="4">
        <v>2012</v>
      </c>
      <c r="U183" s="4" t="s">
        <v>19</v>
      </c>
      <c r="V183" s="5">
        <v>439</v>
      </c>
      <c r="Y183" s="4" t="s">
        <v>168</v>
      </c>
      <c r="Z183" s="4">
        <v>2012</v>
      </c>
      <c r="AA183" s="4" t="s">
        <v>19</v>
      </c>
      <c r="AB183" s="5">
        <v>183</v>
      </c>
      <c r="AE183" s="4" t="s">
        <v>170</v>
      </c>
      <c r="AF183" s="4">
        <v>2012</v>
      </c>
      <c r="AG183" s="4" t="s">
        <v>19</v>
      </c>
      <c r="AH183" s="5">
        <v>1247</v>
      </c>
      <c r="AK183" s="4" t="s">
        <v>72</v>
      </c>
      <c r="AL183" s="4">
        <v>2012</v>
      </c>
      <c r="AM183" s="4" t="s">
        <v>19</v>
      </c>
      <c r="AN183" s="5">
        <v>369</v>
      </c>
      <c r="AO183" s="14"/>
      <c r="AQ183" s="4" t="s">
        <v>73</v>
      </c>
      <c r="AR183" s="4">
        <v>2012</v>
      </c>
      <c r="AS183" s="4" t="s">
        <v>19</v>
      </c>
      <c r="AT183" s="5">
        <v>229</v>
      </c>
      <c r="AW183" s="4" t="s">
        <v>172</v>
      </c>
      <c r="AX183" s="4">
        <v>2012</v>
      </c>
      <c r="AY183" s="4" t="s">
        <v>19</v>
      </c>
      <c r="AZ183" s="5">
        <v>254</v>
      </c>
      <c r="BC183" s="4" t="s">
        <v>174</v>
      </c>
      <c r="BD183" s="4">
        <v>2012</v>
      </c>
      <c r="BE183" s="4" t="s">
        <v>19</v>
      </c>
      <c r="BF183" s="5">
        <v>132</v>
      </c>
      <c r="BI183" s="4" t="s">
        <v>74</v>
      </c>
      <c r="BJ183" s="4">
        <v>2012</v>
      </c>
      <c r="BK183" s="4" t="s">
        <v>19</v>
      </c>
      <c r="BL183" s="5">
        <v>1307</v>
      </c>
      <c r="BO183" s="4" t="s">
        <v>176</v>
      </c>
      <c r="BP183" s="4">
        <v>2012</v>
      </c>
      <c r="BQ183" s="4" t="s">
        <v>19</v>
      </c>
      <c r="BR183" s="5">
        <v>267</v>
      </c>
      <c r="BU183" s="4" t="s">
        <v>178</v>
      </c>
      <c r="BV183" s="4">
        <v>2012</v>
      </c>
      <c r="BW183" s="4" t="s">
        <v>19</v>
      </c>
      <c r="BX183" s="5">
        <v>910</v>
      </c>
      <c r="CA183" s="4" t="s">
        <v>75</v>
      </c>
      <c r="CB183" s="4">
        <v>2012</v>
      </c>
      <c r="CC183" s="4" t="s">
        <v>19</v>
      </c>
      <c r="CD183" s="5">
        <v>246</v>
      </c>
      <c r="CG183" s="4" t="s">
        <v>76</v>
      </c>
      <c r="CH183" s="4">
        <v>2012</v>
      </c>
      <c r="CI183" s="4" t="s">
        <v>19</v>
      </c>
      <c r="CJ183" s="5">
        <v>1179</v>
      </c>
      <c r="CM183" s="4" t="s">
        <v>183</v>
      </c>
      <c r="CN183" s="4">
        <v>2012</v>
      </c>
      <c r="CO183" s="4" t="s">
        <v>19</v>
      </c>
      <c r="CP183" s="5">
        <v>472</v>
      </c>
      <c r="CS183" s="4" t="s">
        <v>208</v>
      </c>
      <c r="CT183" s="4">
        <v>2012</v>
      </c>
      <c r="CU183" s="4" t="s">
        <v>96</v>
      </c>
      <c r="CV183" s="5">
        <v>923</v>
      </c>
    </row>
    <row r="184" spans="1:100" x14ac:dyDescent="0.25">
      <c r="A184" s="4" t="s">
        <v>180</v>
      </c>
      <c r="B184" s="4">
        <v>2012</v>
      </c>
      <c r="C184" s="4" t="s">
        <v>96</v>
      </c>
      <c r="D184" s="5">
        <v>59</v>
      </c>
      <c r="G184" s="4" t="s">
        <v>71</v>
      </c>
      <c r="H184" s="4">
        <v>2012</v>
      </c>
      <c r="I184" s="4" t="s">
        <v>96</v>
      </c>
      <c r="J184" s="5">
        <v>1129</v>
      </c>
      <c r="M184" s="4" t="s">
        <v>164</v>
      </c>
      <c r="N184" s="4">
        <v>2012</v>
      </c>
      <c r="O184" s="4" t="s">
        <v>96</v>
      </c>
      <c r="P184" s="5">
        <v>693</v>
      </c>
      <c r="S184" s="4" t="s">
        <v>166</v>
      </c>
      <c r="T184" s="4">
        <v>2012</v>
      </c>
      <c r="U184" s="4" t="s">
        <v>96</v>
      </c>
      <c r="V184" s="5">
        <v>430</v>
      </c>
      <c r="Y184" s="4" t="s">
        <v>168</v>
      </c>
      <c r="Z184" s="4">
        <v>2012</v>
      </c>
      <c r="AA184" s="4" t="s">
        <v>96</v>
      </c>
      <c r="AB184" s="5">
        <v>225</v>
      </c>
      <c r="AE184" s="4" t="s">
        <v>170</v>
      </c>
      <c r="AF184" s="4">
        <v>2012</v>
      </c>
      <c r="AG184" s="4" t="s">
        <v>96</v>
      </c>
      <c r="AH184" s="5">
        <v>1438</v>
      </c>
      <c r="AK184" s="4" t="s">
        <v>72</v>
      </c>
      <c r="AL184" s="4">
        <v>2012</v>
      </c>
      <c r="AM184" s="4" t="s">
        <v>96</v>
      </c>
      <c r="AN184" s="5">
        <v>410</v>
      </c>
      <c r="AO184" s="14"/>
      <c r="AQ184" s="4" t="s">
        <v>73</v>
      </c>
      <c r="AR184" s="4">
        <v>2012</v>
      </c>
      <c r="AS184" s="4" t="s">
        <v>96</v>
      </c>
      <c r="AT184" s="5">
        <v>218</v>
      </c>
      <c r="AW184" s="4" t="s">
        <v>172</v>
      </c>
      <c r="AX184" s="4">
        <v>2012</v>
      </c>
      <c r="AY184" s="4" t="s">
        <v>96</v>
      </c>
      <c r="AZ184" s="5">
        <v>302</v>
      </c>
      <c r="BC184" s="4" t="s">
        <v>174</v>
      </c>
      <c r="BD184" s="4">
        <v>2012</v>
      </c>
      <c r="BE184" s="4" t="s">
        <v>96</v>
      </c>
      <c r="BF184" s="5">
        <v>164</v>
      </c>
      <c r="BI184" s="4" t="s">
        <v>74</v>
      </c>
      <c r="BJ184" s="4">
        <v>2012</v>
      </c>
      <c r="BK184" s="4" t="s">
        <v>96</v>
      </c>
      <c r="BL184" s="5">
        <v>1358</v>
      </c>
      <c r="BO184" s="4" t="s">
        <v>176</v>
      </c>
      <c r="BP184" s="4">
        <v>2012</v>
      </c>
      <c r="BQ184" s="4" t="s">
        <v>96</v>
      </c>
      <c r="BR184" s="5">
        <v>295</v>
      </c>
      <c r="BU184" s="4" t="s">
        <v>178</v>
      </c>
      <c r="BV184" s="4">
        <v>2012</v>
      </c>
      <c r="BW184" s="4" t="s">
        <v>96</v>
      </c>
      <c r="BX184" s="5">
        <v>938</v>
      </c>
      <c r="CA184" s="4" t="s">
        <v>75</v>
      </c>
      <c r="CB184" s="4">
        <v>2012</v>
      </c>
      <c r="CC184" s="4" t="s">
        <v>96</v>
      </c>
      <c r="CD184" s="5">
        <v>243</v>
      </c>
      <c r="CG184" s="4" t="s">
        <v>76</v>
      </c>
      <c r="CH184" s="4">
        <v>2012</v>
      </c>
      <c r="CI184" s="4" t="s">
        <v>96</v>
      </c>
      <c r="CJ184" s="5">
        <v>1160</v>
      </c>
      <c r="CM184" s="4" t="s">
        <v>183</v>
      </c>
      <c r="CN184" s="4">
        <v>2012</v>
      </c>
      <c r="CO184" s="4" t="s">
        <v>96</v>
      </c>
      <c r="CP184" s="5">
        <v>470</v>
      </c>
      <c r="CS184" s="4" t="s">
        <v>208</v>
      </c>
      <c r="CT184" s="4">
        <v>2013</v>
      </c>
      <c r="CU184" s="4" t="s">
        <v>20</v>
      </c>
      <c r="CV184" s="5">
        <v>912</v>
      </c>
    </row>
    <row r="185" spans="1:100" x14ac:dyDescent="0.25">
      <c r="A185" s="4" t="s">
        <v>180</v>
      </c>
      <c r="B185" s="4">
        <v>2013</v>
      </c>
      <c r="C185" s="4" t="s">
        <v>20</v>
      </c>
      <c r="D185" s="5">
        <v>97</v>
      </c>
      <c r="G185" s="4" t="s">
        <v>71</v>
      </c>
      <c r="H185" s="4">
        <v>2013</v>
      </c>
      <c r="I185" s="4" t="s">
        <v>20</v>
      </c>
      <c r="J185" s="5">
        <v>1322</v>
      </c>
      <c r="M185" s="4" t="s">
        <v>164</v>
      </c>
      <c r="N185" s="4">
        <v>2013</v>
      </c>
      <c r="O185" s="4" t="s">
        <v>20</v>
      </c>
      <c r="P185" s="5">
        <v>683</v>
      </c>
      <c r="S185" s="4" t="s">
        <v>166</v>
      </c>
      <c r="T185" s="4">
        <v>2013</v>
      </c>
      <c r="U185" s="4" t="s">
        <v>20</v>
      </c>
      <c r="V185" s="5">
        <v>523</v>
      </c>
      <c r="Y185" s="4" t="s">
        <v>168</v>
      </c>
      <c r="Z185" s="4">
        <v>2013</v>
      </c>
      <c r="AA185" s="4" t="s">
        <v>20</v>
      </c>
      <c r="AB185" s="5">
        <v>212</v>
      </c>
      <c r="AE185" s="4" t="s">
        <v>170</v>
      </c>
      <c r="AF185" s="4">
        <v>2013</v>
      </c>
      <c r="AG185" s="4" t="s">
        <v>20</v>
      </c>
      <c r="AH185" s="5">
        <v>1467</v>
      </c>
      <c r="AK185" s="4" t="s">
        <v>72</v>
      </c>
      <c r="AL185" s="4">
        <v>2013</v>
      </c>
      <c r="AM185" s="4" t="s">
        <v>20</v>
      </c>
      <c r="AN185" s="5">
        <v>474</v>
      </c>
      <c r="AO185" s="14"/>
      <c r="AQ185" s="4" t="s">
        <v>73</v>
      </c>
      <c r="AR185" s="4">
        <v>2013</v>
      </c>
      <c r="AS185" s="4" t="s">
        <v>20</v>
      </c>
      <c r="AT185" s="5">
        <v>236</v>
      </c>
      <c r="AW185" s="4" t="s">
        <v>172</v>
      </c>
      <c r="AX185" s="4">
        <v>2013</v>
      </c>
      <c r="AY185" s="4" t="s">
        <v>20</v>
      </c>
      <c r="AZ185" s="5">
        <v>303</v>
      </c>
      <c r="BC185" s="4" t="s">
        <v>174</v>
      </c>
      <c r="BD185" s="4">
        <v>2013</v>
      </c>
      <c r="BE185" s="4" t="s">
        <v>20</v>
      </c>
      <c r="BF185" s="5">
        <v>204</v>
      </c>
      <c r="BI185" s="4" t="s">
        <v>74</v>
      </c>
      <c r="BJ185" s="4">
        <v>2013</v>
      </c>
      <c r="BK185" s="4" t="s">
        <v>20</v>
      </c>
      <c r="BL185" s="5">
        <v>1575</v>
      </c>
      <c r="BO185" s="4" t="s">
        <v>176</v>
      </c>
      <c r="BP185" s="4">
        <v>2013</v>
      </c>
      <c r="BQ185" s="4" t="s">
        <v>20</v>
      </c>
      <c r="BR185" s="5">
        <v>246</v>
      </c>
      <c r="BU185" s="4" t="s">
        <v>178</v>
      </c>
      <c r="BV185" s="4">
        <v>2013</v>
      </c>
      <c r="BW185" s="4" t="s">
        <v>20</v>
      </c>
      <c r="BX185" s="5">
        <v>960</v>
      </c>
      <c r="CA185" s="4" t="s">
        <v>75</v>
      </c>
      <c r="CB185" s="4">
        <v>2013</v>
      </c>
      <c r="CC185" s="4" t="s">
        <v>20</v>
      </c>
      <c r="CD185" s="5">
        <v>288</v>
      </c>
      <c r="CG185" s="4" t="s">
        <v>76</v>
      </c>
      <c r="CH185" s="4">
        <v>2013</v>
      </c>
      <c r="CI185" s="4" t="s">
        <v>20</v>
      </c>
      <c r="CJ185" s="5">
        <v>1324</v>
      </c>
      <c r="CM185" s="4" t="s">
        <v>183</v>
      </c>
      <c r="CN185" s="4">
        <v>2013</v>
      </c>
      <c r="CO185" s="4" t="s">
        <v>20</v>
      </c>
      <c r="CP185" s="5">
        <v>521</v>
      </c>
      <c r="CS185" s="4" t="s">
        <v>208</v>
      </c>
      <c r="CT185" s="4">
        <v>2013</v>
      </c>
      <c r="CU185" s="4" t="s">
        <v>21</v>
      </c>
      <c r="CV185" s="5">
        <v>828</v>
      </c>
    </row>
    <row r="186" spans="1:100" x14ac:dyDescent="0.25">
      <c r="A186" s="4" t="s">
        <v>180</v>
      </c>
      <c r="B186" s="4">
        <v>2013</v>
      </c>
      <c r="C186" s="4" t="s">
        <v>21</v>
      </c>
      <c r="D186" s="5">
        <v>53</v>
      </c>
      <c r="G186" s="4" t="s">
        <v>71</v>
      </c>
      <c r="H186" s="4">
        <v>2013</v>
      </c>
      <c r="I186" s="4" t="s">
        <v>21</v>
      </c>
      <c r="J186" s="5">
        <v>1291</v>
      </c>
      <c r="M186" s="4" t="s">
        <v>164</v>
      </c>
      <c r="N186" s="4">
        <v>2013</v>
      </c>
      <c r="O186" s="4" t="s">
        <v>21</v>
      </c>
      <c r="P186" s="5">
        <v>693</v>
      </c>
      <c r="S186" s="4" t="s">
        <v>166</v>
      </c>
      <c r="T186" s="4">
        <v>2013</v>
      </c>
      <c r="U186" s="4" t="s">
        <v>21</v>
      </c>
      <c r="V186" s="5">
        <v>415</v>
      </c>
      <c r="Y186" s="4" t="s">
        <v>168</v>
      </c>
      <c r="Z186" s="4">
        <v>2013</v>
      </c>
      <c r="AA186" s="4" t="s">
        <v>21</v>
      </c>
      <c r="AB186" s="5">
        <v>227</v>
      </c>
      <c r="AE186" s="4" t="s">
        <v>170</v>
      </c>
      <c r="AF186" s="4">
        <v>2013</v>
      </c>
      <c r="AG186" s="4" t="s">
        <v>21</v>
      </c>
      <c r="AH186" s="5">
        <v>1453</v>
      </c>
      <c r="AK186" s="4" t="s">
        <v>72</v>
      </c>
      <c r="AL186" s="4">
        <v>2013</v>
      </c>
      <c r="AM186" s="4" t="s">
        <v>21</v>
      </c>
      <c r="AN186" s="5">
        <v>468</v>
      </c>
      <c r="AO186" s="14"/>
      <c r="AQ186" s="4" t="s">
        <v>73</v>
      </c>
      <c r="AR186" s="4">
        <v>2013</v>
      </c>
      <c r="AS186" s="4" t="s">
        <v>21</v>
      </c>
      <c r="AT186" s="5">
        <v>143</v>
      </c>
      <c r="AW186" s="4" t="s">
        <v>172</v>
      </c>
      <c r="AX186" s="4">
        <v>2013</v>
      </c>
      <c r="AY186" s="4" t="s">
        <v>21</v>
      </c>
      <c r="AZ186" s="5">
        <v>252</v>
      </c>
      <c r="BC186" s="4" t="s">
        <v>174</v>
      </c>
      <c r="BD186" s="4">
        <v>2013</v>
      </c>
      <c r="BE186" s="4" t="s">
        <v>21</v>
      </c>
      <c r="BF186" s="5">
        <v>176</v>
      </c>
      <c r="BI186" s="4" t="s">
        <v>74</v>
      </c>
      <c r="BJ186" s="4">
        <v>2013</v>
      </c>
      <c r="BK186" s="4" t="s">
        <v>21</v>
      </c>
      <c r="BL186" s="5">
        <v>1480</v>
      </c>
      <c r="BO186" s="4" t="s">
        <v>176</v>
      </c>
      <c r="BP186" s="4">
        <v>2013</v>
      </c>
      <c r="BQ186" s="4" t="s">
        <v>21</v>
      </c>
      <c r="BR186" s="5">
        <v>220</v>
      </c>
      <c r="BU186" s="4" t="s">
        <v>178</v>
      </c>
      <c r="BV186" s="4">
        <v>2013</v>
      </c>
      <c r="BW186" s="4" t="s">
        <v>21</v>
      </c>
      <c r="BX186" s="5">
        <v>956</v>
      </c>
      <c r="CA186" s="4" t="s">
        <v>75</v>
      </c>
      <c r="CB186" s="4">
        <v>2013</v>
      </c>
      <c r="CC186" s="4" t="s">
        <v>21</v>
      </c>
      <c r="CD186" s="5">
        <v>287</v>
      </c>
      <c r="CG186" s="4" t="s">
        <v>76</v>
      </c>
      <c r="CH186" s="4">
        <v>2013</v>
      </c>
      <c r="CI186" s="4" t="s">
        <v>21</v>
      </c>
      <c r="CJ186" s="5">
        <v>1219</v>
      </c>
      <c r="CM186" s="4" t="s">
        <v>183</v>
      </c>
      <c r="CN186" s="4">
        <v>2013</v>
      </c>
      <c r="CO186" s="4" t="s">
        <v>21</v>
      </c>
      <c r="CP186" s="5">
        <v>494</v>
      </c>
      <c r="CS186" s="4" t="s">
        <v>208</v>
      </c>
      <c r="CT186" s="4">
        <v>2013</v>
      </c>
      <c r="CU186" s="4" t="s">
        <v>22</v>
      </c>
      <c r="CV186" s="5">
        <v>786</v>
      </c>
    </row>
    <row r="187" spans="1:100" x14ac:dyDescent="0.25">
      <c r="A187" s="4" t="s">
        <v>180</v>
      </c>
      <c r="B187" s="4">
        <v>2013</v>
      </c>
      <c r="C187" s="4" t="s">
        <v>22</v>
      </c>
      <c r="D187" s="5">
        <v>72</v>
      </c>
      <c r="G187" s="4" t="s">
        <v>71</v>
      </c>
      <c r="H187" s="4">
        <v>2013</v>
      </c>
      <c r="I187" s="4" t="s">
        <v>22</v>
      </c>
      <c r="J187" s="5">
        <v>1195</v>
      </c>
      <c r="M187" s="4" t="s">
        <v>164</v>
      </c>
      <c r="N187" s="4">
        <v>2013</v>
      </c>
      <c r="O187" s="4" t="s">
        <v>22</v>
      </c>
      <c r="P187" s="5">
        <v>582</v>
      </c>
      <c r="S187" s="4" t="s">
        <v>166</v>
      </c>
      <c r="T187" s="4">
        <v>2013</v>
      </c>
      <c r="U187" s="4" t="s">
        <v>22</v>
      </c>
      <c r="V187" s="5">
        <v>386</v>
      </c>
      <c r="Y187" s="4" t="s">
        <v>168</v>
      </c>
      <c r="Z187" s="4">
        <v>2013</v>
      </c>
      <c r="AA187" s="4" t="s">
        <v>22</v>
      </c>
      <c r="AB187" s="5">
        <v>203</v>
      </c>
      <c r="AE187" s="4" t="s">
        <v>170</v>
      </c>
      <c r="AF187" s="4">
        <v>2013</v>
      </c>
      <c r="AG187" s="4" t="s">
        <v>22</v>
      </c>
      <c r="AH187" s="5">
        <v>1297</v>
      </c>
      <c r="AK187" s="4" t="s">
        <v>72</v>
      </c>
      <c r="AL187" s="4">
        <v>2013</v>
      </c>
      <c r="AM187" s="4" t="s">
        <v>22</v>
      </c>
      <c r="AN187" s="5">
        <v>463</v>
      </c>
      <c r="AO187" s="14"/>
      <c r="AQ187" s="4" t="s">
        <v>73</v>
      </c>
      <c r="AR187" s="4">
        <v>2013</v>
      </c>
      <c r="AS187" s="4" t="s">
        <v>22</v>
      </c>
      <c r="AT187" s="5">
        <v>145</v>
      </c>
      <c r="AW187" s="4" t="s">
        <v>172</v>
      </c>
      <c r="AX187" s="4">
        <v>2013</v>
      </c>
      <c r="AY187" s="4" t="s">
        <v>22</v>
      </c>
      <c r="AZ187" s="5">
        <v>266</v>
      </c>
      <c r="BC187" s="4" t="s">
        <v>174</v>
      </c>
      <c r="BD187" s="4">
        <v>2013</v>
      </c>
      <c r="BE187" s="4" t="s">
        <v>22</v>
      </c>
      <c r="BF187" s="5">
        <v>148</v>
      </c>
      <c r="BI187" s="4" t="s">
        <v>74</v>
      </c>
      <c r="BJ187" s="4">
        <v>2013</v>
      </c>
      <c r="BK187" s="4" t="s">
        <v>22</v>
      </c>
      <c r="BL187" s="5">
        <v>1378</v>
      </c>
      <c r="BO187" s="4" t="s">
        <v>176</v>
      </c>
      <c r="BP187" s="4">
        <v>2013</v>
      </c>
      <c r="BQ187" s="4" t="s">
        <v>22</v>
      </c>
      <c r="BR187" s="5">
        <v>250</v>
      </c>
      <c r="BU187" s="4" t="s">
        <v>178</v>
      </c>
      <c r="BV187" s="4">
        <v>2013</v>
      </c>
      <c r="BW187" s="4" t="s">
        <v>22</v>
      </c>
      <c r="BX187" s="5">
        <v>861</v>
      </c>
      <c r="CA187" s="4" t="s">
        <v>75</v>
      </c>
      <c r="CB187" s="4">
        <v>2013</v>
      </c>
      <c r="CC187" s="4" t="s">
        <v>22</v>
      </c>
      <c r="CD187" s="5">
        <v>293</v>
      </c>
      <c r="CG187" s="4" t="s">
        <v>76</v>
      </c>
      <c r="CH187" s="4">
        <v>2013</v>
      </c>
      <c r="CI187" s="4" t="s">
        <v>22</v>
      </c>
      <c r="CJ187" s="5">
        <v>1173</v>
      </c>
      <c r="CM187" s="4" t="s">
        <v>183</v>
      </c>
      <c r="CN187" s="4">
        <v>2013</v>
      </c>
      <c r="CO187" s="4" t="s">
        <v>22</v>
      </c>
      <c r="CP187" s="5">
        <v>435</v>
      </c>
      <c r="CS187" s="4" t="s">
        <v>208</v>
      </c>
      <c r="CT187" s="4">
        <v>2013</v>
      </c>
      <c r="CU187" s="4" t="s">
        <v>23</v>
      </c>
      <c r="CV187" s="5">
        <v>715</v>
      </c>
    </row>
    <row r="188" spans="1:100" x14ac:dyDescent="0.25">
      <c r="A188" s="4" t="s">
        <v>180</v>
      </c>
      <c r="B188" s="4">
        <v>2013</v>
      </c>
      <c r="C188" s="4" t="s">
        <v>23</v>
      </c>
      <c r="D188" s="5">
        <v>73</v>
      </c>
      <c r="G188" s="4" t="s">
        <v>71</v>
      </c>
      <c r="H188" s="4">
        <v>2013</v>
      </c>
      <c r="I188" s="4" t="s">
        <v>23</v>
      </c>
      <c r="J188" s="5">
        <v>1077</v>
      </c>
      <c r="M188" s="4" t="s">
        <v>164</v>
      </c>
      <c r="N188" s="4">
        <v>2013</v>
      </c>
      <c r="O188" s="4" t="s">
        <v>23</v>
      </c>
      <c r="P188" s="5">
        <v>583</v>
      </c>
      <c r="S188" s="4" t="s">
        <v>166</v>
      </c>
      <c r="T188" s="4">
        <v>2013</v>
      </c>
      <c r="U188" s="4" t="s">
        <v>23</v>
      </c>
      <c r="V188" s="5">
        <v>379</v>
      </c>
      <c r="Y188" s="4" t="s">
        <v>168</v>
      </c>
      <c r="Z188" s="4">
        <v>2013</v>
      </c>
      <c r="AA188" s="4" t="s">
        <v>23</v>
      </c>
      <c r="AB188" s="5">
        <v>231</v>
      </c>
      <c r="AE188" s="4" t="s">
        <v>170</v>
      </c>
      <c r="AF188" s="4">
        <v>2013</v>
      </c>
      <c r="AG188" s="4" t="s">
        <v>23</v>
      </c>
      <c r="AH188" s="5">
        <v>1253</v>
      </c>
      <c r="AK188" s="4" t="s">
        <v>72</v>
      </c>
      <c r="AL188" s="4">
        <v>2013</v>
      </c>
      <c r="AM188" s="4" t="s">
        <v>23</v>
      </c>
      <c r="AN188" s="5">
        <v>355</v>
      </c>
      <c r="AO188" s="14"/>
      <c r="AQ188" s="4" t="s">
        <v>73</v>
      </c>
      <c r="AR188" s="4">
        <v>2013</v>
      </c>
      <c r="AS188" s="4" t="s">
        <v>23</v>
      </c>
      <c r="AT188" s="5">
        <v>152</v>
      </c>
      <c r="AW188" s="4" t="s">
        <v>172</v>
      </c>
      <c r="AX188" s="4">
        <v>2013</v>
      </c>
      <c r="AY188" s="4" t="s">
        <v>23</v>
      </c>
      <c r="AZ188" s="5">
        <v>376</v>
      </c>
      <c r="BC188" s="4" t="s">
        <v>174</v>
      </c>
      <c r="BD188" s="4">
        <v>2013</v>
      </c>
      <c r="BE188" s="4" t="s">
        <v>23</v>
      </c>
      <c r="BF188" s="5">
        <v>140</v>
      </c>
      <c r="BI188" s="4" t="s">
        <v>74</v>
      </c>
      <c r="BJ188" s="4">
        <v>2013</v>
      </c>
      <c r="BK188" s="4" t="s">
        <v>23</v>
      </c>
      <c r="BL188" s="5">
        <v>1259</v>
      </c>
      <c r="BO188" s="4" t="s">
        <v>176</v>
      </c>
      <c r="BP188" s="4">
        <v>2013</v>
      </c>
      <c r="BQ188" s="4" t="s">
        <v>23</v>
      </c>
      <c r="BR188" s="5">
        <v>227</v>
      </c>
      <c r="BU188" s="4" t="s">
        <v>178</v>
      </c>
      <c r="BV188" s="4">
        <v>2013</v>
      </c>
      <c r="BW188" s="4" t="s">
        <v>23</v>
      </c>
      <c r="BX188" s="5">
        <v>757</v>
      </c>
      <c r="CA188" s="4" t="s">
        <v>75</v>
      </c>
      <c r="CB188" s="4">
        <v>2013</v>
      </c>
      <c r="CC188" s="4" t="s">
        <v>23</v>
      </c>
      <c r="CD188" s="5">
        <v>241</v>
      </c>
      <c r="CG188" s="4" t="s">
        <v>76</v>
      </c>
      <c r="CH188" s="4">
        <v>2013</v>
      </c>
      <c r="CI188" s="4" t="s">
        <v>23</v>
      </c>
      <c r="CJ188" s="5">
        <v>1086</v>
      </c>
      <c r="CM188" s="4" t="s">
        <v>183</v>
      </c>
      <c r="CN188" s="4">
        <v>2013</v>
      </c>
      <c r="CO188" s="4" t="s">
        <v>23</v>
      </c>
      <c r="CP188" s="5">
        <v>420</v>
      </c>
      <c r="CS188" s="4" t="s">
        <v>208</v>
      </c>
      <c r="CT188" s="4">
        <v>2013</v>
      </c>
      <c r="CU188" s="4" t="s">
        <v>24</v>
      </c>
      <c r="CV188" s="5">
        <v>811</v>
      </c>
    </row>
    <row r="189" spans="1:100" x14ac:dyDescent="0.25">
      <c r="A189" s="4" t="s">
        <v>180</v>
      </c>
      <c r="B189" s="4">
        <v>2013</v>
      </c>
      <c r="C189" s="4" t="s">
        <v>24</v>
      </c>
      <c r="D189" s="5">
        <v>66</v>
      </c>
      <c r="G189" s="4" t="s">
        <v>71</v>
      </c>
      <c r="H189" s="4">
        <v>2013</v>
      </c>
      <c r="I189" s="4" t="s">
        <v>24</v>
      </c>
      <c r="J189" s="5">
        <v>891</v>
      </c>
      <c r="M189" s="4" t="s">
        <v>164</v>
      </c>
      <c r="N189" s="4">
        <v>2013</v>
      </c>
      <c r="O189" s="4" t="s">
        <v>24</v>
      </c>
      <c r="P189" s="5">
        <v>640</v>
      </c>
      <c r="S189" s="4" t="s">
        <v>166</v>
      </c>
      <c r="T189" s="4">
        <v>2013</v>
      </c>
      <c r="U189" s="4" t="s">
        <v>24</v>
      </c>
      <c r="V189" s="5">
        <v>416</v>
      </c>
      <c r="Y189" s="4" t="s">
        <v>168</v>
      </c>
      <c r="Z189" s="4">
        <v>2013</v>
      </c>
      <c r="AA189" s="4" t="s">
        <v>24</v>
      </c>
      <c r="AB189" s="5">
        <v>244</v>
      </c>
      <c r="AE189" s="4" t="s">
        <v>170</v>
      </c>
      <c r="AF189" s="4">
        <v>2013</v>
      </c>
      <c r="AG189" s="4" t="s">
        <v>24</v>
      </c>
      <c r="AH189" s="5">
        <v>1222</v>
      </c>
      <c r="AK189" s="4" t="s">
        <v>72</v>
      </c>
      <c r="AL189" s="4">
        <v>2013</v>
      </c>
      <c r="AM189" s="4" t="s">
        <v>24</v>
      </c>
      <c r="AN189" s="5">
        <v>371</v>
      </c>
      <c r="AO189" s="14"/>
      <c r="AQ189" s="4" t="s">
        <v>73</v>
      </c>
      <c r="AR189" s="4">
        <v>2013</v>
      </c>
      <c r="AS189" s="4" t="s">
        <v>24</v>
      </c>
      <c r="AT189" s="5">
        <v>187</v>
      </c>
      <c r="AW189" s="4" t="s">
        <v>172</v>
      </c>
      <c r="AX189" s="4">
        <v>2013</v>
      </c>
      <c r="AY189" s="4" t="s">
        <v>24</v>
      </c>
      <c r="AZ189" s="5">
        <v>300</v>
      </c>
      <c r="BC189" s="4" t="s">
        <v>174</v>
      </c>
      <c r="BD189" s="4">
        <v>2013</v>
      </c>
      <c r="BE189" s="4" t="s">
        <v>24</v>
      </c>
      <c r="BF189" s="5">
        <v>117</v>
      </c>
      <c r="BI189" s="4" t="s">
        <v>74</v>
      </c>
      <c r="BJ189" s="4">
        <v>2013</v>
      </c>
      <c r="BK189" s="4" t="s">
        <v>24</v>
      </c>
      <c r="BL189" s="5">
        <v>1255</v>
      </c>
      <c r="BO189" s="4" t="s">
        <v>176</v>
      </c>
      <c r="BP189" s="4">
        <v>2013</v>
      </c>
      <c r="BQ189" s="4" t="s">
        <v>24</v>
      </c>
      <c r="BR189" s="5">
        <v>289</v>
      </c>
      <c r="BU189" s="4" t="s">
        <v>178</v>
      </c>
      <c r="BV189" s="4">
        <v>2013</v>
      </c>
      <c r="BW189" s="4" t="s">
        <v>24</v>
      </c>
      <c r="BX189" s="5">
        <v>769</v>
      </c>
      <c r="CA189" s="4" t="s">
        <v>75</v>
      </c>
      <c r="CB189" s="4">
        <v>2013</v>
      </c>
      <c r="CC189" s="4" t="s">
        <v>24</v>
      </c>
      <c r="CD189" s="5">
        <v>227</v>
      </c>
      <c r="CG189" s="4" t="s">
        <v>76</v>
      </c>
      <c r="CH189" s="4">
        <v>2013</v>
      </c>
      <c r="CI189" s="4" t="s">
        <v>24</v>
      </c>
      <c r="CJ189" s="5">
        <v>1228</v>
      </c>
      <c r="CM189" s="4" t="s">
        <v>183</v>
      </c>
      <c r="CN189" s="4">
        <v>2013</v>
      </c>
      <c r="CO189" s="4" t="s">
        <v>24</v>
      </c>
      <c r="CP189" s="5">
        <v>433</v>
      </c>
      <c r="CS189" s="4" t="s">
        <v>208</v>
      </c>
      <c r="CT189" s="4">
        <v>2013</v>
      </c>
      <c r="CU189" s="4" t="s">
        <v>25</v>
      </c>
      <c r="CV189" s="5">
        <v>1086</v>
      </c>
    </row>
    <row r="190" spans="1:100" x14ac:dyDescent="0.25">
      <c r="A190" s="4" t="s">
        <v>180</v>
      </c>
      <c r="B190" s="4">
        <v>2013</v>
      </c>
      <c r="C190" s="4" t="s">
        <v>25</v>
      </c>
      <c r="D190" s="5">
        <v>70</v>
      </c>
      <c r="G190" s="4" t="s">
        <v>71</v>
      </c>
      <c r="H190" s="4">
        <v>2013</v>
      </c>
      <c r="I190" s="4" t="s">
        <v>25</v>
      </c>
      <c r="J190" s="5">
        <v>825</v>
      </c>
      <c r="M190" s="4" t="s">
        <v>164</v>
      </c>
      <c r="N190" s="4">
        <v>2013</v>
      </c>
      <c r="O190" s="4" t="s">
        <v>25</v>
      </c>
      <c r="P190" s="5">
        <v>569</v>
      </c>
      <c r="S190" s="4" t="s">
        <v>166</v>
      </c>
      <c r="T190" s="4">
        <v>2013</v>
      </c>
      <c r="U190" s="4" t="s">
        <v>25</v>
      </c>
      <c r="V190" s="5">
        <v>420</v>
      </c>
      <c r="Y190" s="4" t="s">
        <v>168</v>
      </c>
      <c r="Z190" s="4">
        <v>2013</v>
      </c>
      <c r="AA190" s="4" t="s">
        <v>25</v>
      </c>
      <c r="AB190" s="5">
        <v>207</v>
      </c>
      <c r="AE190" s="4" t="s">
        <v>170</v>
      </c>
      <c r="AF190" s="4">
        <v>2013</v>
      </c>
      <c r="AG190" s="4" t="s">
        <v>25</v>
      </c>
      <c r="AH190" s="5">
        <v>1208</v>
      </c>
      <c r="AK190" s="4" t="s">
        <v>72</v>
      </c>
      <c r="AL190" s="4">
        <v>2013</v>
      </c>
      <c r="AM190" s="4" t="s">
        <v>25</v>
      </c>
      <c r="AN190" s="5">
        <v>384</v>
      </c>
      <c r="AO190" s="14"/>
      <c r="AQ190" s="4" t="s">
        <v>73</v>
      </c>
      <c r="AR190" s="4">
        <v>2013</v>
      </c>
      <c r="AS190" s="4" t="s">
        <v>25</v>
      </c>
      <c r="AT190" s="5">
        <v>164</v>
      </c>
      <c r="AW190" s="4" t="s">
        <v>172</v>
      </c>
      <c r="AX190" s="4">
        <v>2013</v>
      </c>
      <c r="AY190" s="4" t="s">
        <v>25</v>
      </c>
      <c r="AZ190" s="5">
        <v>284</v>
      </c>
      <c r="BC190" s="4" t="s">
        <v>174</v>
      </c>
      <c r="BD190" s="4">
        <v>2013</v>
      </c>
      <c r="BE190" s="4" t="s">
        <v>25</v>
      </c>
      <c r="BF190" s="5">
        <v>157</v>
      </c>
      <c r="BI190" s="4" t="s">
        <v>74</v>
      </c>
      <c r="BJ190" s="4">
        <v>2013</v>
      </c>
      <c r="BK190" s="4" t="s">
        <v>25</v>
      </c>
      <c r="BL190" s="5">
        <v>1300</v>
      </c>
      <c r="BO190" s="4" t="s">
        <v>176</v>
      </c>
      <c r="BP190" s="4">
        <v>2013</v>
      </c>
      <c r="BQ190" s="4" t="s">
        <v>25</v>
      </c>
      <c r="BR190" s="5">
        <v>422</v>
      </c>
      <c r="BU190" s="4" t="s">
        <v>178</v>
      </c>
      <c r="BV190" s="4">
        <v>2013</v>
      </c>
      <c r="BW190" s="4" t="s">
        <v>25</v>
      </c>
      <c r="BX190" s="5">
        <v>821</v>
      </c>
      <c r="CA190" s="4" t="s">
        <v>75</v>
      </c>
      <c r="CB190" s="4">
        <v>2013</v>
      </c>
      <c r="CC190" s="4" t="s">
        <v>25</v>
      </c>
      <c r="CD190" s="5">
        <v>253</v>
      </c>
      <c r="CG190" s="4" t="s">
        <v>76</v>
      </c>
      <c r="CH190" s="4">
        <v>2013</v>
      </c>
      <c r="CI190" s="4" t="s">
        <v>25</v>
      </c>
      <c r="CJ190" s="5">
        <v>1305</v>
      </c>
      <c r="CM190" s="4" t="s">
        <v>183</v>
      </c>
      <c r="CN190" s="4">
        <v>2013</v>
      </c>
      <c r="CO190" s="4" t="s">
        <v>25</v>
      </c>
      <c r="CP190" s="5">
        <v>411</v>
      </c>
      <c r="CS190" s="4" t="s">
        <v>208</v>
      </c>
      <c r="CT190" s="4">
        <v>2013</v>
      </c>
      <c r="CU190" s="4" t="s">
        <v>26</v>
      </c>
      <c r="CV190" s="5">
        <v>1073</v>
      </c>
    </row>
    <row r="191" spans="1:100" x14ac:dyDescent="0.25">
      <c r="A191" s="4" t="s">
        <v>180</v>
      </c>
      <c r="B191" s="4">
        <v>2013</v>
      </c>
      <c r="C191" s="4" t="s">
        <v>26</v>
      </c>
      <c r="D191" s="5">
        <v>57</v>
      </c>
      <c r="G191" s="4" t="s">
        <v>71</v>
      </c>
      <c r="H191" s="4">
        <v>2013</v>
      </c>
      <c r="I191" s="4" t="s">
        <v>26</v>
      </c>
      <c r="J191" s="5">
        <v>767</v>
      </c>
      <c r="M191" s="4" t="s">
        <v>164</v>
      </c>
      <c r="N191" s="4">
        <v>2013</v>
      </c>
      <c r="O191" s="4" t="s">
        <v>26</v>
      </c>
      <c r="P191" s="5">
        <v>619</v>
      </c>
      <c r="S191" s="4" t="s">
        <v>166</v>
      </c>
      <c r="T191" s="4">
        <v>2013</v>
      </c>
      <c r="U191" s="4" t="s">
        <v>26</v>
      </c>
      <c r="V191" s="5">
        <v>463</v>
      </c>
      <c r="Y191" s="4" t="s">
        <v>168</v>
      </c>
      <c r="Z191" s="4">
        <v>2013</v>
      </c>
      <c r="AA191" s="4" t="s">
        <v>26</v>
      </c>
      <c r="AB191" s="5">
        <v>194</v>
      </c>
      <c r="AE191" s="4" t="s">
        <v>170</v>
      </c>
      <c r="AF191" s="4">
        <v>2013</v>
      </c>
      <c r="AG191" s="4" t="s">
        <v>26</v>
      </c>
      <c r="AH191" s="5">
        <v>1195</v>
      </c>
      <c r="AK191" s="4" t="s">
        <v>72</v>
      </c>
      <c r="AL191" s="4">
        <v>2013</v>
      </c>
      <c r="AM191" s="4" t="s">
        <v>26</v>
      </c>
      <c r="AN191" s="5">
        <v>388</v>
      </c>
      <c r="AO191" s="14"/>
      <c r="AQ191" s="4" t="s">
        <v>73</v>
      </c>
      <c r="AR191" s="4">
        <v>2013</v>
      </c>
      <c r="AS191" s="4" t="s">
        <v>26</v>
      </c>
      <c r="AT191" s="5">
        <v>172</v>
      </c>
      <c r="AW191" s="4" t="s">
        <v>172</v>
      </c>
      <c r="AX191" s="4">
        <v>2013</v>
      </c>
      <c r="AY191" s="4" t="s">
        <v>26</v>
      </c>
      <c r="AZ191" s="5">
        <v>253</v>
      </c>
      <c r="BC191" s="4" t="s">
        <v>174</v>
      </c>
      <c r="BD191" s="4">
        <v>2013</v>
      </c>
      <c r="BE191" s="4" t="s">
        <v>26</v>
      </c>
      <c r="BF191" s="5">
        <v>160</v>
      </c>
      <c r="BI191" s="4" t="s">
        <v>74</v>
      </c>
      <c r="BJ191" s="4">
        <v>2013</v>
      </c>
      <c r="BK191" s="4" t="s">
        <v>26</v>
      </c>
      <c r="BL191" s="5">
        <v>1265</v>
      </c>
      <c r="BO191" s="4" t="s">
        <v>176</v>
      </c>
      <c r="BP191" s="4">
        <v>2013</v>
      </c>
      <c r="BQ191" s="4" t="s">
        <v>26</v>
      </c>
      <c r="BR191" s="5">
        <v>396</v>
      </c>
      <c r="BU191" s="4" t="s">
        <v>178</v>
      </c>
      <c r="BV191" s="4">
        <v>2013</v>
      </c>
      <c r="BW191" s="4" t="s">
        <v>26</v>
      </c>
      <c r="BX191" s="5">
        <v>887</v>
      </c>
      <c r="CA191" s="4" t="s">
        <v>75</v>
      </c>
      <c r="CB191" s="4">
        <v>2013</v>
      </c>
      <c r="CC191" s="4" t="s">
        <v>26</v>
      </c>
      <c r="CD191" s="5">
        <v>225</v>
      </c>
      <c r="CG191" s="4" t="s">
        <v>76</v>
      </c>
      <c r="CH191" s="4">
        <v>2013</v>
      </c>
      <c r="CI191" s="4" t="s">
        <v>26</v>
      </c>
      <c r="CJ191" s="5">
        <v>1245</v>
      </c>
      <c r="CM191" s="4" t="s">
        <v>183</v>
      </c>
      <c r="CN191" s="4">
        <v>2013</v>
      </c>
      <c r="CO191" s="4" t="s">
        <v>26</v>
      </c>
      <c r="CP191" s="5">
        <v>396</v>
      </c>
      <c r="CS191" s="4" t="s">
        <v>208</v>
      </c>
      <c r="CT191" s="4">
        <v>2013</v>
      </c>
      <c r="CU191" s="4" t="s">
        <v>27</v>
      </c>
      <c r="CV191" s="5">
        <v>961</v>
      </c>
    </row>
    <row r="192" spans="1:100" x14ac:dyDescent="0.25">
      <c r="A192" s="4" t="s">
        <v>180</v>
      </c>
      <c r="B192" s="4">
        <v>2013</v>
      </c>
      <c r="C192" s="4" t="s">
        <v>27</v>
      </c>
      <c r="D192" s="5">
        <v>59</v>
      </c>
      <c r="G192" s="4" t="s">
        <v>71</v>
      </c>
      <c r="H192" s="4">
        <v>2013</v>
      </c>
      <c r="I192" s="4" t="s">
        <v>27</v>
      </c>
      <c r="J192" s="5">
        <v>758</v>
      </c>
      <c r="M192" s="4" t="s">
        <v>164</v>
      </c>
      <c r="N192" s="4">
        <v>2013</v>
      </c>
      <c r="O192" s="4" t="s">
        <v>27</v>
      </c>
      <c r="P192" s="5">
        <v>542</v>
      </c>
      <c r="S192" s="4" t="s">
        <v>166</v>
      </c>
      <c r="T192" s="4">
        <v>2013</v>
      </c>
      <c r="U192" s="4" t="s">
        <v>27</v>
      </c>
      <c r="V192" s="5">
        <v>427</v>
      </c>
      <c r="Y192" s="4" t="s">
        <v>168</v>
      </c>
      <c r="Z192" s="4">
        <v>2013</v>
      </c>
      <c r="AA192" s="4" t="s">
        <v>27</v>
      </c>
      <c r="AB192" s="5">
        <v>180</v>
      </c>
      <c r="AE192" s="4" t="s">
        <v>170</v>
      </c>
      <c r="AF192" s="4">
        <v>2013</v>
      </c>
      <c r="AG192" s="4" t="s">
        <v>27</v>
      </c>
      <c r="AH192" s="5">
        <v>1274</v>
      </c>
      <c r="AK192" s="4" t="s">
        <v>72</v>
      </c>
      <c r="AL192" s="4">
        <v>2013</v>
      </c>
      <c r="AM192" s="4" t="s">
        <v>27</v>
      </c>
      <c r="AN192" s="5">
        <v>417</v>
      </c>
      <c r="AO192" s="14"/>
      <c r="AQ192" s="4" t="s">
        <v>73</v>
      </c>
      <c r="AR192" s="4">
        <v>2013</v>
      </c>
      <c r="AS192" s="4" t="s">
        <v>27</v>
      </c>
      <c r="AT192" s="5">
        <v>192</v>
      </c>
      <c r="AW192" s="4" t="s">
        <v>172</v>
      </c>
      <c r="AX192" s="4">
        <v>2013</v>
      </c>
      <c r="AY192" s="4" t="s">
        <v>27</v>
      </c>
      <c r="AZ192" s="5">
        <v>212</v>
      </c>
      <c r="BC192" s="4" t="s">
        <v>174</v>
      </c>
      <c r="BD192" s="4">
        <v>2013</v>
      </c>
      <c r="BE192" s="4" t="s">
        <v>27</v>
      </c>
      <c r="BF192" s="5">
        <v>135</v>
      </c>
      <c r="BI192" s="4" t="s">
        <v>74</v>
      </c>
      <c r="BJ192" s="4">
        <v>2013</v>
      </c>
      <c r="BK192" s="4" t="s">
        <v>27</v>
      </c>
      <c r="BL192" s="5">
        <v>1224</v>
      </c>
      <c r="BO192" s="4" t="s">
        <v>176</v>
      </c>
      <c r="BP192" s="4">
        <v>2013</v>
      </c>
      <c r="BQ192" s="4" t="s">
        <v>27</v>
      </c>
      <c r="BR192" s="5">
        <v>321</v>
      </c>
      <c r="BU192" s="4" t="s">
        <v>178</v>
      </c>
      <c r="BV192" s="4">
        <v>2013</v>
      </c>
      <c r="BW192" s="4" t="s">
        <v>27</v>
      </c>
      <c r="BX192" s="5">
        <v>890</v>
      </c>
      <c r="CA192" s="4" t="s">
        <v>75</v>
      </c>
      <c r="CB192" s="4">
        <v>2013</v>
      </c>
      <c r="CC192" s="4" t="s">
        <v>27</v>
      </c>
      <c r="CD192" s="5">
        <v>213</v>
      </c>
      <c r="CG192" s="4" t="s">
        <v>76</v>
      </c>
      <c r="CH192" s="4">
        <v>2013</v>
      </c>
      <c r="CI192" s="4" t="s">
        <v>27</v>
      </c>
      <c r="CJ192" s="5">
        <v>1113</v>
      </c>
      <c r="CM192" s="4" t="s">
        <v>183</v>
      </c>
      <c r="CN192" s="4">
        <v>2013</v>
      </c>
      <c r="CO192" s="4" t="s">
        <v>27</v>
      </c>
      <c r="CP192" s="5">
        <v>434</v>
      </c>
      <c r="CS192" s="4" t="s">
        <v>208</v>
      </c>
      <c r="CT192" s="4">
        <v>2013</v>
      </c>
      <c r="CU192" s="4" t="s">
        <v>28</v>
      </c>
      <c r="CV192" s="5">
        <v>827</v>
      </c>
    </row>
    <row r="193" spans="1:100" x14ac:dyDescent="0.25">
      <c r="A193" s="4" t="s">
        <v>180</v>
      </c>
      <c r="B193" s="4">
        <v>2013</v>
      </c>
      <c r="C193" s="4" t="s">
        <v>28</v>
      </c>
      <c r="D193" s="5">
        <v>52</v>
      </c>
      <c r="G193" s="4" t="s">
        <v>71</v>
      </c>
      <c r="H193" s="4">
        <v>2013</v>
      </c>
      <c r="I193" s="4" t="s">
        <v>28</v>
      </c>
      <c r="J193" s="5">
        <v>697</v>
      </c>
      <c r="M193" s="4" t="s">
        <v>164</v>
      </c>
      <c r="N193" s="4">
        <v>2013</v>
      </c>
      <c r="O193" s="4" t="s">
        <v>28</v>
      </c>
      <c r="P193" s="5">
        <v>630</v>
      </c>
      <c r="S193" s="4" t="s">
        <v>166</v>
      </c>
      <c r="T193" s="4">
        <v>2013</v>
      </c>
      <c r="U193" s="4" t="s">
        <v>28</v>
      </c>
      <c r="V193" s="5">
        <v>463</v>
      </c>
      <c r="Y193" s="4" t="s">
        <v>168</v>
      </c>
      <c r="Z193" s="4">
        <v>2013</v>
      </c>
      <c r="AA193" s="4" t="s">
        <v>28</v>
      </c>
      <c r="AB193" s="5">
        <v>219</v>
      </c>
      <c r="AE193" s="4" t="s">
        <v>170</v>
      </c>
      <c r="AF193" s="4">
        <v>2013</v>
      </c>
      <c r="AG193" s="4" t="s">
        <v>28</v>
      </c>
      <c r="AH193" s="5">
        <v>1243</v>
      </c>
      <c r="AK193" s="4" t="s">
        <v>72</v>
      </c>
      <c r="AL193" s="4">
        <v>2013</v>
      </c>
      <c r="AM193" s="4" t="s">
        <v>28</v>
      </c>
      <c r="AN193" s="5">
        <v>369</v>
      </c>
      <c r="AO193" s="14"/>
      <c r="AQ193" s="4" t="s">
        <v>73</v>
      </c>
      <c r="AR193" s="4">
        <v>2013</v>
      </c>
      <c r="AS193" s="4" t="s">
        <v>28</v>
      </c>
      <c r="AT193" s="5">
        <v>189</v>
      </c>
      <c r="AW193" s="4" t="s">
        <v>172</v>
      </c>
      <c r="AX193" s="4">
        <v>2013</v>
      </c>
      <c r="AY193" s="4" t="s">
        <v>28</v>
      </c>
      <c r="AZ193" s="5">
        <v>221</v>
      </c>
      <c r="BC193" s="4" t="s">
        <v>174</v>
      </c>
      <c r="BD193" s="4">
        <v>2013</v>
      </c>
      <c r="BE193" s="4" t="s">
        <v>28</v>
      </c>
      <c r="BF193" s="5">
        <v>144</v>
      </c>
      <c r="BI193" s="4" t="s">
        <v>74</v>
      </c>
      <c r="BJ193" s="4">
        <v>2013</v>
      </c>
      <c r="BK193" s="4" t="s">
        <v>28</v>
      </c>
      <c r="BL193" s="5">
        <v>1167</v>
      </c>
      <c r="BO193" s="4" t="s">
        <v>176</v>
      </c>
      <c r="BP193" s="4">
        <v>2013</v>
      </c>
      <c r="BQ193" s="4" t="s">
        <v>28</v>
      </c>
      <c r="BR193" s="5">
        <v>297</v>
      </c>
      <c r="BU193" s="4" t="s">
        <v>178</v>
      </c>
      <c r="BV193" s="4">
        <v>2013</v>
      </c>
      <c r="BW193" s="4" t="s">
        <v>28</v>
      </c>
      <c r="BX193" s="5">
        <v>877</v>
      </c>
      <c r="CA193" s="4" t="s">
        <v>75</v>
      </c>
      <c r="CB193" s="4">
        <v>2013</v>
      </c>
      <c r="CC193" s="4" t="s">
        <v>28</v>
      </c>
      <c r="CD193" s="5">
        <v>240</v>
      </c>
      <c r="CG193" s="4" t="s">
        <v>76</v>
      </c>
      <c r="CH193" s="4">
        <v>2013</v>
      </c>
      <c r="CI193" s="4" t="s">
        <v>28</v>
      </c>
      <c r="CJ193" s="5">
        <v>996</v>
      </c>
      <c r="CM193" s="4" t="s">
        <v>183</v>
      </c>
      <c r="CN193" s="4">
        <v>2013</v>
      </c>
      <c r="CO193" s="4" t="s">
        <v>28</v>
      </c>
      <c r="CP193" s="5">
        <v>413</v>
      </c>
      <c r="CS193" s="4" t="s">
        <v>208</v>
      </c>
      <c r="CT193" s="4">
        <v>2013</v>
      </c>
      <c r="CU193" s="4" t="s">
        <v>29</v>
      </c>
      <c r="CV193" s="5">
        <v>920</v>
      </c>
    </row>
    <row r="194" spans="1:100" x14ac:dyDescent="0.25">
      <c r="A194" s="4" t="s">
        <v>180</v>
      </c>
      <c r="B194" s="4">
        <v>2013</v>
      </c>
      <c r="C194" s="4" t="s">
        <v>29</v>
      </c>
      <c r="D194" s="5">
        <v>67</v>
      </c>
      <c r="G194" s="4" t="s">
        <v>71</v>
      </c>
      <c r="H194" s="4">
        <v>2013</v>
      </c>
      <c r="I194" s="4" t="s">
        <v>29</v>
      </c>
      <c r="J194" s="5">
        <v>733</v>
      </c>
      <c r="M194" s="4" t="s">
        <v>164</v>
      </c>
      <c r="N194" s="4">
        <v>2013</v>
      </c>
      <c r="O194" s="4" t="s">
        <v>29</v>
      </c>
      <c r="P194" s="5">
        <v>609</v>
      </c>
      <c r="S194" s="4" t="s">
        <v>166</v>
      </c>
      <c r="T194" s="4">
        <v>2013</v>
      </c>
      <c r="U194" s="4" t="s">
        <v>29</v>
      </c>
      <c r="V194" s="5">
        <v>348</v>
      </c>
      <c r="Y194" s="4" t="s">
        <v>168</v>
      </c>
      <c r="Z194" s="4">
        <v>2013</v>
      </c>
      <c r="AA194" s="4" t="s">
        <v>29</v>
      </c>
      <c r="AB194" s="5">
        <v>150</v>
      </c>
      <c r="AE194" s="4" t="s">
        <v>170</v>
      </c>
      <c r="AF194" s="4">
        <v>2013</v>
      </c>
      <c r="AG194" s="4" t="s">
        <v>29</v>
      </c>
      <c r="AH194" s="5">
        <v>1205</v>
      </c>
      <c r="AK194" s="4" t="s">
        <v>72</v>
      </c>
      <c r="AL194" s="4">
        <v>2013</v>
      </c>
      <c r="AM194" s="4" t="s">
        <v>29</v>
      </c>
      <c r="AN194" s="5">
        <v>390</v>
      </c>
      <c r="AO194" s="14"/>
      <c r="AQ194" s="4" t="s">
        <v>73</v>
      </c>
      <c r="AR194" s="4">
        <v>2013</v>
      </c>
      <c r="AS194" s="4" t="s">
        <v>29</v>
      </c>
      <c r="AT194" s="5">
        <v>217</v>
      </c>
      <c r="AW194" s="4" t="s">
        <v>172</v>
      </c>
      <c r="AX194" s="4">
        <v>2013</v>
      </c>
      <c r="AY194" s="4" t="s">
        <v>29</v>
      </c>
      <c r="AZ194" s="5">
        <v>298</v>
      </c>
      <c r="BC194" s="4" t="s">
        <v>174</v>
      </c>
      <c r="BD194" s="4">
        <v>2013</v>
      </c>
      <c r="BE194" s="4" t="s">
        <v>29</v>
      </c>
      <c r="BF194" s="5">
        <v>144</v>
      </c>
      <c r="BI194" s="4" t="s">
        <v>74</v>
      </c>
      <c r="BJ194" s="4">
        <v>2013</v>
      </c>
      <c r="BK194" s="4" t="s">
        <v>29</v>
      </c>
      <c r="BL194" s="5">
        <v>1208</v>
      </c>
      <c r="BO194" s="4" t="s">
        <v>176</v>
      </c>
      <c r="BP194" s="4">
        <v>2013</v>
      </c>
      <c r="BQ194" s="4" t="s">
        <v>29</v>
      </c>
      <c r="BR194" s="5">
        <v>244</v>
      </c>
      <c r="BU194" s="4" t="s">
        <v>178</v>
      </c>
      <c r="BV194" s="4">
        <v>2013</v>
      </c>
      <c r="BW194" s="4" t="s">
        <v>29</v>
      </c>
      <c r="BX194" s="5">
        <v>702</v>
      </c>
      <c r="CA194" s="4" t="s">
        <v>75</v>
      </c>
      <c r="CB194" s="4">
        <v>2013</v>
      </c>
      <c r="CC194" s="4" t="s">
        <v>29</v>
      </c>
      <c r="CD194" s="5">
        <v>208</v>
      </c>
      <c r="CG194" s="4" t="s">
        <v>76</v>
      </c>
      <c r="CH194" s="4">
        <v>2013</v>
      </c>
      <c r="CI194" s="4" t="s">
        <v>29</v>
      </c>
      <c r="CJ194" s="5">
        <v>977</v>
      </c>
      <c r="CM194" s="4" t="s">
        <v>183</v>
      </c>
      <c r="CN194" s="4">
        <v>2013</v>
      </c>
      <c r="CO194" s="4" t="s">
        <v>29</v>
      </c>
      <c r="CP194" s="5">
        <v>511</v>
      </c>
    </row>
  </sheetData>
  <mergeCells count="220">
    <mergeCell ref="CT7:CX7"/>
    <mergeCell ref="CT8:CX8"/>
    <mergeCell ref="CT9:CX9"/>
    <mergeCell ref="CT10:CX10"/>
    <mergeCell ref="CT11:CX11"/>
    <mergeCell ref="CT12:CX12"/>
    <mergeCell ref="CN10:CR10"/>
    <mergeCell ref="CN11:CR11"/>
    <mergeCell ref="CN12:CR12"/>
    <mergeCell ref="CN13:CR13"/>
    <mergeCell ref="CS1:CX1"/>
    <mergeCell ref="CS2:CX2"/>
    <mergeCell ref="CS3:CX3"/>
    <mergeCell ref="CT4:CX4"/>
    <mergeCell ref="CS5:CX5"/>
    <mergeCell ref="CT6:CX6"/>
    <mergeCell ref="B13:F13"/>
    <mergeCell ref="CM1:CR1"/>
    <mergeCell ref="CM2:CR2"/>
    <mergeCell ref="CM3:CR3"/>
    <mergeCell ref="CN4:CR4"/>
    <mergeCell ref="CM5:CR5"/>
    <mergeCell ref="CN6:CR6"/>
    <mergeCell ref="CN7:CR7"/>
    <mergeCell ref="CN8:CR8"/>
    <mergeCell ref="CN9:CR9"/>
    <mergeCell ref="B7:F7"/>
    <mergeCell ref="B8:F8"/>
    <mergeCell ref="B9:F9"/>
    <mergeCell ref="B10:F10"/>
    <mergeCell ref="B11:F11"/>
    <mergeCell ref="B12:F12"/>
    <mergeCell ref="BV10:BZ10"/>
    <mergeCell ref="BV12:BZ12"/>
    <mergeCell ref="BV13:BZ13"/>
    <mergeCell ref="A1:F1"/>
    <mergeCell ref="A2:F2"/>
    <mergeCell ref="A3:F3"/>
    <mergeCell ref="B4:F4"/>
    <mergeCell ref="A5:F5"/>
    <mergeCell ref="B6:F6"/>
    <mergeCell ref="BP13:BT13"/>
    <mergeCell ref="BU1:BZ1"/>
    <mergeCell ref="BU2:BZ2"/>
    <mergeCell ref="BU3:BZ3"/>
    <mergeCell ref="BV4:BZ4"/>
    <mergeCell ref="BU5:BZ5"/>
    <mergeCell ref="BV6:BZ6"/>
    <mergeCell ref="BV7:BZ7"/>
    <mergeCell ref="BV8:BZ8"/>
    <mergeCell ref="BV9:BZ9"/>
    <mergeCell ref="BP7:BT7"/>
    <mergeCell ref="BP8:BT8"/>
    <mergeCell ref="BP9:BT9"/>
    <mergeCell ref="BP10:BT10"/>
    <mergeCell ref="BP11:BT11"/>
    <mergeCell ref="AX10:BB10"/>
    <mergeCell ref="AX11:BB11"/>
    <mergeCell ref="AX12:BB12"/>
    <mergeCell ref="BP12:BT12"/>
    <mergeCell ref="BD10:BH10"/>
    <mergeCell ref="BD11:BH11"/>
    <mergeCell ref="BD12:BH12"/>
    <mergeCell ref="BD13:BH13"/>
    <mergeCell ref="BO1:BT1"/>
    <mergeCell ref="BO2:BT2"/>
    <mergeCell ref="BO3:BT3"/>
    <mergeCell ref="BP4:BT4"/>
    <mergeCell ref="BO5:BT5"/>
    <mergeCell ref="BP6:BT6"/>
    <mergeCell ref="BJ13:BN13"/>
    <mergeCell ref="BJ6:BN6"/>
    <mergeCell ref="BI5:BN5"/>
    <mergeCell ref="BJ4:BN4"/>
    <mergeCell ref="BI3:BN3"/>
    <mergeCell ref="BI2:BN2"/>
    <mergeCell ref="BI1:BN1"/>
    <mergeCell ref="BJ8:BN8"/>
    <mergeCell ref="CH13:CL13"/>
    <mergeCell ref="AW1:BB1"/>
    <mergeCell ref="AW2:BB2"/>
    <mergeCell ref="AW3:BB3"/>
    <mergeCell ref="AX4:BB4"/>
    <mergeCell ref="AW5:BB5"/>
    <mergeCell ref="AX6:BB6"/>
    <mergeCell ref="BJ12:BN12"/>
    <mergeCell ref="AF12:AJ12"/>
    <mergeCell ref="CB12:CF12"/>
    <mergeCell ref="CH12:CL12"/>
    <mergeCell ref="CH11:CL11"/>
    <mergeCell ref="BJ10:BN10"/>
    <mergeCell ref="AF10:AJ10"/>
    <mergeCell ref="CB10:CF10"/>
    <mergeCell ref="CH10:CL10"/>
    <mergeCell ref="BJ9:BN9"/>
    <mergeCell ref="AF9:AJ9"/>
    <mergeCell ref="CB9:CF9"/>
    <mergeCell ref="CH9:CL9"/>
    <mergeCell ref="CH8:CL8"/>
    <mergeCell ref="BJ7:BN7"/>
    <mergeCell ref="AX13:BB13"/>
    <mergeCell ref="BC1:BH1"/>
    <mergeCell ref="H13:L13"/>
    <mergeCell ref="N13:R13"/>
    <mergeCell ref="T13:X13"/>
    <mergeCell ref="AL13:AP13"/>
    <mergeCell ref="AR13:AV13"/>
    <mergeCell ref="Z13:AD13"/>
    <mergeCell ref="BJ11:BN11"/>
    <mergeCell ref="AF11:AJ11"/>
    <mergeCell ref="CB11:CF11"/>
    <mergeCell ref="H12:L12"/>
    <mergeCell ref="N12:R12"/>
    <mergeCell ref="T12:X12"/>
    <mergeCell ref="AL12:AP12"/>
    <mergeCell ref="AR12:AV12"/>
    <mergeCell ref="Z12:AD12"/>
    <mergeCell ref="H11:L11"/>
    <mergeCell ref="N11:R11"/>
    <mergeCell ref="T11:X11"/>
    <mergeCell ref="AL11:AP11"/>
    <mergeCell ref="AR11:AV11"/>
    <mergeCell ref="Z11:AD11"/>
    <mergeCell ref="AF13:AJ13"/>
    <mergeCell ref="CB13:CF13"/>
    <mergeCell ref="BV11:BZ11"/>
    <mergeCell ref="CB8:CF8"/>
    <mergeCell ref="H9:L9"/>
    <mergeCell ref="N9:R9"/>
    <mergeCell ref="T9:X9"/>
    <mergeCell ref="AL9:AP9"/>
    <mergeCell ref="AR9:AV9"/>
    <mergeCell ref="Z9:AD9"/>
    <mergeCell ref="BD8:BH8"/>
    <mergeCell ref="BD9:BH9"/>
    <mergeCell ref="AX8:BB8"/>
    <mergeCell ref="AX9:BB9"/>
    <mergeCell ref="H8:L8"/>
    <mergeCell ref="N8:R8"/>
    <mergeCell ref="T8:X8"/>
    <mergeCell ref="AL8:AP8"/>
    <mergeCell ref="AR8:AV8"/>
    <mergeCell ref="Z8:AD8"/>
    <mergeCell ref="H10:L10"/>
    <mergeCell ref="N10:R10"/>
    <mergeCell ref="T10:X10"/>
    <mergeCell ref="AL10:AP10"/>
    <mergeCell ref="AR10:AV10"/>
    <mergeCell ref="Z10:AD10"/>
    <mergeCell ref="H7:L7"/>
    <mergeCell ref="N7:R7"/>
    <mergeCell ref="T7:X7"/>
    <mergeCell ref="AL7:AP7"/>
    <mergeCell ref="AR7:AV7"/>
    <mergeCell ref="Z7:AD7"/>
    <mergeCell ref="AF7:AJ7"/>
    <mergeCell ref="AF8:AJ8"/>
    <mergeCell ref="CB7:CF7"/>
    <mergeCell ref="CH7:CL7"/>
    <mergeCell ref="BD7:BH7"/>
    <mergeCell ref="AX7:BB7"/>
    <mergeCell ref="H6:L6"/>
    <mergeCell ref="N6:R6"/>
    <mergeCell ref="T6:X6"/>
    <mergeCell ref="AL6:AP6"/>
    <mergeCell ref="AR6:AV6"/>
    <mergeCell ref="Z6:AD6"/>
    <mergeCell ref="AF6:AJ6"/>
    <mergeCell ref="CB6:CF6"/>
    <mergeCell ref="CH6:CL6"/>
    <mergeCell ref="BD6:BH6"/>
    <mergeCell ref="G5:L5"/>
    <mergeCell ref="M5:R5"/>
    <mergeCell ref="S5:X5"/>
    <mergeCell ref="AK5:AP5"/>
    <mergeCell ref="AQ5:AV5"/>
    <mergeCell ref="Y5:AD5"/>
    <mergeCell ref="AE5:AJ5"/>
    <mergeCell ref="CA5:CF5"/>
    <mergeCell ref="CG5:CL5"/>
    <mergeCell ref="BC5:BH5"/>
    <mergeCell ref="H4:L4"/>
    <mergeCell ref="N4:R4"/>
    <mergeCell ref="T4:X4"/>
    <mergeCell ref="AL4:AP4"/>
    <mergeCell ref="AR4:AV4"/>
    <mergeCell ref="Z4:AD4"/>
    <mergeCell ref="AF4:AJ4"/>
    <mergeCell ref="CB4:CF4"/>
    <mergeCell ref="CH4:CL4"/>
    <mergeCell ref="BD4:BH4"/>
    <mergeCell ref="G3:L3"/>
    <mergeCell ref="M3:R3"/>
    <mergeCell ref="S3:X3"/>
    <mergeCell ref="AK3:AP3"/>
    <mergeCell ref="AQ3:AV3"/>
    <mergeCell ref="Y3:AD3"/>
    <mergeCell ref="AE3:AJ3"/>
    <mergeCell ref="CA3:CF3"/>
    <mergeCell ref="CG3:CL3"/>
    <mergeCell ref="BC3:BH3"/>
    <mergeCell ref="AE1:AJ1"/>
    <mergeCell ref="CA1:CF1"/>
    <mergeCell ref="CG1:CL1"/>
    <mergeCell ref="G2:L2"/>
    <mergeCell ref="M2:R2"/>
    <mergeCell ref="S2:X2"/>
    <mergeCell ref="AK2:AP2"/>
    <mergeCell ref="AQ2:AV2"/>
    <mergeCell ref="Y2:AD2"/>
    <mergeCell ref="G1:L1"/>
    <mergeCell ref="M1:R1"/>
    <mergeCell ref="S1:X1"/>
    <mergeCell ref="AK1:AP1"/>
    <mergeCell ref="AQ1:AV1"/>
    <mergeCell ref="Y1:AD1"/>
    <mergeCell ref="AE2:AJ2"/>
    <mergeCell ref="CA2:CF2"/>
    <mergeCell ref="CG2:CL2"/>
    <mergeCell ref="BC2:B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2" width="11.28515625" customWidth="1"/>
    <col min="3" max="19" width="18.28515625" customWidth="1"/>
    <col min="20" max="20" width="8.28515625" style="16" customWidth="1"/>
  </cols>
  <sheetData>
    <row r="1" spans="1:37" s="17" customFormat="1" ht="14.45" customHeight="1" x14ac:dyDescent="0.35">
      <c r="A1" s="32" t="s">
        <v>235</v>
      </c>
      <c r="B1" s="32"/>
      <c r="C1" s="11" t="s">
        <v>182</v>
      </c>
      <c r="D1" s="11" t="s">
        <v>6</v>
      </c>
      <c r="E1" s="11" t="s">
        <v>32</v>
      </c>
      <c r="F1" s="11" t="s">
        <v>34</v>
      </c>
      <c r="G1" s="11" t="s">
        <v>36</v>
      </c>
      <c r="H1" s="11" t="s">
        <v>48</v>
      </c>
      <c r="I1" s="11" t="s">
        <v>95</v>
      </c>
      <c r="J1" s="11" t="s">
        <v>52</v>
      </c>
      <c r="K1" s="11" t="s">
        <v>54</v>
      </c>
      <c r="L1" s="11" t="s">
        <v>56</v>
      </c>
      <c r="M1" s="11" t="s">
        <v>58</v>
      </c>
      <c r="N1" s="11" t="s">
        <v>61</v>
      </c>
      <c r="O1" s="11" t="s">
        <v>63</v>
      </c>
      <c r="P1" s="11" t="s">
        <v>65</v>
      </c>
      <c r="Q1" s="11" t="s">
        <v>67</v>
      </c>
      <c r="R1" s="11" t="s">
        <v>69</v>
      </c>
      <c r="S1" s="11" t="s">
        <v>216</v>
      </c>
      <c r="T1" s="18"/>
      <c r="U1" s="11" t="s">
        <v>182</v>
      </c>
      <c r="V1" s="11" t="s">
        <v>6</v>
      </c>
      <c r="W1" s="11" t="s">
        <v>32</v>
      </c>
      <c r="X1" s="11" t="s">
        <v>34</v>
      </c>
      <c r="Y1" s="11" t="s">
        <v>36</v>
      </c>
      <c r="Z1" s="11" t="s">
        <v>48</v>
      </c>
      <c r="AA1" s="11" t="s">
        <v>95</v>
      </c>
      <c r="AB1" s="11" t="s">
        <v>52</v>
      </c>
      <c r="AC1" s="11" t="s">
        <v>54</v>
      </c>
      <c r="AD1" s="11" t="s">
        <v>56</v>
      </c>
      <c r="AE1" s="11" t="s">
        <v>58</v>
      </c>
      <c r="AF1" s="11" t="s">
        <v>61</v>
      </c>
      <c r="AG1" s="11" t="s">
        <v>63</v>
      </c>
      <c r="AH1" s="11" t="s">
        <v>65</v>
      </c>
      <c r="AI1" s="11" t="s">
        <v>67</v>
      </c>
      <c r="AJ1" s="11" t="s">
        <v>69</v>
      </c>
      <c r="AK1" s="17" t="s">
        <v>216</v>
      </c>
    </row>
    <row r="2" spans="1:37" ht="14.45" x14ac:dyDescent="0.3">
      <c r="A2" s="4">
        <v>2000</v>
      </c>
      <c r="B2" s="4" t="s">
        <v>20</v>
      </c>
      <c r="C2" s="5">
        <v>19</v>
      </c>
      <c r="D2" s="5">
        <v>745</v>
      </c>
      <c r="E2" s="5">
        <v>407</v>
      </c>
      <c r="F2" s="5">
        <v>327</v>
      </c>
      <c r="G2" s="5">
        <v>184</v>
      </c>
      <c r="H2" s="5">
        <v>816</v>
      </c>
      <c r="I2" s="5">
        <v>236</v>
      </c>
      <c r="J2" s="5">
        <v>125</v>
      </c>
      <c r="K2" s="5">
        <v>161</v>
      </c>
      <c r="L2" s="5">
        <v>67</v>
      </c>
      <c r="M2" s="5">
        <v>655</v>
      </c>
      <c r="N2" s="5">
        <v>81</v>
      </c>
      <c r="O2" s="5">
        <v>272</v>
      </c>
      <c r="P2" s="5">
        <v>152</v>
      </c>
      <c r="Q2" s="5">
        <v>631</v>
      </c>
      <c r="R2" s="5">
        <v>274</v>
      </c>
      <c r="S2" s="5">
        <v>430</v>
      </c>
      <c r="T2" s="19"/>
      <c r="U2">
        <f>IF($B2="M13","",C2)</f>
        <v>19</v>
      </c>
      <c r="V2">
        <f t="shared" ref="V2:AK17" si="0">IF($B2="M13","",D2)</f>
        <v>745</v>
      </c>
      <c r="W2">
        <f t="shared" si="0"/>
        <v>407</v>
      </c>
      <c r="X2">
        <f t="shared" si="0"/>
        <v>327</v>
      </c>
      <c r="Y2">
        <f t="shared" si="0"/>
        <v>184</v>
      </c>
      <c r="Z2">
        <f t="shared" si="0"/>
        <v>816</v>
      </c>
      <c r="AA2">
        <f t="shared" si="0"/>
        <v>236</v>
      </c>
      <c r="AB2">
        <f t="shared" si="0"/>
        <v>125</v>
      </c>
      <c r="AC2">
        <f t="shared" si="0"/>
        <v>161</v>
      </c>
      <c r="AD2">
        <f t="shared" si="0"/>
        <v>67</v>
      </c>
      <c r="AE2">
        <f t="shared" si="0"/>
        <v>655</v>
      </c>
      <c r="AF2">
        <f t="shared" si="0"/>
        <v>81</v>
      </c>
      <c r="AG2">
        <f t="shared" si="0"/>
        <v>272</v>
      </c>
      <c r="AH2">
        <f t="shared" si="0"/>
        <v>152</v>
      </c>
      <c r="AI2">
        <f t="shared" si="0"/>
        <v>631</v>
      </c>
      <c r="AJ2">
        <f t="shared" si="0"/>
        <v>274</v>
      </c>
      <c r="AK2">
        <f t="shared" si="0"/>
        <v>430</v>
      </c>
    </row>
    <row r="3" spans="1:37" ht="14.45" x14ac:dyDescent="0.3">
      <c r="A3" s="4">
        <v>2000</v>
      </c>
      <c r="B3" s="4" t="s">
        <v>21</v>
      </c>
      <c r="C3" s="5">
        <v>25</v>
      </c>
      <c r="D3" s="5">
        <v>812</v>
      </c>
      <c r="E3" s="5">
        <v>373</v>
      </c>
      <c r="F3" s="5">
        <v>321</v>
      </c>
      <c r="G3" s="5">
        <v>165</v>
      </c>
      <c r="H3" s="5">
        <v>858</v>
      </c>
      <c r="I3" s="5">
        <v>223</v>
      </c>
      <c r="J3" s="5">
        <v>112</v>
      </c>
      <c r="K3" s="5">
        <v>175</v>
      </c>
      <c r="L3" s="5">
        <v>65</v>
      </c>
      <c r="M3" s="5">
        <v>587</v>
      </c>
      <c r="N3" s="5">
        <v>58</v>
      </c>
      <c r="O3" s="5">
        <v>291</v>
      </c>
      <c r="P3" s="5">
        <v>136</v>
      </c>
      <c r="Q3" s="5">
        <v>643</v>
      </c>
      <c r="R3" s="5">
        <v>232</v>
      </c>
      <c r="S3" s="5">
        <v>409</v>
      </c>
      <c r="T3" s="19"/>
      <c r="U3">
        <f t="shared" ref="U3:U66" si="1">IF($B3="M13","",C3)</f>
        <v>25</v>
      </c>
      <c r="V3">
        <f t="shared" ref="V3:V66" si="2">IF($B3="M13","",D3)</f>
        <v>812</v>
      </c>
      <c r="W3">
        <f t="shared" ref="W3:W66" si="3">IF($B3="M13","",E3)</f>
        <v>373</v>
      </c>
      <c r="X3">
        <f t="shared" ref="X3:X66" si="4">IF($B3="M13","",F3)</f>
        <v>321</v>
      </c>
      <c r="Y3">
        <f t="shared" ref="Y3:Y66" si="5">IF($B3="M13","",G3)</f>
        <v>165</v>
      </c>
      <c r="Z3">
        <f t="shared" ref="Z3:Z66" si="6">IF($B3="M13","",H3)</f>
        <v>858</v>
      </c>
      <c r="AA3">
        <f t="shared" ref="AA3:AA66" si="7">IF($B3="M13","",I3)</f>
        <v>223</v>
      </c>
      <c r="AB3">
        <f t="shared" ref="AB3:AB66" si="8">IF($B3="M13","",J3)</f>
        <v>112</v>
      </c>
      <c r="AC3">
        <f t="shared" ref="AC3:AC66" si="9">IF($B3="M13","",K3)</f>
        <v>175</v>
      </c>
      <c r="AD3">
        <f t="shared" ref="AD3:AD66" si="10">IF($B3="M13","",L3)</f>
        <v>65</v>
      </c>
      <c r="AE3">
        <f t="shared" ref="AE3:AE66" si="11">IF($B3="M13","",M3)</f>
        <v>587</v>
      </c>
      <c r="AF3">
        <f t="shared" ref="AF3:AF66" si="12">IF($B3="M13","",N3)</f>
        <v>58</v>
      </c>
      <c r="AG3">
        <f t="shared" ref="AG3:AG66" si="13">IF($B3="M13","",O3)</f>
        <v>291</v>
      </c>
      <c r="AH3">
        <f t="shared" ref="AH3:AH66" si="14">IF($B3="M13","",P3)</f>
        <v>136</v>
      </c>
      <c r="AI3">
        <f t="shared" ref="AI3:AI66" si="15">IF($B3="M13","",Q3)</f>
        <v>643</v>
      </c>
      <c r="AJ3">
        <f t="shared" ref="AJ3:AK66" si="16">IF($B3="M13","",R3)</f>
        <v>232</v>
      </c>
      <c r="AK3">
        <f t="shared" si="0"/>
        <v>409</v>
      </c>
    </row>
    <row r="4" spans="1:37" ht="14.45" x14ac:dyDescent="0.3">
      <c r="A4" s="4">
        <v>2000</v>
      </c>
      <c r="B4" s="4" t="s">
        <v>22</v>
      </c>
      <c r="C4" s="5">
        <v>17</v>
      </c>
      <c r="D4" s="5">
        <v>669</v>
      </c>
      <c r="E4" s="5">
        <v>359</v>
      </c>
      <c r="F4" s="5">
        <v>380</v>
      </c>
      <c r="G4" s="5">
        <v>159</v>
      </c>
      <c r="H4" s="5">
        <v>823</v>
      </c>
      <c r="I4" s="5">
        <v>192</v>
      </c>
      <c r="J4" s="5">
        <v>140</v>
      </c>
      <c r="K4" s="5">
        <v>142</v>
      </c>
      <c r="L4" s="5">
        <v>84</v>
      </c>
      <c r="M4" s="5">
        <v>623</v>
      </c>
      <c r="N4" s="5">
        <v>70</v>
      </c>
      <c r="O4" s="5">
        <v>311</v>
      </c>
      <c r="P4" s="5">
        <v>109</v>
      </c>
      <c r="Q4" s="5">
        <v>681</v>
      </c>
      <c r="R4" s="5">
        <v>247</v>
      </c>
      <c r="S4" s="5">
        <v>311</v>
      </c>
      <c r="T4" s="19"/>
      <c r="U4">
        <f t="shared" si="1"/>
        <v>17</v>
      </c>
      <c r="V4">
        <f t="shared" si="2"/>
        <v>669</v>
      </c>
      <c r="W4">
        <f t="shared" si="3"/>
        <v>359</v>
      </c>
      <c r="X4">
        <f t="shared" si="4"/>
        <v>380</v>
      </c>
      <c r="Y4">
        <f t="shared" si="5"/>
        <v>159</v>
      </c>
      <c r="Z4">
        <f t="shared" si="6"/>
        <v>823</v>
      </c>
      <c r="AA4">
        <f t="shared" si="7"/>
        <v>192</v>
      </c>
      <c r="AB4">
        <f t="shared" si="8"/>
        <v>140</v>
      </c>
      <c r="AC4">
        <f t="shared" si="9"/>
        <v>142</v>
      </c>
      <c r="AD4">
        <f t="shared" si="10"/>
        <v>84</v>
      </c>
      <c r="AE4">
        <f t="shared" si="11"/>
        <v>623</v>
      </c>
      <c r="AF4">
        <f t="shared" si="12"/>
        <v>70</v>
      </c>
      <c r="AG4">
        <f t="shared" si="13"/>
        <v>311</v>
      </c>
      <c r="AH4">
        <f t="shared" si="14"/>
        <v>109</v>
      </c>
      <c r="AI4">
        <f t="shared" si="15"/>
        <v>681</v>
      </c>
      <c r="AJ4">
        <f t="shared" si="16"/>
        <v>247</v>
      </c>
      <c r="AK4">
        <f t="shared" si="0"/>
        <v>311</v>
      </c>
    </row>
    <row r="5" spans="1:37" ht="14.45" x14ac:dyDescent="0.3">
      <c r="A5" s="4">
        <v>2000</v>
      </c>
      <c r="B5" s="4" t="s">
        <v>23</v>
      </c>
      <c r="C5" s="5">
        <v>20</v>
      </c>
      <c r="D5" s="5">
        <v>447</v>
      </c>
      <c r="E5" s="5">
        <v>449</v>
      </c>
      <c r="F5" s="5">
        <v>287</v>
      </c>
      <c r="G5" s="5">
        <v>137</v>
      </c>
      <c r="H5" s="5">
        <v>656</v>
      </c>
      <c r="I5" s="5">
        <v>191</v>
      </c>
      <c r="J5" s="5">
        <v>95</v>
      </c>
      <c r="K5" s="5">
        <v>134</v>
      </c>
      <c r="L5" s="5">
        <v>63</v>
      </c>
      <c r="M5" s="5">
        <v>517</v>
      </c>
      <c r="N5" s="5">
        <v>60</v>
      </c>
      <c r="O5" s="5">
        <v>269</v>
      </c>
      <c r="P5" s="5">
        <v>86</v>
      </c>
      <c r="Q5" s="5">
        <v>572</v>
      </c>
      <c r="R5" s="5">
        <v>240</v>
      </c>
      <c r="S5" s="5">
        <v>269</v>
      </c>
      <c r="T5" s="19"/>
      <c r="U5">
        <f t="shared" si="1"/>
        <v>20</v>
      </c>
      <c r="V5">
        <f t="shared" si="2"/>
        <v>447</v>
      </c>
      <c r="W5">
        <f t="shared" si="3"/>
        <v>449</v>
      </c>
      <c r="X5">
        <f t="shared" si="4"/>
        <v>287</v>
      </c>
      <c r="Y5">
        <f t="shared" si="5"/>
        <v>137</v>
      </c>
      <c r="Z5">
        <f t="shared" si="6"/>
        <v>656</v>
      </c>
      <c r="AA5">
        <f t="shared" si="7"/>
        <v>191</v>
      </c>
      <c r="AB5">
        <f t="shared" si="8"/>
        <v>95</v>
      </c>
      <c r="AC5">
        <f t="shared" si="9"/>
        <v>134</v>
      </c>
      <c r="AD5">
        <f t="shared" si="10"/>
        <v>63</v>
      </c>
      <c r="AE5">
        <f t="shared" si="11"/>
        <v>517</v>
      </c>
      <c r="AF5">
        <f t="shared" si="12"/>
        <v>60</v>
      </c>
      <c r="AG5">
        <f t="shared" si="13"/>
        <v>269</v>
      </c>
      <c r="AH5">
        <f t="shared" si="14"/>
        <v>86</v>
      </c>
      <c r="AI5">
        <f t="shared" si="15"/>
        <v>572</v>
      </c>
      <c r="AJ5">
        <f t="shared" si="16"/>
        <v>240</v>
      </c>
      <c r="AK5">
        <f t="shared" si="0"/>
        <v>269</v>
      </c>
    </row>
    <row r="6" spans="1:37" ht="14.45" x14ac:dyDescent="0.3">
      <c r="A6" s="4">
        <v>2000</v>
      </c>
      <c r="B6" s="4" t="s">
        <v>24</v>
      </c>
      <c r="C6" s="5">
        <v>27</v>
      </c>
      <c r="D6" s="5">
        <v>397</v>
      </c>
      <c r="E6" s="5">
        <v>429</v>
      </c>
      <c r="F6" s="5">
        <v>256</v>
      </c>
      <c r="G6" s="5">
        <v>134</v>
      </c>
      <c r="H6" s="5">
        <v>687</v>
      </c>
      <c r="I6" s="5">
        <v>190</v>
      </c>
      <c r="J6" s="5">
        <v>131</v>
      </c>
      <c r="K6" s="5">
        <v>143</v>
      </c>
      <c r="L6" s="5">
        <v>53</v>
      </c>
      <c r="M6" s="5">
        <v>561</v>
      </c>
      <c r="N6" s="5">
        <v>63</v>
      </c>
      <c r="O6" s="5">
        <v>360</v>
      </c>
      <c r="P6" s="5">
        <v>98</v>
      </c>
      <c r="Q6" s="5">
        <v>577</v>
      </c>
      <c r="R6" s="5">
        <v>254</v>
      </c>
      <c r="S6" s="5">
        <v>370</v>
      </c>
      <c r="T6" s="19"/>
      <c r="U6">
        <f t="shared" si="1"/>
        <v>27</v>
      </c>
      <c r="V6">
        <f t="shared" si="2"/>
        <v>397</v>
      </c>
      <c r="W6">
        <f t="shared" si="3"/>
        <v>429</v>
      </c>
      <c r="X6">
        <f t="shared" si="4"/>
        <v>256</v>
      </c>
      <c r="Y6">
        <f t="shared" si="5"/>
        <v>134</v>
      </c>
      <c r="Z6">
        <f t="shared" si="6"/>
        <v>687</v>
      </c>
      <c r="AA6">
        <f t="shared" si="7"/>
        <v>190</v>
      </c>
      <c r="AB6">
        <f t="shared" si="8"/>
        <v>131</v>
      </c>
      <c r="AC6">
        <f t="shared" si="9"/>
        <v>143</v>
      </c>
      <c r="AD6">
        <f t="shared" si="10"/>
        <v>53</v>
      </c>
      <c r="AE6">
        <f t="shared" si="11"/>
        <v>561</v>
      </c>
      <c r="AF6">
        <f t="shared" si="12"/>
        <v>63</v>
      </c>
      <c r="AG6">
        <f t="shared" si="13"/>
        <v>360</v>
      </c>
      <c r="AH6">
        <f t="shared" si="14"/>
        <v>98</v>
      </c>
      <c r="AI6">
        <f t="shared" si="15"/>
        <v>577</v>
      </c>
      <c r="AJ6">
        <f t="shared" si="16"/>
        <v>254</v>
      </c>
      <c r="AK6">
        <f t="shared" si="0"/>
        <v>370</v>
      </c>
    </row>
    <row r="7" spans="1:37" ht="14.45" x14ac:dyDescent="0.3">
      <c r="A7" s="4">
        <v>2000</v>
      </c>
      <c r="B7" s="4" t="s">
        <v>25</v>
      </c>
      <c r="C7" s="5">
        <v>13</v>
      </c>
      <c r="D7" s="5">
        <v>389</v>
      </c>
      <c r="E7" s="5">
        <v>394</v>
      </c>
      <c r="F7" s="5">
        <v>227</v>
      </c>
      <c r="G7" s="5">
        <v>117</v>
      </c>
      <c r="H7" s="5">
        <v>720</v>
      </c>
      <c r="I7" s="5">
        <v>183</v>
      </c>
      <c r="J7" s="5">
        <v>102</v>
      </c>
      <c r="K7" s="5">
        <v>132</v>
      </c>
      <c r="L7" s="5">
        <v>85</v>
      </c>
      <c r="M7" s="5">
        <v>545</v>
      </c>
      <c r="N7" s="5">
        <v>126</v>
      </c>
      <c r="O7" s="5">
        <v>326</v>
      </c>
      <c r="P7" s="5">
        <v>125</v>
      </c>
      <c r="Q7" s="5">
        <v>708</v>
      </c>
      <c r="R7" s="5">
        <v>225</v>
      </c>
      <c r="S7" s="5">
        <v>603</v>
      </c>
      <c r="T7" s="19"/>
      <c r="U7">
        <f t="shared" si="1"/>
        <v>13</v>
      </c>
      <c r="V7">
        <f t="shared" si="2"/>
        <v>389</v>
      </c>
      <c r="W7">
        <f t="shared" si="3"/>
        <v>394</v>
      </c>
      <c r="X7">
        <f t="shared" si="4"/>
        <v>227</v>
      </c>
      <c r="Y7">
        <f t="shared" si="5"/>
        <v>117</v>
      </c>
      <c r="Z7">
        <f t="shared" si="6"/>
        <v>720</v>
      </c>
      <c r="AA7">
        <f t="shared" si="7"/>
        <v>183</v>
      </c>
      <c r="AB7">
        <f t="shared" si="8"/>
        <v>102</v>
      </c>
      <c r="AC7">
        <f t="shared" si="9"/>
        <v>132</v>
      </c>
      <c r="AD7">
        <f t="shared" si="10"/>
        <v>85</v>
      </c>
      <c r="AE7">
        <f t="shared" si="11"/>
        <v>545</v>
      </c>
      <c r="AF7">
        <f t="shared" si="12"/>
        <v>126</v>
      </c>
      <c r="AG7">
        <f t="shared" si="13"/>
        <v>326</v>
      </c>
      <c r="AH7">
        <f t="shared" si="14"/>
        <v>125</v>
      </c>
      <c r="AI7">
        <f t="shared" si="15"/>
        <v>708</v>
      </c>
      <c r="AJ7">
        <f t="shared" si="16"/>
        <v>225</v>
      </c>
      <c r="AK7">
        <f t="shared" si="0"/>
        <v>603</v>
      </c>
    </row>
    <row r="8" spans="1:37" ht="14.45" x14ac:dyDescent="0.3">
      <c r="A8" s="4">
        <v>2000</v>
      </c>
      <c r="B8" s="4" t="s">
        <v>26</v>
      </c>
      <c r="C8" s="5">
        <v>16</v>
      </c>
      <c r="D8" s="5">
        <v>384</v>
      </c>
      <c r="E8" s="5">
        <v>433</v>
      </c>
      <c r="F8" s="5">
        <v>275</v>
      </c>
      <c r="G8" s="5">
        <v>100</v>
      </c>
      <c r="H8" s="5">
        <v>691</v>
      </c>
      <c r="I8" s="5">
        <v>228</v>
      </c>
      <c r="J8" s="5">
        <v>144</v>
      </c>
      <c r="K8" s="5">
        <v>117</v>
      </c>
      <c r="L8" s="5">
        <v>73</v>
      </c>
      <c r="M8" s="5">
        <v>636</v>
      </c>
      <c r="N8" s="5">
        <v>120</v>
      </c>
      <c r="O8" s="5">
        <v>358</v>
      </c>
      <c r="P8" s="5">
        <v>120</v>
      </c>
      <c r="Q8" s="5">
        <v>667</v>
      </c>
      <c r="R8" s="5">
        <v>202</v>
      </c>
      <c r="S8" s="5">
        <v>545</v>
      </c>
      <c r="T8" s="19"/>
      <c r="U8">
        <f t="shared" si="1"/>
        <v>16</v>
      </c>
      <c r="V8">
        <f t="shared" si="2"/>
        <v>384</v>
      </c>
      <c r="W8">
        <f t="shared" si="3"/>
        <v>433</v>
      </c>
      <c r="X8">
        <f t="shared" si="4"/>
        <v>275</v>
      </c>
      <c r="Y8">
        <f t="shared" si="5"/>
        <v>100</v>
      </c>
      <c r="Z8">
        <f t="shared" si="6"/>
        <v>691</v>
      </c>
      <c r="AA8">
        <f t="shared" si="7"/>
        <v>228</v>
      </c>
      <c r="AB8">
        <f t="shared" si="8"/>
        <v>144</v>
      </c>
      <c r="AC8">
        <f t="shared" si="9"/>
        <v>117</v>
      </c>
      <c r="AD8">
        <f t="shared" si="10"/>
        <v>73</v>
      </c>
      <c r="AE8">
        <f t="shared" si="11"/>
        <v>636</v>
      </c>
      <c r="AF8">
        <f t="shared" si="12"/>
        <v>120</v>
      </c>
      <c r="AG8">
        <f t="shared" si="13"/>
        <v>358</v>
      </c>
      <c r="AH8">
        <f t="shared" si="14"/>
        <v>120</v>
      </c>
      <c r="AI8">
        <f t="shared" si="15"/>
        <v>667</v>
      </c>
      <c r="AJ8">
        <f t="shared" si="16"/>
        <v>202</v>
      </c>
      <c r="AK8">
        <f t="shared" si="0"/>
        <v>545</v>
      </c>
    </row>
    <row r="9" spans="1:37" ht="14.45" x14ac:dyDescent="0.3">
      <c r="A9" s="4">
        <v>2000</v>
      </c>
      <c r="B9" s="4" t="s">
        <v>27</v>
      </c>
      <c r="C9" s="5">
        <v>23</v>
      </c>
      <c r="D9" s="5">
        <v>446</v>
      </c>
      <c r="E9" s="5">
        <v>375</v>
      </c>
      <c r="F9" s="5">
        <v>310</v>
      </c>
      <c r="G9" s="5">
        <v>140</v>
      </c>
      <c r="H9" s="5">
        <v>713</v>
      </c>
      <c r="I9" s="5">
        <v>198</v>
      </c>
      <c r="J9" s="5">
        <v>143</v>
      </c>
      <c r="K9" s="5">
        <v>140</v>
      </c>
      <c r="L9" s="5">
        <v>72</v>
      </c>
      <c r="M9" s="5">
        <v>584</v>
      </c>
      <c r="N9" s="5">
        <v>110</v>
      </c>
      <c r="O9" s="5">
        <v>340</v>
      </c>
      <c r="P9" s="5">
        <v>97</v>
      </c>
      <c r="Q9" s="5">
        <v>579</v>
      </c>
      <c r="R9" s="5">
        <v>187</v>
      </c>
      <c r="S9" s="5">
        <v>583</v>
      </c>
      <c r="T9" s="19"/>
      <c r="U9">
        <f t="shared" si="1"/>
        <v>23</v>
      </c>
      <c r="V9">
        <f t="shared" si="2"/>
        <v>446</v>
      </c>
      <c r="W9">
        <f t="shared" si="3"/>
        <v>375</v>
      </c>
      <c r="X9">
        <f t="shared" si="4"/>
        <v>310</v>
      </c>
      <c r="Y9">
        <f t="shared" si="5"/>
        <v>140</v>
      </c>
      <c r="Z9">
        <f t="shared" si="6"/>
        <v>713</v>
      </c>
      <c r="AA9">
        <f t="shared" si="7"/>
        <v>198</v>
      </c>
      <c r="AB9">
        <f t="shared" si="8"/>
        <v>143</v>
      </c>
      <c r="AC9">
        <f t="shared" si="9"/>
        <v>140</v>
      </c>
      <c r="AD9">
        <f t="shared" si="10"/>
        <v>72</v>
      </c>
      <c r="AE9">
        <f t="shared" si="11"/>
        <v>584</v>
      </c>
      <c r="AF9">
        <f t="shared" si="12"/>
        <v>110</v>
      </c>
      <c r="AG9">
        <f t="shared" si="13"/>
        <v>340</v>
      </c>
      <c r="AH9">
        <f t="shared" si="14"/>
        <v>97</v>
      </c>
      <c r="AI9">
        <f t="shared" si="15"/>
        <v>579</v>
      </c>
      <c r="AJ9">
        <f t="shared" si="16"/>
        <v>187</v>
      </c>
      <c r="AK9">
        <f t="shared" si="0"/>
        <v>583</v>
      </c>
    </row>
    <row r="10" spans="1:37" ht="14.45" x14ac:dyDescent="0.3">
      <c r="A10" s="4">
        <v>2000</v>
      </c>
      <c r="B10" s="4" t="s">
        <v>28</v>
      </c>
      <c r="C10" s="5">
        <v>25</v>
      </c>
      <c r="D10" s="5">
        <v>386</v>
      </c>
      <c r="E10" s="5">
        <v>390</v>
      </c>
      <c r="F10" s="5">
        <v>277</v>
      </c>
      <c r="G10" s="5">
        <v>132</v>
      </c>
      <c r="H10" s="5">
        <v>660</v>
      </c>
      <c r="I10" s="5">
        <v>231</v>
      </c>
      <c r="J10" s="5">
        <v>130</v>
      </c>
      <c r="K10" s="5">
        <v>136</v>
      </c>
      <c r="L10" s="5">
        <v>51</v>
      </c>
      <c r="M10" s="5">
        <v>559</v>
      </c>
      <c r="N10" s="5">
        <v>66</v>
      </c>
      <c r="O10" s="5">
        <v>331</v>
      </c>
      <c r="P10" s="5">
        <v>119</v>
      </c>
      <c r="Q10" s="5">
        <v>518</v>
      </c>
      <c r="R10" s="5">
        <v>220</v>
      </c>
      <c r="S10" s="5">
        <v>408</v>
      </c>
      <c r="T10" s="19"/>
      <c r="U10">
        <f t="shared" si="1"/>
        <v>25</v>
      </c>
      <c r="V10">
        <f t="shared" si="2"/>
        <v>386</v>
      </c>
      <c r="W10">
        <f t="shared" si="3"/>
        <v>390</v>
      </c>
      <c r="X10">
        <f t="shared" si="4"/>
        <v>277</v>
      </c>
      <c r="Y10">
        <f t="shared" si="5"/>
        <v>132</v>
      </c>
      <c r="Z10">
        <f t="shared" si="6"/>
        <v>660</v>
      </c>
      <c r="AA10">
        <f t="shared" si="7"/>
        <v>231</v>
      </c>
      <c r="AB10">
        <f t="shared" si="8"/>
        <v>130</v>
      </c>
      <c r="AC10">
        <f t="shared" si="9"/>
        <v>136</v>
      </c>
      <c r="AD10">
        <f t="shared" si="10"/>
        <v>51</v>
      </c>
      <c r="AE10">
        <f t="shared" si="11"/>
        <v>559</v>
      </c>
      <c r="AF10">
        <f t="shared" si="12"/>
        <v>66</v>
      </c>
      <c r="AG10">
        <f t="shared" si="13"/>
        <v>331</v>
      </c>
      <c r="AH10">
        <f t="shared" si="14"/>
        <v>119</v>
      </c>
      <c r="AI10">
        <f t="shared" si="15"/>
        <v>518</v>
      </c>
      <c r="AJ10">
        <f t="shared" si="16"/>
        <v>220</v>
      </c>
      <c r="AK10">
        <f t="shared" si="0"/>
        <v>408</v>
      </c>
    </row>
    <row r="11" spans="1:37" ht="14.45" x14ac:dyDescent="0.3">
      <c r="A11" s="4">
        <v>2000</v>
      </c>
      <c r="B11" s="4" t="s">
        <v>29</v>
      </c>
      <c r="C11" s="5">
        <v>39</v>
      </c>
      <c r="D11" s="5">
        <v>417</v>
      </c>
      <c r="E11" s="5">
        <v>409</v>
      </c>
      <c r="F11" s="5">
        <v>283</v>
      </c>
      <c r="G11" s="5">
        <v>96</v>
      </c>
      <c r="H11" s="5">
        <v>643</v>
      </c>
      <c r="I11" s="5">
        <v>153</v>
      </c>
      <c r="J11" s="5">
        <v>96</v>
      </c>
      <c r="K11" s="5">
        <v>159</v>
      </c>
      <c r="L11" s="5">
        <v>65</v>
      </c>
      <c r="M11" s="5">
        <v>504</v>
      </c>
      <c r="N11" s="5">
        <v>26</v>
      </c>
      <c r="O11" s="5">
        <v>313</v>
      </c>
      <c r="P11" s="5">
        <v>118</v>
      </c>
      <c r="Q11" s="5">
        <v>573</v>
      </c>
      <c r="R11" s="5">
        <v>161</v>
      </c>
      <c r="S11" s="5">
        <v>391</v>
      </c>
      <c r="T11" s="19"/>
      <c r="U11">
        <f t="shared" si="1"/>
        <v>39</v>
      </c>
      <c r="V11">
        <f t="shared" si="2"/>
        <v>417</v>
      </c>
      <c r="W11">
        <f t="shared" si="3"/>
        <v>409</v>
      </c>
      <c r="X11">
        <f t="shared" si="4"/>
        <v>283</v>
      </c>
      <c r="Y11">
        <f t="shared" si="5"/>
        <v>96</v>
      </c>
      <c r="Z11">
        <f t="shared" si="6"/>
        <v>643</v>
      </c>
      <c r="AA11">
        <f t="shared" si="7"/>
        <v>153</v>
      </c>
      <c r="AB11">
        <f t="shared" si="8"/>
        <v>96</v>
      </c>
      <c r="AC11">
        <f t="shared" si="9"/>
        <v>159</v>
      </c>
      <c r="AD11">
        <f t="shared" si="10"/>
        <v>65</v>
      </c>
      <c r="AE11">
        <f t="shared" si="11"/>
        <v>504</v>
      </c>
      <c r="AF11">
        <f t="shared" si="12"/>
        <v>26</v>
      </c>
      <c r="AG11">
        <f t="shared" si="13"/>
        <v>313</v>
      </c>
      <c r="AH11">
        <f t="shared" si="14"/>
        <v>118</v>
      </c>
      <c r="AI11">
        <f t="shared" si="15"/>
        <v>573</v>
      </c>
      <c r="AJ11">
        <f t="shared" si="16"/>
        <v>161</v>
      </c>
      <c r="AK11">
        <f t="shared" si="0"/>
        <v>391</v>
      </c>
    </row>
    <row r="12" spans="1:37" ht="14.45" x14ac:dyDescent="0.3">
      <c r="A12" s="4">
        <v>2000</v>
      </c>
      <c r="B12" s="4" t="s">
        <v>30</v>
      </c>
      <c r="C12" s="5">
        <v>11</v>
      </c>
      <c r="D12" s="5">
        <v>482</v>
      </c>
      <c r="E12" s="5">
        <v>408</v>
      </c>
      <c r="F12" s="5">
        <v>264</v>
      </c>
      <c r="G12" s="5">
        <v>135</v>
      </c>
      <c r="H12" s="5">
        <v>566</v>
      </c>
      <c r="I12" s="5">
        <v>129</v>
      </c>
      <c r="J12" s="5">
        <v>117</v>
      </c>
      <c r="K12" s="5">
        <v>110</v>
      </c>
      <c r="L12" s="5">
        <v>74</v>
      </c>
      <c r="M12" s="5">
        <v>547</v>
      </c>
      <c r="N12" s="5">
        <v>41</v>
      </c>
      <c r="O12" s="5">
        <v>311</v>
      </c>
      <c r="P12" s="5">
        <v>121</v>
      </c>
      <c r="Q12" s="5">
        <v>573</v>
      </c>
      <c r="R12" s="5">
        <v>217</v>
      </c>
      <c r="S12" s="5">
        <v>384</v>
      </c>
      <c r="T12" s="19"/>
      <c r="U12">
        <f t="shared" si="1"/>
        <v>11</v>
      </c>
      <c r="V12">
        <f t="shared" si="2"/>
        <v>482</v>
      </c>
      <c r="W12">
        <f t="shared" si="3"/>
        <v>408</v>
      </c>
      <c r="X12">
        <f t="shared" si="4"/>
        <v>264</v>
      </c>
      <c r="Y12">
        <f t="shared" si="5"/>
        <v>135</v>
      </c>
      <c r="Z12">
        <f t="shared" si="6"/>
        <v>566</v>
      </c>
      <c r="AA12">
        <f t="shared" si="7"/>
        <v>129</v>
      </c>
      <c r="AB12">
        <f t="shared" si="8"/>
        <v>117</v>
      </c>
      <c r="AC12">
        <f t="shared" si="9"/>
        <v>110</v>
      </c>
      <c r="AD12">
        <f t="shared" si="10"/>
        <v>74</v>
      </c>
      <c r="AE12">
        <f t="shared" si="11"/>
        <v>547</v>
      </c>
      <c r="AF12">
        <f t="shared" si="12"/>
        <v>41</v>
      </c>
      <c r="AG12">
        <f t="shared" si="13"/>
        <v>311</v>
      </c>
      <c r="AH12">
        <f t="shared" si="14"/>
        <v>121</v>
      </c>
      <c r="AI12">
        <f t="shared" si="15"/>
        <v>573</v>
      </c>
      <c r="AJ12">
        <f t="shared" si="16"/>
        <v>217</v>
      </c>
      <c r="AK12">
        <f t="shared" si="0"/>
        <v>384</v>
      </c>
    </row>
    <row r="13" spans="1:37" ht="14.45" x14ac:dyDescent="0.3">
      <c r="A13" s="4">
        <v>2000</v>
      </c>
      <c r="B13" s="4" t="s">
        <v>19</v>
      </c>
      <c r="C13" s="5">
        <v>20</v>
      </c>
      <c r="D13" s="5">
        <v>580</v>
      </c>
      <c r="E13" s="5">
        <v>378</v>
      </c>
      <c r="F13" s="5">
        <v>276</v>
      </c>
      <c r="G13" s="5">
        <v>142</v>
      </c>
      <c r="H13" s="5">
        <v>573</v>
      </c>
      <c r="I13" s="5">
        <v>168</v>
      </c>
      <c r="J13" s="5">
        <v>151</v>
      </c>
      <c r="K13" s="5">
        <v>118</v>
      </c>
      <c r="L13" s="5">
        <v>81</v>
      </c>
      <c r="M13" s="5">
        <v>564</v>
      </c>
      <c r="N13" s="5">
        <v>27</v>
      </c>
      <c r="O13" s="5">
        <v>266</v>
      </c>
      <c r="P13" s="5">
        <v>106</v>
      </c>
      <c r="Q13" s="5">
        <v>533</v>
      </c>
      <c r="R13" s="5">
        <v>167</v>
      </c>
      <c r="S13" s="5">
        <v>365</v>
      </c>
      <c r="T13" s="19"/>
      <c r="U13">
        <f t="shared" si="1"/>
        <v>20</v>
      </c>
      <c r="V13">
        <f t="shared" si="2"/>
        <v>580</v>
      </c>
      <c r="W13">
        <f t="shared" si="3"/>
        <v>378</v>
      </c>
      <c r="X13">
        <f t="shared" si="4"/>
        <v>276</v>
      </c>
      <c r="Y13">
        <f t="shared" si="5"/>
        <v>142</v>
      </c>
      <c r="Z13">
        <f t="shared" si="6"/>
        <v>573</v>
      </c>
      <c r="AA13">
        <f t="shared" si="7"/>
        <v>168</v>
      </c>
      <c r="AB13">
        <f t="shared" si="8"/>
        <v>151</v>
      </c>
      <c r="AC13">
        <f t="shared" si="9"/>
        <v>118</v>
      </c>
      <c r="AD13">
        <f t="shared" si="10"/>
        <v>81</v>
      </c>
      <c r="AE13">
        <f t="shared" si="11"/>
        <v>564</v>
      </c>
      <c r="AF13">
        <f t="shared" si="12"/>
        <v>27</v>
      </c>
      <c r="AG13">
        <f t="shared" si="13"/>
        <v>266</v>
      </c>
      <c r="AH13">
        <f t="shared" si="14"/>
        <v>106</v>
      </c>
      <c r="AI13">
        <f t="shared" si="15"/>
        <v>533</v>
      </c>
      <c r="AJ13">
        <f t="shared" si="16"/>
        <v>167</v>
      </c>
      <c r="AK13">
        <f t="shared" si="0"/>
        <v>365</v>
      </c>
    </row>
    <row r="14" spans="1:37" ht="14.45" x14ac:dyDescent="0.3">
      <c r="A14" s="4">
        <v>2000</v>
      </c>
      <c r="B14" s="4" t="s">
        <v>96</v>
      </c>
      <c r="C14" s="5">
        <v>21</v>
      </c>
      <c r="D14" s="5">
        <v>513</v>
      </c>
      <c r="E14" s="5">
        <v>400</v>
      </c>
      <c r="F14" s="5">
        <v>290</v>
      </c>
      <c r="G14" s="5">
        <v>137</v>
      </c>
      <c r="H14" s="5">
        <v>701</v>
      </c>
      <c r="I14" s="5">
        <v>193</v>
      </c>
      <c r="J14" s="5">
        <v>124</v>
      </c>
      <c r="K14" s="5">
        <v>139</v>
      </c>
      <c r="L14" s="5">
        <v>69</v>
      </c>
      <c r="M14" s="5">
        <v>573</v>
      </c>
      <c r="N14" s="5">
        <v>71</v>
      </c>
      <c r="O14" s="5">
        <v>312</v>
      </c>
      <c r="P14" s="5">
        <v>115</v>
      </c>
      <c r="Q14" s="5">
        <v>604</v>
      </c>
      <c r="R14" s="5">
        <v>219</v>
      </c>
      <c r="S14" s="5">
        <v>422</v>
      </c>
      <c r="T14" s="19"/>
      <c r="U14" t="str">
        <f t="shared" si="1"/>
        <v/>
      </c>
      <c r="V14" t="str">
        <f t="shared" si="2"/>
        <v/>
      </c>
      <c r="W14" t="str">
        <f t="shared" si="3"/>
        <v/>
      </c>
      <c r="X14" t="str">
        <f t="shared" si="4"/>
        <v/>
      </c>
      <c r="Y14" t="str">
        <f t="shared" si="5"/>
        <v/>
      </c>
      <c r="Z14" t="str">
        <f t="shared" si="6"/>
        <v/>
      </c>
      <c r="AA14" t="str">
        <f t="shared" si="7"/>
        <v/>
      </c>
      <c r="AB14" t="str">
        <f t="shared" si="8"/>
        <v/>
      </c>
      <c r="AC14" t="str">
        <f t="shared" si="9"/>
        <v/>
      </c>
      <c r="AD14" t="str">
        <f t="shared" si="10"/>
        <v/>
      </c>
      <c r="AE14" t="str">
        <f t="shared" si="11"/>
        <v/>
      </c>
      <c r="AF14" t="str">
        <f t="shared" si="12"/>
        <v/>
      </c>
      <c r="AG14" t="str">
        <f t="shared" si="13"/>
        <v/>
      </c>
      <c r="AH14" t="str">
        <f t="shared" si="14"/>
        <v/>
      </c>
      <c r="AI14" t="str">
        <f t="shared" si="15"/>
        <v/>
      </c>
      <c r="AJ14" t="str">
        <f t="shared" si="16"/>
        <v/>
      </c>
      <c r="AK14" t="str">
        <f t="shared" si="0"/>
        <v/>
      </c>
    </row>
    <row r="15" spans="1:37" ht="14.45" x14ac:dyDescent="0.3">
      <c r="A15" s="4">
        <v>2001</v>
      </c>
      <c r="B15" s="4" t="s">
        <v>20</v>
      </c>
      <c r="C15" s="5">
        <v>11</v>
      </c>
      <c r="D15" s="5">
        <v>836</v>
      </c>
      <c r="E15" s="5">
        <v>549</v>
      </c>
      <c r="F15" s="5">
        <v>361</v>
      </c>
      <c r="G15" s="5">
        <v>162</v>
      </c>
      <c r="H15" s="5">
        <v>746</v>
      </c>
      <c r="I15" s="5">
        <v>194</v>
      </c>
      <c r="J15" s="5">
        <v>161</v>
      </c>
      <c r="K15" s="5">
        <v>156</v>
      </c>
      <c r="L15" s="5">
        <v>76</v>
      </c>
      <c r="M15" s="5">
        <v>734</v>
      </c>
      <c r="N15" s="5">
        <v>80</v>
      </c>
      <c r="O15" s="5">
        <v>347</v>
      </c>
      <c r="P15" s="5">
        <v>146</v>
      </c>
      <c r="Q15" s="5">
        <v>661</v>
      </c>
      <c r="R15" s="5">
        <v>197</v>
      </c>
      <c r="S15" s="5">
        <v>463</v>
      </c>
      <c r="T15" s="19"/>
      <c r="U15">
        <f t="shared" si="1"/>
        <v>11</v>
      </c>
      <c r="V15">
        <f t="shared" si="2"/>
        <v>836</v>
      </c>
      <c r="W15">
        <f t="shared" si="3"/>
        <v>549</v>
      </c>
      <c r="X15">
        <f t="shared" si="4"/>
        <v>361</v>
      </c>
      <c r="Y15">
        <f t="shared" si="5"/>
        <v>162</v>
      </c>
      <c r="Z15">
        <f t="shared" si="6"/>
        <v>746</v>
      </c>
      <c r="AA15">
        <f t="shared" si="7"/>
        <v>194</v>
      </c>
      <c r="AB15">
        <f t="shared" si="8"/>
        <v>161</v>
      </c>
      <c r="AC15">
        <f t="shared" si="9"/>
        <v>156</v>
      </c>
      <c r="AD15">
        <f t="shared" si="10"/>
        <v>76</v>
      </c>
      <c r="AE15">
        <f t="shared" si="11"/>
        <v>734</v>
      </c>
      <c r="AF15">
        <f t="shared" si="12"/>
        <v>80</v>
      </c>
      <c r="AG15">
        <f t="shared" si="13"/>
        <v>347</v>
      </c>
      <c r="AH15">
        <f t="shared" si="14"/>
        <v>146</v>
      </c>
      <c r="AI15">
        <f t="shared" si="15"/>
        <v>661</v>
      </c>
      <c r="AJ15">
        <f t="shared" si="16"/>
        <v>197</v>
      </c>
      <c r="AK15">
        <f t="shared" si="0"/>
        <v>463</v>
      </c>
    </row>
    <row r="16" spans="1:37" ht="14.45" x14ac:dyDescent="0.3">
      <c r="A16" s="4">
        <v>2001</v>
      </c>
      <c r="B16" s="4" t="s">
        <v>21</v>
      </c>
      <c r="C16" s="5">
        <v>27</v>
      </c>
      <c r="D16" s="5">
        <v>826</v>
      </c>
      <c r="E16" s="5">
        <v>512</v>
      </c>
      <c r="F16" s="5">
        <v>390</v>
      </c>
      <c r="G16" s="5">
        <v>170</v>
      </c>
      <c r="H16" s="5">
        <v>820</v>
      </c>
      <c r="I16" s="5">
        <v>189</v>
      </c>
      <c r="J16" s="5">
        <v>109</v>
      </c>
      <c r="K16" s="5">
        <v>167</v>
      </c>
      <c r="L16" s="5">
        <v>68</v>
      </c>
      <c r="M16" s="5">
        <v>724</v>
      </c>
      <c r="N16" s="5">
        <v>54</v>
      </c>
      <c r="O16" s="5">
        <v>370</v>
      </c>
      <c r="P16" s="5">
        <v>134</v>
      </c>
      <c r="Q16" s="5">
        <v>687</v>
      </c>
      <c r="R16" s="5">
        <v>243</v>
      </c>
      <c r="S16" s="5">
        <v>298</v>
      </c>
      <c r="T16" s="19"/>
      <c r="U16">
        <f t="shared" si="1"/>
        <v>27</v>
      </c>
      <c r="V16">
        <f t="shared" si="2"/>
        <v>826</v>
      </c>
      <c r="W16">
        <f t="shared" si="3"/>
        <v>512</v>
      </c>
      <c r="X16">
        <f t="shared" si="4"/>
        <v>390</v>
      </c>
      <c r="Y16">
        <f t="shared" si="5"/>
        <v>170</v>
      </c>
      <c r="Z16">
        <f t="shared" si="6"/>
        <v>820</v>
      </c>
      <c r="AA16">
        <f t="shared" si="7"/>
        <v>189</v>
      </c>
      <c r="AB16">
        <f t="shared" si="8"/>
        <v>109</v>
      </c>
      <c r="AC16">
        <f t="shared" si="9"/>
        <v>167</v>
      </c>
      <c r="AD16">
        <f t="shared" si="10"/>
        <v>68</v>
      </c>
      <c r="AE16">
        <f t="shared" si="11"/>
        <v>724</v>
      </c>
      <c r="AF16">
        <f t="shared" si="12"/>
        <v>54</v>
      </c>
      <c r="AG16">
        <f t="shared" si="13"/>
        <v>370</v>
      </c>
      <c r="AH16">
        <f t="shared" si="14"/>
        <v>134</v>
      </c>
      <c r="AI16">
        <f t="shared" si="15"/>
        <v>687</v>
      </c>
      <c r="AJ16">
        <f t="shared" si="16"/>
        <v>243</v>
      </c>
      <c r="AK16">
        <f t="shared" si="0"/>
        <v>298</v>
      </c>
    </row>
    <row r="17" spans="1:37" ht="14.45" x14ac:dyDescent="0.3">
      <c r="A17" s="4">
        <v>2001</v>
      </c>
      <c r="B17" s="4" t="s">
        <v>22</v>
      </c>
      <c r="C17" s="5">
        <v>14</v>
      </c>
      <c r="D17" s="5">
        <v>683</v>
      </c>
      <c r="E17" s="5">
        <v>564</v>
      </c>
      <c r="F17" s="5">
        <v>390</v>
      </c>
      <c r="G17" s="5">
        <v>200</v>
      </c>
      <c r="H17" s="5">
        <v>837</v>
      </c>
      <c r="I17" s="5">
        <v>193</v>
      </c>
      <c r="J17" s="5">
        <v>148</v>
      </c>
      <c r="K17" s="5">
        <v>159</v>
      </c>
      <c r="L17" s="5">
        <v>52</v>
      </c>
      <c r="M17" s="5">
        <v>652</v>
      </c>
      <c r="N17" s="5">
        <v>95</v>
      </c>
      <c r="O17" s="5">
        <v>360</v>
      </c>
      <c r="P17" s="5">
        <v>123</v>
      </c>
      <c r="Q17" s="5">
        <v>694</v>
      </c>
      <c r="R17" s="5">
        <v>200</v>
      </c>
      <c r="S17" s="5">
        <v>355</v>
      </c>
      <c r="T17" s="19"/>
      <c r="U17">
        <f t="shared" si="1"/>
        <v>14</v>
      </c>
      <c r="V17">
        <f t="shared" si="2"/>
        <v>683</v>
      </c>
      <c r="W17">
        <f t="shared" si="3"/>
        <v>564</v>
      </c>
      <c r="X17">
        <f t="shared" si="4"/>
        <v>390</v>
      </c>
      <c r="Y17">
        <f t="shared" si="5"/>
        <v>200</v>
      </c>
      <c r="Z17">
        <f t="shared" si="6"/>
        <v>837</v>
      </c>
      <c r="AA17">
        <f t="shared" si="7"/>
        <v>193</v>
      </c>
      <c r="AB17">
        <f t="shared" si="8"/>
        <v>148</v>
      </c>
      <c r="AC17">
        <f t="shared" si="9"/>
        <v>159</v>
      </c>
      <c r="AD17">
        <f t="shared" si="10"/>
        <v>52</v>
      </c>
      <c r="AE17">
        <f t="shared" si="11"/>
        <v>652</v>
      </c>
      <c r="AF17">
        <f t="shared" si="12"/>
        <v>95</v>
      </c>
      <c r="AG17">
        <f t="shared" si="13"/>
        <v>360</v>
      </c>
      <c r="AH17">
        <f t="shared" si="14"/>
        <v>123</v>
      </c>
      <c r="AI17">
        <f t="shared" si="15"/>
        <v>694</v>
      </c>
      <c r="AJ17">
        <f t="shared" si="16"/>
        <v>200</v>
      </c>
      <c r="AK17">
        <f t="shared" si="0"/>
        <v>355</v>
      </c>
    </row>
    <row r="18" spans="1:37" ht="14.45" x14ac:dyDescent="0.3">
      <c r="A18" s="4">
        <v>2001</v>
      </c>
      <c r="B18" s="4" t="s">
        <v>23</v>
      </c>
      <c r="C18" s="5">
        <v>24</v>
      </c>
      <c r="D18" s="5">
        <v>596</v>
      </c>
      <c r="E18" s="5">
        <v>508</v>
      </c>
      <c r="F18" s="5">
        <v>347</v>
      </c>
      <c r="G18" s="5">
        <v>129</v>
      </c>
      <c r="H18" s="5">
        <v>691</v>
      </c>
      <c r="I18" s="5">
        <v>232</v>
      </c>
      <c r="J18" s="5">
        <v>148</v>
      </c>
      <c r="K18" s="5">
        <v>161</v>
      </c>
      <c r="L18" s="5">
        <v>71</v>
      </c>
      <c r="M18" s="5">
        <v>655</v>
      </c>
      <c r="N18" s="5">
        <v>55</v>
      </c>
      <c r="O18" s="5">
        <v>286</v>
      </c>
      <c r="P18" s="5">
        <v>81</v>
      </c>
      <c r="Q18" s="5">
        <v>663</v>
      </c>
      <c r="R18" s="5">
        <v>220</v>
      </c>
      <c r="S18" s="5">
        <v>369</v>
      </c>
      <c r="T18" s="19"/>
      <c r="U18">
        <f t="shared" si="1"/>
        <v>24</v>
      </c>
      <c r="V18">
        <f t="shared" si="2"/>
        <v>596</v>
      </c>
      <c r="W18">
        <f t="shared" si="3"/>
        <v>508</v>
      </c>
      <c r="X18">
        <f t="shared" si="4"/>
        <v>347</v>
      </c>
      <c r="Y18">
        <f t="shared" si="5"/>
        <v>129</v>
      </c>
      <c r="Z18">
        <f t="shared" si="6"/>
        <v>691</v>
      </c>
      <c r="AA18">
        <f t="shared" si="7"/>
        <v>232</v>
      </c>
      <c r="AB18">
        <f t="shared" si="8"/>
        <v>148</v>
      </c>
      <c r="AC18">
        <f t="shared" si="9"/>
        <v>161</v>
      </c>
      <c r="AD18">
        <f t="shared" si="10"/>
        <v>71</v>
      </c>
      <c r="AE18">
        <f t="shared" si="11"/>
        <v>655</v>
      </c>
      <c r="AF18">
        <f t="shared" si="12"/>
        <v>55</v>
      </c>
      <c r="AG18">
        <f t="shared" si="13"/>
        <v>286</v>
      </c>
      <c r="AH18">
        <f t="shared" si="14"/>
        <v>81</v>
      </c>
      <c r="AI18">
        <f t="shared" si="15"/>
        <v>663</v>
      </c>
      <c r="AJ18">
        <f t="shared" si="16"/>
        <v>220</v>
      </c>
      <c r="AK18">
        <f t="shared" si="16"/>
        <v>369</v>
      </c>
    </row>
    <row r="19" spans="1:37" ht="14.45" x14ac:dyDescent="0.3">
      <c r="A19" s="4">
        <v>2001</v>
      </c>
      <c r="B19" s="4" t="s">
        <v>24</v>
      </c>
      <c r="C19" s="5">
        <v>34</v>
      </c>
      <c r="D19" s="5">
        <v>478</v>
      </c>
      <c r="E19" s="5">
        <v>580</v>
      </c>
      <c r="F19" s="5">
        <v>323</v>
      </c>
      <c r="G19" s="5">
        <v>143</v>
      </c>
      <c r="H19" s="5">
        <v>733</v>
      </c>
      <c r="I19" s="5">
        <v>178</v>
      </c>
      <c r="J19" s="5">
        <v>164</v>
      </c>
      <c r="K19" s="5">
        <v>131</v>
      </c>
      <c r="L19" s="5">
        <v>60</v>
      </c>
      <c r="M19" s="5">
        <v>652</v>
      </c>
      <c r="N19" s="5">
        <v>66</v>
      </c>
      <c r="O19" s="5">
        <v>324</v>
      </c>
      <c r="P19" s="5">
        <v>83</v>
      </c>
      <c r="Q19" s="5">
        <v>648</v>
      </c>
      <c r="R19" s="5">
        <v>172</v>
      </c>
      <c r="S19" s="5">
        <v>361</v>
      </c>
      <c r="T19" s="19"/>
      <c r="U19">
        <f t="shared" si="1"/>
        <v>34</v>
      </c>
      <c r="V19">
        <f t="shared" si="2"/>
        <v>478</v>
      </c>
      <c r="W19">
        <f t="shared" si="3"/>
        <v>580</v>
      </c>
      <c r="X19">
        <f t="shared" si="4"/>
        <v>323</v>
      </c>
      <c r="Y19">
        <f t="shared" si="5"/>
        <v>143</v>
      </c>
      <c r="Z19">
        <f t="shared" si="6"/>
        <v>733</v>
      </c>
      <c r="AA19">
        <f t="shared" si="7"/>
        <v>178</v>
      </c>
      <c r="AB19">
        <f t="shared" si="8"/>
        <v>164</v>
      </c>
      <c r="AC19">
        <f t="shared" si="9"/>
        <v>131</v>
      </c>
      <c r="AD19">
        <f t="shared" si="10"/>
        <v>60</v>
      </c>
      <c r="AE19">
        <f t="shared" si="11"/>
        <v>652</v>
      </c>
      <c r="AF19">
        <f t="shared" si="12"/>
        <v>66</v>
      </c>
      <c r="AG19">
        <f t="shared" si="13"/>
        <v>324</v>
      </c>
      <c r="AH19">
        <f t="shared" si="14"/>
        <v>83</v>
      </c>
      <c r="AI19">
        <f t="shared" si="15"/>
        <v>648</v>
      </c>
      <c r="AJ19">
        <f t="shared" si="16"/>
        <v>172</v>
      </c>
      <c r="AK19">
        <f t="shared" si="16"/>
        <v>361</v>
      </c>
    </row>
    <row r="20" spans="1:37" ht="14.45" x14ac:dyDescent="0.3">
      <c r="A20" s="4">
        <v>2001</v>
      </c>
      <c r="B20" s="4" t="s">
        <v>25</v>
      </c>
      <c r="C20" s="5">
        <v>26</v>
      </c>
      <c r="D20" s="5">
        <v>443</v>
      </c>
      <c r="E20" s="5">
        <v>610</v>
      </c>
      <c r="F20" s="5">
        <v>346</v>
      </c>
      <c r="G20" s="5">
        <v>151</v>
      </c>
      <c r="H20" s="5">
        <v>805</v>
      </c>
      <c r="I20" s="5">
        <v>242</v>
      </c>
      <c r="J20" s="5">
        <v>163</v>
      </c>
      <c r="K20" s="5">
        <v>157</v>
      </c>
      <c r="L20" s="5">
        <v>92</v>
      </c>
      <c r="M20" s="5">
        <v>694</v>
      </c>
      <c r="N20" s="5">
        <v>119</v>
      </c>
      <c r="O20" s="5">
        <v>357</v>
      </c>
      <c r="P20" s="5">
        <v>78</v>
      </c>
      <c r="Q20" s="5">
        <v>743</v>
      </c>
      <c r="R20" s="5">
        <v>246</v>
      </c>
      <c r="S20" s="5">
        <v>525</v>
      </c>
      <c r="T20" s="19"/>
      <c r="U20">
        <f t="shared" si="1"/>
        <v>26</v>
      </c>
      <c r="V20">
        <f t="shared" si="2"/>
        <v>443</v>
      </c>
      <c r="W20">
        <f t="shared" si="3"/>
        <v>610</v>
      </c>
      <c r="X20">
        <f t="shared" si="4"/>
        <v>346</v>
      </c>
      <c r="Y20">
        <f t="shared" si="5"/>
        <v>151</v>
      </c>
      <c r="Z20">
        <f t="shared" si="6"/>
        <v>805</v>
      </c>
      <c r="AA20">
        <f t="shared" si="7"/>
        <v>242</v>
      </c>
      <c r="AB20">
        <f t="shared" si="8"/>
        <v>163</v>
      </c>
      <c r="AC20">
        <f t="shared" si="9"/>
        <v>157</v>
      </c>
      <c r="AD20">
        <f t="shared" si="10"/>
        <v>92</v>
      </c>
      <c r="AE20">
        <f t="shared" si="11"/>
        <v>694</v>
      </c>
      <c r="AF20">
        <f t="shared" si="12"/>
        <v>119</v>
      </c>
      <c r="AG20">
        <f t="shared" si="13"/>
        <v>357</v>
      </c>
      <c r="AH20">
        <f t="shared" si="14"/>
        <v>78</v>
      </c>
      <c r="AI20">
        <f t="shared" si="15"/>
        <v>743</v>
      </c>
      <c r="AJ20">
        <f t="shared" si="16"/>
        <v>246</v>
      </c>
      <c r="AK20">
        <f t="shared" si="16"/>
        <v>525</v>
      </c>
    </row>
    <row r="21" spans="1:37" ht="14.45" x14ac:dyDescent="0.3">
      <c r="A21" s="4">
        <v>2001</v>
      </c>
      <c r="B21" s="4" t="s">
        <v>26</v>
      </c>
      <c r="C21" s="5">
        <v>17</v>
      </c>
      <c r="D21" s="5">
        <v>447</v>
      </c>
      <c r="E21" s="5">
        <v>684</v>
      </c>
      <c r="F21" s="5">
        <v>370</v>
      </c>
      <c r="G21" s="5">
        <v>125</v>
      </c>
      <c r="H21" s="5">
        <v>708</v>
      </c>
      <c r="I21" s="5">
        <v>236</v>
      </c>
      <c r="J21" s="5">
        <v>206</v>
      </c>
      <c r="K21" s="5">
        <v>202</v>
      </c>
      <c r="L21" s="5">
        <v>87</v>
      </c>
      <c r="M21" s="5">
        <v>731</v>
      </c>
      <c r="N21" s="5">
        <v>145</v>
      </c>
      <c r="O21" s="5">
        <v>368</v>
      </c>
      <c r="P21" s="5">
        <v>126</v>
      </c>
      <c r="Q21" s="5">
        <v>687</v>
      </c>
      <c r="R21" s="5">
        <v>228</v>
      </c>
      <c r="S21" s="5">
        <v>548</v>
      </c>
      <c r="T21" s="19"/>
      <c r="U21">
        <f t="shared" si="1"/>
        <v>17</v>
      </c>
      <c r="V21">
        <f t="shared" si="2"/>
        <v>447</v>
      </c>
      <c r="W21">
        <f t="shared" si="3"/>
        <v>684</v>
      </c>
      <c r="X21">
        <f t="shared" si="4"/>
        <v>370</v>
      </c>
      <c r="Y21">
        <f t="shared" si="5"/>
        <v>125</v>
      </c>
      <c r="Z21">
        <f t="shared" si="6"/>
        <v>708</v>
      </c>
      <c r="AA21">
        <f t="shared" si="7"/>
        <v>236</v>
      </c>
      <c r="AB21">
        <f t="shared" si="8"/>
        <v>206</v>
      </c>
      <c r="AC21">
        <f t="shared" si="9"/>
        <v>202</v>
      </c>
      <c r="AD21">
        <f t="shared" si="10"/>
        <v>87</v>
      </c>
      <c r="AE21">
        <f t="shared" si="11"/>
        <v>731</v>
      </c>
      <c r="AF21">
        <f t="shared" si="12"/>
        <v>145</v>
      </c>
      <c r="AG21">
        <f t="shared" si="13"/>
        <v>368</v>
      </c>
      <c r="AH21">
        <f t="shared" si="14"/>
        <v>126</v>
      </c>
      <c r="AI21">
        <f t="shared" si="15"/>
        <v>687</v>
      </c>
      <c r="AJ21">
        <f t="shared" si="16"/>
        <v>228</v>
      </c>
      <c r="AK21">
        <f t="shared" si="16"/>
        <v>548</v>
      </c>
    </row>
    <row r="22" spans="1:37" ht="14.45" x14ac:dyDescent="0.3">
      <c r="A22" s="4">
        <v>2001</v>
      </c>
      <c r="B22" s="4" t="s">
        <v>27</v>
      </c>
      <c r="C22" s="5">
        <v>18</v>
      </c>
      <c r="D22" s="5">
        <v>522</v>
      </c>
      <c r="E22" s="5">
        <v>653</v>
      </c>
      <c r="F22" s="5">
        <v>370</v>
      </c>
      <c r="G22" s="5">
        <v>163</v>
      </c>
      <c r="H22" s="5">
        <v>765</v>
      </c>
      <c r="I22" s="5">
        <v>226</v>
      </c>
      <c r="J22" s="5">
        <v>210</v>
      </c>
      <c r="K22" s="5">
        <v>171</v>
      </c>
      <c r="L22" s="5">
        <v>86</v>
      </c>
      <c r="M22" s="5">
        <v>790</v>
      </c>
      <c r="N22" s="5">
        <v>182</v>
      </c>
      <c r="O22" s="5">
        <v>413</v>
      </c>
      <c r="P22" s="5">
        <v>131</v>
      </c>
      <c r="Q22" s="5">
        <v>636</v>
      </c>
      <c r="R22" s="5">
        <v>241</v>
      </c>
      <c r="S22" s="5">
        <v>540</v>
      </c>
      <c r="T22" s="19"/>
      <c r="U22">
        <f t="shared" si="1"/>
        <v>18</v>
      </c>
      <c r="V22">
        <f t="shared" si="2"/>
        <v>522</v>
      </c>
      <c r="W22">
        <f t="shared" si="3"/>
        <v>653</v>
      </c>
      <c r="X22">
        <f t="shared" si="4"/>
        <v>370</v>
      </c>
      <c r="Y22">
        <f t="shared" si="5"/>
        <v>163</v>
      </c>
      <c r="Z22">
        <f t="shared" si="6"/>
        <v>765</v>
      </c>
      <c r="AA22">
        <f t="shared" si="7"/>
        <v>226</v>
      </c>
      <c r="AB22">
        <f t="shared" si="8"/>
        <v>210</v>
      </c>
      <c r="AC22">
        <f t="shared" si="9"/>
        <v>171</v>
      </c>
      <c r="AD22">
        <f t="shared" si="10"/>
        <v>86</v>
      </c>
      <c r="AE22">
        <f t="shared" si="11"/>
        <v>790</v>
      </c>
      <c r="AF22">
        <f t="shared" si="12"/>
        <v>182</v>
      </c>
      <c r="AG22">
        <f t="shared" si="13"/>
        <v>413</v>
      </c>
      <c r="AH22">
        <f t="shared" si="14"/>
        <v>131</v>
      </c>
      <c r="AI22">
        <f t="shared" si="15"/>
        <v>636</v>
      </c>
      <c r="AJ22">
        <f t="shared" si="16"/>
        <v>241</v>
      </c>
      <c r="AK22">
        <f t="shared" si="16"/>
        <v>540</v>
      </c>
    </row>
    <row r="23" spans="1:37" ht="14.45" x14ac:dyDescent="0.3">
      <c r="A23" s="4">
        <v>2001</v>
      </c>
      <c r="B23" s="4" t="s">
        <v>28</v>
      </c>
      <c r="C23" s="5">
        <v>23</v>
      </c>
      <c r="D23" s="5">
        <v>489</v>
      </c>
      <c r="E23" s="5">
        <v>647</v>
      </c>
      <c r="F23" s="5">
        <v>349</v>
      </c>
      <c r="G23" s="5">
        <v>187</v>
      </c>
      <c r="H23" s="5">
        <v>748</v>
      </c>
      <c r="I23" s="5">
        <v>214</v>
      </c>
      <c r="J23" s="5">
        <v>219</v>
      </c>
      <c r="K23" s="5">
        <v>196</v>
      </c>
      <c r="L23" s="5">
        <v>72</v>
      </c>
      <c r="M23" s="5">
        <v>810</v>
      </c>
      <c r="N23" s="5">
        <v>93</v>
      </c>
      <c r="O23" s="5">
        <v>362</v>
      </c>
      <c r="P23" s="5">
        <v>153</v>
      </c>
      <c r="Q23" s="5">
        <v>748</v>
      </c>
      <c r="R23" s="5">
        <v>225</v>
      </c>
      <c r="S23" s="5">
        <v>438</v>
      </c>
      <c r="T23" s="19"/>
      <c r="U23">
        <f t="shared" si="1"/>
        <v>23</v>
      </c>
      <c r="V23">
        <f t="shared" si="2"/>
        <v>489</v>
      </c>
      <c r="W23">
        <f t="shared" si="3"/>
        <v>647</v>
      </c>
      <c r="X23">
        <f t="shared" si="4"/>
        <v>349</v>
      </c>
      <c r="Y23">
        <f t="shared" si="5"/>
        <v>187</v>
      </c>
      <c r="Z23">
        <f t="shared" si="6"/>
        <v>748</v>
      </c>
      <c r="AA23">
        <f t="shared" si="7"/>
        <v>214</v>
      </c>
      <c r="AB23">
        <f t="shared" si="8"/>
        <v>219</v>
      </c>
      <c r="AC23">
        <f t="shared" si="9"/>
        <v>196</v>
      </c>
      <c r="AD23">
        <f t="shared" si="10"/>
        <v>72</v>
      </c>
      <c r="AE23">
        <f t="shared" si="11"/>
        <v>810</v>
      </c>
      <c r="AF23">
        <f t="shared" si="12"/>
        <v>93</v>
      </c>
      <c r="AG23">
        <f t="shared" si="13"/>
        <v>362</v>
      </c>
      <c r="AH23">
        <f t="shared" si="14"/>
        <v>153</v>
      </c>
      <c r="AI23">
        <f t="shared" si="15"/>
        <v>748</v>
      </c>
      <c r="AJ23">
        <f t="shared" si="16"/>
        <v>225</v>
      </c>
      <c r="AK23">
        <f t="shared" si="16"/>
        <v>438</v>
      </c>
    </row>
    <row r="24" spans="1:37" ht="14.45" x14ac:dyDescent="0.3">
      <c r="A24" s="4">
        <v>2001</v>
      </c>
      <c r="B24" s="4" t="s">
        <v>29</v>
      </c>
      <c r="C24" s="5">
        <v>32</v>
      </c>
      <c r="D24" s="5">
        <v>535</v>
      </c>
      <c r="E24" s="5">
        <v>720</v>
      </c>
      <c r="F24" s="5">
        <v>345</v>
      </c>
      <c r="G24" s="5">
        <v>151</v>
      </c>
      <c r="H24" s="5">
        <v>790</v>
      </c>
      <c r="I24" s="5">
        <v>321</v>
      </c>
      <c r="J24" s="5">
        <v>233</v>
      </c>
      <c r="K24" s="5">
        <v>210</v>
      </c>
      <c r="L24" s="5">
        <v>72</v>
      </c>
      <c r="M24" s="5">
        <v>910</v>
      </c>
      <c r="N24" s="5">
        <v>64</v>
      </c>
      <c r="O24" s="5">
        <v>421</v>
      </c>
      <c r="P24" s="5">
        <v>166</v>
      </c>
      <c r="Q24" s="5">
        <v>737</v>
      </c>
      <c r="R24" s="5">
        <v>239</v>
      </c>
      <c r="S24" s="5">
        <v>429</v>
      </c>
      <c r="T24" s="19"/>
      <c r="U24">
        <f t="shared" si="1"/>
        <v>32</v>
      </c>
      <c r="V24">
        <f t="shared" si="2"/>
        <v>535</v>
      </c>
      <c r="W24">
        <f t="shared" si="3"/>
        <v>720</v>
      </c>
      <c r="X24">
        <f t="shared" si="4"/>
        <v>345</v>
      </c>
      <c r="Y24">
        <f t="shared" si="5"/>
        <v>151</v>
      </c>
      <c r="Z24">
        <f t="shared" si="6"/>
        <v>790</v>
      </c>
      <c r="AA24">
        <f t="shared" si="7"/>
        <v>321</v>
      </c>
      <c r="AB24">
        <f t="shared" si="8"/>
        <v>233</v>
      </c>
      <c r="AC24">
        <f t="shared" si="9"/>
        <v>210</v>
      </c>
      <c r="AD24">
        <f t="shared" si="10"/>
        <v>72</v>
      </c>
      <c r="AE24">
        <f t="shared" si="11"/>
        <v>910</v>
      </c>
      <c r="AF24">
        <f t="shared" si="12"/>
        <v>64</v>
      </c>
      <c r="AG24">
        <f t="shared" si="13"/>
        <v>421</v>
      </c>
      <c r="AH24">
        <f t="shared" si="14"/>
        <v>166</v>
      </c>
      <c r="AI24">
        <f t="shared" si="15"/>
        <v>737</v>
      </c>
      <c r="AJ24">
        <f t="shared" si="16"/>
        <v>239</v>
      </c>
      <c r="AK24">
        <f t="shared" si="16"/>
        <v>429</v>
      </c>
    </row>
    <row r="25" spans="1:37" ht="14.45" x14ac:dyDescent="0.3">
      <c r="A25" s="4">
        <v>2001</v>
      </c>
      <c r="B25" s="4" t="s">
        <v>30</v>
      </c>
      <c r="C25" s="5">
        <v>20</v>
      </c>
      <c r="D25" s="5">
        <v>670</v>
      </c>
      <c r="E25" s="5">
        <v>746</v>
      </c>
      <c r="F25" s="5">
        <v>362</v>
      </c>
      <c r="G25" s="5">
        <v>192</v>
      </c>
      <c r="H25" s="5">
        <v>854</v>
      </c>
      <c r="I25" s="5">
        <v>302</v>
      </c>
      <c r="J25" s="5">
        <v>241</v>
      </c>
      <c r="K25" s="5">
        <v>258</v>
      </c>
      <c r="L25" s="5">
        <v>63</v>
      </c>
      <c r="M25" s="5">
        <v>946</v>
      </c>
      <c r="N25" s="5">
        <v>82</v>
      </c>
      <c r="O25" s="5">
        <v>434</v>
      </c>
      <c r="P25" s="5">
        <v>185</v>
      </c>
      <c r="Q25" s="5">
        <v>749</v>
      </c>
      <c r="R25" s="5">
        <v>256</v>
      </c>
      <c r="S25" s="5">
        <v>420</v>
      </c>
      <c r="T25" s="19"/>
      <c r="U25">
        <f t="shared" si="1"/>
        <v>20</v>
      </c>
      <c r="V25">
        <f t="shared" si="2"/>
        <v>670</v>
      </c>
      <c r="W25">
        <f t="shared" si="3"/>
        <v>746</v>
      </c>
      <c r="X25">
        <f t="shared" si="4"/>
        <v>362</v>
      </c>
      <c r="Y25">
        <f t="shared" si="5"/>
        <v>192</v>
      </c>
      <c r="Z25">
        <f t="shared" si="6"/>
        <v>854</v>
      </c>
      <c r="AA25">
        <f t="shared" si="7"/>
        <v>302</v>
      </c>
      <c r="AB25">
        <f t="shared" si="8"/>
        <v>241</v>
      </c>
      <c r="AC25">
        <f t="shared" si="9"/>
        <v>258</v>
      </c>
      <c r="AD25">
        <f t="shared" si="10"/>
        <v>63</v>
      </c>
      <c r="AE25">
        <f t="shared" si="11"/>
        <v>946</v>
      </c>
      <c r="AF25">
        <f t="shared" si="12"/>
        <v>82</v>
      </c>
      <c r="AG25">
        <f t="shared" si="13"/>
        <v>434</v>
      </c>
      <c r="AH25">
        <f t="shared" si="14"/>
        <v>185</v>
      </c>
      <c r="AI25">
        <f t="shared" si="15"/>
        <v>749</v>
      </c>
      <c r="AJ25">
        <f t="shared" si="16"/>
        <v>256</v>
      </c>
      <c r="AK25">
        <f t="shared" si="16"/>
        <v>420</v>
      </c>
    </row>
    <row r="26" spans="1:37" ht="14.45" x14ac:dyDescent="0.3">
      <c r="A26" s="4">
        <v>2001</v>
      </c>
      <c r="B26" s="4" t="s">
        <v>19</v>
      </c>
      <c r="C26" s="5">
        <v>27</v>
      </c>
      <c r="D26" s="5">
        <v>785</v>
      </c>
      <c r="E26" s="5">
        <v>782</v>
      </c>
      <c r="F26" s="5">
        <v>389</v>
      </c>
      <c r="G26" s="5">
        <v>229</v>
      </c>
      <c r="H26" s="5">
        <v>845</v>
      </c>
      <c r="I26" s="5">
        <v>310</v>
      </c>
      <c r="J26" s="5">
        <v>275</v>
      </c>
      <c r="K26" s="5">
        <v>194</v>
      </c>
      <c r="L26" s="5">
        <v>64</v>
      </c>
      <c r="M26" s="5">
        <v>921</v>
      </c>
      <c r="N26" s="5">
        <v>85</v>
      </c>
      <c r="O26" s="5">
        <v>398</v>
      </c>
      <c r="P26" s="5">
        <v>163</v>
      </c>
      <c r="Q26" s="5">
        <v>775</v>
      </c>
      <c r="R26" s="5">
        <v>277</v>
      </c>
      <c r="S26" s="5">
        <v>419</v>
      </c>
      <c r="T26" s="19"/>
      <c r="U26">
        <f t="shared" si="1"/>
        <v>27</v>
      </c>
      <c r="V26">
        <f t="shared" si="2"/>
        <v>785</v>
      </c>
      <c r="W26">
        <f t="shared" si="3"/>
        <v>782</v>
      </c>
      <c r="X26">
        <f t="shared" si="4"/>
        <v>389</v>
      </c>
      <c r="Y26">
        <f t="shared" si="5"/>
        <v>229</v>
      </c>
      <c r="Z26">
        <f t="shared" si="6"/>
        <v>845</v>
      </c>
      <c r="AA26">
        <f t="shared" si="7"/>
        <v>310</v>
      </c>
      <c r="AB26">
        <f t="shared" si="8"/>
        <v>275</v>
      </c>
      <c r="AC26">
        <f t="shared" si="9"/>
        <v>194</v>
      </c>
      <c r="AD26">
        <f t="shared" si="10"/>
        <v>64</v>
      </c>
      <c r="AE26">
        <f t="shared" si="11"/>
        <v>921</v>
      </c>
      <c r="AF26">
        <f t="shared" si="12"/>
        <v>85</v>
      </c>
      <c r="AG26">
        <f t="shared" si="13"/>
        <v>398</v>
      </c>
      <c r="AH26">
        <f t="shared" si="14"/>
        <v>163</v>
      </c>
      <c r="AI26">
        <f t="shared" si="15"/>
        <v>775</v>
      </c>
      <c r="AJ26">
        <f t="shared" si="16"/>
        <v>277</v>
      </c>
      <c r="AK26">
        <f t="shared" si="16"/>
        <v>419</v>
      </c>
    </row>
    <row r="27" spans="1:37" ht="14.45" x14ac:dyDescent="0.3">
      <c r="A27" s="4">
        <v>2001</v>
      </c>
      <c r="B27" s="4" t="s">
        <v>96</v>
      </c>
      <c r="C27" s="5">
        <v>23</v>
      </c>
      <c r="D27" s="5">
        <v>609</v>
      </c>
      <c r="E27" s="5">
        <v>630</v>
      </c>
      <c r="F27" s="5">
        <v>362</v>
      </c>
      <c r="G27" s="5">
        <v>167</v>
      </c>
      <c r="H27" s="5">
        <v>779</v>
      </c>
      <c r="I27" s="5">
        <v>236</v>
      </c>
      <c r="J27" s="5">
        <v>190</v>
      </c>
      <c r="K27" s="5">
        <v>180</v>
      </c>
      <c r="L27" s="5">
        <v>72</v>
      </c>
      <c r="M27" s="5">
        <v>768</v>
      </c>
      <c r="N27" s="5">
        <v>93</v>
      </c>
      <c r="O27" s="5">
        <v>370</v>
      </c>
      <c r="P27" s="5">
        <v>131</v>
      </c>
      <c r="Q27" s="5">
        <v>702</v>
      </c>
      <c r="R27" s="5">
        <v>229</v>
      </c>
      <c r="S27" s="5">
        <v>430</v>
      </c>
      <c r="T27" s="19"/>
      <c r="U27" t="str">
        <f t="shared" si="1"/>
        <v/>
      </c>
      <c r="V27" t="str">
        <f t="shared" si="2"/>
        <v/>
      </c>
      <c r="W27" t="str">
        <f t="shared" si="3"/>
        <v/>
      </c>
      <c r="X27" t="str">
        <f t="shared" si="4"/>
        <v/>
      </c>
      <c r="Y27" t="str">
        <f t="shared" si="5"/>
        <v/>
      </c>
      <c r="Z27" t="str">
        <f t="shared" si="6"/>
        <v/>
      </c>
      <c r="AA27" t="str">
        <f t="shared" si="7"/>
        <v/>
      </c>
      <c r="AB27" t="str">
        <f t="shared" si="8"/>
        <v/>
      </c>
      <c r="AC27" t="str">
        <f t="shared" si="9"/>
        <v/>
      </c>
      <c r="AD27" t="str">
        <f t="shared" si="10"/>
        <v/>
      </c>
      <c r="AE27" t="str">
        <f t="shared" si="11"/>
        <v/>
      </c>
      <c r="AF27" t="str">
        <f t="shared" si="12"/>
        <v/>
      </c>
      <c r="AG27" t="str">
        <f t="shared" si="13"/>
        <v/>
      </c>
      <c r="AH27" t="str">
        <f t="shared" si="14"/>
        <v/>
      </c>
      <c r="AI27" t="str">
        <f t="shared" si="15"/>
        <v/>
      </c>
      <c r="AJ27" t="str">
        <f t="shared" si="16"/>
        <v/>
      </c>
      <c r="AK27" t="str">
        <f t="shared" si="16"/>
        <v/>
      </c>
    </row>
    <row r="28" spans="1:37" ht="14.45" x14ac:dyDescent="0.3">
      <c r="A28" s="4">
        <v>2002</v>
      </c>
      <c r="B28" s="4" t="s">
        <v>20</v>
      </c>
      <c r="C28" s="5">
        <v>33</v>
      </c>
      <c r="D28" s="5">
        <v>1211</v>
      </c>
      <c r="E28" s="5">
        <v>918</v>
      </c>
      <c r="F28" s="5">
        <v>459</v>
      </c>
      <c r="G28" s="5">
        <v>195</v>
      </c>
      <c r="H28" s="5">
        <v>1017</v>
      </c>
      <c r="I28" s="5">
        <v>368</v>
      </c>
      <c r="J28" s="5">
        <v>263</v>
      </c>
      <c r="K28" s="5">
        <v>173</v>
      </c>
      <c r="L28" s="5">
        <v>94</v>
      </c>
      <c r="M28" s="5">
        <v>1120</v>
      </c>
      <c r="N28" s="5">
        <v>119</v>
      </c>
      <c r="O28" s="5">
        <v>467</v>
      </c>
      <c r="P28" s="5">
        <v>175</v>
      </c>
      <c r="Q28" s="5">
        <v>771</v>
      </c>
      <c r="R28" s="5">
        <v>304</v>
      </c>
      <c r="S28" s="5">
        <v>486</v>
      </c>
      <c r="T28" s="19"/>
      <c r="U28">
        <f t="shared" si="1"/>
        <v>33</v>
      </c>
      <c r="V28">
        <f t="shared" si="2"/>
        <v>1211</v>
      </c>
      <c r="W28">
        <f t="shared" si="3"/>
        <v>918</v>
      </c>
      <c r="X28">
        <f t="shared" si="4"/>
        <v>459</v>
      </c>
      <c r="Y28">
        <f t="shared" si="5"/>
        <v>195</v>
      </c>
      <c r="Z28">
        <f t="shared" si="6"/>
        <v>1017</v>
      </c>
      <c r="AA28">
        <f t="shared" si="7"/>
        <v>368</v>
      </c>
      <c r="AB28">
        <f t="shared" si="8"/>
        <v>263</v>
      </c>
      <c r="AC28">
        <f t="shared" si="9"/>
        <v>173</v>
      </c>
      <c r="AD28">
        <f t="shared" si="10"/>
        <v>94</v>
      </c>
      <c r="AE28">
        <f t="shared" si="11"/>
        <v>1120</v>
      </c>
      <c r="AF28">
        <f t="shared" si="12"/>
        <v>119</v>
      </c>
      <c r="AG28">
        <f t="shared" si="13"/>
        <v>467</v>
      </c>
      <c r="AH28">
        <f t="shared" si="14"/>
        <v>175</v>
      </c>
      <c r="AI28">
        <f t="shared" si="15"/>
        <v>771</v>
      </c>
      <c r="AJ28">
        <f t="shared" si="16"/>
        <v>304</v>
      </c>
      <c r="AK28">
        <f t="shared" si="16"/>
        <v>486</v>
      </c>
    </row>
    <row r="29" spans="1:37" ht="14.45" x14ac:dyDescent="0.3">
      <c r="A29" s="4">
        <v>2002</v>
      </c>
      <c r="B29" s="4" t="s">
        <v>21</v>
      </c>
      <c r="C29" s="5">
        <v>35</v>
      </c>
      <c r="D29" s="5">
        <v>1060</v>
      </c>
      <c r="E29" s="5">
        <v>882</v>
      </c>
      <c r="F29" s="5">
        <v>414</v>
      </c>
      <c r="G29" s="5">
        <v>196</v>
      </c>
      <c r="H29" s="5">
        <v>1068</v>
      </c>
      <c r="I29" s="5">
        <v>331</v>
      </c>
      <c r="J29" s="5">
        <v>279</v>
      </c>
      <c r="K29" s="5">
        <v>226</v>
      </c>
      <c r="L29" s="5">
        <v>92</v>
      </c>
      <c r="M29" s="5">
        <v>973</v>
      </c>
      <c r="N29" s="5">
        <v>91</v>
      </c>
      <c r="O29" s="5">
        <v>499</v>
      </c>
      <c r="P29" s="5">
        <v>203</v>
      </c>
      <c r="Q29" s="5">
        <v>770</v>
      </c>
      <c r="R29" s="5">
        <v>339</v>
      </c>
      <c r="S29" s="5">
        <v>508</v>
      </c>
      <c r="T29" s="19"/>
      <c r="U29">
        <f t="shared" si="1"/>
        <v>35</v>
      </c>
      <c r="V29">
        <f t="shared" si="2"/>
        <v>1060</v>
      </c>
      <c r="W29">
        <f t="shared" si="3"/>
        <v>882</v>
      </c>
      <c r="X29">
        <f t="shared" si="4"/>
        <v>414</v>
      </c>
      <c r="Y29">
        <f t="shared" si="5"/>
        <v>196</v>
      </c>
      <c r="Z29">
        <f t="shared" si="6"/>
        <v>1068</v>
      </c>
      <c r="AA29">
        <f t="shared" si="7"/>
        <v>331</v>
      </c>
      <c r="AB29">
        <f t="shared" si="8"/>
        <v>279</v>
      </c>
      <c r="AC29">
        <f t="shared" si="9"/>
        <v>226</v>
      </c>
      <c r="AD29">
        <f t="shared" si="10"/>
        <v>92</v>
      </c>
      <c r="AE29">
        <f t="shared" si="11"/>
        <v>973</v>
      </c>
      <c r="AF29">
        <f t="shared" si="12"/>
        <v>91</v>
      </c>
      <c r="AG29">
        <f t="shared" si="13"/>
        <v>499</v>
      </c>
      <c r="AH29">
        <f t="shared" si="14"/>
        <v>203</v>
      </c>
      <c r="AI29">
        <f t="shared" si="15"/>
        <v>770</v>
      </c>
      <c r="AJ29">
        <f t="shared" si="16"/>
        <v>339</v>
      </c>
      <c r="AK29">
        <f t="shared" si="16"/>
        <v>508</v>
      </c>
    </row>
    <row r="30" spans="1:37" ht="14.45" x14ac:dyDescent="0.3">
      <c r="A30" s="4">
        <v>2002</v>
      </c>
      <c r="B30" s="4" t="s">
        <v>22</v>
      </c>
      <c r="C30" s="5">
        <v>28</v>
      </c>
      <c r="D30" s="5">
        <v>1009</v>
      </c>
      <c r="E30" s="5">
        <v>872</v>
      </c>
      <c r="F30" s="5">
        <v>495</v>
      </c>
      <c r="G30" s="5">
        <v>195</v>
      </c>
      <c r="H30" s="5">
        <v>1074</v>
      </c>
      <c r="I30" s="5">
        <v>313</v>
      </c>
      <c r="J30" s="5">
        <v>266</v>
      </c>
      <c r="K30" s="5">
        <v>191</v>
      </c>
      <c r="L30" s="5">
        <v>96</v>
      </c>
      <c r="M30" s="5">
        <v>964</v>
      </c>
      <c r="N30" s="5">
        <v>93</v>
      </c>
      <c r="O30" s="5">
        <v>447</v>
      </c>
      <c r="P30" s="5">
        <v>176</v>
      </c>
      <c r="Q30" s="5">
        <v>800</v>
      </c>
      <c r="R30" s="5">
        <v>314</v>
      </c>
      <c r="S30" s="5">
        <v>477</v>
      </c>
      <c r="T30" s="19"/>
      <c r="U30">
        <f t="shared" si="1"/>
        <v>28</v>
      </c>
      <c r="V30">
        <f t="shared" si="2"/>
        <v>1009</v>
      </c>
      <c r="W30">
        <f t="shared" si="3"/>
        <v>872</v>
      </c>
      <c r="X30">
        <f t="shared" si="4"/>
        <v>495</v>
      </c>
      <c r="Y30">
        <f t="shared" si="5"/>
        <v>195</v>
      </c>
      <c r="Z30">
        <f t="shared" si="6"/>
        <v>1074</v>
      </c>
      <c r="AA30">
        <f t="shared" si="7"/>
        <v>313</v>
      </c>
      <c r="AB30">
        <f t="shared" si="8"/>
        <v>266</v>
      </c>
      <c r="AC30">
        <f t="shared" si="9"/>
        <v>191</v>
      </c>
      <c r="AD30">
        <f t="shared" si="10"/>
        <v>96</v>
      </c>
      <c r="AE30">
        <f t="shared" si="11"/>
        <v>964</v>
      </c>
      <c r="AF30">
        <f t="shared" si="12"/>
        <v>93</v>
      </c>
      <c r="AG30">
        <f t="shared" si="13"/>
        <v>447</v>
      </c>
      <c r="AH30">
        <f t="shared" si="14"/>
        <v>176</v>
      </c>
      <c r="AI30">
        <f t="shared" si="15"/>
        <v>800</v>
      </c>
      <c r="AJ30">
        <f t="shared" si="16"/>
        <v>314</v>
      </c>
      <c r="AK30">
        <f t="shared" si="16"/>
        <v>477</v>
      </c>
    </row>
    <row r="31" spans="1:37" x14ac:dyDescent="0.25">
      <c r="A31" s="4">
        <v>2002</v>
      </c>
      <c r="B31" s="4" t="s">
        <v>23</v>
      </c>
      <c r="C31" s="5">
        <v>33</v>
      </c>
      <c r="D31" s="5">
        <v>855</v>
      </c>
      <c r="E31" s="5">
        <v>861</v>
      </c>
      <c r="F31" s="5">
        <v>461</v>
      </c>
      <c r="G31" s="5">
        <v>216</v>
      </c>
      <c r="H31" s="5">
        <v>1007</v>
      </c>
      <c r="I31" s="5">
        <v>280</v>
      </c>
      <c r="J31" s="5">
        <v>257</v>
      </c>
      <c r="K31" s="5">
        <v>180</v>
      </c>
      <c r="L31" s="5">
        <v>111</v>
      </c>
      <c r="M31" s="5">
        <v>951</v>
      </c>
      <c r="N31" s="5">
        <v>79</v>
      </c>
      <c r="O31" s="5">
        <v>414</v>
      </c>
      <c r="P31" s="5">
        <v>168</v>
      </c>
      <c r="Q31" s="5">
        <v>786</v>
      </c>
      <c r="R31" s="5">
        <v>268</v>
      </c>
      <c r="S31" s="5">
        <v>447</v>
      </c>
      <c r="T31" s="19"/>
      <c r="U31">
        <f t="shared" si="1"/>
        <v>33</v>
      </c>
      <c r="V31">
        <f t="shared" si="2"/>
        <v>855</v>
      </c>
      <c r="W31">
        <f t="shared" si="3"/>
        <v>861</v>
      </c>
      <c r="X31">
        <f t="shared" si="4"/>
        <v>461</v>
      </c>
      <c r="Y31">
        <f t="shared" si="5"/>
        <v>216</v>
      </c>
      <c r="Z31">
        <f t="shared" si="6"/>
        <v>1007</v>
      </c>
      <c r="AA31">
        <f t="shared" si="7"/>
        <v>280</v>
      </c>
      <c r="AB31">
        <f t="shared" si="8"/>
        <v>257</v>
      </c>
      <c r="AC31">
        <f t="shared" si="9"/>
        <v>180</v>
      </c>
      <c r="AD31">
        <f t="shared" si="10"/>
        <v>111</v>
      </c>
      <c r="AE31">
        <f t="shared" si="11"/>
        <v>951</v>
      </c>
      <c r="AF31">
        <f t="shared" si="12"/>
        <v>79</v>
      </c>
      <c r="AG31">
        <f t="shared" si="13"/>
        <v>414</v>
      </c>
      <c r="AH31">
        <f t="shared" si="14"/>
        <v>168</v>
      </c>
      <c r="AI31">
        <f t="shared" si="15"/>
        <v>786</v>
      </c>
      <c r="AJ31">
        <f t="shared" si="16"/>
        <v>268</v>
      </c>
      <c r="AK31">
        <f t="shared" si="16"/>
        <v>447</v>
      </c>
    </row>
    <row r="32" spans="1:37" x14ac:dyDescent="0.25">
      <c r="A32" s="4">
        <v>2002</v>
      </c>
      <c r="B32" s="4" t="s">
        <v>24</v>
      </c>
      <c r="C32" s="5">
        <v>25</v>
      </c>
      <c r="D32" s="5">
        <v>626</v>
      </c>
      <c r="E32" s="5">
        <v>731</v>
      </c>
      <c r="F32" s="5">
        <v>463</v>
      </c>
      <c r="G32" s="5">
        <v>190</v>
      </c>
      <c r="H32" s="5">
        <v>948</v>
      </c>
      <c r="I32" s="5">
        <v>257</v>
      </c>
      <c r="J32" s="5">
        <v>260</v>
      </c>
      <c r="K32" s="5">
        <v>233</v>
      </c>
      <c r="L32" s="5">
        <v>108</v>
      </c>
      <c r="M32" s="5">
        <v>983</v>
      </c>
      <c r="N32" s="5">
        <v>120</v>
      </c>
      <c r="O32" s="5">
        <v>413</v>
      </c>
      <c r="P32" s="5">
        <v>171</v>
      </c>
      <c r="Q32" s="5">
        <v>852</v>
      </c>
      <c r="R32" s="5">
        <v>264</v>
      </c>
      <c r="S32" s="5">
        <v>484</v>
      </c>
      <c r="T32" s="19"/>
      <c r="U32">
        <f t="shared" si="1"/>
        <v>25</v>
      </c>
      <c r="V32">
        <f t="shared" si="2"/>
        <v>626</v>
      </c>
      <c r="W32">
        <f t="shared" si="3"/>
        <v>731</v>
      </c>
      <c r="X32">
        <f t="shared" si="4"/>
        <v>463</v>
      </c>
      <c r="Y32">
        <f t="shared" si="5"/>
        <v>190</v>
      </c>
      <c r="Z32">
        <f t="shared" si="6"/>
        <v>948</v>
      </c>
      <c r="AA32">
        <f t="shared" si="7"/>
        <v>257</v>
      </c>
      <c r="AB32">
        <f t="shared" si="8"/>
        <v>260</v>
      </c>
      <c r="AC32">
        <f t="shared" si="9"/>
        <v>233</v>
      </c>
      <c r="AD32">
        <f t="shared" si="10"/>
        <v>108</v>
      </c>
      <c r="AE32">
        <f t="shared" si="11"/>
        <v>983</v>
      </c>
      <c r="AF32">
        <f t="shared" si="12"/>
        <v>120</v>
      </c>
      <c r="AG32">
        <f t="shared" si="13"/>
        <v>413</v>
      </c>
      <c r="AH32">
        <f t="shared" si="14"/>
        <v>171</v>
      </c>
      <c r="AI32">
        <f t="shared" si="15"/>
        <v>852</v>
      </c>
      <c r="AJ32">
        <f t="shared" si="16"/>
        <v>264</v>
      </c>
      <c r="AK32">
        <f t="shared" si="16"/>
        <v>484</v>
      </c>
    </row>
    <row r="33" spans="1:37" x14ac:dyDescent="0.25">
      <c r="A33" s="4">
        <v>2002</v>
      </c>
      <c r="B33" s="4" t="s">
        <v>25</v>
      </c>
      <c r="C33" s="5">
        <v>35</v>
      </c>
      <c r="D33" s="5">
        <v>593</v>
      </c>
      <c r="E33" s="5">
        <v>783</v>
      </c>
      <c r="F33" s="5">
        <v>404</v>
      </c>
      <c r="G33" s="5">
        <v>189</v>
      </c>
      <c r="H33" s="5">
        <v>1051</v>
      </c>
      <c r="I33" s="5">
        <v>274</v>
      </c>
      <c r="J33" s="5">
        <v>255</v>
      </c>
      <c r="K33" s="5">
        <v>240</v>
      </c>
      <c r="L33" s="5">
        <v>133</v>
      </c>
      <c r="M33" s="5">
        <v>1079</v>
      </c>
      <c r="N33" s="5">
        <v>194</v>
      </c>
      <c r="O33" s="5">
        <v>445</v>
      </c>
      <c r="P33" s="5">
        <v>175</v>
      </c>
      <c r="Q33" s="5">
        <v>859</v>
      </c>
      <c r="R33" s="5">
        <v>335</v>
      </c>
      <c r="S33" s="5">
        <v>561</v>
      </c>
      <c r="T33" s="19"/>
      <c r="U33">
        <f t="shared" si="1"/>
        <v>35</v>
      </c>
      <c r="V33">
        <f t="shared" si="2"/>
        <v>593</v>
      </c>
      <c r="W33">
        <f t="shared" si="3"/>
        <v>783</v>
      </c>
      <c r="X33">
        <f t="shared" si="4"/>
        <v>404</v>
      </c>
      <c r="Y33">
        <f t="shared" si="5"/>
        <v>189</v>
      </c>
      <c r="Z33">
        <f t="shared" si="6"/>
        <v>1051</v>
      </c>
      <c r="AA33">
        <f t="shared" si="7"/>
        <v>274</v>
      </c>
      <c r="AB33">
        <f t="shared" si="8"/>
        <v>255</v>
      </c>
      <c r="AC33">
        <f t="shared" si="9"/>
        <v>240</v>
      </c>
      <c r="AD33">
        <f t="shared" si="10"/>
        <v>133</v>
      </c>
      <c r="AE33">
        <f t="shared" si="11"/>
        <v>1079</v>
      </c>
      <c r="AF33">
        <f t="shared" si="12"/>
        <v>194</v>
      </c>
      <c r="AG33">
        <f t="shared" si="13"/>
        <v>445</v>
      </c>
      <c r="AH33">
        <f t="shared" si="14"/>
        <v>175</v>
      </c>
      <c r="AI33">
        <f t="shared" si="15"/>
        <v>859</v>
      </c>
      <c r="AJ33">
        <f t="shared" si="16"/>
        <v>335</v>
      </c>
      <c r="AK33">
        <f t="shared" si="16"/>
        <v>561</v>
      </c>
    </row>
    <row r="34" spans="1:37" x14ac:dyDescent="0.25">
      <c r="A34" s="4">
        <v>2002</v>
      </c>
      <c r="B34" s="4" t="s">
        <v>26</v>
      </c>
      <c r="C34" s="5">
        <v>19</v>
      </c>
      <c r="D34" s="5">
        <v>594</v>
      </c>
      <c r="E34" s="5">
        <v>791</v>
      </c>
      <c r="F34" s="5">
        <v>394</v>
      </c>
      <c r="G34" s="5">
        <v>199</v>
      </c>
      <c r="H34" s="5">
        <v>933</v>
      </c>
      <c r="I34" s="5">
        <v>270</v>
      </c>
      <c r="J34" s="5">
        <v>264</v>
      </c>
      <c r="K34" s="5">
        <v>235</v>
      </c>
      <c r="L34" s="5">
        <v>109</v>
      </c>
      <c r="M34" s="5">
        <v>1075</v>
      </c>
      <c r="N34" s="5">
        <v>196</v>
      </c>
      <c r="O34" s="5">
        <v>476</v>
      </c>
      <c r="P34" s="5">
        <v>165</v>
      </c>
      <c r="Q34" s="5">
        <v>834</v>
      </c>
      <c r="R34" s="5">
        <v>356</v>
      </c>
      <c r="S34" s="5">
        <v>645</v>
      </c>
      <c r="T34" s="19"/>
      <c r="U34">
        <f t="shared" si="1"/>
        <v>19</v>
      </c>
      <c r="V34">
        <f t="shared" si="2"/>
        <v>594</v>
      </c>
      <c r="W34">
        <f t="shared" si="3"/>
        <v>791</v>
      </c>
      <c r="X34">
        <f t="shared" si="4"/>
        <v>394</v>
      </c>
      <c r="Y34">
        <f t="shared" si="5"/>
        <v>199</v>
      </c>
      <c r="Z34">
        <f t="shared" si="6"/>
        <v>933</v>
      </c>
      <c r="AA34">
        <f t="shared" si="7"/>
        <v>270</v>
      </c>
      <c r="AB34">
        <f t="shared" si="8"/>
        <v>264</v>
      </c>
      <c r="AC34">
        <f t="shared" si="9"/>
        <v>235</v>
      </c>
      <c r="AD34">
        <f t="shared" si="10"/>
        <v>109</v>
      </c>
      <c r="AE34">
        <f t="shared" si="11"/>
        <v>1075</v>
      </c>
      <c r="AF34">
        <f t="shared" si="12"/>
        <v>196</v>
      </c>
      <c r="AG34">
        <f t="shared" si="13"/>
        <v>476</v>
      </c>
      <c r="AH34">
        <f t="shared" si="14"/>
        <v>165</v>
      </c>
      <c r="AI34">
        <f t="shared" si="15"/>
        <v>834</v>
      </c>
      <c r="AJ34">
        <f t="shared" si="16"/>
        <v>356</v>
      </c>
      <c r="AK34">
        <f t="shared" si="16"/>
        <v>645</v>
      </c>
    </row>
    <row r="35" spans="1:37" x14ac:dyDescent="0.25">
      <c r="A35" s="4">
        <v>2002</v>
      </c>
      <c r="B35" s="4" t="s">
        <v>27</v>
      </c>
      <c r="C35" s="5">
        <v>32</v>
      </c>
      <c r="D35" s="5">
        <v>654</v>
      </c>
      <c r="E35" s="5">
        <v>722</v>
      </c>
      <c r="F35" s="5">
        <v>386</v>
      </c>
      <c r="G35" s="5">
        <v>217</v>
      </c>
      <c r="H35" s="5">
        <v>953</v>
      </c>
      <c r="I35" s="5">
        <v>221</v>
      </c>
      <c r="J35" s="5">
        <v>270</v>
      </c>
      <c r="K35" s="5">
        <v>236</v>
      </c>
      <c r="L35" s="5">
        <v>107</v>
      </c>
      <c r="M35" s="5">
        <v>926</v>
      </c>
      <c r="N35" s="5">
        <v>168</v>
      </c>
      <c r="O35" s="5">
        <v>492</v>
      </c>
      <c r="P35" s="5">
        <v>149</v>
      </c>
      <c r="Q35" s="5">
        <v>735</v>
      </c>
      <c r="R35" s="5">
        <v>353</v>
      </c>
      <c r="S35" s="5">
        <v>596</v>
      </c>
      <c r="T35" s="19"/>
      <c r="U35">
        <f t="shared" si="1"/>
        <v>32</v>
      </c>
      <c r="V35">
        <f t="shared" si="2"/>
        <v>654</v>
      </c>
      <c r="W35">
        <f t="shared" si="3"/>
        <v>722</v>
      </c>
      <c r="X35">
        <f t="shared" si="4"/>
        <v>386</v>
      </c>
      <c r="Y35">
        <f t="shared" si="5"/>
        <v>217</v>
      </c>
      <c r="Z35">
        <f t="shared" si="6"/>
        <v>953</v>
      </c>
      <c r="AA35">
        <f t="shared" si="7"/>
        <v>221</v>
      </c>
      <c r="AB35">
        <f t="shared" si="8"/>
        <v>270</v>
      </c>
      <c r="AC35">
        <f t="shared" si="9"/>
        <v>236</v>
      </c>
      <c r="AD35">
        <f t="shared" si="10"/>
        <v>107</v>
      </c>
      <c r="AE35">
        <f t="shared" si="11"/>
        <v>926</v>
      </c>
      <c r="AF35">
        <f t="shared" si="12"/>
        <v>168</v>
      </c>
      <c r="AG35">
        <f t="shared" si="13"/>
        <v>492</v>
      </c>
      <c r="AH35">
        <f t="shared" si="14"/>
        <v>149</v>
      </c>
      <c r="AI35">
        <f t="shared" si="15"/>
        <v>735</v>
      </c>
      <c r="AJ35">
        <f t="shared" si="16"/>
        <v>353</v>
      </c>
      <c r="AK35">
        <f t="shared" si="16"/>
        <v>596</v>
      </c>
    </row>
    <row r="36" spans="1:37" x14ac:dyDescent="0.25">
      <c r="A36" s="4">
        <v>2002</v>
      </c>
      <c r="B36" s="4" t="s">
        <v>28</v>
      </c>
      <c r="C36" s="5">
        <v>42</v>
      </c>
      <c r="D36" s="5">
        <v>615</v>
      </c>
      <c r="E36" s="5">
        <v>681</v>
      </c>
      <c r="F36" s="5">
        <v>395</v>
      </c>
      <c r="G36" s="5">
        <v>211</v>
      </c>
      <c r="H36" s="5">
        <v>960</v>
      </c>
      <c r="I36" s="5">
        <v>235</v>
      </c>
      <c r="J36" s="5">
        <v>231</v>
      </c>
      <c r="K36" s="5">
        <v>218</v>
      </c>
      <c r="L36" s="5">
        <v>82</v>
      </c>
      <c r="M36" s="5">
        <v>1007</v>
      </c>
      <c r="N36" s="5">
        <v>145</v>
      </c>
      <c r="O36" s="5">
        <v>417</v>
      </c>
      <c r="P36" s="5">
        <v>144</v>
      </c>
      <c r="Q36" s="5">
        <v>741</v>
      </c>
      <c r="R36" s="5">
        <v>281</v>
      </c>
      <c r="S36" s="5">
        <v>530</v>
      </c>
      <c r="T36" s="19"/>
      <c r="U36">
        <f t="shared" si="1"/>
        <v>42</v>
      </c>
      <c r="V36">
        <f t="shared" si="2"/>
        <v>615</v>
      </c>
      <c r="W36">
        <f t="shared" si="3"/>
        <v>681</v>
      </c>
      <c r="X36">
        <f t="shared" si="4"/>
        <v>395</v>
      </c>
      <c r="Y36">
        <f t="shared" si="5"/>
        <v>211</v>
      </c>
      <c r="Z36">
        <f t="shared" si="6"/>
        <v>960</v>
      </c>
      <c r="AA36">
        <f t="shared" si="7"/>
        <v>235</v>
      </c>
      <c r="AB36">
        <f t="shared" si="8"/>
        <v>231</v>
      </c>
      <c r="AC36">
        <f t="shared" si="9"/>
        <v>218</v>
      </c>
      <c r="AD36">
        <f t="shared" si="10"/>
        <v>82</v>
      </c>
      <c r="AE36">
        <f t="shared" si="11"/>
        <v>1007</v>
      </c>
      <c r="AF36">
        <f t="shared" si="12"/>
        <v>145</v>
      </c>
      <c r="AG36">
        <f t="shared" si="13"/>
        <v>417</v>
      </c>
      <c r="AH36">
        <f t="shared" si="14"/>
        <v>144</v>
      </c>
      <c r="AI36">
        <f t="shared" si="15"/>
        <v>741</v>
      </c>
      <c r="AJ36">
        <f t="shared" si="16"/>
        <v>281</v>
      </c>
      <c r="AK36">
        <f t="shared" si="16"/>
        <v>530</v>
      </c>
    </row>
    <row r="37" spans="1:37" x14ac:dyDescent="0.25">
      <c r="A37" s="4">
        <v>2002</v>
      </c>
      <c r="B37" s="4" t="s">
        <v>29</v>
      </c>
      <c r="C37" s="5">
        <v>36</v>
      </c>
      <c r="D37" s="5">
        <v>680</v>
      </c>
      <c r="E37" s="5">
        <v>666</v>
      </c>
      <c r="F37" s="5">
        <v>380</v>
      </c>
      <c r="G37" s="5">
        <v>209</v>
      </c>
      <c r="H37" s="5">
        <v>1003</v>
      </c>
      <c r="I37" s="5">
        <v>262</v>
      </c>
      <c r="J37" s="5">
        <v>211</v>
      </c>
      <c r="K37" s="5">
        <v>207</v>
      </c>
      <c r="L37" s="5">
        <v>105</v>
      </c>
      <c r="M37" s="5">
        <v>962</v>
      </c>
      <c r="N37" s="5">
        <v>120</v>
      </c>
      <c r="O37" s="5">
        <v>397</v>
      </c>
      <c r="P37" s="5">
        <v>175</v>
      </c>
      <c r="Q37" s="5">
        <v>781</v>
      </c>
      <c r="R37" s="5">
        <v>272</v>
      </c>
      <c r="S37" s="5">
        <v>499</v>
      </c>
      <c r="T37" s="19"/>
      <c r="U37">
        <f t="shared" si="1"/>
        <v>36</v>
      </c>
      <c r="V37">
        <f t="shared" si="2"/>
        <v>680</v>
      </c>
      <c r="W37">
        <f t="shared" si="3"/>
        <v>666</v>
      </c>
      <c r="X37">
        <f t="shared" si="4"/>
        <v>380</v>
      </c>
      <c r="Y37">
        <f t="shared" si="5"/>
        <v>209</v>
      </c>
      <c r="Z37">
        <f t="shared" si="6"/>
        <v>1003</v>
      </c>
      <c r="AA37">
        <f t="shared" si="7"/>
        <v>262</v>
      </c>
      <c r="AB37">
        <f t="shared" si="8"/>
        <v>211</v>
      </c>
      <c r="AC37">
        <f t="shared" si="9"/>
        <v>207</v>
      </c>
      <c r="AD37">
        <f t="shared" si="10"/>
        <v>105</v>
      </c>
      <c r="AE37">
        <f t="shared" si="11"/>
        <v>962</v>
      </c>
      <c r="AF37">
        <f t="shared" si="12"/>
        <v>120</v>
      </c>
      <c r="AG37">
        <f t="shared" si="13"/>
        <v>397</v>
      </c>
      <c r="AH37">
        <f t="shared" si="14"/>
        <v>175</v>
      </c>
      <c r="AI37">
        <f t="shared" si="15"/>
        <v>781</v>
      </c>
      <c r="AJ37">
        <f t="shared" si="16"/>
        <v>272</v>
      </c>
      <c r="AK37">
        <f t="shared" si="16"/>
        <v>499</v>
      </c>
    </row>
    <row r="38" spans="1:37" x14ac:dyDescent="0.25">
      <c r="A38" s="4">
        <v>2002</v>
      </c>
      <c r="B38" s="4" t="s">
        <v>30</v>
      </c>
      <c r="C38" s="5">
        <v>32</v>
      </c>
      <c r="D38" s="5">
        <v>758</v>
      </c>
      <c r="E38" s="5">
        <v>754</v>
      </c>
      <c r="F38" s="5">
        <v>362</v>
      </c>
      <c r="G38" s="5">
        <v>225</v>
      </c>
      <c r="H38" s="5">
        <v>1016</v>
      </c>
      <c r="I38" s="5">
        <v>233</v>
      </c>
      <c r="J38" s="5">
        <v>220</v>
      </c>
      <c r="K38" s="5">
        <v>223</v>
      </c>
      <c r="L38" s="5">
        <v>113</v>
      </c>
      <c r="M38" s="5">
        <v>1029</v>
      </c>
      <c r="N38" s="5">
        <v>84</v>
      </c>
      <c r="O38" s="5">
        <v>409</v>
      </c>
      <c r="P38" s="5">
        <v>171</v>
      </c>
      <c r="Q38" s="5">
        <v>807</v>
      </c>
      <c r="R38" s="5">
        <v>284</v>
      </c>
      <c r="S38" s="5">
        <v>468</v>
      </c>
      <c r="T38" s="19"/>
      <c r="U38">
        <f t="shared" si="1"/>
        <v>32</v>
      </c>
      <c r="V38">
        <f t="shared" si="2"/>
        <v>758</v>
      </c>
      <c r="W38">
        <f t="shared" si="3"/>
        <v>754</v>
      </c>
      <c r="X38">
        <f t="shared" si="4"/>
        <v>362</v>
      </c>
      <c r="Y38">
        <f t="shared" si="5"/>
        <v>225</v>
      </c>
      <c r="Z38">
        <f t="shared" si="6"/>
        <v>1016</v>
      </c>
      <c r="AA38">
        <f t="shared" si="7"/>
        <v>233</v>
      </c>
      <c r="AB38">
        <f t="shared" si="8"/>
        <v>220</v>
      </c>
      <c r="AC38">
        <f t="shared" si="9"/>
        <v>223</v>
      </c>
      <c r="AD38">
        <f t="shared" si="10"/>
        <v>113</v>
      </c>
      <c r="AE38">
        <f t="shared" si="11"/>
        <v>1029</v>
      </c>
      <c r="AF38">
        <f t="shared" si="12"/>
        <v>84</v>
      </c>
      <c r="AG38">
        <f t="shared" si="13"/>
        <v>409</v>
      </c>
      <c r="AH38">
        <f t="shared" si="14"/>
        <v>171</v>
      </c>
      <c r="AI38">
        <f t="shared" si="15"/>
        <v>807</v>
      </c>
      <c r="AJ38">
        <f t="shared" si="16"/>
        <v>284</v>
      </c>
      <c r="AK38">
        <f t="shared" si="16"/>
        <v>468</v>
      </c>
    </row>
    <row r="39" spans="1:37" x14ac:dyDescent="0.25">
      <c r="A39" s="4">
        <v>2002</v>
      </c>
      <c r="B39" s="4" t="s">
        <v>19</v>
      </c>
      <c r="C39" s="5">
        <v>45</v>
      </c>
      <c r="D39" s="5">
        <v>941</v>
      </c>
      <c r="E39" s="5">
        <v>810</v>
      </c>
      <c r="F39" s="5">
        <v>379</v>
      </c>
      <c r="G39" s="5">
        <v>212</v>
      </c>
      <c r="H39" s="5">
        <v>938</v>
      </c>
      <c r="I39" s="5">
        <v>243</v>
      </c>
      <c r="J39" s="5">
        <v>255</v>
      </c>
      <c r="K39" s="5">
        <v>226</v>
      </c>
      <c r="L39" s="5">
        <v>96</v>
      </c>
      <c r="M39" s="5">
        <v>1038</v>
      </c>
      <c r="N39" s="5">
        <v>100</v>
      </c>
      <c r="O39" s="5">
        <v>458</v>
      </c>
      <c r="P39" s="5">
        <v>187</v>
      </c>
      <c r="Q39" s="5">
        <v>735</v>
      </c>
      <c r="R39" s="5">
        <v>241</v>
      </c>
      <c r="S39" s="5">
        <v>446</v>
      </c>
      <c r="T39" s="19"/>
      <c r="U39">
        <f t="shared" si="1"/>
        <v>45</v>
      </c>
      <c r="V39">
        <f t="shared" si="2"/>
        <v>941</v>
      </c>
      <c r="W39">
        <f t="shared" si="3"/>
        <v>810</v>
      </c>
      <c r="X39">
        <f t="shared" si="4"/>
        <v>379</v>
      </c>
      <c r="Y39">
        <f t="shared" si="5"/>
        <v>212</v>
      </c>
      <c r="Z39">
        <f t="shared" si="6"/>
        <v>938</v>
      </c>
      <c r="AA39">
        <f t="shared" si="7"/>
        <v>243</v>
      </c>
      <c r="AB39">
        <f t="shared" si="8"/>
        <v>255</v>
      </c>
      <c r="AC39">
        <f t="shared" si="9"/>
        <v>226</v>
      </c>
      <c r="AD39">
        <f t="shared" si="10"/>
        <v>96</v>
      </c>
      <c r="AE39">
        <f t="shared" si="11"/>
        <v>1038</v>
      </c>
      <c r="AF39">
        <f t="shared" si="12"/>
        <v>100</v>
      </c>
      <c r="AG39">
        <f t="shared" si="13"/>
        <v>458</v>
      </c>
      <c r="AH39">
        <f t="shared" si="14"/>
        <v>187</v>
      </c>
      <c r="AI39">
        <f t="shared" si="15"/>
        <v>735</v>
      </c>
      <c r="AJ39">
        <f t="shared" si="16"/>
        <v>241</v>
      </c>
      <c r="AK39">
        <f t="shared" si="16"/>
        <v>446</v>
      </c>
    </row>
    <row r="40" spans="1:37" x14ac:dyDescent="0.25">
      <c r="A40" s="4">
        <v>2002</v>
      </c>
      <c r="B40" s="4" t="s">
        <v>96</v>
      </c>
      <c r="C40" s="5">
        <v>33</v>
      </c>
      <c r="D40" s="5">
        <v>800</v>
      </c>
      <c r="E40" s="5">
        <v>789</v>
      </c>
      <c r="F40" s="5">
        <v>416</v>
      </c>
      <c r="G40" s="5">
        <v>205</v>
      </c>
      <c r="H40" s="5">
        <v>997</v>
      </c>
      <c r="I40" s="5">
        <v>274</v>
      </c>
      <c r="J40" s="5">
        <v>253</v>
      </c>
      <c r="K40" s="5">
        <v>216</v>
      </c>
      <c r="L40" s="5">
        <v>104</v>
      </c>
      <c r="M40" s="5">
        <v>1009</v>
      </c>
      <c r="N40" s="5">
        <v>126</v>
      </c>
      <c r="O40" s="5">
        <v>444</v>
      </c>
      <c r="P40" s="5">
        <v>171</v>
      </c>
      <c r="Q40" s="5">
        <v>789</v>
      </c>
      <c r="R40" s="5">
        <v>301</v>
      </c>
      <c r="S40" s="5">
        <v>512</v>
      </c>
      <c r="T40" s="19"/>
      <c r="U40" t="str">
        <f t="shared" si="1"/>
        <v/>
      </c>
      <c r="V40" t="str">
        <f t="shared" si="2"/>
        <v/>
      </c>
      <c r="W40" t="str">
        <f t="shared" si="3"/>
        <v/>
      </c>
      <c r="X40" t="str">
        <f t="shared" si="4"/>
        <v/>
      </c>
      <c r="Y40" t="str">
        <f t="shared" si="5"/>
        <v/>
      </c>
      <c r="Z40" t="str">
        <f t="shared" si="6"/>
        <v/>
      </c>
      <c r="AA40" t="str">
        <f t="shared" si="7"/>
        <v/>
      </c>
      <c r="AB40" t="str">
        <f t="shared" si="8"/>
        <v/>
      </c>
      <c r="AC40" t="str">
        <f t="shared" si="9"/>
        <v/>
      </c>
      <c r="AD40" t="str">
        <f t="shared" si="10"/>
        <v/>
      </c>
      <c r="AE40" t="str">
        <f t="shared" si="11"/>
        <v/>
      </c>
      <c r="AF40" t="str">
        <f t="shared" si="12"/>
        <v/>
      </c>
      <c r="AG40" t="str">
        <f t="shared" si="13"/>
        <v/>
      </c>
      <c r="AH40" t="str">
        <f t="shared" si="14"/>
        <v/>
      </c>
      <c r="AI40" t="str">
        <f t="shared" si="15"/>
        <v/>
      </c>
      <c r="AJ40" t="str">
        <f t="shared" si="16"/>
        <v/>
      </c>
      <c r="AK40" t="str">
        <f t="shared" si="16"/>
        <v/>
      </c>
    </row>
    <row r="41" spans="1:37" x14ac:dyDescent="0.25">
      <c r="A41" s="4">
        <v>2003</v>
      </c>
      <c r="B41" s="4" t="s">
        <v>20</v>
      </c>
      <c r="C41" s="5">
        <v>54</v>
      </c>
      <c r="D41" s="5">
        <v>1196</v>
      </c>
      <c r="E41" s="5">
        <v>896</v>
      </c>
      <c r="F41" s="5">
        <v>406</v>
      </c>
      <c r="G41" s="5">
        <v>251</v>
      </c>
      <c r="H41" s="5">
        <v>1091</v>
      </c>
      <c r="I41" s="5">
        <v>331</v>
      </c>
      <c r="J41" s="5">
        <v>243</v>
      </c>
      <c r="K41" s="5">
        <v>225</v>
      </c>
      <c r="L41" s="5">
        <v>101</v>
      </c>
      <c r="M41" s="5">
        <v>1112</v>
      </c>
      <c r="N41" s="5">
        <v>127</v>
      </c>
      <c r="O41" s="5">
        <v>432</v>
      </c>
      <c r="P41" s="5">
        <v>201</v>
      </c>
      <c r="Q41" s="5">
        <v>848</v>
      </c>
      <c r="R41" s="5">
        <v>304</v>
      </c>
      <c r="S41" s="5">
        <v>571</v>
      </c>
      <c r="T41" s="19"/>
      <c r="U41">
        <f t="shared" si="1"/>
        <v>54</v>
      </c>
      <c r="V41">
        <f t="shared" si="2"/>
        <v>1196</v>
      </c>
      <c r="W41">
        <f t="shared" si="3"/>
        <v>896</v>
      </c>
      <c r="X41">
        <f t="shared" si="4"/>
        <v>406</v>
      </c>
      <c r="Y41">
        <f t="shared" si="5"/>
        <v>251</v>
      </c>
      <c r="Z41">
        <f t="shared" si="6"/>
        <v>1091</v>
      </c>
      <c r="AA41">
        <f t="shared" si="7"/>
        <v>331</v>
      </c>
      <c r="AB41">
        <f t="shared" si="8"/>
        <v>243</v>
      </c>
      <c r="AC41">
        <f t="shared" si="9"/>
        <v>225</v>
      </c>
      <c r="AD41">
        <f t="shared" si="10"/>
        <v>101</v>
      </c>
      <c r="AE41">
        <f t="shared" si="11"/>
        <v>1112</v>
      </c>
      <c r="AF41">
        <f t="shared" si="12"/>
        <v>127</v>
      </c>
      <c r="AG41">
        <f t="shared" si="13"/>
        <v>432</v>
      </c>
      <c r="AH41">
        <f t="shared" si="14"/>
        <v>201</v>
      </c>
      <c r="AI41">
        <f t="shared" si="15"/>
        <v>848</v>
      </c>
      <c r="AJ41">
        <f t="shared" si="16"/>
        <v>304</v>
      </c>
      <c r="AK41">
        <f t="shared" si="16"/>
        <v>571</v>
      </c>
    </row>
    <row r="42" spans="1:37" x14ac:dyDescent="0.25">
      <c r="A42" s="4">
        <v>2003</v>
      </c>
      <c r="B42" s="4" t="s">
        <v>21</v>
      </c>
      <c r="C42" s="5">
        <v>41</v>
      </c>
      <c r="D42" s="5">
        <v>1173</v>
      </c>
      <c r="E42" s="5">
        <v>791</v>
      </c>
      <c r="F42" s="5">
        <v>438</v>
      </c>
      <c r="G42" s="5">
        <v>206</v>
      </c>
      <c r="H42" s="5">
        <v>1031</v>
      </c>
      <c r="I42" s="5">
        <v>316</v>
      </c>
      <c r="J42" s="5">
        <v>321</v>
      </c>
      <c r="K42" s="5">
        <v>244</v>
      </c>
      <c r="L42" s="5">
        <v>66</v>
      </c>
      <c r="M42" s="5">
        <v>1140</v>
      </c>
      <c r="N42" s="5">
        <v>106</v>
      </c>
      <c r="O42" s="5">
        <v>471</v>
      </c>
      <c r="P42" s="5">
        <v>222</v>
      </c>
      <c r="Q42" s="5">
        <v>922</v>
      </c>
      <c r="R42" s="5">
        <v>331</v>
      </c>
      <c r="S42" s="5">
        <v>483</v>
      </c>
      <c r="T42" s="19"/>
      <c r="U42">
        <f t="shared" si="1"/>
        <v>41</v>
      </c>
      <c r="V42">
        <f t="shared" si="2"/>
        <v>1173</v>
      </c>
      <c r="W42">
        <f t="shared" si="3"/>
        <v>791</v>
      </c>
      <c r="X42">
        <f t="shared" si="4"/>
        <v>438</v>
      </c>
      <c r="Y42">
        <f t="shared" si="5"/>
        <v>206</v>
      </c>
      <c r="Z42">
        <f t="shared" si="6"/>
        <v>1031</v>
      </c>
      <c r="AA42">
        <f t="shared" si="7"/>
        <v>316</v>
      </c>
      <c r="AB42">
        <f t="shared" si="8"/>
        <v>321</v>
      </c>
      <c r="AC42">
        <f t="shared" si="9"/>
        <v>244</v>
      </c>
      <c r="AD42">
        <f t="shared" si="10"/>
        <v>66</v>
      </c>
      <c r="AE42">
        <f t="shared" si="11"/>
        <v>1140</v>
      </c>
      <c r="AF42">
        <f t="shared" si="12"/>
        <v>106</v>
      </c>
      <c r="AG42">
        <f t="shared" si="13"/>
        <v>471</v>
      </c>
      <c r="AH42">
        <f t="shared" si="14"/>
        <v>222</v>
      </c>
      <c r="AI42">
        <f t="shared" si="15"/>
        <v>922</v>
      </c>
      <c r="AJ42">
        <f t="shared" si="16"/>
        <v>331</v>
      </c>
      <c r="AK42">
        <f t="shared" si="16"/>
        <v>483</v>
      </c>
    </row>
    <row r="43" spans="1:37" x14ac:dyDescent="0.25">
      <c r="A43" s="4">
        <v>2003</v>
      </c>
      <c r="B43" s="4" t="s">
        <v>22</v>
      </c>
      <c r="C43" s="5">
        <v>46</v>
      </c>
      <c r="D43" s="5">
        <v>987</v>
      </c>
      <c r="E43" s="5">
        <v>743</v>
      </c>
      <c r="F43" s="5">
        <v>479</v>
      </c>
      <c r="G43" s="5">
        <v>218</v>
      </c>
      <c r="H43" s="5">
        <v>962</v>
      </c>
      <c r="I43" s="5">
        <v>319</v>
      </c>
      <c r="J43" s="5">
        <v>267</v>
      </c>
      <c r="K43" s="5">
        <v>237</v>
      </c>
      <c r="L43" s="5">
        <v>119</v>
      </c>
      <c r="M43" s="5">
        <v>1190</v>
      </c>
      <c r="N43" s="5">
        <v>100</v>
      </c>
      <c r="O43" s="5">
        <v>417</v>
      </c>
      <c r="P43" s="5">
        <v>161</v>
      </c>
      <c r="Q43" s="5">
        <v>874</v>
      </c>
      <c r="R43" s="5">
        <v>370</v>
      </c>
      <c r="S43" s="5">
        <v>526</v>
      </c>
      <c r="T43" s="19"/>
      <c r="U43">
        <f t="shared" si="1"/>
        <v>46</v>
      </c>
      <c r="V43">
        <f t="shared" si="2"/>
        <v>987</v>
      </c>
      <c r="W43">
        <f t="shared" si="3"/>
        <v>743</v>
      </c>
      <c r="X43">
        <f t="shared" si="4"/>
        <v>479</v>
      </c>
      <c r="Y43">
        <f t="shared" si="5"/>
        <v>218</v>
      </c>
      <c r="Z43">
        <f t="shared" si="6"/>
        <v>962</v>
      </c>
      <c r="AA43">
        <f t="shared" si="7"/>
        <v>319</v>
      </c>
      <c r="AB43">
        <f t="shared" si="8"/>
        <v>267</v>
      </c>
      <c r="AC43">
        <f t="shared" si="9"/>
        <v>237</v>
      </c>
      <c r="AD43">
        <f t="shared" si="10"/>
        <v>119</v>
      </c>
      <c r="AE43">
        <f t="shared" si="11"/>
        <v>1190</v>
      </c>
      <c r="AF43">
        <f t="shared" si="12"/>
        <v>100</v>
      </c>
      <c r="AG43">
        <f t="shared" si="13"/>
        <v>417</v>
      </c>
      <c r="AH43">
        <f t="shared" si="14"/>
        <v>161</v>
      </c>
      <c r="AI43">
        <f t="shared" si="15"/>
        <v>874</v>
      </c>
      <c r="AJ43">
        <f t="shared" si="16"/>
        <v>370</v>
      </c>
      <c r="AK43">
        <f t="shared" si="16"/>
        <v>526</v>
      </c>
    </row>
    <row r="44" spans="1:37" x14ac:dyDescent="0.25">
      <c r="A44" s="4">
        <v>2003</v>
      </c>
      <c r="B44" s="4" t="s">
        <v>23</v>
      </c>
      <c r="C44" s="5">
        <v>41</v>
      </c>
      <c r="D44" s="5">
        <v>772</v>
      </c>
      <c r="E44" s="5">
        <v>799</v>
      </c>
      <c r="F44" s="5">
        <v>400</v>
      </c>
      <c r="G44" s="5">
        <v>218</v>
      </c>
      <c r="H44" s="5">
        <v>983</v>
      </c>
      <c r="I44" s="5">
        <v>274</v>
      </c>
      <c r="J44" s="5">
        <v>268</v>
      </c>
      <c r="K44" s="5">
        <v>239</v>
      </c>
      <c r="L44" s="5">
        <v>85</v>
      </c>
      <c r="M44" s="5">
        <v>1076</v>
      </c>
      <c r="N44" s="5">
        <v>124</v>
      </c>
      <c r="O44" s="5">
        <v>486</v>
      </c>
      <c r="P44" s="5">
        <v>158</v>
      </c>
      <c r="Q44" s="5">
        <v>828</v>
      </c>
      <c r="R44" s="5">
        <v>331</v>
      </c>
      <c r="S44" s="5">
        <v>440</v>
      </c>
      <c r="T44" s="19"/>
      <c r="U44">
        <f t="shared" si="1"/>
        <v>41</v>
      </c>
      <c r="V44">
        <f t="shared" si="2"/>
        <v>772</v>
      </c>
      <c r="W44">
        <f t="shared" si="3"/>
        <v>799</v>
      </c>
      <c r="X44">
        <f t="shared" si="4"/>
        <v>400</v>
      </c>
      <c r="Y44">
        <f t="shared" si="5"/>
        <v>218</v>
      </c>
      <c r="Z44">
        <f t="shared" si="6"/>
        <v>983</v>
      </c>
      <c r="AA44">
        <f t="shared" si="7"/>
        <v>274</v>
      </c>
      <c r="AB44">
        <f t="shared" si="8"/>
        <v>268</v>
      </c>
      <c r="AC44">
        <f t="shared" si="9"/>
        <v>239</v>
      </c>
      <c r="AD44">
        <f t="shared" si="10"/>
        <v>85</v>
      </c>
      <c r="AE44">
        <f t="shared" si="11"/>
        <v>1076</v>
      </c>
      <c r="AF44">
        <f t="shared" si="12"/>
        <v>124</v>
      </c>
      <c r="AG44">
        <f t="shared" si="13"/>
        <v>486</v>
      </c>
      <c r="AH44">
        <f t="shared" si="14"/>
        <v>158</v>
      </c>
      <c r="AI44">
        <f t="shared" si="15"/>
        <v>828</v>
      </c>
      <c r="AJ44">
        <f t="shared" si="16"/>
        <v>331</v>
      </c>
      <c r="AK44">
        <f t="shared" si="16"/>
        <v>440</v>
      </c>
    </row>
    <row r="45" spans="1:37" x14ac:dyDescent="0.25">
      <c r="A45" s="4">
        <v>2003</v>
      </c>
      <c r="B45" s="4" t="s">
        <v>24</v>
      </c>
      <c r="C45" s="5">
        <v>40</v>
      </c>
      <c r="D45" s="5">
        <v>715</v>
      </c>
      <c r="E45" s="5">
        <v>755</v>
      </c>
      <c r="F45" s="5">
        <v>395</v>
      </c>
      <c r="G45" s="5">
        <v>220</v>
      </c>
      <c r="H45" s="5">
        <v>1027</v>
      </c>
      <c r="I45" s="5">
        <v>260</v>
      </c>
      <c r="J45" s="5">
        <v>251</v>
      </c>
      <c r="K45" s="5">
        <v>234</v>
      </c>
      <c r="L45" s="5">
        <v>87</v>
      </c>
      <c r="M45" s="5">
        <v>1105</v>
      </c>
      <c r="N45" s="5">
        <v>170</v>
      </c>
      <c r="O45" s="5">
        <v>448</v>
      </c>
      <c r="P45" s="5">
        <v>124</v>
      </c>
      <c r="Q45" s="5">
        <v>831</v>
      </c>
      <c r="R45" s="5">
        <v>339</v>
      </c>
      <c r="S45" s="5">
        <v>478</v>
      </c>
      <c r="T45" s="19"/>
      <c r="U45">
        <f t="shared" si="1"/>
        <v>40</v>
      </c>
      <c r="V45">
        <f t="shared" si="2"/>
        <v>715</v>
      </c>
      <c r="W45">
        <f t="shared" si="3"/>
        <v>755</v>
      </c>
      <c r="X45">
        <f t="shared" si="4"/>
        <v>395</v>
      </c>
      <c r="Y45">
        <f t="shared" si="5"/>
        <v>220</v>
      </c>
      <c r="Z45">
        <f t="shared" si="6"/>
        <v>1027</v>
      </c>
      <c r="AA45">
        <f t="shared" si="7"/>
        <v>260</v>
      </c>
      <c r="AB45">
        <f t="shared" si="8"/>
        <v>251</v>
      </c>
      <c r="AC45">
        <f t="shared" si="9"/>
        <v>234</v>
      </c>
      <c r="AD45">
        <f t="shared" si="10"/>
        <v>87</v>
      </c>
      <c r="AE45">
        <f t="shared" si="11"/>
        <v>1105</v>
      </c>
      <c r="AF45">
        <f t="shared" si="12"/>
        <v>170</v>
      </c>
      <c r="AG45">
        <f t="shared" si="13"/>
        <v>448</v>
      </c>
      <c r="AH45">
        <f t="shared" si="14"/>
        <v>124</v>
      </c>
      <c r="AI45">
        <f t="shared" si="15"/>
        <v>831</v>
      </c>
      <c r="AJ45">
        <f t="shared" si="16"/>
        <v>339</v>
      </c>
      <c r="AK45">
        <f t="shared" si="16"/>
        <v>478</v>
      </c>
    </row>
    <row r="46" spans="1:37" x14ac:dyDescent="0.25">
      <c r="A46" s="4">
        <v>2003</v>
      </c>
      <c r="B46" s="4" t="s">
        <v>25</v>
      </c>
      <c r="C46" s="5">
        <v>36</v>
      </c>
      <c r="D46" s="5">
        <v>710</v>
      </c>
      <c r="E46" s="5">
        <v>800</v>
      </c>
      <c r="F46" s="5">
        <v>432</v>
      </c>
      <c r="G46" s="5">
        <v>272</v>
      </c>
      <c r="H46" s="5">
        <v>1162</v>
      </c>
      <c r="I46" s="5">
        <v>300</v>
      </c>
      <c r="J46" s="5">
        <v>239</v>
      </c>
      <c r="K46" s="5">
        <v>228</v>
      </c>
      <c r="L46" s="5">
        <v>130</v>
      </c>
      <c r="M46" s="5">
        <v>1092</v>
      </c>
      <c r="N46" s="5">
        <v>215</v>
      </c>
      <c r="O46" s="5">
        <v>555</v>
      </c>
      <c r="P46" s="5">
        <v>115</v>
      </c>
      <c r="Q46" s="5">
        <v>933</v>
      </c>
      <c r="R46" s="5">
        <v>359</v>
      </c>
      <c r="S46" s="5">
        <v>704</v>
      </c>
      <c r="T46" s="19"/>
      <c r="U46">
        <f t="shared" si="1"/>
        <v>36</v>
      </c>
      <c r="V46">
        <f t="shared" si="2"/>
        <v>710</v>
      </c>
      <c r="W46">
        <f t="shared" si="3"/>
        <v>800</v>
      </c>
      <c r="X46">
        <f t="shared" si="4"/>
        <v>432</v>
      </c>
      <c r="Y46">
        <f t="shared" si="5"/>
        <v>272</v>
      </c>
      <c r="Z46">
        <f t="shared" si="6"/>
        <v>1162</v>
      </c>
      <c r="AA46">
        <f t="shared" si="7"/>
        <v>300</v>
      </c>
      <c r="AB46">
        <f t="shared" si="8"/>
        <v>239</v>
      </c>
      <c r="AC46">
        <f t="shared" si="9"/>
        <v>228</v>
      </c>
      <c r="AD46">
        <f t="shared" si="10"/>
        <v>130</v>
      </c>
      <c r="AE46">
        <f t="shared" si="11"/>
        <v>1092</v>
      </c>
      <c r="AF46">
        <f t="shared" si="12"/>
        <v>215</v>
      </c>
      <c r="AG46">
        <f t="shared" si="13"/>
        <v>555</v>
      </c>
      <c r="AH46">
        <f t="shared" si="14"/>
        <v>115</v>
      </c>
      <c r="AI46">
        <f t="shared" si="15"/>
        <v>933</v>
      </c>
      <c r="AJ46">
        <f t="shared" si="16"/>
        <v>359</v>
      </c>
      <c r="AK46">
        <f t="shared" si="16"/>
        <v>704</v>
      </c>
    </row>
    <row r="47" spans="1:37" x14ac:dyDescent="0.25">
      <c r="A47" s="4">
        <v>2003</v>
      </c>
      <c r="B47" s="4" t="s">
        <v>26</v>
      </c>
      <c r="C47" s="5">
        <v>43</v>
      </c>
      <c r="D47" s="5">
        <v>677</v>
      </c>
      <c r="E47" s="5">
        <v>799</v>
      </c>
      <c r="F47" s="5">
        <v>394</v>
      </c>
      <c r="G47" s="5">
        <v>228</v>
      </c>
      <c r="H47" s="5">
        <v>1159</v>
      </c>
      <c r="I47" s="5">
        <v>289</v>
      </c>
      <c r="J47" s="5">
        <v>224</v>
      </c>
      <c r="K47" s="5">
        <v>187</v>
      </c>
      <c r="L47" s="5">
        <v>97</v>
      </c>
      <c r="M47" s="5">
        <v>1021</v>
      </c>
      <c r="N47" s="5">
        <v>191</v>
      </c>
      <c r="O47" s="5">
        <v>507</v>
      </c>
      <c r="P47" s="5">
        <v>131</v>
      </c>
      <c r="Q47" s="5">
        <v>889</v>
      </c>
      <c r="R47" s="5">
        <v>405</v>
      </c>
      <c r="S47" s="5">
        <v>749</v>
      </c>
      <c r="T47" s="19"/>
      <c r="U47">
        <f t="shared" si="1"/>
        <v>43</v>
      </c>
      <c r="V47">
        <f t="shared" si="2"/>
        <v>677</v>
      </c>
      <c r="W47">
        <f t="shared" si="3"/>
        <v>799</v>
      </c>
      <c r="X47">
        <f t="shared" si="4"/>
        <v>394</v>
      </c>
      <c r="Y47">
        <f t="shared" si="5"/>
        <v>228</v>
      </c>
      <c r="Z47">
        <f t="shared" si="6"/>
        <v>1159</v>
      </c>
      <c r="AA47">
        <f t="shared" si="7"/>
        <v>289</v>
      </c>
      <c r="AB47">
        <f t="shared" si="8"/>
        <v>224</v>
      </c>
      <c r="AC47">
        <f t="shared" si="9"/>
        <v>187</v>
      </c>
      <c r="AD47">
        <f t="shared" si="10"/>
        <v>97</v>
      </c>
      <c r="AE47">
        <f t="shared" si="11"/>
        <v>1021</v>
      </c>
      <c r="AF47">
        <f t="shared" si="12"/>
        <v>191</v>
      </c>
      <c r="AG47">
        <f t="shared" si="13"/>
        <v>507</v>
      </c>
      <c r="AH47">
        <f t="shared" si="14"/>
        <v>131</v>
      </c>
      <c r="AI47">
        <f t="shared" si="15"/>
        <v>889</v>
      </c>
      <c r="AJ47">
        <f t="shared" si="16"/>
        <v>405</v>
      </c>
      <c r="AK47">
        <f t="shared" si="16"/>
        <v>749</v>
      </c>
    </row>
    <row r="48" spans="1:37" x14ac:dyDescent="0.25">
      <c r="A48" s="4">
        <v>2003</v>
      </c>
      <c r="B48" s="4" t="s">
        <v>27</v>
      </c>
      <c r="C48" s="5">
        <v>20</v>
      </c>
      <c r="D48" s="5">
        <v>650</v>
      </c>
      <c r="E48" s="5">
        <v>752</v>
      </c>
      <c r="F48" s="5">
        <v>434</v>
      </c>
      <c r="G48" s="5">
        <v>217</v>
      </c>
      <c r="H48" s="5">
        <v>944</v>
      </c>
      <c r="I48" s="5">
        <v>255</v>
      </c>
      <c r="J48" s="5">
        <v>224</v>
      </c>
      <c r="K48" s="5">
        <v>241</v>
      </c>
      <c r="L48" s="5">
        <v>101</v>
      </c>
      <c r="M48" s="5">
        <v>881</v>
      </c>
      <c r="N48" s="5">
        <v>218</v>
      </c>
      <c r="O48" s="5">
        <v>542</v>
      </c>
      <c r="P48" s="5">
        <v>130</v>
      </c>
      <c r="Q48" s="5">
        <v>920</v>
      </c>
      <c r="R48" s="5">
        <v>373</v>
      </c>
      <c r="S48" s="5">
        <v>745</v>
      </c>
      <c r="T48" s="19"/>
      <c r="U48">
        <f t="shared" si="1"/>
        <v>20</v>
      </c>
      <c r="V48">
        <f t="shared" si="2"/>
        <v>650</v>
      </c>
      <c r="W48">
        <f t="shared" si="3"/>
        <v>752</v>
      </c>
      <c r="X48">
        <f t="shared" si="4"/>
        <v>434</v>
      </c>
      <c r="Y48">
        <f t="shared" si="5"/>
        <v>217</v>
      </c>
      <c r="Z48">
        <f t="shared" si="6"/>
        <v>944</v>
      </c>
      <c r="AA48">
        <f t="shared" si="7"/>
        <v>255</v>
      </c>
      <c r="AB48">
        <f t="shared" si="8"/>
        <v>224</v>
      </c>
      <c r="AC48">
        <f t="shared" si="9"/>
        <v>241</v>
      </c>
      <c r="AD48">
        <f t="shared" si="10"/>
        <v>101</v>
      </c>
      <c r="AE48">
        <f t="shared" si="11"/>
        <v>881</v>
      </c>
      <c r="AF48">
        <f t="shared" si="12"/>
        <v>218</v>
      </c>
      <c r="AG48">
        <f t="shared" si="13"/>
        <v>542</v>
      </c>
      <c r="AH48">
        <f t="shared" si="14"/>
        <v>130</v>
      </c>
      <c r="AI48">
        <f t="shared" si="15"/>
        <v>920</v>
      </c>
      <c r="AJ48">
        <f t="shared" si="16"/>
        <v>373</v>
      </c>
      <c r="AK48">
        <f t="shared" si="16"/>
        <v>745</v>
      </c>
    </row>
    <row r="49" spans="1:37" x14ac:dyDescent="0.25">
      <c r="A49" s="4">
        <v>2003</v>
      </c>
      <c r="B49" s="4" t="s">
        <v>28</v>
      </c>
      <c r="C49" s="5">
        <v>25</v>
      </c>
      <c r="D49" s="5">
        <v>681</v>
      </c>
      <c r="E49" s="5">
        <v>788</v>
      </c>
      <c r="F49" s="5">
        <v>386</v>
      </c>
      <c r="G49" s="5">
        <v>221</v>
      </c>
      <c r="H49" s="5">
        <v>1008</v>
      </c>
      <c r="I49" s="5">
        <v>255</v>
      </c>
      <c r="J49" s="5">
        <v>248</v>
      </c>
      <c r="K49" s="5">
        <v>198</v>
      </c>
      <c r="L49" s="5">
        <v>107</v>
      </c>
      <c r="M49" s="5">
        <v>975</v>
      </c>
      <c r="N49" s="5">
        <v>139</v>
      </c>
      <c r="O49" s="5">
        <v>510</v>
      </c>
      <c r="P49" s="5">
        <v>181</v>
      </c>
      <c r="Q49" s="5">
        <v>796</v>
      </c>
      <c r="R49" s="5">
        <v>338</v>
      </c>
      <c r="S49" s="5">
        <v>556</v>
      </c>
      <c r="T49" s="19"/>
      <c r="U49">
        <f t="shared" si="1"/>
        <v>25</v>
      </c>
      <c r="V49">
        <f t="shared" si="2"/>
        <v>681</v>
      </c>
      <c r="W49">
        <f t="shared" si="3"/>
        <v>788</v>
      </c>
      <c r="X49">
        <f t="shared" si="4"/>
        <v>386</v>
      </c>
      <c r="Y49">
        <f t="shared" si="5"/>
        <v>221</v>
      </c>
      <c r="Z49">
        <f t="shared" si="6"/>
        <v>1008</v>
      </c>
      <c r="AA49">
        <f t="shared" si="7"/>
        <v>255</v>
      </c>
      <c r="AB49">
        <f t="shared" si="8"/>
        <v>248</v>
      </c>
      <c r="AC49">
        <f t="shared" si="9"/>
        <v>198</v>
      </c>
      <c r="AD49">
        <f t="shared" si="10"/>
        <v>107</v>
      </c>
      <c r="AE49">
        <f t="shared" si="11"/>
        <v>975</v>
      </c>
      <c r="AF49">
        <f t="shared" si="12"/>
        <v>139</v>
      </c>
      <c r="AG49">
        <f t="shared" si="13"/>
        <v>510</v>
      </c>
      <c r="AH49">
        <f t="shared" si="14"/>
        <v>181</v>
      </c>
      <c r="AI49">
        <f t="shared" si="15"/>
        <v>796</v>
      </c>
      <c r="AJ49">
        <f t="shared" si="16"/>
        <v>338</v>
      </c>
      <c r="AK49">
        <f t="shared" si="16"/>
        <v>556</v>
      </c>
    </row>
    <row r="50" spans="1:37" x14ac:dyDescent="0.25">
      <c r="A50" s="4">
        <v>2003</v>
      </c>
      <c r="B50" s="4" t="s">
        <v>29</v>
      </c>
      <c r="C50" s="5">
        <v>31</v>
      </c>
      <c r="D50" s="5">
        <v>651</v>
      </c>
      <c r="E50" s="5">
        <v>683</v>
      </c>
      <c r="F50" s="5">
        <v>358</v>
      </c>
      <c r="G50" s="5">
        <v>212</v>
      </c>
      <c r="H50" s="5">
        <v>977</v>
      </c>
      <c r="I50" s="5">
        <v>260</v>
      </c>
      <c r="J50" s="5">
        <v>182</v>
      </c>
      <c r="K50" s="5">
        <v>192</v>
      </c>
      <c r="L50" s="5">
        <v>111</v>
      </c>
      <c r="M50" s="5">
        <v>1014</v>
      </c>
      <c r="N50" s="5">
        <v>107</v>
      </c>
      <c r="O50" s="5">
        <v>532</v>
      </c>
      <c r="P50" s="5">
        <v>134</v>
      </c>
      <c r="Q50" s="5">
        <v>799</v>
      </c>
      <c r="R50" s="5">
        <v>378</v>
      </c>
      <c r="S50" s="5">
        <v>500</v>
      </c>
      <c r="T50" s="19"/>
      <c r="U50">
        <f t="shared" si="1"/>
        <v>31</v>
      </c>
      <c r="V50">
        <f t="shared" si="2"/>
        <v>651</v>
      </c>
      <c r="W50">
        <f t="shared" si="3"/>
        <v>683</v>
      </c>
      <c r="X50">
        <f t="shared" si="4"/>
        <v>358</v>
      </c>
      <c r="Y50">
        <f t="shared" si="5"/>
        <v>212</v>
      </c>
      <c r="Z50">
        <f t="shared" si="6"/>
        <v>977</v>
      </c>
      <c r="AA50">
        <f t="shared" si="7"/>
        <v>260</v>
      </c>
      <c r="AB50">
        <f t="shared" si="8"/>
        <v>182</v>
      </c>
      <c r="AC50">
        <f t="shared" si="9"/>
        <v>192</v>
      </c>
      <c r="AD50">
        <f t="shared" si="10"/>
        <v>111</v>
      </c>
      <c r="AE50">
        <f t="shared" si="11"/>
        <v>1014</v>
      </c>
      <c r="AF50">
        <f t="shared" si="12"/>
        <v>107</v>
      </c>
      <c r="AG50">
        <f t="shared" si="13"/>
        <v>532</v>
      </c>
      <c r="AH50">
        <f t="shared" si="14"/>
        <v>134</v>
      </c>
      <c r="AI50">
        <f t="shared" si="15"/>
        <v>799</v>
      </c>
      <c r="AJ50">
        <f t="shared" si="16"/>
        <v>378</v>
      </c>
      <c r="AK50">
        <f t="shared" si="16"/>
        <v>500</v>
      </c>
    </row>
    <row r="51" spans="1:37" x14ac:dyDescent="0.25">
      <c r="A51" s="4">
        <v>2003</v>
      </c>
      <c r="B51" s="4" t="s">
        <v>30</v>
      </c>
      <c r="C51" s="5">
        <v>34</v>
      </c>
      <c r="D51" s="5">
        <v>690</v>
      </c>
      <c r="E51" s="5">
        <v>691</v>
      </c>
      <c r="F51" s="5">
        <v>343</v>
      </c>
      <c r="G51" s="5">
        <v>237</v>
      </c>
      <c r="H51" s="5">
        <v>919</v>
      </c>
      <c r="I51" s="5">
        <v>275</v>
      </c>
      <c r="J51" s="5">
        <v>257</v>
      </c>
      <c r="K51" s="5">
        <v>191</v>
      </c>
      <c r="L51" s="5">
        <v>121</v>
      </c>
      <c r="M51" s="5">
        <v>948</v>
      </c>
      <c r="N51" s="5">
        <v>120</v>
      </c>
      <c r="O51" s="5">
        <v>542</v>
      </c>
      <c r="P51" s="5">
        <v>162</v>
      </c>
      <c r="Q51" s="5">
        <v>828</v>
      </c>
      <c r="R51" s="5">
        <v>357</v>
      </c>
      <c r="S51" s="5">
        <v>542</v>
      </c>
      <c r="T51" s="19"/>
      <c r="U51">
        <f t="shared" si="1"/>
        <v>34</v>
      </c>
      <c r="V51">
        <f t="shared" si="2"/>
        <v>690</v>
      </c>
      <c r="W51">
        <f t="shared" si="3"/>
        <v>691</v>
      </c>
      <c r="X51">
        <f t="shared" si="4"/>
        <v>343</v>
      </c>
      <c r="Y51">
        <f t="shared" si="5"/>
        <v>237</v>
      </c>
      <c r="Z51">
        <f t="shared" si="6"/>
        <v>919</v>
      </c>
      <c r="AA51">
        <f t="shared" si="7"/>
        <v>275</v>
      </c>
      <c r="AB51">
        <f t="shared" si="8"/>
        <v>257</v>
      </c>
      <c r="AC51">
        <f t="shared" si="9"/>
        <v>191</v>
      </c>
      <c r="AD51">
        <f t="shared" si="10"/>
        <v>121</v>
      </c>
      <c r="AE51">
        <f t="shared" si="11"/>
        <v>948</v>
      </c>
      <c r="AF51">
        <f t="shared" si="12"/>
        <v>120</v>
      </c>
      <c r="AG51">
        <f t="shared" si="13"/>
        <v>542</v>
      </c>
      <c r="AH51">
        <f t="shared" si="14"/>
        <v>162</v>
      </c>
      <c r="AI51">
        <f t="shared" si="15"/>
        <v>828</v>
      </c>
      <c r="AJ51">
        <f t="shared" si="16"/>
        <v>357</v>
      </c>
      <c r="AK51">
        <f t="shared" si="16"/>
        <v>542</v>
      </c>
    </row>
    <row r="52" spans="1:37" x14ac:dyDescent="0.25">
      <c r="A52" s="4">
        <v>2003</v>
      </c>
      <c r="B52" s="4" t="s">
        <v>19</v>
      </c>
      <c r="C52" s="5">
        <v>32</v>
      </c>
      <c r="D52" s="5">
        <v>813</v>
      </c>
      <c r="E52" s="5">
        <v>647</v>
      </c>
      <c r="F52" s="5">
        <v>378</v>
      </c>
      <c r="G52" s="5">
        <v>215</v>
      </c>
      <c r="H52" s="5">
        <v>867</v>
      </c>
      <c r="I52" s="5">
        <v>267</v>
      </c>
      <c r="J52" s="5">
        <v>224</v>
      </c>
      <c r="K52" s="5">
        <v>195</v>
      </c>
      <c r="L52" s="5">
        <v>88</v>
      </c>
      <c r="M52" s="5">
        <v>948</v>
      </c>
      <c r="N52" s="5">
        <v>128</v>
      </c>
      <c r="O52" s="5">
        <v>492</v>
      </c>
      <c r="P52" s="5">
        <v>144</v>
      </c>
      <c r="Q52" s="5">
        <v>741</v>
      </c>
      <c r="R52" s="5">
        <v>278</v>
      </c>
      <c r="S52" s="5">
        <v>516</v>
      </c>
      <c r="T52" s="19"/>
      <c r="U52">
        <f t="shared" si="1"/>
        <v>32</v>
      </c>
      <c r="V52">
        <f t="shared" si="2"/>
        <v>813</v>
      </c>
      <c r="W52">
        <f t="shared" si="3"/>
        <v>647</v>
      </c>
      <c r="X52">
        <f t="shared" si="4"/>
        <v>378</v>
      </c>
      <c r="Y52">
        <f t="shared" si="5"/>
        <v>215</v>
      </c>
      <c r="Z52">
        <f t="shared" si="6"/>
        <v>867</v>
      </c>
      <c r="AA52">
        <f t="shared" si="7"/>
        <v>267</v>
      </c>
      <c r="AB52">
        <f t="shared" si="8"/>
        <v>224</v>
      </c>
      <c r="AC52">
        <f t="shared" si="9"/>
        <v>195</v>
      </c>
      <c r="AD52">
        <f t="shared" si="10"/>
        <v>88</v>
      </c>
      <c r="AE52">
        <f t="shared" si="11"/>
        <v>948</v>
      </c>
      <c r="AF52">
        <f t="shared" si="12"/>
        <v>128</v>
      </c>
      <c r="AG52">
        <f t="shared" si="13"/>
        <v>492</v>
      </c>
      <c r="AH52">
        <f t="shared" si="14"/>
        <v>144</v>
      </c>
      <c r="AI52">
        <f t="shared" si="15"/>
        <v>741</v>
      </c>
      <c r="AJ52">
        <f t="shared" si="16"/>
        <v>278</v>
      </c>
      <c r="AK52">
        <f t="shared" si="16"/>
        <v>516</v>
      </c>
    </row>
    <row r="53" spans="1:37" x14ac:dyDescent="0.25">
      <c r="A53" s="4">
        <v>2003</v>
      </c>
      <c r="B53" s="4" t="s">
        <v>96</v>
      </c>
      <c r="C53" s="5">
        <v>37</v>
      </c>
      <c r="D53" s="5">
        <v>810</v>
      </c>
      <c r="E53" s="5">
        <v>762</v>
      </c>
      <c r="F53" s="5">
        <v>404</v>
      </c>
      <c r="G53" s="5">
        <v>226</v>
      </c>
      <c r="H53" s="5">
        <v>1011</v>
      </c>
      <c r="I53" s="5">
        <v>283</v>
      </c>
      <c r="J53" s="5">
        <v>246</v>
      </c>
      <c r="K53" s="5">
        <v>217</v>
      </c>
      <c r="L53" s="5">
        <v>101</v>
      </c>
      <c r="M53" s="5">
        <v>1042</v>
      </c>
      <c r="N53" s="5">
        <v>145</v>
      </c>
      <c r="O53" s="5">
        <v>494</v>
      </c>
      <c r="P53" s="5">
        <v>155</v>
      </c>
      <c r="Q53" s="5">
        <v>851</v>
      </c>
      <c r="R53" s="5">
        <v>347</v>
      </c>
      <c r="S53" s="5">
        <v>568</v>
      </c>
      <c r="T53" s="19"/>
      <c r="U53" t="str">
        <f t="shared" si="1"/>
        <v/>
      </c>
      <c r="V53" t="str">
        <f t="shared" si="2"/>
        <v/>
      </c>
      <c r="W53" t="str">
        <f t="shared" si="3"/>
        <v/>
      </c>
      <c r="X53" t="str">
        <f t="shared" si="4"/>
        <v/>
      </c>
      <c r="Y53" t="str">
        <f t="shared" si="5"/>
        <v/>
      </c>
      <c r="Z53" t="str">
        <f t="shared" si="6"/>
        <v/>
      </c>
      <c r="AA53" t="str">
        <f t="shared" si="7"/>
        <v/>
      </c>
      <c r="AB53" t="str">
        <f t="shared" si="8"/>
        <v/>
      </c>
      <c r="AC53" t="str">
        <f t="shared" si="9"/>
        <v/>
      </c>
      <c r="AD53" t="str">
        <f t="shared" si="10"/>
        <v/>
      </c>
      <c r="AE53" t="str">
        <f t="shared" si="11"/>
        <v/>
      </c>
      <c r="AF53" t="str">
        <f t="shared" si="12"/>
        <v/>
      </c>
      <c r="AG53" t="str">
        <f t="shared" si="13"/>
        <v/>
      </c>
      <c r="AH53" t="str">
        <f t="shared" si="14"/>
        <v/>
      </c>
      <c r="AI53" t="str">
        <f t="shared" si="15"/>
        <v/>
      </c>
      <c r="AJ53" t="str">
        <f t="shared" si="16"/>
        <v/>
      </c>
      <c r="AK53" t="str">
        <f t="shared" si="16"/>
        <v/>
      </c>
    </row>
    <row r="54" spans="1:37" x14ac:dyDescent="0.25">
      <c r="A54" s="4">
        <v>2004</v>
      </c>
      <c r="B54" s="4" t="s">
        <v>20</v>
      </c>
      <c r="C54" s="5">
        <v>31</v>
      </c>
      <c r="D54" s="5">
        <v>994</v>
      </c>
      <c r="E54" s="5">
        <v>695</v>
      </c>
      <c r="F54" s="5">
        <v>414</v>
      </c>
      <c r="G54" s="5">
        <v>192</v>
      </c>
      <c r="H54" s="5">
        <v>1196</v>
      </c>
      <c r="I54" s="5">
        <v>243</v>
      </c>
      <c r="J54" s="5">
        <v>236</v>
      </c>
      <c r="K54" s="5">
        <v>278</v>
      </c>
      <c r="L54" s="5">
        <v>126</v>
      </c>
      <c r="M54" s="5">
        <v>1070</v>
      </c>
      <c r="N54" s="5">
        <v>142</v>
      </c>
      <c r="O54" s="5">
        <v>520</v>
      </c>
      <c r="P54" s="5">
        <v>203</v>
      </c>
      <c r="Q54" s="5">
        <v>893</v>
      </c>
      <c r="R54" s="5">
        <v>322</v>
      </c>
      <c r="S54" s="5">
        <v>511</v>
      </c>
      <c r="T54" s="19"/>
      <c r="U54">
        <f t="shared" si="1"/>
        <v>31</v>
      </c>
      <c r="V54">
        <f t="shared" si="2"/>
        <v>994</v>
      </c>
      <c r="W54">
        <f t="shared" si="3"/>
        <v>695</v>
      </c>
      <c r="X54">
        <f t="shared" si="4"/>
        <v>414</v>
      </c>
      <c r="Y54">
        <f t="shared" si="5"/>
        <v>192</v>
      </c>
      <c r="Z54">
        <f t="shared" si="6"/>
        <v>1196</v>
      </c>
      <c r="AA54">
        <f t="shared" si="7"/>
        <v>243</v>
      </c>
      <c r="AB54">
        <f t="shared" si="8"/>
        <v>236</v>
      </c>
      <c r="AC54">
        <f t="shared" si="9"/>
        <v>278</v>
      </c>
      <c r="AD54">
        <f t="shared" si="10"/>
        <v>126</v>
      </c>
      <c r="AE54">
        <f t="shared" si="11"/>
        <v>1070</v>
      </c>
      <c r="AF54">
        <f t="shared" si="12"/>
        <v>142</v>
      </c>
      <c r="AG54">
        <f t="shared" si="13"/>
        <v>520</v>
      </c>
      <c r="AH54">
        <f t="shared" si="14"/>
        <v>203</v>
      </c>
      <c r="AI54">
        <f t="shared" si="15"/>
        <v>893</v>
      </c>
      <c r="AJ54">
        <f t="shared" si="16"/>
        <v>322</v>
      </c>
      <c r="AK54">
        <f t="shared" si="16"/>
        <v>511</v>
      </c>
    </row>
    <row r="55" spans="1:37" x14ac:dyDescent="0.25">
      <c r="A55" s="4">
        <v>2004</v>
      </c>
      <c r="B55" s="4" t="s">
        <v>21</v>
      </c>
      <c r="C55" s="5">
        <v>24</v>
      </c>
      <c r="D55" s="5">
        <v>1039</v>
      </c>
      <c r="E55" s="5">
        <v>706</v>
      </c>
      <c r="F55" s="5">
        <v>388</v>
      </c>
      <c r="G55" s="5">
        <v>248</v>
      </c>
      <c r="H55" s="5">
        <v>1121</v>
      </c>
      <c r="I55" s="5">
        <v>291</v>
      </c>
      <c r="J55" s="5">
        <v>194</v>
      </c>
      <c r="K55" s="5">
        <v>271</v>
      </c>
      <c r="L55" s="5">
        <v>93</v>
      </c>
      <c r="M55" s="5">
        <v>964</v>
      </c>
      <c r="N55" s="5">
        <v>114</v>
      </c>
      <c r="O55" s="5">
        <v>494</v>
      </c>
      <c r="P55" s="5">
        <v>133</v>
      </c>
      <c r="Q55" s="5">
        <v>854</v>
      </c>
      <c r="R55" s="5">
        <v>366</v>
      </c>
      <c r="S55" s="5">
        <v>490</v>
      </c>
      <c r="T55" s="19"/>
      <c r="U55">
        <f t="shared" si="1"/>
        <v>24</v>
      </c>
      <c r="V55">
        <f t="shared" si="2"/>
        <v>1039</v>
      </c>
      <c r="W55">
        <f t="shared" si="3"/>
        <v>706</v>
      </c>
      <c r="X55">
        <f t="shared" si="4"/>
        <v>388</v>
      </c>
      <c r="Y55">
        <f t="shared" si="5"/>
        <v>248</v>
      </c>
      <c r="Z55">
        <f t="shared" si="6"/>
        <v>1121</v>
      </c>
      <c r="AA55">
        <f t="shared" si="7"/>
        <v>291</v>
      </c>
      <c r="AB55">
        <f t="shared" si="8"/>
        <v>194</v>
      </c>
      <c r="AC55">
        <f t="shared" si="9"/>
        <v>271</v>
      </c>
      <c r="AD55">
        <f t="shared" si="10"/>
        <v>93</v>
      </c>
      <c r="AE55">
        <f t="shared" si="11"/>
        <v>964</v>
      </c>
      <c r="AF55">
        <f t="shared" si="12"/>
        <v>114</v>
      </c>
      <c r="AG55">
        <f t="shared" si="13"/>
        <v>494</v>
      </c>
      <c r="AH55">
        <f t="shared" si="14"/>
        <v>133</v>
      </c>
      <c r="AI55">
        <f t="shared" si="15"/>
        <v>854</v>
      </c>
      <c r="AJ55">
        <f t="shared" si="16"/>
        <v>366</v>
      </c>
      <c r="AK55">
        <f t="shared" si="16"/>
        <v>490</v>
      </c>
    </row>
    <row r="56" spans="1:37" x14ac:dyDescent="0.25">
      <c r="A56" s="4">
        <v>2004</v>
      </c>
      <c r="B56" s="4" t="s">
        <v>22</v>
      </c>
      <c r="C56" s="5">
        <v>22</v>
      </c>
      <c r="D56" s="5">
        <v>1011</v>
      </c>
      <c r="E56" s="5">
        <v>676</v>
      </c>
      <c r="F56" s="5">
        <v>408</v>
      </c>
      <c r="G56" s="5">
        <v>282</v>
      </c>
      <c r="H56" s="5">
        <v>1104</v>
      </c>
      <c r="I56" s="5">
        <v>284</v>
      </c>
      <c r="J56" s="5">
        <v>216</v>
      </c>
      <c r="K56" s="5">
        <v>243</v>
      </c>
      <c r="L56" s="5">
        <v>99</v>
      </c>
      <c r="M56" s="5">
        <v>999</v>
      </c>
      <c r="N56" s="5">
        <v>89</v>
      </c>
      <c r="O56" s="5">
        <v>495</v>
      </c>
      <c r="P56" s="5">
        <v>172</v>
      </c>
      <c r="Q56" s="5">
        <v>867</v>
      </c>
      <c r="R56" s="5">
        <v>366</v>
      </c>
      <c r="S56" s="5">
        <v>530</v>
      </c>
      <c r="T56" s="19"/>
      <c r="U56">
        <f t="shared" si="1"/>
        <v>22</v>
      </c>
      <c r="V56">
        <f t="shared" si="2"/>
        <v>1011</v>
      </c>
      <c r="W56">
        <f t="shared" si="3"/>
        <v>676</v>
      </c>
      <c r="X56">
        <f t="shared" si="4"/>
        <v>408</v>
      </c>
      <c r="Y56">
        <f t="shared" si="5"/>
        <v>282</v>
      </c>
      <c r="Z56">
        <f t="shared" si="6"/>
        <v>1104</v>
      </c>
      <c r="AA56">
        <f t="shared" si="7"/>
        <v>284</v>
      </c>
      <c r="AB56">
        <f t="shared" si="8"/>
        <v>216</v>
      </c>
      <c r="AC56">
        <f t="shared" si="9"/>
        <v>243</v>
      </c>
      <c r="AD56">
        <f t="shared" si="10"/>
        <v>99</v>
      </c>
      <c r="AE56">
        <f t="shared" si="11"/>
        <v>999</v>
      </c>
      <c r="AF56">
        <f t="shared" si="12"/>
        <v>89</v>
      </c>
      <c r="AG56">
        <f t="shared" si="13"/>
        <v>495</v>
      </c>
      <c r="AH56">
        <f t="shared" si="14"/>
        <v>172</v>
      </c>
      <c r="AI56">
        <f t="shared" si="15"/>
        <v>867</v>
      </c>
      <c r="AJ56">
        <f t="shared" si="16"/>
        <v>366</v>
      </c>
      <c r="AK56">
        <f t="shared" si="16"/>
        <v>530</v>
      </c>
    </row>
    <row r="57" spans="1:37" x14ac:dyDescent="0.25">
      <c r="A57" s="4">
        <v>2004</v>
      </c>
      <c r="B57" s="4" t="s">
        <v>23</v>
      </c>
      <c r="C57" s="5">
        <v>34</v>
      </c>
      <c r="D57" s="5">
        <v>849</v>
      </c>
      <c r="E57" s="5">
        <v>598</v>
      </c>
      <c r="F57" s="5">
        <v>406</v>
      </c>
      <c r="G57" s="5">
        <v>216</v>
      </c>
      <c r="H57" s="5">
        <v>1032</v>
      </c>
      <c r="I57" s="5">
        <v>239</v>
      </c>
      <c r="J57" s="5">
        <v>168</v>
      </c>
      <c r="K57" s="5">
        <v>201</v>
      </c>
      <c r="L57" s="5">
        <v>111</v>
      </c>
      <c r="M57" s="5">
        <v>752</v>
      </c>
      <c r="N57" s="5">
        <v>98</v>
      </c>
      <c r="O57" s="5">
        <v>491</v>
      </c>
      <c r="P57" s="5">
        <v>151</v>
      </c>
      <c r="Q57" s="5">
        <v>774</v>
      </c>
      <c r="R57" s="5">
        <v>347</v>
      </c>
      <c r="S57" s="5">
        <v>433</v>
      </c>
      <c r="T57" s="19"/>
      <c r="U57">
        <f t="shared" si="1"/>
        <v>34</v>
      </c>
      <c r="V57">
        <f t="shared" si="2"/>
        <v>849</v>
      </c>
      <c r="W57">
        <f t="shared" si="3"/>
        <v>598</v>
      </c>
      <c r="X57">
        <f t="shared" si="4"/>
        <v>406</v>
      </c>
      <c r="Y57">
        <f t="shared" si="5"/>
        <v>216</v>
      </c>
      <c r="Z57">
        <f t="shared" si="6"/>
        <v>1032</v>
      </c>
      <c r="AA57">
        <f t="shared" si="7"/>
        <v>239</v>
      </c>
      <c r="AB57">
        <f t="shared" si="8"/>
        <v>168</v>
      </c>
      <c r="AC57">
        <f t="shared" si="9"/>
        <v>201</v>
      </c>
      <c r="AD57">
        <f t="shared" si="10"/>
        <v>111</v>
      </c>
      <c r="AE57">
        <f t="shared" si="11"/>
        <v>752</v>
      </c>
      <c r="AF57">
        <f t="shared" si="12"/>
        <v>98</v>
      </c>
      <c r="AG57">
        <f t="shared" si="13"/>
        <v>491</v>
      </c>
      <c r="AH57">
        <f t="shared" si="14"/>
        <v>151</v>
      </c>
      <c r="AI57">
        <f t="shared" si="15"/>
        <v>774</v>
      </c>
      <c r="AJ57">
        <f t="shared" si="16"/>
        <v>347</v>
      </c>
      <c r="AK57">
        <f t="shared" si="16"/>
        <v>433</v>
      </c>
    </row>
    <row r="58" spans="1:37" x14ac:dyDescent="0.25">
      <c r="A58" s="4">
        <v>2004</v>
      </c>
      <c r="B58" s="4" t="s">
        <v>24</v>
      </c>
      <c r="C58" s="5">
        <v>22</v>
      </c>
      <c r="D58" s="5">
        <v>665</v>
      </c>
      <c r="E58" s="5">
        <v>550</v>
      </c>
      <c r="F58" s="5">
        <v>416</v>
      </c>
      <c r="G58" s="5">
        <v>238</v>
      </c>
      <c r="H58" s="5">
        <v>946</v>
      </c>
      <c r="I58" s="5">
        <v>230</v>
      </c>
      <c r="J58" s="5">
        <v>190</v>
      </c>
      <c r="K58" s="5">
        <v>217</v>
      </c>
      <c r="L58" s="5">
        <v>85</v>
      </c>
      <c r="M58" s="5">
        <v>819</v>
      </c>
      <c r="N58" s="5">
        <v>114</v>
      </c>
      <c r="O58" s="5">
        <v>456</v>
      </c>
      <c r="P58" s="5">
        <v>125</v>
      </c>
      <c r="Q58" s="5">
        <v>851</v>
      </c>
      <c r="R58" s="5">
        <v>310</v>
      </c>
      <c r="S58" s="5">
        <v>468</v>
      </c>
      <c r="T58" s="19"/>
      <c r="U58">
        <f t="shared" si="1"/>
        <v>22</v>
      </c>
      <c r="V58">
        <f t="shared" si="2"/>
        <v>665</v>
      </c>
      <c r="W58">
        <f t="shared" si="3"/>
        <v>550</v>
      </c>
      <c r="X58">
        <f t="shared" si="4"/>
        <v>416</v>
      </c>
      <c r="Y58">
        <f t="shared" si="5"/>
        <v>238</v>
      </c>
      <c r="Z58">
        <f t="shared" si="6"/>
        <v>946</v>
      </c>
      <c r="AA58">
        <f t="shared" si="7"/>
        <v>230</v>
      </c>
      <c r="AB58">
        <f t="shared" si="8"/>
        <v>190</v>
      </c>
      <c r="AC58">
        <f t="shared" si="9"/>
        <v>217</v>
      </c>
      <c r="AD58">
        <f t="shared" si="10"/>
        <v>85</v>
      </c>
      <c r="AE58">
        <f t="shared" si="11"/>
        <v>819</v>
      </c>
      <c r="AF58">
        <f t="shared" si="12"/>
        <v>114</v>
      </c>
      <c r="AG58">
        <f t="shared" si="13"/>
        <v>456</v>
      </c>
      <c r="AH58">
        <f t="shared" si="14"/>
        <v>125</v>
      </c>
      <c r="AI58">
        <f t="shared" si="15"/>
        <v>851</v>
      </c>
      <c r="AJ58">
        <f t="shared" si="16"/>
        <v>310</v>
      </c>
      <c r="AK58">
        <f t="shared" si="16"/>
        <v>468</v>
      </c>
    </row>
    <row r="59" spans="1:37" x14ac:dyDescent="0.25">
      <c r="A59" s="4">
        <v>2004</v>
      </c>
      <c r="B59" s="4" t="s">
        <v>25</v>
      </c>
      <c r="C59" s="5">
        <v>27</v>
      </c>
      <c r="D59" s="5">
        <v>668</v>
      </c>
      <c r="E59" s="5">
        <v>542</v>
      </c>
      <c r="F59" s="5">
        <v>415</v>
      </c>
      <c r="G59" s="5">
        <v>168</v>
      </c>
      <c r="H59" s="5">
        <v>1014</v>
      </c>
      <c r="I59" s="5">
        <v>227</v>
      </c>
      <c r="J59" s="5">
        <v>172</v>
      </c>
      <c r="K59" s="5">
        <v>199</v>
      </c>
      <c r="L59" s="5">
        <v>136</v>
      </c>
      <c r="M59" s="5">
        <v>814</v>
      </c>
      <c r="N59" s="5">
        <v>192</v>
      </c>
      <c r="O59" s="5">
        <v>577</v>
      </c>
      <c r="P59" s="5">
        <v>217</v>
      </c>
      <c r="Q59" s="5">
        <v>972</v>
      </c>
      <c r="R59" s="5">
        <v>326</v>
      </c>
      <c r="S59" s="5">
        <v>580</v>
      </c>
      <c r="T59" s="19"/>
      <c r="U59">
        <f t="shared" si="1"/>
        <v>27</v>
      </c>
      <c r="V59">
        <f t="shared" si="2"/>
        <v>668</v>
      </c>
      <c r="W59">
        <f t="shared" si="3"/>
        <v>542</v>
      </c>
      <c r="X59">
        <f t="shared" si="4"/>
        <v>415</v>
      </c>
      <c r="Y59">
        <f t="shared" si="5"/>
        <v>168</v>
      </c>
      <c r="Z59">
        <f t="shared" si="6"/>
        <v>1014</v>
      </c>
      <c r="AA59">
        <f t="shared" si="7"/>
        <v>227</v>
      </c>
      <c r="AB59">
        <f t="shared" si="8"/>
        <v>172</v>
      </c>
      <c r="AC59">
        <f t="shared" si="9"/>
        <v>199</v>
      </c>
      <c r="AD59">
        <f t="shared" si="10"/>
        <v>136</v>
      </c>
      <c r="AE59">
        <f t="shared" si="11"/>
        <v>814</v>
      </c>
      <c r="AF59">
        <f t="shared" si="12"/>
        <v>192</v>
      </c>
      <c r="AG59">
        <f t="shared" si="13"/>
        <v>577</v>
      </c>
      <c r="AH59">
        <f t="shared" si="14"/>
        <v>217</v>
      </c>
      <c r="AI59">
        <f t="shared" si="15"/>
        <v>972</v>
      </c>
      <c r="AJ59">
        <f t="shared" si="16"/>
        <v>326</v>
      </c>
      <c r="AK59">
        <f t="shared" si="16"/>
        <v>580</v>
      </c>
    </row>
    <row r="60" spans="1:37" x14ac:dyDescent="0.25">
      <c r="A60" s="4">
        <v>2004</v>
      </c>
      <c r="B60" s="4" t="s">
        <v>26</v>
      </c>
      <c r="C60" s="5">
        <v>28</v>
      </c>
      <c r="D60" s="5">
        <v>610</v>
      </c>
      <c r="E60" s="5">
        <v>655</v>
      </c>
      <c r="F60" s="5">
        <v>364</v>
      </c>
      <c r="G60" s="5">
        <v>161</v>
      </c>
      <c r="H60" s="5">
        <v>1002</v>
      </c>
      <c r="I60" s="5">
        <v>231</v>
      </c>
      <c r="J60" s="5">
        <v>174</v>
      </c>
      <c r="K60" s="5">
        <v>207</v>
      </c>
      <c r="L60" s="5">
        <v>100</v>
      </c>
      <c r="M60" s="5">
        <v>790</v>
      </c>
      <c r="N60" s="5">
        <v>177</v>
      </c>
      <c r="O60" s="5">
        <v>548</v>
      </c>
      <c r="P60" s="5">
        <v>129</v>
      </c>
      <c r="Q60" s="5">
        <v>836</v>
      </c>
      <c r="R60" s="5">
        <v>346</v>
      </c>
      <c r="S60" s="5">
        <v>741</v>
      </c>
      <c r="T60" s="19"/>
      <c r="U60">
        <f t="shared" si="1"/>
        <v>28</v>
      </c>
      <c r="V60">
        <f t="shared" si="2"/>
        <v>610</v>
      </c>
      <c r="W60">
        <f t="shared" si="3"/>
        <v>655</v>
      </c>
      <c r="X60">
        <f t="shared" si="4"/>
        <v>364</v>
      </c>
      <c r="Y60">
        <f t="shared" si="5"/>
        <v>161</v>
      </c>
      <c r="Z60">
        <f t="shared" si="6"/>
        <v>1002</v>
      </c>
      <c r="AA60">
        <f t="shared" si="7"/>
        <v>231</v>
      </c>
      <c r="AB60">
        <f t="shared" si="8"/>
        <v>174</v>
      </c>
      <c r="AC60">
        <f t="shared" si="9"/>
        <v>207</v>
      </c>
      <c r="AD60">
        <f t="shared" si="10"/>
        <v>100</v>
      </c>
      <c r="AE60">
        <f t="shared" si="11"/>
        <v>790</v>
      </c>
      <c r="AF60">
        <f t="shared" si="12"/>
        <v>177</v>
      </c>
      <c r="AG60">
        <f t="shared" si="13"/>
        <v>548</v>
      </c>
      <c r="AH60">
        <f t="shared" si="14"/>
        <v>129</v>
      </c>
      <c r="AI60">
        <f t="shared" si="15"/>
        <v>836</v>
      </c>
      <c r="AJ60">
        <f t="shared" si="16"/>
        <v>346</v>
      </c>
      <c r="AK60">
        <f t="shared" si="16"/>
        <v>741</v>
      </c>
    </row>
    <row r="61" spans="1:37" x14ac:dyDescent="0.25">
      <c r="A61" s="4">
        <v>2004</v>
      </c>
      <c r="B61" s="4" t="s">
        <v>27</v>
      </c>
      <c r="C61" s="5">
        <v>10</v>
      </c>
      <c r="D61" s="5">
        <v>563</v>
      </c>
      <c r="E61" s="5">
        <v>541</v>
      </c>
      <c r="F61" s="5">
        <v>300</v>
      </c>
      <c r="G61" s="5">
        <v>183</v>
      </c>
      <c r="H61" s="5">
        <v>896</v>
      </c>
      <c r="I61" s="5">
        <v>236</v>
      </c>
      <c r="J61" s="5">
        <v>191</v>
      </c>
      <c r="K61" s="5">
        <v>214</v>
      </c>
      <c r="L61" s="5">
        <v>97</v>
      </c>
      <c r="M61" s="5">
        <v>845</v>
      </c>
      <c r="N61" s="5">
        <v>198</v>
      </c>
      <c r="O61" s="5">
        <v>449</v>
      </c>
      <c r="P61" s="5">
        <v>158</v>
      </c>
      <c r="Q61" s="5">
        <v>852</v>
      </c>
      <c r="R61" s="5">
        <v>341</v>
      </c>
      <c r="S61" s="5">
        <v>676</v>
      </c>
      <c r="T61" s="19"/>
      <c r="U61">
        <f t="shared" si="1"/>
        <v>10</v>
      </c>
      <c r="V61">
        <f t="shared" si="2"/>
        <v>563</v>
      </c>
      <c r="W61">
        <f t="shared" si="3"/>
        <v>541</v>
      </c>
      <c r="X61">
        <f t="shared" si="4"/>
        <v>300</v>
      </c>
      <c r="Y61">
        <f t="shared" si="5"/>
        <v>183</v>
      </c>
      <c r="Z61">
        <f t="shared" si="6"/>
        <v>896</v>
      </c>
      <c r="AA61">
        <f t="shared" si="7"/>
        <v>236</v>
      </c>
      <c r="AB61">
        <f t="shared" si="8"/>
        <v>191</v>
      </c>
      <c r="AC61">
        <f t="shared" si="9"/>
        <v>214</v>
      </c>
      <c r="AD61">
        <f t="shared" si="10"/>
        <v>97</v>
      </c>
      <c r="AE61">
        <f t="shared" si="11"/>
        <v>845</v>
      </c>
      <c r="AF61">
        <f t="shared" si="12"/>
        <v>198</v>
      </c>
      <c r="AG61">
        <f t="shared" si="13"/>
        <v>449</v>
      </c>
      <c r="AH61">
        <f t="shared" si="14"/>
        <v>158</v>
      </c>
      <c r="AI61">
        <f t="shared" si="15"/>
        <v>852</v>
      </c>
      <c r="AJ61">
        <f t="shared" si="16"/>
        <v>341</v>
      </c>
      <c r="AK61">
        <f t="shared" si="16"/>
        <v>676</v>
      </c>
    </row>
    <row r="62" spans="1:37" x14ac:dyDescent="0.25">
      <c r="A62" s="4">
        <v>2004</v>
      </c>
      <c r="B62" s="4" t="s">
        <v>28</v>
      </c>
      <c r="C62" s="5">
        <v>8</v>
      </c>
      <c r="D62" s="5">
        <v>629</v>
      </c>
      <c r="E62" s="5">
        <v>512</v>
      </c>
      <c r="F62" s="5">
        <v>339</v>
      </c>
      <c r="G62" s="5">
        <v>237</v>
      </c>
      <c r="H62" s="5">
        <v>891</v>
      </c>
      <c r="I62" s="5">
        <v>208</v>
      </c>
      <c r="J62" s="5">
        <v>178</v>
      </c>
      <c r="K62" s="5">
        <v>249</v>
      </c>
      <c r="L62" s="5">
        <v>125</v>
      </c>
      <c r="M62" s="5">
        <v>750</v>
      </c>
      <c r="N62" s="5">
        <v>107</v>
      </c>
      <c r="O62" s="5">
        <v>486</v>
      </c>
      <c r="P62" s="5">
        <v>139</v>
      </c>
      <c r="Q62" s="5">
        <v>715</v>
      </c>
      <c r="R62" s="5">
        <v>301</v>
      </c>
      <c r="S62" s="5">
        <v>568</v>
      </c>
      <c r="T62" s="19"/>
      <c r="U62">
        <f t="shared" si="1"/>
        <v>8</v>
      </c>
      <c r="V62">
        <f t="shared" si="2"/>
        <v>629</v>
      </c>
      <c r="W62">
        <f t="shared" si="3"/>
        <v>512</v>
      </c>
      <c r="X62">
        <f t="shared" si="4"/>
        <v>339</v>
      </c>
      <c r="Y62">
        <f t="shared" si="5"/>
        <v>237</v>
      </c>
      <c r="Z62">
        <f t="shared" si="6"/>
        <v>891</v>
      </c>
      <c r="AA62">
        <f t="shared" si="7"/>
        <v>208</v>
      </c>
      <c r="AB62">
        <f t="shared" si="8"/>
        <v>178</v>
      </c>
      <c r="AC62">
        <f t="shared" si="9"/>
        <v>249</v>
      </c>
      <c r="AD62">
        <f t="shared" si="10"/>
        <v>125</v>
      </c>
      <c r="AE62">
        <f t="shared" si="11"/>
        <v>750</v>
      </c>
      <c r="AF62">
        <f t="shared" si="12"/>
        <v>107</v>
      </c>
      <c r="AG62">
        <f t="shared" si="13"/>
        <v>486</v>
      </c>
      <c r="AH62">
        <f t="shared" si="14"/>
        <v>139</v>
      </c>
      <c r="AI62">
        <f t="shared" si="15"/>
        <v>715</v>
      </c>
      <c r="AJ62">
        <f t="shared" si="16"/>
        <v>301</v>
      </c>
      <c r="AK62">
        <f t="shared" si="16"/>
        <v>568</v>
      </c>
    </row>
    <row r="63" spans="1:37" x14ac:dyDescent="0.25">
      <c r="A63" s="4">
        <v>2004</v>
      </c>
      <c r="B63" s="4" t="s">
        <v>29</v>
      </c>
      <c r="C63" s="5">
        <v>15</v>
      </c>
      <c r="D63" s="5">
        <v>635</v>
      </c>
      <c r="E63" s="5">
        <v>525</v>
      </c>
      <c r="F63" s="5">
        <v>360</v>
      </c>
      <c r="G63" s="5">
        <v>206</v>
      </c>
      <c r="H63" s="5">
        <v>932</v>
      </c>
      <c r="I63" s="5">
        <v>219</v>
      </c>
      <c r="J63" s="5">
        <v>185</v>
      </c>
      <c r="K63" s="5">
        <v>254</v>
      </c>
      <c r="L63" s="5">
        <v>104</v>
      </c>
      <c r="M63" s="5">
        <v>781</v>
      </c>
      <c r="N63" s="5">
        <v>100</v>
      </c>
      <c r="O63" s="5">
        <v>425</v>
      </c>
      <c r="P63" s="5">
        <v>123</v>
      </c>
      <c r="Q63" s="5">
        <v>730</v>
      </c>
      <c r="R63" s="5">
        <v>300</v>
      </c>
      <c r="S63" s="5">
        <v>561</v>
      </c>
      <c r="T63" s="19"/>
      <c r="U63">
        <f t="shared" si="1"/>
        <v>15</v>
      </c>
      <c r="V63">
        <f t="shared" si="2"/>
        <v>635</v>
      </c>
      <c r="W63">
        <f t="shared" si="3"/>
        <v>525</v>
      </c>
      <c r="X63">
        <f t="shared" si="4"/>
        <v>360</v>
      </c>
      <c r="Y63">
        <f t="shared" si="5"/>
        <v>206</v>
      </c>
      <c r="Z63">
        <f t="shared" si="6"/>
        <v>932</v>
      </c>
      <c r="AA63">
        <f t="shared" si="7"/>
        <v>219</v>
      </c>
      <c r="AB63">
        <f t="shared" si="8"/>
        <v>185</v>
      </c>
      <c r="AC63">
        <f t="shared" si="9"/>
        <v>254</v>
      </c>
      <c r="AD63">
        <f t="shared" si="10"/>
        <v>104</v>
      </c>
      <c r="AE63">
        <f t="shared" si="11"/>
        <v>781</v>
      </c>
      <c r="AF63">
        <f t="shared" si="12"/>
        <v>100</v>
      </c>
      <c r="AG63">
        <f t="shared" si="13"/>
        <v>425</v>
      </c>
      <c r="AH63">
        <f t="shared" si="14"/>
        <v>123</v>
      </c>
      <c r="AI63">
        <f t="shared" si="15"/>
        <v>730</v>
      </c>
      <c r="AJ63">
        <f t="shared" si="16"/>
        <v>300</v>
      </c>
      <c r="AK63">
        <f t="shared" si="16"/>
        <v>561</v>
      </c>
    </row>
    <row r="64" spans="1:37" x14ac:dyDescent="0.25">
      <c r="A64" s="4">
        <v>2004</v>
      </c>
      <c r="B64" s="4" t="s">
        <v>30</v>
      </c>
      <c r="C64" s="5">
        <v>20</v>
      </c>
      <c r="D64" s="5">
        <v>695</v>
      </c>
      <c r="E64" s="5">
        <v>557</v>
      </c>
      <c r="F64" s="5">
        <v>348</v>
      </c>
      <c r="G64" s="5">
        <v>182</v>
      </c>
      <c r="H64" s="5">
        <v>863</v>
      </c>
      <c r="I64" s="5">
        <v>217</v>
      </c>
      <c r="J64" s="5">
        <v>187</v>
      </c>
      <c r="K64" s="5">
        <v>188</v>
      </c>
      <c r="L64" s="5">
        <v>102</v>
      </c>
      <c r="M64" s="5">
        <v>872</v>
      </c>
      <c r="N64" s="5">
        <v>92</v>
      </c>
      <c r="O64" s="5">
        <v>478</v>
      </c>
      <c r="P64" s="5">
        <v>116</v>
      </c>
      <c r="Q64" s="5">
        <v>800</v>
      </c>
      <c r="R64" s="5">
        <v>294</v>
      </c>
      <c r="S64" s="5">
        <v>514</v>
      </c>
      <c r="T64" s="19"/>
      <c r="U64">
        <f t="shared" si="1"/>
        <v>20</v>
      </c>
      <c r="V64">
        <f t="shared" si="2"/>
        <v>695</v>
      </c>
      <c r="W64">
        <f t="shared" si="3"/>
        <v>557</v>
      </c>
      <c r="X64">
        <f t="shared" si="4"/>
        <v>348</v>
      </c>
      <c r="Y64">
        <f t="shared" si="5"/>
        <v>182</v>
      </c>
      <c r="Z64">
        <f t="shared" si="6"/>
        <v>863</v>
      </c>
      <c r="AA64">
        <f t="shared" si="7"/>
        <v>217</v>
      </c>
      <c r="AB64">
        <f t="shared" si="8"/>
        <v>187</v>
      </c>
      <c r="AC64">
        <f t="shared" si="9"/>
        <v>188</v>
      </c>
      <c r="AD64">
        <f t="shared" si="10"/>
        <v>102</v>
      </c>
      <c r="AE64">
        <f t="shared" si="11"/>
        <v>872</v>
      </c>
      <c r="AF64">
        <f t="shared" si="12"/>
        <v>92</v>
      </c>
      <c r="AG64">
        <f t="shared" si="13"/>
        <v>478</v>
      </c>
      <c r="AH64">
        <f t="shared" si="14"/>
        <v>116</v>
      </c>
      <c r="AI64">
        <f t="shared" si="15"/>
        <v>800</v>
      </c>
      <c r="AJ64">
        <f t="shared" si="16"/>
        <v>294</v>
      </c>
      <c r="AK64">
        <f t="shared" si="16"/>
        <v>514</v>
      </c>
    </row>
    <row r="65" spans="1:37" x14ac:dyDescent="0.25">
      <c r="A65" s="4">
        <v>2004</v>
      </c>
      <c r="B65" s="4" t="s">
        <v>19</v>
      </c>
      <c r="C65" s="5">
        <v>16</v>
      </c>
      <c r="D65" s="5">
        <v>870</v>
      </c>
      <c r="E65" s="5">
        <v>529</v>
      </c>
      <c r="F65" s="5">
        <v>344</v>
      </c>
      <c r="G65" s="5">
        <v>213</v>
      </c>
      <c r="H65" s="5">
        <v>845</v>
      </c>
      <c r="I65" s="5">
        <v>204</v>
      </c>
      <c r="J65" s="5">
        <v>173</v>
      </c>
      <c r="K65" s="5">
        <v>218</v>
      </c>
      <c r="L65" s="5">
        <v>72</v>
      </c>
      <c r="M65" s="5">
        <v>875</v>
      </c>
      <c r="N65" s="5">
        <v>110</v>
      </c>
      <c r="O65" s="5">
        <v>452</v>
      </c>
      <c r="P65" s="5">
        <v>116</v>
      </c>
      <c r="Q65" s="5">
        <v>734</v>
      </c>
      <c r="R65" s="5">
        <v>276</v>
      </c>
      <c r="S65" s="5">
        <v>499</v>
      </c>
      <c r="T65" s="19"/>
      <c r="U65">
        <f t="shared" si="1"/>
        <v>16</v>
      </c>
      <c r="V65">
        <f t="shared" si="2"/>
        <v>870</v>
      </c>
      <c r="W65">
        <f t="shared" si="3"/>
        <v>529</v>
      </c>
      <c r="X65">
        <f t="shared" si="4"/>
        <v>344</v>
      </c>
      <c r="Y65">
        <f t="shared" si="5"/>
        <v>213</v>
      </c>
      <c r="Z65">
        <f t="shared" si="6"/>
        <v>845</v>
      </c>
      <c r="AA65">
        <f t="shared" si="7"/>
        <v>204</v>
      </c>
      <c r="AB65">
        <f t="shared" si="8"/>
        <v>173</v>
      </c>
      <c r="AC65">
        <f t="shared" si="9"/>
        <v>218</v>
      </c>
      <c r="AD65">
        <f t="shared" si="10"/>
        <v>72</v>
      </c>
      <c r="AE65">
        <f t="shared" si="11"/>
        <v>875</v>
      </c>
      <c r="AF65">
        <f t="shared" si="12"/>
        <v>110</v>
      </c>
      <c r="AG65">
        <f t="shared" si="13"/>
        <v>452</v>
      </c>
      <c r="AH65">
        <f t="shared" si="14"/>
        <v>116</v>
      </c>
      <c r="AI65">
        <f t="shared" si="15"/>
        <v>734</v>
      </c>
      <c r="AJ65">
        <f t="shared" si="16"/>
        <v>276</v>
      </c>
      <c r="AK65">
        <f t="shared" si="16"/>
        <v>499</v>
      </c>
    </row>
    <row r="66" spans="1:37" x14ac:dyDescent="0.25">
      <c r="A66" s="4">
        <v>2004</v>
      </c>
      <c r="B66" s="4" t="s">
        <v>96</v>
      </c>
      <c r="C66" s="5">
        <v>21</v>
      </c>
      <c r="D66" s="5">
        <v>769</v>
      </c>
      <c r="E66" s="5">
        <v>590</v>
      </c>
      <c r="F66" s="5">
        <v>375</v>
      </c>
      <c r="G66" s="5">
        <v>210</v>
      </c>
      <c r="H66" s="5">
        <v>987</v>
      </c>
      <c r="I66" s="5">
        <v>236</v>
      </c>
      <c r="J66" s="5">
        <v>189</v>
      </c>
      <c r="K66" s="5">
        <v>228</v>
      </c>
      <c r="L66" s="5">
        <v>104</v>
      </c>
      <c r="M66" s="5">
        <v>861</v>
      </c>
      <c r="N66" s="5">
        <v>128</v>
      </c>
      <c r="O66" s="5">
        <v>489</v>
      </c>
      <c r="P66" s="5">
        <v>149</v>
      </c>
      <c r="Q66" s="5">
        <v>823</v>
      </c>
      <c r="R66" s="5">
        <v>324</v>
      </c>
      <c r="S66" s="5">
        <v>548</v>
      </c>
      <c r="T66" s="19"/>
      <c r="U66" t="str">
        <f t="shared" si="1"/>
        <v/>
      </c>
      <c r="V66" t="str">
        <f t="shared" si="2"/>
        <v/>
      </c>
      <c r="W66" t="str">
        <f t="shared" si="3"/>
        <v/>
      </c>
      <c r="X66" t="str">
        <f t="shared" si="4"/>
        <v/>
      </c>
      <c r="Y66" t="str">
        <f t="shared" si="5"/>
        <v/>
      </c>
      <c r="Z66" t="str">
        <f t="shared" si="6"/>
        <v/>
      </c>
      <c r="AA66" t="str">
        <f t="shared" si="7"/>
        <v/>
      </c>
      <c r="AB66" t="str">
        <f t="shared" si="8"/>
        <v/>
      </c>
      <c r="AC66" t="str">
        <f t="shared" si="9"/>
        <v/>
      </c>
      <c r="AD66" t="str">
        <f t="shared" si="10"/>
        <v/>
      </c>
      <c r="AE66" t="str">
        <f t="shared" si="11"/>
        <v/>
      </c>
      <c r="AF66" t="str">
        <f t="shared" si="12"/>
        <v/>
      </c>
      <c r="AG66" t="str">
        <f t="shared" si="13"/>
        <v/>
      </c>
      <c r="AH66" t="str">
        <f t="shared" si="14"/>
        <v/>
      </c>
      <c r="AI66" t="str">
        <f t="shared" si="15"/>
        <v/>
      </c>
      <c r="AJ66" t="str">
        <f t="shared" si="16"/>
        <v/>
      </c>
      <c r="AK66" t="str">
        <f t="shared" si="16"/>
        <v/>
      </c>
    </row>
    <row r="67" spans="1:37" x14ac:dyDescent="0.25">
      <c r="A67" s="4">
        <v>2005</v>
      </c>
      <c r="B67" s="4" t="s">
        <v>20</v>
      </c>
      <c r="C67" s="5">
        <v>29</v>
      </c>
      <c r="D67" s="5">
        <v>1079</v>
      </c>
      <c r="E67" s="5">
        <v>547</v>
      </c>
      <c r="F67" s="5">
        <v>341</v>
      </c>
      <c r="G67" s="5">
        <v>183</v>
      </c>
      <c r="H67" s="5">
        <v>1120</v>
      </c>
      <c r="I67" s="5">
        <v>276</v>
      </c>
      <c r="J67" s="5">
        <v>168</v>
      </c>
      <c r="K67" s="5">
        <v>167</v>
      </c>
      <c r="L67" s="5">
        <v>85</v>
      </c>
      <c r="M67" s="5">
        <v>958</v>
      </c>
      <c r="N67" s="5">
        <v>144</v>
      </c>
      <c r="O67" s="5">
        <v>469</v>
      </c>
      <c r="P67" s="5">
        <v>135</v>
      </c>
      <c r="Q67" s="5">
        <v>858</v>
      </c>
      <c r="R67" s="5">
        <v>290</v>
      </c>
      <c r="S67" s="5">
        <v>555</v>
      </c>
      <c r="T67" s="19"/>
      <c r="U67">
        <f t="shared" ref="U67:U130" si="17">IF($B67="M13","",C67)</f>
        <v>29</v>
      </c>
      <c r="V67">
        <f t="shared" ref="V67:V130" si="18">IF($B67="M13","",D67)</f>
        <v>1079</v>
      </c>
      <c r="W67">
        <f t="shared" ref="W67:W130" si="19">IF($B67="M13","",E67)</f>
        <v>547</v>
      </c>
      <c r="X67">
        <f t="shared" ref="X67:X130" si="20">IF($B67="M13","",F67)</f>
        <v>341</v>
      </c>
      <c r="Y67">
        <f t="shared" ref="Y67:Y130" si="21">IF($B67="M13","",G67)</f>
        <v>183</v>
      </c>
      <c r="Z67">
        <f t="shared" ref="Z67:Z130" si="22">IF($B67="M13","",H67)</f>
        <v>1120</v>
      </c>
      <c r="AA67">
        <f t="shared" ref="AA67:AA130" si="23">IF($B67="M13","",I67)</f>
        <v>276</v>
      </c>
      <c r="AB67">
        <f t="shared" ref="AB67:AB130" si="24">IF($B67="M13","",J67)</f>
        <v>168</v>
      </c>
      <c r="AC67">
        <f t="shared" ref="AC67:AC130" si="25">IF($B67="M13","",K67)</f>
        <v>167</v>
      </c>
      <c r="AD67">
        <f t="shared" ref="AD67:AD130" si="26">IF($B67="M13","",L67)</f>
        <v>85</v>
      </c>
      <c r="AE67">
        <f t="shared" ref="AE67:AE130" si="27">IF($B67="M13","",M67)</f>
        <v>958</v>
      </c>
      <c r="AF67">
        <f t="shared" ref="AF67:AF130" si="28">IF($B67="M13","",N67)</f>
        <v>144</v>
      </c>
      <c r="AG67">
        <f t="shared" ref="AG67:AG130" si="29">IF($B67="M13","",O67)</f>
        <v>469</v>
      </c>
      <c r="AH67">
        <f t="shared" ref="AH67:AH130" si="30">IF($B67="M13","",P67)</f>
        <v>135</v>
      </c>
      <c r="AI67">
        <f t="shared" ref="AI67:AI130" si="31">IF($B67="M13","",Q67)</f>
        <v>858</v>
      </c>
      <c r="AJ67">
        <f t="shared" ref="AJ67:AK130" si="32">IF($B67="M13","",R67)</f>
        <v>290</v>
      </c>
      <c r="AK67">
        <f t="shared" si="32"/>
        <v>555</v>
      </c>
    </row>
    <row r="68" spans="1:37" x14ac:dyDescent="0.25">
      <c r="A68" s="4">
        <v>2005</v>
      </c>
      <c r="B68" s="4" t="s">
        <v>21</v>
      </c>
      <c r="C68" s="5">
        <v>25</v>
      </c>
      <c r="D68" s="5">
        <v>1150</v>
      </c>
      <c r="E68" s="5">
        <v>532</v>
      </c>
      <c r="F68" s="5">
        <v>357</v>
      </c>
      <c r="G68" s="5">
        <v>230</v>
      </c>
      <c r="H68" s="5">
        <v>1071</v>
      </c>
      <c r="I68" s="5">
        <v>245</v>
      </c>
      <c r="J68" s="5">
        <v>204</v>
      </c>
      <c r="K68" s="5">
        <v>221</v>
      </c>
      <c r="L68" s="5">
        <v>81</v>
      </c>
      <c r="M68" s="5">
        <v>916</v>
      </c>
      <c r="N68" s="5">
        <v>138</v>
      </c>
      <c r="O68" s="5">
        <v>481</v>
      </c>
      <c r="P68" s="5">
        <v>171</v>
      </c>
      <c r="Q68" s="5">
        <v>837</v>
      </c>
      <c r="R68" s="5">
        <v>325</v>
      </c>
      <c r="S68" s="5">
        <v>472</v>
      </c>
      <c r="T68" s="19"/>
      <c r="U68">
        <f t="shared" si="17"/>
        <v>25</v>
      </c>
      <c r="V68">
        <f t="shared" si="18"/>
        <v>1150</v>
      </c>
      <c r="W68">
        <f t="shared" si="19"/>
        <v>532</v>
      </c>
      <c r="X68">
        <f t="shared" si="20"/>
        <v>357</v>
      </c>
      <c r="Y68">
        <f t="shared" si="21"/>
        <v>230</v>
      </c>
      <c r="Z68">
        <f t="shared" si="22"/>
        <v>1071</v>
      </c>
      <c r="AA68">
        <f t="shared" si="23"/>
        <v>245</v>
      </c>
      <c r="AB68">
        <f t="shared" si="24"/>
        <v>204</v>
      </c>
      <c r="AC68">
        <f t="shared" si="25"/>
        <v>221</v>
      </c>
      <c r="AD68">
        <f t="shared" si="26"/>
        <v>81</v>
      </c>
      <c r="AE68">
        <f t="shared" si="27"/>
        <v>916</v>
      </c>
      <c r="AF68">
        <f t="shared" si="28"/>
        <v>138</v>
      </c>
      <c r="AG68">
        <f t="shared" si="29"/>
        <v>481</v>
      </c>
      <c r="AH68">
        <f t="shared" si="30"/>
        <v>171</v>
      </c>
      <c r="AI68">
        <f t="shared" si="31"/>
        <v>837</v>
      </c>
      <c r="AJ68">
        <f t="shared" si="32"/>
        <v>325</v>
      </c>
      <c r="AK68">
        <f t="shared" si="32"/>
        <v>472</v>
      </c>
    </row>
    <row r="69" spans="1:37" x14ac:dyDescent="0.25">
      <c r="A69" s="4">
        <v>2005</v>
      </c>
      <c r="B69" s="4" t="s">
        <v>22</v>
      </c>
      <c r="C69" s="5">
        <v>32</v>
      </c>
      <c r="D69" s="5">
        <v>961</v>
      </c>
      <c r="E69" s="5">
        <v>507</v>
      </c>
      <c r="F69" s="5">
        <v>372</v>
      </c>
      <c r="G69" s="5">
        <v>194</v>
      </c>
      <c r="H69" s="5">
        <v>979</v>
      </c>
      <c r="I69" s="5">
        <v>267</v>
      </c>
      <c r="J69" s="5">
        <v>177</v>
      </c>
      <c r="K69" s="5">
        <v>172</v>
      </c>
      <c r="L69" s="5">
        <v>89</v>
      </c>
      <c r="M69" s="5">
        <v>807</v>
      </c>
      <c r="N69" s="5">
        <v>112</v>
      </c>
      <c r="O69" s="5">
        <v>501</v>
      </c>
      <c r="P69" s="5">
        <v>162</v>
      </c>
      <c r="Q69" s="5">
        <v>804</v>
      </c>
      <c r="R69" s="5">
        <v>308</v>
      </c>
      <c r="S69" s="5">
        <v>468</v>
      </c>
      <c r="T69" s="19"/>
      <c r="U69">
        <f t="shared" si="17"/>
        <v>32</v>
      </c>
      <c r="V69">
        <f t="shared" si="18"/>
        <v>961</v>
      </c>
      <c r="W69">
        <f t="shared" si="19"/>
        <v>507</v>
      </c>
      <c r="X69">
        <f t="shared" si="20"/>
        <v>372</v>
      </c>
      <c r="Y69">
        <f t="shared" si="21"/>
        <v>194</v>
      </c>
      <c r="Z69">
        <f t="shared" si="22"/>
        <v>979</v>
      </c>
      <c r="AA69">
        <f t="shared" si="23"/>
        <v>267</v>
      </c>
      <c r="AB69">
        <f t="shared" si="24"/>
        <v>177</v>
      </c>
      <c r="AC69">
        <f t="shared" si="25"/>
        <v>172</v>
      </c>
      <c r="AD69">
        <f t="shared" si="26"/>
        <v>89</v>
      </c>
      <c r="AE69">
        <f t="shared" si="27"/>
        <v>807</v>
      </c>
      <c r="AF69">
        <f t="shared" si="28"/>
        <v>112</v>
      </c>
      <c r="AG69">
        <f t="shared" si="29"/>
        <v>501</v>
      </c>
      <c r="AH69">
        <f t="shared" si="30"/>
        <v>162</v>
      </c>
      <c r="AI69">
        <f t="shared" si="31"/>
        <v>804</v>
      </c>
      <c r="AJ69">
        <f t="shared" si="32"/>
        <v>308</v>
      </c>
      <c r="AK69">
        <f t="shared" si="32"/>
        <v>468</v>
      </c>
    </row>
    <row r="70" spans="1:37" x14ac:dyDescent="0.25">
      <c r="A70" s="4">
        <v>2005</v>
      </c>
      <c r="B70" s="4" t="s">
        <v>23</v>
      </c>
      <c r="C70" s="5">
        <v>19</v>
      </c>
      <c r="D70" s="5">
        <v>693</v>
      </c>
      <c r="E70" s="5">
        <v>450</v>
      </c>
      <c r="F70" s="5">
        <v>343</v>
      </c>
      <c r="G70" s="5">
        <v>188</v>
      </c>
      <c r="H70" s="5">
        <v>943</v>
      </c>
      <c r="I70" s="5">
        <v>257</v>
      </c>
      <c r="J70" s="5">
        <v>178</v>
      </c>
      <c r="K70" s="5">
        <v>160</v>
      </c>
      <c r="L70" s="5">
        <v>96</v>
      </c>
      <c r="M70" s="5">
        <v>714</v>
      </c>
      <c r="N70" s="5">
        <v>94</v>
      </c>
      <c r="O70" s="5">
        <v>497</v>
      </c>
      <c r="P70" s="5">
        <v>144</v>
      </c>
      <c r="Q70" s="5">
        <v>738</v>
      </c>
      <c r="R70" s="5">
        <v>306</v>
      </c>
      <c r="S70" s="5">
        <v>478</v>
      </c>
      <c r="T70" s="19"/>
      <c r="U70">
        <f t="shared" si="17"/>
        <v>19</v>
      </c>
      <c r="V70">
        <f t="shared" si="18"/>
        <v>693</v>
      </c>
      <c r="W70">
        <f t="shared" si="19"/>
        <v>450</v>
      </c>
      <c r="X70">
        <f t="shared" si="20"/>
        <v>343</v>
      </c>
      <c r="Y70">
        <f t="shared" si="21"/>
        <v>188</v>
      </c>
      <c r="Z70">
        <f t="shared" si="22"/>
        <v>943</v>
      </c>
      <c r="AA70">
        <f t="shared" si="23"/>
        <v>257</v>
      </c>
      <c r="AB70">
        <f t="shared" si="24"/>
        <v>178</v>
      </c>
      <c r="AC70">
        <f t="shared" si="25"/>
        <v>160</v>
      </c>
      <c r="AD70">
        <f t="shared" si="26"/>
        <v>96</v>
      </c>
      <c r="AE70">
        <f t="shared" si="27"/>
        <v>714</v>
      </c>
      <c r="AF70">
        <f t="shared" si="28"/>
        <v>94</v>
      </c>
      <c r="AG70">
        <f t="shared" si="29"/>
        <v>497</v>
      </c>
      <c r="AH70">
        <f t="shared" si="30"/>
        <v>144</v>
      </c>
      <c r="AI70">
        <f t="shared" si="31"/>
        <v>738</v>
      </c>
      <c r="AJ70">
        <f t="shared" si="32"/>
        <v>306</v>
      </c>
      <c r="AK70">
        <f t="shared" si="32"/>
        <v>478</v>
      </c>
    </row>
    <row r="71" spans="1:37" x14ac:dyDescent="0.25">
      <c r="A71" s="4">
        <v>2005</v>
      </c>
      <c r="B71" s="4" t="s">
        <v>24</v>
      </c>
      <c r="C71" s="5">
        <v>16</v>
      </c>
      <c r="D71" s="5">
        <v>567</v>
      </c>
      <c r="E71" s="5">
        <v>422</v>
      </c>
      <c r="F71" s="5">
        <v>322</v>
      </c>
      <c r="G71" s="5">
        <v>170</v>
      </c>
      <c r="H71" s="5">
        <v>976</v>
      </c>
      <c r="I71" s="5">
        <v>223</v>
      </c>
      <c r="J71" s="5">
        <v>145</v>
      </c>
      <c r="K71" s="5">
        <v>190</v>
      </c>
      <c r="L71" s="5">
        <v>98</v>
      </c>
      <c r="M71" s="5">
        <v>730</v>
      </c>
      <c r="N71" s="5">
        <v>115</v>
      </c>
      <c r="O71" s="5">
        <v>533</v>
      </c>
      <c r="P71" s="5">
        <v>159</v>
      </c>
      <c r="Q71" s="5">
        <v>785</v>
      </c>
      <c r="R71" s="5">
        <v>314</v>
      </c>
      <c r="S71" s="5">
        <v>453</v>
      </c>
      <c r="T71" s="19"/>
      <c r="U71">
        <f t="shared" si="17"/>
        <v>16</v>
      </c>
      <c r="V71">
        <f t="shared" si="18"/>
        <v>567</v>
      </c>
      <c r="W71">
        <f t="shared" si="19"/>
        <v>422</v>
      </c>
      <c r="X71">
        <f t="shared" si="20"/>
        <v>322</v>
      </c>
      <c r="Y71">
        <f t="shared" si="21"/>
        <v>170</v>
      </c>
      <c r="Z71">
        <f t="shared" si="22"/>
        <v>976</v>
      </c>
      <c r="AA71">
        <f t="shared" si="23"/>
        <v>223</v>
      </c>
      <c r="AB71">
        <f t="shared" si="24"/>
        <v>145</v>
      </c>
      <c r="AC71">
        <f t="shared" si="25"/>
        <v>190</v>
      </c>
      <c r="AD71">
        <f t="shared" si="26"/>
        <v>98</v>
      </c>
      <c r="AE71">
        <f t="shared" si="27"/>
        <v>730</v>
      </c>
      <c r="AF71">
        <f t="shared" si="28"/>
        <v>115</v>
      </c>
      <c r="AG71">
        <f t="shared" si="29"/>
        <v>533</v>
      </c>
      <c r="AH71">
        <f t="shared" si="30"/>
        <v>159</v>
      </c>
      <c r="AI71">
        <f t="shared" si="31"/>
        <v>785</v>
      </c>
      <c r="AJ71">
        <f t="shared" si="32"/>
        <v>314</v>
      </c>
      <c r="AK71">
        <f t="shared" si="32"/>
        <v>453</v>
      </c>
    </row>
    <row r="72" spans="1:37" x14ac:dyDescent="0.25">
      <c r="A72" s="4">
        <v>2005</v>
      </c>
      <c r="B72" s="4" t="s">
        <v>25</v>
      </c>
      <c r="C72" s="5">
        <v>25</v>
      </c>
      <c r="D72" s="5">
        <v>559</v>
      </c>
      <c r="E72" s="5">
        <v>455</v>
      </c>
      <c r="F72" s="5">
        <v>288</v>
      </c>
      <c r="G72" s="5">
        <v>192</v>
      </c>
      <c r="H72" s="5">
        <v>1004</v>
      </c>
      <c r="I72" s="5">
        <v>247</v>
      </c>
      <c r="J72" s="5">
        <v>160</v>
      </c>
      <c r="K72" s="5">
        <v>209</v>
      </c>
      <c r="L72" s="5">
        <v>98</v>
      </c>
      <c r="M72" s="5">
        <v>743</v>
      </c>
      <c r="N72" s="5">
        <v>191</v>
      </c>
      <c r="O72" s="5">
        <v>476</v>
      </c>
      <c r="P72" s="5">
        <v>117</v>
      </c>
      <c r="Q72" s="5">
        <v>833</v>
      </c>
      <c r="R72" s="5">
        <v>291</v>
      </c>
      <c r="S72" s="5">
        <v>681</v>
      </c>
      <c r="T72" s="19"/>
      <c r="U72">
        <f t="shared" si="17"/>
        <v>25</v>
      </c>
      <c r="V72">
        <f t="shared" si="18"/>
        <v>559</v>
      </c>
      <c r="W72">
        <f t="shared" si="19"/>
        <v>455</v>
      </c>
      <c r="X72">
        <f t="shared" si="20"/>
        <v>288</v>
      </c>
      <c r="Y72">
        <f t="shared" si="21"/>
        <v>192</v>
      </c>
      <c r="Z72">
        <f t="shared" si="22"/>
        <v>1004</v>
      </c>
      <c r="AA72">
        <f t="shared" si="23"/>
        <v>247</v>
      </c>
      <c r="AB72">
        <f t="shared" si="24"/>
        <v>160</v>
      </c>
      <c r="AC72">
        <f t="shared" si="25"/>
        <v>209</v>
      </c>
      <c r="AD72">
        <f t="shared" si="26"/>
        <v>98</v>
      </c>
      <c r="AE72">
        <f t="shared" si="27"/>
        <v>743</v>
      </c>
      <c r="AF72">
        <f t="shared" si="28"/>
        <v>191</v>
      </c>
      <c r="AG72">
        <f t="shared" si="29"/>
        <v>476</v>
      </c>
      <c r="AH72">
        <f t="shared" si="30"/>
        <v>117</v>
      </c>
      <c r="AI72">
        <f t="shared" si="31"/>
        <v>833</v>
      </c>
      <c r="AJ72">
        <f t="shared" si="32"/>
        <v>291</v>
      </c>
      <c r="AK72">
        <f t="shared" si="32"/>
        <v>681</v>
      </c>
    </row>
    <row r="73" spans="1:37" x14ac:dyDescent="0.25">
      <c r="A73" s="4">
        <v>2005</v>
      </c>
      <c r="B73" s="4" t="s">
        <v>26</v>
      </c>
      <c r="C73" s="5">
        <v>22</v>
      </c>
      <c r="D73" s="5">
        <v>509</v>
      </c>
      <c r="E73" s="5">
        <v>580</v>
      </c>
      <c r="F73" s="5">
        <v>303</v>
      </c>
      <c r="G73" s="5">
        <v>195</v>
      </c>
      <c r="H73" s="5">
        <v>999</v>
      </c>
      <c r="I73" s="5">
        <v>222</v>
      </c>
      <c r="J73" s="5">
        <v>142</v>
      </c>
      <c r="K73" s="5">
        <v>219</v>
      </c>
      <c r="L73" s="5">
        <v>90</v>
      </c>
      <c r="M73" s="5">
        <v>804</v>
      </c>
      <c r="N73" s="5">
        <v>160</v>
      </c>
      <c r="O73" s="5">
        <v>474</v>
      </c>
      <c r="P73" s="5">
        <v>142</v>
      </c>
      <c r="Q73" s="5">
        <v>787</v>
      </c>
      <c r="R73" s="5">
        <v>274</v>
      </c>
      <c r="S73" s="5">
        <v>683</v>
      </c>
      <c r="T73" s="19"/>
      <c r="U73">
        <f t="shared" si="17"/>
        <v>22</v>
      </c>
      <c r="V73">
        <f t="shared" si="18"/>
        <v>509</v>
      </c>
      <c r="W73">
        <f t="shared" si="19"/>
        <v>580</v>
      </c>
      <c r="X73">
        <f t="shared" si="20"/>
        <v>303</v>
      </c>
      <c r="Y73">
        <f t="shared" si="21"/>
        <v>195</v>
      </c>
      <c r="Z73">
        <f t="shared" si="22"/>
        <v>999</v>
      </c>
      <c r="AA73">
        <f t="shared" si="23"/>
        <v>222</v>
      </c>
      <c r="AB73">
        <f t="shared" si="24"/>
        <v>142</v>
      </c>
      <c r="AC73">
        <f t="shared" si="25"/>
        <v>219</v>
      </c>
      <c r="AD73">
        <f t="shared" si="26"/>
        <v>90</v>
      </c>
      <c r="AE73">
        <f t="shared" si="27"/>
        <v>804</v>
      </c>
      <c r="AF73">
        <f t="shared" si="28"/>
        <v>160</v>
      </c>
      <c r="AG73">
        <f t="shared" si="29"/>
        <v>474</v>
      </c>
      <c r="AH73">
        <f t="shared" si="30"/>
        <v>142</v>
      </c>
      <c r="AI73">
        <f t="shared" si="31"/>
        <v>787</v>
      </c>
      <c r="AJ73">
        <f t="shared" si="32"/>
        <v>274</v>
      </c>
      <c r="AK73">
        <f t="shared" si="32"/>
        <v>683</v>
      </c>
    </row>
    <row r="74" spans="1:37" x14ac:dyDescent="0.25">
      <c r="A74" s="4">
        <v>2005</v>
      </c>
      <c r="B74" s="4" t="s">
        <v>27</v>
      </c>
      <c r="C74" s="5">
        <v>12</v>
      </c>
      <c r="D74" s="5">
        <v>561</v>
      </c>
      <c r="E74" s="5">
        <v>458</v>
      </c>
      <c r="F74" s="5">
        <v>309</v>
      </c>
      <c r="G74" s="5">
        <v>182</v>
      </c>
      <c r="H74" s="5">
        <v>948</v>
      </c>
      <c r="I74" s="5">
        <v>187</v>
      </c>
      <c r="J74" s="5">
        <v>156</v>
      </c>
      <c r="K74" s="5">
        <v>200</v>
      </c>
      <c r="L74" s="5">
        <v>100</v>
      </c>
      <c r="M74" s="5">
        <v>728</v>
      </c>
      <c r="N74" s="5">
        <v>153</v>
      </c>
      <c r="O74" s="5">
        <v>491</v>
      </c>
      <c r="P74" s="5">
        <v>136</v>
      </c>
      <c r="Q74" s="5">
        <v>707</v>
      </c>
      <c r="R74" s="5">
        <v>306</v>
      </c>
      <c r="S74" s="5">
        <v>664</v>
      </c>
      <c r="T74" s="19"/>
      <c r="U74">
        <f t="shared" si="17"/>
        <v>12</v>
      </c>
      <c r="V74">
        <f t="shared" si="18"/>
        <v>561</v>
      </c>
      <c r="W74">
        <f t="shared" si="19"/>
        <v>458</v>
      </c>
      <c r="X74">
        <f t="shared" si="20"/>
        <v>309</v>
      </c>
      <c r="Y74">
        <f t="shared" si="21"/>
        <v>182</v>
      </c>
      <c r="Z74">
        <f t="shared" si="22"/>
        <v>948</v>
      </c>
      <c r="AA74">
        <f t="shared" si="23"/>
        <v>187</v>
      </c>
      <c r="AB74">
        <f t="shared" si="24"/>
        <v>156</v>
      </c>
      <c r="AC74">
        <f t="shared" si="25"/>
        <v>200</v>
      </c>
      <c r="AD74">
        <f t="shared" si="26"/>
        <v>100</v>
      </c>
      <c r="AE74">
        <f t="shared" si="27"/>
        <v>728</v>
      </c>
      <c r="AF74">
        <f t="shared" si="28"/>
        <v>153</v>
      </c>
      <c r="AG74">
        <f t="shared" si="29"/>
        <v>491</v>
      </c>
      <c r="AH74">
        <f t="shared" si="30"/>
        <v>136</v>
      </c>
      <c r="AI74">
        <f t="shared" si="31"/>
        <v>707</v>
      </c>
      <c r="AJ74">
        <f t="shared" si="32"/>
        <v>306</v>
      </c>
      <c r="AK74">
        <f t="shared" si="32"/>
        <v>664</v>
      </c>
    </row>
    <row r="75" spans="1:37" x14ac:dyDescent="0.25">
      <c r="A75" s="4">
        <v>2005</v>
      </c>
      <c r="B75" s="4" t="s">
        <v>28</v>
      </c>
      <c r="C75" s="5">
        <v>12</v>
      </c>
      <c r="D75" s="5">
        <v>572</v>
      </c>
      <c r="E75" s="5">
        <v>439</v>
      </c>
      <c r="F75" s="5">
        <v>337</v>
      </c>
      <c r="G75" s="5">
        <v>152</v>
      </c>
      <c r="H75" s="5">
        <v>886</v>
      </c>
      <c r="I75" s="5">
        <v>211</v>
      </c>
      <c r="J75" s="5">
        <v>168</v>
      </c>
      <c r="K75" s="5">
        <v>194</v>
      </c>
      <c r="L75" s="5">
        <v>67</v>
      </c>
      <c r="M75" s="5">
        <v>862</v>
      </c>
      <c r="N75" s="5">
        <v>128</v>
      </c>
      <c r="O75" s="5">
        <v>530</v>
      </c>
      <c r="P75" s="5">
        <v>144</v>
      </c>
      <c r="Q75" s="5">
        <v>698</v>
      </c>
      <c r="R75" s="5">
        <v>307</v>
      </c>
      <c r="S75" s="5">
        <v>568</v>
      </c>
      <c r="T75" s="19"/>
      <c r="U75">
        <f t="shared" si="17"/>
        <v>12</v>
      </c>
      <c r="V75">
        <f t="shared" si="18"/>
        <v>572</v>
      </c>
      <c r="W75">
        <f t="shared" si="19"/>
        <v>439</v>
      </c>
      <c r="X75">
        <f t="shared" si="20"/>
        <v>337</v>
      </c>
      <c r="Y75">
        <f t="shared" si="21"/>
        <v>152</v>
      </c>
      <c r="Z75">
        <f t="shared" si="22"/>
        <v>886</v>
      </c>
      <c r="AA75">
        <f t="shared" si="23"/>
        <v>211</v>
      </c>
      <c r="AB75">
        <f t="shared" si="24"/>
        <v>168</v>
      </c>
      <c r="AC75">
        <f t="shared" si="25"/>
        <v>194</v>
      </c>
      <c r="AD75">
        <f t="shared" si="26"/>
        <v>67</v>
      </c>
      <c r="AE75">
        <f t="shared" si="27"/>
        <v>862</v>
      </c>
      <c r="AF75">
        <f t="shared" si="28"/>
        <v>128</v>
      </c>
      <c r="AG75">
        <f t="shared" si="29"/>
        <v>530</v>
      </c>
      <c r="AH75">
        <f t="shared" si="30"/>
        <v>144</v>
      </c>
      <c r="AI75">
        <f t="shared" si="31"/>
        <v>698</v>
      </c>
      <c r="AJ75">
        <f t="shared" si="32"/>
        <v>307</v>
      </c>
      <c r="AK75">
        <f t="shared" si="32"/>
        <v>568</v>
      </c>
    </row>
    <row r="76" spans="1:37" x14ac:dyDescent="0.25">
      <c r="A76" s="4">
        <v>2005</v>
      </c>
      <c r="B76" s="4" t="s">
        <v>29</v>
      </c>
      <c r="C76" s="5">
        <v>2</v>
      </c>
      <c r="D76" s="5">
        <v>519</v>
      </c>
      <c r="E76" s="5">
        <v>481</v>
      </c>
      <c r="F76" s="5">
        <v>319</v>
      </c>
      <c r="G76" s="5">
        <v>178</v>
      </c>
      <c r="H76" s="5">
        <v>872</v>
      </c>
      <c r="I76" s="5">
        <v>251</v>
      </c>
      <c r="J76" s="5">
        <v>162</v>
      </c>
      <c r="K76" s="5">
        <v>157</v>
      </c>
      <c r="L76" s="5">
        <v>99</v>
      </c>
      <c r="M76" s="5">
        <v>748</v>
      </c>
      <c r="N76" s="5">
        <v>122</v>
      </c>
      <c r="O76" s="5">
        <v>506</v>
      </c>
      <c r="P76" s="5">
        <v>118</v>
      </c>
      <c r="Q76" s="5">
        <v>678</v>
      </c>
      <c r="R76" s="5">
        <v>319</v>
      </c>
      <c r="S76" s="5">
        <v>502</v>
      </c>
      <c r="T76" s="19"/>
      <c r="U76">
        <f t="shared" si="17"/>
        <v>2</v>
      </c>
      <c r="V76">
        <f t="shared" si="18"/>
        <v>519</v>
      </c>
      <c r="W76">
        <f t="shared" si="19"/>
        <v>481</v>
      </c>
      <c r="X76">
        <f t="shared" si="20"/>
        <v>319</v>
      </c>
      <c r="Y76">
        <f t="shared" si="21"/>
        <v>178</v>
      </c>
      <c r="Z76">
        <f t="shared" si="22"/>
        <v>872</v>
      </c>
      <c r="AA76">
        <f t="shared" si="23"/>
        <v>251</v>
      </c>
      <c r="AB76">
        <f t="shared" si="24"/>
        <v>162</v>
      </c>
      <c r="AC76">
        <f t="shared" si="25"/>
        <v>157</v>
      </c>
      <c r="AD76">
        <f t="shared" si="26"/>
        <v>99</v>
      </c>
      <c r="AE76">
        <f t="shared" si="27"/>
        <v>748</v>
      </c>
      <c r="AF76">
        <f t="shared" si="28"/>
        <v>122</v>
      </c>
      <c r="AG76">
        <f t="shared" si="29"/>
        <v>506</v>
      </c>
      <c r="AH76">
        <f t="shared" si="30"/>
        <v>118</v>
      </c>
      <c r="AI76">
        <f t="shared" si="31"/>
        <v>678</v>
      </c>
      <c r="AJ76">
        <f t="shared" si="32"/>
        <v>319</v>
      </c>
      <c r="AK76">
        <f t="shared" si="32"/>
        <v>502</v>
      </c>
    </row>
    <row r="77" spans="1:37" x14ac:dyDescent="0.25">
      <c r="A77" s="4">
        <v>2005</v>
      </c>
      <c r="B77" s="4" t="s">
        <v>30</v>
      </c>
      <c r="C77" s="5">
        <v>18</v>
      </c>
      <c r="D77" s="5">
        <v>564</v>
      </c>
      <c r="E77" s="5">
        <v>493</v>
      </c>
      <c r="F77" s="5">
        <v>330</v>
      </c>
      <c r="G77" s="5">
        <v>141</v>
      </c>
      <c r="H77" s="5">
        <v>872</v>
      </c>
      <c r="I77" s="5">
        <v>199</v>
      </c>
      <c r="J77" s="5">
        <v>172</v>
      </c>
      <c r="K77" s="5">
        <v>175</v>
      </c>
      <c r="L77" s="5">
        <v>94</v>
      </c>
      <c r="M77" s="5">
        <v>711</v>
      </c>
      <c r="N77" s="5">
        <v>116</v>
      </c>
      <c r="O77" s="5">
        <v>561</v>
      </c>
      <c r="P77" s="5">
        <v>150</v>
      </c>
      <c r="Q77" s="5">
        <v>816</v>
      </c>
      <c r="R77" s="5">
        <v>300</v>
      </c>
      <c r="S77" s="5">
        <v>494</v>
      </c>
      <c r="T77" s="19"/>
      <c r="U77">
        <f t="shared" si="17"/>
        <v>18</v>
      </c>
      <c r="V77">
        <f t="shared" si="18"/>
        <v>564</v>
      </c>
      <c r="W77">
        <f t="shared" si="19"/>
        <v>493</v>
      </c>
      <c r="X77">
        <f t="shared" si="20"/>
        <v>330</v>
      </c>
      <c r="Y77">
        <f t="shared" si="21"/>
        <v>141</v>
      </c>
      <c r="Z77">
        <f t="shared" si="22"/>
        <v>872</v>
      </c>
      <c r="AA77">
        <f t="shared" si="23"/>
        <v>199</v>
      </c>
      <c r="AB77">
        <f t="shared" si="24"/>
        <v>172</v>
      </c>
      <c r="AC77">
        <f t="shared" si="25"/>
        <v>175</v>
      </c>
      <c r="AD77">
        <f t="shared" si="26"/>
        <v>94</v>
      </c>
      <c r="AE77">
        <f t="shared" si="27"/>
        <v>711</v>
      </c>
      <c r="AF77">
        <f t="shared" si="28"/>
        <v>116</v>
      </c>
      <c r="AG77">
        <f t="shared" si="29"/>
        <v>561</v>
      </c>
      <c r="AH77">
        <f t="shared" si="30"/>
        <v>150</v>
      </c>
      <c r="AI77">
        <f t="shared" si="31"/>
        <v>816</v>
      </c>
      <c r="AJ77">
        <f t="shared" si="32"/>
        <v>300</v>
      </c>
      <c r="AK77">
        <f t="shared" si="32"/>
        <v>494</v>
      </c>
    </row>
    <row r="78" spans="1:37" x14ac:dyDescent="0.25">
      <c r="A78" s="4">
        <v>2005</v>
      </c>
      <c r="B78" s="4" t="s">
        <v>19</v>
      </c>
      <c r="C78" s="5">
        <v>23</v>
      </c>
      <c r="D78" s="5">
        <v>813</v>
      </c>
      <c r="E78" s="5">
        <v>461</v>
      </c>
      <c r="F78" s="5">
        <v>296</v>
      </c>
      <c r="G78" s="5">
        <v>184</v>
      </c>
      <c r="H78" s="5">
        <v>785</v>
      </c>
      <c r="I78" s="5">
        <v>202</v>
      </c>
      <c r="J78" s="5">
        <v>128</v>
      </c>
      <c r="K78" s="5">
        <v>137</v>
      </c>
      <c r="L78" s="5">
        <v>67</v>
      </c>
      <c r="M78" s="5">
        <v>788</v>
      </c>
      <c r="N78" s="5">
        <v>76</v>
      </c>
      <c r="O78" s="5">
        <v>453</v>
      </c>
      <c r="P78" s="5">
        <v>164</v>
      </c>
      <c r="Q78" s="5">
        <v>766</v>
      </c>
      <c r="R78" s="5">
        <v>269</v>
      </c>
      <c r="S78" s="5">
        <v>393</v>
      </c>
      <c r="T78" s="19"/>
      <c r="U78">
        <f t="shared" si="17"/>
        <v>23</v>
      </c>
      <c r="V78">
        <f t="shared" si="18"/>
        <v>813</v>
      </c>
      <c r="W78">
        <f t="shared" si="19"/>
        <v>461</v>
      </c>
      <c r="X78">
        <f t="shared" si="20"/>
        <v>296</v>
      </c>
      <c r="Y78">
        <f t="shared" si="21"/>
        <v>184</v>
      </c>
      <c r="Z78">
        <f t="shared" si="22"/>
        <v>785</v>
      </c>
      <c r="AA78">
        <f t="shared" si="23"/>
        <v>202</v>
      </c>
      <c r="AB78">
        <f t="shared" si="24"/>
        <v>128</v>
      </c>
      <c r="AC78">
        <f t="shared" si="25"/>
        <v>137</v>
      </c>
      <c r="AD78">
        <f t="shared" si="26"/>
        <v>67</v>
      </c>
      <c r="AE78">
        <f t="shared" si="27"/>
        <v>788</v>
      </c>
      <c r="AF78">
        <f t="shared" si="28"/>
        <v>76</v>
      </c>
      <c r="AG78">
        <f t="shared" si="29"/>
        <v>453</v>
      </c>
      <c r="AH78">
        <f t="shared" si="30"/>
        <v>164</v>
      </c>
      <c r="AI78">
        <f t="shared" si="31"/>
        <v>766</v>
      </c>
      <c r="AJ78">
        <f t="shared" si="32"/>
        <v>269</v>
      </c>
      <c r="AK78">
        <f t="shared" si="32"/>
        <v>393</v>
      </c>
    </row>
    <row r="79" spans="1:37" x14ac:dyDescent="0.25">
      <c r="A79" s="4">
        <v>2005</v>
      </c>
      <c r="B79" s="4" t="s">
        <v>96</v>
      </c>
      <c r="C79" s="5">
        <v>20</v>
      </c>
      <c r="D79" s="5">
        <v>712</v>
      </c>
      <c r="E79" s="5">
        <v>485</v>
      </c>
      <c r="F79" s="5">
        <v>326</v>
      </c>
      <c r="G79" s="5">
        <v>182</v>
      </c>
      <c r="H79" s="5">
        <v>954</v>
      </c>
      <c r="I79" s="5">
        <v>232</v>
      </c>
      <c r="J79" s="5">
        <v>163</v>
      </c>
      <c r="K79" s="5">
        <v>183</v>
      </c>
      <c r="L79" s="5">
        <v>89</v>
      </c>
      <c r="M79" s="5">
        <v>792</v>
      </c>
      <c r="N79" s="5">
        <v>129</v>
      </c>
      <c r="O79" s="5">
        <v>498</v>
      </c>
      <c r="P79" s="5">
        <v>145</v>
      </c>
      <c r="Q79" s="5">
        <v>776</v>
      </c>
      <c r="R79" s="5">
        <v>301</v>
      </c>
      <c r="S79" s="5">
        <v>534</v>
      </c>
      <c r="T79" s="19"/>
      <c r="U79" t="str">
        <f t="shared" si="17"/>
        <v/>
      </c>
      <c r="V79" t="str">
        <f t="shared" si="18"/>
        <v/>
      </c>
      <c r="W79" t="str">
        <f t="shared" si="19"/>
        <v/>
      </c>
      <c r="X79" t="str">
        <f t="shared" si="20"/>
        <v/>
      </c>
      <c r="Y79" t="str">
        <f t="shared" si="21"/>
        <v/>
      </c>
      <c r="Z79" t="str">
        <f t="shared" si="22"/>
        <v/>
      </c>
      <c r="AA79" t="str">
        <f t="shared" si="23"/>
        <v/>
      </c>
      <c r="AB79" t="str">
        <f t="shared" si="24"/>
        <v/>
      </c>
      <c r="AC79" t="str">
        <f t="shared" si="25"/>
        <v/>
      </c>
      <c r="AD79" t="str">
        <f t="shared" si="26"/>
        <v/>
      </c>
      <c r="AE79" t="str">
        <f t="shared" si="27"/>
        <v/>
      </c>
      <c r="AF79" t="str">
        <f t="shared" si="28"/>
        <v/>
      </c>
      <c r="AG79" t="str">
        <f t="shared" si="29"/>
        <v/>
      </c>
      <c r="AH79" t="str">
        <f t="shared" si="30"/>
        <v/>
      </c>
      <c r="AI79" t="str">
        <f t="shared" si="31"/>
        <v/>
      </c>
      <c r="AJ79" t="str">
        <f t="shared" si="32"/>
        <v/>
      </c>
      <c r="AK79" t="str">
        <f t="shared" si="32"/>
        <v/>
      </c>
    </row>
    <row r="80" spans="1:37" x14ac:dyDescent="0.25">
      <c r="A80" s="4">
        <v>2006</v>
      </c>
      <c r="B80" s="4" t="s">
        <v>20</v>
      </c>
      <c r="C80" s="5">
        <v>26</v>
      </c>
      <c r="D80" s="5">
        <v>868</v>
      </c>
      <c r="E80" s="5">
        <v>450</v>
      </c>
      <c r="F80" s="5">
        <v>328</v>
      </c>
      <c r="G80" s="5">
        <v>169</v>
      </c>
      <c r="H80" s="5">
        <v>1034</v>
      </c>
      <c r="I80" s="5">
        <v>287</v>
      </c>
      <c r="J80" s="5">
        <v>105</v>
      </c>
      <c r="K80" s="5">
        <v>133</v>
      </c>
      <c r="L80" s="5">
        <v>100</v>
      </c>
      <c r="M80" s="5">
        <v>825</v>
      </c>
      <c r="N80" s="5">
        <v>113</v>
      </c>
      <c r="O80" s="5">
        <v>481</v>
      </c>
      <c r="P80" s="5">
        <v>171</v>
      </c>
      <c r="Q80" s="5">
        <v>739</v>
      </c>
      <c r="R80" s="5">
        <v>308</v>
      </c>
      <c r="S80" s="5">
        <v>457</v>
      </c>
      <c r="T80" s="19"/>
      <c r="U80">
        <f t="shared" si="17"/>
        <v>26</v>
      </c>
      <c r="V80">
        <f t="shared" si="18"/>
        <v>868</v>
      </c>
      <c r="W80">
        <f t="shared" si="19"/>
        <v>450</v>
      </c>
      <c r="X80">
        <f t="shared" si="20"/>
        <v>328</v>
      </c>
      <c r="Y80">
        <f t="shared" si="21"/>
        <v>169</v>
      </c>
      <c r="Z80">
        <f t="shared" si="22"/>
        <v>1034</v>
      </c>
      <c r="AA80">
        <f t="shared" si="23"/>
        <v>287</v>
      </c>
      <c r="AB80">
        <f t="shared" si="24"/>
        <v>105</v>
      </c>
      <c r="AC80">
        <f t="shared" si="25"/>
        <v>133</v>
      </c>
      <c r="AD80">
        <f t="shared" si="26"/>
        <v>100</v>
      </c>
      <c r="AE80">
        <f t="shared" si="27"/>
        <v>825</v>
      </c>
      <c r="AF80">
        <f t="shared" si="28"/>
        <v>113</v>
      </c>
      <c r="AG80">
        <f t="shared" si="29"/>
        <v>481</v>
      </c>
      <c r="AH80">
        <f t="shared" si="30"/>
        <v>171</v>
      </c>
      <c r="AI80">
        <f t="shared" si="31"/>
        <v>739</v>
      </c>
      <c r="AJ80">
        <f t="shared" si="32"/>
        <v>308</v>
      </c>
      <c r="AK80">
        <f t="shared" si="32"/>
        <v>457</v>
      </c>
    </row>
    <row r="81" spans="1:37" x14ac:dyDescent="0.25">
      <c r="A81" s="4">
        <v>2006</v>
      </c>
      <c r="B81" s="4" t="s">
        <v>21</v>
      </c>
      <c r="C81" s="5">
        <v>25</v>
      </c>
      <c r="D81" s="5">
        <v>836</v>
      </c>
      <c r="E81" s="5">
        <v>477</v>
      </c>
      <c r="F81" s="5">
        <v>344</v>
      </c>
      <c r="G81" s="5">
        <v>155</v>
      </c>
      <c r="H81" s="5">
        <v>986</v>
      </c>
      <c r="I81" s="5">
        <v>260</v>
      </c>
      <c r="J81" s="5">
        <v>119</v>
      </c>
      <c r="K81" s="5">
        <v>180</v>
      </c>
      <c r="L81" s="5">
        <v>89</v>
      </c>
      <c r="M81" s="5">
        <v>841</v>
      </c>
      <c r="N81" s="5">
        <v>86</v>
      </c>
      <c r="O81" s="5">
        <v>441</v>
      </c>
      <c r="P81" s="5">
        <v>203</v>
      </c>
      <c r="Q81" s="5">
        <v>838</v>
      </c>
      <c r="R81" s="5">
        <v>281</v>
      </c>
      <c r="S81" s="5">
        <v>472</v>
      </c>
      <c r="T81" s="19"/>
      <c r="U81">
        <f t="shared" si="17"/>
        <v>25</v>
      </c>
      <c r="V81">
        <f t="shared" si="18"/>
        <v>836</v>
      </c>
      <c r="W81">
        <f t="shared" si="19"/>
        <v>477</v>
      </c>
      <c r="X81">
        <f t="shared" si="20"/>
        <v>344</v>
      </c>
      <c r="Y81">
        <f t="shared" si="21"/>
        <v>155</v>
      </c>
      <c r="Z81">
        <f t="shared" si="22"/>
        <v>986</v>
      </c>
      <c r="AA81">
        <f t="shared" si="23"/>
        <v>260</v>
      </c>
      <c r="AB81">
        <f t="shared" si="24"/>
        <v>119</v>
      </c>
      <c r="AC81">
        <f t="shared" si="25"/>
        <v>180</v>
      </c>
      <c r="AD81">
        <f t="shared" si="26"/>
        <v>89</v>
      </c>
      <c r="AE81">
        <f t="shared" si="27"/>
        <v>841</v>
      </c>
      <c r="AF81">
        <f t="shared" si="28"/>
        <v>86</v>
      </c>
      <c r="AG81">
        <f t="shared" si="29"/>
        <v>441</v>
      </c>
      <c r="AH81">
        <f t="shared" si="30"/>
        <v>203</v>
      </c>
      <c r="AI81">
        <f t="shared" si="31"/>
        <v>838</v>
      </c>
      <c r="AJ81">
        <f t="shared" si="32"/>
        <v>281</v>
      </c>
      <c r="AK81">
        <f t="shared" si="32"/>
        <v>472</v>
      </c>
    </row>
    <row r="82" spans="1:37" x14ac:dyDescent="0.25">
      <c r="A82" s="4">
        <v>2006</v>
      </c>
      <c r="B82" s="4" t="s">
        <v>22</v>
      </c>
      <c r="C82" s="5">
        <v>14</v>
      </c>
      <c r="D82" s="5">
        <v>820</v>
      </c>
      <c r="E82" s="5">
        <v>409</v>
      </c>
      <c r="F82" s="5">
        <v>292</v>
      </c>
      <c r="G82" s="5">
        <v>135</v>
      </c>
      <c r="H82" s="5">
        <v>888</v>
      </c>
      <c r="I82" s="5">
        <v>263</v>
      </c>
      <c r="J82" s="5">
        <v>116</v>
      </c>
      <c r="K82" s="5">
        <v>213</v>
      </c>
      <c r="L82" s="5">
        <v>85</v>
      </c>
      <c r="M82" s="5">
        <v>824</v>
      </c>
      <c r="N82" s="5">
        <v>83</v>
      </c>
      <c r="O82" s="5">
        <v>480</v>
      </c>
      <c r="P82" s="5">
        <v>172</v>
      </c>
      <c r="Q82" s="5">
        <v>745</v>
      </c>
      <c r="R82" s="5">
        <v>292</v>
      </c>
      <c r="S82" s="5">
        <v>461</v>
      </c>
      <c r="T82" s="19"/>
      <c r="U82">
        <f t="shared" si="17"/>
        <v>14</v>
      </c>
      <c r="V82">
        <f t="shared" si="18"/>
        <v>820</v>
      </c>
      <c r="W82">
        <f t="shared" si="19"/>
        <v>409</v>
      </c>
      <c r="X82">
        <f t="shared" si="20"/>
        <v>292</v>
      </c>
      <c r="Y82">
        <f t="shared" si="21"/>
        <v>135</v>
      </c>
      <c r="Z82">
        <f t="shared" si="22"/>
        <v>888</v>
      </c>
      <c r="AA82">
        <f t="shared" si="23"/>
        <v>263</v>
      </c>
      <c r="AB82">
        <f t="shared" si="24"/>
        <v>116</v>
      </c>
      <c r="AC82">
        <f t="shared" si="25"/>
        <v>213</v>
      </c>
      <c r="AD82">
        <f t="shared" si="26"/>
        <v>85</v>
      </c>
      <c r="AE82">
        <f t="shared" si="27"/>
        <v>824</v>
      </c>
      <c r="AF82">
        <f t="shared" si="28"/>
        <v>83</v>
      </c>
      <c r="AG82">
        <f t="shared" si="29"/>
        <v>480</v>
      </c>
      <c r="AH82">
        <f t="shared" si="30"/>
        <v>172</v>
      </c>
      <c r="AI82">
        <f t="shared" si="31"/>
        <v>745</v>
      </c>
      <c r="AJ82">
        <f t="shared" si="32"/>
        <v>292</v>
      </c>
      <c r="AK82">
        <f t="shared" si="32"/>
        <v>461</v>
      </c>
    </row>
    <row r="83" spans="1:37" x14ac:dyDescent="0.25">
      <c r="A83" s="4">
        <v>2006</v>
      </c>
      <c r="B83" s="4" t="s">
        <v>23</v>
      </c>
      <c r="C83" s="5">
        <v>17</v>
      </c>
      <c r="D83" s="5">
        <v>674</v>
      </c>
      <c r="E83" s="5">
        <v>414</v>
      </c>
      <c r="F83" s="5">
        <v>331</v>
      </c>
      <c r="G83" s="5">
        <v>137</v>
      </c>
      <c r="H83" s="5">
        <v>836</v>
      </c>
      <c r="I83" s="5">
        <v>272</v>
      </c>
      <c r="J83" s="5">
        <v>132</v>
      </c>
      <c r="K83" s="5">
        <v>215</v>
      </c>
      <c r="L83" s="5">
        <v>78</v>
      </c>
      <c r="M83" s="5">
        <v>644</v>
      </c>
      <c r="N83" s="5">
        <v>92</v>
      </c>
      <c r="O83" s="5">
        <v>466</v>
      </c>
      <c r="P83" s="5">
        <v>135</v>
      </c>
      <c r="Q83" s="5">
        <v>747</v>
      </c>
      <c r="R83" s="5">
        <v>266</v>
      </c>
      <c r="S83" s="5">
        <v>414</v>
      </c>
      <c r="T83" s="19"/>
      <c r="U83">
        <f t="shared" si="17"/>
        <v>17</v>
      </c>
      <c r="V83">
        <f t="shared" si="18"/>
        <v>674</v>
      </c>
      <c r="W83">
        <f t="shared" si="19"/>
        <v>414</v>
      </c>
      <c r="X83">
        <f t="shared" si="20"/>
        <v>331</v>
      </c>
      <c r="Y83">
        <f t="shared" si="21"/>
        <v>137</v>
      </c>
      <c r="Z83">
        <f t="shared" si="22"/>
        <v>836</v>
      </c>
      <c r="AA83">
        <f t="shared" si="23"/>
        <v>272</v>
      </c>
      <c r="AB83">
        <f t="shared" si="24"/>
        <v>132</v>
      </c>
      <c r="AC83">
        <f t="shared" si="25"/>
        <v>215</v>
      </c>
      <c r="AD83">
        <f t="shared" si="26"/>
        <v>78</v>
      </c>
      <c r="AE83">
        <f t="shared" si="27"/>
        <v>644</v>
      </c>
      <c r="AF83">
        <f t="shared" si="28"/>
        <v>92</v>
      </c>
      <c r="AG83">
        <f t="shared" si="29"/>
        <v>466</v>
      </c>
      <c r="AH83">
        <f t="shared" si="30"/>
        <v>135</v>
      </c>
      <c r="AI83">
        <f t="shared" si="31"/>
        <v>747</v>
      </c>
      <c r="AJ83">
        <f t="shared" si="32"/>
        <v>266</v>
      </c>
      <c r="AK83">
        <f t="shared" si="32"/>
        <v>414</v>
      </c>
    </row>
    <row r="84" spans="1:37" x14ac:dyDescent="0.25">
      <c r="A84" s="4">
        <v>2006</v>
      </c>
      <c r="B84" s="4" t="s">
        <v>24</v>
      </c>
      <c r="C84" s="5">
        <v>20</v>
      </c>
      <c r="D84" s="5">
        <v>647</v>
      </c>
      <c r="E84" s="5">
        <v>372</v>
      </c>
      <c r="F84" s="5">
        <v>308</v>
      </c>
      <c r="G84" s="5">
        <v>140</v>
      </c>
      <c r="H84" s="5">
        <v>885</v>
      </c>
      <c r="I84" s="5">
        <v>226</v>
      </c>
      <c r="J84" s="5">
        <v>158</v>
      </c>
      <c r="K84" s="5">
        <v>203</v>
      </c>
      <c r="L84" s="5">
        <v>86</v>
      </c>
      <c r="M84" s="5">
        <v>695</v>
      </c>
      <c r="N84" s="5">
        <v>96</v>
      </c>
      <c r="O84" s="5">
        <v>447</v>
      </c>
      <c r="P84" s="5">
        <v>130</v>
      </c>
      <c r="Q84" s="5">
        <v>700</v>
      </c>
      <c r="R84" s="5">
        <v>265</v>
      </c>
      <c r="S84" s="5">
        <v>429</v>
      </c>
      <c r="T84" s="19"/>
      <c r="U84">
        <f t="shared" si="17"/>
        <v>20</v>
      </c>
      <c r="V84">
        <f t="shared" si="18"/>
        <v>647</v>
      </c>
      <c r="W84">
        <f t="shared" si="19"/>
        <v>372</v>
      </c>
      <c r="X84">
        <f t="shared" si="20"/>
        <v>308</v>
      </c>
      <c r="Y84">
        <f t="shared" si="21"/>
        <v>140</v>
      </c>
      <c r="Z84">
        <f t="shared" si="22"/>
        <v>885</v>
      </c>
      <c r="AA84">
        <f t="shared" si="23"/>
        <v>226</v>
      </c>
      <c r="AB84">
        <f t="shared" si="24"/>
        <v>158</v>
      </c>
      <c r="AC84">
        <f t="shared" si="25"/>
        <v>203</v>
      </c>
      <c r="AD84">
        <f t="shared" si="26"/>
        <v>86</v>
      </c>
      <c r="AE84">
        <f t="shared" si="27"/>
        <v>695</v>
      </c>
      <c r="AF84">
        <f t="shared" si="28"/>
        <v>96</v>
      </c>
      <c r="AG84">
        <f t="shared" si="29"/>
        <v>447</v>
      </c>
      <c r="AH84">
        <f t="shared" si="30"/>
        <v>130</v>
      </c>
      <c r="AI84">
        <f t="shared" si="31"/>
        <v>700</v>
      </c>
      <c r="AJ84">
        <f t="shared" si="32"/>
        <v>265</v>
      </c>
      <c r="AK84">
        <f t="shared" si="32"/>
        <v>429</v>
      </c>
    </row>
    <row r="85" spans="1:37" x14ac:dyDescent="0.25">
      <c r="A85" s="4">
        <v>2006</v>
      </c>
      <c r="B85" s="4" t="s">
        <v>25</v>
      </c>
      <c r="C85" s="5">
        <v>31</v>
      </c>
      <c r="D85" s="5">
        <v>569</v>
      </c>
      <c r="E85" s="5">
        <v>380</v>
      </c>
      <c r="F85" s="5">
        <v>254</v>
      </c>
      <c r="G85" s="5">
        <v>142</v>
      </c>
      <c r="H85" s="5">
        <v>943</v>
      </c>
      <c r="I85" s="5">
        <v>225</v>
      </c>
      <c r="J85" s="5">
        <v>114</v>
      </c>
      <c r="K85" s="5">
        <v>205</v>
      </c>
      <c r="L85" s="5">
        <v>94</v>
      </c>
      <c r="M85" s="5">
        <v>753</v>
      </c>
      <c r="N85" s="5">
        <v>159</v>
      </c>
      <c r="O85" s="5">
        <v>458</v>
      </c>
      <c r="P85" s="5">
        <v>140</v>
      </c>
      <c r="Q85" s="5">
        <v>803</v>
      </c>
      <c r="R85" s="5">
        <v>265</v>
      </c>
      <c r="S85" s="5">
        <v>578</v>
      </c>
      <c r="T85" s="19"/>
      <c r="U85">
        <f t="shared" si="17"/>
        <v>31</v>
      </c>
      <c r="V85">
        <f t="shared" si="18"/>
        <v>569</v>
      </c>
      <c r="W85">
        <f t="shared" si="19"/>
        <v>380</v>
      </c>
      <c r="X85">
        <f t="shared" si="20"/>
        <v>254</v>
      </c>
      <c r="Y85">
        <f t="shared" si="21"/>
        <v>142</v>
      </c>
      <c r="Z85">
        <f t="shared" si="22"/>
        <v>943</v>
      </c>
      <c r="AA85">
        <f t="shared" si="23"/>
        <v>225</v>
      </c>
      <c r="AB85">
        <f t="shared" si="24"/>
        <v>114</v>
      </c>
      <c r="AC85">
        <f t="shared" si="25"/>
        <v>205</v>
      </c>
      <c r="AD85">
        <f t="shared" si="26"/>
        <v>94</v>
      </c>
      <c r="AE85">
        <f t="shared" si="27"/>
        <v>753</v>
      </c>
      <c r="AF85">
        <f t="shared" si="28"/>
        <v>159</v>
      </c>
      <c r="AG85">
        <f t="shared" si="29"/>
        <v>458</v>
      </c>
      <c r="AH85">
        <f t="shared" si="30"/>
        <v>140</v>
      </c>
      <c r="AI85">
        <f t="shared" si="31"/>
        <v>803</v>
      </c>
      <c r="AJ85">
        <f t="shared" si="32"/>
        <v>265</v>
      </c>
      <c r="AK85">
        <f t="shared" si="32"/>
        <v>578</v>
      </c>
    </row>
    <row r="86" spans="1:37" x14ac:dyDescent="0.25">
      <c r="A86" s="4">
        <v>2006</v>
      </c>
      <c r="B86" s="4" t="s">
        <v>26</v>
      </c>
      <c r="C86" s="5">
        <v>25</v>
      </c>
      <c r="D86" s="5">
        <v>633</v>
      </c>
      <c r="E86" s="5">
        <v>444</v>
      </c>
      <c r="F86" s="5">
        <v>292</v>
      </c>
      <c r="G86" s="5">
        <v>150</v>
      </c>
      <c r="H86" s="5">
        <v>934</v>
      </c>
      <c r="I86" s="5">
        <v>237</v>
      </c>
      <c r="J86" s="5">
        <v>103</v>
      </c>
      <c r="K86" s="5">
        <v>235</v>
      </c>
      <c r="L86" s="5">
        <v>93</v>
      </c>
      <c r="M86" s="5">
        <v>735</v>
      </c>
      <c r="N86" s="5">
        <v>175</v>
      </c>
      <c r="O86" s="5">
        <v>484</v>
      </c>
      <c r="P86" s="5">
        <v>146</v>
      </c>
      <c r="Q86" s="5">
        <v>721</v>
      </c>
      <c r="R86" s="5">
        <v>305</v>
      </c>
      <c r="S86" s="5">
        <v>659</v>
      </c>
      <c r="T86" s="19"/>
      <c r="U86">
        <f t="shared" si="17"/>
        <v>25</v>
      </c>
      <c r="V86">
        <f t="shared" si="18"/>
        <v>633</v>
      </c>
      <c r="W86">
        <f t="shared" si="19"/>
        <v>444</v>
      </c>
      <c r="X86">
        <f t="shared" si="20"/>
        <v>292</v>
      </c>
      <c r="Y86">
        <f t="shared" si="21"/>
        <v>150</v>
      </c>
      <c r="Z86">
        <f t="shared" si="22"/>
        <v>934</v>
      </c>
      <c r="AA86">
        <f t="shared" si="23"/>
        <v>237</v>
      </c>
      <c r="AB86">
        <f t="shared" si="24"/>
        <v>103</v>
      </c>
      <c r="AC86">
        <f t="shared" si="25"/>
        <v>235</v>
      </c>
      <c r="AD86">
        <f t="shared" si="26"/>
        <v>93</v>
      </c>
      <c r="AE86">
        <f t="shared" si="27"/>
        <v>735</v>
      </c>
      <c r="AF86">
        <f t="shared" si="28"/>
        <v>175</v>
      </c>
      <c r="AG86">
        <f t="shared" si="29"/>
        <v>484</v>
      </c>
      <c r="AH86">
        <f t="shared" si="30"/>
        <v>146</v>
      </c>
      <c r="AI86">
        <f t="shared" si="31"/>
        <v>721</v>
      </c>
      <c r="AJ86">
        <f t="shared" si="32"/>
        <v>305</v>
      </c>
      <c r="AK86">
        <f t="shared" si="32"/>
        <v>659</v>
      </c>
    </row>
    <row r="87" spans="1:37" x14ac:dyDescent="0.25">
      <c r="A87" s="4">
        <v>2006</v>
      </c>
      <c r="B87" s="4" t="s">
        <v>27</v>
      </c>
      <c r="C87" s="5">
        <v>32</v>
      </c>
      <c r="D87" s="5">
        <v>618</v>
      </c>
      <c r="E87" s="5">
        <v>425</v>
      </c>
      <c r="F87" s="5">
        <v>255</v>
      </c>
      <c r="G87" s="5">
        <v>138</v>
      </c>
      <c r="H87" s="5">
        <v>839</v>
      </c>
      <c r="I87" s="5">
        <v>217</v>
      </c>
      <c r="J87" s="5">
        <v>132</v>
      </c>
      <c r="K87" s="5">
        <v>183</v>
      </c>
      <c r="L87" s="5">
        <v>80</v>
      </c>
      <c r="M87" s="5">
        <v>681</v>
      </c>
      <c r="N87" s="5">
        <v>166</v>
      </c>
      <c r="O87" s="5">
        <v>445</v>
      </c>
      <c r="P87" s="5">
        <v>129</v>
      </c>
      <c r="Q87" s="5">
        <v>726</v>
      </c>
      <c r="R87" s="5">
        <v>341</v>
      </c>
      <c r="S87" s="5">
        <v>595</v>
      </c>
      <c r="T87" s="19"/>
      <c r="U87">
        <f t="shared" si="17"/>
        <v>32</v>
      </c>
      <c r="V87">
        <f t="shared" si="18"/>
        <v>618</v>
      </c>
      <c r="W87">
        <f t="shared" si="19"/>
        <v>425</v>
      </c>
      <c r="X87">
        <f t="shared" si="20"/>
        <v>255</v>
      </c>
      <c r="Y87">
        <f t="shared" si="21"/>
        <v>138</v>
      </c>
      <c r="Z87">
        <f t="shared" si="22"/>
        <v>839</v>
      </c>
      <c r="AA87">
        <f t="shared" si="23"/>
        <v>217</v>
      </c>
      <c r="AB87">
        <f t="shared" si="24"/>
        <v>132</v>
      </c>
      <c r="AC87">
        <f t="shared" si="25"/>
        <v>183</v>
      </c>
      <c r="AD87">
        <f t="shared" si="26"/>
        <v>80</v>
      </c>
      <c r="AE87">
        <f t="shared" si="27"/>
        <v>681</v>
      </c>
      <c r="AF87">
        <f t="shared" si="28"/>
        <v>166</v>
      </c>
      <c r="AG87">
        <f t="shared" si="29"/>
        <v>445</v>
      </c>
      <c r="AH87">
        <f t="shared" si="30"/>
        <v>129</v>
      </c>
      <c r="AI87">
        <f t="shared" si="31"/>
        <v>726</v>
      </c>
      <c r="AJ87">
        <f t="shared" si="32"/>
        <v>341</v>
      </c>
      <c r="AK87">
        <f t="shared" si="32"/>
        <v>595</v>
      </c>
    </row>
    <row r="88" spans="1:37" x14ac:dyDescent="0.25">
      <c r="A88" s="4">
        <v>2006</v>
      </c>
      <c r="B88" s="4" t="s">
        <v>28</v>
      </c>
      <c r="C88" s="5">
        <v>14</v>
      </c>
      <c r="D88" s="5">
        <v>586</v>
      </c>
      <c r="E88" s="5">
        <v>362</v>
      </c>
      <c r="F88" s="5">
        <v>270</v>
      </c>
      <c r="G88" s="5">
        <v>140</v>
      </c>
      <c r="H88" s="5">
        <v>868</v>
      </c>
      <c r="I88" s="5">
        <v>183</v>
      </c>
      <c r="J88" s="5">
        <v>170</v>
      </c>
      <c r="K88" s="5">
        <v>135</v>
      </c>
      <c r="L88" s="5">
        <v>100</v>
      </c>
      <c r="M88" s="5">
        <v>736</v>
      </c>
      <c r="N88" s="5">
        <v>127</v>
      </c>
      <c r="O88" s="5">
        <v>449</v>
      </c>
      <c r="P88" s="5">
        <v>114</v>
      </c>
      <c r="Q88" s="5">
        <v>696</v>
      </c>
      <c r="R88" s="5">
        <v>310</v>
      </c>
      <c r="S88" s="5">
        <v>396</v>
      </c>
      <c r="T88" s="19"/>
      <c r="U88">
        <f t="shared" si="17"/>
        <v>14</v>
      </c>
      <c r="V88">
        <f t="shared" si="18"/>
        <v>586</v>
      </c>
      <c r="W88">
        <f t="shared" si="19"/>
        <v>362</v>
      </c>
      <c r="X88">
        <f t="shared" si="20"/>
        <v>270</v>
      </c>
      <c r="Y88">
        <f t="shared" si="21"/>
        <v>140</v>
      </c>
      <c r="Z88">
        <f t="shared" si="22"/>
        <v>868</v>
      </c>
      <c r="AA88">
        <f t="shared" si="23"/>
        <v>183</v>
      </c>
      <c r="AB88">
        <f t="shared" si="24"/>
        <v>170</v>
      </c>
      <c r="AC88">
        <f t="shared" si="25"/>
        <v>135</v>
      </c>
      <c r="AD88">
        <f t="shared" si="26"/>
        <v>100</v>
      </c>
      <c r="AE88">
        <f t="shared" si="27"/>
        <v>736</v>
      </c>
      <c r="AF88">
        <f t="shared" si="28"/>
        <v>127</v>
      </c>
      <c r="AG88">
        <f t="shared" si="29"/>
        <v>449</v>
      </c>
      <c r="AH88">
        <f t="shared" si="30"/>
        <v>114</v>
      </c>
      <c r="AI88">
        <f t="shared" si="31"/>
        <v>696</v>
      </c>
      <c r="AJ88">
        <f t="shared" si="32"/>
        <v>310</v>
      </c>
      <c r="AK88">
        <f t="shared" si="32"/>
        <v>396</v>
      </c>
    </row>
    <row r="89" spans="1:37" x14ac:dyDescent="0.25">
      <c r="A89" s="4">
        <v>2006</v>
      </c>
      <c r="B89" s="4" t="s">
        <v>29</v>
      </c>
      <c r="C89" s="5">
        <v>15</v>
      </c>
      <c r="D89" s="5">
        <v>456</v>
      </c>
      <c r="E89" s="5">
        <v>363</v>
      </c>
      <c r="F89" s="5">
        <v>255</v>
      </c>
      <c r="G89" s="5">
        <v>119</v>
      </c>
      <c r="H89" s="5">
        <v>853</v>
      </c>
      <c r="I89" s="5">
        <v>206</v>
      </c>
      <c r="J89" s="5">
        <v>116</v>
      </c>
      <c r="K89" s="5">
        <v>163</v>
      </c>
      <c r="L89" s="5">
        <v>48</v>
      </c>
      <c r="M89" s="5">
        <v>768</v>
      </c>
      <c r="N89" s="5">
        <v>103</v>
      </c>
      <c r="O89" s="5">
        <v>428</v>
      </c>
      <c r="P89" s="5">
        <v>148</v>
      </c>
      <c r="Q89" s="5">
        <v>647</v>
      </c>
      <c r="R89" s="5">
        <v>268</v>
      </c>
      <c r="S89" s="5">
        <v>424</v>
      </c>
      <c r="T89" s="19"/>
      <c r="U89">
        <f t="shared" si="17"/>
        <v>15</v>
      </c>
      <c r="V89">
        <f t="shared" si="18"/>
        <v>456</v>
      </c>
      <c r="W89">
        <f t="shared" si="19"/>
        <v>363</v>
      </c>
      <c r="X89">
        <f t="shared" si="20"/>
        <v>255</v>
      </c>
      <c r="Y89">
        <f t="shared" si="21"/>
        <v>119</v>
      </c>
      <c r="Z89">
        <f t="shared" si="22"/>
        <v>853</v>
      </c>
      <c r="AA89">
        <f t="shared" si="23"/>
        <v>206</v>
      </c>
      <c r="AB89">
        <f t="shared" si="24"/>
        <v>116</v>
      </c>
      <c r="AC89">
        <f t="shared" si="25"/>
        <v>163</v>
      </c>
      <c r="AD89">
        <f t="shared" si="26"/>
        <v>48</v>
      </c>
      <c r="AE89">
        <f t="shared" si="27"/>
        <v>768</v>
      </c>
      <c r="AF89">
        <f t="shared" si="28"/>
        <v>103</v>
      </c>
      <c r="AG89">
        <f t="shared" si="29"/>
        <v>428</v>
      </c>
      <c r="AH89">
        <f t="shared" si="30"/>
        <v>148</v>
      </c>
      <c r="AI89">
        <f t="shared" si="31"/>
        <v>647</v>
      </c>
      <c r="AJ89">
        <f t="shared" si="32"/>
        <v>268</v>
      </c>
      <c r="AK89">
        <f t="shared" si="32"/>
        <v>424</v>
      </c>
    </row>
    <row r="90" spans="1:37" x14ac:dyDescent="0.25">
      <c r="A90" s="4">
        <v>2006</v>
      </c>
      <c r="B90" s="4" t="s">
        <v>30</v>
      </c>
      <c r="C90" s="5">
        <v>22</v>
      </c>
      <c r="D90" s="5">
        <v>618</v>
      </c>
      <c r="E90" s="5">
        <v>426</v>
      </c>
      <c r="F90" s="5">
        <v>276</v>
      </c>
      <c r="G90" s="5">
        <v>133</v>
      </c>
      <c r="H90" s="5">
        <v>885</v>
      </c>
      <c r="I90" s="5">
        <v>183</v>
      </c>
      <c r="J90" s="5">
        <v>137</v>
      </c>
      <c r="K90" s="5">
        <v>139</v>
      </c>
      <c r="L90" s="5">
        <v>91</v>
      </c>
      <c r="M90" s="5">
        <v>658</v>
      </c>
      <c r="N90" s="5">
        <v>107</v>
      </c>
      <c r="O90" s="5">
        <v>429</v>
      </c>
      <c r="P90" s="5">
        <v>148</v>
      </c>
      <c r="Q90" s="5">
        <v>688</v>
      </c>
      <c r="R90" s="5">
        <v>306</v>
      </c>
      <c r="S90" s="5">
        <v>400</v>
      </c>
      <c r="T90" s="19"/>
      <c r="U90">
        <f t="shared" si="17"/>
        <v>22</v>
      </c>
      <c r="V90">
        <f t="shared" si="18"/>
        <v>618</v>
      </c>
      <c r="W90">
        <f t="shared" si="19"/>
        <v>426</v>
      </c>
      <c r="X90">
        <f t="shared" si="20"/>
        <v>276</v>
      </c>
      <c r="Y90">
        <f t="shared" si="21"/>
        <v>133</v>
      </c>
      <c r="Z90">
        <f t="shared" si="22"/>
        <v>885</v>
      </c>
      <c r="AA90">
        <f t="shared" si="23"/>
        <v>183</v>
      </c>
      <c r="AB90">
        <f t="shared" si="24"/>
        <v>137</v>
      </c>
      <c r="AC90">
        <f t="shared" si="25"/>
        <v>139</v>
      </c>
      <c r="AD90">
        <f t="shared" si="26"/>
        <v>91</v>
      </c>
      <c r="AE90">
        <f t="shared" si="27"/>
        <v>658</v>
      </c>
      <c r="AF90">
        <f t="shared" si="28"/>
        <v>107</v>
      </c>
      <c r="AG90">
        <f t="shared" si="29"/>
        <v>429</v>
      </c>
      <c r="AH90">
        <f t="shared" si="30"/>
        <v>148</v>
      </c>
      <c r="AI90">
        <f t="shared" si="31"/>
        <v>688</v>
      </c>
      <c r="AJ90">
        <f t="shared" si="32"/>
        <v>306</v>
      </c>
      <c r="AK90">
        <f t="shared" si="32"/>
        <v>400</v>
      </c>
    </row>
    <row r="91" spans="1:37" x14ac:dyDescent="0.25">
      <c r="A91" s="4">
        <v>2006</v>
      </c>
      <c r="B91" s="4" t="s">
        <v>19</v>
      </c>
      <c r="C91" s="5">
        <v>25</v>
      </c>
      <c r="D91" s="5">
        <v>725</v>
      </c>
      <c r="E91" s="5">
        <v>395</v>
      </c>
      <c r="F91" s="5">
        <v>265</v>
      </c>
      <c r="G91" s="5">
        <v>181</v>
      </c>
      <c r="H91" s="5">
        <v>784</v>
      </c>
      <c r="I91" s="5">
        <v>190</v>
      </c>
      <c r="J91" s="5">
        <v>108</v>
      </c>
      <c r="K91" s="5">
        <v>128</v>
      </c>
      <c r="L91" s="5">
        <v>99</v>
      </c>
      <c r="M91" s="5">
        <v>791</v>
      </c>
      <c r="N91" s="5">
        <v>80</v>
      </c>
      <c r="O91" s="5">
        <v>421</v>
      </c>
      <c r="P91" s="5">
        <v>145</v>
      </c>
      <c r="Q91" s="5">
        <v>556</v>
      </c>
      <c r="R91" s="5">
        <v>306</v>
      </c>
      <c r="S91" s="5">
        <v>395</v>
      </c>
      <c r="T91" s="19"/>
      <c r="U91">
        <f t="shared" si="17"/>
        <v>25</v>
      </c>
      <c r="V91">
        <f t="shared" si="18"/>
        <v>725</v>
      </c>
      <c r="W91">
        <f t="shared" si="19"/>
        <v>395</v>
      </c>
      <c r="X91">
        <f t="shared" si="20"/>
        <v>265</v>
      </c>
      <c r="Y91">
        <f t="shared" si="21"/>
        <v>181</v>
      </c>
      <c r="Z91">
        <f t="shared" si="22"/>
        <v>784</v>
      </c>
      <c r="AA91">
        <f t="shared" si="23"/>
        <v>190</v>
      </c>
      <c r="AB91">
        <f t="shared" si="24"/>
        <v>108</v>
      </c>
      <c r="AC91">
        <f t="shared" si="25"/>
        <v>128</v>
      </c>
      <c r="AD91">
        <f t="shared" si="26"/>
        <v>99</v>
      </c>
      <c r="AE91">
        <f t="shared" si="27"/>
        <v>791</v>
      </c>
      <c r="AF91">
        <f t="shared" si="28"/>
        <v>80</v>
      </c>
      <c r="AG91">
        <f t="shared" si="29"/>
        <v>421</v>
      </c>
      <c r="AH91">
        <f t="shared" si="30"/>
        <v>145</v>
      </c>
      <c r="AI91">
        <f t="shared" si="31"/>
        <v>556</v>
      </c>
      <c r="AJ91">
        <f t="shared" si="32"/>
        <v>306</v>
      </c>
      <c r="AK91">
        <f t="shared" si="32"/>
        <v>395</v>
      </c>
    </row>
    <row r="92" spans="1:37" x14ac:dyDescent="0.25">
      <c r="A92" s="4">
        <v>2006</v>
      </c>
      <c r="B92" s="4" t="s">
        <v>96</v>
      </c>
      <c r="C92" s="5">
        <v>22</v>
      </c>
      <c r="D92" s="5">
        <v>671</v>
      </c>
      <c r="E92" s="5">
        <v>410</v>
      </c>
      <c r="F92" s="5">
        <v>289</v>
      </c>
      <c r="G92" s="5">
        <v>145</v>
      </c>
      <c r="H92" s="5">
        <v>894</v>
      </c>
      <c r="I92" s="5">
        <v>229</v>
      </c>
      <c r="J92" s="5">
        <v>126</v>
      </c>
      <c r="K92" s="5">
        <v>178</v>
      </c>
      <c r="L92" s="5">
        <v>87</v>
      </c>
      <c r="M92" s="5">
        <v>746</v>
      </c>
      <c r="N92" s="5">
        <v>116</v>
      </c>
      <c r="O92" s="5">
        <v>452</v>
      </c>
      <c r="P92" s="5">
        <v>148</v>
      </c>
      <c r="Q92" s="5">
        <v>717</v>
      </c>
      <c r="R92" s="5">
        <v>293</v>
      </c>
      <c r="S92" s="5">
        <v>473</v>
      </c>
      <c r="T92" s="19"/>
      <c r="U92" t="str">
        <f t="shared" si="17"/>
        <v/>
      </c>
      <c r="V92" t="str">
        <f t="shared" si="18"/>
        <v/>
      </c>
      <c r="W92" t="str">
        <f t="shared" si="19"/>
        <v/>
      </c>
      <c r="X92" t="str">
        <f t="shared" si="20"/>
        <v/>
      </c>
      <c r="Y92" t="str">
        <f t="shared" si="21"/>
        <v/>
      </c>
      <c r="Z92" t="str">
        <f t="shared" si="22"/>
        <v/>
      </c>
      <c r="AA92" t="str">
        <f t="shared" si="23"/>
        <v/>
      </c>
      <c r="AB92" t="str">
        <f t="shared" si="24"/>
        <v/>
      </c>
      <c r="AC92" t="str">
        <f t="shared" si="25"/>
        <v/>
      </c>
      <c r="AD92" t="str">
        <f t="shared" si="26"/>
        <v/>
      </c>
      <c r="AE92" t="str">
        <f t="shared" si="27"/>
        <v/>
      </c>
      <c r="AF92" t="str">
        <f t="shared" si="28"/>
        <v/>
      </c>
      <c r="AG92" t="str">
        <f t="shared" si="29"/>
        <v/>
      </c>
      <c r="AH92" t="str">
        <f t="shared" si="30"/>
        <v/>
      </c>
      <c r="AI92" t="str">
        <f t="shared" si="31"/>
        <v/>
      </c>
      <c r="AJ92" t="str">
        <f t="shared" si="32"/>
        <v/>
      </c>
      <c r="AK92" t="str">
        <f t="shared" si="32"/>
        <v/>
      </c>
    </row>
    <row r="93" spans="1:37" x14ac:dyDescent="0.25">
      <c r="A93" s="4">
        <v>2007</v>
      </c>
      <c r="B93" s="4" t="s">
        <v>20</v>
      </c>
      <c r="C93" s="5">
        <v>35</v>
      </c>
      <c r="D93" s="5">
        <v>922</v>
      </c>
      <c r="E93" s="5">
        <v>520</v>
      </c>
      <c r="F93" s="5">
        <v>232</v>
      </c>
      <c r="G93" s="5">
        <v>179</v>
      </c>
      <c r="H93" s="5">
        <v>987</v>
      </c>
      <c r="I93" s="5">
        <v>248</v>
      </c>
      <c r="J93" s="5">
        <v>143</v>
      </c>
      <c r="K93" s="5">
        <v>132</v>
      </c>
      <c r="L93" s="5">
        <v>101</v>
      </c>
      <c r="M93" s="5">
        <v>885</v>
      </c>
      <c r="N93" s="5">
        <v>129</v>
      </c>
      <c r="O93" s="5">
        <v>434</v>
      </c>
      <c r="P93" s="5">
        <v>187</v>
      </c>
      <c r="Q93" s="5">
        <v>724</v>
      </c>
      <c r="R93" s="5">
        <v>275</v>
      </c>
      <c r="S93" s="5">
        <v>476</v>
      </c>
      <c r="T93" s="19"/>
      <c r="U93">
        <f t="shared" si="17"/>
        <v>35</v>
      </c>
      <c r="V93">
        <f t="shared" si="18"/>
        <v>922</v>
      </c>
      <c r="W93">
        <f t="shared" si="19"/>
        <v>520</v>
      </c>
      <c r="X93">
        <f t="shared" si="20"/>
        <v>232</v>
      </c>
      <c r="Y93">
        <f t="shared" si="21"/>
        <v>179</v>
      </c>
      <c r="Z93">
        <f t="shared" si="22"/>
        <v>987</v>
      </c>
      <c r="AA93">
        <f t="shared" si="23"/>
        <v>248</v>
      </c>
      <c r="AB93">
        <f t="shared" si="24"/>
        <v>143</v>
      </c>
      <c r="AC93">
        <f t="shared" si="25"/>
        <v>132</v>
      </c>
      <c r="AD93">
        <f t="shared" si="26"/>
        <v>101</v>
      </c>
      <c r="AE93">
        <f t="shared" si="27"/>
        <v>885</v>
      </c>
      <c r="AF93">
        <f t="shared" si="28"/>
        <v>129</v>
      </c>
      <c r="AG93">
        <f t="shared" si="29"/>
        <v>434</v>
      </c>
      <c r="AH93">
        <f t="shared" si="30"/>
        <v>187</v>
      </c>
      <c r="AI93">
        <f t="shared" si="31"/>
        <v>724</v>
      </c>
      <c r="AJ93">
        <f t="shared" si="32"/>
        <v>275</v>
      </c>
      <c r="AK93">
        <f t="shared" si="32"/>
        <v>476</v>
      </c>
    </row>
    <row r="94" spans="1:37" x14ac:dyDescent="0.25">
      <c r="A94" s="4">
        <v>2007</v>
      </c>
      <c r="B94" s="4" t="s">
        <v>21</v>
      </c>
      <c r="C94" s="5">
        <v>33</v>
      </c>
      <c r="D94" s="5">
        <v>1086</v>
      </c>
      <c r="E94" s="5">
        <v>491</v>
      </c>
      <c r="F94" s="5">
        <v>283</v>
      </c>
      <c r="G94" s="5">
        <v>134</v>
      </c>
      <c r="H94" s="5">
        <v>911</v>
      </c>
      <c r="I94" s="5">
        <v>251</v>
      </c>
      <c r="J94" s="5">
        <v>139</v>
      </c>
      <c r="K94" s="5">
        <v>171</v>
      </c>
      <c r="L94" s="5">
        <v>124</v>
      </c>
      <c r="M94" s="5">
        <v>825</v>
      </c>
      <c r="N94" s="5">
        <v>100</v>
      </c>
      <c r="O94" s="5">
        <v>388</v>
      </c>
      <c r="P94" s="5">
        <v>205</v>
      </c>
      <c r="Q94" s="5">
        <v>675</v>
      </c>
      <c r="R94" s="5">
        <v>257</v>
      </c>
      <c r="S94" s="5">
        <v>405</v>
      </c>
      <c r="T94" s="19"/>
      <c r="U94">
        <f t="shared" si="17"/>
        <v>33</v>
      </c>
      <c r="V94">
        <f t="shared" si="18"/>
        <v>1086</v>
      </c>
      <c r="W94">
        <f t="shared" si="19"/>
        <v>491</v>
      </c>
      <c r="X94">
        <f t="shared" si="20"/>
        <v>283</v>
      </c>
      <c r="Y94">
        <f t="shared" si="21"/>
        <v>134</v>
      </c>
      <c r="Z94">
        <f t="shared" si="22"/>
        <v>911</v>
      </c>
      <c r="AA94">
        <f t="shared" si="23"/>
        <v>251</v>
      </c>
      <c r="AB94">
        <f t="shared" si="24"/>
        <v>139</v>
      </c>
      <c r="AC94">
        <f t="shared" si="25"/>
        <v>171</v>
      </c>
      <c r="AD94">
        <f t="shared" si="26"/>
        <v>124</v>
      </c>
      <c r="AE94">
        <f t="shared" si="27"/>
        <v>825</v>
      </c>
      <c r="AF94">
        <f t="shared" si="28"/>
        <v>100</v>
      </c>
      <c r="AG94">
        <f t="shared" si="29"/>
        <v>388</v>
      </c>
      <c r="AH94">
        <f t="shared" si="30"/>
        <v>205</v>
      </c>
      <c r="AI94">
        <f t="shared" si="31"/>
        <v>675</v>
      </c>
      <c r="AJ94">
        <f t="shared" si="32"/>
        <v>257</v>
      </c>
      <c r="AK94">
        <f t="shared" si="32"/>
        <v>405</v>
      </c>
    </row>
    <row r="95" spans="1:37" x14ac:dyDescent="0.25">
      <c r="A95" s="4">
        <v>2007</v>
      </c>
      <c r="B95" s="4" t="s">
        <v>22</v>
      </c>
      <c r="C95" s="5">
        <v>24</v>
      </c>
      <c r="D95" s="5">
        <v>924</v>
      </c>
      <c r="E95" s="5">
        <v>456</v>
      </c>
      <c r="F95" s="5">
        <v>286</v>
      </c>
      <c r="G95" s="5">
        <v>153</v>
      </c>
      <c r="H95" s="5">
        <v>743</v>
      </c>
      <c r="I95" s="5">
        <v>249</v>
      </c>
      <c r="J95" s="5">
        <v>109</v>
      </c>
      <c r="K95" s="5">
        <v>134</v>
      </c>
      <c r="L95" s="5">
        <v>119</v>
      </c>
      <c r="M95" s="5">
        <v>775</v>
      </c>
      <c r="N95" s="5">
        <v>106</v>
      </c>
      <c r="O95" s="5">
        <v>389</v>
      </c>
      <c r="P95" s="5">
        <v>167</v>
      </c>
      <c r="Q95" s="5">
        <v>678</v>
      </c>
      <c r="R95" s="5">
        <v>222</v>
      </c>
      <c r="S95" s="5">
        <v>419</v>
      </c>
      <c r="T95" s="19"/>
      <c r="U95">
        <f t="shared" si="17"/>
        <v>24</v>
      </c>
      <c r="V95">
        <f t="shared" si="18"/>
        <v>924</v>
      </c>
      <c r="W95">
        <f t="shared" si="19"/>
        <v>456</v>
      </c>
      <c r="X95">
        <f t="shared" si="20"/>
        <v>286</v>
      </c>
      <c r="Y95">
        <f t="shared" si="21"/>
        <v>153</v>
      </c>
      <c r="Z95">
        <f t="shared" si="22"/>
        <v>743</v>
      </c>
      <c r="AA95">
        <f t="shared" si="23"/>
        <v>249</v>
      </c>
      <c r="AB95">
        <f t="shared" si="24"/>
        <v>109</v>
      </c>
      <c r="AC95">
        <f t="shared" si="25"/>
        <v>134</v>
      </c>
      <c r="AD95">
        <f t="shared" si="26"/>
        <v>119</v>
      </c>
      <c r="AE95">
        <f t="shared" si="27"/>
        <v>775</v>
      </c>
      <c r="AF95">
        <f t="shared" si="28"/>
        <v>106</v>
      </c>
      <c r="AG95">
        <f t="shared" si="29"/>
        <v>389</v>
      </c>
      <c r="AH95">
        <f t="shared" si="30"/>
        <v>167</v>
      </c>
      <c r="AI95">
        <f t="shared" si="31"/>
        <v>678</v>
      </c>
      <c r="AJ95">
        <f t="shared" si="32"/>
        <v>222</v>
      </c>
      <c r="AK95">
        <f t="shared" si="32"/>
        <v>419</v>
      </c>
    </row>
    <row r="96" spans="1:37" x14ac:dyDescent="0.25">
      <c r="A96" s="4">
        <v>2007</v>
      </c>
      <c r="B96" s="4" t="s">
        <v>23</v>
      </c>
      <c r="C96" s="5">
        <v>17</v>
      </c>
      <c r="D96" s="5">
        <v>853</v>
      </c>
      <c r="E96" s="5">
        <v>467</v>
      </c>
      <c r="F96" s="5">
        <v>282</v>
      </c>
      <c r="G96" s="5">
        <v>116</v>
      </c>
      <c r="H96" s="5">
        <v>756</v>
      </c>
      <c r="I96" s="5">
        <v>188</v>
      </c>
      <c r="J96" s="5">
        <v>77</v>
      </c>
      <c r="K96" s="5">
        <v>167</v>
      </c>
      <c r="L96" s="5">
        <v>64</v>
      </c>
      <c r="M96" s="5">
        <v>689</v>
      </c>
      <c r="N96" s="5">
        <v>117</v>
      </c>
      <c r="O96" s="5">
        <v>438</v>
      </c>
      <c r="P96" s="5">
        <v>156</v>
      </c>
      <c r="Q96" s="5">
        <v>666</v>
      </c>
      <c r="R96" s="5">
        <v>224</v>
      </c>
      <c r="S96" s="5">
        <v>408</v>
      </c>
      <c r="T96" s="19"/>
      <c r="U96">
        <f t="shared" si="17"/>
        <v>17</v>
      </c>
      <c r="V96">
        <f t="shared" si="18"/>
        <v>853</v>
      </c>
      <c r="W96">
        <f t="shared" si="19"/>
        <v>467</v>
      </c>
      <c r="X96">
        <f t="shared" si="20"/>
        <v>282</v>
      </c>
      <c r="Y96">
        <f t="shared" si="21"/>
        <v>116</v>
      </c>
      <c r="Z96">
        <f t="shared" si="22"/>
        <v>756</v>
      </c>
      <c r="AA96">
        <f t="shared" si="23"/>
        <v>188</v>
      </c>
      <c r="AB96">
        <f t="shared" si="24"/>
        <v>77</v>
      </c>
      <c r="AC96">
        <f t="shared" si="25"/>
        <v>167</v>
      </c>
      <c r="AD96">
        <f t="shared" si="26"/>
        <v>64</v>
      </c>
      <c r="AE96">
        <f t="shared" si="27"/>
        <v>689</v>
      </c>
      <c r="AF96">
        <f t="shared" si="28"/>
        <v>117</v>
      </c>
      <c r="AG96">
        <f t="shared" si="29"/>
        <v>438</v>
      </c>
      <c r="AH96">
        <f t="shared" si="30"/>
        <v>156</v>
      </c>
      <c r="AI96">
        <f t="shared" si="31"/>
        <v>666</v>
      </c>
      <c r="AJ96">
        <f t="shared" si="32"/>
        <v>224</v>
      </c>
      <c r="AK96">
        <f t="shared" si="32"/>
        <v>408</v>
      </c>
    </row>
    <row r="97" spans="1:37" x14ac:dyDescent="0.25">
      <c r="A97" s="4">
        <v>2007</v>
      </c>
      <c r="B97" s="4" t="s">
        <v>24</v>
      </c>
      <c r="C97" s="5">
        <v>22</v>
      </c>
      <c r="D97" s="5">
        <v>676</v>
      </c>
      <c r="E97" s="5">
        <v>443</v>
      </c>
      <c r="F97" s="5">
        <v>208</v>
      </c>
      <c r="G97" s="5">
        <v>119</v>
      </c>
      <c r="H97" s="5">
        <v>676</v>
      </c>
      <c r="I97" s="5">
        <v>216</v>
      </c>
      <c r="J97" s="5">
        <v>110</v>
      </c>
      <c r="K97" s="5">
        <v>196</v>
      </c>
      <c r="L97" s="5">
        <v>85</v>
      </c>
      <c r="M97" s="5">
        <v>743</v>
      </c>
      <c r="N97" s="5">
        <v>169</v>
      </c>
      <c r="O97" s="5">
        <v>454</v>
      </c>
      <c r="P97" s="5">
        <v>100</v>
      </c>
      <c r="Q97" s="5">
        <v>730</v>
      </c>
      <c r="R97" s="5">
        <v>242</v>
      </c>
      <c r="S97" s="5">
        <v>428</v>
      </c>
      <c r="T97" s="19"/>
      <c r="U97">
        <f t="shared" si="17"/>
        <v>22</v>
      </c>
      <c r="V97">
        <f t="shared" si="18"/>
        <v>676</v>
      </c>
      <c r="W97">
        <f t="shared" si="19"/>
        <v>443</v>
      </c>
      <c r="X97">
        <f t="shared" si="20"/>
        <v>208</v>
      </c>
      <c r="Y97">
        <f t="shared" si="21"/>
        <v>119</v>
      </c>
      <c r="Z97">
        <f t="shared" si="22"/>
        <v>676</v>
      </c>
      <c r="AA97">
        <f t="shared" si="23"/>
        <v>216</v>
      </c>
      <c r="AB97">
        <f t="shared" si="24"/>
        <v>110</v>
      </c>
      <c r="AC97">
        <f t="shared" si="25"/>
        <v>196</v>
      </c>
      <c r="AD97">
        <f t="shared" si="26"/>
        <v>85</v>
      </c>
      <c r="AE97">
        <f t="shared" si="27"/>
        <v>743</v>
      </c>
      <c r="AF97">
        <f t="shared" si="28"/>
        <v>169</v>
      </c>
      <c r="AG97">
        <f t="shared" si="29"/>
        <v>454</v>
      </c>
      <c r="AH97">
        <f t="shared" si="30"/>
        <v>100</v>
      </c>
      <c r="AI97">
        <f t="shared" si="31"/>
        <v>730</v>
      </c>
      <c r="AJ97">
        <f t="shared" si="32"/>
        <v>242</v>
      </c>
      <c r="AK97">
        <f t="shared" si="32"/>
        <v>428</v>
      </c>
    </row>
    <row r="98" spans="1:37" x14ac:dyDescent="0.25">
      <c r="A98" s="4">
        <v>2007</v>
      </c>
      <c r="B98" s="4" t="s">
        <v>25</v>
      </c>
      <c r="C98" s="5">
        <v>33</v>
      </c>
      <c r="D98" s="5">
        <v>600</v>
      </c>
      <c r="E98" s="5">
        <v>406</v>
      </c>
      <c r="F98" s="5">
        <v>247</v>
      </c>
      <c r="G98" s="5">
        <v>123</v>
      </c>
      <c r="H98" s="5">
        <v>856</v>
      </c>
      <c r="I98" s="5">
        <v>242</v>
      </c>
      <c r="J98" s="5">
        <v>114</v>
      </c>
      <c r="K98" s="5">
        <v>227</v>
      </c>
      <c r="L98" s="5">
        <v>76</v>
      </c>
      <c r="M98" s="5">
        <v>722</v>
      </c>
      <c r="N98" s="5">
        <v>241</v>
      </c>
      <c r="O98" s="5">
        <v>412</v>
      </c>
      <c r="P98" s="5">
        <v>161</v>
      </c>
      <c r="Q98" s="5">
        <v>756</v>
      </c>
      <c r="R98" s="5">
        <v>256</v>
      </c>
      <c r="S98" s="5">
        <v>572</v>
      </c>
      <c r="T98" s="19"/>
      <c r="U98">
        <f t="shared" si="17"/>
        <v>33</v>
      </c>
      <c r="V98">
        <f t="shared" si="18"/>
        <v>600</v>
      </c>
      <c r="W98">
        <f t="shared" si="19"/>
        <v>406</v>
      </c>
      <c r="X98">
        <f t="shared" si="20"/>
        <v>247</v>
      </c>
      <c r="Y98">
        <f t="shared" si="21"/>
        <v>123</v>
      </c>
      <c r="Z98">
        <f t="shared" si="22"/>
        <v>856</v>
      </c>
      <c r="AA98">
        <f t="shared" si="23"/>
        <v>242</v>
      </c>
      <c r="AB98">
        <f t="shared" si="24"/>
        <v>114</v>
      </c>
      <c r="AC98">
        <f t="shared" si="25"/>
        <v>227</v>
      </c>
      <c r="AD98">
        <f t="shared" si="26"/>
        <v>76</v>
      </c>
      <c r="AE98">
        <f t="shared" si="27"/>
        <v>722</v>
      </c>
      <c r="AF98">
        <f t="shared" si="28"/>
        <v>241</v>
      </c>
      <c r="AG98">
        <f t="shared" si="29"/>
        <v>412</v>
      </c>
      <c r="AH98">
        <f t="shared" si="30"/>
        <v>161</v>
      </c>
      <c r="AI98">
        <f t="shared" si="31"/>
        <v>756</v>
      </c>
      <c r="AJ98">
        <f t="shared" si="32"/>
        <v>256</v>
      </c>
      <c r="AK98">
        <f t="shared" si="32"/>
        <v>572</v>
      </c>
    </row>
    <row r="99" spans="1:37" x14ac:dyDescent="0.25">
      <c r="A99" s="4">
        <v>2007</v>
      </c>
      <c r="B99" s="4" t="s">
        <v>26</v>
      </c>
      <c r="C99" s="5">
        <v>33</v>
      </c>
      <c r="D99" s="5">
        <v>617</v>
      </c>
      <c r="E99" s="5">
        <v>374</v>
      </c>
      <c r="F99" s="5">
        <v>247</v>
      </c>
      <c r="G99" s="5">
        <v>136</v>
      </c>
      <c r="H99" s="5">
        <v>953</v>
      </c>
      <c r="I99" s="5">
        <v>309</v>
      </c>
      <c r="J99" s="5">
        <v>112</v>
      </c>
      <c r="K99" s="5">
        <v>208</v>
      </c>
      <c r="L99" s="5">
        <v>99</v>
      </c>
      <c r="M99" s="5">
        <v>743</v>
      </c>
      <c r="N99" s="5">
        <v>235</v>
      </c>
      <c r="O99" s="5">
        <v>430</v>
      </c>
      <c r="P99" s="5">
        <v>161</v>
      </c>
      <c r="Q99" s="5">
        <v>759</v>
      </c>
      <c r="R99" s="5">
        <v>243</v>
      </c>
      <c r="S99" s="5">
        <v>704</v>
      </c>
      <c r="T99" s="19"/>
      <c r="U99">
        <f t="shared" si="17"/>
        <v>33</v>
      </c>
      <c r="V99">
        <f t="shared" si="18"/>
        <v>617</v>
      </c>
      <c r="W99">
        <f t="shared" si="19"/>
        <v>374</v>
      </c>
      <c r="X99">
        <f t="shared" si="20"/>
        <v>247</v>
      </c>
      <c r="Y99">
        <f t="shared" si="21"/>
        <v>136</v>
      </c>
      <c r="Z99">
        <f t="shared" si="22"/>
        <v>953</v>
      </c>
      <c r="AA99">
        <f t="shared" si="23"/>
        <v>309</v>
      </c>
      <c r="AB99">
        <f t="shared" si="24"/>
        <v>112</v>
      </c>
      <c r="AC99">
        <f t="shared" si="25"/>
        <v>208</v>
      </c>
      <c r="AD99">
        <f t="shared" si="26"/>
        <v>99</v>
      </c>
      <c r="AE99">
        <f t="shared" si="27"/>
        <v>743</v>
      </c>
      <c r="AF99">
        <f t="shared" si="28"/>
        <v>235</v>
      </c>
      <c r="AG99">
        <f t="shared" si="29"/>
        <v>430</v>
      </c>
      <c r="AH99">
        <f t="shared" si="30"/>
        <v>161</v>
      </c>
      <c r="AI99">
        <f t="shared" si="31"/>
        <v>759</v>
      </c>
      <c r="AJ99">
        <f t="shared" si="32"/>
        <v>243</v>
      </c>
      <c r="AK99">
        <f t="shared" si="32"/>
        <v>704</v>
      </c>
    </row>
    <row r="100" spans="1:37" x14ac:dyDescent="0.25">
      <c r="A100" s="4">
        <v>2007</v>
      </c>
      <c r="B100" s="4" t="s">
        <v>27</v>
      </c>
      <c r="C100" s="5">
        <v>33</v>
      </c>
      <c r="D100" s="5">
        <v>558</v>
      </c>
      <c r="E100" s="5">
        <v>341</v>
      </c>
      <c r="F100" s="5">
        <v>255</v>
      </c>
      <c r="G100" s="5">
        <v>152</v>
      </c>
      <c r="H100" s="5">
        <v>876</v>
      </c>
      <c r="I100" s="5">
        <v>205</v>
      </c>
      <c r="J100" s="5">
        <v>140</v>
      </c>
      <c r="K100" s="5">
        <v>238</v>
      </c>
      <c r="L100" s="5">
        <v>133</v>
      </c>
      <c r="M100" s="5">
        <v>683</v>
      </c>
      <c r="N100" s="5">
        <v>169</v>
      </c>
      <c r="O100" s="5">
        <v>479</v>
      </c>
      <c r="P100" s="5">
        <v>133</v>
      </c>
      <c r="Q100" s="5">
        <v>744</v>
      </c>
      <c r="R100" s="5">
        <v>239</v>
      </c>
      <c r="S100" s="5">
        <v>695</v>
      </c>
      <c r="T100" s="19"/>
      <c r="U100">
        <f t="shared" si="17"/>
        <v>33</v>
      </c>
      <c r="V100">
        <f t="shared" si="18"/>
        <v>558</v>
      </c>
      <c r="W100">
        <f t="shared" si="19"/>
        <v>341</v>
      </c>
      <c r="X100">
        <f t="shared" si="20"/>
        <v>255</v>
      </c>
      <c r="Y100">
        <f t="shared" si="21"/>
        <v>152</v>
      </c>
      <c r="Z100">
        <f t="shared" si="22"/>
        <v>876</v>
      </c>
      <c r="AA100">
        <f t="shared" si="23"/>
        <v>205</v>
      </c>
      <c r="AB100">
        <f t="shared" si="24"/>
        <v>140</v>
      </c>
      <c r="AC100">
        <f t="shared" si="25"/>
        <v>238</v>
      </c>
      <c r="AD100">
        <f t="shared" si="26"/>
        <v>133</v>
      </c>
      <c r="AE100">
        <f t="shared" si="27"/>
        <v>683</v>
      </c>
      <c r="AF100">
        <f t="shared" si="28"/>
        <v>169</v>
      </c>
      <c r="AG100">
        <f t="shared" si="29"/>
        <v>479</v>
      </c>
      <c r="AH100">
        <f t="shared" si="30"/>
        <v>133</v>
      </c>
      <c r="AI100">
        <f t="shared" si="31"/>
        <v>744</v>
      </c>
      <c r="AJ100">
        <f t="shared" si="32"/>
        <v>239</v>
      </c>
      <c r="AK100">
        <f t="shared" si="32"/>
        <v>695</v>
      </c>
    </row>
    <row r="101" spans="1:37" x14ac:dyDescent="0.25">
      <c r="A101" s="4">
        <v>2007</v>
      </c>
      <c r="B101" s="4" t="s">
        <v>28</v>
      </c>
      <c r="C101" s="5">
        <v>25</v>
      </c>
      <c r="D101" s="5">
        <v>596</v>
      </c>
      <c r="E101" s="5">
        <v>407</v>
      </c>
      <c r="F101" s="5">
        <v>266</v>
      </c>
      <c r="G101" s="5">
        <v>167</v>
      </c>
      <c r="H101" s="5">
        <v>860</v>
      </c>
      <c r="I101" s="5">
        <v>224</v>
      </c>
      <c r="J101" s="5">
        <v>124</v>
      </c>
      <c r="K101" s="5">
        <v>204</v>
      </c>
      <c r="L101" s="5">
        <v>112</v>
      </c>
      <c r="M101" s="5">
        <v>655</v>
      </c>
      <c r="N101" s="5">
        <v>104</v>
      </c>
      <c r="O101" s="5">
        <v>526</v>
      </c>
      <c r="P101" s="5">
        <v>187</v>
      </c>
      <c r="Q101" s="5">
        <v>704</v>
      </c>
      <c r="R101" s="5">
        <v>257</v>
      </c>
      <c r="S101" s="5">
        <v>525</v>
      </c>
      <c r="T101" s="19"/>
      <c r="U101">
        <f t="shared" si="17"/>
        <v>25</v>
      </c>
      <c r="V101">
        <f t="shared" si="18"/>
        <v>596</v>
      </c>
      <c r="W101">
        <f t="shared" si="19"/>
        <v>407</v>
      </c>
      <c r="X101">
        <f t="shared" si="20"/>
        <v>266</v>
      </c>
      <c r="Y101">
        <f t="shared" si="21"/>
        <v>167</v>
      </c>
      <c r="Z101">
        <f t="shared" si="22"/>
        <v>860</v>
      </c>
      <c r="AA101">
        <f t="shared" si="23"/>
        <v>224</v>
      </c>
      <c r="AB101">
        <f t="shared" si="24"/>
        <v>124</v>
      </c>
      <c r="AC101">
        <f t="shared" si="25"/>
        <v>204</v>
      </c>
      <c r="AD101">
        <f t="shared" si="26"/>
        <v>112</v>
      </c>
      <c r="AE101">
        <f t="shared" si="27"/>
        <v>655</v>
      </c>
      <c r="AF101">
        <f t="shared" si="28"/>
        <v>104</v>
      </c>
      <c r="AG101">
        <f t="shared" si="29"/>
        <v>526</v>
      </c>
      <c r="AH101">
        <f t="shared" si="30"/>
        <v>187</v>
      </c>
      <c r="AI101">
        <f t="shared" si="31"/>
        <v>704</v>
      </c>
      <c r="AJ101">
        <f t="shared" si="32"/>
        <v>257</v>
      </c>
      <c r="AK101">
        <f t="shared" si="32"/>
        <v>525</v>
      </c>
    </row>
    <row r="102" spans="1:37" x14ac:dyDescent="0.25">
      <c r="A102" s="4">
        <v>2007</v>
      </c>
      <c r="B102" s="4" t="s">
        <v>29</v>
      </c>
      <c r="C102" s="5">
        <v>9</v>
      </c>
      <c r="D102" s="5">
        <v>641</v>
      </c>
      <c r="E102" s="5">
        <v>431</v>
      </c>
      <c r="F102" s="5">
        <v>298</v>
      </c>
      <c r="G102" s="5">
        <v>137</v>
      </c>
      <c r="H102" s="5">
        <v>770</v>
      </c>
      <c r="I102" s="5">
        <v>218</v>
      </c>
      <c r="J102" s="5">
        <v>120</v>
      </c>
      <c r="K102" s="5">
        <v>199</v>
      </c>
      <c r="L102" s="5">
        <v>109</v>
      </c>
      <c r="M102" s="5">
        <v>675</v>
      </c>
      <c r="N102" s="5">
        <v>104</v>
      </c>
      <c r="O102" s="5">
        <v>430</v>
      </c>
      <c r="P102" s="5">
        <v>116</v>
      </c>
      <c r="Q102" s="5">
        <v>795</v>
      </c>
      <c r="R102" s="5">
        <v>182</v>
      </c>
      <c r="S102" s="5">
        <v>492</v>
      </c>
      <c r="T102" s="19"/>
      <c r="U102">
        <f t="shared" si="17"/>
        <v>9</v>
      </c>
      <c r="V102">
        <f t="shared" si="18"/>
        <v>641</v>
      </c>
      <c r="W102">
        <f t="shared" si="19"/>
        <v>431</v>
      </c>
      <c r="X102">
        <f t="shared" si="20"/>
        <v>298</v>
      </c>
      <c r="Y102">
        <f t="shared" si="21"/>
        <v>137</v>
      </c>
      <c r="Z102">
        <f t="shared" si="22"/>
        <v>770</v>
      </c>
      <c r="AA102">
        <f t="shared" si="23"/>
        <v>218</v>
      </c>
      <c r="AB102">
        <f t="shared" si="24"/>
        <v>120</v>
      </c>
      <c r="AC102">
        <f t="shared" si="25"/>
        <v>199</v>
      </c>
      <c r="AD102">
        <f t="shared" si="26"/>
        <v>109</v>
      </c>
      <c r="AE102">
        <f t="shared" si="27"/>
        <v>675</v>
      </c>
      <c r="AF102">
        <f t="shared" si="28"/>
        <v>104</v>
      </c>
      <c r="AG102">
        <f t="shared" si="29"/>
        <v>430</v>
      </c>
      <c r="AH102">
        <f t="shared" si="30"/>
        <v>116</v>
      </c>
      <c r="AI102">
        <f t="shared" si="31"/>
        <v>795</v>
      </c>
      <c r="AJ102">
        <f t="shared" si="32"/>
        <v>182</v>
      </c>
      <c r="AK102">
        <f t="shared" si="32"/>
        <v>492</v>
      </c>
    </row>
    <row r="103" spans="1:37" x14ac:dyDescent="0.25">
      <c r="A103" s="4">
        <v>2007</v>
      </c>
      <c r="B103" s="4" t="s">
        <v>30</v>
      </c>
      <c r="C103" s="5">
        <v>16</v>
      </c>
      <c r="D103" s="5">
        <v>645</v>
      </c>
      <c r="E103" s="5">
        <v>440</v>
      </c>
      <c r="F103" s="5">
        <v>322</v>
      </c>
      <c r="G103" s="5">
        <v>140</v>
      </c>
      <c r="H103" s="5">
        <v>753</v>
      </c>
      <c r="I103" s="5">
        <v>242</v>
      </c>
      <c r="J103" s="5">
        <v>132</v>
      </c>
      <c r="K103" s="5">
        <v>179</v>
      </c>
      <c r="L103" s="5">
        <v>83</v>
      </c>
      <c r="M103" s="5">
        <v>679</v>
      </c>
      <c r="N103" s="5">
        <v>119</v>
      </c>
      <c r="O103" s="5">
        <v>407</v>
      </c>
      <c r="P103" s="5">
        <v>170</v>
      </c>
      <c r="Q103" s="5">
        <v>816</v>
      </c>
      <c r="R103" s="5">
        <v>255</v>
      </c>
      <c r="S103" s="5">
        <v>482</v>
      </c>
      <c r="T103" s="19"/>
      <c r="U103">
        <f t="shared" si="17"/>
        <v>16</v>
      </c>
      <c r="V103">
        <f t="shared" si="18"/>
        <v>645</v>
      </c>
      <c r="W103">
        <f t="shared" si="19"/>
        <v>440</v>
      </c>
      <c r="X103">
        <f t="shared" si="20"/>
        <v>322</v>
      </c>
      <c r="Y103">
        <f t="shared" si="21"/>
        <v>140</v>
      </c>
      <c r="Z103">
        <f t="shared" si="22"/>
        <v>753</v>
      </c>
      <c r="AA103">
        <f t="shared" si="23"/>
        <v>242</v>
      </c>
      <c r="AB103">
        <f t="shared" si="24"/>
        <v>132</v>
      </c>
      <c r="AC103">
        <f t="shared" si="25"/>
        <v>179</v>
      </c>
      <c r="AD103">
        <f t="shared" si="26"/>
        <v>83</v>
      </c>
      <c r="AE103">
        <f t="shared" si="27"/>
        <v>679</v>
      </c>
      <c r="AF103">
        <f t="shared" si="28"/>
        <v>119</v>
      </c>
      <c r="AG103">
        <f t="shared" si="29"/>
        <v>407</v>
      </c>
      <c r="AH103">
        <f t="shared" si="30"/>
        <v>170</v>
      </c>
      <c r="AI103">
        <f t="shared" si="31"/>
        <v>816</v>
      </c>
      <c r="AJ103">
        <f t="shared" si="32"/>
        <v>255</v>
      </c>
      <c r="AK103">
        <f t="shared" si="32"/>
        <v>482</v>
      </c>
    </row>
    <row r="104" spans="1:37" x14ac:dyDescent="0.25">
      <c r="A104" s="4">
        <v>2007</v>
      </c>
      <c r="B104" s="4" t="s">
        <v>19</v>
      </c>
      <c r="C104" s="5">
        <v>24</v>
      </c>
      <c r="D104" s="5">
        <v>968</v>
      </c>
      <c r="E104" s="5">
        <v>459</v>
      </c>
      <c r="F104" s="5">
        <v>313</v>
      </c>
      <c r="G104" s="5">
        <v>135</v>
      </c>
      <c r="H104" s="5">
        <v>874</v>
      </c>
      <c r="I104" s="5">
        <v>210</v>
      </c>
      <c r="J104" s="5">
        <v>125</v>
      </c>
      <c r="K104" s="5">
        <v>221</v>
      </c>
      <c r="L104" s="5">
        <v>93</v>
      </c>
      <c r="M104" s="5">
        <v>803</v>
      </c>
      <c r="N104" s="5">
        <v>114</v>
      </c>
      <c r="O104" s="5">
        <v>407</v>
      </c>
      <c r="P104" s="5">
        <v>174</v>
      </c>
      <c r="Q104" s="5">
        <v>787</v>
      </c>
      <c r="R104" s="5">
        <v>235</v>
      </c>
      <c r="S104" s="5">
        <v>451</v>
      </c>
      <c r="T104" s="19"/>
      <c r="U104">
        <f t="shared" si="17"/>
        <v>24</v>
      </c>
      <c r="V104">
        <f t="shared" si="18"/>
        <v>968</v>
      </c>
      <c r="W104">
        <f t="shared" si="19"/>
        <v>459</v>
      </c>
      <c r="X104">
        <f t="shared" si="20"/>
        <v>313</v>
      </c>
      <c r="Y104">
        <f t="shared" si="21"/>
        <v>135</v>
      </c>
      <c r="Z104">
        <f t="shared" si="22"/>
        <v>874</v>
      </c>
      <c r="AA104">
        <f t="shared" si="23"/>
        <v>210</v>
      </c>
      <c r="AB104">
        <f t="shared" si="24"/>
        <v>125</v>
      </c>
      <c r="AC104">
        <f t="shared" si="25"/>
        <v>221</v>
      </c>
      <c r="AD104">
        <f t="shared" si="26"/>
        <v>93</v>
      </c>
      <c r="AE104">
        <f t="shared" si="27"/>
        <v>803</v>
      </c>
      <c r="AF104">
        <f t="shared" si="28"/>
        <v>114</v>
      </c>
      <c r="AG104">
        <f t="shared" si="29"/>
        <v>407</v>
      </c>
      <c r="AH104">
        <f t="shared" si="30"/>
        <v>174</v>
      </c>
      <c r="AI104">
        <f t="shared" si="31"/>
        <v>787</v>
      </c>
      <c r="AJ104">
        <f t="shared" si="32"/>
        <v>235</v>
      </c>
      <c r="AK104">
        <f t="shared" si="32"/>
        <v>451</v>
      </c>
    </row>
    <row r="105" spans="1:37" x14ac:dyDescent="0.25">
      <c r="A105" s="4">
        <v>2007</v>
      </c>
      <c r="B105" s="4" t="s">
        <v>96</v>
      </c>
      <c r="C105" s="5">
        <v>25</v>
      </c>
      <c r="D105" s="5">
        <v>757</v>
      </c>
      <c r="E105" s="5">
        <v>436</v>
      </c>
      <c r="F105" s="5">
        <v>270</v>
      </c>
      <c r="G105" s="5">
        <v>141</v>
      </c>
      <c r="H105" s="5">
        <v>835</v>
      </c>
      <c r="I105" s="5">
        <v>233</v>
      </c>
      <c r="J105" s="5">
        <v>120</v>
      </c>
      <c r="K105" s="5">
        <v>190</v>
      </c>
      <c r="L105" s="5">
        <v>100</v>
      </c>
      <c r="M105" s="5">
        <v>740</v>
      </c>
      <c r="N105" s="5">
        <v>142</v>
      </c>
      <c r="O105" s="5">
        <v>433</v>
      </c>
      <c r="P105" s="5">
        <v>160</v>
      </c>
      <c r="Q105" s="5">
        <v>736</v>
      </c>
      <c r="R105" s="5">
        <v>241</v>
      </c>
      <c r="S105" s="5">
        <v>505</v>
      </c>
      <c r="T105" s="19"/>
      <c r="U105" t="str">
        <f t="shared" si="17"/>
        <v/>
      </c>
      <c r="V105" t="str">
        <f t="shared" si="18"/>
        <v/>
      </c>
      <c r="W105" t="str">
        <f t="shared" si="19"/>
        <v/>
      </c>
      <c r="X105" t="str">
        <f t="shared" si="20"/>
        <v/>
      </c>
      <c r="Y105" t="str">
        <f t="shared" si="21"/>
        <v/>
      </c>
      <c r="Z105" t="str">
        <f t="shared" si="22"/>
        <v/>
      </c>
      <c r="AA105" t="str">
        <f t="shared" si="23"/>
        <v/>
      </c>
      <c r="AB105" t="str">
        <f t="shared" si="24"/>
        <v/>
      </c>
      <c r="AC105" t="str">
        <f t="shared" si="25"/>
        <v/>
      </c>
      <c r="AD105" t="str">
        <f t="shared" si="26"/>
        <v/>
      </c>
      <c r="AE105" t="str">
        <f t="shared" si="27"/>
        <v/>
      </c>
      <c r="AF105" t="str">
        <f t="shared" si="28"/>
        <v/>
      </c>
      <c r="AG105" t="str">
        <f t="shared" si="29"/>
        <v/>
      </c>
      <c r="AH105" t="str">
        <f t="shared" si="30"/>
        <v/>
      </c>
      <c r="AI105" t="str">
        <f t="shared" si="31"/>
        <v/>
      </c>
      <c r="AJ105" t="str">
        <f t="shared" si="32"/>
        <v/>
      </c>
      <c r="AK105" t="str">
        <f t="shared" si="32"/>
        <v/>
      </c>
    </row>
    <row r="106" spans="1:37" x14ac:dyDescent="0.25">
      <c r="A106" s="4">
        <v>2008</v>
      </c>
      <c r="B106" s="4" t="s">
        <v>20</v>
      </c>
      <c r="C106" s="5">
        <v>28</v>
      </c>
      <c r="D106" s="5">
        <v>1099</v>
      </c>
      <c r="E106" s="5">
        <v>454</v>
      </c>
      <c r="F106" s="5">
        <v>383</v>
      </c>
      <c r="G106" s="5">
        <v>128</v>
      </c>
      <c r="H106" s="5">
        <v>992</v>
      </c>
      <c r="I106" s="5">
        <v>271</v>
      </c>
      <c r="J106" s="5">
        <v>169</v>
      </c>
      <c r="K106" s="5">
        <v>225</v>
      </c>
      <c r="L106" s="5">
        <v>61</v>
      </c>
      <c r="M106" s="5">
        <v>893</v>
      </c>
      <c r="N106" s="5">
        <v>143</v>
      </c>
      <c r="O106" s="5">
        <v>433</v>
      </c>
      <c r="P106" s="5">
        <v>216</v>
      </c>
      <c r="Q106" s="5">
        <v>960</v>
      </c>
      <c r="R106" s="5">
        <v>264</v>
      </c>
      <c r="S106" s="5">
        <v>471</v>
      </c>
      <c r="T106" s="19"/>
      <c r="U106">
        <f t="shared" si="17"/>
        <v>28</v>
      </c>
      <c r="V106">
        <f t="shared" si="18"/>
        <v>1099</v>
      </c>
      <c r="W106">
        <f t="shared" si="19"/>
        <v>454</v>
      </c>
      <c r="X106">
        <f t="shared" si="20"/>
        <v>383</v>
      </c>
      <c r="Y106">
        <f t="shared" si="21"/>
        <v>128</v>
      </c>
      <c r="Z106">
        <f t="shared" si="22"/>
        <v>992</v>
      </c>
      <c r="AA106">
        <f t="shared" si="23"/>
        <v>271</v>
      </c>
      <c r="AB106">
        <f t="shared" si="24"/>
        <v>169</v>
      </c>
      <c r="AC106">
        <f t="shared" si="25"/>
        <v>225</v>
      </c>
      <c r="AD106">
        <f t="shared" si="26"/>
        <v>61</v>
      </c>
      <c r="AE106">
        <f t="shared" si="27"/>
        <v>893</v>
      </c>
      <c r="AF106">
        <f t="shared" si="28"/>
        <v>143</v>
      </c>
      <c r="AG106">
        <f t="shared" si="29"/>
        <v>433</v>
      </c>
      <c r="AH106">
        <f t="shared" si="30"/>
        <v>216</v>
      </c>
      <c r="AI106">
        <f t="shared" si="31"/>
        <v>960</v>
      </c>
      <c r="AJ106">
        <f t="shared" si="32"/>
        <v>264</v>
      </c>
      <c r="AK106">
        <f t="shared" si="32"/>
        <v>471</v>
      </c>
    </row>
    <row r="107" spans="1:37" x14ac:dyDescent="0.25">
      <c r="A107" s="4">
        <v>2008</v>
      </c>
      <c r="B107" s="4" t="s">
        <v>21</v>
      </c>
      <c r="C107" s="5">
        <v>16</v>
      </c>
      <c r="D107" s="5">
        <v>1118</v>
      </c>
      <c r="E107" s="5">
        <v>481</v>
      </c>
      <c r="F107" s="5">
        <v>339</v>
      </c>
      <c r="G107" s="5">
        <v>118</v>
      </c>
      <c r="H107" s="5">
        <v>889</v>
      </c>
      <c r="I107" s="5">
        <v>289</v>
      </c>
      <c r="J107" s="5">
        <v>193</v>
      </c>
      <c r="K107" s="5">
        <v>209</v>
      </c>
      <c r="L107" s="5">
        <v>114</v>
      </c>
      <c r="M107" s="5">
        <v>866</v>
      </c>
      <c r="N107" s="5">
        <v>141</v>
      </c>
      <c r="O107" s="5">
        <v>421</v>
      </c>
      <c r="P107" s="5">
        <v>189</v>
      </c>
      <c r="Q107" s="5">
        <v>867</v>
      </c>
      <c r="R107" s="5">
        <v>313</v>
      </c>
      <c r="S107" s="5">
        <v>372</v>
      </c>
      <c r="T107" s="19"/>
      <c r="U107">
        <f t="shared" si="17"/>
        <v>16</v>
      </c>
      <c r="V107">
        <f t="shared" si="18"/>
        <v>1118</v>
      </c>
      <c r="W107">
        <f t="shared" si="19"/>
        <v>481</v>
      </c>
      <c r="X107">
        <f t="shared" si="20"/>
        <v>339</v>
      </c>
      <c r="Y107">
        <f t="shared" si="21"/>
        <v>118</v>
      </c>
      <c r="Z107">
        <f t="shared" si="22"/>
        <v>889</v>
      </c>
      <c r="AA107">
        <f t="shared" si="23"/>
        <v>289</v>
      </c>
      <c r="AB107">
        <f t="shared" si="24"/>
        <v>193</v>
      </c>
      <c r="AC107">
        <f t="shared" si="25"/>
        <v>209</v>
      </c>
      <c r="AD107">
        <f t="shared" si="26"/>
        <v>114</v>
      </c>
      <c r="AE107">
        <f t="shared" si="27"/>
        <v>866</v>
      </c>
      <c r="AF107">
        <f t="shared" si="28"/>
        <v>141</v>
      </c>
      <c r="AG107">
        <f t="shared" si="29"/>
        <v>421</v>
      </c>
      <c r="AH107">
        <f t="shared" si="30"/>
        <v>189</v>
      </c>
      <c r="AI107">
        <f t="shared" si="31"/>
        <v>867</v>
      </c>
      <c r="AJ107">
        <f t="shared" si="32"/>
        <v>313</v>
      </c>
      <c r="AK107">
        <f t="shared" si="32"/>
        <v>372</v>
      </c>
    </row>
    <row r="108" spans="1:37" x14ac:dyDescent="0.25">
      <c r="A108" s="4">
        <v>2008</v>
      </c>
      <c r="B108" s="4" t="s">
        <v>22</v>
      </c>
      <c r="C108" s="5">
        <v>28</v>
      </c>
      <c r="D108" s="5">
        <v>1170</v>
      </c>
      <c r="E108" s="5">
        <v>507</v>
      </c>
      <c r="F108" s="5">
        <v>324</v>
      </c>
      <c r="G108" s="5">
        <v>113</v>
      </c>
      <c r="H108" s="5">
        <v>880</v>
      </c>
      <c r="I108" s="5">
        <v>267</v>
      </c>
      <c r="J108" s="5">
        <v>155</v>
      </c>
      <c r="K108" s="5">
        <v>214</v>
      </c>
      <c r="L108" s="5">
        <v>110</v>
      </c>
      <c r="M108" s="5">
        <v>876</v>
      </c>
      <c r="N108" s="5">
        <v>123</v>
      </c>
      <c r="O108" s="5">
        <v>486</v>
      </c>
      <c r="P108" s="5">
        <v>152</v>
      </c>
      <c r="Q108" s="5">
        <v>792</v>
      </c>
      <c r="R108" s="5">
        <v>283</v>
      </c>
      <c r="S108" s="5">
        <v>425</v>
      </c>
      <c r="T108" s="19"/>
      <c r="U108">
        <f t="shared" si="17"/>
        <v>28</v>
      </c>
      <c r="V108">
        <f t="shared" si="18"/>
        <v>1170</v>
      </c>
      <c r="W108">
        <f t="shared" si="19"/>
        <v>507</v>
      </c>
      <c r="X108">
        <f t="shared" si="20"/>
        <v>324</v>
      </c>
      <c r="Y108">
        <f t="shared" si="21"/>
        <v>113</v>
      </c>
      <c r="Z108">
        <f t="shared" si="22"/>
        <v>880</v>
      </c>
      <c r="AA108">
        <f t="shared" si="23"/>
        <v>267</v>
      </c>
      <c r="AB108">
        <f t="shared" si="24"/>
        <v>155</v>
      </c>
      <c r="AC108">
        <f t="shared" si="25"/>
        <v>214</v>
      </c>
      <c r="AD108">
        <f t="shared" si="26"/>
        <v>110</v>
      </c>
      <c r="AE108">
        <f t="shared" si="27"/>
        <v>876</v>
      </c>
      <c r="AF108">
        <f t="shared" si="28"/>
        <v>123</v>
      </c>
      <c r="AG108">
        <f t="shared" si="29"/>
        <v>486</v>
      </c>
      <c r="AH108">
        <f t="shared" si="30"/>
        <v>152</v>
      </c>
      <c r="AI108">
        <f t="shared" si="31"/>
        <v>792</v>
      </c>
      <c r="AJ108">
        <f t="shared" si="32"/>
        <v>283</v>
      </c>
      <c r="AK108">
        <f t="shared" si="32"/>
        <v>425</v>
      </c>
    </row>
    <row r="109" spans="1:37" x14ac:dyDescent="0.25">
      <c r="A109" s="4">
        <v>2008</v>
      </c>
      <c r="B109" s="4" t="s">
        <v>23</v>
      </c>
      <c r="C109" s="5">
        <v>28</v>
      </c>
      <c r="D109" s="5">
        <v>1057</v>
      </c>
      <c r="E109" s="5">
        <v>505</v>
      </c>
      <c r="F109" s="5">
        <v>291</v>
      </c>
      <c r="G109" s="5">
        <v>137</v>
      </c>
      <c r="H109" s="5">
        <v>782</v>
      </c>
      <c r="I109" s="5">
        <v>245</v>
      </c>
      <c r="J109" s="5">
        <v>143</v>
      </c>
      <c r="K109" s="5">
        <v>222</v>
      </c>
      <c r="L109" s="5">
        <v>103</v>
      </c>
      <c r="M109" s="5">
        <v>736</v>
      </c>
      <c r="N109" s="5">
        <v>86</v>
      </c>
      <c r="O109" s="5">
        <v>466</v>
      </c>
      <c r="P109" s="5">
        <v>139</v>
      </c>
      <c r="Q109" s="5">
        <v>734</v>
      </c>
      <c r="R109" s="5">
        <v>251</v>
      </c>
      <c r="S109" s="5">
        <v>373</v>
      </c>
      <c r="T109" s="19"/>
      <c r="U109">
        <f t="shared" si="17"/>
        <v>28</v>
      </c>
      <c r="V109">
        <f t="shared" si="18"/>
        <v>1057</v>
      </c>
      <c r="W109">
        <f t="shared" si="19"/>
        <v>505</v>
      </c>
      <c r="X109">
        <f t="shared" si="20"/>
        <v>291</v>
      </c>
      <c r="Y109">
        <f t="shared" si="21"/>
        <v>137</v>
      </c>
      <c r="Z109">
        <f t="shared" si="22"/>
        <v>782</v>
      </c>
      <c r="AA109">
        <f t="shared" si="23"/>
        <v>245</v>
      </c>
      <c r="AB109">
        <f t="shared" si="24"/>
        <v>143</v>
      </c>
      <c r="AC109">
        <f t="shared" si="25"/>
        <v>222</v>
      </c>
      <c r="AD109">
        <f t="shared" si="26"/>
        <v>103</v>
      </c>
      <c r="AE109">
        <f t="shared" si="27"/>
        <v>736</v>
      </c>
      <c r="AF109">
        <f t="shared" si="28"/>
        <v>86</v>
      </c>
      <c r="AG109">
        <f t="shared" si="29"/>
        <v>466</v>
      </c>
      <c r="AH109">
        <f t="shared" si="30"/>
        <v>139</v>
      </c>
      <c r="AI109">
        <f t="shared" si="31"/>
        <v>734</v>
      </c>
      <c r="AJ109">
        <f t="shared" si="32"/>
        <v>251</v>
      </c>
      <c r="AK109">
        <f t="shared" si="32"/>
        <v>373</v>
      </c>
    </row>
    <row r="110" spans="1:37" x14ac:dyDescent="0.25">
      <c r="A110" s="4">
        <v>2008</v>
      </c>
      <c r="B110" s="4" t="s">
        <v>24</v>
      </c>
      <c r="C110" s="5">
        <v>28</v>
      </c>
      <c r="D110" s="5">
        <v>809</v>
      </c>
      <c r="E110" s="5">
        <v>565</v>
      </c>
      <c r="F110" s="5">
        <v>314</v>
      </c>
      <c r="G110" s="5">
        <v>165</v>
      </c>
      <c r="H110" s="5">
        <v>884</v>
      </c>
      <c r="I110" s="5">
        <v>269</v>
      </c>
      <c r="J110" s="5">
        <v>170</v>
      </c>
      <c r="K110" s="5">
        <v>240</v>
      </c>
      <c r="L110" s="5">
        <v>121</v>
      </c>
      <c r="M110" s="5">
        <v>829</v>
      </c>
      <c r="N110" s="5">
        <v>178</v>
      </c>
      <c r="O110" s="5">
        <v>441</v>
      </c>
      <c r="P110" s="5">
        <v>172</v>
      </c>
      <c r="Q110" s="5">
        <v>902</v>
      </c>
      <c r="R110" s="5">
        <v>275</v>
      </c>
      <c r="S110" s="5">
        <v>461</v>
      </c>
      <c r="T110" s="19"/>
      <c r="U110">
        <f t="shared" si="17"/>
        <v>28</v>
      </c>
      <c r="V110">
        <f t="shared" si="18"/>
        <v>809</v>
      </c>
      <c r="W110">
        <f t="shared" si="19"/>
        <v>565</v>
      </c>
      <c r="X110">
        <f t="shared" si="20"/>
        <v>314</v>
      </c>
      <c r="Y110">
        <f t="shared" si="21"/>
        <v>165</v>
      </c>
      <c r="Z110">
        <f t="shared" si="22"/>
        <v>884</v>
      </c>
      <c r="AA110">
        <f t="shared" si="23"/>
        <v>269</v>
      </c>
      <c r="AB110">
        <f t="shared" si="24"/>
        <v>170</v>
      </c>
      <c r="AC110">
        <f t="shared" si="25"/>
        <v>240</v>
      </c>
      <c r="AD110">
        <f t="shared" si="26"/>
        <v>121</v>
      </c>
      <c r="AE110">
        <f t="shared" si="27"/>
        <v>829</v>
      </c>
      <c r="AF110">
        <f t="shared" si="28"/>
        <v>178</v>
      </c>
      <c r="AG110">
        <f t="shared" si="29"/>
        <v>441</v>
      </c>
      <c r="AH110">
        <f t="shared" si="30"/>
        <v>172</v>
      </c>
      <c r="AI110">
        <f t="shared" si="31"/>
        <v>902</v>
      </c>
      <c r="AJ110">
        <f t="shared" si="32"/>
        <v>275</v>
      </c>
      <c r="AK110">
        <f t="shared" si="32"/>
        <v>461</v>
      </c>
    </row>
    <row r="111" spans="1:37" x14ac:dyDescent="0.25">
      <c r="A111" s="4">
        <v>2008</v>
      </c>
      <c r="B111" s="4" t="s">
        <v>25</v>
      </c>
      <c r="C111" s="5">
        <v>28</v>
      </c>
      <c r="D111" s="5">
        <v>785</v>
      </c>
      <c r="E111" s="5">
        <v>544</v>
      </c>
      <c r="F111" s="5">
        <v>318</v>
      </c>
      <c r="G111" s="5">
        <v>160</v>
      </c>
      <c r="H111" s="5">
        <v>1000</v>
      </c>
      <c r="I111" s="5">
        <v>329</v>
      </c>
      <c r="J111" s="5">
        <v>157</v>
      </c>
      <c r="K111" s="5">
        <v>193</v>
      </c>
      <c r="L111" s="5">
        <v>144</v>
      </c>
      <c r="M111" s="5">
        <v>890</v>
      </c>
      <c r="N111" s="5">
        <v>178</v>
      </c>
      <c r="O111" s="5">
        <v>492</v>
      </c>
      <c r="P111" s="5">
        <v>171</v>
      </c>
      <c r="Q111" s="5">
        <v>983</v>
      </c>
      <c r="R111" s="5">
        <v>322</v>
      </c>
      <c r="S111" s="5">
        <v>654</v>
      </c>
      <c r="T111" s="19"/>
      <c r="U111">
        <f t="shared" si="17"/>
        <v>28</v>
      </c>
      <c r="V111">
        <f t="shared" si="18"/>
        <v>785</v>
      </c>
      <c r="W111">
        <f t="shared" si="19"/>
        <v>544</v>
      </c>
      <c r="X111">
        <f t="shared" si="20"/>
        <v>318</v>
      </c>
      <c r="Y111">
        <f t="shared" si="21"/>
        <v>160</v>
      </c>
      <c r="Z111">
        <f t="shared" si="22"/>
        <v>1000</v>
      </c>
      <c r="AA111">
        <f t="shared" si="23"/>
        <v>329</v>
      </c>
      <c r="AB111">
        <f t="shared" si="24"/>
        <v>157</v>
      </c>
      <c r="AC111">
        <f t="shared" si="25"/>
        <v>193</v>
      </c>
      <c r="AD111">
        <f t="shared" si="26"/>
        <v>144</v>
      </c>
      <c r="AE111">
        <f t="shared" si="27"/>
        <v>890</v>
      </c>
      <c r="AF111">
        <f t="shared" si="28"/>
        <v>178</v>
      </c>
      <c r="AG111">
        <f t="shared" si="29"/>
        <v>492</v>
      </c>
      <c r="AH111">
        <f t="shared" si="30"/>
        <v>171</v>
      </c>
      <c r="AI111">
        <f t="shared" si="31"/>
        <v>983</v>
      </c>
      <c r="AJ111">
        <f t="shared" si="32"/>
        <v>322</v>
      </c>
      <c r="AK111">
        <f t="shared" si="32"/>
        <v>654</v>
      </c>
    </row>
    <row r="112" spans="1:37" x14ac:dyDescent="0.25">
      <c r="A112" s="4">
        <v>2008</v>
      </c>
      <c r="B112" s="4" t="s">
        <v>26</v>
      </c>
      <c r="C112" s="5">
        <v>13</v>
      </c>
      <c r="D112" s="5">
        <v>783</v>
      </c>
      <c r="E112" s="5">
        <v>607</v>
      </c>
      <c r="F112" s="5">
        <v>301</v>
      </c>
      <c r="G112" s="5">
        <v>183</v>
      </c>
      <c r="H112" s="5">
        <v>1146</v>
      </c>
      <c r="I112" s="5">
        <v>359</v>
      </c>
      <c r="J112" s="5">
        <v>141</v>
      </c>
      <c r="K112" s="5">
        <v>233</v>
      </c>
      <c r="L112" s="5">
        <v>117</v>
      </c>
      <c r="M112" s="5">
        <v>866</v>
      </c>
      <c r="N112" s="5">
        <v>237</v>
      </c>
      <c r="O112" s="5">
        <v>539</v>
      </c>
      <c r="P112" s="5">
        <v>197</v>
      </c>
      <c r="Q112" s="5">
        <v>976</v>
      </c>
      <c r="R112" s="5">
        <v>352</v>
      </c>
      <c r="S112" s="5">
        <v>770</v>
      </c>
      <c r="T112" s="19"/>
      <c r="U112">
        <f t="shared" si="17"/>
        <v>13</v>
      </c>
      <c r="V112">
        <f t="shared" si="18"/>
        <v>783</v>
      </c>
      <c r="W112">
        <f t="shared" si="19"/>
        <v>607</v>
      </c>
      <c r="X112">
        <f t="shared" si="20"/>
        <v>301</v>
      </c>
      <c r="Y112">
        <f t="shared" si="21"/>
        <v>183</v>
      </c>
      <c r="Z112">
        <f t="shared" si="22"/>
        <v>1146</v>
      </c>
      <c r="AA112">
        <f t="shared" si="23"/>
        <v>359</v>
      </c>
      <c r="AB112">
        <f t="shared" si="24"/>
        <v>141</v>
      </c>
      <c r="AC112">
        <f t="shared" si="25"/>
        <v>233</v>
      </c>
      <c r="AD112">
        <f t="shared" si="26"/>
        <v>117</v>
      </c>
      <c r="AE112">
        <f t="shared" si="27"/>
        <v>866</v>
      </c>
      <c r="AF112">
        <f t="shared" si="28"/>
        <v>237</v>
      </c>
      <c r="AG112">
        <f t="shared" si="29"/>
        <v>539</v>
      </c>
      <c r="AH112">
        <f t="shared" si="30"/>
        <v>197</v>
      </c>
      <c r="AI112">
        <f t="shared" si="31"/>
        <v>976</v>
      </c>
      <c r="AJ112">
        <f t="shared" si="32"/>
        <v>352</v>
      </c>
      <c r="AK112">
        <f t="shared" si="32"/>
        <v>770</v>
      </c>
    </row>
    <row r="113" spans="1:37" x14ac:dyDescent="0.25">
      <c r="A113" s="4">
        <v>2008</v>
      </c>
      <c r="B113" s="4" t="s">
        <v>27</v>
      </c>
      <c r="C113" s="5">
        <v>17</v>
      </c>
      <c r="D113" s="5">
        <v>814</v>
      </c>
      <c r="E113" s="5">
        <v>631</v>
      </c>
      <c r="F113" s="5">
        <v>329</v>
      </c>
      <c r="G113" s="5">
        <v>196</v>
      </c>
      <c r="H113" s="5">
        <v>1170</v>
      </c>
      <c r="I113" s="5">
        <v>309</v>
      </c>
      <c r="J113" s="5">
        <v>144</v>
      </c>
      <c r="K113" s="5">
        <v>287</v>
      </c>
      <c r="L113" s="5">
        <v>122</v>
      </c>
      <c r="M113" s="5">
        <v>961</v>
      </c>
      <c r="N113" s="5">
        <v>269</v>
      </c>
      <c r="O113" s="5">
        <v>575</v>
      </c>
      <c r="P113" s="5">
        <v>183</v>
      </c>
      <c r="Q113" s="5">
        <v>939</v>
      </c>
      <c r="R113" s="5">
        <v>412</v>
      </c>
      <c r="S113" s="5">
        <v>721</v>
      </c>
      <c r="T113" s="19"/>
      <c r="U113">
        <f t="shared" si="17"/>
        <v>17</v>
      </c>
      <c r="V113">
        <f t="shared" si="18"/>
        <v>814</v>
      </c>
      <c r="W113">
        <f t="shared" si="19"/>
        <v>631</v>
      </c>
      <c r="X113">
        <f t="shared" si="20"/>
        <v>329</v>
      </c>
      <c r="Y113">
        <f t="shared" si="21"/>
        <v>196</v>
      </c>
      <c r="Z113">
        <f t="shared" si="22"/>
        <v>1170</v>
      </c>
      <c r="AA113">
        <f t="shared" si="23"/>
        <v>309</v>
      </c>
      <c r="AB113">
        <f t="shared" si="24"/>
        <v>144</v>
      </c>
      <c r="AC113">
        <f t="shared" si="25"/>
        <v>287</v>
      </c>
      <c r="AD113">
        <f t="shared" si="26"/>
        <v>122</v>
      </c>
      <c r="AE113">
        <f t="shared" si="27"/>
        <v>961</v>
      </c>
      <c r="AF113">
        <f t="shared" si="28"/>
        <v>269</v>
      </c>
      <c r="AG113">
        <f t="shared" si="29"/>
        <v>575</v>
      </c>
      <c r="AH113">
        <f t="shared" si="30"/>
        <v>183</v>
      </c>
      <c r="AI113">
        <f t="shared" si="31"/>
        <v>939</v>
      </c>
      <c r="AJ113">
        <f t="shared" si="32"/>
        <v>412</v>
      </c>
      <c r="AK113">
        <f t="shared" si="32"/>
        <v>721</v>
      </c>
    </row>
    <row r="114" spans="1:37" x14ac:dyDescent="0.25">
      <c r="A114" s="4">
        <v>2008</v>
      </c>
      <c r="B114" s="4" t="s">
        <v>28</v>
      </c>
      <c r="C114" s="5">
        <v>25</v>
      </c>
      <c r="D114" s="5">
        <v>970</v>
      </c>
      <c r="E114" s="5">
        <v>688</v>
      </c>
      <c r="F114" s="5">
        <v>296</v>
      </c>
      <c r="G114" s="5">
        <v>215</v>
      </c>
      <c r="H114" s="5">
        <v>1062</v>
      </c>
      <c r="I114" s="5">
        <v>337</v>
      </c>
      <c r="J114" s="5">
        <v>166</v>
      </c>
      <c r="K114" s="5">
        <v>279</v>
      </c>
      <c r="L114" s="5">
        <v>100</v>
      </c>
      <c r="M114" s="5">
        <v>951</v>
      </c>
      <c r="N114" s="5">
        <v>222</v>
      </c>
      <c r="O114" s="5">
        <v>613</v>
      </c>
      <c r="P114" s="5">
        <v>194</v>
      </c>
      <c r="Q114" s="5">
        <v>835</v>
      </c>
      <c r="R114" s="5">
        <v>374</v>
      </c>
      <c r="S114" s="5">
        <v>573</v>
      </c>
      <c r="T114" s="19"/>
      <c r="U114">
        <f t="shared" si="17"/>
        <v>25</v>
      </c>
      <c r="V114">
        <f t="shared" si="18"/>
        <v>970</v>
      </c>
      <c r="W114">
        <f t="shared" si="19"/>
        <v>688</v>
      </c>
      <c r="X114">
        <f t="shared" si="20"/>
        <v>296</v>
      </c>
      <c r="Y114">
        <f t="shared" si="21"/>
        <v>215</v>
      </c>
      <c r="Z114">
        <f t="shared" si="22"/>
        <v>1062</v>
      </c>
      <c r="AA114">
        <f t="shared" si="23"/>
        <v>337</v>
      </c>
      <c r="AB114">
        <f t="shared" si="24"/>
        <v>166</v>
      </c>
      <c r="AC114">
        <f t="shared" si="25"/>
        <v>279</v>
      </c>
      <c r="AD114">
        <f t="shared" si="26"/>
        <v>100</v>
      </c>
      <c r="AE114">
        <f t="shared" si="27"/>
        <v>951</v>
      </c>
      <c r="AF114">
        <f t="shared" si="28"/>
        <v>222</v>
      </c>
      <c r="AG114">
        <f t="shared" si="29"/>
        <v>613</v>
      </c>
      <c r="AH114">
        <f t="shared" si="30"/>
        <v>194</v>
      </c>
      <c r="AI114">
        <f t="shared" si="31"/>
        <v>835</v>
      </c>
      <c r="AJ114">
        <f t="shared" si="32"/>
        <v>374</v>
      </c>
      <c r="AK114">
        <f t="shared" si="32"/>
        <v>573</v>
      </c>
    </row>
    <row r="115" spans="1:37" x14ac:dyDescent="0.25">
      <c r="A115" s="4">
        <v>2008</v>
      </c>
      <c r="B115" s="4" t="s">
        <v>29</v>
      </c>
      <c r="C115" s="5">
        <v>15</v>
      </c>
      <c r="D115" s="5">
        <v>1078</v>
      </c>
      <c r="E115" s="5">
        <v>616</v>
      </c>
      <c r="F115" s="5">
        <v>390</v>
      </c>
      <c r="G115" s="5">
        <v>237</v>
      </c>
      <c r="H115" s="5">
        <v>1076</v>
      </c>
      <c r="I115" s="5">
        <v>316</v>
      </c>
      <c r="J115" s="5">
        <v>168</v>
      </c>
      <c r="K115" s="5">
        <v>320</v>
      </c>
      <c r="L115" s="5">
        <v>114</v>
      </c>
      <c r="M115" s="5">
        <v>1052</v>
      </c>
      <c r="N115" s="5">
        <v>216</v>
      </c>
      <c r="O115" s="5">
        <v>581</v>
      </c>
      <c r="P115" s="5">
        <v>249</v>
      </c>
      <c r="Q115" s="5">
        <v>877</v>
      </c>
      <c r="R115" s="5">
        <v>334</v>
      </c>
      <c r="S115" s="5">
        <v>552</v>
      </c>
      <c r="T115" s="19"/>
      <c r="U115">
        <f t="shared" si="17"/>
        <v>15</v>
      </c>
      <c r="V115">
        <f t="shared" si="18"/>
        <v>1078</v>
      </c>
      <c r="W115">
        <f t="shared" si="19"/>
        <v>616</v>
      </c>
      <c r="X115">
        <f t="shared" si="20"/>
        <v>390</v>
      </c>
      <c r="Y115">
        <f t="shared" si="21"/>
        <v>237</v>
      </c>
      <c r="Z115">
        <f t="shared" si="22"/>
        <v>1076</v>
      </c>
      <c r="AA115">
        <f t="shared" si="23"/>
        <v>316</v>
      </c>
      <c r="AB115">
        <f t="shared" si="24"/>
        <v>168</v>
      </c>
      <c r="AC115">
        <f t="shared" si="25"/>
        <v>320</v>
      </c>
      <c r="AD115">
        <f t="shared" si="26"/>
        <v>114</v>
      </c>
      <c r="AE115">
        <f t="shared" si="27"/>
        <v>1052</v>
      </c>
      <c r="AF115">
        <f t="shared" si="28"/>
        <v>216</v>
      </c>
      <c r="AG115">
        <f t="shared" si="29"/>
        <v>581</v>
      </c>
      <c r="AH115">
        <f t="shared" si="30"/>
        <v>249</v>
      </c>
      <c r="AI115">
        <f t="shared" si="31"/>
        <v>877</v>
      </c>
      <c r="AJ115">
        <f t="shared" si="32"/>
        <v>334</v>
      </c>
      <c r="AK115">
        <f t="shared" si="32"/>
        <v>552</v>
      </c>
    </row>
    <row r="116" spans="1:37" x14ac:dyDescent="0.25">
      <c r="A116" s="4">
        <v>2008</v>
      </c>
      <c r="B116" s="4" t="s">
        <v>30</v>
      </c>
      <c r="C116" s="5">
        <v>32</v>
      </c>
      <c r="D116" s="5">
        <v>1237</v>
      </c>
      <c r="E116" s="5">
        <v>729</v>
      </c>
      <c r="F116" s="5">
        <v>415</v>
      </c>
      <c r="G116" s="5">
        <v>248</v>
      </c>
      <c r="H116" s="5">
        <v>1149</v>
      </c>
      <c r="I116" s="5">
        <v>331</v>
      </c>
      <c r="J116" s="5">
        <v>173</v>
      </c>
      <c r="K116" s="5">
        <v>321</v>
      </c>
      <c r="L116" s="5">
        <v>173</v>
      </c>
      <c r="M116" s="5">
        <v>992</v>
      </c>
      <c r="N116" s="5">
        <v>210</v>
      </c>
      <c r="O116" s="5">
        <v>538</v>
      </c>
      <c r="P116" s="5">
        <v>290</v>
      </c>
      <c r="Q116" s="5">
        <v>992</v>
      </c>
      <c r="R116" s="5">
        <v>434</v>
      </c>
      <c r="S116" s="5">
        <v>527</v>
      </c>
      <c r="T116" s="19"/>
      <c r="U116">
        <f t="shared" si="17"/>
        <v>32</v>
      </c>
      <c r="V116">
        <f t="shared" si="18"/>
        <v>1237</v>
      </c>
      <c r="W116">
        <f t="shared" si="19"/>
        <v>729</v>
      </c>
      <c r="X116">
        <f t="shared" si="20"/>
        <v>415</v>
      </c>
      <c r="Y116">
        <f t="shared" si="21"/>
        <v>248</v>
      </c>
      <c r="Z116">
        <f t="shared" si="22"/>
        <v>1149</v>
      </c>
      <c r="AA116">
        <f t="shared" si="23"/>
        <v>331</v>
      </c>
      <c r="AB116">
        <f t="shared" si="24"/>
        <v>173</v>
      </c>
      <c r="AC116">
        <f t="shared" si="25"/>
        <v>321</v>
      </c>
      <c r="AD116">
        <f t="shared" si="26"/>
        <v>173</v>
      </c>
      <c r="AE116">
        <f t="shared" si="27"/>
        <v>992</v>
      </c>
      <c r="AF116">
        <f t="shared" si="28"/>
        <v>210</v>
      </c>
      <c r="AG116">
        <f t="shared" si="29"/>
        <v>538</v>
      </c>
      <c r="AH116">
        <f t="shared" si="30"/>
        <v>290</v>
      </c>
      <c r="AI116">
        <f t="shared" si="31"/>
        <v>992</v>
      </c>
      <c r="AJ116">
        <f t="shared" si="32"/>
        <v>434</v>
      </c>
      <c r="AK116">
        <f t="shared" si="32"/>
        <v>527</v>
      </c>
    </row>
    <row r="117" spans="1:37" x14ac:dyDescent="0.25">
      <c r="A117" s="4">
        <v>2008</v>
      </c>
      <c r="B117" s="4" t="s">
        <v>19</v>
      </c>
      <c r="C117" s="5">
        <v>46</v>
      </c>
      <c r="D117" s="5">
        <v>1438</v>
      </c>
      <c r="E117" s="5">
        <v>839</v>
      </c>
      <c r="F117" s="5">
        <v>477</v>
      </c>
      <c r="G117" s="5">
        <v>253</v>
      </c>
      <c r="H117" s="5">
        <v>1282</v>
      </c>
      <c r="I117" s="5">
        <v>421</v>
      </c>
      <c r="J117" s="5">
        <v>219</v>
      </c>
      <c r="K117" s="5">
        <v>335</v>
      </c>
      <c r="L117" s="5">
        <v>205</v>
      </c>
      <c r="M117" s="5">
        <v>1147</v>
      </c>
      <c r="N117" s="5">
        <v>220</v>
      </c>
      <c r="O117" s="5">
        <v>570</v>
      </c>
      <c r="P117" s="5">
        <v>178</v>
      </c>
      <c r="Q117" s="5">
        <v>1033</v>
      </c>
      <c r="R117" s="5">
        <v>367</v>
      </c>
      <c r="S117" s="5">
        <v>511</v>
      </c>
      <c r="T117" s="19"/>
      <c r="U117">
        <f t="shared" si="17"/>
        <v>46</v>
      </c>
      <c r="V117">
        <f t="shared" si="18"/>
        <v>1438</v>
      </c>
      <c r="W117">
        <f t="shared" si="19"/>
        <v>839</v>
      </c>
      <c r="X117">
        <f t="shared" si="20"/>
        <v>477</v>
      </c>
      <c r="Y117">
        <f t="shared" si="21"/>
        <v>253</v>
      </c>
      <c r="Z117">
        <f t="shared" si="22"/>
        <v>1282</v>
      </c>
      <c r="AA117">
        <f t="shared" si="23"/>
        <v>421</v>
      </c>
      <c r="AB117">
        <f t="shared" si="24"/>
        <v>219</v>
      </c>
      <c r="AC117">
        <f t="shared" si="25"/>
        <v>335</v>
      </c>
      <c r="AD117">
        <f t="shared" si="26"/>
        <v>205</v>
      </c>
      <c r="AE117">
        <f t="shared" si="27"/>
        <v>1147</v>
      </c>
      <c r="AF117">
        <f t="shared" si="28"/>
        <v>220</v>
      </c>
      <c r="AG117">
        <f t="shared" si="29"/>
        <v>570</v>
      </c>
      <c r="AH117">
        <f t="shared" si="30"/>
        <v>178</v>
      </c>
      <c r="AI117">
        <f t="shared" si="31"/>
        <v>1033</v>
      </c>
      <c r="AJ117">
        <f t="shared" si="32"/>
        <v>367</v>
      </c>
      <c r="AK117">
        <f t="shared" si="32"/>
        <v>511</v>
      </c>
    </row>
    <row r="118" spans="1:37" x14ac:dyDescent="0.25">
      <c r="A118" s="4">
        <v>2008</v>
      </c>
      <c r="B118" s="4" t="s">
        <v>96</v>
      </c>
      <c r="C118" s="5">
        <v>25</v>
      </c>
      <c r="D118" s="5">
        <v>1030</v>
      </c>
      <c r="E118" s="5">
        <v>597</v>
      </c>
      <c r="F118" s="5">
        <v>348</v>
      </c>
      <c r="G118" s="5">
        <v>179</v>
      </c>
      <c r="H118" s="5">
        <v>1026</v>
      </c>
      <c r="I118" s="5">
        <v>312</v>
      </c>
      <c r="J118" s="5">
        <v>167</v>
      </c>
      <c r="K118" s="5">
        <v>256</v>
      </c>
      <c r="L118" s="5">
        <v>124</v>
      </c>
      <c r="M118" s="5">
        <v>921</v>
      </c>
      <c r="N118" s="5">
        <v>185</v>
      </c>
      <c r="O118" s="5">
        <v>513</v>
      </c>
      <c r="P118" s="5">
        <v>194</v>
      </c>
      <c r="Q118" s="5">
        <v>908</v>
      </c>
      <c r="R118" s="5">
        <v>332</v>
      </c>
      <c r="S118" s="5">
        <v>534</v>
      </c>
      <c r="T118" s="19"/>
      <c r="U118" t="str">
        <f t="shared" si="17"/>
        <v/>
      </c>
      <c r="V118" t="str">
        <f t="shared" si="18"/>
        <v/>
      </c>
      <c r="W118" t="str">
        <f t="shared" si="19"/>
        <v/>
      </c>
      <c r="X118" t="str">
        <f t="shared" si="20"/>
        <v/>
      </c>
      <c r="Y118" t="str">
        <f t="shared" si="21"/>
        <v/>
      </c>
      <c r="Z118" t="str">
        <f t="shared" si="22"/>
        <v/>
      </c>
      <c r="AA118" t="str">
        <f t="shared" si="23"/>
        <v/>
      </c>
      <c r="AB118" t="str">
        <f t="shared" si="24"/>
        <v/>
      </c>
      <c r="AC118" t="str">
        <f t="shared" si="25"/>
        <v/>
      </c>
      <c r="AD118" t="str">
        <f t="shared" si="26"/>
        <v/>
      </c>
      <c r="AE118" t="str">
        <f t="shared" si="27"/>
        <v/>
      </c>
      <c r="AF118" t="str">
        <f t="shared" si="28"/>
        <v/>
      </c>
      <c r="AG118" t="str">
        <f t="shared" si="29"/>
        <v/>
      </c>
      <c r="AH118" t="str">
        <f t="shared" si="30"/>
        <v/>
      </c>
      <c r="AI118" t="str">
        <f t="shared" si="31"/>
        <v/>
      </c>
      <c r="AJ118" t="str">
        <f t="shared" si="32"/>
        <v/>
      </c>
      <c r="AK118" t="str">
        <f t="shared" si="32"/>
        <v/>
      </c>
    </row>
    <row r="119" spans="1:37" x14ac:dyDescent="0.25">
      <c r="A119" s="4">
        <v>2009</v>
      </c>
      <c r="B119" s="4" t="s">
        <v>20</v>
      </c>
      <c r="C119" s="5">
        <v>59</v>
      </c>
      <c r="D119" s="5">
        <v>1744</v>
      </c>
      <c r="E119" s="5">
        <v>1157</v>
      </c>
      <c r="F119" s="5">
        <v>554</v>
      </c>
      <c r="G119" s="5">
        <v>281</v>
      </c>
      <c r="H119" s="5">
        <v>1513</v>
      </c>
      <c r="I119" s="5">
        <v>522</v>
      </c>
      <c r="J119" s="5">
        <v>232</v>
      </c>
      <c r="K119" s="5">
        <v>383</v>
      </c>
      <c r="L119" s="5">
        <v>188</v>
      </c>
      <c r="M119" s="5">
        <v>1445</v>
      </c>
      <c r="N119" s="5">
        <v>169</v>
      </c>
      <c r="O119" s="5">
        <v>623</v>
      </c>
      <c r="P119" s="5">
        <v>253</v>
      </c>
      <c r="Q119" s="5">
        <v>1234</v>
      </c>
      <c r="R119" s="5">
        <v>431</v>
      </c>
      <c r="S119" s="5">
        <v>652</v>
      </c>
      <c r="T119" s="19"/>
      <c r="U119">
        <f t="shared" si="17"/>
        <v>59</v>
      </c>
      <c r="V119">
        <f t="shared" si="18"/>
        <v>1744</v>
      </c>
      <c r="W119">
        <f t="shared" si="19"/>
        <v>1157</v>
      </c>
      <c r="X119">
        <f t="shared" si="20"/>
        <v>554</v>
      </c>
      <c r="Y119">
        <f t="shared" si="21"/>
        <v>281</v>
      </c>
      <c r="Z119">
        <f t="shared" si="22"/>
        <v>1513</v>
      </c>
      <c r="AA119">
        <f t="shared" si="23"/>
        <v>522</v>
      </c>
      <c r="AB119">
        <f t="shared" si="24"/>
        <v>232</v>
      </c>
      <c r="AC119">
        <f t="shared" si="25"/>
        <v>383</v>
      </c>
      <c r="AD119">
        <f t="shared" si="26"/>
        <v>188</v>
      </c>
      <c r="AE119">
        <f t="shared" si="27"/>
        <v>1445</v>
      </c>
      <c r="AF119">
        <f t="shared" si="28"/>
        <v>169</v>
      </c>
      <c r="AG119">
        <f t="shared" si="29"/>
        <v>623</v>
      </c>
      <c r="AH119">
        <f t="shared" si="30"/>
        <v>253</v>
      </c>
      <c r="AI119">
        <f t="shared" si="31"/>
        <v>1234</v>
      </c>
      <c r="AJ119">
        <f t="shared" si="32"/>
        <v>431</v>
      </c>
      <c r="AK119">
        <f t="shared" si="32"/>
        <v>652</v>
      </c>
    </row>
    <row r="120" spans="1:37" x14ac:dyDescent="0.25">
      <c r="A120" s="4">
        <v>2009</v>
      </c>
      <c r="B120" s="4" t="s">
        <v>21</v>
      </c>
      <c r="C120" s="5">
        <v>63</v>
      </c>
      <c r="D120" s="5">
        <v>2025</v>
      </c>
      <c r="E120" s="5">
        <v>1219</v>
      </c>
      <c r="F120" s="5">
        <v>603</v>
      </c>
      <c r="G120" s="5">
        <v>300</v>
      </c>
      <c r="H120" s="5">
        <v>1547</v>
      </c>
      <c r="I120" s="5">
        <v>563</v>
      </c>
      <c r="J120" s="5">
        <v>224</v>
      </c>
      <c r="K120" s="5">
        <v>393</v>
      </c>
      <c r="L120" s="5">
        <v>244</v>
      </c>
      <c r="M120" s="5">
        <v>1512</v>
      </c>
      <c r="N120" s="5">
        <v>163</v>
      </c>
      <c r="O120" s="5">
        <v>684</v>
      </c>
      <c r="P120" s="5">
        <v>224</v>
      </c>
      <c r="Q120" s="5">
        <v>1254</v>
      </c>
      <c r="R120" s="5">
        <v>453</v>
      </c>
      <c r="S120" s="5">
        <v>563</v>
      </c>
      <c r="T120" s="19"/>
      <c r="U120">
        <f t="shared" si="17"/>
        <v>63</v>
      </c>
      <c r="V120">
        <f t="shared" si="18"/>
        <v>2025</v>
      </c>
      <c r="W120">
        <f t="shared" si="19"/>
        <v>1219</v>
      </c>
      <c r="X120">
        <f t="shared" si="20"/>
        <v>603</v>
      </c>
      <c r="Y120">
        <f t="shared" si="21"/>
        <v>300</v>
      </c>
      <c r="Z120">
        <f t="shared" si="22"/>
        <v>1547</v>
      </c>
      <c r="AA120">
        <f t="shared" si="23"/>
        <v>563</v>
      </c>
      <c r="AB120">
        <f t="shared" si="24"/>
        <v>224</v>
      </c>
      <c r="AC120">
        <f t="shared" si="25"/>
        <v>393</v>
      </c>
      <c r="AD120">
        <f t="shared" si="26"/>
        <v>244</v>
      </c>
      <c r="AE120">
        <f t="shared" si="27"/>
        <v>1512</v>
      </c>
      <c r="AF120">
        <f t="shared" si="28"/>
        <v>163</v>
      </c>
      <c r="AG120">
        <f t="shared" si="29"/>
        <v>684</v>
      </c>
      <c r="AH120">
        <f t="shared" si="30"/>
        <v>224</v>
      </c>
      <c r="AI120">
        <f t="shared" si="31"/>
        <v>1254</v>
      </c>
      <c r="AJ120">
        <f t="shared" si="32"/>
        <v>453</v>
      </c>
      <c r="AK120">
        <f t="shared" si="32"/>
        <v>563</v>
      </c>
    </row>
    <row r="121" spans="1:37" x14ac:dyDescent="0.25">
      <c r="A121" s="4">
        <v>2009</v>
      </c>
      <c r="B121" s="4" t="s">
        <v>22</v>
      </c>
      <c r="C121" s="5">
        <v>105</v>
      </c>
      <c r="D121" s="5">
        <v>1979</v>
      </c>
      <c r="E121" s="5">
        <v>1307</v>
      </c>
      <c r="F121" s="5">
        <v>605</v>
      </c>
      <c r="G121" s="5">
        <v>246</v>
      </c>
      <c r="H121" s="5">
        <v>1606</v>
      </c>
      <c r="I121" s="5">
        <v>558</v>
      </c>
      <c r="J121" s="5">
        <v>252</v>
      </c>
      <c r="K121" s="5">
        <v>398</v>
      </c>
      <c r="L121" s="5">
        <v>241</v>
      </c>
      <c r="M121" s="5">
        <v>1597</v>
      </c>
      <c r="N121" s="5">
        <v>195</v>
      </c>
      <c r="O121" s="5">
        <v>736</v>
      </c>
      <c r="P121" s="5">
        <v>268</v>
      </c>
      <c r="Q121" s="5">
        <v>1216</v>
      </c>
      <c r="R121" s="5">
        <v>377</v>
      </c>
      <c r="S121" s="5">
        <v>598</v>
      </c>
      <c r="T121" s="19"/>
      <c r="U121">
        <f t="shared" si="17"/>
        <v>105</v>
      </c>
      <c r="V121">
        <f t="shared" si="18"/>
        <v>1979</v>
      </c>
      <c r="W121">
        <f t="shared" si="19"/>
        <v>1307</v>
      </c>
      <c r="X121">
        <f t="shared" si="20"/>
        <v>605</v>
      </c>
      <c r="Y121">
        <f t="shared" si="21"/>
        <v>246</v>
      </c>
      <c r="Z121">
        <f t="shared" si="22"/>
        <v>1606</v>
      </c>
      <c r="AA121">
        <f t="shared" si="23"/>
        <v>558</v>
      </c>
      <c r="AB121">
        <f t="shared" si="24"/>
        <v>252</v>
      </c>
      <c r="AC121">
        <f t="shared" si="25"/>
        <v>398</v>
      </c>
      <c r="AD121">
        <f t="shared" si="26"/>
        <v>241</v>
      </c>
      <c r="AE121">
        <f t="shared" si="27"/>
        <v>1597</v>
      </c>
      <c r="AF121">
        <f t="shared" si="28"/>
        <v>195</v>
      </c>
      <c r="AG121">
        <f t="shared" si="29"/>
        <v>736</v>
      </c>
      <c r="AH121">
        <f t="shared" si="30"/>
        <v>268</v>
      </c>
      <c r="AI121">
        <f t="shared" si="31"/>
        <v>1216</v>
      </c>
      <c r="AJ121">
        <f t="shared" si="32"/>
        <v>377</v>
      </c>
      <c r="AK121">
        <f t="shared" si="32"/>
        <v>598</v>
      </c>
    </row>
    <row r="122" spans="1:37" x14ac:dyDescent="0.25">
      <c r="A122" s="4">
        <v>2009</v>
      </c>
      <c r="B122" s="4" t="s">
        <v>23</v>
      </c>
      <c r="C122" s="5">
        <v>125</v>
      </c>
      <c r="D122" s="5">
        <v>1737</v>
      </c>
      <c r="E122" s="5">
        <v>1278</v>
      </c>
      <c r="F122" s="5">
        <v>690</v>
      </c>
      <c r="G122" s="5">
        <v>243</v>
      </c>
      <c r="H122" s="5">
        <v>1591</v>
      </c>
      <c r="I122" s="5">
        <v>541</v>
      </c>
      <c r="J122" s="5">
        <v>320</v>
      </c>
      <c r="K122" s="5">
        <v>363</v>
      </c>
      <c r="L122" s="5">
        <v>199</v>
      </c>
      <c r="M122" s="5">
        <v>1448</v>
      </c>
      <c r="N122" s="5">
        <v>214</v>
      </c>
      <c r="O122" s="5">
        <v>750</v>
      </c>
      <c r="P122" s="5">
        <v>255</v>
      </c>
      <c r="Q122" s="5">
        <v>1067</v>
      </c>
      <c r="R122" s="5">
        <v>403</v>
      </c>
      <c r="S122" s="5">
        <v>575</v>
      </c>
      <c r="T122" s="19"/>
      <c r="U122">
        <f t="shared" si="17"/>
        <v>125</v>
      </c>
      <c r="V122">
        <f t="shared" si="18"/>
        <v>1737</v>
      </c>
      <c r="W122">
        <f t="shared" si="19"/>
        <v>1278</v>
      </c>
      <c r="X122">
        <f t="shared" si="20"/>
        <v>690</v>
      </c>
      <c r="Y122">
        <f t="shared" si="21"/>
        <v>243</v>
      </c>
      <c r="Z122">
        <f t="shared" si="22"/>
        <v>1591</v>
      </c>
      <c r="AA122">
        <f t="shared" si="23"/>
        <v>541</v>
      </c>
      <c r="AB122">
        <f t="shared" si="24"/>
        <v>320</v>
      </c>
      <c r="AC122">
        <f t="shared" si="25"/>
        <v>363</v>
      </c>
      <c r="AD122">
        <f t="shared" si="26"/>
        <v>199</v>
      </c>
      <c r="AE122">
        <f t="shared" si="27"/>
        <v>1448</v>
      </c>
      <c r="AF122">
        <f t="shared" si="28"/>
        <v>214</v>
      </c>
      <c r="AG122">
        <f t="shared" si="29"/>
        <v>750</v>
      </c>
      <c r="AH122">
        <f t="shared" si="30"/>
        <v>255</v>
      </c>
      <c r="AI122">
        <f t="shared" si="31"/>
        <v>1067</v>
      </c>
      <c r="AJ122">
        <f t="shared" si="32"/>
        <v>403</v>
      </c>
      <c r="AK122">
        <f t="shared" si="32"/>
        <v>575</v>
      </c>
    </row>
    <row r="123" spans="1:37" x14ac:dyDescent="0.25">
      <c r="A123" s="4">
        <v>2009</v>
      </c>
      <c r="B123" s="4" t="s">
        <v>24</v>
      </c>
      <c r="C123" s="5">
        <v>98</v>
      </c>
      <c r="D123" s="5">
        <v>1768</v>
      </c>
      <c r="E123" s="5">
        <v>1320</v>
      </c>
      <c r="F123" s="5">
        <v>690</v>
      </c>
      <c r="G123" s="5">
        <v>266</v>
      </c>
      <c r="H123" s="5">
        <v>1569</v>
      </c>
      <c r="I123" s="5">
        <v>506</v>
      </c>
      <c r="J123" s="5">
        <v>303</v>
      </c>
      <c r="K123" s="5">
        <v>335</v>
      </c>
      <c r="L123" s="5">
        <v>201</v>
      </c>
      <c r="M123" s="5">
        <v>1514</v>
      </c>
      <c r="N123" s="5">
        <v>223</v>
      </c>
      <c r="O123" s="5">
        <v>782</v>
      </c>
      <c r="P123" s="5">
        <v>283</v>
      </c>
      <c r="Q123" s="5">
        <v>1316</v>
      </c>
      <c r="R123" s="5">
        <v>476</v>
      </c>
      <c r="S123" s="5">
        <v>702</v>
      </c>
      <c r="T123" s="19"/>
      <c r="U123">
        <f t="shared" si="17"/>
        <v>98</v>
      </c>
      <c r="V123">
        <f t="shared" si="18"/>
        <v>1768</v>
      </c>
      <c r="W123">
        <f t="shared" si="19"/>
        <v>1320</v>
      </c>
      <c r="X123">
        <f t="shared" si="20"/>
        <v>690</v>
      </c>
      <c r="Y123">
        <f t="shared" si="21"/>
        <v>266</v>
      </c>
      <c r="Z123">
        <f t="shared" si="22"/>
        <v>1569</v>
      </c>
      <c r="AA123">
        <f t="shared" si="23"/>
        <v>506</v>
      </c>
      <c r="AB123">
        <f t="shared" si="24"/>
        <v>303</v>
      </c>
      <c r="AC123">
        <f t="shared" si="25"/>
        <v>335</v>
      </c>
      <c r="AD123">
        <f t="shared" si="26"/>
        <v>201</v>
      </c>
      <c r="AE123">
        <f t="shared" si="27"/>
        <v>1514</v>
      </c>
      <c r="AF123">
        <f t="shared" si="28"/>
        <v>223</v>
      </c>
      <c r="AG123">
        <f t="shared" si="29"/>
        <v>782</v>
      </c>
      <c r="AH123">
        <f t="shared" si="30"/>
        <v>283</v>
      </c>
      <c r="AI123">
        <f t="shared" si="31"/>
        <v>1316</v>
      </c>
      <c r="AJ123">
        <f t="shared" si="32"/>
        <v>476</v>
      </c>
      <c r="AK123">
        <f t="shared" si="32"/>
        <v>702</v>
      </c>
    </row>
    <row r="124" spans="1:37" x14ac:dyDescent="0.25">
      <c r="A124" s="4">
        <v>2009</v>
      </c>
      <c r="B124" s="4" t="s">
        <v>25</v>
      </c>
      <c r="C124" s="5">
        <v>100</v>
      </c>
      <c r="D124" s="5">
        <v>1601</v>
      </c>
      <c r="E124" s="5">
        <v>1377</v>
      </c>
      <c r="F124" s="5">
        <v>632</v>
      </c>
      <c r="G124" s="5">
        <v>271</v>
      </c>
      <c r="H124" s="5">
        <v>1592</v>
      </c>
      <c r="I124" s="5">
        <v>499</v>
      </c>
      <c r="J124" s="5">
        <v>347</v>
      </c>
      <c r="K124" s="5">
        <v>355</v>
      </c>
      <c r="L124" s="5">
        <v>159</v>
      </c>
      <c r="M124" s="5">
        <v>1580</v>
      </c>
      <c r="N124" s="5">
        <v>397</v>
      </c>
      <c r="O124" s="5">
        <v>870</v>
      </c>
      <c r="P124" s="5">
        <v>310</v>
      </c>
      <c r="Q124" s="5">
        <v>1378</v>
      </c>
      <c r="R124" s="5">
        <v>557</v>
      </c>
      <c r="S124" s="5">
        <v>991</v>
      </c>
      <c r="T124" s="19"/>
      <c r="U124">
        <f t="shared" si="17"/>
        <v>100</v>
      </c>
      <c r="V124">
        <f t="shared" si="18"/>
        <v>1601</v>
      </c>
      <c r="W124">
        <f t="shared" si="19"/>
        <v>1377</v>
      </c>
      <c r="X124">
        <f t="shared" si="20"/>
        <v>632</v>
      </c>
      <c r="Y124">
        <f t="shared" si="21"/>
        <v>271</v>
      </c>
      <c r="Z124">
        <f t="shared" si="22"/>
        <v>1592</v>
      </c>
      <c r="AA124">
        <f t="shared" si="23"/>
        <v>499</v>
      </c>
      <c r="AB124">
        <f t="shared" si="24"/>
        <v>347</v>
      </c>
      <c r="AC124">
        <f t="shared" si="25"/>
        <v>355</v>
      </c>
      <c r="AD124">
        <f t="shared" si="26"/>
        <v>159</v>
      </c>
      <c r="AE124">
        <f t="shared" si="27"/>
        <v>1580</v>
      </c>
      <c r="AF124">
        <f t="shared" si="28"/>
        <v>397</v>
      </c>
      <c r="AG124">
        <f t="shared" si="29"/>
        <v>870</v>
      </c>
      <c r="AH124">
        <f t="shared" si="30"/>
        <v>310</v>
      </c>
      <c r="AI124">
        <f t="shared" si="31"/>
        <v>1378</v>
      </c>
      <c r="AJ124">
        <f t="shared" si="32"/>
        <v>557</v>
      </c>
      <c r="AK124">
        <f t="shared" si="32"/>
        <v>991</v>
      </c>
    </row>
    <row r="125" spans="1:37" x14ac:dyDescent="0.25">
      <c r="A125" s="4">
        <v>2009</v>
      </c>
      <c r="B125" s="4" t="s">
        <v>26</v>
      </c>
      <c r="C125" s="5">
        <v>95</v>
      </c>
      <c r="D125" s="5">
        <v>1687</v>
      </c>
      <c r="E125" s="5">
        <v>1379</v>
      </c>
      <c r="F125" s="5">
        <v>609</v>
      </c>
      <c r="G125" s="5">
        <v>317</v>
      </c>
      <c r="H125" s="5">
        <v>1538</v>
      </c>
      <c r="I125" s="5">
        <v>511</v>
      </c>
      <c r="J125" s="5">
        <v>373</v>
      </c>
      <c r="K125" s="5">
        <v>389</v>
      </c>
      <c r="L125" s="5">
        <v>181</v>
      </c>
      <c r="M125" s="5">
        <v>1531</v>
      </c>
      <c r="N125" s="5">
        <v>387</v>
      </c>
      <c r="O125" s="5">
        <v>882</v>
      </c>
      <c r="P125" s="5">
        <v>273</v>
      </c>
      <c r="Q125" s="5">
        <v>1327</v>
      </c>
      <c r="R125" s="5">
        <v>490</v>
      </c>
      <c r="S125" s="5">
        <v>1129</v>
      </c>
      <c r="T125" s="19"/>
      <c r="U125">
        <f t="shared" si="17"/>
        <v>95</v>
      </c>
      <c r="V125">
        <f t="shared" si="18"/>
        <v>1687</v>
      </c>
      <c r="W125">
        <f t="shared" si="19"/>
        <v>1379</v>
      </c>
      <c r="X125">
        <f t="shared" si="20"/>
        <v>609</v>
      </c>
      <c r="Y125">
        <f t="shared" si="21"/>
        <v>317</v>
      </c>
      <c r="Z125">
        <f t="shared" si="22"/>
        <v>1538</v>
      </c>
      <c r="AA125">
        <f t="shared" si="23"/>
        <v>511</v>
      </c>
      <c r="AB125">
        <f t="shared" si="24"/>
        <v>373</v>
      </c>
      <c r="AC125">
        <f t="shared" si="25"/>
        <v>389</v>
      </c>
      <c r="AD125">
        <f t="shared" si="26"/>
        <v>181</v>
      </c>
      <c r="AE125">
        <f t="shared" si="27"/>
        <v>1531</v>
      </c>
      <c r="AF125">
        <f t="shared" si="28"/>
        <v>387</v>
      </c>
      <c r="AG125">
        <f t="shared" si="29"/>
        <v>882</v>
      </c>
      <c r="AH125">
        <f t="shared" si="30"/>
        <v>273</v>
      </c>
      <c r="AI125">
        <f t="shared" si="31"/>
        <v>1327</v>
      </c>
      <c r="AJ125">
        <f t="shared" si="32"/>
        <v>490</v>
      </c>
      <c r="AK125">
        <f t="shared" si="32"/>
        <v>1129</v>
      </c>
    </row>
    <row r="126" spans="1:37" x14ac:dyDescent="0.25">
      <c r="A126" s="4">
        <v>2009</v>
      </c>
      <c r="B126" s="4" t="s">
        <v>27</v>
      </c>
      <c r="C126" s="5">
        <v>93</v>
      </c>
      <c r="D126" s="5">
        <v>1542</v>
      </c>
      <c r="E126" s="5">
        <v>1297</v>
      </c>
      <c r="F126" s="5">
        <v>569</v>
      </c>
      <c r="G126" s="5">
        <v>277</v>
      </c>
      <c r="H126" s="5">
        <v>1517</v>
      </c>
      <c r="I126" s="5">
        <v>547</v>
      </c>
      <c r="J126" s="5">
        <v>358</v>
      </c>
      <c r="K126" s="5">
        <v>405</v>
      </c>
      <c r="L126" s="5">
        <v>161</v>
      </c>
      <c r="M126" s="5">
        <v>1560</v>
      </c>
      <c r="N126" s="5">
        <v>378</v>
      </c>
      <c r="O126" s="5">
        <v>861</v>
      </c>
      <c r="P126" s="5">
        <v>269</v>
      </c>
      <c r="Q126" s="5">
        <v>1368</v>
      </c>
      <c r="R126" s="5">
        <v>528</v>
      </c>
      <c r="S126" s="5">
        <v>1118</v>
      </c>
      <c r="T126" s="19"/>
      <c r="U126">
        <f t="shared" si="17"/>
        <v>93</v>
      </c>
      <c r="V126">
        <f t="shared" si="18"/>
        <v>1542</v>
      </c>
      <c r="W126">
        <f t="shared" si="19"/>
        <v>1297</v>
      </c>
      <c r="X126">
        <f t="shared" si="20"/>
        <v>569</v>
      </c>
      <c r="Y126">
        <f t="shared" si="21"/>
        <v>277</v>
      </c>
      <c r="Z126">
        <f t="shared" si="22"/>
        <v>1517</v>
      </c>
      <c r="AA126">
        <f t="shared" si="23"/>
        <v>547</v>
      </c>
      <c r="AB126">
        <f t="shared" si="24"/>
        <v>358</v>
      </c>
      <c r="AC126">
        <f t="shared" si="25"/>
        <v>405</v>
      </c>
      <c r="AD126">
        <f t="shared" si="26"/>
        <v>161</v>
      </c>
      <c r="AE126">
        <f t="shared" si="27"/>
        <v>1560</v>
      </c>
      <c r="AF126">
        <f t="shared" si="28"/>
        <v>378</v>
      </c>
      <c r="AG126">
        <f t="shared" si="29"/>
        <v>861</v>
      </c>
      <c r="AH126">
        <f t="shared" si="30"/>
        <v>269</v>
      </c>
      <c r="AI126">
        <f t="shared" si="31"/>
        <v>1368</v>
      </c>
      <c r="AJ126">
        <f t="shared" si="32"/>
        <v>528</v>
      </c>
      <c r="AK126">
        <f t="shared" si="32"/>
        <v>1118</v>
      </c>
    </row>
    <row r="127" spans="1:37" x14ac:dyDescent="0.25">
      <c r="A127" s="4">
        <v>2009</v>
      </c>
      <c r="B127" s="4" t="s">
        <v>28</v>
      </c>
      <c r="C127" s="5">
        <v>76</v>
      </c>
      <c r="D127" s="5">
        <v>1594</v>
      </c>
      <c r="E127" s="5">
        <v>1280</v>
      </c>
      <c r="F127" s="5">
        <v>596</v>
      </c>
      <c r="G127" s="5">
        <v>290</v>
      </c>
      <c r="H127" s="5">
        <v>1519</v>
      </c>
      <c r="I127" s="5">
        <v>538</v>
      </c>
      <c r="J127" s="5">
        <v>362</v>
      </c>
      <c r="K127" s="5">
        <v>454</v>
      </c>
      <c r="L127" s="5">
        <v>203</v>
      </c>
      <c r="M127" s="5">
        <v>1596</v>
      </c>
      <c r="N127" s="5">
        <v>340</v>
      </c>
      <c r="O127" s="5">
        <v>916</v>
      </c>
      <c r="P127" s="5">
        <v>254</v>
      </c>
      <c r="Q127" s="5">
        <v>1215</v>
      </c>
      <c r="R127" s="5">
        <v>462</v>
      </c>
      <c r="S127" s="5">
        <v>928</v>
      </c>
      <c r="T127" s="19"/>
      <c r="U127">
        <f t="shared" si="17"/>
        <v>76</v>
      </c>
      <c r="V127">
        <f t="shared" si="18"/>
        <v>1594</v>
      </c>
      <c r="W127">
        <f t="shared" si="19"/>
        <v>1280</v>
      </c>
      <c r="X127">
        <f t="shared" si="20"/>
        <v>596</v>
      </c>
      <c r="Y127">
        <f t="shared" si="21"/>
        <v>290</v>
      </c>
      <c r="Z127">
        <f t="shared" si="22"/>
        <v>1519</v>
      </c>
      <c r="AA127">
        <f t="shared" si="23"/>
        <v>538</v>
      </c>
      <c r="AB127">
        <f t="shared" si="24"/>
        <v>362</v>
      </c>
      <c r="AC127">
        <f t="shared" si="25"/>
        <v>454</v>
      </c>
      <c r="AD127">
        <f t="shared" si="26"/>
        <v>203</v>
      </c>
      <c r="AE127">
        <f t="shared" si="27"/>
        <v>1596</v>
      </c>
      <c r="AF127">
        <f t="shared" si="28"/>
        <v>340</v>
      </c>
      <c r="AG127">
        <f t="shared" si="29"/>
        <v>916</v>
      </c>
      <c r="AH127">
        <f t="shared" si="30"/>
        <v>254</v>
      </c>
      <c r="AI127">
        <f t="shared" si="31"/>
        <v>1215</v>
      </c>
      <c r="AJ127">
        <f t="shared" si="32"/>
        <v>462</v>
      </c>
      <c r="AK127">
        <f t="shared" si="32"/>
        <v>928</v>
      </c>
    </row>
    <row r="128" spans="1:37" x14ac:dyDescent="0.25">
      <c r="A128" s="4">
        <v>2009</v>
      </c>
      <c r="B128" s="4" t="s">
        <v>29</v>
      </c>
      <c r="C128" s="5">
        <v>84</v>
      </c>
      <c r="D128" s="5">
        <v>1744</v>
      </c>
      <c r="E128" s="5">
        <v>1265</v>
      </c>
      <c r="F128" s="5">
        <v>618</v>
      </c>
      <c r="G128" s="5">
        <v>278</v>
      </c>
      <c r="H128" s="5">
        <v>1641</v>
      </c>
      <c r="I128" s="5">
        <v>480</v>
      </c>
      <c r="J128" s="5">
        <v>261</v>
      </c>
      <c r="K128" s="5">
        <v>424</v>
      </c>
      <c r="L128" s="5">
        <v>222</v>
      </c>
      <c r="M128" s="5">
        <v>1488</v>
      </c>
      <c r="N128" s="5">
        <v>306</v>
      </c>
      <c r="O128" s="5">
        <v>974</v>
      </c>
      <c r="P128" s="5">
        <v>302</v>
      </c>
      <c r="Q128" s="5">
        <v>1302</v>
      </c>
      <c r="R128" s="5">
        <v>541</v>
      </c>
      <c r="S128" s="5">
        <v>785</v>
      </c>
      <c r="T128" s="19"/>
      <c r="U128">
        <f t="shared" si="17"/>
        <v>84</v>
      </c>
      <c r="V128">
        <f t="shared" si="18"/>
        <v>1744</v>
      </c>
      <c r="W128">
        <f t="shared" si="19"/>
        <v>1265</v>
      </c>
      <c r="X128">
        <f t="shared" si="20"/>
        <v>618</v>
      </c>
      <c r="Y128">
        <f t="shared" si="21"/>
        <v>278</v>
      </c>
      <c r="Z128">
        <f t="shared" si="22"/>
        <v>1641</v>
      </c>
      <c r="AA128">
        <f t="shared" si="23"/>
        <v>480</v>
      </c>
      <c r="AB128">
        <f t="shared" si="24"/>
        <v>261</v>
      </c>
      <c r="AC128">
        <f t="shared" si="25"/>
        <v>424</v>
      </c>
      <c r="AD128">
        <f t="shared" si="26"/>
        <v>222</v>
      </c>
      <c r="AE128">
        <f t="shared" si="27"/>
        <v>1488</v>
      </c>
      <c r="AF128">
        <f t="shared" si="28"/>
        <v>306</v>
      </c>
      <c r="AG128">
        <f t="shared" si="29"/>
        <v>974</v>
      </c>
      <c r="AH128">
        <f t="shared" si="30"/>
        <v>302</v>
      </c>
      <c r="AI128">
        <f t="shared" si="31"/>
        <v>1302</v>
      </c>
      <c r="AJ128">
        <f t="shared" si="32"/>
        <v>541</v>
      </c>
      <c r="AK128">
        <f t="shared" si="32"/>
        <v>785</v>
      </c>
    </row>
    <row r="129" spans="1:37" x14ac:dyDescent="0.25">
      <c r="A129" s="4">
        <v>2009</v>
      </c>
      <c r="B129" s="4" t="s">
        <v>30</v>
      </c>
      <c r="C129" s="5">
        <v>96</v>
      </c>
      <c r="D129" s="5">
        <v>1780</v>
      </c>
      <c r="E129" s="5">
        <v>1219</v>
      </c>
      <c r="F129" s="5">
        <v>663</v>
      </c>
      <c r="G129" s="5">
        <v>291</v>
      </c>
      <c r="H129" s="5">
        <v>1588</v>
      </c>
      <c r="I129" s="5">
        <v>493</v>
      </c>
      <c r="J129" s="5">
        <v>243</v>
      </c>
      <c r="K129" s="5">
        <v>411</v>
      </c>
      <c r="L129" s="5">
        <v>208</v>
      </c>
      <c r="M129" s="5">
        <v>1514</v>
      </c>
      <c r="N129" s="5">
        <v>269</v>
      </c>
      <c r="O129" s="5">
        <v>899</v>
      </c>
      <c r="P129" s="5">
        <v>341</v>
      </c>
      <c r="Q129" s="5">
        <v>1183</v>
      </c>
      <c r="R129" s="5">
        <v>491</v>
      </c>
      <c r="S129" s="5">
        <v>748</v>
      </c>
      <c r="T129" s="19"/>
      <c r="U129">
        <f t="shared" si="17"/>
        <v>96</v>
      </c>
      <c r="V129">
        <f t="shared" si="18"/>
        <v>1780</v>
      </c>
      <c r="W129">
        <f t="shared" si="19"/>
        <v>1219</v>
      </c>
      <c r="X129">
        <f t="shared" si="20"/>
        <v>663</v>
      </c>
      <c r="Y129">
        <f t="shared" si="21"/>
        <v>291</v>
      </c>
      <c r="Z129">
        <f t="shared" si="22"/>
        <v>1588</v>
      </c>
      <c r="AA129">
        <f t="shared" si="23"/>
        <v>493</v>
      </c>
      <c r="AB129">
        <f t="shared" si="24"/>
        <v>243</v>
      </c>
      <c r="AC129">
        <f t="shared" si="25"/>
        <v>411</v>
      </c>
      <c r="AD129">
        <f t="shared" si="26"/>
        <v>208</v>
      </c>
      <c r="AE129">
        <f t="shared" si="27"/>
        <v>1514</v>
      </c>
      <c r="AF129">
        <f t="shared" si="28"/>
        <v>269</v>
      </c>
      <c r="AG129">
        <f t="shared" si="29"/>
        <v>899</v>
      </c>
      <c r="AH129">
        <f t="shared" si="30"/>
        <v>341</v>
      </c>
      <c r="AI129">
        <f t="shared" si="31"/>
        <v>1183</v>
      </c>
      <c r="AJ129">
        <f t="shared" si="32"/>
        <v>491</v>
      </c>
      <c r="AK129">
        <f t="shared" si="32"/>
        <v>748</v>
      </c>
    </row>
    <row r="130" spans="1:37" x14ac:dyDescent="0.25">
      <c r="A130" s="4">
        <v>2009</v>
      </c>
      <c r="B130" s="4" t="s">
        <v>19</v>
      </c>
      <c r="C130" s="5">
        <v>89</v>
      </c>
      <c r="D130" s="5">
        <v>2044</v>
      </c>
      <c r="E130" s="5">
        <v>1245</v>
      </c>
      <c r="F130" s="5">
        <v>502</v>
      </c>
      <c r="G130" s="5">
        <v>307</v>
      </c>
      <c r="H130" s="5">
        <v>1544</v>
      </c>
      <c r="I130" s="5">
        <v>539</v>
      </c>
      <c r="J130" s="5">
        <v>256</v>
      </c>
      <c r="K130" s="5">
        <v>430</v>
      </c>
      <c r="L130" s="5">
        <v>235</v>
      </c>
      <c r="M130" s="5">
        <v>1486</v>
      </c>
      <c r="N130" s="5">
        <v>253</v>
      </c>
      <c r="O130" s="5">
        <v>930</v>
      </c>
      <c r="P130" s="5">
        <v>321</v>
      </c>
      <c r="Q130" s="5">
        <v>1303</v>
      </c>
      <c r="R130" s="5">
        <v>513</v>
      </c>
      <c r="S130" s="5">
        <v>797</v>
      </c>
      <c r="T130" s="19"/>
      <c r="U130">
        <f t="shared" si="17"/>
        <v>89</v>
      </c>
      <c r="V130">
        <f t="shared" si="18"/>
        <v>2044</v>
      </c>
      <c r="W130">
        <f t="shared" si="19"/>
        <v>1245</v>
      </c>
      <c r="X130">
        <f t="shared" si="20"/>
        <v>502</v>
      </c>
      <c r="Y130">
        <f t="shared" si="21"/>
        <v>307</v>
      </c>
      <c r="Z130">
        <f t="shared" si="22"/>
        <v>1544</v>
      </c>
      <c r="AA130">
        <f t="shared" si="23"/>
        <v>539</v>
      </c>
      <c r="AB130">
        <f t="shared" si="24"/>
        <v>256</v>
      </c>
      <c r="AC130">
        <f t="shared" si="25"/>
        <v>430</v>
      </c>
      <c r="AD130">
        <f t="shared" si="26"/>
        <v>235</v>
      </c>
      <c r="AE130">
        <f t="shared" si="27"/>
        <v>1486</v>
      </c>
      <c r="AF130">
        <f t="shared" si="28"/>
        <v>253</v>
      </c>
      <c r="AG130">
        <f t="shared" si="29"/>
        <v>930</v>
      </c>
      <c r="AH130">
        <f t="shared" si="30"/>
        <v>321</v>
      </c>
      <c r="AI130">
        <f t="shared" si="31"/>
        <v>1303</v>
      </c>
      <c r="AJ130">
        <f t="shared" si="32"/>
        <v>513</v>
      </c>
      <c r="AK130">
        <f t="shared" si="32"/>
        <v>797</v>
      </c>
    </row>
    <row r="131" spans="1:37" x14ac:dyDescent="0.25">
      <c r="A131" s="4">
        <v>2009</v>
      </c>
      <c r="B131" s="4" t="s">
        <v>96</v>
      </c>
      <c r="C131" s="5">
        <v>90</v>
      </c>
      <c r="D131" s="5">
        <v>1770</v>
      </c>
      <c r="E131" s="5">
        <v>1279</v>
      </c>
      <c r="F131" s="5">
        <v>611</v>
      </c>
      <c r="G131" s="5">
        <v>280</v>
      </c>
      <c r="H131" s="5">
        <v>1564</v>
      </c>
      <c r="I131" s="5">
        <v>525</v>
      </c>
      <c r="J131" s="5">
        <v>294</v>
      </c>
      <c r="K131" s="5">
        <v>395</v>
      </c>
      <c r="L131" s="5">
        <v>203</v>
      </c>
      <c r="M131" s="5">
        <v>1522</v>
      </c>
      <c r="N131" s="5">
        <v>274</v>
      </c>
      <c r="O131" s="5">
        <v>826</v>
      </c>
      <c r="P131" s="5">
        <v>279</v>
      </c>
      <c r="Q131" s="5">
        <v>1263</v>
      </c>
      <c r="R131" s="5">
        <v>477</v>
      </c>
      <c r="S131" s="5">
        <v>799</v>
      </c>
      <c r="T131" s="19"/>
      <c r="U131" t="str">
        <f t="shared" ref="U131:U180" si="33">IF($B131="M13","",C131)</f>
        <v/>
      </c>
      <c r="V131" t="str">
        <f t="shared" ref="V131:V180" si="34">IF($B131="M13","",D131)</f>
        <v/>
      </c>
      <c r="W131" t="str">
        <f t="shared" ref="W131:W180" si="35">IF($B131="M13","",E131)</f>
        <v/>
      </c>
      <c r="X131" t="str">
        <f t="shared" ref="X131:X180" si="36">IF($B131="M13","",F131)</f>
        <v/>
      </c>
      <c r="Y131" t="str">
        <f t="shared" ref="Y131:Y180" si="37">IF($B131="M13","",G131)</f>
        <v/>
      </c>
      <c r="Z131" t="str">
        <f t="shared" ref="Z131:Z180" si="38">IF($B131="M13","",H131)</f>
        <v/>
      </c>
      <c r="AA131" t="str">
        <f t="shared" ref="AA131:AA180" si="39">IF($B131="M13","",I131)</f>
        <v/>
      </c>
      <c r="AB131" t="str">
        <f t="shared" ref="AB131:AB180" si="40">IF($B131="M13","",J131)</f>
        <v/>
      </c>
      <c r="AC131" t="str">
        <f t="shared" ref="AC131:AC180" si="41">IF($B131="M13","",K131)</f>
        <v/>
      </c>
      <c r="AD131" t="str">
        <f t="shared" ref="AD131:AD180" si="42">IF($B131="M13","",L131)</f>
        <v/>
      </c>
      <c r="AE131" t="str">
        <f t="shared" ref="AE131:AE180" si="43">IF($B131="M13","",M131)</f>
        <v/>
      </c>
      <c r="AF131" t="str">
        <f t="shared" ref="AF131:AF180" si="44">IF($B131="M13","",N131)</f>
        <v/>
      </c>
      <c r="AG131" t="str">
        <f t="shared" ref="AG131:AG180" si="45">IF($B131="M13","",O131)</f>
        <v/>
      </c>
      <c r="AH131" t="str">
        <f t="shared" ref="AH131:AH180" si="46">IF($B131="M13","",P131)</f>
        <v/>
      </c>
      <c r="AI131" t="str">
        <f t="shared" ref="AI131:AI180" si="47">IF($B131="M13","",Q131)</f>
        <v/>
      </c>
      <c r="AJ131" t="str">
        <f t="shared" ref="AJ131:AK180" si="48">IF($B131="M13","",R131)</f>
        <v/>
      </c>
      <c r="AK131" t="str">
        <f t="shared" si="48"/>
        <v/>
      </c>
    </row>
    <row r="132" spans="1:37" x14ac:dyDescent="0.25">
      <c r="A132" s="4">
        <v>2010</v>
      </c>
      <c r="B132" s="4" t="s">
        <v>20</v>
      </c>
      <c r="C132" s="5">
        <v>68</v>
      </c>
      <c r="D132" s="5">
        <v>2194</v>
      </c>
      <c r="E132" s="5">
        <v>1318</v>
      </c>
      <c r="F132" s="5">
        <v>600</v>
      </c>
      <c r="G132" s="5">
        <v>339</v>
      </c>
      <c r="H132" s="5">
        <v>1815</v>
      </c>
      <c r="I132" s="5">
        <v>657</v>
      </c>
      <c r="J132" s="5">
        <v>313</v>
      </c>
      <c r="K132" s="5">
        <v>420</v>
      </c>
      <c r="L132" s="5">
        <v>203</v>
      </c>
      <c r="M132" s="5">
        <v>1614</v>
      </c>
      <c r="N132" s="5">
        <v>256</v>
      </c>
      <c r="O132" s="5">
        <v>919</v>
      </c>
      <c r="P132" s="5">
        <v>370</v>
      </c>
      <c r="Q132" s="5">
        <v>1434</v>
      </c>
      <c r="R132" s="5">
        <v>609</v>
      </c>
      <c r="S132" s="5">
        <v>948</v>
      </c>
      <c r="T132" s="19"/>
      <c r="U132">
        <f t="shared" si="33"/>
        <v>68</v>
      </c>
      <c r="V132">
        <f t="shared" si="34"/>
        <v>2194</v>
      </c>
      <c r="W132">
        <f t="shared" si="35"/>
        <v>1318</v>
      </c>
      <c r="X132">
        <f t="shared" si="36"/>
        <v>600</v>
      </c>
      <c r="Y132">
        <f t="shared" si="37"/>
        <v>339</v>
      </c>
      <c r="Z132">
        <f t="shared" si="38"/>
        <v>1815</v>
      </c>
      <c r="AA132">
        <f t="shared" si="39"/>
        <v>657</v>
      </c>
      <c r="AB132">
        <f t="shared" si="40"/>
        <v>313</v>
      </c>
      <c r="AC132">
        <f t="shared" si="41"/>
        <v>420</v>
      </c>
      <c r="AD132">
        <f t="shared" si="42"/>
        <v>203</v>
      </c>
      <c r="AE132">
        <f t="shared" si="43"/>
        <v>1614</v>
      </c>
      <c r="AF132">
        <f t="shared" si="44"/>
        <v>256</v>
      </c>
      <c r="AG132">
        <f t="shared" si="45"/>
        <v>919</v>
      </c>
      <c r="AH132">
        <f t="shared" si="46"/>
        <v>370</v>
      </c>
      <c r="AI132">
        <f t="shared" si="47"/>
        <v>1434</v>
      </c>
      <c r="AJ132">
        <f t="shared" si="48"/>
        <v>609</v>
      </c>
      <c r="AK132">
        <f t="shared" si="48"/>
        <v>948</v>
      </c>
    </row>
    <row r="133" spans="1:37" x14ac:dyDescent="0.25">
      <c r="A133" s="4">
        <v>2010</v>
      </c>
      <c r="B133" s="4" t="s">
        <v>21</v>
      </c>
      <c r="C133" s="5">
        <v>79</v>
      </c>
      <c r="D133" s="5">
        <v>2440</v>
      </c>
      <c r="E133" s="5">
        <v>1276</v>
      </c>
      <c r="F133" s="5">
        <v>538</v>
      </c>
      <c r="G133" s="5">
        <v>294</v>
      </c>
      <c r="H133" s="5">
        <v>1776</v>
      </c>
      <c r="I133" s="5">
        <v>591</v>
      </c>
      <c r="J133" s="5">
        <v>300</v>
      </c>
      <c r="K133" s="5">
        <v>532</v>
      </c>
      <c r="L133" s="5">
        <v>176</v>
      </c>
      <c r="M133" s="5">
        <v>1740</v>
      </c>
      <c r="N133" s="5">
        <v>229</v>
      </c>
      <c r="O133" s="5">
        <v>971</v>
      </c>
      <c r="P133" s="5">
        <v>280</v>
      </c>
      <c r="Q133" s="5">
        <v>1318</v>
      </c>
      <c r="R133" s="5">
        <v>603</v>
      </c>
      <c r="S133" s="5">
        <v>880</v>
      </c>
      <c r="T133" s="19"/>
      <c r="U133">
        <f t="shared" si="33"/>
        <v>79</v>
      </c>
      <c r="V133">
        <f t="shared" si="34"/>
        <v>2440</v>
      </c>
      <c r="W133">
        <f t="shared" si="35"/>
        <v>1276</v>
      </c>
      <c r="X133">
        <f t="shared" si="36"/>
        <v>538</v>
      </c>
      <c r="Y133">
        <f t="shared" si="37"/>
        <v>294</v>
      </c>
      <c r="Z133">
        <f t="shared" si="38"/>
        <v>1776</v>
      </c>
      <c r="AA133">
        <f t="shared" si="39"/>
        <v>591</v>
      </c>
      <c r="AB133">
        <f t="shared" si="40"/>
        <v>300</v>
      </c>
      <c r="AC133">
        <f t="shared" si="41"/>
        <v>532</v>
      </c>
      <c r="AD133">
        <f t="shared" si="42"/>
        <v>176</v>
      </c>
      <c r="AE133">
        <f t="shared" si="43"/>
        <v>1740</v>
      </c>
      <c r="AF133">
        <f t="shared" si="44"/>
        <v>229</v>
      </c>
      <c r="AG133">
        <f t="shared" si="45"/>
        <v>971</v>
      </c>
      <c r="AH133">
        <f t="shared" si="46"/>
        <v>280</v>
      </c>
      <c r="AI133">
        <f t="shared" si="47"/>
        <v>1318</v>
      </c>
      <c r="AJ133">
        <f t="shared" si="48"/>
        <v>603</v>
      </c>
      <c r="AK133">
        <f t="shared" si="48"/>
        <v>880</v>
      </c>
    </row>
    <row r="134" spans="1:37" x14ac:dyDescent="0.25">
      <c r="A134" s="4">
        <v>2010</v>
      </c>
      <c r="B134" s="4" t="s">
        <v>22</v>
      </c>
      <c r="C134" s="5">
        <v>73</v>
      </c>
      <c r="D134" s="5">
        <v>2251</v>
      </c>
      <c r="E134" s="5">
        <v>1289</v>
      </c>
      <c r="F134" s="5">
        <v>608</v>
      </c>
      <c r="G134" s="5">
        <v>303</v>
      </c>
      <c r="H134" s="5">
        <v>1794</v>
      </c>
      <c r="I134" s="5">
        <v>569</v>
      </c>
      <c r="J134" s="5">
        <v>322</v>
      </c>
      <c r="K134" s="5">
        <v>522</v>
      </c>
      <c r="L134" s="5">
        <v>196</v>
      </c>
      <c r="M134" s="5">
        <v>1785</v>
      </c>
      <c r="N134" s="5">
        <v>217</v>
      </c>
      <c r="O134" s="5">
        <v>884</v>
      </c>
      <c r="P134" s="5">
        <v>282</v>
      </c>
      <c r="Q134" s="5">
        <v>1289</v>
      </c>
      <c r="R134" s="5">
        <v>517</v>
      </c>
      <c r="S134" s="5">
        <v>881</v>
      </c>
      <c r="T134" s="19"/>
      <c r="U134">
        <f t="shared" si="33"/>
        <v>73</v>
      </c>
      <c r="V134">
        <f t="shared" si="34"/>
        <v>2251</v>
      </c>
      <c r="W134">
        <f t="shared" si="35"/>
        <v>1289</v>
      </c>
      <c r="X134">
        <f t="shared" si="36"/>
        <v>608</v>
      </c>
      <c r="Y134">
        <f t="shared" si="37"/>
        <v>303</v>
      </c>
      <c r="Z134">
        <f t="shared" si="38"/>
        <v>1794</v>
      </c>
      <c r="AA134">
        <f t="shared" si="39"/>
        <v>569</v>
      </c>
      <c r="AB134">
        <f t="shared" si="40"/>
        <v>322</v>
      </c>
      <c r="AC134">
        <f t="shared" si="41"/>
        <v>522</v>
      </c>
      <c r="AD134">
        <f t="shared" si="42"/>
        <v>196</v>
      </c>
      <c r="AE134">
        <f t="shared" si="43"/>
        <v>1785</v>
      </c>
      <c r="AF134">
        <f t="shared" si="44"/>
        <v>217</v>
      </c>
      <c r="AG134">
        <f t="shared" si="45"/>
        <v>884</v>
      </c>
      <c r="AH134">
        <f t="shared" si="46"/>
        <v>282</v>
      </c>
      <c r="AI134">
        <f t="shared" si="47"/>
        <v>1289</v>
      </c>
      <c r="AJ134">
        <f t="shared" si="48"/>
        <v>517</v>
      </c>
      <c r="AK134">
        <f t="shared" si="48"/>
        <v>881</v>
      </c>
    </row>
    <row r="135" spans="1:37" x14ac:dyDescent="0.25">
      <c r="A135" s="4">
        <v>2010</v>
      </c>
      <c r="B135" s="4" t="s">
        <v>23</v>
      </c>
      <c r="C135" s="5">
        <v>69</v>
      </c>
      <c r="D135" s="5">
        <v>1919</v>
      </c>
      <c r="E135" s="5">
        <v>1100</v>
      </c>
      <c r="F135" s="5">
        <v>588</v>
      </c>
      <c r="G135" s="5">
        <v>299</v>
      </c>
      <c r="H135" s="5">
        <v>1668</v>
      </c>
      <c r="I135" s="5">
        <v>530</v>
      </c>
      <c r="J135" s="5">
        <v>302</v>
      </c>
      <c r="K135" s="5">
        <v>499</v>
      </c>
      <c r="L135" s="5">
        <v>209</v>
      </c>
      <c r="M135" s="5">
        <v>1586</v>
      </c>
      <c r="N135" s="5">
        <v>187</v>
      </c>
      <c r="O135" s="5">
        <v>863</v>
      </c>
      <c r="P135" s="5">
        <v>278</v>
      </c>
      <c r="Q135" s="5">
        <v>1355</v>
      </c>
      <c r="R135" s="5">
        <v>515</v>
      </c>
      <c r="S135" s="5">
        <v>769</v>
      </c>
      <c r="T135" s="19"/>
      <c r="U135">
        <f t="shared" si="33"/>
        <v>69</v>
      </c>
      <c r="V135">
        <f t="shared" si="34"/>
        <v>1919</v>
      </c>
      <c r="W135">
        <f t="shared" si="35"/>
        <v>1100</v>
      </c>
      <c r="X135">
        <f t="shared" si="36"/>
        <v>588</v>
      </c>
      <c r="Y135">
        <f t="shared" si="37"/>
        <v>299</v>
      </c>
      <c r="Z135">
        <f t="shared" si="38"/>
        <v>1668</v>
      </c>
      <c r="AA135">
        <f t="shared" si="39"/>
        <v>530</v>
      </c>
      <c r="AB135">
        <f t="shared" si="40"/>
        <v>302</v>
      </c>
      <c r="AC135">
        <f t="shared" si="41"/>
        <v>499</v>
      </c>
      <c r="AD135">
        <f t="shared" si="42"/>
        <v>209</v>
      </c>
      <c r="AE135">
        <f t="shared" si="43"/>
        <v>1586</v>
      </c>
      <c r="AF135">
        <f t="shared" si="44"/>
        <v>187</v>
      </c>
      <c r="AG135">
        <f t="shared" si="45"/>
        <v>863</v>
      </c>
      <c r="AH135">
        <f t="shared" si="46"/>
        <v>278</v>
      </c>
      <c r="AI135">
        <f t="shared" si="47"/>
        <v>1355</v>
      </c>
      <c r="AJ135">
        <f t="shared" si="48"/>
        <v>515</v>
      </c>
      <c r="AK135">
        <f t="shared" si="48"/>
        <v>769</v>
      </c>
    </row>
    <row r="136" spans="1:37" x14ac:dyDescent="0.25">
      <c r="A136" s="4">
        <v>2010</v>
      </c>
      <c r="B136" s="4" t="s">
        <v>24</v>
      </c>
      <c r="C136" s="5">
        <v>46</v>
      </c>
      <c r="D136" s="5">
        <v>1755</v>
      </c>
      <c r="E136" s="5">
        <v>1028</v>
      </c>
      <c r="F136" s="5">
        <v>556</v>
      </c>
      <c r="G136" s="5">
        <v>289</v>
      </c>
      <c r="H136" s="5">
        <v>1709</v>
      </c>
      <c r="I136" s="5">
        <v>461</v>
      </c>
      <c r="J136" s="5">
        <v>319</v>
      </c>
      <c r="K136" s="5">
        <v>451</v>
      </c>
      <c r="L136" s="5">
        <v>167</v>
      </c>
      <c r="M136" s="5">
        <v>1624</v>
      </c>
      <c r="N136" s="5">
        <v>247</v>
      </c>
      <c r="O136" s="5">
        <v>903</v>
      </c>
      <c r="P136" s="5">
        <v>256</v>
      </c>
      <c r="Q136" s="5">
        <v>1345</v>
      </c>
      <c r="R136" s="5">
        <v>498</v>
      </c>
      <c r="S136" s="5">
        <v>771</v>
      </c>
      <c r="T136" s="19"/>
      <c r="U136">
        <f t="shared" si="33"/>
        <v>46</v>
      </c>
      <c r="V136">
        <f t="shared" si="34"/>
        <v>1755</v>
      </c>
      <c r="W136">
        <f t="shared" si="35"/>
        <v>1028</v>
      </c>
      <c r="X136">
        <f t="shared" si="36"/>
        <v>556</v>
      </c>
      <c r="Y136">
        <f t="shared" si="37"/>
        <v>289</v>
      </c>
      <c r="Z136">
        <f t="shared" si="38"/>
        <v>1709</v>
      </c>
      <c r="AA136">
        <f t="shared" si="39"/>
        <v>461</v>
      </c>
      <c r="AB136">
        <f t="shared" si="40"/>
        <v>319</v>
      </c>
      <c r="AC136">
        <f t="shared" si="41"/>
        <v>451</v>
      </c>
      <c r="AD136">
        <f t="shared" si="42"/>
        <v>167</v>
      </c>
      <c r="AE136">
        <f t="shared" si="43"/>
        <v>1624</v>
      </c>
      <c r="AF136">
        <f t="shared" si="44"/>
        <v>247</v>
      </c>
      <c r="AG136">
        <f t="shared" si="45"/>
        <v>903</v>
      </c>
      <c r="AH136">
        <f t="shared" si="46"/>
        <v>256</v>
      </c>
      <c r="AI136">
        <f t="shared" si="47"/>
        <v>1345</v>
      </c>
      <c r="AJ136">
        <f t="shared" si="48"/>
        <v>498</v>
      </c>
      <c r="AK136">
        <f t="shared" si="48"/>
        <v>771</v>
      </c>
    </row>
    <row r="137" spans="1:37" x14ac:dyDescent="0.25">
      <c r="A137" s="4">
        <v>2010</v>
      </c>
      <c r="B137" s="4" t="s">
        <v>25</v>
      </c>
      <c r="C137" s="5">
        <v>64</v>
      </c>
      <c r="D137" s="5">
        <v>1785</v>
      </c>
      <c r="E137" s="5">
        <v>1002</v>
      </c>
      <c r="F137" s="5">
        <v>517</v>
      </c>
      <c r="G137" s="5">
        <v>269</v>
      </c>
      <c r="H137" s="5">
        <v>1631</v>
      </c>
      <c r="I137" s="5">
        <v>434</v>
      </c>
      <c r="J137" s="5">
        <v>291</v>
      </c>
      <c r="K137" s="5">
        <v>435</v>
      </c>
      <c r="L137" s="5">
        <v>196</v>
      </c>
      <c r="M137" s="5">
        <v>1465</v>
      </c>
      <c r="N137" s="5">
        <v>326</v>
      </c>
      <c r="O137" s="5">
        <v>1012</v>
      </c>
      <c r="P137" s="5">
        <v>282</v>
      </c>
      <c r="Q137" s="5">
        <v>1327</v>
      </c>
      <c r="R137" s="5">
        <v>532</v>
      </c>
      <c r="S137" s="5">
        <v>966</v>
      </c>
      <c r="T137" s="19"/>
      <c r="U137">
        <f t="shared" si="33"/>
        <v>64</v>
      </c>
      <c r="V137">
        <f t="shared" si="34"/>
        <v>1785</v>
      </c>
      <c r="W137">
        <f t="shared" si="35"/>
        <v>1002</v>
      </c>
      <c r="X137">
        <f t="shared" si="36"/>
        <v>517</v>
      </c>
      <c r="Y137">
        <f t="shared" si="37"/>
        <v>269</v>
      </c>
      <c r="Z137">
        <f t="shared" si="38"/>
        <v>1631</v>
      </c>
      <c r="AA137">
        <f t="shared" si="39"/>
        <v>434</v>
      </c>
      <c r="AB137">
        <f t="shared" si="40"/>
        <v>291</v>
      </c>
      <c r="AC137">
        <f t="shared" si="41"/>
        <v>435</v>
      </c>
      <c r="AD137">
        <f t="shared" si="42"/>
        <v>196</v>
      </c>
      <c r="AE137">
        <f t="shared" si="43"/>
        <v>1465</v>
      </c>
      <c r="AF137">
        <f t="shared" si="44"/>
        <v>326</v>
      </c>
      <c r="AG137">
        <f t="shared" si="45"/>
        <v>1012</v>
      </c>
      <c r="AH137">
        <f t="shared" si="46"/>
        <v>282</v>
      </c>
      <c r="AI137">
        <f t="shared" si="47"/>
        <v>1327</v>
      </c>
      <c r="AJ137">
        <f t="shared" si="48"/>
        <v>532</v>
      </c>
      <c r="AK137">
        <f t="shared" si="48"/>
        <v>966</v>
      </c>
    </row>
    <row r="138" spans="1:37" x14ac:dyDescent="0.25">
      <c r="A138" s="4">
        <v>2010</v>
      </c>
      <c r="B138" s="4" t="s">
        <v>26</v>
      </c>
      <c r="C138" s="5">
        <v>79</v>
      </c>
      <c r="D138" s="5">
        <v>1528</v>
      </c>
      <c r="E138" s="5">
        <v>1028</v>
      </c>
      <c r="F138" s="5">
        <v>528</v>
      </c>
      <c r="G138" s="5">
        <v>278</v>
      </c>
      <c r="H138" s="5">
        <v>1745</v>
      </c>
      <c r="I138" s="5">
        <v>537</v>
      </c>
      <c r="J138" s="5">
        <v>344</v>
      </c>
      <c r="K138" s="5">
        <v>408</v>
      </c>
      <c r="L138" s="5">
        <v>174</v>
      </c>
      <c r="M138" s="5">
        <v>1447</v>
      </c>
      <c r="N138" s="5">
        <v>375</v>
      </c>
      <c r="O138" s="5">
        <v>1045</v>
      </c>
      <c r="P138" s="5">
        <v>237</v>
      </c>
      <c r="Q138" s="5">
        <v>1333</v>
      </c>
      <c r="R138" s="5">
        <v>469</v>
      </c>
      <c r="S138" s="5">
        <v>1187</v>
      </c>
      <c r="T138" s="19"/>
      <c r="U138">
        <f t="shared" si="33"/>
        <v>79</v>
      </c>
      <c r="V138">
        <f t="shared" si="34"/>
        <v>1528</v>
      </c>
      <c r="W138">
        <f t="shared" si="35"/>
        <v>1028</v>
      </c>
      <c r="X138">
        <f t="shared" si="36"/>
        <v>528</v>
      </c>
      <c r="Y138">
        <f t="shared" si="37"/>
        <v>278</v>
      </c>
      <c r="Z138">
        <f t="shared" si="38"/>
        <v>1745</v>
      </c>
      <c r="AA138">
        <f t="shared" si="39"/>
        <v>537</v>
      </c>
      <c r="AB138">
        <f t="shared" si="40"/>
        <v>344</v>
      </c>
      <c r="AC138">
        <f t="shared" si="41"/>
        <v>408</v>
      </c>
      <c r="AD138">
        <f t="shared" si="42"/>
        <v>174</v>
      </c>
      <c r="AE138">
        <f t="shared" si="43"/>
        <v>1447</v>
      </c>
      <c r="AF138">
        <f t="shared" si="44"/>
        <v>375</v>
      </c>
      <c r="AG138">
        <f t="shared" si="45"/>
        <v>1045</v>
      </c>
      <c r="AH138">
        <f t="shared" si="46"/>
        <v>237</v>
      </c>
      <c r="AI138">
        <f t="shared" si="47"/>
        <v>1333</v>
      </c>
      <c r="AJ138">
        <f t="shared" si="48"/>
        <v>469</v>
      </c>
      <c r="AK138">
        <f t="shared" si="48"/>
        <v>1187</v>
      </c>
    </row>
    <row r="139" spans="1:37" x14ac:dyDescent="0.25">
      <c r="A139" s="4">
        <v>2010</v>
      </c>
      <c r="B139" s="4" t="s">
        <v>27</v>
      </c>
      <c r="C139" s="5">
        <v>93</v>
      </c>
      <c r="D139" s="5">
        <v>1483</v>
      </c>
      <c r="E139" s="5">
        <v>984</v>
      </c>
      <c r="F139" s="5">
        <v>479</v>
      </c>
      <c r="G139" s="5">
        <v>272</v>
      </c>
      <c r="H139" s="5">
        <v>1638</v>
      </c>
      <c r="I139" s="5">
        <v>440</v>
      </c>
      <c r="J139" s="5">
        <v>302</v>
      </c>
      <c r="K139" s="5">
        <v>413</v>
      </c>
      <c r="L139" s="5">
        <v>193</v>
      </c>
      <c r="M139" s="5">
        <v>1524</v>
      </c>
      <c r="N139" s="5">
        <v>373</v>
      </c>
      <c r="O139" s="5">
        <v>1056</v>
      </c>
      <c r="P139" s="5">
        <v>250</v>
      </c>
      <c r="Q139" s="5">
        <v>1257</v>
      </c>
      <c r="R139" s="5">
        <v>530</v>
      </c>
      <c r="S139" s="5">
        <v>1292</v>
      </c>
      <c r="T139" s="19"/>
      <c r="U139">
        <f t="shared" si="33"/>
        <v>93</v>
      </c>
      <c r="V139">
        <f t="shared" si="34"/>
        <v>1483</v>
      </c>
      <c r="W139">
        <f t="shared" si="35"/>
        <v>984</v>
      </c>
      <c r="X139">
        <f t="shared" si="36"/>
        <v>479</v>
      </c>
      <c r="Y139">
        <f t="shared" si="37"/>
        <v>272</v>
      </c>
      <c r="Z139">
        <f t="shared" si="38"/>
        <v>1638</v>
      </c>
      <c r="AA139">
        <f t="shared" si="39"/>
        <v>440</v>
      </c>
      <c r="AB139">
        <f t="shared" si="40"/>
        <v>302</v>
      </c>
      <c r="AC139">
        <f t="shared" si="41"/>
        <v>413</v>
      </c>
      <c r="AD139">
        <f t="shared" si="42"/>
        <v>193</v>
      </c>
      <c r="AE139">
        <f t="shared" si="43"/>
        <v>1524</v>
      </c>
      <c r="AF139">
        <f t="shared" si="44"/>
        <v>373</v>
      </c>
      <c r="AG139">
        <f t="shared" si="45"/>
        <v>1056</v>
      </c>
      <c r="AH139">
        <f t="shared" si="46"/>
        <v>250</v>
      </c>
      <c r="AI139">
        <f t="shared" si="47"/>
        <v>1257</v>
      </c>
      <c r="AJ139">
        <f t="shared" si="48"/>
        <v>530</v>
      </c>
      <c r="AK139">
        <f t="shared" si="48"/>
        <v>1292</v>
      </c>
    </row>
    <row r="140" spans="1:37" x14ac:dyDescent="0.25">
      <c r="A140" s="4">
        <v>2010</v>
      </c>
      <c r="B140" s="4" t="s">
        <v>28</v>
      </c>
      <c r="C140" s="5">
        <v>66</v>
      </c>
      <c r="D140" s="5">
        <v>1464</v>
      </c>
      <c r="E140" s="5">
        <v>937</v>
      </c>
      <c r="F140" s="5">
        <v>534</v>
      </c>
      <c r="G140" s="5">
        <v>265</v>
      </c>
      <c r="H140" s="5">
        <v>1697</v>
      </c>
      <c r="I140" s="5">
        <v>418</v>
      </c>
      <c r="J140" s="5">
        <v>330</v>
      </c>
      <c r="K140" s="5">
        <v>418</v>
      </c>
      <c r="L140" s="5">
        <v>150</v>
      </c>
      <c r="M140" s="5">
        <v>1426</v>
      </c>
      <c r="N140" s="5">
        <v>316</v>
      </c>
      <c r="O140" s="5">
        <v>1037</v>
      </c>
      <c r="P140" s="5">
        <v>299</v>
      </c>
      <c r="Q140" s="5">
        <v>1237</v>
      </c>
      <c r="R140" s="5">
        <v>534</v>
      </c>
      <c r="S140" s="5">
        <v>1089</v>
      </c>
      <c r="T140" s="19"/>
      <c r="U140">
        <f t="shared" si="33"/>
        <v>66</v>
      </c>
      <c r="V140">
        <f t="shared" si="34"/>
        <v>1464</v>
      </c>
      <c r="W140">
        <f t="shared" si="35"/>
        <v>937</v>
      </c>
      <c r="X140">
        <f t="shared" si="36"/>
        <v>534</v>
      </c>
      <c r="Y140">
        <f t="shared" si="37"/>
        <v>265</v>
      </c>
      <c r="Z140">
        <f t="shared" si="38"/>
        <v>1697</v>
      </c>
      <c r="AA140">
        <f t="shared" si="39"/>
        <v>418</v>
      </c>
      <c r="AB140">
        <f t="shared" si="40"/>
        <v>330</v>
      </c>
      <c r="AC140">
        <f t="shared" si="41"/>
        <v>418</v>
      </c>
      <c r="AD140">
        <f t="shared" si="42"/>
        <v>150</v>
      </c>
      <c r="AE140">
        <f t="shared" si="43"/>
        <v>1426</v>
      </c>
      <c r="AF140">
        <f t="shared" si="44"/>
        <v>316</v>
      </c>
      <c r="AG140">
        <f t="shared" si="45"/>
        <v>1037</v>
      </c>
      <c r="AH140">
        <f t="shared" si="46"/>
        <v>299</v>
      </c>
      <c r="AI140">
        <f t="shared" si="47"/>
        <v>1237</v>
      </c>
      <c r="AJ140">
        <f t="shared" si="48"/>
        <v>534</v>
      </c>
      <c r="AK140">
        <f t="shared" si="48"/>
        <v>1089</v>
      </c>
    </row>
    <row r="141" spans="1:37" x14ac:dyDescent="0.25">
      <c r="A141" s="4">
        <v>2010</v>
      </c>
      <c r="B141" s="4" t="s">
        <v>29</v>
      </c>
      <c r="C141" s="5">
        <v>89</v>
      </c>
      <c r="D141" s="5">
        <v>1445</v>
      </c>
      <c r="E141" s="5">
        <v>937</v>
      </c>
      <c r="F141" s="5">
        <v>537</v>
      </c>
      <c r="G141" s="5">
        <v>277</v>
      </c>
      <c r="H141" s="5">
        <v>1611</v>
      </c>
      <c r="I141" s="5">
        <v>404</v>
      </c>
      <c r="J141" s="5">
        <v>300</v>
      </c>
      <c r="K141" s="5">
        <v>437</v>
      </c>
      <c r="L141" s="5">
        <v>154</v>
      </c>
      <c r="M141" s="5">
        <v>1525</v>
      </c>
      <c r="N141" s="5">
        <v>303</v>
      </c>
      <c r="O141" s="5">
        <v>960</v>
      </c>
      <c r="P141" s="5">
        <v>285</v>
      </c>
      <c r="Q141" s="5">
        <v>1173</v>
      </c>
      <c r="R141" s="5">
        <v>554</v>
      </c>
      <c r="S141" s="5">
        <v>950</v>
      </c>
      <c r="T141" s="19"/>
      <c r="U141">
        <f t="shared" si="33"/>
        <v>89</v>
      </c>
      <c r="V141">
        <f t="shared" si="34"/>
        <v>1445</v>
      </c>
      <c r="W141">
        <f t="shared" si="35"/>
        <v>937</v>
      </c>
      <c r="X141">
        <f t="shared" si="36"/>
        <v>537</v>
      </c>
      <c r="Y141">
        <f t="shared" si="37"/>
        <v>277</v>
      </c>
      <c r="Z141">
        <f t="shared" si="38"/>
        <v>1611</v>
      </c>
      <c r="AA141">
        <f t="shared" si="39"/>
        <v>404</v>
      </c>
      <c r="AB141">
        <f t="shared" si="40"/>
        <v>300</v>
      </c>
      <c r="AC141">
        <f t="shared" si="41"/>
        <v>437</v>
      </c>
      <c r="AD141">
        <f t="shared" si="42"/>
        <v>154</v>
      </c>
      <c r="AE141">
        <f t="shared" si="43"/>
        <v>1525</v>
      </c>
      <c r="AF141">
        <f t="shared" si="44"/>
        <v>303</v>
      </c>
      <c r="AG141">
        <f t="shared" si="45"/>
        <v>960</v>
      </c>
      <c r="AH141">
        <f t="shared" si="46"/>
        <v>285</v>
      </c>
      <c r="AI141">
        <f t="shared" si="47"/>
        <v>1173</v>
      </c>
      <c r="AJ141">
        <f t="shared" si="48"/>
        <v>554</v>
      </c>
      <c r="AK141">
        <f t="shared" si="48"/>
        <v>950</v>
      </c>
    </row>
    <row r="142" spans="1:37" x14ac:dyDescent="0.25">
      <c r="A142" s="4">
        <v>2010</v>
      </c>
      <c r="B142" s="4" t="s">
        <v>30</v>
      </c>
      <c r="C142" s="5">
        <v>68</v>
      </c>
      <c r="D142" s="5">
        <v>1596</v>
      </c>
      <c r="E142" s="5">
        <v>991</v>
      </c>
      <c r="F142" s="5">
        <v>535</v>
      </c>
      <c r="G142" s="5">
        <v>304</v>
      </c>
      <c r="H142" s="5">
        <v>1579</v>
      </c>
      <c r="I142" s="5">
        <v>434</v>
      </c>
      <c r="J142" s="5">
        <v>268</v>
      </c>
      <c r="K142" s="5">
        <v>406</v>
      </c>
      <c r="L142" s="5">
        <v>184</v>
      </c>
      <c r="M142" s="5">
        <v>1521</v>
      </c>
      <c r="N142" s="5">
        <v>281</v>
      </c>
      <c r="O142" s="5">
        <v>1017</v>
      </c>
      <c r="P142" s="5">
        <v>372</v>
      </c>
      <c r="Q142" s="5">
        <v>1262</v>
      </c>
      <c r="R142" s="5">
        <v>545</v>
      </c>
      <c r="S142" s="5">
        <v>949</v>
      </c>
      <c r="T142" s="19"/>
      <c r="U142">
        <f t="shared" si="33"/>
        <v>68</v>
      </c>
      <c r="V142">
        <f t="shared" si="34"/>
        <v>1596</v>
      </c>
      <c r="W142">
        <f t="shared" si="35"/>
        <v>991</v>
      </c>
      <c r="X142">
        <f t="shared" si="36"/>
        <v>535</v>
      </c>
      <c r="Y142">
        <f t="shared" si="37"/>
        <v>304</v>
      </c>
      <c r="Z142">
        <f t="shared" si="38"/>
        <v>1579</v>
      </c>
      <c r="AA142">
        <f t="shared" si="39"/>
        <v>434</v>
      </c>
      <c r="AB142">
        <f t="shared" si="40"/>
        <v>268</v>
      </c>
      <c r="AC142">
        <f t="shared" si="41"/>
        <v>406</v>
      </c>
      <c r="AD142">
        <f t="shared" si="42"/>
        <v>184</v>
      </c>
      <c r="AE142">
        <f t="shared" si="43"/>
        <v>1521</v>
      </c>
      <c r="AF142">
        <f t="shared" si="44"/>
        <v>281</v>
      </c>
      <c r="AG142">
        <f t="shared" si="45"/>
        <v>1017</v>
      </c>
      <c r="AH142">
        <f t="shared" si="46"/>
        <v>372</v>
      </c>
      <c r="AI142">
        <f t="shared" si="47"/>
        <v>1262</v>
      </c>
      <c r="AJ142">
        <f t="shared" si="48"/>
        <v>545</v>
      </c>
      <c r="AK142">
        <f t="shared" si="48"/>
        <v>949</v>
      </c>
    </row>
    <row r="143" spans="1:37" x14ac:dyDescent="0.25">
      <c r="A143" s="4">
        <v>2010</v>
      </c>
      <c r="B143" s="4" t="s">
        <v>19</v>
      </c>
      <c r="C143" s="5">
        <v>83</v>
      </c>
      <c r="D143" s="5">
        <v>1749</v>
      </c>
      <c r="E143" s="5">
        <v>999</v>
      </c>
      <c r="F143" s="5">
        <v>551</v>
      </c>
      <c r="G143" s="5">
        <v>256</v>
      </c>
      <c r="H143" s="5">
        <v>1443</v>
      </c>
      <c r="I143" s="5">
        <v>428</v>
      </c>
      <c r="J143" s="5">
        <v>244</v>
      </c>
      <c r="K143" s="5">
        <v>363</v>
      </c>
      <c r="L143" s="5">
        <v>205</v>
      </c>
      <c r="M143" s="5">
        <v>1477</v>
      </c>
      <c r="N143" s="5">
        <v>234</v>
      </c>
      <c r="O143" s="5">
        <v>905</v>
      </c>
      <c r="P143" s="5">
        <v>296</v>
      </c>
      <c r="Q143" s="5">
        <v>1284</v>
      </c>
      <c r="R143" s="5">
        <v>491</v>
      </c>
      <c r="S143" s="5">
        <v>950</v>
      </c>
      <c r="T143" s="19"/>
      <c r="U143">
        <f t="shared" si="33"/>
        <v>83</v>
      </c>
      <c r="V143">
        <f t="shared" si="34"/>
        <v>1749</v>
      </c>
      <c r="W143">
        <f t="shared" si="35"/>
        <v>999</v>
      </c>
      <c r="X143">
        <f t="shared" si="36"/>
        <v>551</v>
      </c>
      <c r="Y143">
        <f t="shared" si="37"/>
        <v>256</v>
      </c>
      <c r="Z143">
        <f t="shared" si="38"/>
        <v>1443</v>
      </c>
      <c r="AA143">
        <f t="shared" si="39"/>
        <v>428</v>
      </c>
      <c r="AB143">
        <f t="shared" si="40"/>
        <v>244</v>
      </c>
      <c r="AC143">
        <f t="shared" si="41"/>
        <v>363</v>
      </c>
      <c r="AD143">
        <f t="shared" si="42"/>
        <v>205</v>
      </c>
      <c r="AE143">
        <f t="shared" si="43"/>
        <v>1477</v>
      </c>
      <c r="AF143">
        <f t="shared" si="44"/>
        <v>234</v>
      </c>
      <c r="AG143">
        <f t="shared" si="45"/>
        <v>905</v>
      </c>
      <c r="AH143">
        <f t="shared" si="46"/>
        <v>296</v>
      </c>
      <c r="AI143">
        <f t="shared" si="47"/>
        <v>1284</v>
      </c>
      <c r="AJ143">
        <f t="shared" si="48"/>
        <v>491</v>
      </c>
      <c r="AK143">
        <f t="shared" si="48"/>
        <v>950</v>
      </c>
    </row>
    <row r="144" spans="1:37" x14ac:dyDescent="0.25">
      <c r="A144" s="4">
        <v>2010</v>
      </c>
      <c r="B144" s="4" t="s">
        <v>96</v>
      </c>
      <c r="C144" s="5">
        <v>73</v>
      </c>
      <c r="D144" s="5">
        <v>1801</v>
      </c>
      <c r="E144" s="5">
        <v>1074</v>
      </c>
      <c r="F144" s="5">
        <v>548</v>
      </c>
      <c r="G144" s="5">
        <v>287</v>
      </c>
      <c r="H144" s="5">
        <v>1675</v>
      </c>
      <c r="I144" s="5">
        <v>492</v>
      </c>
      <c r="J144" s="5">
        <v>303</v>
      </c>
      <c r="K144" s="5">
        <v>442</v>
      </c>
      <c r="L144" s="5">
        <v>184</v>
      </c>
      <c r="M144" s="5">
        <v>1561</v>
      </c>
      <c r="N144" s="5">
        <v>279</v>
      </c>
      <c r="O144" s="5">
        <v>964</v>
      </c>
      <c r="P144" s="5">
        <v>291</v>
      </c>
      <c r="Q144" s="5">
        <v>1301</v>
      </c>
      <c r="R144" s="5">
        <v>533</v>
      </c>
      <c r="S144" s="5">
        <v>969</v>
      </c>
      <c r="T144" s="19"/>
      <c r="U144" t="str">
        <f t="shared" si="33"/>
        <v/>
      </c>
      <c r="V144" t="str">
        <f t="shared" si="34"/>
        <v/>
      </c>
      <c r="W144" t="str">
        <f t="shared" si="35"/>
        <v/>
      </c>
      <c r="X144" t="str">
        <f t="shared" si="36"/>
        <v/>
      </c>
      <c r="Y144" t="str">
        <f t="shared" si="37"/>
        <v/>
      </c>
      <c r="Z144" t="str">
        <f t="shared" si="38"/>
        <v/>
      </c>
      <c r="AA144" t="str">
        <f t="shared" si="39"/>
        <v/>
      </c>
      <c r="AB144" t="str">
        <f t="shared" si="40"/>
        <v/>
      </c>
      <c r="AC144" t="str">
        <f t="shared" si="41"/>
        <v/>
      </c>
      <c r="AD144" t="str">
        <f t="shared" si="42"/>
        <v/>
      </c>
      <c r="AE144" t="str">
        <f t="shared" si="43"/>
        <v/>
      </c>
      <c r="AF144" t="str">
        <f t="shared" si="44"/>
        <v/>
      </c>
      <c r="AG144" t="str">
        <f t="shared" si="45"/>
        <v/>
      </c>
      <c r="AH144" t="str">
        <f t="shared" si="46"/>
        <v/>
      </c>
      <c r="AI144" t="str">
        <f t="shared" si="47"/>
        <v/>
      </c>
      <c r="AJ144" t="str">
        <f t="shared" si="48"/>
        <v/>
      </c>
      <c r="AK144" t="str">
        <f t="shared" si="48"/>
        <v/>
      </c>
    </row>
    <row r="145" spans="1:37" x14ac:dyDescent="0.25">
      <c r="A145" s="4">
        <v>2011</v>
      </c>
      <c r="B145" s="4" t="s">
        <v>20</v>
      </c>
      <c r="C145" s="5">
        <v>66</v>
      </c>
      <c r="D145" s="5">
        <v>1879</v>
      </c>
      <c r="E145" s="5">
        <v>955</v>
      </c>
      <c r="F145" s="5">
        <v>564</v>
      </c>
      <c r="G145" s="5">
        <v>267</v>
      </c>
      <c r="H145" s="5">
        <v>1599</v>
      </c>
      <c r="I145" s="5">
        <v>498</v>
      </c>
      <c r="J145" s="5">
        <v>228</v>
      </c>
      <c r="K145" s="5">
        <v>434</v>
      </c>
      <c r="L145" s="5">
        <v>213</v>
      </c>
      <c r="M145" s="5">
        <v>1511</v>
      </c>
      <c r="N145" s="5">
        <v>289</v>
      </c>
      <c r="O145" s="5">
        <v>974</v>
      </c>
      <c r="P145" s="5">
        <v>329</v>
      </c>
      <c r="Q145" s="5">
        <v>1459</v>
      </c>
      <c r="R145" s="5">
        <v>513</v>
      </c>
      <c r="S145" s="5">
        <v>1088</v>
      </c>
      <c r="T145" s="19"/>
      <c r="U145">
        <f t="shared" si="33"/>
        <v>66</v>
      </c>
      <c r="V145">
        <f t="shared" si="34"/>
        <v>1879</v>
      </c>
      <c r="W145">
        <f t="shared" si="35"/>
        <v>955</v>
      </c>
      <c r="X145">
        <f t="shared" si="36"/>
        <v>564</v>
      </c>
      <c r="Y145">
        <f t="shared" si="37"/>
        <v>267</v>
      </c>
      <c r="Z145">
        <f t="shared" si="38"/>
        <v>1599</v>
      </c>
      <c r="AA145">
        <f t="shared" si="39"/>
        <v>498</v>
      </c>
      <c r="AB145">
        <f t="shared" si="40"/>
        <v>228</v>
      </c>
      <c r="AC145">
        <f t="shared" si="41"/>
        <v>434</v>
      </c>
      <c r="AD145">
        <f t="shared" si="42"/>
        <v>213</v>
      </c>
      <c r="AE145">
        <f t="shared" si="43"/>
        <v>1511</v>
      </c>
      <c r="AF145">
        <f t="shared" si="44"/>
        <v>289</v>
      </c>
      <c r="AG145">
        <f t="shared" si="45"/>
        <v>974</v>
      </c>
      <c r="AH145">
        <f t="shared" si="46"/>
        <v>329</v>
      </c>
      <c r="AI145">
        <f t="shared" si="47"/>
        <v>1459</v>
      </c>
      <c r="AJ145">
        <f t="shared" si="48"/>
        <v>513</v>
      </c>
      <c r="AK145">
        <f t="shared" si="48"/>
        <v>1088</v>
      </c>
    </row>
    <row r="146" spans="1:37" x14ac:dyDescent="0.25">
      <c r="A146" s="4">
        <v>2011</v>
      </c>
      <c r="B146" s="4" t="s">
        <v>21</v>
      </c>
      <c r="C146" s="5">
        <v>41</v>
      </c>
      <c r="D146" s="5">
        <v>1883</v>
      </c>
      <c r="E146" s="5">
        <v>989</v>
      </c>
      <c r="F146" s="5">
        <v>503</v>
      </c>
      <c r="G146" s="5">
        <v>333</v>
      </c>
      <c r="H146" s="5">
        <v>1556</v>
      </c>
      <c r="I146" s="5">
        <v>499</v>
      </c>
      <c r="J146" s="5">
        <v>205</v>
      </c>
      <c r="K146" s="5">
        <v>434</v>
      </c>
      <c r="L146" s="5">
        <v>202</v>
      </c>
      <c r="M146" s="5">
        <v>1469</v>
      </c>
      <c r="N146" s="5">
        <v>260</v>
      </c>
      <c r="O146" s="5">
        <v>938</v>
      </c>
      <c r="P146" s="5">
        <v>354</v>
      </c>
      <c r="Q146" s="5">
        <v>1428</v>
      </c>
      <c r="R146" s="5">
        <v>546</v>
      </c>
      <c r="S146" s="5">
        <v>927</v>
      </c>
      <c r="T146" s="19"/>
      <c r="U146">
        <f t="shared" si="33"/>
        <v>41</v>
      </c>
      <c r="V146">
        <f t="shared" si="34"/>
        <v>1883</v>
      </c>
      <c r="W146">
        <f t="shared" si="35"/>
        <v>989</v>
      </c>
      <c r="X146">
        <f t="shared" si="36"/>
        <v>503</v>
      </c>
      <c r="Y146">
        <f t="shared" si="37"/>
        <v>333</v>
      </c>
      <c r="Z146">
        <f t="shared" si="38"/>
        <v>1556</v>
      </c>
      <c r="AA146">
        <f t="shared" si="39"/>
        <v>499</v>
      </c>
      <c r="AB146">
        <f t="shared" si="40"/>
        <v>205</v>
      </c>
      <c r="AC146">
        <f t="shared" si="41"/>
        <v>434</v>
      </c>
      <c r="AD146">
        <f t="shared" si="42"/>
        <v>202</v>
      </c>
      <c r="AE146">
        <f t="shared" si="43"/>
        <v>1469</v>
      </c>
      <c r="AF146">
        <f t="shared" si="44"/>
        <v>260</v>
      </c>
      <c r="AG146">
        <f t="shared" si="45"/>
        <v>938</v>
      </c>
      <c r="AH146">
        <f t="shared" si="46"/>
        <v>354</v>
      </c>
      <c r="AI146">
        <f t="shared" si="47"/>
        <v>1428</v>
      </c>
      <c r="AJ146">
        <f t="shared" si="48"/>
        <v>546</v>
      </c>
      <c r="AK146">
        <f t="shared" si="48"/>
        <v>927</v>
      </c>
    </row>
    <row r="147" spans="1:37" x14ac:dyDescent="0.25">
      <c r="A147" s="4">
        <v>2011</v>
      </c>
      <c r="B147" s="4" t="s">
        <v>22</v>
      </c>
      <c r="C147" s="5">
        <v>46</v>
      </c>
      <c r="D147" s="5">
        <v>1695</v>
      </c>
      <c r="E147" s="5">
        <v>957</v>
      </c>
      <c r="F147" s="5">
        <v>518</v>
      </c>
      <c r="G147" s="5">
        <v>333</v>
      </c>
      <c r="H147" s="5">
        <v>1462</v>
      </c>
      <c r="I147" s="5">
        <v>562</v>
      </c>
      <c r="J147" s="5">
        <v>236</v>
      </c>
      <c r="K147" s="5">
        <v>434</v>
      </c>
      <c r="L147" s="5">
        <v>216</v>
      </c>
      <c r="M147" s="5">
        <v>1488</v>
      </c>
      <c r="N147" s="5">
        <v>241</v>
      </c>
      <c r="O147" s="5">
        <v>911</v>
      </c>
      <c r="P147" s="5">
        <v>386</v>
      </c>
      <c r="Q147" s="5">
        <v>1308</v>
      </c>
      <c r="R147" s="5">
        <v>495</v>
      </c>
      <c r="S147" s="5">
        <v>888</v>
      </c>
      <c r="T147" s="19"/>
      <c r="U147">
        <f t="shared" si="33"/>
        <v>46</v>
      </c>
      <c r="V147">
        <f t="shared" si="34"/>
        <v>1695</v>
      </c>
      <c r="W147">
        <f t="shared" si="35"/>
        <v>957</v>
      </c>
      <c r="X147">
        <f t="shared" si="36"/>
        <v>518</v>
      </c>
      <c r="Y147">
        <f t="shared" si="37"/>
        <v>333</v>
      </c>
      <c r="Z147">
        <f t="shared" si="38"/>
        <v>1462</v>
      </c>
      <c r="AA147">
        <f t="shared" si="39"/>
        <v>562</v>
      </c>
      <c r="AB147">
        <f t="shared" si="40"/>
        <v>236</v>
      </c>
      <c r="AC147">
        <f t="shared" si="41"/>
        <v>434</v>
      </c>
      <c r="AD147">
        <f t="shared" si="42"/>
        <v>216</v>
      </c>
      <c r="AE147">
        <f t="shared" si="43"/>
        <v>1488</v>
      </c>
      <c r="AF147">
        <f t="shared" si="44"/>
        <v>241</v>
      </c>
      <c r="AG147">
        <f t="shared" si="45"/>
        <v>911</v>
      </c>
      <c r="AH147">
        <f t="shared" si="46"/>
        <v>386</v>
      </c>
      <c r="AI147">
        <f t="shared" si="47"/>
        <v>1308</v>
      </c>
      <c r="AJ147">
        <f t="shared" si="48"/>
        <v>495</v>
      </c>
      <c r="AK147">
        <f t="shared" si="48"/>
        <v>888</v>
      </c>
    </row>
    <row r="148" spans="1:37" x14ac:dyDescent="0.25">
      <c r="A148" s="4">
        <v>2011</v>
      </c>
      <c r="B148" s="4" t="s">
        <v>23</v>
      </c>
      <c r="C148" s="5">
        <v>28</v>
      </c>
      <c r="D148" s="5">
        <v>1501</v>
      </c>
      <c r="E148" s="5">
        <v>951</v>
      </c>
      <c r="F148" s="5">
        <v>493</v>
      </c>
      <c r="G148" s="5">
        <v>272</v>
      </c>
      <c r="H148" s="5">
        <v>1504</v>
      </c>
      <c r="I148" s="5">
        <v>500</v>
      </c>
      <c r="J148" s="5">
        <v>218</v>
      </c>
      <c r="K148" s="5">
        <v>397</v>
      </c>
      <c r="L148" s="5">
        <v>224</v>
      </c>
      <c r="M148" s="5">
        <v>1340</v>
      </c>
      <c r="N148" s="5">
        <v>171</v>
      </c>
      <c r="O148" s="5">
        <v>917</v>
      </c>
      <c r="P148" s="5">
        <v>280</v>
      </c>
      <c r="Q148" s="5">
        <v>1202</v>
      </c>
      <c r="R148" s="5">
        <v>564</v>
      </c>
      <c r="S148" s="5">
        <v>778</v>
      </c>
      <c r="T148" s="19"/>
      <c r="U148">
        <f t="shared" si="33"/>
        <v>28</v>
      </c>
      <c r="V148">
        <f t="shared" si="34"/>
        <v>1501</v>
      </c>
      <c r="W148">
        <f t="shared" si="35"/>
        <v>951</v>
      </c>
      <c r="X148">
        <f t="shared" si="36"/>
        <v>493</v>
      </c>
      <c r="Y148">
        <f t="shared" si="37"/>
        <v>272</v>
      </c>
      <c r="Z148">
        <f t="shared" si="38"/>
        <v>1504</v>
      </c>
      <c r="AA148">
        <f t="shared" si="39"/>
        <v>500</v>
      </c>
      <c r="AB148">
        <f t="shared" si="40"/>
        <v>218</v>
      </c>
      <c r="AC148">
        <f t="shared" si="41"/>
        <v>397</v>
      </c>
      <c r="AD148">
        <f t="shared" si="42"/>
        <v>224</v>
      </c>
      <c r="AE148">
        <f t="shared" si="43"/>
        <v>1340</v>
      </c>
      <c r="AF148">
        <f t="shared" si="44"/>
        <v>171</v>
      </c>
      <c r="AG148">
        <f t="shared" si="45"/>
        <v>917</v>
      </c>
      <c r="AH148">
        <f t="shared" si="46"/>
        <v>280</v>
      </c>
      <c r="AI148">
        <f t="shared" si="47"/>
        <v>1202</v>
      </c>
      <c r="AJ148">
        <f t="shared" si="48"/>
        <v>564</v>
      </c>
      <c r="AK148">
        <f t="shared" si="48"/>
        <v>778</v>
      </c>
    </row>
    <row r="149" spans="1:37" x14ac:dyDescent="0.25">
      <c r="A149" s="4">
        <v>2011</v>
      </c>
      <c r="B149" s="4" t="s">
        <v>24</v>
      </c>
      <c r="C149" s="5">
        <v>32</v>
      </c>
      <c r="D149" s="5">
        <v>1367</v>
      </c>
      <c r="E149" s="5">
        <v>920</v>
      </c>
      <c r="F149" s="5">
        <v>533</v>
      </c>
      <c r="G149" s="5">
        <v>233</v>
      </c>
      <c r="H149" s="5">
        <v>1612</v>
      </c>
      <c r="I149" s="5">
        <v>483</v>
      </c>
      <c r="J149" s="5">
        <v>227</v>
      </c>
      <c r="K149" s="5">
        <v>405</v>
      </c>
      <c r="L149" s="5">
        <v>207</v>
      </c>
      <c r="M149" s="5">
        <v>1429</v>
      </c>
      <c r="N149" s="5">
        <v>264</v>
      </c>
      <c r="O149" s="5">
        <v>978</v>
      </c>
      <c r="P149" s="5">
        <v>262</v>
      </c>
      <c r="Q149" s="5">
        <v>1140</v>
      </c>
      <c r="R149" s="5">
        <v>536</v>
      </c>
      <c r="S149" s="5">
        <v>836</v>
      </c>
      <c r="T149" s="19"/>
      <c r="U149">
        <f t="shared" si="33"/>
        <v>32</v>
      </c>
      <c r="V149">
        <f t="shared" si="34"/>
        <v>1367</v>
      </c>
      <c r="W149">
        <f t="shared" si="35"/>
        <v>920</v>
      </c>
      <c r="X149">
        <f t="shared" si="36"/>
        <v>533</v>
      </c>
      <c r="Y149">
        <f t="shared" si="37"/>
        <v>233</v>
      </c>
      <c r="Z149">
        <f t="shared" si="38"/>
        <v>1612</v>
      </c>
      <c r="AA149">
        <f t="shared" si="39"/>
        <v>483</v>
      </c>
      <c r="AB149">
        <f t="shared" si="40"/>
        <v>227</v>
      </c>
      <c r="AC149">
        <f t="shared" si="41"/>
        <v>405</v>
      </c>
      <c r="AD149">
        <f t="shared" si="42"/>
        <v>207</v>
      </c>
      <c r="AE149">
        <f t="shared" si="43"/>
        <v>1429</v>
      </c>
      <c r="AF149">
        <f t="shared" si="44"/>
        <v>264</v>
      </c>
      <c r="AG149">
        <f t="shared" si="45"/>
        <v>978</v>
      </c>
      <c r="AH149">
        <f t="shared" si="46"/>
        <v>262</v>
      </c>
      <c r="AI149">
        <f t="shared" si="47"/>
        <v>1140</v>
      </c>
      <c r="AJ149">
        <f t="shared" si="48"/>
        <v>536</v>
      </c>
      <c r="AK149">
        <f t="shared" si="48"/>
        <v>836</v>
      </c>
    </row>
    <row r="150" spans="1:37" x14ac:dyDescent="0.25">
      <c r="A150" s="4">
        <v>2011</v>
      </c>
      <c r="B150" s="4" t="s">
        <v>25</v>
      </c>
      <c r="C150" s="5">
        <v>46</v>
      </c>
      <c r="D150" s="5">
        <v>1317</v>
      </c>
      <c r="E150" s="5">
        <v>952</v>
      </c>
      <c r="F150" s="5">
        <v>453</v>
      </c>
      <c r="G150" s="5">
        <v>259</v>
      </c>
      <c r="H150" s="5">
        <v>1737</v>
      </c>
      <c r="I150" s="5">
        <v>504</v>
      </c>
      <c r="J150" s="5">
        <v>245</v>
      </c>
      <c r="K150" s="5">
        <v>399</v>
      </c>
      <c r="L150" s="5">
        <v>208</v>
      </c>
      <c r="M150" s="5">
        <v>1349</v>
      </c>
      <c r="N150" s="5">
        <v>344</v>
      </c>
      <c r="O150" s="5">
        <v>883</v>
      </c>
      <c r="P150" s="5">
        <v>240</v>
      </c>
      <c r="Q150" s="5">
        <v>1243</v>
      </c>
      <c r="R150" s="5">
        <v>553</v>
      </c>
      <c r="S150" s="5">
        <v>1232</v>
      </c>
      <c r="T150" s="19"/>
      <c r="U150">
        <f t="shared" si="33"/>
        <v>46</v>
      </c>
      <c r="V150">
        <f t="shared" si="34"/>
        <v>1317</v>
      </c>
      <c r="W150">
        <f t="shared" si="35"/>
        <v>952</v>
      </c>
      <c r="X150">
        <f t="shared" si="36"/>
        <v>453</v>
      </c>
      <c r="Y150">
        <f t="shared" si="37"/>
        <v>259</v>
      </c>
      <c r="Z150">
        <f t="shared" si="38"/>
        <v>1737</v>
      </c>
      <c r="AA150">
        <f t="shared" si="39"/>
        <v>504</v>
      </c>
      <c r="AB150">
        <f t="shared" si="40"/>
        <v>245</v>
      </c>
      <c r="AC150">
        <f t="shared" si="41"/>
        <v>399</v>
      </c>
      <c r="AD150">
        <f t="shared" si="42"/>
        <v>208</v>
      </c>
      <c r="AE150">
        <f t="shared" si="43"/>
        <v>1349</v>
      </c>
      <c r="AF150">
        <f t="shared" si="44"/>
        <v>344</v>
      </c>
      <c r="AG150">
        <f t="shared" si="45"/>
        <v>883</v>
      </c>
      <c r="AH150">
        <f t="shared" si="46"/>
        <v>240</v>
      </c>
      <c r="AI150">
        <f t="shared" si="47"/>
        <v>1243</v>
      </c>
      <c r="AJ150">
        <f t="shared" si="48"/>
        <v>553</v>
      </c>
      <c r="AK150">
        <f t="shared" si="48"/>
        <v>1232</v>
      </c>
    </row>
    <row r="151" spans="1:37" x14ac:dyDescent="0.25">
      <c r="A151" s="4">
        <v>2011</v>
      </c>
      <c r="B151" s="4" t="s">
        <v>26</v>
      </c>
      <c r="C151" s="5">
        <v>53</v>
      </c>
      <c r="D151" s="5">
        <v>1137</v>
      </c>
      <c r="E151" s="5">
        <v>934</v>
      </c>
      <c r="F151" s="5">
        <v>484</v>
      </c>
      <c r="G151" s="5">
        <v>251</v>
      </c>
      <c r="H151" s="5">
        <v>1664</v>
      </c>
      <c r="I151" s="5">
        <v>486</v>
      </c>
      <c r="J151" s="5">
        <v>237</v>
      </c>
      <c r="K151" s="5">
        <v>358</v>
      </c>
      <c r="L151" s="5">
        <v>194</v>
      </c>
      <c r="M151" s="5">
        <v>1389</v>
      </c>
      <c r="N151" s="5">
        <v>369</v>
      </c>
      <c r="O151" s="5">
        <v>894</v>
      </c>
      <c r="P151" s="5">
        <v>226</v>
      </c>
      <c r="Q151" s="5">
        <v>1284</v>
      </c>
      <c r="R151" s="5">
        <v>554</v>
      </c>
      <c r="S151" s="5">
        <v>1349</v>
      </c>
      <c r="T151" s="19"/>
      <c r="U151">
        <f t="shared" si="33"/>
        <v>53</v>
      </c>
      <c r="V151">
        <f t="shared" si="34"/>
        <v>1137</v>
      </c>
      <c r="W151">
        <f t="shared" si="35"/>
        <v>934</v>
      </c>
      <c r="X151">
        <f t="shared" si="36"/>
        <v>484</v>
      </c>
      <c r="Y151">
        <f t="shared" si="37"/>
        <v>251</v>
      </c>
      <c r="Z151">
        <f t="shared" si="38"/>
        <v>1664</v>
      </c>
      <c r="AA151">
        <f t="shared" si="39"/>
        <v>486</v>
      </c>
      <c r="AB151">
        <f t="shared" si="40"/>
        <v>237</v>
      </c>
      <c r="AC151">
        <f t="shared" si="41"/>
        <v>358</v>
      </c>
      <c r="AD151">
        <f t="shared" si="42"/>
        <v>194</v>
      </c>
      <c r="AE151">
        <f t="shared" si="43"/>
        <v>1389</v>
      </c>
      <c r="AF151">
        <f t="shared" si="44"/>
        <v>369</v>
      </c>
      <c r="AG151">
        <f t="shared" si="45"/>
        <v>894</v>
      </c>
      <c r="AH151">
        <f t="shared" si="46"/>
        <v>226</v>
      </c>
      <c r="AI151">
        <f t="shared" si="47"/>
        <v>1284</v>
      </c>
      <c r="AJ151">
        <f t="shared" si="48"/>
        <v>554</v>
      </c>
      <c r="AK151">
        <f t="shared" si="48"/>
        <v>1349</v>
      </c>
    </row>
    <row r="152" spans="1:37" x14ac:dyDescent="0.25">
      <c r="A152" s="4">
        <v>2011</v>
      </c>
      <c r="B152" s="4" t="s">
        <v>27</v>
      </c>
      <c r="C152" s="5">
        <v>53</v>
      </c>
      <c r="D152" s="5">
        <v>1154</v>
      </c>
      <c r="E152" s="5">
        <v>876</v>
      </c>
      <c r="F152" s="5">
        <v>489</v>
      </c>
      <c r="G152" s="5">
        <v>281</v>
      </c>
      <c r="H152" s="5">
        <v>1570</v>
      </c>
      <c r="I152" s="5">
        <v>537</v>
      </c>
      <c r="J152" s="5">
        <v>204</v>
      </c>
      <c r="K152" s="5">
        <v>391</v>
      </c>
      <c r="L152" s="5">
        <v>174</v>
      </c>
      <c r="M152" s="5">
        <v>1440</v>
      </c>
      <c r="N152" s="5">
        <v>382</v>
      </c>
      <c r="O152" s="5">
        <v>989</v>
      </c>
      <c r="P152" s="5">
        <v>251</v>
      </c>
      <c r="Q152" s="5">
        <v>1149</v>
      </c>
      <c r="R152" s="5">
        <v>585</v>
      </c>
      <c r="S152" s="5">
        <v>1271</v>
      </c>
      <c r="T152" s="19"/>
      <c r="U152">
        <f t="shared" si="33"/>
        <v>53</v>
      </c>
      <c r="V152">
        <f t="shared" si="34"/>
        <v>1154</v>
      </c>
      <c r="W152">
        <f t="shared" si="35"/>
        <v>876</v>
      </c>
      <c r="X152">
        <f t="shared" si="36"/>
        <v>489</v>
      </c>
      <c r="Y152">
        <f t="shared" si="37"/>
        <v>281</v>
      </c>
      <c r="Z152">
        <f t="shared" si="38"/>
        <v>1570</v>
      </c>
      <c r="AA152">
        <f t="shared" si="39"/>
        <v>537</v>
      </c>
      <c r="AB152">
        <f t="shared" si="40"/>
        <v>204</v>
      </c>
      <c r="AC152">
        <f t="shared" si="41"/>
        <v>391</v>
      </c>
      <c r="AD152">
        <f t="shared" si="42"/>
        <v>174</v>
      </c>
      <c r="AE152">
        <f t="shared" si="43"/>
        <v>1440</v>
      </c>
      <c r="AF152">
        <f t="shared" si="44"/>
        <v>382</v>
      </c>
      <c r="AG152">
        <f t="shared" si="45"/>
        <v>989</v>
      </c>
      <c r="AH152">
        <f t="shared" si="46"/>
        <v>251</v>
      </c>
      <c r="AI152">
        <f t="shared" si="47"/>
        <v>1149</v>
      </c>
      <c r="AJ152">
        <f t="shared" si="48"/>
        <v>585</v>
      </c>
      <c r="AK152">
        <f t="shared" si="48"/>
        <v>1271</v>
      </c>
    </row>
    <row r="153" spans="1:37" x14ac:dyDescent="0.25">
      <c r="A153" s="4">
        <v>2011</v>
      </c>
      <c r="B153" s="4" t="s">
        <v>28</v>
      </c>
      <c r="C153" s="5">
        <v>55</v>
      </c>
      <c r="D153" s="5">
        <v>1110</v>
      </c>
      <c r="E153" s="5">
        <v>821</v>
      </c>
      <c r="F153" s="5">
        <v>484</v>
      </c>
      <c r="G153" s="5">
        <v>234</v>
      </c>
      <c r="H153" s="5">
        <v>1648</v>
      </c>
      <c r="I153" s="5">
        <v>458</v>
      </c>
      <c r="J153" s="5">
        <v>209</v>
      </c>
      <c r="K153" s="5">
        <v>381</v>
      </c>
      <c r="L153" s="5">
        <v>120</v>
      </c>
      <c r="M153" s="5">
        <v>1509</v>
      </c>
      <c r="N153" s="5">
        <v>269</v>
      </c>
      <c r="O153" s="5">
        <v>972</v>
      </c>
      <c r="P153" s="5">
        <v>243</v>
      </c>
      <c r="Q153" s="5">
        <v>1250</v>
      </c>
      <c r="R153" s="5">
        <v>613</v>
      </c>
      <c r="S153" s="5">
        <v>1013</v>
      </c>
      <c r="T153" s="19"/>
      <c r="U153">
        <f t="shared" si="33"/>
        <v>55</v>
      </c>
      <c r="V153">
        <f t="shared" si="34"/>
        <v>1110</v>
      </c>
      <c r="W153">
        <f t="shared" si="35"/>
        <v>821</v>
      </c>
      <c r="X153">
        <f t="shared" si="36"/>
        <v>484</v>
      </c>
      <c r="Y153">
        <f t="shared" si="37"/>
        <v>234</v>
      </c>
      <c r="Z153">
        <f t="shared" si="38"/>
        <v>1648</v>
      </c>
      <c r="AA153">
        <f t="shared" si="39"/>
        <v>458</v>
      </c>
      <c r="AB153">
        <f t="shared" si="40"/>
        <v>209</v>
      </c>
      <c r="AC153">
        <f t="shared" si="41"/>
        <v>381</v>
      </c>
      <c r="AD153">
        <f t="shared" si="42"/>
        <v>120</v>
      </c>
      <c r="AE153">
        <f t="shared" si="43"/>
        <v>1509</v>
      </c>
      <c r="AF153">
        <f t="shared" si="44"/>
        <v>269</v>
      </c>
      <c r="AG153">
        <f t="shared" si="45"/>
        <v>972</v>
      </c>
      <c r="AH153">
        <f t="shared" si="46"/>
        <v>243</v>
      </c>
      <c r="AI153">
        <f t="shared" si="47"/>
        <v>1250</v>
      </c>
      <c r="AJ153">
        <f t="shared" si="48"/>
        <v>613</v>
      </c>
      <c r="AK153">
        <f t="shared" si="48"/>
        <v>1013</v>
      </c>
    </row>
    <row r="154" spans="1:37" x14ac:dyDescent="0.25">
      <c r="A154" s="4">
        <v>2011</v>
      </c>
      <c r="B154" s="4" t="s">
        <v>29</v>
      </c>
      <c r="C154" s="5">
        <v>69</v>
      </c>
      <c r="D154" s="5">
        <v>1129</v>
      </c>
      <c r="E154" s="5">
        <v>759</v>
      </c>
      <c r="F154" s="5">
        <v>441</v>
      </c>
      <c r="G154" s="5">
        <v>251</v>
      </c>
      <c r="H154" s="5">
        <v>1513</v>
      </c>
      <c r="I154" s="5">
        <v>462</v>
      </c>
      <c r="J154" s="5">
        <v>195</v>
      </c>
      <c r="K154" s="5">
        <v>378</v>
      </c>
      <c r="L154" s="5">
        <v>146</v>
      </c>
      <c r="M154" s="5">
        <v>1495</v>
      </c>
      <c r="N154" s="5">
        <v>286</v>
      </c>
      <c r="O154" s="5">
        <v>935</v>
      </c>
      <c r="P154" s="5">
        <v>260</v>
      </c>
      <c r="Q154" s="5">
        <v>1187</v>
      </c>
      <c r="R154" s="5">
        <v>618</v>
      </c>
      <c r="S154" s="5">
        <v>924</v>
      </c>
      <c r="T154" s="19"/>
      <c r="U154">
        <f t="shared" si="33"/>
        <v>69</v>
      </c>
      <c r="V154">
        <f t="shared" si="34"/>
        <v>1129</v>
      </c>
      <c r="W154">
        <f t="shared" si="35"/>
        <v>759</v>
      </c>
      <c r="X154">
        <f t="shared" si="36"/>
        <v>441</v>
      </c>
      <c r="Y154">
        <f t="shared" si="37"/>
        <v>251</v>
      </c>
      <c r="Z154">
        <f t="shared" si="38"/>
        <v>1513</v>
      </c>
      <c r="AA154">
        <f t="shared" si="39"/>
        <v>462</v>
      </c>
      <c r="AB154">
        <f t="shared" si="40"/>
        <v>195</v>
      </c>
      <c r="AC154">
        <f t="shared" si="41"/>
        <v>378</v>
      </c>
      <c r="AD154">
        <f t="shared" si="42"/>
        <v>146</v>
      </c>
      <c r="AE154">
        <f t="shared" si="43"/>
        <v>1495</v>
      </c>
      <c r="AF154">
        <f t="shared" si="44"/>
        <v>286</v>
      </c>
      <c r="AG154">
        <f t="shared" si="45"/>
        <v>935</v>
      </c>
      <c r="AH154">
        <f t="shared" si="46"/>
        <v>260</v>
      </c>
      <c r="AI154">
        <f t="shared" si="47"/>
        <v>1187</v>
      </c>
      <c r="AJ154">
        <f t="shared" si="48"/>
        <v>618</v>
      </c>
      <c r="AK154">
        <f t="shared" si="48"/>
        <v>924</v>
      </c>
    </row>
    <row r="155" spans="1:37" x14ac:dyDescent="0.25">
      <c r="A155" s="4">
        <v>2011</v>
      </c>
      <c r="B155" s="4" t="s">
        <v>30</v>
      </c>
      <c r="C155" s="5">
        <v>76</v>
      </c>
      <c r="D155" s="5">
        <v>1100</v>
      </c>
      <c r="E155" s="5">
        <v>749</v>
      </c>
      <c r="F155" s="5">
        <v>427</v>
      </c>
      <c r="G155" s="5">
        <v>254</v>
      </c>
      <c r="H155" s="5">
        <v>1471</v>
      </c>
      <c r="I155" s="5">
        <v>423</v>
      </c>
      <c r="J155" s="5">
        <v>225</v>
      </c>
      <c r="K155" s="5">
        <v>393</v>
      </c>
      <c r="L155" s="5">
        <v>163</v>
      </c>
      <c r="M155" s="5">
        <v>1340</v>
      </c>
      <c r="N155" s="5">
        <v>286</v>
      </c>
      <c r="O155" s="5">
        <v>846</v>
      </c>
      <c r="P155" s="5">
        <v>265</v>
      </c>
      <c r="Q155" s="5">
        <v>1186</v>
      </c>
      <c r="R155" s="5">
        <v>535</v>
      </c>
      <c r="S155" s="5">
        <v>964</v>
      </c>
      <c r="T155" s="19"/>
      <c r="U155">
        <f t="shared" si="33"/>
        <v>76</v>
      </c>
      <c r="V155">
        <f t="shared" si="34"/>
        <v>1100</v>
      </c>
      <c r="W155">
        <f t="shared" si="35"/>
        <v>749</v>
      </c>
      <c r="X155">
        <f t="shared" si="36"/>
        <v>427</v>
      </c>
      <c r="Y155">
        <f t="shared" si="37"/>
        <v>254</v>
      </c>
      <c r="Z155">
        <f t="shared" si="38"/>
        <v>1471</v>
      </c>
      <c r="AA155">
        <f t="shared" si="39"/>
        <v>423</v>
      </c>
      <c r="AB155">
        <f t="shared" si="40"/>
        <v>225</v>
      </c>
      <c r="AC155">
        <f t="shared" si="41"/>
        <v>393</v>
      </c>
      <c r="AD155">
        <f t="shared" si="42"/>
        <v>163</v>
      </c>
      <c r="AE155">
        <f t="shared" si="43"/>
        <v>1340</v>
      </c>
      <c r="AF155">
        <f t="shared" si="44"/>
        <v>286</v>
      </c>
      <c r="AG155">
        <f t="shared" si="45"/>
        <v>846</v>
      </c>
      <c r="AH155">
        <f t="shared" si="46"/>
        <v>265</v>
      </c>
      <c r="AI155">
        <f t="shared" si="47"/>
        <v>1186</v>
      </c>
      <c r="AJ155">
        <f t="shared" si="48"/>
        <v>535</v>
      </c>
      <c r="AK155">
        <f t="shared" si="48"/>
        <v>964</v>
      </c>
    </row>
    <row r="156" spans="1:37" x14ac:dyDescent="0.25">
      <c r="A156" s="4">
        <v>2011</v>
      </c>
      <c r="B156" s="4" t="s">
        <v>19</v>
      </c>
      <c r="C156" s="5">
        <v>59</v>
      </c>
      <c r="D156" s="5">
        <v>1327</v>
      </c>
      <c r="E156" s="5">
        <v>783</v>
      </c>
      <c r="F156" s="5">
        <v>434</v>
      </c>
      <c r="G156" s="5">
        <v>242</v>
      </c>
      <c r="H156" s="5">
        <v>1459</v>
      </c>
      <c r="I156" s="5">
        <v>399</v>
      </c>
      <c r="J156" s="5">
        <v>235</v>
      </c>
      <c r="K156" s="5">
        <v>323</v>
      </c>
      <c r="L156" s="5">
        <v>191</v>
      </c>
      <c r="M156" s="5">
        <v>1403</v>
      </c>
      <c r="N156" s="5">
        <v>245</v>
      </c>
      <c r="O156" s="5">
        <v>956</v>
      </c>
      <c r="P156" s="5">
        <v>283</v>
      </c>
      <c r="Q156" s="5">
        <v>1112</v>
      </c>
      <c r="R156" s="5">
        <v>505</v>
      </c>
      <c r="S156" s="5">
        <v>892</v>
      </c>
      <c r="T156" s="19"/>
      <c r="U156">
        <f t="shared" si="33"/>
        <v>59</v>
      </c>
      <c r="V156">
        <f t="shared" si="34"/>
        <v>1327</v>
      </c>
      <c r="W156">
        <f t="shared" si="35"/>
        <v>783</v>
      </c>
      <c r="X156">
        <f t="shared" si="36"/>
        <v>434</v>
      </c>
      <c r="Y156">
        <f t="shared" si="37"/>
        <v>242</v>
      </c>
      <c r="Z156">
        <f t="shared" si="38"/>
        <v>1459</v>
      </c>
      <c r="AA156">
        <f t="shared" si="39"/>
        <v>399</v>
      </c>
      <c r="AB156">
        <f t="shared" si="40"/>
        <v>235</v>
      </c>
      <c r="AC156">
        <f t="shared" si="41"/>
        <v>323</v>
      </c>
      <c r="AD156">
        <f t="shared" si="42"/>
        <v>191</v>
      </c>
      <c r="AE156">
        <f t="shared" si="43"/>
        <v>1403</v>
      </c>
      <c r="AF156">
        <f t="shared" si="44"/>
        <v>245</v>
      </c>
      <c r="AG156">
        <f t="shared" si="45"/>
        <v>956</v>
      </c>
      <c r="AH156">
        <f t="shared" si="46"/>
        <v>283</v>
      </c>
      <c r="AI156">
        <f t="shared" si="47"/>
        <v>1112</v>
      </c>
      <c r="AJ156">
        <f t="shared" si="48"/>
        <v>505</v>
      </c>
      <c r="AK156">
        <f t="shared" si="48"/>
        <v>892</v>
      </c>
    </row>
    <row r="157" spans="1:37" x14ac:dyDescent="0.25">
      <c r="A157" s="4">
        <v>2011</v>
      </c>
      <c r="B157" s="4" t="s">
        <v>96</v>
      </c>
      <c r="C157" s="5">
        <v>52</v>
      </c>
      <c r="D157" s="5">
        <v>1383</v>
      </c>
      <c r="E157" s="5">
        <v>887</v>
      </c>
      <c r="F157" s="5">
        <v>485</v>
      </c>
      <c r="G157" s="5">
        <v>268</v>
      </c>
      <c r="H157" s="5">
        <v>1566</v>
      </c>
      <c r="I157" s="5">
        <v>484</v>
      </c>
      <c r="J157" s="5">
        <v>222</v>
      </c>
      <c r="K157" s="5">
        <v>394</v>
      </c>
      <c r="L157" s="5">
        <v>188</v>
      </c>
      <c r="M157" s="5">
        <v>1430</v>
      </c>
      <c r="N157" s="5">
        <v>284</v>
      </c>
      <c r="O157" s="5">
        <v>933</v>
      </c>
      <c r="P157" s="5">
        <v>282</v>
      </c>
      <c r="Q157" s="5">
        <v>1246</v>
      </c>
      <c r="R157" s="5">
        <v>551</v>
      </c>
      <c r="S157" s="5">
        <v>1013</v>
      </c>
      <c r="T157" s="19"/>
      <c r="U157" t="str">
        <f t="shared" si="33"/>
        <v/>
      </c>
      <c r="V157" t="str">
        <f t="shared" si="34"/>
        <v/>
      </c>
      <c r="W157" t="str">
        <f t="shared" si="35"/>
        <v/>
      </c>
      <c r="X157" t="str">
        <f t="shared" si="36"/>
        <v/>
      </c>
      <c r="Y157" t="str">
        <f t="shared" si="37"/>
        <v/>
      </c>
      <c r="Z157" t="str">
        <f t="shared" si="38"/>
        <v/>
      </c>
      <c r="AA157" t="str">
        <f t="shared" si="39"/>
        <v/>
      </c>
      <c r="AB157" t="str">
        <f t="shared" si="40"/>
        <v/>
      </c>
      <c r="AC157" t="str">
        <f t="shared" si="41"/>
        <v/>
      </c>
      <c r="AD157" t="str">
        <f t="shared" si="42"/>
        <v/>
      </c>
      <c r="AE157" t="str">
        <f t="shared" si="43"/>
        <v/>
      </c>
      <c r="AF157" t="str">
        <f t="shared" si="44"/>
        <v/>
      </c>
      <c r="AG157" t="str">
        <f t="shared" si="45"/>
        <v/>
      </c>
      <c r="AH157" t="str">
        <f t="shared" si="46"/>
        <v/>
      </c>
      <c r="AI157" t="str">
        <f t="shared" si="47"/>
        <v/>
      </c>
      <c r="AJ157" t="str">
        <f t="shared" si="48"/>
        <v/>
      </c>
      <c r="AK157" t="str">
        <f t="shared" si="48"/>
        <v/>
      </c>
    </row>
    <row r="158" spans="1:37" x14ac:dyDescent="0.25">
      <c r="A158" s="4">
        <v>2012</v>
      </c>
      <c r="B158" s="4" t="s">
        <v>20</v>
      </c>
      <c r="C158" s="5">
        <v>78</v>
      </c>
      <c r="D158" s="5">
        <v>1479</v>
      </c>
      <c r="E158" s="5">
        <v>796</v>
      </c>
      <c r="F158" s="5">
        <v>487</v>
      </c>
      <c r="G158" s="5">
        <v>273</v>
      </c>
      <c r="H158" s="5">
        <v>1633</v>
      </c>
      <c r="I158" s="5">
        <v>400</v>
      </c>
      <c r="J158" s="5">
        <v>227</v>
      </c>
      <c r="K158" s="5">
        <v>264</v>
      </c>
      <c r="L158" s="5">
        <v>198</v>
      </c>
      <c r="M158" s="5">
        <v>1441</v>
      </c>
      <c r="N158" s="5">
        <v>277</v>
      </c>
      <c r="O158" s="5">
        <v>937</v>
      </c>
      <c r="P158" s="5">
        <v>343</v>
      </c>
      <c r="Q158" s="5">
        <v>1304</v>
      </c>
      <c r="R158" s="5">
        <v>601</v>
      </c>
      <c r="S158" s="5">
        <v>890</v>
      </c>
      <c r="T158" s="19"/>
      <c r="U158">
        <f t="shared" si="33"/>
        <v>78</v>
      </c>
      <c r="V158">
        <f t="shared" si="34"/>
        <v>1479</v>
      </c>
      <c r="W158">
        <f t="shared" si="35"/>
        <v>796</v>
      </c>
      <c r="X158">
        <f t="shared" si="36"/>
        <v>487</v>
      </c>
      <c r="Y158">
        <f t="shared" si="37"/>
        <v>273</v>
      </c>
      <c r="Z158">
        <f t="shared" si="38"/>
        <v>1633</v>
      </c>
      <c r="AA158">
        <f t="shared" si="39"/>
        <v>400</v>
      </c>
      <c r="AB158">
        <f t="shared" si="40"/>
        <v>227</v>
      </c>
      <c r="AC158">
        <f t="shared" si="41"/>
        <v>264</v>
      </c>
      <c r="AD158">
        <f t="shared" si="42"/>
        <v>198</v>
      </c>
      <c r="AE158">
        <f t="shared" si="43"/>
        <v>1441</v>
      </c>
      <c r="AF158">
        <f t="shared" si="44"/>
        <v>277</v>
      </c>
      <c r="AG158">
        <f t="shared" si="45"/>
        <v>937</v>
      </c>
      <c r="AH158">
        <f t="shared" si="46"/>
        <v>343</v>
      </c>
      <c r="AI158">
        <f t="shared" si="47"/>
        <v>1304</v>
      </c>
      <c r="AJ158">
        <f t="shared" si="48"/>
        <v>601</v>
      </c>
      <c r="AK158">
        <f t="shared" si="48"/>
        <v>890</v>
      </c>
    </row>
    <row r="159" spans="1:37" x14ac:dyDescent="0.25">
      <c r="A159" s="4">
        <v>2012</v>
      </c>
      <c r="B159" s="4" t="s">
        <v>21</v>
      </c>
      <c r="C159" s="5">
        <v>66</v>
      </c>
      <c r="D159" s="5">
        <v>1404</v>
      </c>
      <c r="E159" s="5">
        <v>787</v>
      </c>
      <c r="F159" s="5">
        <v>506</v>
      </c>
      <c r="G159" s="5">
        <v>268</v>
      </c>
      <c r="H159" s="5">
        <v>1556</v>
      </c>
      <c r="I159" s="5">
        <v>440</v>
      </c>
      <c r="J159" s="5">
        <v>247</v>
      </c>
      <c r="K159" s="5">
        <v>288</v>
      </c>
      <c r="L159" s="5">
        <v>210</v>
      </c>
      <c r="M159" s="5">
        <v>1590</v>
      </c>
      <c r="N159" s="5">
        <v>174</v>
      </c>
      <c r="O159" s="5">
        <v>1023</v>
      </c>
      <c r="P159" s="5">
        <v>244</v>
      </c>
      <c r="Q159" s="5">
        <v>1252</v>
      </c>
      <c r="R159" s="5">
        <v>461</v>
      </c>
      <c r="S159" s="5">
        <v>848</v>
      </c>
      <c r="T159" s="19"/>
      <c r="U159">
        <f t="shared" si="33"/>
        <v>66</v>
      </c>
      <c r="V159">
        <f t="shared" si="34"/>
        <v>1404</v>
      </c>
      <c r="W159">
        <f t="shared" si="35"/>
        <v>787</v>
      </c>
      <c r="X159">
        <f t="shared" si="36"/>
        <v>506</v>
      </c>
      <c r="Y159">
        <f t="shared" si="37"/>
        <v>268</v>
      </c>
      <c r="Z159">
        <f t="shared" si="38"/>
        <v>1556</v>
      </c>
      <c r="AA159">
        <f t="shared" si="39"/>
        <v>440</v>
      </c>
      <c r="AB159">
        <f t="shared" si="40"/>
        <v>247</v>
      </c>
      <c r="AC159">
        <f t="shared" si="41"/>
        <v>288</v>
      </c>
      <c r="AD159">
        <f t="shared" si="42"/>
        <v>210</v>
      </c>
      <c r="AE159">
        <f t="shared" si="43"/>
        <v>1590</v>
      </c>
      <c r="AF159">
        <f t="shared" si="44"/>
        <v>174</v>
      </c>
      <c r="AG159">
        <f t="shared" si="45"/>
        <v>1023</v>
      </c>
      <c r="AH159">
        <f t="shared" si="46"/>
        <v>244</v>
      </c>
      <c r="AI159">
        <f t="shared" si="47"/>
        <v>1252</v>
      </c>
      <c r="AJ159">
        <f t="shared" si="48"/>
        <v>461</v>
      </c>
      <c r="AK159">
        <f t="shared" si="48"/>
        <v>848</v>
      </c>
    </row>
    <row r="160" spans="1:37" x14ac:dyDescent="0.25">
      <c r="A160" s="4">
        <v>2012</v>
      </c>
      <c r="B160" s="4" t="s">
        <v>22</v>
      </c>
      <c r="C160" s="5">
        <v>62</v>
      </c>
      <c r="D160" s="5">
        <v>1431</v>
      </c>
      <c r="E160" s="5">
        <v>684</v>
      </c>
      <c r="F160" s="5">
        <v>480</v>
      </c>
      <c r="G160" s="5">
        <v>249</v>
      </c>
      <c r="H160" s="5">
        <v>1514</v>
      </c>
      <c r="I160" s="5">
        <v>383</v>
      </c>
      <c r="J160" s="5">
        <v>232</v>
      </c>
      <c r="K160" s="5">
        <v>330</v>
      </c>
      <c r="L160" s="5">
        <v>207</v>
      </c>
      <c r="M160" s="5">
        <v>1521</v>
      </c>
      <c r="N160" s="5">
        <v>234</v>
      </c>
      <c r="O160" s="5">
        <v>937</v>
      </c>
      <c r="P160" s="5">
        <v>214</v>
      </c>
      <c r="Q160" s="5">
        <v>1181</v>
      </c>
      <c r="R160" s="5">
        <v>447</v>
      </c>
      <c r="S160" s="5">
        <v>787</v>
      </c>
      <c r="T160" s="19"/>
      <c r="U160">
        <f t="shared" si="33"/>
        <v>62</v>
      </c>
      <c r="V160">
        <f t="shared" si="34"/>
        <v>1431</v>
      </c>
      <c r="W160">
        <f t="shared" si="35"/>
        <v>684</v>
      </c>
      <c r="X160">
        <f t="shared" si="36"/>
        <v>480</v>
      </c>
      <c r="Y160">
        <f t="shared" si="37"/>
        <v>249</v>
      </c>
      <c r="Z160">
        <f t="shared" si="38"/>
        <v>1514</v>
      </c>
      <c r="AA160">
        <f t="shared" si="39"/>
        <v>383</v>
      </c>
      <c r="AB160">
        <f t="shared" si="40"/>
        <v>232</v>
      </c>
      <c r="AC160">
        <f t="shared" si="41"/>
        <v>330</v>
      </c>
      <c r="AD160">
        <f t="shared" si="42"/>
        <v>207</v>
      </c>
      <c r="AE160">
        <f t="shared" si="43"/>
        <v>1521</v>
      </c>
      <c r="AF160">
        <f t="shared" si="44"/>
        <v>234</v>
      </c>
      <c r="AG160">
        <f t="shared" si="45"/>
        <v>937</v>
      </c>
      <c r="AH160">
        <f t="shared" si="46"/>
        <v>214</v>
      </c>
      <c r="AI160">
        <f t="shared" si="47"/>
        <v>1181</v>
      </c>
      <c r="AJ160">
        <f t="shared" si="48"/>
        <v>447</v>
      </c>
      <c r="AK160">
        <f t="shared" si="48"/>
        <v>787</v>
      </c>
    </row>
    <row r="161" spans="1:37" x14ac:dyDescent="0.25">
      <c r="A161" s="4">
        <v>2012</v>
      </c>
      <c r="B161" s="4" t="s">
        <v>23</v>
      </c>
      <c r="C161" s="5">
        <v>43</v>
      </c>
      <c r="D161" s="5">
        <v>1156</v>
      </c>
      <c r="E161" s="5">
        <v>620</v>
      </c>
      <c r="F161" s="5">
        <v>427</v>
      </c>
      <c r="G161" s="5">
        <v>223</v>
      </c>
      <c r="H161" s="5">
        <v>1380</v>
      </c>
      <c r="I161" s="5">
        <v>453</v>
      </c>
      <c r="J161" s="5">
        <v>243</v>
      </c>
      <c r="K161" s="5">
        <v>333</v>
      </c>
      <c r="L161" s="5">
        <v>172</v>
      </c>
      <c r="M161" s="5">
        <v>1322</v>
      </c>
      <c r="N161" s="5">
        <v>216</v>
      </c>
      <c r="O161" s="5">
        <v>842</v>
      </c>
      <c r="P161" s="5">
        <v>210</v>
      </c>
      <c r="Q161" s="5">
        <v>1080</v>
      </c>
      <c r="R161" s="5">
        <v>478</v>
      </c>
      <c r="S161" s="5">
        <v>786</v>
      </c>
      <c r="T161" s="19"/>
      <c r="U161">
        <f t="shared" si="33"/>
        <v>43</v>
      </c>
      <c r="V161">
        <f t="shared" si="34"/>
        <v>1156</v>
      </c>
      <c r="W161">
        <f t="shared" si="35"/>
        <v>620</v>
      </c>
      <c r="X161">
        <f t="shared" si="36"/>
        <v>427</v>
      </c>
      <c r="Y161">
        <f t="shared" si="37"/>
        <v>223</v>
      </c>
      <c r="Z161">
        <f t="shared" si="38"/>
        <v>1380</v>
      </c>
      <c r="AA161">
        <f t="shared" si="39"/>
        <v>453</v>
      </c>
      <c r="AB161">
        <f t="shared" si="40"/>
        <v>243</v>
      </c>
      <c r="AC161">
        <f t="shared" si="41"/>
        <v>333</v>
      </c>
      <c r="AD161">
        <f t="shared" si="42"/>
        <v>172</v>
      </c>
      <c r="AE161">
        <f t="shared" si="43"/>
        <v>1322</v>
      </c>
      <c r="AF161">
        <f t="shared" si="44"/>
        <v>216</v>
      </c>
      <c r="AG161">
        <f t="shared" si="45"/>
        <v>842</v>
      </c>
      <c r="AH161">
        <f t="shared" si="46"/>
        <v>210</v>
      </c>
      <c r="AI161">
        <f t="shared" si="47"/>
        <v>1080</v>
      </c>
      <c r="AJ161">
        <f t="shared" si="48"/>
        <v>478</v>
      </c>
      <c r="AK161">
        <f t="shared" si="48"/>
        <v>786</v>
      </c>
    </row>
    <row r="162" spans="1:37" x14ac:dyDescent="0.25">
      <c r="A162" s="4">
        <v>2012</v>
      </c>
      <c r="B162" s="4" t="s">
        <v>24</v>
      </c>
      <c r="C162" s="5">
        <v>47</v>
      </c>
      <c r="D162" s="5">
        <v>1150</v>
      </c>
      <c r="E162" s="5">
        <v>683</v>
      </c>
      <c r="F162" s="5">
        <v>416</v>
      </c>
      <c r="G162" s="5">
        <v>212</v>
      </c>
      <c r="H162" s="5">
        <v>1442</v>
      </c>
      <c r="I162" s="5">
        <v>480</v>
      </c>
      <c r="J162" s="5">
        <v>230</v>
      </c>
      <c r="K162" s="5">
        <v>303</v>
      </c>
      <c r="L162" s="5">
        <v>159</v>
      </c>
      <c r="M162" s="5">
        <v>1296</v>
      </c>
      <c r="N162" s="5">
        <v>237</v>
      </c>
      <c r="O162" s="5">
        <v>936</v>
      </c>
      <c r="P162" s="5">
        <v>250</v>
      </c>
      <c r="Q162" s="5">
        <v>1076</v>
      </c>
      <c r="R162" s="5">
        <v>501</v>
      </c>
      <c r="S162" s="5">
        <v>899</v>
      </c>
      <c r="T162" s="19"/>
      <c r="U162">
        <f t="shared" si="33"/>
        <v>47</v>
      </c>
      <c r="V162">
        <f t="shared" si="34"/>
        <v>1150</v>
      </c>
      <c r="W162">
        <f t="shared" si="35"/>
        <v>683</v>
      </c>
      <c r="X162">
        <f t="shared" si="36"/>
        <v>416</v>
      </c>
      <c r="Y162">
        <f t="shared" si="37"/>
        <v>212</v>
      </c>
      <c r="Z162">
        <f t="shared" si="38"/>
        <v>1442</v>
      </c>
      <c r="AA162">
        <f t="shared" si="39"/>
        <v>480</v>
      </c>
      <c r="AB162">
        <f t="shared" si="40"/>
        <v>230</v>
      </c>
      <c r="AC162">
        <f t="shared" si="41"/>
        <v>303</v>
      </c>
      <c r="AD162">
        <f t="shared" si="42"/>
        <v>159</v>
      </c>
      <c r="AE162">
        <f t="shared" si="43"/>
        <v>1296</v>
      </c>
      <c r="AF162">
        <f t="shared" si="44"/>
        <v>237</v>
      </c>
      <c r="AG162">
        <f t="shared" si="45"/>
        <v>936</v>
      </c>
      <c r="AH162">
        <f t="shared" si="46"/>
        <v>250</v>
      </c>
      <c r="AI162">
        <f t="shared" si="47"/>
        <v>1076</v>
      </c>
      <c r="AJ162">
        <f t="shared" si="48"/>
        <v>501</v>
      </c>
      <c r="AK162">
        <f t="shared" si="48"/>
        <v>899</v>
      </c>
    </row>
    <row r="163" spans="1:37" x14ac:dyDescent="0.25">
      <c r="A163" s="4">
        <v>2012</v>
      </c>
      <c r="B163" s="4" t="s">
        <v>25</v>
      </c>
      <c r="C163" s="5">
        <v>52</v>
      </c>
      <c r="D163" s="5">
        <v>1039</v>
      </c>
      <c r="E163" s="5">
        <v>654</v>
      </c>
      <c r="F163" s="5">
        <v>402</v>
      </c>
      <c r="G163" s="5">
        <v>228</v>
      </c>
      <c r="H163" s="5">
        <v>1481</v>
      </c>
      <c r="I163" s="5">
        <v>437</v>
      </c>
      <c r="J163" s="5">
        <v>201</v>
      </c>
      <c r="K163" s="5">
        <v>337</v>
      </c>
      <c r="L163" s="5">
        <v>172</v>
      </c>
      <c r="M163" s="5">
        <v>1356</v>
      </c>
      <c r="N163" s="5">
        <v>391</v>
      </c>
      <c r="O163" s="5">
        <v>977</v>
      </c>
      <c r="P163" s="5">
        <v>248</v>
      </c>
      <c r="Q163" s="5">
        <v>1159</v>
      </c>
      <c r="R163" s="5">
        <v>492</v>
      </c>
      <c r="S163" s="5">
        <v>1079</v>
      </c>
      <c r="T163" s="19"/>
      <c r="U163">
        <f t="shared" si="33"/>
        <v>52</v>
      </c>
      <c r="V163">
        <f t="shared" si="34"/>
        <v>1039</v>
      </c>
      <c r="W163">
        <f t="shared" si="35"/>
        <v>654</v>
      </c>
      <c r="X163">
        <f t="shared" si="36"/>
        <v>402</v>
      </c>
      <c r="Y163">
        <f t="shared" si="37"/>
        <v>228</v>
      </c>
      <c r="Z163">
        <f t="shared" si="38"/>
        <v>1481</v>
      </c>
      <c r="AA163">
        <f t="shared" si="39"/>
        <v>437</v>
      </c>
      <c r="AB163">
        <f t="shared" si="40"/>
        <v>201</v>
      </c>
      <c r="AC163">
        <f t="shared" si="41"/>
        <v>337</v>
      </c>
      <c r="AD163">
        <f t="shared" si="42"/>
        <v>172</v>
      </c>
      <c r="AE163">
        <f t="shared" si="43"/>
        <v>1356</v>
      </c>
      <c r="AF163">
        <f t="shared" si="44"/>
        <v>391</v>
      </c>
      <c r="AG163">
        <f t="shared" si="45"/>
        <v>977</v>
      </c>
      <c r="AH163">
        <f t="shared" si="46"/>
        <v>248</v>
      </c>
      <c r="AI163">
        <f t="shared" si="47"/>
        <v>1159</v>
      </c>
      <c r="AJ163">
        <f t="shared" si="48"/>
        <v>492</v>
      </c>
      <c r="AK163">
        <f t="shared" si="48"/>
        <v>1079</v>
      </c>
    </row>
    <row r="164" spans="1:37" x14ac:dyDescent="0.25">
      <c r="A164" s="4">
        <v>2012</v>
      </c>
      <c r="B164" s="4" t="s">
        <v>26</v>
      </c>
      <c r="C164" s="5">
        <v>83</v>
      </c>
      <c r="D164" s="5">
        <v>994</v>
      </c>
      <c r="E164" s="5">
        <v>703</v>
      </c>
      <c r="F164" s="5">
        <v>426</v>
      </c>
      <c r="G164" s="5">
        <v>212</v>
      </c>
      <c r="H164" s="5">
        <v>1568</v>
      </c>
      <c r="I164" s="5">
        <v>392</v>
      </c>
      <c r="J164" s="5">
        <v>190</v>
      </c>
      <c r="K164" s="5">
        <v>313</v>
      </c>
      <c r="L164" s="5">
        <v>145</v>
      </c>
      <c r="M164" s="5">
        <v>1378</v>
      </c>
      <c r="N164" s="5">
        <v>437</v>
      </c>
      <c r="O164" s="5">
        <v>998</v>
      </c>
      <c r="P164" s="5">
        <v>256</v>
      </c>
      <c r="Q164" s="5">
        <v>1164</v>
      </c>
      <c r="R164" s="5">
        <v>433</v>
      </c>
      <c r="S164" s="5">
        <v>1182</v>
      </c>
      <c r="T164" s="19"/>
      <c r="U164">
        <f t="shared" si="33"/>
        <v>83</v>
      </c>
      <c r="V164">
        <f t="shared" si="34"/>
        <v>994</v>
      </c>
      <c r="W164">
        <f t="shared" si="35"/>
        <v>703</v>
      </c>
      <c r="X164">
        <f t="shared" si="36"/>
        <v>426</v>
      </c>
      <c r="Y164">
        <f t="shared" si="37"/>
        <v>212</v>
      </c>
      <c r="Z164">
        <f t="shared" si="38"/>
        <v>1568</v>
      </c>
      <c r="AA164">
        <f t="shared" si="39"/>
        <v>392</v>
      </c>
      <c r="AB164">
        <f t="shared" si="40"/>
        <v>190</v>
      </c>
      <c r="AC164">
        <f t="shared" si="41"/>
        <v>313</v>
      </c>
      <c r="AD164">
        <f t="shared" si="42"/>
        <v>145</v>
      </c>
      <c r="AE164">
        <f t="shared" si="43"/>
        <v>1378</v>
      </c>
      <c r="AF164">
        <f t="shared" si="44"/>
        <v>437</v>
      </c>
      <c r="AG164">
        <f t="shared" si="45"/>
        <v>998</v>
      </c>
      <c r="AH164">
        <f t="shared" si="46"/>
        <v>256</v>
      </c>
      <c r="AI164">
        <f t="shared" si="47"/>
        <v>1164</v>
      </c>
      <c r="AJ164">
        <f t="shared" si="48"/>
        <v>433</v>
      </c>
      <c r="AK164">
        <f t="shared" si="48"/>
        <v>1182</v>
      </c>
    </row>
    <row r="165" spans="1:37" x14ac:dyDescent="0.25">
      <c r="A165" s="4">
        <v>2012</v>
      </c>
      <c r="B165" s="4" t="s">
        <v>27</v>
      </c>
      <c r="C165" s="5">
        <v>61</v>
      </c>
      <c r="D165" s="5">
        <v>923</v>
      </c>
      <c r="E165" s="5">
        <v>698</v>
      </c>
      <c r="F165" s="5">
        <v>437</v>
      </c>
      <c r="G165" s="5">
        <v>222</v>
      </c>
      <c r="H165" s="5">
        <v>1501</v>
      </c>
      <c r="I165" s="5">
        <v>424</v>
      </c>
      <c r="J165" s="5">
        <v>211</v>
      </c>
      <c r="K165" s="5">
        <v>321</v>
      </c>
      <c r="L165" s="5">
        <v>148</v>
      </c>
      <c r="M165" s="5">
        <v>1377</v>
      </c>
      <c r="N165" s="5">
        <v>392</v>
      </c>
      <c r="O165" s="5">
        <v>977</v>
      </c>
      <c r="P165" s="5">
        <v>214</v>
      </c>
      <c r="Q165" s="5">
        <v>1202</v>
      </c>
      <c r="R165" s="5">
        <v>443</v>
      </c>
      <c r="S165" s="5">
        <v>1059</v>
      </c>
      <c r="T165" s="19"/>
      <c r="U165">
        <f t="shared" si="33"/>
        <v>61</v>
      </c>
      <c r="V165">
        <f t="shared" si="34"/>
        <v>923</v>
      </c>
      <c r="W165">
        <f t="shared" si="35"/>
        <v>698</v>
      </c>
      <c r="X165">
        <f t="shared" si="36"/>
        <v>437</v>
      </c>
      <c r="Y165">
        <f t="shared" si="37"/>
        <v>222</v>
      </c>
      <c r="Z165">
        <f t="shared" si="38"/>
        <v>1501</v>
      </c>
      <c r="AA165">
        <f t="shared" si="39"/>
        <v>424</v>
      </c>
      <c r="AB165">
        <f t="shared" si="40"/>
        <v>211</v>
      </c>
      <c r="AC165">
        <f t="shared" si="41"/>
        <v>321</v>
      </c>
      <c r="AD165">
        <f t="shared" si="42"/>
        <v>148</v>
      </c>
      <c r="AE165">
        <f t="shared" si="43"/>
        <v>1377</v>
      </c>
      <c r="AF165">
        <f t="shared" si="44"/>
        <v>392</v>
      </c>
      <c r="AG165">
        <f t="shared" si="45"/>
        <v>977</v>
      </c>
      <c r="AH165">
        <f t="shared" si="46"/>
        <v>214</v>
      </c>
      <c r="AI165">
        <f t="shared" si="47"/>
        <v>1202</v>
      </c>
      <c r="AJ165">
        <f t="shared" si="48"/>
        <v>443</v>
      </c>
      <c r="AK165">
        <f t="shared" si="48"/>
        <v>1059</v>
      </c>
    </row>
    <row r="166" spans="1:37" x14ac:dyDescent="0.25">
      <c r="A166" s="4">
        <v>2012</v>
      </c>
      <c r="B166" s="4" t="s">
        <v>28</v>
      </c>
      <c r="C166" s="5">
        <v>48</v>
      </c>
      <c r="D166" s="5">
        <v>954</v>
      </c>
      <c r="E166" s="5">
        <v>668</v>
      </c>
      <c r="F166" s="5">
        <v>364</v>
      </c>
      <c r="G166" s="5">
        <v>214</v>
      </c>
      <c r="H166" s="5">
        <v>1437</v>
      </c>
      <c r="I166" s="5">
        <v>372</v>
      </c>
      <c r="J166" s="5">
        <v>205</v>
      </c>
      <c r="K166" s="5">
        <v>302</v>
      </c>
      <c r="L166" s="5">
        <v>130</v>
      </c>
      <c r="M166" s="5">
        <v>1253</v>
      </c>
      <c r="N166" s="5">
        <v>337</v>
      </c>
      <c r="O166" s="5">
        <v>867</v>
      </c>
      <c r="P166" s="5">
        <v>240</v>
      </c>
      <c r="Q166" s="5">
        <v>1072</v>
      </c>
      <c r="R166" s="5">
        <v>473</v>
      </c>
      <c r="S166" s="5">
        <v>943</v>
      </c>
      <c r="T166" s="19"/>
      <c r="U166">
        <f t="shared" si="33"/>
        <v>48</v>
      </c>
      <c r="V166">
        <f t="shared" si="34"/>
        <v>954</v>
      </c>
      <c r="W166">
        <f t="shared" si="35"/>
        <v>668</v>
      </c>
      <c r="X166">
        <f t="shared" si="36"/>
        <v>364</v>
      </c>
      <c r="Y166">
        <f t="shared" si="37"/>
        <v>214</v>
      </c>
      <c r="Z166">
        <f t="shared" si="38"/>
        <v>1437</v>
      </c>
      <c r="AA166">
        <f t="shared" si="39"/>
        <v>372</v>
      </c>
      <c r="AB166">
        <f t="shared" si="40"/>
        <v>205</v>
      </c>
      <c r="AC166">
        <f t="shared" si="41"/>
        <v>302</v>
      </c>
      <c r="AD166">
        <f t="shared" si="42"/>
        <v>130</v>
      </c>
      <c r="AE166">
        <f t="shared" si="43"/>
        <v>1253</v>
      </c>
      <c r="AF166">
        <f t="shared" si="44"/>
        <v>337</v>
      </c>
      <c r="AG166">
        <f t="shared" si="45"/>
        <v>867</v>
      </c>
      <c r="AH166">
        <f t="shared" si="46"/>
        <v>240</v>
      </c>
      <c r="AI166">
        <f t="shared" si="47"/>
        <v>1072</v>
      </c>
      <c r="AJ166">
        <f t="shared" si="48"/>
        <v>473</v>
      </c>
      <c r="AK166">
        <f t="shared" si="48"/>
        <v>943</v>
      </c>
    </row>
    <row r="167" spans="1:37" x14ac:dyDescent="0.25">
      <c r="A167" s="4">
        <v>2012</v>
      </c>
      <c r="B167" s="4" t="s">
        <v>29</v>
      </c>
      <c r="C167" s="5">
        <v>61</v>
      </c>
      <c r="D167" s="5">
        <v>930</v>
      </c>
      <c r="E167" s="5">
        <v>672</v>
      </c>
      <c r="F167" s="5">
        <v>430</v>
      </c>
      <c r="G167" s="5">
        <v>209</v>
      </c>
      <c r="H167" s="5">
        <v>1247</v>
      </c>
      <c r="I167" s="5">
        <v>376</v>
      </c>
      <c r="J167" s="5">
        <v>215</v>
      </c>
      <c r="K167" s="5">
        <v>289</v>
      </c>
      <c r="L167" s="5">
        <v>153</v>
      </c>
      <c r="M167" s="5">
        <v>1252</v>
      </c>
      <c r="N167" s="5">
        <v>287</v>
      </c>
      <c r="O167" s="5">
        <v>957</v>
      </c>
      <c r="P167" s="5">
        <v>217</v>
      </c>
      <c r="Q167" s="5">
        <v>1135</v>
      </c>
      <c r="R167" s="5">
        <v>460</v>
      </c>
      <c r="S167" s="5">
        <v>907</v>
      </c>
      <c r="T167" s="19"/>
      <c r="U167">
        <f t="shared" si="33"/>
        <v>61</v>
      </c>
      <c r="V167">
        <f t="shared" si="34"/>
        <v>930</v>
      </c>
      <c r="W167">
        <f t="shared" si="35"/>
        <v>672</v>
      </c>
      <c r="X167">
        <f t="shared" si="36"/>
        <v>430</v>
      </c>
      <c r="Y167">
        <f t="shared" si="37"/>
        <v>209</v>
      </c>
      <c r="Z167">
        <f t="shared" si="38"/>
        <v>1247</v>
      </c>
      <c r="AA167">
        <f t="shared" si="39"/>
        <v>376</v>
      </c>
      <c r="AB167">
        <f t="shared" si="40"/>
        <v>215</v>
      </c>
      <c r="AC167">
        <f t="shared" si="41"/>
        <v>289</v>
      </c>
      <c r="AD167">
        <f t="shared" si="42"/>
        <v>153</v>
      </c>
      <c r="AE167">
        <f t="shared" si="43"/>
        <v>1252</v>
      </c>
      <c r="AF167">
        <f t="shared" si="44"/>
        <v>287</v>
      </c>
      <c r="AG167">
        <f t="shared" si="45"/>
        <v>957</v>
      </c>
      <c r="AH167">
        <f t="shared" si="46"/>
        <v>217</v>
      </c>
      <c r="AI167">
        <f t="shared" si="47"/>
        <v>1135</v>
      </c>
      <c r="AJ167">
        <f t="shared" si="48"/>
        <v>460</v>
      </c>
      <c r="AK167">
        <f t="shared" si="48"/>
        <v>907</v>
      </c>
    </row>
    <row r="168" spans="1:37" x14ac:dyDescent="0.25">
      <c r="A168" s="4">
        <v>2012</v>
      </c>
      <c r="B168" s="4" t="s">
        <v>30</v>
      </c>
      <c r="C168" s="5">
        <v>53</v>
      </c>
      <c r="D168" s="5">
        <v>988</v>
      </c>
      <c r="E168" s="5">
        <v>640</v>
      </c>
      <c r="F168" s="5">
        <v>341</v>
      </c>
      <c r="G168" s="5">
        <v>202</v>
      </c>
      <c r="H168" s="5">
        <v>1253</v>
      </c>
      <c r="I168" s="5">
        <v>398</v>
      </c>
      <c r="J168" s="5">
        <v>187</v>
      </c>
      <c r="K168" s="5">
        <v>295</v>
      </c>
      <c r="L168" s="5">
        <v>137</v>
      </c>
      <c r="M168" s="5">
        <v>1197</v>
      </c>
      <c r="N168" s="5">
        <v>287</v>
      </c>
      <c r="O168" s="5">
        <v>889</v>
      </c>
      <c r="P168" s="5">
        <v>233</v>
      </c>
      <c r="Q168" s="5">
        <v>1121</v>
      </c>
      <c r="R168" s="5">
        <v>381</v>
      </c>
      <c r="S168" s="5">
        <v>825</v>
      </c>
      <c r="T168" s="19"/>
      <c r="U168">
        <f t="shared" si="33"/>
        <v>53</v>
      </c>
      <c r="V168">
        <f t="shared" si="34"/>
        <v>988</v>
      </c>
      <c r="W168">
        <f t="shared" si="35"/>
        <v>640</v>
      </c>
      <c r="X168">
        <f t="shared" si="36"/>
        <v>341</v>
      </c>
      <c r="Y168">
        <f t="shared" si="37"/>
        <v>202</v>
      </c>
      <c r="Z168">
        <f t="shared" si="38"/>
        <v>1253</v>
      </c>
      <c r="AA168">
        <f t="shared" si="39"/>
        <v>398</v>
      </c>
      <c r="AB168">
        <f t="shared" si="40"/>
        <v>187</v>
      </c>
      <c r="AC168">
        <f t="shared" si="41"/>
        <v>295</v>
      </c>
      <c r="AD168">
        <f t="shared" si="42"/>
        <v>137</v>
      </c>
      <c r="AE168">
        <f t="shared" si="43"/>
        <v>1197</v>
      </c>
      <c r="AF168">
        <f t="shared" si="44"/>
        <v>287</v>
      </c>
      <c r="AG168">
        <f t="shared" si="45"/>
        <v>889</v>
      </c>
      <c r="AH168">
        <f t="shared" si="46"/>
        <v>233</v>
      </c>
      <c r="AI168">
        <f t="shared" si="47"/>
        <v>1121</v>
      </c>
      <c r="AJ168">
        <f t="shared" si="48"/>
        <v>381</v>
      </c>
      <c r="AK168">
        <f t="shared" si="48"/>
        <v>825</v>
      </c>
    </row>
    <row r="169" spans="1:37" x14ac:dyDescent="0.25">
      <c r="A169" s="4">
        <v>2012</v>
      </c>
      <c r="B169" s="4" t="s">
        <v>19</v>
      </c>
      <c r="C169" s="5">
        <v>58</v>
      </c>
      <c r="D169" s="5">
        <v>1105</v>
      </c>
      <c r="E169" s="5">
        <v>706</v>
      </c>
      <c r="F169" s="5">
        <v>439</v>
      </c>
      <c r="G169" s="5">
        <v>183</v>
      </c>
      <c r="H169" s="5">
        <v>1247</v>
      </c>
      <c r="I169" s="5">
        <v>369</v>
      </c>
      <c r="J169" s="5">
        <v>229</v>
      </c>
      <c r="K169" s="5">
        <v>254</v>
      </c>
      <c r="L169" s="5">
        <v>132</v>
      </c>
      <c r="M169" s="5">
        <v>1307</v>
      </c>
      <c r="N169" s="5">
        <v>267</v>
      </c>
      <c r="O169" s="5">
        <v>910</v>
      </c>
      <c r="P169" s="5">
        <v>246</v>
      </c>
      <c r="Q169" s="5">
        <v>1179</v>
      </c>
      <c r="R169" s="5">
        <v>472</v>
      </c>
      <c r="S169" s="5">
        <v>874</v>
      </c>
      <c r="T169" s="19"/>
      <c r="U169">
        <f t="shared" si="33"/>
        <v>58</v>
      </c>
      <c r="V169">
        <f t="shared" si="34"/>
        <v>1105</v>
      </c>
      <c r="W169">
        <f t="shared" si="35"/>
        <v>706</v>
      </c>
      <c r="X169">
        <f t="shared" si="36"/>
        <v>439</v>
      </c>
      <c r="Y169">
        <f t="shared" si="37"/>
        <v>183</v>
      </c>
      <c r="Z169">
        <f t="shared" si="38"/>
        <v>1247</v>
      </c>
      <c r="AA169">
        <f t="shared" si="39"/>
        <v>369</v>
      </c>
      <c r="AB169">
        <f t="shared" si="40"/>
        <v>229</v>
      </c>
      <c r="AC169">
        <f t="shared" si="41"/>
        <v>254</v>
      </c>
      <c r="AD169">
        <f t="shared" si="42"/>
        <v>132</v>
      </c>
      <c r="AE169">
        <f t="shared" si="43"/>
        <v>1307</v>
      </c>
      <c r="AF169">
        <f t="shared" si="44"/>
        <v>267</v>
      </c>
      <c r="AG169">
        <f t="shared" si="45"/>
        <v>910</v>
      </c>
      <c r="AH169">
        <f t="shared" si="46"/>
        <v>246</v>
      </c>
      <c r="AI169">
        <f t="shared" si="47"/>
        <v>1179</v>
      </c>
      <c r="AJ169">
        <f t="shared" si="48"/>
        <v>472</v>
      </c>
      <c r="AK169">
        <f t="shared" si="48"/>
        <v>874</v>
      </c>
    </row>
    <row r="170" spans="1:37" x14ac:dyDescent="0.25">
      <c r="A170" s="4">
        <v>2012</v>
      </c>
      <c r="B170" s="4" t="s">
        <v>96</v>
      </c>
      <c r="C170" s="5">
        <v>59</v>
      </c>
      <c r="D170" s="5">
        <v>1129</v>
      </c>
      <c r="E170" s="5">
        <v>693</v>
      </c>
      <c r="F170" s="5">
        <v>430</v>
      </c>
      <c r="G170" s="5">
        <v>225</v>
      </c>
      <c r="H170" s="5">
        <v>1438</v>
      </c>
      <c r="I170" s="5">
        <v>410</v>
      </c>
      <c r="J170" s="5">
        <v>218</v>
      </c>
      <c r="K170" s="5">
        <v>302</v>
      </c>
      <c r="L170" s="5">
        <v>164</v>
      </c>
      <c r="M170" s="5">
        <v>1358</v>
      </c>
      <c r="N170" s="5">
        <v>295</v>
      </c>
      <c r="O170" s="5">
        <v>938</v>
      </c>
      <c r="P170" s="5">
        <v>243</v>
      </c>
      <c r="Q170" s="5">
        <v>1160</v>
      </c>
      <c r="R170" s="5">
        <v>470</v>
      </c>
      <c r="S170" s="5">
        <v>923</v>
      </c>
      <c r="T170" s="19"/>
      <c r="U170" t="str">
        <f t="shared" si="33"/>
        <v/>
      </c>
      <c r="V170" t="str">
        <f t="shared" si="34"/>
        <v/>
      </c>
      <c r="W170" t="str">
        <f t="shared" si="35"/>
        <v/>
      </c>
      <c r="X170" t="str">
        <f t="shared" si="36"/>
        <v/>
      </c>
      <c r="Y170" t="str">
        <f t="shared" si="37"/>
        <v/>
      </c>
      <c r="Z170" t="str">
        <f t="shared" si="38"/>
        <v/>
      </c>
      <c r="AA170" t="str">
        <f t="shared" si="39"/>
        <v/>
      </c>
      <c r="AB170" t="str">
        <f t="shared" si="40"/>
        <v/>
      </c>
      <c r="AC170" t="str">
        <f t="shared" si="41"/>
        <v/>
      </c>
      <c r="AD170" t="str">
        <f t="shared" si="42"/>
        <v/>
      </c>
      <c r="AE170" t="str">
        <f t="shared" si="43"/>
        <v/>
      </c>
      <c r="AF170" t="str">
        <f t="shared" si="44"/>
        <v/>
      </c>
      <c r="AG170" t="str">
        <f t="shared" si="45"/>
        <v/>
      </c>
      <c r="AH170" t="str">
        <f t="shared" si="46"/>
        <v/>
      </c>
      <c r="AI170" t="str">
        <f t="shared" si="47"/>
        <v/>
      </c>
      <c r="AJ170" t="str">
        <f t="shared" si="48"/>
        <v/>
      </c>
      <c r="AK170" t="str">
        <f t="shared" si="48"/>
        <v/>
      </c>
    </row>
    <row r="171" spans="1:37" x14ac:dyDescent="0.25">
      <c r="A171" s="4">
        <v>2013</v>
      </c>
      <c r="B171" s="4" t="s">
        <v>20</v>
      </c>
      <c r="C171" s="5">
        <v>97</v>
      </c>
      <c r="D171" s="5">
        <v>1322</v>
      </c>
      <c r="E171" s="5">
        <v>683</v>
      </c>
      <c r="F171" s="5">
        <v>523</v>
      </c>
      <c r="G171" s="5">
        <v>212</v>
      </c>
      <c r="H171" s="5">
        <v>1467</v>
      </c>
      <c r="I171" s="5">
        <v>474</v>
      </c>
      <c r="J171" s="5">
        <v>236</v>
      </c>
      <c r="K171" s="5">
        <v>303</v>
      </c>
      <c r="L171" s="5">
        <v>204</v>
      </c>
      <c r="M171" s="5">
        <v>1575</v>
      </c>
      <c r="N171" s="5">
        <v>246</v>
      </c>
      <c r="O171" s="5">
        <v>960</v>
      </c>
      <c r="P171" s="5">
        <v>288</v>
      </c>
      <c r="Q171" s="5">
        <v>1324</v>
      </c>
      <c r="R171" s="5">
        <v>521</v>
      </c>
      <c r="S171" s="5">
        <v>912</v>
      </c>
      <c r="T171" s="19"/>
      <c r="U171">
        <f t="shared" si="33"/>
        <v>97</v>
      </c>
      <c r="V171">
        <f t="shared" si="34"/>
        <v>1322</v>
      </c>
      <c r="W171">
        <f t="shared" si="35"/>
        <v>683</v>
      </c>
      <c r="X171">
        <f t="shared" si="36"/>
        <v>523</v>
      </c>
      <c r="Y171">
        <f t="shared" si="37"/>
        <v>212</v>
      </c>
      <c r="Z171">
        <f t="shared" si="38"/>
        <v>1467</v>
      </c>
      <c r="AA171">
        <f t="shared" si="39"/>
        <v>474</v>
      </c>
      <c r="AB171">
        <f t="shared" si="40"/>
        <v>236</v>
      </c>
      <c r="AC171">
        <f t="shared" si="41"/>
        <v>303</v>
      </c>
      <c r="AD171">
        <f t="shared" si="42"/>
        <v>204</v>
      </c>
      <c r="AE171">
        <f t="shared" si="43"/>
        <v>1575</v>
      </c>
      <c r="AF171">
        <f t="shared" si="44"/>
        <v>246</v>
      </c>
      <c r="AG171">
        <f t="shared" si="45"/>
        <v>960</v>
      </c>
      <c r="AH171">
        <f t="shared" si="46"/>
        <v>288</v>
      </c>
      <c r="AI171">
        <f t="shared" si="47"/>
        <v>1324</v>
      </c>
      <c r="AJ171">
        <f t="shared" si="48"/>
        <v>521</v>
      </c>
      <c r="AK171">
        <f t="shared" si="48"/>
        <v>912</v>
      </c>
    </row>
    <row r="172" spans="1:37" x14ac:dyDescent="0.25">
      <c r="A172" s="4">
        <v>2013</v>
      </c>
      <c r="B172" s="4" t="s">
        <v>21</v>
      </c>
      <c r="C172" s="5">
        <v>53</v>
      </c>
      <c r="D172" s="5">
        <v>1291</v>
      </c>
      <c r="E172" s="5">
        <v>693</v>
      </c>
      <c r="F172" s="5">
        <v>415</v>
      </c>
      <c r="G172" s="5">
        <v>227</v>
      </c>
      <c r="H172" s="5">
        <v>1453</v>
      </c>
      <c r="I172" s="5">
        <v>468</v>
      </c>
      <c r="J172" s="5">
        <v>143</v>
      </c>
      <c r="K172" s="5">
        <v>252</v>
      </c>
      <c r="L172" s="5">
        <v>176</v>
      </c>
      <c r="M172" s="5">
        <v>1480</v>
      </c>
      <c r="N172" s="5">
        <v>220</v>
      </c>
      <c r="O172" s="5">
        <v>956</v>
      </c>
      <c r="P172" s="5">
        <v>287</v>
      </c>
      <c r="Q172" s="5">
        <v>1219</v>
      </c>
      <c r="R172" s="5">
        <v>494</v>
      </c>
      <c r="S172" s="5">
        <v>828</v>
      </c>
      <c r="T172" s="19"/>
      <c r="U172">
        <f t="shared" si="33"/>
        <v>53</v>
      </c>
      <c r="V172">
        <f t="shared" si="34"/>
        <v>1291</v>
      </c>
      <c r="W172">
        <f t="shared" si="35"/>
        <v>693</v>
      </c>
      <c r="X172">
        <f t="shared" si="36"/>
        <v>415</v>
      </c>
      <c r="Y172">
        <f t="shared" si="37"/>
        <v>227</v>
      </c>
      <c r="Z172">
        <f t="shared" si="38"/>
        <v>1453</v>
      </c>
      <c r="AA172">
        <f t="shared" si="39"/>
        <v>468</v>
      </c>
      <c r="AB172">
        <f t="shared" si="40"/>
        <v>143</v>
      </c>
      <c r="AC172">
        <f t="shared" si="41"/>
        <v>252</v>
      </c>
      <c r="AD172">
        <f t="shared" si="42"/>
        <v>176</v>
      </c>
      <c r="AE172">
        <f t="shared" si="43"/>
        <v>1480</v>
      </c>
      <c r="AF172">
        <f t="shared" si="44"/>
        <v>220</v>
      </c>
      <c r="AG172">
        <f t="shared" si="45"/>
        <v>956</v>
      </c>
      <c r="AH172">
        <f t="shared" si="46"/>
        <v>287</v>
      </c>
      <c r="AI172">
        <f t="shared" si="47"/>
        <v>1219</v>
      </c>
      <c r="AJ172">
        <f t="shared" si="48"/>
        <v>494</v>
      </c>
      <c r="AK172">
        <f t="shared" si="48"/>
        <v>828</v>
      </c>
    </row>
    <row r="173" spans="1:37" x14ac:dyDescent="0.25">
      <c r="A173" s="4">
        <v>2013</v>
      </c>
      <c r="B173" s="4" t="s">
        <v>22</v>
      </c>
      <c r="C173" s="5">
        <v>72</v>
      </c>
      <c r="D173" s="5">
        <v>1195</v>
      </c>
      <c r="E173" s="5">
        <v>582</v>
      </c>
      <c r="F173" s="5">
        <v>386</v>
      </c>
      <c r="G173" s="5">
        <v>203</v>
      </c>
      <c r="H173" s="5">
        <v>1297</v>
      </c>
      <c r="I173" s="5">
        <v>463</v>
      </c>
      <c r="J173" s="5">
        <v>145</v>
      </c>
      <c r="K173" s="5">
        <v>266</v>
      </c>
      <c r="L173" s="5">
        <v>148</v>
      </c>
      <c r="M173" s="5">
        <v>1378</v>
      </c>
      <c r="N173" s="5">
        <v>250</v>
      </c>
      <c r="O173" s="5">
        <v>861</v>
      </c>
      <c r="P173" s="5">
        <v>293</v>
      </c>
      <c r="Q173" s="5">
        <v>1173</v>
      </c>
      <c r="R173" s="5">
        <v>435</v>
      </c>
      <c r="S173" s="5">
        <v>786</v>
      </c>
      <c r="T173" s="19"/>
      <c r="U173">
        <f t="shared" si="33"/>
        <v>72</v>
      </c>
      <c r="V173">
        <f t="shared" si="34"/>
        <v>1195</v>
      </c>
      <c r="W173">
        <f t="shared" si="35"/>
        <v>582</v>
      </c>
      <c r="X173">
        <f t="shared" si="36"/>
        <v>386</v>
      </c>
      <c r="Y173">
        <f t="shared" si="37"/>
        <v>203</v>
      </c>
      <c r="Z173">
        <f t="shared" si="38"/>
        <v>1297</v>
      </c>
      <c r="AA173">
        <f t="shared" si="39"/>
        <v>463</v>
      </c>
      <c r="AB173">
        <f t="shared" si="40"/>
        <v>145</v>
      </c>
      <c r="AC173">
        <f t="shared" si="41"/>
        <v>266</v>
      </c>
      <c r="AD173">
        <f t="shared" si="42"/>
        <v>148</v>
      </c>
      <c r="AE173">
        <f t="shared" si="43"/>
        <v>1378</v>
      </c>
      <c r="AF173">
        <f t="shared" si="44"/>
        <v>250</v>
      </c>
      <c r="AG173">
        <f t="shared" si="45"/>
        <v>861</v>
      </c>
      <c r="AH173">
        <f t="shared" si="46"/>
        <v>293</v>
      </c>
      <c r="AI173">
        <f t="shared" si="47"/>
        <v>1173</v>
      </c>
      <c r="AJ173">
        <f t="shared" si="48"/>
        <v>435</v>
      </c>
      <c r="AK173">
        <f t="shared" si="48"/>
        <v>786</v>
      </c>
    </row>
    <row r="174" spans="1:37" x14ac:dyDescent="0.25">
      <c r="A174" s="4">
        <v>2013</v>
      </c>
      <c r="B174" s="4" t="s">
        <v>23</v>
      </c>
      <c r="C174" s="5">
        <v>73</v>
      </c>
      <c r="D174" s="5">
        <v>1077</v>
      </c>
      <c r="E174" s="5">
        <v>583</v>
      </c>
      <c r="F174" s="5">
        <v>379</v>
      </c>
      <c r="G174" s="5">
        <v>231</v>
      </c>
      <c r="H174" s="5">
        <v>1253</v>
      </c>
      <c r="I174" s="5">
        <v>355</v>
      </c>
      <c r="J174" s="5">
        <v>152</v>
      </c>
      <c r="K174" s="5">
        <v>376</v>
      </c>
      <c r="L174" s="5">
        <v>140</v>
      </c>
      <c r="M174" s="5">
        <v>1259</v>
      </c>
      <c r="N174" s="5">
        <v>227</v>
      </c>
      <c r="O174" s="5">
        <v>757</v>
      </c>
      <c r="P174" s="5">
        <v>241</v>
      </c>
      <c r="Q174" s="5">
        <v>1086</v>
      </c>
      <c r="R174" s="5">
        <v>420</v>
      </c>
      <c r="S174" s="5">
        <v>715</v>
      </c>
      <c r="T174" s="19"/>
      <c r="U174">
        <f t="shared" si="33"/>
        <v>73</v>
      </c>
      <c r="V174">
        <f t="shared" si="34"/>
        <v>1077</v>
      </c>
      <c r="W174">
        <f t="shared" si="35"/>
        <v>583</v>
      </c>
      <c r="X174">
        <f t="shared" si="36"/>
        <v>379</v>
      </c>
      <c r="Y174">
        <f t="shared" si="37"/>
        <v>231</v>
      </c>
      <c r="Z174">
        <f t="shared" si="38"/>
        <v>1253</v>
      </c>
      <c r="AA174">
        <f t="shared" si="39"/>
        <v>355</v>
      </c>
      <c r="AB174">
        <f t="shared" si="40"/>
        <v>152</v>
      </c>
      <c r="AC174">
        <f t="shared" si="41"/>
        <v>376</v>
      </c>
      <c r="AD174">
        <f t="shared" si="42"/>
        <v>140</v>
      </c>
      <c r="AE174">
        <f t="shared" si="43"/>
        <v>1259</v>
      </c>
      <c r="AF174">
        <f t="shared" si="44"/>
        <v>227</v>
      </c>
      <c r="AG174">
        <f t="shared" si="45"/>
        <v>757</v>
      </c>
      <c r="AH174">
        <f t="shared" si="46"/>
        <v>241</v>
      </c>
      <c r="AI174">
        <f t="shared" si="47"/>
        <v>1086</v>
      </c>
      <c r="AJ174">
        <f t="shared" si="48"/>
        <v>420</v>
      </c>
      <c r="AK174">
        <f t="shared" si="48"/>
        <v>715</v>
      </c>
    </row>
    <row r="175" spans="1:37" x14ac:dyDescent="0.25">
      <c r="A175" s="4">
        <v>2013</v>
      </c>
      <c r="B175" s="4" t="s">
        <v>24</v>
      </c>
      <c r="C175" s="5">
        <v>66</v>
      </c>
      <c r="D175" s="5">
        <v>891</v>
      </c>
      <c r="E175" s="5">
        <v>640</v>
      </c>
      <c r="F175" s="5">
        <v>416</v>
      </c>
      <c r="G175" s="5">
        <v>244</v>
      </c>
      <c r="H175" s="5">
        <v>1222</v>
      </c>
      <c r="I175" s="5">
        <v>371</v>
      </c>
      <c r="J175" s="5">
        <v>187</v>
      </c>
      <c r="K175" s="5">
        <v>300</v>
      </c>
      <c r="L175" s="5">
        <v>117</v>
      </c>
      <c r="M175" s="5">
        <v>1255</v>
      </c>
      <c r="N175" s="5">
        <v>289</v>
      </c>
      <c r="O175" s="5">
        <v>769</v>
      </c>
      <c r="P175" s="5">
        <v>227</v>
      </c>
      <c r="Q175" s="5">
        <v>1228</v>
      </c>
      <c r="R175" s="5">
        <v>433</v>
      </c>
      <c r="S175" s="5">
        <v>811</v>
      </c>
      <c r="T175" s="19"/>
      <c r="U175">
        <f t="shared" si="33"/>
        <v>66</v>
      </c>
      <c r="V175">
        <f t="shared" si="34"/>
        <v>891</v>
      </c>
      <c r="W175">
        <f t="shared" si="35"/>
        <v>640</v>
      </c>
      <c r="X175">
        <f t="shared" si="36"/>
        <v>416</v>
      </c>
      <c r="Y175">
        <f t="shared" si="37"/>
        <v>244</v>
      </c>
      <c r="Z175">
        <f t="shared" si="38"/>
        <v>1222</v>
      </c>
      <c r="AA175">
        <f t="shared" si="39"/>
        <v>371</v>
      </c>
      <c r="AB175">
        <f t="shared" si="40"/>
        <v>187</v>
      </c>
      <c r="AC175">
        <f t="shared" si="41"/>
        <v>300</v>
      </c>
      <c r="AD175">
        <f t="shared" si="42"/>
        <v>117</v>
      </c>
      <c r="AE175">
        <f t="shared" si="43"/>
        <v>1255</v>
      </c>
      <c r="AF175">
        <f t="shared" si="44"/>
        <v>289</v>
      </c>
      <c r="AG175">
        <f t="shared" si="45"/>
        <v>769</v>
      </c>
      <c r="AH175">
        <f t="shared" si="46"/>
        <v>227</v>
      </c>
      <c r="AI175">
        <f t="shared" si="47"/>
        <v>1228</v>
      </c>
      <c r="AJ175">
        <f t="shared" si="48"/>
        <v>433</v>
      </c>
      <c r="AK175">
        <f t="shared" si="48"/>
        <v>811</v>
      </c>
    </row>
    <row r="176" spans="1:37" x14ac:dyDescent="0.25">
      <c r="A176" s="4">
        <v>2013</v>
      </c>
      <c r="B176" s="4" t="s">
        <v>25</v>
      </c>
      <c r="C176" s="5">
        <v>70</v>
      </c>
      <c r="D176" s="5">
        <v>825</v>
      </c>
      <c r="E176" s="5">
        <v>569</v>
      </c>
      <c r="F176" s="5">
        <v>420</v>
      </c>
      <c r="G176" s="5">
        <v>207</v>
      </c>
      <c r="H176" s="5">
        <v>1208</v>
      </c>
      <c r="I176" s="5">
        <v>384</v>
      </c>
      <c r="J176" s="5">
        <v>164</v>
      </c>
      <c r="K176" s="5">
        <v>284</v>
      </c>
      <c r="L176" s="5">
        <v>157</v>
      </c>
      <c r="M176" s="5">
        <v>1300</v>
      </c>
      <c r="N176" s="5">
        <v>422</v>
      </c>
      <c r="O176" s="5">
        <v>821</v>
      </c>
      <c r="P176" s="5">
        <v>253</v>
      </c>
      <c r="Q176" s="5">
        <v>1305</v>
      </c>
      <c r="R176" s="5">
        <v>411</v>
      </c>
      <c r="S176" s="5">
        <v>1086</v>
      </c>
      <c r="T176" s="19"/>
      <c r="U176">
        <f t="shared" si="33"/>
        <v>70</v>
      </c>
      <c r="V176">
        <f t="shared" si="34"/>
        <v>825</v>
      </c>
      <c r="W176">
        <f t="shared" si="35"/>
        <v>569</v>
      </c>
      <c r="X176">
        <f t="shared" si="36"/>
        <v>420</v>
      </c>
      <c r="Y176">
        <f t="shared" si="37"/>
        <v>207</v>
      </c>
      <c r="Z176">
        <f t="shared" si="38"/>
        <v>1208</v>
      </c>
      <c r="AA176">
        <f t="shared" si="39"/>
        <v>384</v>
      </c>
      <c r="AB176">
        <f t="shared" si="40"/>
        <v>164</v>
      </c>
      <c r="AC176">
        <f t="shared" si="41"/>
        <v>284</v>
      </c>
      <c r="AD176">
        <f t="shared" si="42"/>
        <v>157</v>
      </c>
      <c r="AE176">
        <f t="shared" si="43"/>
        <v>1300</v>
      </c>
      <c r="AF176">
        <f t="shared" si="44"/>
        <v>422</v>
      </c>
      <c r="AG176">
        <f t="shared" si="45"/>
        <v>821</v>
      </c>
      <c r="AH176">
        <f t="shared" si="46"/>
        <v>253</v>
      </c>
      <c r="AI176">
        <f t="shared" si="47"/>
        <v>1305</v>
      </c>
      <c r="AJ176">
        <f t="shared" si="48"/>
        <v>411</v>
      </c>
      <c r="AK176">
        <f t="shared" si="48"/>
        <v>1086</v>
      </c>
    </row>
    <row r="177" spans="1:37" x14ac:dyDescent="0.25">
      <c r="A177" s="4">
        <v>2013</v>
      </c>
      <c r="B177" s="4" t="s">
        <v>26</v>
      </c>
      <c r="C177" s="5">
        <v>57</v>
      </c>
      <c r="D177" s="5">
        <v>767</v>
      </c>
      <c r="E177" s="5">
        <v>619</v>
      </c>
      <c r="F177" s="5">
        <v>463</v>
      </c>
      <c r="G177" s="5">
        <v>194</v>
      </c>
      <c r="H177" s="5">
        <v>1195</v>
      </c>
      <c r="I177" s="5">
        <v>388</v>
      </c>
      <c r="J177" s="5">
        <v>172</v>
      </c>
      <c r="K177" s="5">
        <v>253</v>
      </c>
      <c r="L177" s="5">
        <v>160</v>
      </c>
      <c r="M177" s="5">
        <v>1265</v>
      </c>
      <c r="N177" s="5">
        <v>396</v>
      </c>
      <c r="O177" s="5">
        <v>887</v>
      </c>
      <c r="P177" s="5">
        <v>225</v>
      </c>
      <c r="Q177" s="5">
        <v>1245</v>
      </c>
      <c r="R177" s="5">
        <v>396</v>
      </c>
      <c r="S177" s="5">
        <v>1073</v>
      </c>
      <c r="T177" s="19"/>
      <c r="U177">
        <f t="shared" si="33"/>
        <v>57</v>
      </c>
      <c r="V177">
        <f t="shared" si="34"/>
        <v>767</v>
      </c>
      <c r="W177">
        <f t="shared" si="35"/>
        <v>619</v>
      </c>
      <c r="X177">
        <f t="shared" si="36"/>
        <v>463</v>
      </c>
      <c r="Y177">
        <f t="shared" si="37"/>
        <v>194</v>
      </c>
      <c r="Z177">
        <f t="shared" si="38"/>
        <v>1195</v>
      </c>
      <c r="AA177">
        <f t="shared" si="39"/>
        <v>388</v>
      </c>
      <c r="AB177">
        <f t="shared" si="40"/>
        <v>172</v>
      </c>
      <c r="AC177">
        <f t="shared" si="41"/>
        <v>253</v>
      </c>
      <c r="AD177">
        <f t="shared" si="42"/>
        <v>160</v>
      </c>
      <c r="AE177">
        <f t="shared" si="43"/>
        <v>1265</v>
      </c>
      <c r="AF177">
        <f t="shared" si="44"/>
        <v>396</v>
      </c>
      <c r="AG177">
        <f t="shared" si="45"/>
        <v>887</v>
      </c>
      <c r="AH177">
        <f t="shared" si="46"/>
        <v>225</v>
      </c>
      <c r="AI177">
        <f t="shared" si="47"/>
        <v>1245</v>
      </c>
      <c r="AJ177">
        <f t="shared" si="48"/>
        <v>396</v>
      </c>
      <c r="AK177">
        <f t="shared" si="48"/>
        <v>1073</v>
      </c>
    </row>
    <row r="178" spans="1:37" x14ac:dyDescent="0.25">
      <c r="A178" s="4">
        <v>2013</v>
      </c>
      <c r="B178" s="4" t="s">
        <v>27</v>
      </c>
      <c r="C178" s="5">
        <v>59</v>
      </c>
      <c r="D178" s="5">
        <v>758</v>
      </c>
      <c r="E178" s="5">
        <v>542</v>
      </c>
      <c r="F178" s="5">
        <v>427</v>
      </c>
      <c r="G178" s="5">
        <v>180</v>
      </c>
      <c r="H178" s="5">
        <v>1274</v>
      </c>
      <c r="I178" s="5">
        <v>417</v>
      </c>
      <c r="J178" s="5">
        <v>192</v>
      </c>
      <c r="K178" s="5">
        <v>212</v>
      </c>
      <c r="L178" s="5">
        <v>135</v>
      </c>
      <c r="M178" s="5">
        <v>1224</v>
      </c>
      <c r="N178" s="5">
        <v>321</v>
      </c>
      <c r="O178" s="5">
        <v>890</v>
      </c>
      <c r="P178" s="5">
        <v>213</v>
      </c>
      <c r="Q178" s="5">
        <v>1113</v>
      </c>
      <c r="R178" s="5">
        <v>434</v>
      </c>
      <c r="S178" s="5">
        <v>961</v>
      </c>
      <c r="T178" s="19"/>
      <c r="U178">
        <f t="shared" si="33"/>
        <v>59</v>
      </c>
      <c r="V178">
        <f t="shared" si="34"/>
        <v>758</v>
      </c>
      <c r="W178">
        <f t="shared" si="35"/>
        <v>542</v>
      </c>
      <c r="X178">
        <f t="shared" si="36"/>
        <v>427</v>
      </c>
      <c r="Y178">
        <f t="shared" si="37"/>
        <v>180</v>
      </c>
      <c r="Z178">
        <f t="shared" si="38"/>
        <v>1274</v>
      </c>
      <c r="AA178">
        <f t="shared" si="39"/>
        <v>417</v>
      </c>
      <c r="AB178">
        <f t="shared" si="40"/>
        <v>192</v>
      </c>
      <c r="AC178">
        <f t="shared" si="41"/>
        <v>212</v>
      </c>
      <c r="AD178">
        <f t="shared" si="42"/>
        <v>135</v>
      </c>
      <c r="AE178">
        <f t="shared" si="43"/>
        <v>1224</v>
      </c>
      <c r="AF178">
        <f t="shared" si="44"/>
        <v>321</v>
      </c>
      <c r="AG178">
        <f t="shared" si="45"/>
        <v>890</v>
      </c>
      <c r="AH178">
        <f t="shared" si="46"/>
        <v>213</v>
      </c>
      <c r="AI178">
        <f t="shared" si="47"/>
        <v>1113</v>
      </c>
      <c r="AJ178">
        <f t="shared" si="48"/>
        <v>434</v>
      </c>
      <c r="AK178">
        <f t="shared" si="48"/>
        <v>961</v>
      </c>
    </row>
    <row r="179" spans="1:37" x14ac:dyDescent="0.25">
      <c r="A179" s="4">
        <v>2013</v>
      </c>
      <c r="B179" s="4" t="s">
        <v>28</v>
      </c>
      <c r="C179" s="5">
        <v>52</v>
      </c>
      <c r="D179" s="5">
        <v>697</v>
      </c>
      <c r="E179" s="5">
        <v>630</v>
      </c>
      <c r="F179" s="5">
        <v>463</v>
      </c>
      <c r="G179" s="5">
        <v>219</v>
      </c>
      <c r="H179" s="5">
        <v>1243</v>
      </c>
      <c r="I179" s="5">
        <v>369</v>
      </c>
      <c r="J179" s="5">
        <v>189</v>
      </c>
      <c r="K179" s="5">
        <v>221</v>
      </c>
      <c r="L179" s="5">
        <v>144</v>
      </c>
      <c r="M179" s="5">
        <v>1167</v>
      </c>
      <c r="N179" s="5">
        <v>297</v>
      </c>
      <c r="O179" s="5">
        <v>877</v>
      </c>
      <c r="P179" s="5">
        <v>240</v>
      </c>
      <c r="Q179" s="5">
        <v>996</v>
      </c>
      <c r="R179" s="5">
        <v>413</v>
      </c>
      <c r="S179" s="5">
        <v>827</v>
      </c>
      <c r="T179" s="19"/>
      <c r="U179">
        <f t="shared" si="33"/>
        <v>52</v>
      </c>
      <c r="V179">
        <f t="shared" si="34"/>
        <v>697</v>
      </c>
      <c r="W179">
        <f t="shared" si="35"/>
        <v>630</v>
      </c>
      <c r="X179">
        <f t="shared" si="36"/>
        <v>463</v>
      </c>
      <c r="Y179">
        <f t="shared" si="37"/>
        <v>219</v>
      </c>
      <c r="Z179">
        <f t="shared" si="38"/>
        <v>1243</v>
      </c>
      <c r="AA179">
        <f t="shared" si="39"/>
        <v>369</v>
      </c>
      <c r="AB179">
        <f t="shared" si="40"/>
        <v>189</v>
      </c>
      <c r="AC179">
        <f t="shared" si="41"/>
        <v>221</v>
      </c>
      <c r="AD179">
        <f t="shared" si="42"/>
        <v>144</v>
      </c>
      <c r="AE179">
        <f t="shared" si="43"/>
        <v>1167</v>
      </c>
      <c r="AF179">
        <f t="shared" si="44"/>
        <v>297</v>
      </c>
      <c r="AG179">
        <f t="shared" si="45"/>
        <v>877</v>
      </c>
      <c r="AH179">
        <f t="shared" si="46"/>
        <v>240</v>
      </c>
      <c r="AI179">
        <f t="shared" si="47"/>
        <v>996</v>
      </c>
      <c r="AJ179">
        <f t="shared" si="48"/>
        <v>413</v>
      </c>
      <c r="AK179">
        <f t="shared" si="48"/>
        <v>827</v>
      </c>
    </row>
    <row r="180" spans="1:37" x14ac:dyDescent="0.25">
      <c r="A180" s="4">
        <v>2013</v>
      </c>
      <c r="B180" s="4" t="s">
        <v>29</v>
      </c>
      <c r="C180" s="5">
        <v>67</v>
      </c>
      <c r="D180" s="5">
        <v>733</v>
      </c>
      <c r="E180" s="5">
        <v>609</v>
      </c>
      <c r="F180" s="5">
        <v>348</v>
      </c>
      <c r="G180" s="5">
        <v>150</v>
      </c>
      <c r="H180" s="5">
        <v>1205</v>
      </c>
      <c r="I180" s="5">
        <v>390</v>
      </c>
      <c r="J180" s="5">
        <v>217</v>
      </c>
      <c r="K180" s="5">
        <v>298</v>
      </c>
      <c r="L180" s="5">
        <v>144</v>
      </c>
      <c r="M180" s="5">
        <v>1208</v>
      </c>
      <c r="N180" s="5">
        <v>244</v>
      </c>
      <c r="O180" s="5">
        <v>702</v>
      </c>
      <c r="P180" s="5">
        <v>208</v>
      </c>
      <c r="Q180" s="5">
        <v>977</v>
      </c>
      <c r="R180" s="5">
        <v>511</v>
      </c>
      <c r="S180" s="5">
        <v>920</v>
      </c>
      <c r="T180" s="19"/>
      <c r="U180">
        <f t="shared" si="33"/>
        <v>67</v>
      </c>
      <c r="V180">
        <f t="shared" si="34"/>
        <v>733</v>
      </c>
      <c r="W180">
        <f t="shared" si="35"/>
        <v>609</v>
      </c>
      <c r="X180">
        <f t="shared" si="36"/>
        <v>348</v>
      </c>
      <c r="Y180">
        <f t="shared" si="37"/>
        <v>150</v>
      </c>
      <c r="Z180">
        <f t="shared" si="38"/>
        <v>1205</v>
      </c>
      <c r="AA180">
        <f t="shared" si="39"/>
        <v>390</v>
      </c>
      <c r="AB180">
        <f t="shared" si="40"/>
        <v>217</v>
      </c>
      <c r="AC180">
        <f t="shared" si="41"/>
        <v>298</v>
      </c>
      <c r="AD180">
        <f t="shared" si="42"/>
        <v>144</v>
      </c>
      <c r="AE180">
        <f t="shared" si="43"/>
        <v>1208</v>
      </c>
      <c r="AF180">
        <f t="shared" si="44"/>
        <v>244</v>
      </c>
      <c r="AG180">
        <f t="shared" si="45"/>
        <v>702</v>
      </c>
      <c r="AH180">
        <f t="shared" si="46"/>
        <v>208</v>
      </c>
      <c r="AI180">
        <f t="shared" si="47"/>
        <v>977</v>
      </c>
      <c r="AJ180">
        <f t="shared" si="48"/>
        <v>511</v>
      </c>
      <c r="AK180">
        <f t="shared" si="48"/>
        <v>920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7"/>
  <sheetViews>
    <sheetView workbookViewId="0"/>
  </sheetViews>
  <sheetFormatPr defaultRowHeight="15" x14ac:dyDescent="0.25"/>
  <cols>
    <col min="1" max="1" width="22.28515625" customWidth="1"/>
  </cols>
  <sheetData>
    <row r="1" spans="1:18" ht="17.45" x14ac:dyDescent="0.35">
      <c r="A1" s="23" t="s">
        <v>235</v>
      </c>
      <c r="B1" t="s">
        <v>182</v>
      </c>
      <c r="C1" t="s">
        <v>6</v>
      </c>
      <c r="D1" t="s">
        <v>32</v>
      </c>
      <c r="E1" t="s">
        <v>34</v>
      </c>
      <c r="F1" t="s">
        <v>36</v>
      </c>
      <c r="G1" t="s">
        <v>48</v>
      </c>
      <c r="H1" t="s">
        <v>95</v>
      </c>
      <c r="I1" t="s">
        <v>52</v>
      </c>
      <c r="J1" t="s">
        <v>54</v>
      </c>
      <c r="K1" t="s">
        <v>56</v>
      </c>
      <c r="L1" t="s">
        <v>58</v>
      </c>
      <c r="M1" t="s">
        <v>61</v>
      </c>
      <c r="N1" t="s">
        <v>63</v>
      </c>
      <c r="O1" t="s">
        <v>65</v>
      </c>
      <c r="P1" t="s">
        <v>67</v>
      </c>
      <c r="Q1" t="s">
        <v>69</v>
      </c>
      <c r="R1" t="s">
        <v>216</v>
      </c>
    </row>
    <row r="2" spans="1:18" ht="14.45" x14ac:dyDescent="0.3">
      <c r="A2" s="8">
        <v>36526</v>
      </c>
      <c r="B2">
        <v>19</v>
      </c>
      <c r="C2">
        <v>745</v>
      </c>
      <c r="D2">
        <v>407</v>
      </c>
      <c r="E2">
        <v>327</v>
      </c>
      <c r="F2">
        <v>184</v>
      </c>
      <c r="G2">
        <v>816</v>
      </c>
      <c r="H2">
        <v>236</v>
      </c>
      <c r="I2">
        <v>125</v>
      </c>
      <c r="J2">
        <v>161</v>
      </c>
      <c r="K2">
        <v>67</v>
      </c>
      <c r="L2">
        <v>655</v>
      </c>
      <c r="M2">
        <v>81</v>
      </c>
      <c r="N2">
        <v>272</v>
      </c>
      <c r="O2">
        <v>152</v>
      </c>
      <c r="P2">
        <v>631</v>
      </c>
      <c r="Q2">
        <v>274</v>
      </c>
      <c r="R2">
        <v>430</v>
      </c>
    </row>
    <row r="3" spans="1:18" ht="14.45" x14ac:dyDescent="0.3">
      <c r="A3" s="8">
        <v>36557</v>
      </c>
      <c r="B3">
        <v>25</v>
      </c>
      <c r="C3">
        <v>812</v>
      </c>
      <c r="D3">
        <v>373</v>
      </c>
      <c r="E3">
        <v>321</v>
      </c>
      <c r="F3">
        <v>165</v>
      </c>
      <c r="G3">
        <v>858</v>
      </c>
      <c r="H3">
        <v>223</v>
      </c>
      <c r="I3">
        <v>112</v>
      </c>
      <c r="J3">
        <v>175</v>
      </c>
      <c r="K3">
        <v>65</v>
      </c>
      <c r="L3">
        <v>587</v>
      </c>
      <c r="M3">
        <v>58</v>
      </c>
      <c r="N3">
        <v>291</v>
      </c>
      <c r="O3">
        <v>136</v>
      </c>
      <c r="P3">
        <v>643</v>
      </c>
      <c r="Q3">
        <v>232</v>
      </c>
      <c r="R3">
        <v>409</v>
      </c>
    </row>
    <row r="4" spans="1:18" ht="14.45" x14ac:dyDescent="0.3">
      <c r="A4" s="8">
        <v>36586</v>
      </c>
      <c r="B4">
        <v>17</v>
      </c>
      <c r="C4">
        <v>669</v>
      </c>
      <c r="D4">
        <v>359</v>
      </c>
      <c r="E4">
        <v>380</v>
      </c>
      <c r="F4">
        <v>159</v>
      </c>
      <c r="G4">
        <v>823</v>
      </c>
      <c r="H4">
        <v>192</v>
      </c>
      <c r="I4">
        <v>140</v>
      </c>
      <c r="J4">
        <v>142</v>
      </c>
      <c r="K4">
        <v>84</v>
      </c>
      <c r="L4">
        <v>623</v>
      </c>
      <c r="M4">
        <v>70</v>
      </c>
      <c r="N4">
        <v>311</v>
      </c>
      <c r="O4">
        <v>109</v>
      </c>
      <c r="P4">
        <v>681</v>
      </c>
      <c r="Q4">
        <v>247</v>
      </c>
      <c r="R4">
        <v>311</v>
      </c>
    </row>
    <row r="5" spans="1:18" ht="14.45" x14ac:dyDescent="0.3">
      <c r="A5" s="8">
        <v>36617</v>
      </c>
      <c r="B5">
        <v>20</v>
      </c>
      <c r="C5">
        <v>447</v>
      </c>
      <c r="D5">
        <v>449</v>
      </c>
      <c r="E5">
        <v>287</v>
      </c>
      <c r="F5">
        <v>137</v>
      </c>
      <c r="G5">
        <v>656</v>
      </c>
      <c r="H5">
        <v>191</v>
      </c>
      <c r="I5">
        <v>95</v>
      </c>
      <c r="J5">
        <v>134</v>
      </c>
      <c r="K5">
        <v>63</v>
      </c>
      <c r="L5">
        <v>517</v>
      </c>
      <c r="M5">
        <v>60</v>
      </c>
      <c r="N5">
        <v>269</v>
      </c>
      <c r="O5">
        <v>86</v>
      </c>
      <c r="P5">
        <v>572</v>
      </c>
      <c r="Q5">
        <v>240</v>
      </c>
      <c r="R5">
        <v>269</v>
      </c>
    </row>
    <row r="6" spans="1:18" ht="14.45" x14ac:dyDescent="0.3">
      <c r="A6" s="8">
        <v>36647</v>
      </c>
      <c r="B6">
        <v>27</v>
      </c>
      <c r="C6">
        <v>397</v>
      </c>
      <c r="D6">
        <v>429</v>
      </c>
      <c r="E6">
        <v>256</v>
      </c>
      <c r="F6">
        <v>134</v>
      </c>
      <c r="G6">
        <v>687</v>
      </c>
      <c r="H6">
        <v>190</v>
      </c>
      <c r="I6">
        <v>131</v>
      </c>
      <c r="J6">
        <v>143</v>
      </c>
      <c r="K6">
        <v>53</v>
      </c>
      <c r="L6">
        <v>561</v>
      </c>
      <c r="M6">
        <v>63</v>
      </c>
      <c r="N6">
        <v>360</v>
      </c>
      <c r="O6">
        <v>98</v>
      </c>
      <c r="P6">
        <v>577</v>
      </c>
      <c r="Q6">
        <v>254</v>
      </c>
      <c r="R6">
        <v>370</v>
      </c>
    </row>
    <row r="7" spans="1:18" ht="14.45" x14ac:dyDescent="0.3">
      <c r="A7" s="8">
        <v>36678</v>
      </c>
      <c r="B7">
        <v>13</v>
      </c>
      <c r="C7">
        <v>389</v>
      </c>
      <c r="D7">
        <v>394</v>
      </c>
      <c r="E7">
        <v>227</v>
      </c>
      <c r="F7">
        <v>117</v>
      </c>
      <c r="G7">
        <v>720</v>
      </c>
      <c r="H7">
        <v>183</v>
      </c>
      <c r="I7">
        <v>102</v>
      </c>
      <c r="J7">
        <v>132</v>
      </c>
      <c r="K7">
        <v>85</v>
      </c>
      <c r="L7">
        <v>545</v>
      </c>
      <c r="M7">
        <v>126</v>
      </c>
      <c r="N7">
        <v>326</v>
      </c>
      <c r="O7">
        <v>125</v>
      </c>
      <c r="P7">
        <v>708</v>
      </c>
      <c r="Q7">
        <v>225</v>
      </c>
      <c r="R7">
        <v>603</v>
      </c>
    </row>
    <row r="8" spans="1:18" ht="14.45" x14ac:dyDescent="0.3">
      <c r="A8" s="8">
        <v>36708</v>
      </c>
      <c r="B8">
        <v>16</v>
      </c>
      <c r="C8">
        <v>384</v>
      </c>
      <c r="D8">
        <v>433</v>
      </c>
      <c r="E8">
        <v>275</v>
      </c>
      <c r="F8">
        <v>100</v>
      </c>
      <c r="G8">
        <v>691</v>
      </c>
      <c r="H8">
        <v>228</v>
      </c>
      <c r="I8">
        <v>144</v>
      </c>
      <c r="J8">
        <v>117</v>
      </c>
      <c r="K8">
        <v>73</v>
      </c>
      <c r="L8">
        <v>636</v>
      </c>
      <c r="M8">
        <v>120</v>
      </c>
      <c r="N8">
        <v>358</v>
      </c>
      <c r="O8">
        <v>120</v>
      </c>
      <c r="P8">
        <v>667</v>
      </c>
      <c r="Q8">
        <v>202</v>
      </c>
      <c r="R8">
        <v>545</v>
      </c>
    </row>
    <row r="9" spans="1:18" ht="14.45" x14ac:dyDescent="0.3">
      <c r="A9" s="8">
        <v>36739</v>
      </c>
      <c r="B9">
        <v>23</v>
      </c>
      <c r="C9">
        <v>446</v>
      </c>
      <c r="D9">
        <v>375</v>
      </c>
      <c r="E9">
        <v>310</v>
      </c>
      <c r="F9">
        <v>140</v>
      </c>
      <c r="G9">
        <v>713</v>
      </c>
      <c r="H9">
        <v>198</v>
      </c>
      <c r="I9">
        <v>143</v>
      </c>
      <c r="J9">
        <v>140</v>
      </c>
      <c r="K9">
        <v>72</v>
      </c>
      <c r="L9">
        <v>584</v>
      </c>
      <c r="M9">
        <v>110</v>
      </c>
      <c r="N9">
        <v>340</v>
      </c>
      <c r="O9">
        <v>97</v>
      </c>
      <c r="P9">
        <v>579</v>
      </c>
      <c r="Q9">
        <v>187</v>
      </c>
      <c r="R9">
        <v>583</v>
      </c>
    </row>
    <row r="10" spans="1:18" ht="14.45" x14ac:dyDescent="0.3">
      <c r="A10" s="8">
        <v>36770</v>
      </c>
      <c r="B10">
        <v>25</v>
      </c>
      <c r="C10">
        <v>386</v>
      </c>
      <c r="D10">
        <v>390</v>
      </c>
      <c r="E10">
        <v>277</v>
      </c>
      <c r="F10">
        <v>132</v>
      </c>
      <c r="G10">
        <v>660</v>
      </c>
      <c r="H10">
        <v>231</v>
      </c>
      <c r="I10">
        <v>130</v>
      </c>
      <c r="J10">
        <v>136</v>
      </c>
      <c r="K10">
        <v>51</v>
      </c>
      <c r="L10">
        <v>559</v>
      </c>
      <c r="M10">
        <v>66</v>
      </c>
      <c r="N10">
        <v>331</v>
      </c>
      <c r="O10">
        <v>119</v>
      </c>
      <c r="P10">
        <v>518</v>
      </c>
      <c r="Q10">
        <v>220</v>
      </c>
      <c r="R10">
        <v>408</v>
      </c>
    </row>
    <row r="11" spans="1:18" ht="14.45" x14ac:dyDescent="0.3">
      <c r="A11" s="8">
        <v>36800</v>
      </c>
      <c r="B11">
        <v>39</v>
      </c>
      <c r="C11">
        <v>417</v>
      </c>
      <c r="D11">
        <v>409</v>
      </c>
      <c r="E11">
        <v>283</v>
      </c>
      <c r="F11">
        <v>96</v>
      </c>
      <c r="G11">
        <v>643</v>
      </c>
      <c r="H11">
        <v>153</v>
      </c>
      <c r="I11">
        <v>96</v>
      </c>
      <c r="J11">
        <v>159</v>
      </c>
      <c r="K11">
        <v>65</v>
      </c>
      <c r="L11">
        <v>504</v>
      </c>
      <c r="M11">
        <v>26</v>
      </c>
      <c r="N11">
        <v>313</v>
      </c>
      <c r="O11">
        <v>118</v>
      </c>
      <c r="P11">
        <v>573</v>
      </c>
      <c r="Q11">
        <v>161</v>
      </c>
      <c r="R11">
        <v>391</v>
      </c>
    </row>
    <row r="12" spans="1:18" ht="14.45" x14ac:dyDescent="0.3">
      <c r="A12" s="8">
        <v>36831</v>
      </c>
      <c r="B12">
        <v>11</v>
      </c>
      <c r="C12">
        <v>482</v>
      </c>
      <c r="D12">
        <v>408</v>
      </c>
      <c r="E12">
        <v>264</v>
      </c>
      <c r="F12">
        <v>135</v>
      </c>
      <c r="G12">
        <v>566</v>
      </c>
      <c r="H12">
        <v>129</v>
      </c>
      <c r="I12">
        <v>117</v>
      </c>
      <c r="J12">
        <v>110</v>
      </c>
      <c r="K12">
        <v>74</v>
      </c>
      <c r="L12">
        <v>547</v>
      </c>
      <c r="M12">
        <v>41</v>
      </c>
      <c r="N12">
        <v>311</v>
      </c>
      <c r="O12">
        <v>121</v>
      </c>
      <c r="P12">
        <v>573</v>
      </c>
      <c r="Q12">
        <v>217</v>
      </c>
      <c r="R12">
        <v>384</v>
      </c>
    </row>
    <row r="13" spans="1:18" ht="14.45" x14ac:dyDescent="0.3">
      <c r="A13" s="8">
        <v>36861</v>
      </c>
      <c r="B13">
        <v>20</v>
      </c>
      <c r="C13">
        <v>580</v>
      </c>
      <c r="D13">
        <v>378</v>
      </c>
      <c r="E13">
        <v>276</v>
      </c>
      <c r="F13">
        <v>142</v>
      </c>
      <c r="G13">
        <v>573</v>
      </c>
      <c r="H13">
        <v>168</v>
      </c>
      <c r="I13">
        <v>151</v>
      </c>
      <c r="J13">
        <v>118</v>
      </c>
      <c r="K13">
        <v>81</v>
      </c>
      <c r="L13">
        <v>564</v>
      </c>
      <c r="M13">
        <v>27</v>
      </c>
      <c r="N13">
        <v>266</v>
      </c>
      <c r="O13">
        <v>106</v>
      </c>
      <c r="P13">
        <v>533</v>
      </c>
      <c r="Q13">
        <v>167</v>
      </c>
      <c r="R13">
        <v>365</v>
      </c>
    </row>
    <row r="14" spans="1:18" ht="14.45" x14ac:dyDescent="0.3">
      <c r="A14" s="8">
        <v>36892</v>
      </c>
      <c r="B14">
        <v>11</v>
      </c>
      <c r="C14">
        <v>836</v>
      </c>
      <c r="D14">
        <v>549</v>
      </c>
      <c r="E14">
        <v>361</v>
      </c>
      <c r="F14">
        <v>162</v>
      </c>
      <c r="G14">
        <v>746</v>
      </c>
      <c r="H14">
        <v>194</v>
      </c>
      <c r="I14">
        <v>161</v>
      </c>
      <c r="J14">
        <v>156</v>
      </c>
      <c r="K14">
        <v>76</v>
      </c>
      <c r="L14">
        <v>734</v>
      </c>
      <c r="M14">
        <v>80</v>
      </c>
      <c r="N14">
        <v>347</v>
      </c>
      <c r="O14">
        <v>146</v>
      </c>
      <c r="P14">
        <v>661</v>
      </c>
      <c r="Q14">
        <v>197</v>
      </c>
      <c r="R14">
        <v>463</v>
      </c>
    </row>
    <row r="15" spans="1:18" ht="14.45" x14ac:dyDescent="0.3">
      <c r="A15" s="8">
        <v>36923</v>
      </c>
      <c r="B15">
        <v>27</v>
      </c>
      <c r="C15">
        <v>826</v>
      </c>
      <c r="D15">
        <v>512</v>
      </c>
      <c r="E15">
        <v>390</v>
      </c>
      <c r="F15">
        <v>170</v>
      </c>
      <c r="G15">
        <v>820</v>
      </c>
      <c r="H15">
        <v>189</v>
      </c>
      <c r="I15">
        <v>109</v>
      </c>
      <c r="J15">
        <v>167</v>
      </c>
      <c r="K15">
        <v>68</v>
      </c>
      <c r="L15">
        <v>724</v>
      </c>
      <c r="M15">
        <v>54</v>
      </c>
      <c r="N15">
        <v>370</v>
      </c>
      <c r="O15">
        <v>134</v>
      </c>
      <c r="P15">
        <v>687</v>
      </c>
      <c r="Q15">
        <v>243</v>
      </c>
      <c r="R15">
        <v>298</v>
      </c>
    </row>
    <row r="16" spans="1:18" ht="14.45" x14ac:dyDescent="0.3">
      <c r="A16" s="8">
        <v>36951</v>
      </c>
      <c r="B16">
        <v>14</v>
      </c>
      <c r="C16">
        <v>683</v>
      </c>
      <c r="D16">
        <v>564</v>
      </c>
      <c r="E16">
        <v>390</v>
      </c>
      <c r="F16">
        <v>200</v>
      </c>
      <c r="G16">
        <v>837</v>
      </c>
      <c r="H16">
        <v>193</v>
      </c>
      <c r="I16">
        <v>148</v>
      </c>
      <c r="J16">
        <v>159</v>
      </c>
      <c r="K16">
        <v>52</v>
      </c>
      <c r="L16">
        <v>652</v>
      </c>
      <c r="M16">
        <v>95</v>
      </c>
      <c r="N16">
        <v>360</v>
      </c>
      <c r="O16">
        <v>123</v>
      </c>
      <c r="P16">
        <v>694</v>
      </c>
      <c r="Q16">
        <v>200</v>
      </c>
      <c r="R16">
        <v>355</v>
      </c>
    </row>
    <row r="17" spans="1:18" ht="14.45" x14ac:dyDescent="0.3">
      <c r="A17" s="8">
        <v>36982</v>
      </c>
      <c r="B17">
        <v>24</v>
      </c>
      <c r="C17">
        <v>596</v>
      </c>
      <c r="D17">
        <v>508</v>
      </c>
      <c r="E17">
        <v>347</v>
      </c>
      <c r="F17">
        <v>129</v>
      </c>
      <c r="G17">
        <v>691</v>
      </c>
      <c r="H17">
        <v>232</v>
      </c>
      <c r="I17">
        <v>148</v>
      </c>
      <c r="J17">
        <v>161</v>
      </c>
      <c r="K17">
        <v>71</v>
      </c>
      <c r="L17">
        <v>655</v>
      </c>
      <c r="M17">
        <v>55</v>
      </c>
      <c r="N17">
        <v>286</v>
      </c>
      <c r="O17">
        <v>81</v>
      </c>
      <c r="P17">
        <v>663</v>
      </c>
      <c r="Q17">
        <v>220</v>
      </c>
      <c r="R17">
        <v>369</v>
      </c>
    </row>
    <row r="18" spans="1:18" ht="14.45" x14ac:dyDescent="0.3">
      <c r="A18" s="8">
        <v>37012</v>
      </c>
      <c r="B18">
        <v>34</v>
      </c>
      <c r="C18">
        <v>478</v>
      </c>
      <c r="D18">
        <v>580</v>
      </c>
      <c r="E18">
        <v>323</v>
      </c>
      <c r="F18">
        <v>143</v>
      </c>
      <c r="G18">
        <v>733</v>
      </c>
      <c r="H18">
        <v>178</v>
      </c>
      <c r="I18">
        <v>164</v>
      </c>
      <c r="J18">
        <v>131</v>
      </c>
      <c r="K18">
        <v>60</v>
      </c>
      <c r="L18">
        <v>652</v>
      </c>
      <c r="M18">
        <v>66</v>
      </c>
      <c r="N18">
        <v>324</v>
      </c>
      <c r="O18">
        <v>83</v>
      </c>
      <c r="P18">
        <v>648</v>
      </c>
      <c r="Q18">
        <v>172</v>
      </c>
      <c r="R18">
        <v>361</v>
      </c>
    </row>
    <row r="19" spans="1:18" ht="14.45" x14ac:dyDescent="0.3">
      <c r="A19" s="8">
        <v>37043</v>
      </c>
      <c r="B19">
        <v>26</v>
      </c>
      <c r="C19">
        <v>443</v>
      </c>
      <c r="D19">
        <v>610</v>
      </c>
      <c r="E19">
        <v>346</v>
      </c>
      <c r="F19">
        <v>151</v>
      </c>
      <c r="G19">
        <v>805</v>
      </c>
      <c r="H19">
        <v>242</v>
      </c>
      <c r="I19">
        <v>163</v>
      </c>
      <c r="J19">
        <v>157</v>
      </c>
      <c r="K19">
        <v>92</v>
      </c>
      <c r="L19">
        <v>694</v>
      </c>
      <c r="M19">
        <v>119</v>
      </c>
      <c r="N19">
        <v>357</v>
      </c>
      <c r="O19">
        <v>78</v>
      </c>
      <c r="P19">
        <v>743</v>
      </c>
      <c r="Q19">
        <v>246</v>
      </c>
      <c r="R19">
        <v>525</v>
      </c>
    </row>
    <row r="20" spans="1:18" ht="14.45" x14ac:dyDescent="0.3">
      <c r="A20" s="8">
        <v>37073</v>
      </c>
      <c r="B20">
        <v>17</v>
      </c>
      <c r="C20">
        <v>447</v>
      </c>
      <c r="D20">
        <v>684</v>
      </c>
      <c r="E20">
        <v>370</v>
      </c>
      <c r="F20">
        <v>125</v>
      </c>
      <c r="G20">
        <v>708</v>
      </c>
      <c r="H20">
        <v>236</v>
      </c>
      <c r="I20">
        <v>206</v>
      </c>
      <c r="J20">
        <v>202</v>
      </c>
      <c r="K20">
        <v>87</v>
      </c>
      <c r="L20">
        <v>731</v>
      </c>
      <c r="M20">
        <v>145</v>
      </c>
      <c r="N20">
        <v>368</v>
      </c>
      <c r="O20">
        <v>126</v>
      </c>
      <c r="P20">
        <v>687</v>
      </c>
      <c r="Q20">
        <v>228</v>
      </c>
      <c r="R20">
        <v>548</v>
      </c>
    </row>
    <row r="21" spans="1:18" ht="14.45" x14ac:dyDescent="0.3">
      <c r="A21" s="8">
        <v>37104</v>
      </c>
      <c r="B21">
        <v>18</v>
      </c>
      <c r="C21">
        <v>522</v>
      </c>
      <c r="D21">
        <v>653</v>
      </c>
      <c r="E21">
        <v>370</v>
      </c>
      <c r="F21">
        <v>163</v>
      </c>
      <c r="G21">
        <v>765</v>
      </c>
      <c r="H21">
        <v>226</v>
      </c>
      <c r="I21">
        <v>210</v>
      </c>
      <c r="J21">
        <v>171</v>
      </c>
      <c r="K21">
        <v>86</v>
      </c>
      <c r="L21">
        <v>790</v>
      </c>
      <c r="M21">
        <v>182</v>
      </c>
      <c r="N21">
        <v>413</v>
      </c>
      <c r="O21">
        <v>131</v>
      </c>
      <c r="P21">
        <v>636</v>
      </c>
      <c r="Q21">
        <v>241</v>
      </c>
      <c r="R21">
        <v>540</v>
      </c>
    </row>
    <row r="22" spans="1:18" ht="14.45" x14ac:dyDescent="0.3">
      <c r="A22" s="8">
        <v>37135</v>
      </c>
      <c r="B22">
        <v>23</v>
      </c>
      <c r="C22">
        <v>489</v>
      </c>
      <c r="D22">
        <v>647</v>
      </c>
      <c r="E22">
        <v>349</v>
      </c>
      <c r="F22">
        <v>187</v>
      </c>
      <c r="G22">
        <v>748</v>
      </c>
      <c r="H22">
        <v>214</v>
      </c>
      <c r="I22">
        <v>219</v>
      </c>
      <c r="J22">
        <v>196</v>
      </c>
      <c r="K22">
        <v>72</v>
      </c>
      <c r="L22">
        <v>810</v>
      </c>
      <c r="M22">
        <v>93</v>
      </c>
      <c r="N22">
        <v>362</v>
      </c>
      <c r="O22">
        <v>153</v>
      </c>
      <c r="P22">
        <v>748</v>
      </c>
      <c r="Q22">
        <v>225</v>
      </c>
      <c r="R22">
        <v>438</v>
      </c>
    </row>
    <row r="23" spans="1:18" ht="14.45" x14ac:dyDescent="0.3">
      <c r="A23" s="8">
        <v>37165</v>
      </c>
      <c r="B23">
        <v>32</v>
      </c>
      <c r="C23">
        <v>535</v>
      </c>
      <c r="D23">
        <v>720</v>
      </c>
      <c r="E23">
        <v>345</v>
      </c>
      <c r="F23">
        <v>151</v>
      </c>
      <c r="G23">
        <v>790</v>
      </c>
      <c r="H23">
        <v>321</v>
      </c>
      <c r="I23">
        <v>233</v>
      </c>
      <c r="J23">
        <v>210</v>
      </c>
      <c r="K23">
        <v>72</v>
      </c>
      <c r="L23">
        <v>910</v>
      </c>
      <c r="M23">
        <v>64</v>
      </c>
      <c r="N23">
        <v>421</v>
      </c>
      <c r="O23">
        <v>166</v>
      </c>
      <c r="P23">
        <v>737</v>
      </c>
      <c r="Q23">
        <v>239</v>
      </c>
      <c r="R23">
        <v>429</v>
      </c>
    </row>
    <row r="24" spans="1:18" ht="14.45" x14ac:dyDescent="0.3">
      <c r="A24" s="8">
        <v>37196</v>
      </c>
      <c r="B24">
        <v>20</v>
      </c>
      <c r="C24">
        <v>670</v>
      </c>
      <c r="D24">
        <v>746</v>
      </c>
      <c r="E24">
        <v>362</v>
      </c>
      <c r="F24">
        <v>192</v>
      </c>
      <c r="G24">
        <v>854</v>
      </c>
      <c r="H24">
        <v>302</v>
      </c>
      <c r="I24">
        <v>241</v>
      </c>
      <c r="J24">
        <v>258</v>
      </c>
      <c r="K24">
        <v>63</v>
      </c>
      <c r="L24">
        <v>946</v>
      </c>
      <c r="M24">
        <v>82</v>
      </c>
      <c r="N24">
        <v>434</v>
      </c>
      <c r="O24">
        <v>185</v>
      </c>
      <c r="P24">
        <v>749</v>
      </c>
      <c r="Q24">
        <v>256</v>
      </c>
      <c r="R24">
        <v>420</v>
      </c>
    </row>
    <row r="25" spans="1:18" ht="14.45" x14ac:dyDescent="0.3">
      <c r="A25" s="8">
        <v>37226</v>
      </c>
      <c r="B25">
        <v>27</v>
      </c>
      <c r="C25">
        <v>785</v>
      </c>
      <c r="D25">
        <v>782</v>
      </c>
      <c r="E25">
        <v>389</v>
      </c>
      <c r="F25">
        <v>229</v>
      </c>
      <c r="G25">
        <v>845</v>
      </c>
      <c r="H25">
        <v>310</v>
      </c>
      <c r="I25">
        <v>275</v>
      </c>
      <c r="J25">
        <v>194</v>
      </c>
      <c r="K25">
        <v>64</v>
      </c>
      <c r="L25">
        <v>921</v>
      </c>
      <c r="M25">
        <v>85</v>
      </c>
      <c r="N25">
        <v>398</v>
      </c>
      <c r="O25">
        <v>163</v>
      </c>
      <c r="P25">
        <v>775</v>
      </c>
      <c r="Q25">
        <v>277</v>
      </c>
      <c r="R25">
        <v>419</v>
      </c>
    </row>
    <row r="26" spans="1:18" ht="14.45" x14ac:dyDescent="0.3">
      <c r="A26" s="8">
        <v>37257</v>
      </c>
      <c r="B26">
        <v>33</v>
      </c>
      <c r="C26">
        <v>1211</v>
      </c>
      <c r="D26">
        <v>918</v>
      </c>
      <c r="E26">
        <v>459</v>
      </c>
      <c r="F26">
        <v>195</v>
      </c>
      <c r="G26">
        <v>1017</v>
      </c>
      <c r="H26">
        <v>368</v>
      </c>
      <c r="I26">
        <v>263</v>
      </c>
      <c r="J26">
        <v>173</v>
      </c>
      <c r="K26">
        <v>94</v>
      </c>
      <c r="L26">
        <v>1120</v>
      </c>
      <c r="M26">
        <v>119</v>
      </c>
      <c r="N26">
        <v>467</v>
      </c>
      <c r="O26">
        <v>175</v>
      </c>
      <c r="P26">
        <v>771</v>
      </c>
      <c r="Q26">
        <v>304</v>
      </c>
      <c r="R26">
        <v>486</v>
      </c>
    </row>
    <row r="27" spans="1:18" ht="14.45" x14ac:dyDescent="0.3">
      <c r="A27" s="8">
        <v>37288</v>
      </c>
      <c r="B27">
        <v>35</v>
      </c>
      <c r="C27">
        <v>1060</v>
      </c>
      <c r="D27">
        <v>882</v>
      </c>
      <c r="E27">
        <v>414</v>
      </c>
      <c r="F27">
        <v>196</v>
      </c>
      <c r="G27">
        <v>1068</v>
      </c>
      <c r="H27">
        <v>331</v>
      </c>
      <c r="I27">
        <v>279</v>
      </c>
      <c r="J27">
        <v>226</v>
      </c>
      <c r="K27">
        <v>92</v>
      </c>
      <c r="L27">
        <v>973</v>
      </c>
      <c r="M27">
        <v>91</v>
      </c>
      <c r="N27">
        <v>499</v>
      </c>
      <c r="O27">
        <v>203</v>
      </c>
      <c r="P27">
        <v>770</v>
      </c>
      <c r="Q27">
        <v>339</v>
      </c>
      <c r="R27">
        <v>508</v>
      </c>
    </row>
    <row r="28" spans="1:18" ht="14.45" x14ac:dyDescent="0.3">
      <c r="A28" s="8">
        <v>37316</v>
      </c>
      <c r="B28">
        <v>28</v>
      </c>
      <c r="C28">
        <v>1009</v>
      </c>
      <c r="D28">
        <v>872</v>
      </c>
      <c r="E28">
        <v>495</v>
      </c>
      <c r="F28">
        <v>195</v>
      </c>
      <c r="G28">
        <v>1074</v>
      </c>
      <c r="H28">
        <v>313</v>
      </c>
      <c r="I28">
        <v>266</v>
      </c>
      <c r="J28">
        <v>191</v>
      </c>
      <c r="K28">
        <v>96</v>
      </c>
      <c r="L28">
        <v>964</v>
      </c>
      <c r="M28">
        <v>93</v>
      </c>
      <c r="N28">
        <v>447</v>
      </c>
      <c r="O28">
        <v>176</v>
      </c>
      <c r="P28">
        <v>800</v>
      </c>
      <c r="Q28">
        <v>314</v>
      </c>
      <c r="R28">
        <v>477</v>
      </c>
    </row>
    <row r="29" spans="1:18" x14ac:dyDescent="0.25">
      <c r="A29" s="8">
        <v>37347</v>
      </c>
      <c r="B29">
        <v>33</v>
      </c>
      <c r="C29">
        <v>855</v>
      </c>
      <c r="D29">
        <v>861</v>
      </c>
      <c r="E29">
        <v>461</v>
      </c>
      <c r="F29">
        <v>216</v>
      </c>
      <c r="G29">
        <v>1007</v>
      </c>
      <c r="H29">
        <v>280</v>
      </c>
      <c r="I29">
        <v>257</v>
      </c>
      <c r="J29">
        <v>180</v>
      </c>
      <c r="K29">
        <v>111</v>
      </c>
      <c r="L29">
        <v>951</v>
      </c>
      <c r="M29">
        <v>79</v>
      </c>
      <c r="N29">
        <v>414</v>
      </c>
      <c r="O29">
        <v>168</v>
      </c>
      <c r="P29">
        <v>786</v>
      </c>
      <c r="Q29">
        <v>268</v>
      </c>
      <c r="R29">
        <v>447</v>
      </c>
    </row>
    <row r="30" spans="1:18" x14ac:dyDescent="0.25">
      <c r="A30" s="8">
        <v>37377</v>
      </c>
      <c r="B30">
        <v>25</v>
      </c>
      <c r="C30">
        <v>626</v>
      </c>
      <c r="D30">
        <v>731</v>
      </c>
      <c r="E30">
        <v>463</v>
      </c>
      <c r="F30">
        <v>190</v>
      </c>
      <c r="G30">
        <v>948</v>
      </c>
      <c r="H30">
        <v>257</v>
      </c>
      <c r="I30">
        <v>260</v>
      </c>
      <c r="J30">
        <v>233</v>
      </c>
      <c r="K30">
        <v>108</v>
      </c>
      <c r="L30">
        <v>983</v>
      </c>
      <c r="M30">
        <v>120</v>
      </c>
      <c r="N30">
        <v>413</v>
      </c>
      <c r="O30">
        <v>171</v>
      </c>
      <c r="P30">
        <v>852</v>
      </c>
      <c r="Q30">
        <v>264</v>
      </c>
      <c r="R30">
        <v>484</v>
      </c>
    </row>
    <row r="31" spans="1:18" x14ac:dyDescent="0.25">
      <c r="A31" s="8">
        <v>37408</v>
      </c>
      <c r="B31">
        <v>35</v>
      </c>
      <c r="C31">
        <v>593</v>
      </c>
      <c r="D31">
        <v>783</v>
      </c>
      <c r="E31">
        <v>404</v>
      </c>
      <c r="F31">
        <v>189</v>
      </c>
      <c r="G31">
        <v>1051</v>
      </c>
      <c r="H31">
        <v>274</v>
      </c>
      <c r="I31">
        <v>255</v>
      </c>
      <c r="J31">
        <v>240</v>
      </c>
      <c r="K31">
        <v>133</v>
      </c>
      <c r="L31">
        <v>1079</v>
      </c>
      <c r="M31">
        <v>194</v>
      </c>
      <c r="N31">
        <v>445</v>
      </c>
      <c r="O31">
        <v>175</v>
      </c>
      <c r="P31">
        <v>859</v>
      </c>
      <c r="Q31">
        <v>335</v>
      </c>
      <c r="R31">
        <v>561</v>
      </c>
    </row>
    <row r="32" spans="1:18" x14ac:dyDescent="0.25">
      <c r="A32" s="8">
        <v>37438</v>
      </c>
      <c r="B32">
        <v>19</v>
      </c>
      <c r="C32">
        <v>594</v>
      </c>
      <c r="D32">
        <v>791</v>
      </c>
      <c r="E32">
        <v>394</v>
      </c>
      <c r="F32">
        <v>199</v>
      </c>
      <c r="G32">
        <v>933</v>
      </c>
      <c r="H32">
        <v>270</v>
      </c>
      <c r="I32">
        <v>264</v>
      </c>
      <c r="J32">
        <v>235</v>
      </c>
      <c r="K32">
        <v>109</v>
      </c>
      <c r="L32">
        <v>1075</v>
      </c>
      <c r="M32">
        <v>196</v>
      </c>
      <c r="N32">
        <v>476</v>
      </c>
      <c r="O32">
        <v>165</v>
      </c>
      <c r="P32">
        <v>834</v>
      </c>
      <c r="Q32">
        <v>356</v>
      </c>
      <c r="R32">
        <v>645</v>
      </c>
    </row>
    <row r="33" spans="1:18" x14ac:dyDescent="0.25">
      <c r="A33" s="8">
        <v>37469</v>
      </c>
      <c r="B33">
        <v>32</v>
      </c>
      <c r="C33">
        <v>654</v>
      </c>
      <c r="D33">
        <v>722</v>
      </c>
      <c r="E33">
        <v>386</v>
      </c>
      <c r="F33">
        <v>217</v>
      </c>
      <c r="G33">
        <v>953</v>
      </c>
      <c r="H33">
        <v>221</v>
      </c>
      <c r="I33">
        <v>270</v>
      </c>
      <c r="J33">
        <v>236</v>
      </c>
      <c r="K33">
        <v>107</v>
      </c>
      <c r="L33">
        <v>926</v>
      </c>
      <c r="M33">
        <v>168</v>
      </c>
      <c r="N33">
        <v>492</v>
      </c>
      <c r="O33">
        <v>149</v>
      </c>
      <c r="P33">
        <v>735</v>
      </c>
      <c r="Q33">
        <v>353</v>
      </c>
      <c r="R33">
        <v>596</v>
      </c>
    </row>
    <row r="34" spans="1:18" x14ac:dyDescent="0.25">
      <c r="A34" s="8">
        <v>37500</v>
      </c>
      <c r="B34">
        <v>42</v>
      </c>
      <c r="C34">
        <v>615</v>
      </c>
      <c r="D34">
        <v>681</v>
      </c>
      <c r="E34">
        <v>395</v>
      </c>
      <c r="F34">
        <v>211</v>
      </c>
      <c r="G34">
        <v>960</v>
      </c>
      <c r="H34">
        <v>235</v>
      </c>
      <c r="I34">
        <v>231</v>
      </c>
      <c r="J34">
        <v>218</v>
      </c>
      <c r="K34">
        <v>82</v>
      </c>
      <c r="L34">
        <v>1007</v>
      </c>
      <c r="M34">
        <v>145</v>
      </c>
      <c r="N34">
        <v>417</v>
      </c>
      <c r="O34">
        <v>144</v>
      </c>
      <c r="P34">
        <v>741</v>
      </c>
      <c r="Q34">
        <v>281</v>
      </c>
      <c r="R34">
        <v>530</v>
      </c>
    </row>
    <row r="35" spans="1:18" x14ac:dyDescent="0.25">
      <c r="A35" s="8">
        <v>37530</v>
      </c>
      <c r="B35">
        <v>36</v>
      </c>
      <c r="C35">
        <v>680</v>
      </c>
      <c r="D35">
        <v>666</v>
      </c>
      <c r="E35">
        <v>380</v>
      </c>
      <c r="F35">
        <v>209</v>
      </c>
      <c r="G35">
        <v>1003</v>
      </c>
      <c r="H35">
        <v>262</v>
      </c>
      <c r="I35">
        <v>211</v>
      </c>
      <c r="J35">
        <v>207</v>
      </c>
      <c r="K35">
        <v>105</v>
      </c>
      <c r="L35">
        <v>962</v>
      </c>
      <c r="M35">
        <v>120</v>
      </c>
      <c r="N35">
        <v>397</v>
      </c>
      <c r="O35">
        <v>175</v>
      </c>
      <c r="P35">
        <v>781</v>
      </c>
      <c r="Q35">
        <v>272</v>
      </c>
      <c r="R35">
        <v>499</v>
      </c>
    </row>
    <row r="36" spans="1:18" x14ac:dyDescent="0.25">
      <c r="A36" s="8">
        <v>37561</v>
      </c>
      <c r="B36">
        <v>32</v>
      </c>
      <c r="C36">
        <v>758</v>
      </c>
      <c r="D36">
        <v>754</v>
      </c>
      <c r="E36">
        <v>362</v>
      </c>
      <c r="F36">
        <v>225</v>
      </c>
      <c r="G36">
        <v>1016</v>
      </c>
      <c r="H36">
        <v>233</v>
      </c>
      <c r="I36">
        <v>220</v>
      </c>
      <c r="J36">
        <v>223</v>
      </c>
      <c r="K36">
        <v>113</v>
      </c>
      <c r="L36">
        <v>1029</v>
      </c>
      <c r="M36">
        <v>84</v>
      </c>
      <c r="N36">
        <v>409</v>
      </c>
      <c r="O36">
        <v>171</v>
      </c>
      <c r="P36">
        <v>807</v>
      </c>
      <c r="Q36">
        <v>284</v>
      </c>
      <c r="R36">
        <v>468</v>
      </c>
    </row>
    <row r="37" spans="1:18" x14ac:dyDescent="0.25">
      <c r="A37" s="8">
        <v>37591</v>
      </c>
      <c r="B37">
        <v>45</v>
      </c>
      <c r="C37">
        <v>941</v>
      </c>
      <c r="D37">
        <v>810</v>
      </c>
      <c r="E37">
        <v>379</v>
      </c>
      <c r="F37">
        <v>212</v>
      </c>
      <c r="G37">
        <v>938</v>
      </c>
      <c r="H37">
        <v>243</v>
      </c>
      <c r="I37">
        <v>255</v>
      </c>
      <c r="J37">
        <v>226</v>
      </c>
      <c r="K37">
        <v>96</v>
      </c>
      <c r="L37">
        <v>1038</v>
      </c>
      <c r="M37">
        <v>100</v>
      </c>
      <c r="N37">
        <v>458</v>
      </c>
      <c r="O37">
        <v>187</v>
      </c>
      <c r="P37">
        <v>735</v>
      </c>
      <c r="Q37">
        <v>241</v>
      </c>
      <c r="R37">
        <v>446</v>
      </c>
    </row>
    <row r="38" spans="1:18" x14ac:dyDescent="0.25">
      <c r="A38" s="8">
        <v>37622</v>
      </c>
      <c r="B38">
        <v>54</v>
      </c>
      <c r="C38">
        <v>1196</v>
      </c>
      <c r="D38">
        <v>896</v>
      </c>
      <c r="E38">
        <v>406</v>
      </c>
      <c r="F38">
        <v>251</v>
      </c>
      <c r="G38">
        <v>1091</v>
      </c>
      <c r="H38">
        <v>331</v>
      </c>
      <c r="I38">
        <v>243</v>
      </c>
      <c r="J38">
        <v>225</v>
      </c>
      <c r="K38">
        <v>101</v>
      </c>
      <c r="L38">
        <v>1112</v>
      </c>
      <c r="M38">
        <v>127</v>
      </c>
      <c r="N38">
        <v>432</v>
      </c>
      <c r="O38">
        <v>201</v>
      </c>
      <c r="P38">
        <v>848</v>
      </c>
      <c r="Q38">
        <v>304</v>
      </c>
      <c r="R38">
        <v>571</v>
      </c>
    </row>
    <row r="39" spans="1:18" x14ac:dyDescent="0.25">
      <c r="A39" s="8">
        <v>37653</v>
      </c>
      <c r="B39">
        <v>41</v>
      </c>
      <c r="C39">
        <v>1173</v>
      </c>
      <c r="D39">
        <v>791</v>
      </c>
      <c r="E39">
        <v>438</v>
      </c>
      <c r="F39">
        <v>206</v>
      </c>
      <c r="G39">
        <v>1031</v>
      </c>
      <c r="H39">
        <v>316</v>
      </c>
      <c r="I39">
        <v>321</v>
      </c>
      <c r="J39">
        <v>244</v>
      </c>
      <c r="K39">
        <v>66</v>
      </c>
      <c r="L39">
        <v>1140</v>
      </c>
      <c r="M39">
        <v>106</v>
      </c>
      <c r="N39">
        <v>471</v>
      </c>
      <c r="O39">
        <v>222</v>
      </c>
      <c r="P39">
        <v>922</v>
      </c>
      <c r="Q39">
        <v>331</v>
      </c>
      <c r="R39">
        <v>483</v>
      </c>
    </row>
    <row r="40" spans="1:18" x14ac:dyDescent="0.25">
      <c r="A40" s="8">
        <v>37681</v>
      </c>
      <c r="B40">
        <v>46</v>
      </c>
      <c r="C40">
        <v>987</v>
      </c>
      <c r="D40">
        <v>743</v>
      </c>
      <c r="E40">
        <v>479</v>
      </c>
      <c r="F40">
        <v>218</v>
      </c>
      <c r="G40">
        <v>962</v>
      </c>
      <c r="H40">
        <v>319</v>
      </c>
      <c r="I40">
        <v>267</v>
      </c>
      <c r="J40">
        <v>237</v>
      </c>
      <c r="K40">
        <v>119</v>
      </c>
      <c r="L40">
        <v>1190</v>
      </c>
      <c r="M40">
        <v>100</v>
      </c>
      <c r="N40">
        <v>417</v>
      </c>
      <c r="O40">
        <v>161</v>
      </c>
      <c r="P40">
        <v>874</v>
      </c>
      <c r="Q40">
        <v>370</v>
      </c>
      <c r="R40">
        <v>526</v>
      </c>
    </row>
    <row r="41" spans="1:18" x14ac:dyDescent="0.25">
      <c r="A41" s="8">
        <v>37712</v>
      </c>
      <c r="B41">
        <v>41</v>
      </c>
      <c r="C41">
        <v>772</v>
      </c>
      <c r="D41">
        <v>799</v>
      </c>
      <c r="E41">
        <v>400</v>
      </c>
      <c r="F41">
        <v>218</v>
      </c>
      <c r="G41">
        <v>983</v>
      </c>
      <c r="H41">
        <v>274</v>
      </c>
      <c r="I41">
        <v>268</v>
      </c>
      <c r="J41">
        <v>239</v>
      </c>
      <c r="K41">
        <v>85</v>
      </c>
      <c r="L41">
        <v>1076</v>
      </c>
      <c r="M41">
        <v>124</v>
      </c>
      <c r="N41">
        <v>486</v>
      </c>
      <c r="O41">
        <v>158</v>
      </c>
      <c r="P41">
        <v>828</v>
      </c>
      <c r="Q41">
        <v>331</v>
      </c>
      <c r="R41">
        <v>440</v>
      </c>
    </row>
    <row r="42" spans="1:18" x14ac:dyDescent="0.25">
      <c r="A42" s="8">
        <v>37742</v>
      </c>
      <c r="B42">
        <v>40</v>
      </c>
      <c r="C42">
        <v>715</v>
      </c>
      <c r="D42">
        <v>755</v>
      </c>
      <c r="E42">
        <v>395</v>
      </c>
      <c r="F42">
        <v>220</v>
      </c>
      <c r="G42">
        <v>1027</v>
      </c>
      <c r="H42">
        <v>260</v>
      </c>
      <c r="I42">
        <v>251</v>
      </c>
      <c r="J42">
        <v>234</v>
      </c>
      <c r="K42">
        <v>87</v>
      </c>
      <c r="L42">
        <v>1105</v>
      </c>
      <c r="M42">
        <v>170</v>
      </c>
      <c r="N42">
        <v>448</v>
      </c>
      <c r="O42">
        <v>124</v>
      </c>
      <c r="P42">
        <v>831</v>
      </c>
      <c r="Q42">
        <v>339</v>
      </c>
      <c r="R42">
        <v>478</v>
      </c>
    </row>
    <row r="43" spans="1:18" x14ac:dyDescent="0.25">
      <c r="A43" s="8">
        <v>37773</v>
      </c>
      <c r="B43">
        <v>36</v>
      </c>
      <c r="C43">
        <v>710</v>
      </c>
      <c r="D43">
        <v>800</v>
      </c>
      <c r="E43">
        <v>432</v>
      </c>
      <c r="F43">
        <v>272</v>
      </c>
      <c r="G43">
        <v>1162</v>
      </c>
      <c r="H43">
        <v>300</v>
      </c>
      <c r="I43">
        <v>239</v>
      </c>
      <c r="J43">
        <v>228</v>
      </c>
      <c r="K43">
        <v>130</v>
      </c>
      <c r="L43">
        <v>1092</v>
      </c>
      <c r="M43">
        <v>215</v>
      </c>
      <c r="N43">
        <v>555</v>
      </c>
      <c r="O43">
        <v>115</v>
      </c>
      <c r="P43">
        <v>933</v>
      </c>
      <c r="Q43">
        <v>359</v>
      </c>
      <c r="R43">
        <v>704</v>
      </c>
    </row>
    <row r="44" spans="1:18" x14ac:dyDescent="0.25">
      <c r="A44" s="8">
        <v>37803</v>
      </c>
      <c r="B44">
        <v>43</v>
      </c>
      <c r="C44">
        <v>677</v>
      </c>
      <c r="D44">
        <v>799</v>
      </c>
      <c r="E44">
        <v>394</v>
      </c>
      <c r="F44">
        <v>228</v>
      </c>
      <c r="G44">
        <v>1159</v>
      </c>
      <c r="H44">
        <v>289</v>
      </c>
      <c r="I44">
        <v>224</v>
      </c>
      <c r="J44">
        <v>187</v>
      </c>
      <c r="K44">
        <v>97</v>
      </c>
      <c r="L44">
        <v>1021</v>
      </c>
      <c r="M44">
        <v>191</v>
      </c>
      <c r="N44">
        <v>507</v>
      </c>
      <c r="O44">
        <v>131</v>
      </c>
      <c r="P44">
        <v>889</v>
      </c>
      <c r="Q44">
        <v>405</v>
      </c>
      <c r="R44">
        <v>749</v>
      </c>
    </row>
    <row r="45" spans="1:18" x14ac:dyDescent="0.25">
      <c r="A45" s="8">
        <v>37834</v>
      </c>
      <c r="B45">
        <v>20</v>
      </c>
      <c r="C45">
        <v>650</v>
      </c>
      <c r="D45">
        <v>752</v>
      </c>
      <c r="E45">
        <v>434</v>
      </c>
      <c r="F45">
        <v>217</v>
      </c>
      <c r="G45">
        <v>944</v>
      </c>
      <c r="H45">
        <v>255</v>
      </c>
      <c r="I45">
        <v>224</v>
      </c>
      <c r="J45">
        <v>241</v>
      </c>
      <c r="K45">
        <v>101</v>
      </c>
      <c r="L45">
        <v>881</v>
      </c>
      <c r="M45">
        <v>218</v>
      </c>
      <c r="N45">
        <v>542</v>
      </c>
      <c r="O45">
        <v>130</v>
      </c>
      <c r="P45">
        <v>920</v>
      </c>
      <c r="Q45">
        <v>373</v>
      </c>
      <c r="R45">
        <v>745</v>
      </c>
    </row>
    <row r="46" spans="1:18" x14ac:dyDescent="0.25">
      <c r="A46" s="8">
        <v>37865</v>
      </c>
      <c r="B46">
        <v>25</v>
      </c>
      <c r="C46">
        <v>681</v>
      </c>
      <c r="D46">
        <v>788</v>
      </c>
      <c r="E46">
        <v>386</v>
      </c>
      <c r="F46">
        <v>221</v>
      </c>
      <c r="G46">
        <v>1008</v>
      </c>
      <c r="H46">
        <v>255</v>
      </c>
      <c r="I46">
        <v>248</v>
      </c>
      <c r="J46">
        <v>198</v>
      </c>
      <c r="K46">
        <v>107</v>
      </c>
      <c r="L46">
        <v>975</v>
      </c>
      <c r="M46">
        <v>139</v>
      </c>
      <c r="N46">
        <v>510</v>
      </c>
      <c r="O46">
        <v>181</v>
      </c>
      <c r="P46">
        <v>796</v>
      </c>
      <c r="Q46">
        <v>338</v>
      </c>
      <c r="R46">
        <v>556</v>
      </c>
    </row>
    <row r="47" spans="1:18" x14ac:dyDescent="0.25">
      <c r="A47" s="8">
        <v>37895</v>
      </c>
      <c r="B47">
        <v>31</v>
      </c>
      <c r="C47">
        <v>651</v>
      </c>
      <c r="D47">
        <v>683</v>
      </c>
      <c r="E47">
        <v>358</v>
      </c>
      <c r="F47">
        <v>212</v>
      </c>
      <c r="G47">
        <v>977</v>
      </c>
      <c r="H47">
        <v>260</v>
      </c>
      <c r="I47">
        <v>182</v>
      </c>
      <c r="J47">
        <v>192</v>
      </c>
      <c r="K47">
        <v>111</v>
      </c>
      <c r="L47">
        <v>1014</v>
      </c>
      <c r="M47">
        <v>107</v>
      </c>
      <c r="N47">
        <v>532</v>
      </c>
      <c r="O47">
        <v>134</v>
      </c>
      <c r="P47">
        <v>799</v>
      </c>
      <c r="Q47">
        <v>378</v>
      </c>
      <c r="R47">
        <v>500</v>
      </c>
    </row>
    <row r="48" spans="1:18" x14ac:dyDescent="0.25">
      <c r="A48" s="8">
        <v>37926</v>
      </c>
      <c r="B48">
        <v>34</v>
      </c>
      <c r="C48">
        <v>690</v>
      </c>
      <c r="D48">
        <v>691</v>
      </c>
      <c r="E48">
        <v>343</v>
      </c>
      <c r="F48">
        <v>237</v>
      </c>
      <c r="G48">
        <v>919</v>
      </c>
      <c r="H48">
        <v>275</v>
      </c>
      <c r="I48">
        <v>257</v>
      </c>
      <c r="J48">
        <v>191</v>
      </c>
      <c r="K48">
        <v>121</v>
      </c>
      <c r="L48">
        <v>948</v>
      </c>
      <c r="M48">
        <v>120</v>
      </c>
      <c r="N48">
        <v>542</v>
      </c>
      <c r="O48">
        <v>162</v>
      </c>
      <c r="P48">
        <v>828</v>
      </c>
      <c r="Q48">
        <v>357</v>
      </c>
      <c r="R48">
        <v>542</v>
      </c>
    </row>
    <row r="49" spans="1:18" x14ac:dyDescent="0.25">
      <c r="A49" s="8">
        <v>37956</v>
      </c>
      <c r="B49">
        <v>32</v>
      </c>
      <c r="C49">
        <v>813</v>
      </c>
      <c r="D49">
        <v>647</v>
      </c>
      <c r="E49">
        <v>378</v>
      </c>
      <c r="F49">
        <v>215</v>
      </c>
      <c r="G49">
        <v>867</v>
      </c>
      <c r="H49">
        <v>267</v>
      </c>
      <c r="I49">
        <v>224</v>
      </c>
      <c r="J49">
        <v>195</v>
      </c>
      <c r="K49">
        <v>88</v>
      </c>
      <c r="L49">
        <v>948</v>
      </c>
      <c r="M49">
        <v>128</v>
      </c>
      <c r="N49">
        <v>492</v>
      </c>
      <c r="O49">
        <v>144</v>
      </c>
      <c r="P49">
        <v>741</v>
      </c>
      <c r="Q49">
        <v>278</v>
      </c>
      <c r="R49">
        <v>516</v>
      </c>
    </row>
    <row r="50" spans="1:18" x14ac:dyDescent="0.25">
      <c r="A50" s="8">
        <v>37987</v>
      </c>
      <c r="B50">
        <v>31</v>
      </c>
      <c r="C50">
        <v>994</v>
      </c>
      <c r="D50">
        <v>695</v>
      </c>
      <c r="E50">
        <v>414</v>
      </c>
      <c r="F50">
        <v>192</v>
      </c>
      <c r="G50">
        <v>1196</v>
      </c>
      <c r="H50">
        <v>243</v>
      </c>
      <c r="I50">
        <v>236</v>
      </c>
      <c r="J50">
        <v>278</v>
      </c>
      <c r="K50">
        <v>126</v>
      </c>
      <c r="L50">
        <v>1070</v>
      </c>
      <c r="M50">
        <v>142</v>
      </c>
      <c r="N50">
        <v>520</v>
      </c>
      <c r="O50">
        <v>203</v>
      </c>
      <c r="P50">
        <v>893</v>
      </c>
      <c r="Q50">
        <v>322</v>
      </c>
      <c r="R50">
        <v>511</v>
      </c>
    </row>
    <row r="51" spans="1:18" x14ac:dyDescent="0.25">
      <c r="A51" s="8">
        <v>38018</v>
      </c>
      <c r="B51">
        <v>24</v>
      </c>
      <c r="C51">
        <v>1039</v>
      </c>
      <c r="D51">
        <v>706</v>
      </c>
      <c r="E51">
        <v>388</v>
      </c>
      <c r="F51">
        <v>248</v>
      </c>
      <c r="G51">
        <v>1121</v>
      </c>
      <c r="H51">
        <v>291</v>
      </c>
      <c r="I51">
        <v>194</v>
      </c>
      <c r="J51">
        <v>271</v>
      </c>
      <c r="K51">
        <v>93</v>
      </c>
      <c r="L51">
        <v>964</v>
      </c>
      <c r="M51">
        <v>114</v>
      </c>
      <c r="N51">
        <v>494</v>
      </c>
      <c r="O51">
        <v>133</v>
      </c>
      <c r="P51">
        <v>854</v>
      </c>
      <c r="Q51">
        <v>366</v>
      </c>
      <c r="R51">
        <v>490</v>
      </c>
    </row>
    <row r="52" spans="1:18" x14ac:dyDescent="0.25">
      <c r="A52" s="8">
        <v>38047</v>
      </c>
      <c r="B52">
        <v>22</v>
      </c>
      <c r="C52">
        <v>1011</v>
      </c>
      <c r="D52">
        <v>676</v>
      </c>
      <c r="E52">
        <v>408</v>
      </c>
      <c r="F52">
        <v>282</v>
      </c>
      <c r="G52">
        <v>1104</v>
      </c>
      <c r="H52">
        <v>284</v>
      </c>
      <c r="I52">
        <v>216</v>
      </c>
      <c r="J52">
        <v>243</v>
      </c>
      <c r="K52">
        <v>99</v>
      </c>
      <c r="L52">
        <v>999</v>
      </c>
      <c r="M52">
        <v>89</v>
      </c>
      <c r="N52">
        <v>495</v>
      </c>
      <c r="O52">
        <v>172</v>
      </c>
      <c r="P52">
        <v>867</v>
      </c>
      <c r="Q52">
        <v>366</v>
      </c>
      <c r="R52">
        <v>530</v>
      </c>
    </row>
    <row r="53" spans="1:18" x14ac:dyDescent="0.25">
      <c r="A53" s="8">
        <v>38078</v>
      </c>
      <c r="B53">
        <v>34</v>
      </c>
      <c r="C53">
        <v>849</v>
      </c>
      <c r="D53">
        <v>598</v>
      </c>
      <c r="E53">
        <v>406</v>
      </c>
      <c r="F53">
        <v>216</v>
      </c>
      <c r="G53">
        <v>1032</v>
      </c>
      <c r="H53">
        <v>239</v>
      </c>
      <c r="I53">
        <v>168</v>
      </c>
      <c r="J53">
        <v>201</v>
      </c>
      <c r="K53">
        <v>111</v>
      </c>
      <c r="L53">
        <v>752</v>
      </c>
      <c r="M53">
        <v>98</v>
      </c>
      <c r="N53">
        <v>491</v>
      </c>
      <c r="O53">
        <v>151</v>
      </c>
      <c r="P53">
        <v>774</v>
      </c>
      <c r="Q53">
        <v>347</v>
      </c>
      <c r="R53">
        <v>433</v>
      </c>
    </row>
    <row r="54" spans="1:18" x14ac:dyDescent="0.25">
      <c r="A54" s="8">
        <v>38108</v>
      </c>
      <c r="B54">
        <v>22</v>
      </c>
      <c r="C54">
        <v>665</v>
      </c>
      <c r="D54">
        <v>550</v>
      </c>
      <c r="E54">
        <v>416</v>
      </c>
      <c r="F54">
        <v>238</v>
      </c>
      <c r="G54">
        <v>946</v>
      </c>
      <c r="H54">
        <v>230</v>
      </c>
      <c r="I54">
        <v>190</v>
      </c>
      <c r="J54">
        <v>217</v>
      </c>
      <c r="K54">
        <v>85</v>
      </c>
      <c r="L54">
        <v>819</v>
      </c>
      <c r="M54">
        <v>114</v>
      </c>
      <c r="N54">
        <v>456</v>
      </c>
      <c r="O54">
        <v>125</v>
      </c>
      <c r="P54">
        <v>851</v>
      </c>
      <c r="Q54">
        <v>310</v>
      </c>
      <c r="R54">
        <v>468</v>
      </c>
    </row>
    <row r="55" spans="1:18" x14ac:dyDescent="0.25">
      <c r="A55" s="8">
        <v>38139</v>
      </c>
      <c r="B55">
        <v>27</v>
      </c>
      <c r="C55">
        <v>668</v>
      </c>
      <c r="D55">
        <v>542</v>
      </c>
      <c r="E55">
        <v>415</v>
      </c>
      <c r="F55">
        <v>168</v>
      </c>
      <c r="G55">
        <v>1014</v>
      </c>
      <c r="H55">
        <v>227</v>
      </c>
      <c r="I55">
        <v>172</v>
      </c>
      <c r="J55">
        <v>199</v>
      </c>
      <c r="K55">
        <v>136</v>
      </c>
      <c r="L55">
        <v>814</v>
      </c>
      <c r="M55">
        <v>192</v>
      </c>
      <c r="N55">
        <v>577</v>
      </c>
      <c r="O55">
        <v>217</v>
      </c>
      <c r="P55">
        <v>972</v>
      </c>
      <c r="Q55">
        <v>326</v>
      </c>
      <c r="R55">
        <v>580</v>
      </c>
    </row>
    <row r="56" spans="1:18" x14ac:dyDescent="0.25">
      <c r="A56" s="8">
        <v>38169</v>
      </c>
      <c r="B56">
        <v>28</v>
      </c>
      <c r="C56">
        <v>610</v>
      </c>
      <c r="D56">
        <v>655</v>
      </c>
      <c r="E56">
        <v>364</v>
      </c>
      <c r="F56">
        <v>161</v>
      </c>
      <c r="G56">
        <v>1002</v>
      </c>
      <c r="H56">
        <v>231</v>
      </c>
      <c r="I56">
        <v>174</v>
      </c>
      <c r="J56">
        <v>207</v>
      </c>
      <c r="K56">
        <v>100</v>
      </c>
      <c r="L56">
        <v>790</v>
      </c>
      <c r="M56">
        <v>177</v>
      </c>
      <c r="N56">
        <v>548</v>
      </c>
      <c r="O56">
        <v>129</v>
      </c>
      <c r="P56">
        <v>836</v>
      </c>
      <c r="Q56">
        <v>346</v>
      </c>
      <c r="R56">
        <v>741</v>
      </c>
    </row>
    <row r="57" spans="1:18" x14ac:dyDescent="0.25">
      <c r="A57" s="8">
        <v>38200</v>
      </c>
      <c r="B57">
        <v>10</v>
      </c>
      <c r="C57">
        <v>563</v>
      </c>
      <c r="D57">
        <v>541</v>
      </c>
      <c r="E57">
        <v>300</v>
      </c>
      <c r="F57">
        <v>183</v>
      </c>
      <c r="G57">
        <v>896</v>
      </c>
      <c r="H57">
        <v>236</v>
      </c>
      <c r="I57">
        <v>191</v>
      </c>
      <c r="J57">
        <v>214</v>
      </c>
      <c r="K57">
        <v>97</v>
      </c>
      <c r="L57">
        <v>845</v>
      </c>
      <c r="M57">
        <v>198</v>
      </c>
      <c r="N57">
        <v>449</v>
      </c>
      <c r="O57">
        <v>158</v>
      </c>
      <c r="P57">
        <v>852</v>
      </c>
      <c r="Q57">
        <v>341</v>
      </c>
      <c r="R57">
        <v>676</v>
      </c>
    </row>
    <row r="58" spans="1:18" x14ac:dyDescent="0.25">
      <c r="A58" s="8">
        <v>38231</v>
      </c>
      <c r="B58">
        <v>8</v>
      </c>
      <c r="C58">
        <v>629</v>
      </c>
      <c r="D58">
        <v>512</v>
      </c>
      <c r="E58">
        <v>339</v>
      </c>
      <c r="F58">
        <v>237</v>
      </c>
      <c r="G58">
        <v>891</v>
      </c>
      <c r="H58">
        <v>208</v>
      </c>
      <c r="I58">
        <v>178</v>
      </c>
      <c r="J58">
        <v>249</v>
      </c>
      <c r="K58">
        <v>125</v>
      </c>
      <c r="L58">
        <v>750</v>
      </c>
      <c r="M58">
        <v>107</v>
      </c>
      <c r="N58">
        <v>486</v>
      </c>
      <c r="O58">
        <v>139</v>
      </c>
      <c r="P58">
        <v>715</v>
      </c>
      <c r="Q58">
        <v>301</v>
      </c>
      <c r="R58">
        <v>568</v>
      </c>
    </row>
    <row r="59" spans="1:18" x14ac:dyDescent="0.25">
      <c r="A59" s="8">
        <v>38261</v>
      </c>
      <c r="B59">
        <v>15</v>
      </c>
      <c r="C59">
        <v>635</v>
      </c>
      <c r="D59">
        <v>525</v>
      </c>
      <c r="E59">
        <v>360</v>
      </c>
      <c r="F59">
        <v>206</v>
      </c>
      <c r="G59">
        <v>932</v>
      </c>
      <c r="H59">
        <v>219</v>
      </c>
      <c r="I59">
        <v>185</v>
      </c>
      <c r="J59">
        <v>254</v>
      </c>
      <c r="K59">
        <v>104</v>
      </c>
      <c r="L59">
        <v>781</v>
      </c>
      <c r="M59">
        <v>100</v>
      </c>
      <c r="N59">
        <v>425</v>
      </c>
      <c r="O59">
        <v>123</v>
      </c>
      <c r="P59">
        <v>730</v>
      </c>
      <c r="Q59">
        <v>300</v>
      </c>
      <c r="R59">
        <v>561</v>
      </c>
    </row>
    <row r="60" spans="1:18" x14ac:dyDescent="0.25">
      <c r="A60" s="8">
        <v>38292</v>
      </c>
      <c r="B60">
        <v>20</v>
      </c>
      <c r="C60">
        <v>695</v>
      </c>
      <c r="D60">
        <v>557</v>
      </c>
      <c r="E60">
        <v>348</v>
      </c>
      <c r="F60">
        <v>182</v>
      </c>
      <c r="G60">
        <v>863</v>
      </c>
      <c r="H60">
        <v>217</v>
      </c>
      <c r="I60">
        <v>187</v>
      </c>
      <c r="J60">
        <v>188</v>
      </c>
      <c r="K60">
        <v>102</v>
      </c>
      <c r="L60">
        <v>872</v>
      </c>
      <c r="M60">
        <v>92</v>
      </c>
      <c r="N60">
        <v>478</v>
      </c>
      <c r="O60">
        <v>116</v>
      </c>
      <c r="P60">
        <v>800</v>
      </c>
      <c r="Q60">
        <v>294</v>
      </c>
      <c r="R60">
        <v>514</v>
      </c>
    </row>
    <row r="61" spans="1:18" x14ac:dyDescent="0.25">
      <c r="A61" s="8">
        <v>38322</v>
      </c>
      <c r="B61">
        <v>16</v>
      </c>
      <c r="C61">
        <v>870</v>
      </c>
      <c r="D61">
        <v>529</v>
      </c>
      <c r="E61">
        <v>344</v>
      </c>
      <c r="F61">
        <v>213</v>
      </c>
      <c r="G61">
        <v>845</v>
      </c>
      <c r="H61">
        <v>204</v>
      </c>
      <c r="I61">
        <v>173</v>
      </c>
      <c r="J61">
        <v>218</v>
      </c>
      <c r="K61">
        <v>72</v>
      </c>
      <c r="L61">
        <v>875</v>
      </c>
      <c r="M61">
        <v>110</v>
      </c>
      <c r="N61">
        <v>452</v>
      </c>
      <c r="O61">
        <v>116</v>
      </c>
      <c r="P61">
        <v>734</v>
      </c>
      <c r="Q61">
        <v>276</v>
      </c>
      <c r="R61">
        <v>499</v>
      </c>
    </row>
    <row r="62" spans="1:18" x14ac:dyDescent="0.25">
      <c r="A62" s="8">
        <v>38353</v>
      </c>
      <c r="B62">
        <v>29</v>
      </c>
      <c r="C62">
        <v>1079</v>
      </c>
      <c r="D62">
        <v>547</v>
      </c>
      <c r="E62">
        <v>341</v>
      </c>
      <c r="F62">
        <v>183</v>
      </c>
      <c r="G62">
        <v>1120</v>
      </c>
      <c r="H62">
        <v>276</v>
      </c>
      <c r="I62">
        <v>168</v>
      </c>
      <c r="J62">
        <v>167</v>
      </c>
      <c r="K62">
        <v>85</v>
      </c>
      <c r="L62">
        <v>958</v>
      </c>
      <c r="M62">
        <v>144</v>
      </c>
      <c r="N62">
        <v>469</v>
      </c>
      <c r="O62">
        <v>135</v>
      </c>
      <c r="P62">
        <v>858</v>
      </c>
      <c r="Q62">
        <v>290</v>
      </c>
      <c r="R62">
        <v>555</v>
      </c>
    </row>
    <row r="63" spans="1:18" x14ac:dyDescent="0.25">
      <c r="A63" s="8">
        <v>38384</v>
      </c>
      <c r="B63">
        <v>25</v>
      </c>
      <c r="C63">
        <v>1150</v>
      </c>
      <c r="D63">
        <v>532</v>
      </c>
      <c r="E63">
        <v>357</v>
      </c>
      <c r="F63">
        <v>230</v>
      </c>
      <c r="G63">
        <v>1071</v>
      </c>
      <c r="H63">
        <v>245</v>
      </c>
      <c r="I63">
        <v>204</v>
      </c>
      <c r="J63">
        <v>221</v>
      </c>
      <c r="K63">
        <v>81</v>
      </c>
      <c r="L63">
        <v>916</v>
      </c>
      <c r="M63">
        <v>138</v>
      </c>
      <c r="N63">
        <v>481</v>
      </c>
      <c r="O63">
        <v>171</v>
      </c>
      <c r="P63">
        <v>837</v>
      </c>
      <c r="Q63">
        <v>325</v>
      </c>
      <c r="R63">
        <v>472</v>
      </c>
    </row>
    <row r="64" spans="1:18" x14ac:dyDescent="0.25">
      <c r="A64" s="8">
        <v>38412</v>
      </c>
      <c r="B64">
        <v>32</v>
      </c>
      <c r="C64">
        <v>961</v>
      </c>
      <c r="D64">
        <v>507</v>
      </c>
      <c r="E64">
        <v>372</v>
      </c>
      <c r="F64">
        <v>194</v>
      </c>
      <c r="G64">
        <v>979</v>
      </c>
      <c r="H64">
        <v>267</v>
      </c>
      <c r="I64">
        <v>177</v>
      </c>
      <c r="J64">
        <v>172</v>
      </c>
      <c r="K64">
        <v>89</v>
      </c>
      <c r="L64">
        <v>807</v>
      </c>
      <c r="M64">
        <v>112</v>
      </c>
      <c r="N64">
        <v>501</v>
      </c>
      <c r="O64">
        <v>162</v>
      </c>
      <c r="P64">
        <v>804</v>
      </c>
      <c r="Q64">
        <v>308</v>
      </c>
      <c r="R64">
        <v>468</v>
      </c>
    </row>
    <row r="65" spans="1:18" x14ac:dyDescent="0.25">
      <c r="A65" s="8">
        <v>38443</v>
      </c>
      <c r="B65">
        <v>19</v>
      </c>
      <c r="C65">
        <v>693</v>
      </c>
      <c r="D65">
        <v>450</v>
      </c>
      <c r="E65">
        <v>343</v>
      </c>
      <c r="F65">
        <v>188</v>
      </c>
      <c r="G65">
        <v>943</v>
      </c>
      <c r="H65">
        <v>257</v>
      </c>
      <c r="I65">
        <v>178</v>
      </c>
      <c r="J65">
        <v>160</v>
      </c>
      <c r="K65">
        <v>96</v>
      </c>
      <c r="L65">
        <v>714</v>
      </c>
      <c r="M65">
        <v>94</v>
      </c>
      <c r="N65">
        <v>497</v>
      </c>
      <c r="O65">
        <v>144</v>
      </c>
      <c r="P65">
        <v>738</v>
      </c>
      <c r="Q65">
        <v>306</v>
      </c>
      <c r="R65">
        <v>478</v>
      </c>
    </row>
    <row r="66" spans="1:18" x14ac:dyDescent="0.25">
      <c r="A66" s="8">
        <v>38473</v>
      </c>
      <c r="B66">
        <v>16</v>
      </c>
      <c r="C66">
        <v>567</v>
      </c>
      <c r="D66">
        <v>422</v>
      </c>
      <c r="E66">
        <v>322</v>
      </c>
      <c r="F66">
        <v>170</v>
      </c>
      <c r="G66">
        <v>976</v>
      </c>
      <c r="H66">
        <v>223</v>
      </c>
      <c r="I66">
        <v>145</v>
      </c>
      <c r="J66">
        <v>190</v>
      </c>
      <c r="K66">
        <v>98</v>
      </c>
      <c r="L66">
        <v>730</v>
      </c>
      <c r="M66">
        <v>115</v>
      </c>
      <c r="N66">
        <v>533</v>
      </c>
      <c r="O66">
        <v>159</v>
      </c>
      <c r="P66">
        <v>785</v>
      </c>
      <c r="Q66">
        <v>314</v>
      </c>
      <c r="R66">
        <v>453</v>
      </c>
    </row>
    <row r="67" spans="1:18" x14ac:dyDescent="0.25">
      <c r="A67" s="8">
        <v>38504</v>
      </c>
      <c r="B67">
        <v>25</v>
      </c>
      <c r="C67">
        <v>559</v>
      </c>
      <c r="D67">
        <v>455</v>
      </c>
      <c r="E67">
        <v>288</v>
      </c>
      <c r="F67">
        <v>192</v>
      </c>
      <c r="G67">
        <v>1004</v>
      </c>
      <c r="H67">
        <v>247</v>
      </c>
      <c r="I67">
        <v>160</v>
      </c>
      <c r="J67">
        <v>209</v>
      </c>
      <c r="K67">
        <v>98</v>
      </c>
      <c r="L67">
        <v>743</v>
      </c>
      <c r="M67">
        <v>191</v>
      </c>
      <c r="N67">
        <v>476</v>
      </c>
      <c r="O67">
        <v>117</v>
      </c>
      <c r="P67">
        <v>833</v>
      </c>
      <c r="Q67">
        <v>291</v>
      </c>
      <c r="R67">
        <v>681</v>
      </c>
    </row>
    <row r="68" spans="1:18" x14ac:dyDescent="0.25">
      <c r="A68" s="8">
        <v>38534</v>
      </c>
      <c r="B68">
        <v>22</v>
      </c>
      <c r="C68">
        <v>509</v>
      </c>
      <c r="D68">
        <v>580</v>
      </c>
      <c r="E68">
        <v>303</v>
      </c>
      <c r="F68">
        <v>195</v>
      </c>
      <c r="G68">
        <v>999</v>
      </c>
      <c r="H68">
        <v>222</v>
      </c>
      <c r="I68">
        <v>142</v>
      </c>
      <c r="J68">
        <v>219</v>
      </c>
      <c r="K68">
        <v>90</v>
      </c>
      <c r="L68">
        <v>804</v>
      </c>
      <c r="M68">
        <v>160</v>
      </c>
      <c r="N68">
        <v>474</v>
      </c>
      <c r="O68">
        <v>142</v>
      </c>
      <c r="P68">
        <v>787</v>
      </c>
      <c r="Q68">
        <v>274</v>
      </c>
      <c r="R68">
        <v>683</v>
      </c>
    </row>
    <row r="69" spans="1:18" x14ac:dyDescent="0.25">
      <c r="A69" s="8">
        <v>38565</v>
      </c>
      <c r="B69">
        <v>12</v>
      </c>
      <c r="C69">
        <v>561</v>
      </c>
      <c r="D69">
        <v>458</v>
      </c>
      <c r="E69">
        <v>309</v>
      </c>
      <c r="F69">
        <v>182</v>
      </c>
      <c r="G69">
        <v>948</v>
      </c>
      <c r="H69">
        <v>187</v>
      </c>
      <c r="I69">
        <v>156</v>
      </c>
      <c r="J69">
        <v>200</v>
      </c>
      <c r="K69">
        <v>100</v>
      </c>
      <c r="L69">
        <v>728</v>
      </c>
      <c r="M69">
        <v>153</v>
      </c>
      <c r="N69">
        <v>491</v>
      </c>
      <c r="O69">
        <v>136</v>
      </c>
      <c r="P69">
        <v>707</v>
      </c>
      <c r="Q69">
        <v>306</v>
      </c>
      <c r="R69">
        <v>664</v>
      </c>
    </row>
    <row r="70" spans="1:18" x14ac:dyDescent="0.25">
      <c r="A70" s="8">
        <v>38596</v>
      </c>
      <c r="B70">
        <v>12</v>
      </c>
      <c r="C70">
        <v>572</v>
      </c>
      <c r="D70">
        <v>439</v>
      </c>
      <c r="E70">
        <v>337</v>
      </c>
      <c r="F70">
        <v>152</v>
      </c>
      <c r="G70">
        <v>886</v>
      </c>
      <c r="H70">
        <v>211</v>
      </c>
      <c r="I70">
        <v>168</v>
      </c>
      <c r="J70">
        <v>194</v>
      </c>
      <c r="K70">
        <v>67</v>
      </c>
      <c r="L70">
        <v>862</v>
      </c>
      <c r="M70">
        <v>128</v>
      </c>
      <c r="N70">
        <v>530</v>
      </c>
      <c r="O70">
        <v>144</v>
      </c>
      <c r="P70">
        <v>698</v>
      </c>
      <c r="Q70">
        <v>307</v>
      </c>
      <c r="R70">
        <v>568</v>
      </c>
    </row>
    <row r="71" spans="1:18" x14ac:dyDescent="0.25">
      <c r="A71" s="8">
        <v>38626</v>
      </c>
      <c r="B71">
        <v>2</v>
      </c>
      <c r="C71">
        <v>519</v>
      </c>
      <c r="D71">
        <v>481</v>
      </c>
      <c r="E71">
        <v>319</v>
      </c>
      <c r="F71">
        <v>178</v>
      </c>
      <c r="G71">
        <v>872</v>
      </c>
      <c r="H71">
        <v>251</v>
      </c>
      <c r="I71">
        <v>162</v>
      </c>
      <c r="J71">
        <v>157</v>
      </c>
      <c r="K71">
        <v>99</v>
      </c>
      <c r="L71">
        <v>748</v>
      </c>
      <c r="M71">
        <v>122</v>
      </c>
      <c r="N71">
        <v>506</v>
      </c>
      <c r="O71">
        <v>118</v>
      </c>
      <c r="P71">
        <v>678</v>
      </c>
      <c r="Q71">
        <v>319</v>
      </c>
      <c r="R71">
        <v>502</v>
      </c>
    </row>
    <row r="72" spans="1:18" x14ac:dyDescent="0.25">
      <c r="A72" s="8">
        <v>38657</v>
      </c>
      <c r="B72">
        <v>18</v>
      </c>
      <c r="C72">
        <v>564</v>
      </c>
      <c r="D72">
        <v>493</v>
      </c>
      <c r="E72">
        <v>330</v>
      </c>
      <c r="F72">
        <v>141</v>
      </c>
      <c r="G72">
        <v>872</v>
      </c>
      <c r="H72">
        <v>199</v>
      </c>
      <c r="I72">
        <v>172</v>
      </c>
      <c r="J72">
        <v>175</v>
      </c>
      <c r="K72">
        <v>94</v>
      </c>
      <c r="L72">
        <v>711</v>
      </c>
      <c r="M72">
        <v>116</v>
      </c>
      <c r="N72">
        <v>561</v>
      </c>
      <c r="O72">
        <v>150</v>
      </c>
      <c r="P72">
        <v>816</v>
      </c>
      <c r="Q72">
        <v>300</v>
      </c>
      <c r="R72">
        <v>494</v>
      </c>
    </row>
    <row r="73" spans="1:18" x14ac:dyDescent="0.25">
      <c r="A73" s="8">
        <v>38687</v>
      </c>
      <c r="B73">
        <v>23</v>
      </c>
      <c r="C73">
        <v>813</v>
      </c>
      <c r="D73">
        <v>461</v>
      </c>
      <c r="E73">
        <v>296</v>
      </c>
      <c r="F73">
        <v>184</v>
      </c>
      <c r="G73">
        <v>785</v>
      </c>
      <c r="H73">
        <v>202</v>
      </c>
      <c r="I73">
        <v>128</v>
      </c>
      <c r="J73">
        <v>137</v>
      </c>
      <c r="K73">
        <v>67</v>
      </c>
      <c r="L73">
        <v>788</v>
      </c>
      <c r="M73">
        <v>76</v>
      </c>
      <c r="N73">
        <v>453</v>
      </c>
      <c r="O73">
        <v>164</v>
      </c>
      <c r="P73">
        <v>766</v>
      </c>
      <c r="Q73">
        <v>269</v>
      </c>
      <c r="R73">
        <v>393</v>
      </c>
    </row>
    <row r="74" spans="1:18" x14ac:dyDescent="0.25">
      <c r="A74" s="8">
        <v>38718</v>
      </c>
      <c r="B74">
        <v>26</v>
      </c>
      <c r="C74">
        <v>868</v>
      </c>
      <c r="D74">
        <v>450</v>
      </c>
      <c r="E74">
        <v>328</v>
      </c>
      <c r="F74">
        <v>169</v>
      </c>
      <c r="G74">
        <v>1034</v>
      </c>
      <c r="H74">
        <v>287</v>
      </c>
      <c r="I74">
        <v>105</v>
      </c>
      <c r="J74">
        <v>133</v>
      </c>
      <c r="K74">
        <v>100</v>
      </c>
      <c r="L74">
        <v>825</v>
      </c>
      <c r="M74">
        <v>113</v>
      </c>
      <c r="N74">
        <v>481</v>
      </c>
      <c r="O74">
        <v>171</v>
      </c>
      <c r="P74">
        <v>739</v>
      </c>
      <c r="Q74">
        <v>308</v>
      </c>
      <c r="R74">
        <v>457</v>
      </c>
    </row>
    <row r="75" spans="1:18" x14ac:dyDescent="0.25">
      <c r="A75" s="8">
        <v>38749</v>
      </c>
      <c r="B75">
        <v>25</v>
      </c>
      <c r="C75">
        <v>836</v>
      </c>
      <c r="D75">
        <v>477</v>
      </c>
      <c r="E75">
        <v>344</v>
      </c>
      <c r="F75">
        <v>155</v>
      </c>
      <c r="G75">
        <v>986</v>
      </c>
      <c r="H75">
        <v>260</v>
      </c>
      <c r="I75">
        <v>119</v>
      </c>
      <c r="J75">
        <v>180</v>
      </c>
      <c r="K75">
        <v>89</v>
      </c>
      <c r="L75">
        <v>841</v>
      </c>
      <c r="M75">
        <v>86</v>
      </c>
      <c r="N75">
        <v>441</v>
      </c>
      <c r="O75">
        <v>203</v>
      </c>
      <c r="P75">
        <v>838</v>
      </c>
      <c r="Q75">
        <v>281</v>
      </c>
      <c r="R75">
        <v>472</v>
      </c>
    </row>
    <row r="76" spans="1:18" x14ac:dyDescent="0.25">
      <c r="A76" s="8">
        <v>38777</v>
      </c>
      <c r="B76">
        <v>14</v>
      </c>
      <c r="C76">
        <v>820</v>
      </c>
      <c r="D76">
        <v>409</v>
      </c>
      <c r="E76">
        <v>292</v>
      </c>
      <c r="F76">
        <v>135</v>
      </c>
      <c r="G76">
        <v>888</v>
      </c>
      <c r="H76">
        <v>263</v>
      </c>
      <c r="I76">
        <v>116</v>
      </c>
      <c r="J76">
        <v>213</v>
      </c>
      <c r="K76">
        <v>85</v>
      </c>
      <c r="L76">
        <v>824</v>
      </c>
      <c r="M76">
        <v>83</v>
      </c>
      <c r="N76">
        <v>480</v>
      </c>
      <c r="O76">
        <v>172</v>
      </c>
      <c r="P76">
        <v>745</v>
      </c>
      <c r="Q76">
        <v>292</v>
      </c>
      <c r="R76">
        <v>461</v>
      </c>
    </row>
    <row r="77" spans="1:18" x14ac:dyDescent="0.25">
      <c r="A77" s="8">
        <v>38808</v>
      </c>
      <c r="B77">
        <v>17</v>
      </c>
      <c r="C77">
        <v>674</v>
      </c>
      <c r="D77">
        <v>414</v>
      </c>
      <c r="E77">
        <v>331</v>
      </c>
      <c r="F77">
        <v>137</v>
      </c>
      <c r="G77">
        <v>836</v>
      </c>
      <c r="H77">
        <v>272</v>
      </c>
      <c r="I77">
        <v>132</v>
      </c>
      <c r="J77">
        <v>215</v>
      </c>
      <c r="K77">
        <v>78</v>
      </c>
      <c r="L77">
        <v>644</v>
      </c>
      <c r="M77">
        <v>92</v>
      </c>
      <c r="N77">
        <v>466</v>
      </c>
      <c r="O77">
        <v>135</v>
      </c>
      <c r="P77">
        <v>747</v>
      </c>
      <c r="Q77">
        <v>266</v>
      </c>
      <c r="R77">
        <v>414</v>
      </c>
    </row>
    <row r="78" spans="1:18" x14ac:dyDescent="0.25">
      <c r="A78" s="8">
        <v>38838</v>
      </c>
      <c r="B78">
        <v>20</v>
      </c>
      <c r="C78">
        <v>647</v>
      </c>
      <c r="D78">
        <v>372</v>
      </c>
      <c r="E78">
        <v>308</v>
      </c>
      <c r="F78">
        <v>140</v>
      </c>
      <c r="G78">
        <v>885</v>
      </c>
      <c r="H78">
        <v>226</v>
      </c>
      <c r="I78">
        <v>158</v>
      </c>
      <c r="J78">
        <v>203</v>
      </c>
      <c r="K78">
        <v>86</v>
      </c>
      <c r="L78">
        <v>695</v>
      </c>
      <c r="M78">
        <v>96</v>
      </c>
      <c r="N78">
        <v>447</v>
      </c>
      <c r="O78">
        <v>130</v>
      </c>
      <c r="P78">
        <v>700</v>
      </c>
      <c r="Q78">
        <v>265</v>
      </c>
      <c r="R78">
        <v>429</v>
      </c>
    </row>
    <row r="79" spans="1:18" x14ac:dyDescent="0.25">
      <c r="A79" s="8">
        <v>38869</v>
      </c>
      <c r="B79">
        <v>31</v>
      </c>
      <c r="C79">
        <v>569</v>
      </c>
      <c r="D79">
        <v>380</v>
      </c>
      <c r="E79">
        <v>254</v>
      </c>
      <c r="F79">
        <v>142</v>
      </c>
      <c r="G79">
        <v>943</v>
      </c>
      <c r="H79">
        <v>225</v>
      </c>
      <c r="I79">
        <v>114</v>
      </c>
      <c r="J79">
        <v>205</v>
      </c>
      <c r="K79">
        <v>94</v>
      </c>
      <c r="L79">
        <v>753</v>
      </c>
      <c r="M79">
        <v>159</v>
      </c>
      <c r="N79">
        <v>458</v>
      </c>
      <c r="O79">
        <v>140</v>
      </c>
      <c r="P79">
        <v>803</v>
      </c>
      <c r="Q79">
        <v>265</v>
      </c>
      <c r="R79">
        <v>578</v>
      </c>
    </row>
    <row r="80" spans="1:18" x14ac:dyDescent="0.25">
      <c r="A80" s="8">
        <v>38899</v>
      </c>
      <c r="B80">
        <v>25</v>
      </c>
      <c r="C80">
        <v>633</v>
      </c>
      <c r="D80">
        <v>444</v>
      </c>
      <c r="E80">
        <v>292</v>
      </c>
      <c r="F80">
        <v>150</v>
      </c>
      <c r="G80">
        <v>934</v>
      </c>
      <c r="H80">
        <v>237</v>
      </c>
      <c r="I80">
        <v>103</v>
      </c>
      <c r="J80">
        <v>235</v>
      </c>
      <c r="K80">
        <v>93</v>
      </c>
      <c r="L80">
        <v>735</v>
      </c>
      <c r="M80">
        <v>175</v>
      </c>
      <c r="N80">
        <v>484</v>
      </c>
      <c r="O80">
        <v>146</v>
      </c>
      <c r="P80">
        <v>721</v>
      </c>
      <c r="Q80">
        <v>305</v>
      </c>
      <c r="R80">
        <v>659</v>
      </c>
    </row>
    <row r="81" spans="1:18" x14ac:dyDescent="0.25">
      <c r="A81" s="8">
        <v>38930</v>
      </c>
      <c r="B81">
        <v>32</v>
      </c>
      <c r="C81">
        <v>618</v>
      </c>
      <c r="D81">
        <v>425</v>
      </c>
      <c r="E81">
        <v>255</v>
      </c>
      <c r="F81">
        <v>138</v>
      </c>
      <c r="G81">
        <v>839</v>
      </c>
      <c r="H81">
        <v>217</v>
      </c>
      <c r="I81">
        <v>132</v>
      </c>
      <c r="J81">
        <v>183</v>
      </c>
      <c r="K81">
        <v>80</v>
      </c>
      <c r="L81">
        <v>681</v>
      </c>
      <c r="M81">
        <v>166</v>
      </c>
      <c r="N81">
        <v>445</v>
      </c>
      <c r="O81">
        <v>129</v>
      </c>
      <c r="P81">
        <v>726</v>
      </c>
      <c r="Q81">
        <v>341</v>
      </c>
      <c r="R81">
        <v>595</v>
      </c>
    </row>
    <row r="82" spans="1:18" x14ac:dyDescent="0.25">
      <c r="A82" s="8">
        <v>38961</v>
      </c>
      <c r="B82">
        <v>14</v>
      </c>
      <c r="C82">
        <v>586</v>
      </c>
      <c r="D82">
        <v>362</v>
      </c>
      <c r="E82">
        <v>270</v>
      </c>
      <c r="F82">
        <v>140</v>
      </c>
      <c r="G82">
        <v>868</v>
      </c>
      <c r="H82">
        <v>183</v>
      </c>
      <c r="I82">
        <v>170</v>
      </c>
      <c r="J82">
        <v>135</v>
      </c>
      <c r="K82">
        <v>100</v>
      </c>
      <c r="L82">
        <v>736</v>
      </c>
      <c r="M82">
        <v>127</v>
      </c>
      <c r="N82">
        <v>449</v>
      </c>
      <c r="O82">
        <v>114</v>
      </c>
      <c r="P82">
        <v>696</v>
      </c>
      <c r="Q82">
        <v>310</v>
      </c>
      <c r="R82">
        <v>396</v>
      </c>
    </row>
    <row r="83" spans="1:18" x14ac:dyDescent="0.25">
      <c r="A83" s="8">
        <v>38991</v>
      </c>
      <c r="B83">
        <v>15</v>
      </c>
      <c r="C83">
        <v>456</v>
      </c>
      <c r="D83">
        <v>363</v>
      </c>
      <c r="E83">
        <v>255</v>
      </c>
      <c r="F83">
        <v>119</v>
      </c>
      <c r="G83">
        <v>853</v>
      </c>
      <c r="H83">
        <v>206</v>
      </c>
      <c r="I83">
        <v>116</v>
      </c>
      <c r="J83">
        <v>163</v>
      </c>
      <c r="K83">
        <v>48</v>
      </c>
      <c r="L83">
        <v>768</v>
      </c>
      <c r="M83">
        <v>103</v>
      </c>
      <c r="N83">
        <v>428</v>
      </c>
      <c r="O83">
        <v>148</v>
      </c>
      <c r="P83">
        <v>647</v>
      </c>
      <c r="Q83">
        <v>268</v>
      </c>
      <c r="R83">
        <v>424</v>
      </c>
    </row>
    <row r="84" spans="1:18" x14ac:dyDescent="0.25">
      <c r="A84" s="8">
        <v>39022</v>
      </c>
      <c r="B84">
        <v>22</v>
      </c>
      <c r="C84">
        <v>618</v>
      </c>
      <c r="D84">
        <v>426</v>
      </c>
      <c r="E84">
        <v>276</v>
      </c>
      <c r="F84">
        <v>133</v>
      </c>
      <c r="G84">
        <v>885</v>
      </c>
      <c r="H84">
        <v>183</v>
      </c>
      <c r="I84">
        <v>137</v>
      </c>
      <c r="J84">
        <v>139</v>
      </c>
      <c r="K84">
        <v>91</v>
      </c>
      <c r="L84">
        <v>658</v>
      </c>
      <c r="M84">
        <v>107</v>
      </c>
      <c r="N84">
        <v>429</v>
      </c>
      <c r="O84">
        <v>148</v>
      </c>
      <c r="P84">
        <v>688</v>
      </c>
      <c r="Q84">
        <v>306</v>
      </c>
      <c r="R84">
        <v>400</v>
      </c>
    </row>
    <row r="85" spans="1:18" x14ac:dyDescent="0.25">
      <c r="A85" s="8">
        <v>39052</v>
      </c>
      <c r="B85">
        <v>25</v>
      </c>
      <c r="C85">
        <v>725</v>
      </c>
      <c r="D85">
        <v>395</v>
      </c>
      <c r="E85">
        <v>265</v>
      </c>
      <c r="F85">
        <v>181</v>
      </c>
      <c r="G85">
        <v>784</v>
      </c>
      <c r="H85">
        <v>190</v>
      </c>
      <c r="I85">
        <v>108</v>
      </c>
      <c r="J85">
        <v>128</v>
      </c>
      <c r="K85">
        <v>99</v>
      </c>
      <c r="L85">
        <v>791</v>
      </c>
      <c r="M85">
        <v>80</v>
      </c>
      <c r="N85">
        <v>421</v>
      </c>
      <c r="O85">
        <v>145</v>
      </c>
      <c r="P85">
        <v>556</v>
      </c>
      <c r="Q85">
        <v>306</v>
      </c>
      <c r="R85">
        <v>395</v>
      </c>
    </row>
    <row r="86" spans="1:18" x14ac:dyDescent="0.25">
      <c r="A86" s="8">
        <v>39083</v>
      </c>
      <c r="B86">
        <v>35</v>
      </c>
      <c r="C86">
        <v>922</v>
      </c>
      <c r="D86">
        <v>520</v>
      </c>
      <c r="E86">
        <v>232</v>
      </c>
      <c r="F86">
        <v>179</v>
      </c>
      <c r="G86">
        <v>987</v>
      </c>
      <c r="H86">
        <v>248</v>
      </c>
      <c r="I86">
        <v>143</v>
      </c>
      <c r="J86">
        <v>132</v>
      </c>
      <c r="K86">
        <v>101</v>
      </c>
      <c r="L86">
        <v>885</v>
      </c>
      <c r="M86">
        <v>129</v>
      </c>
      <c r="N86">
        <v>434</v>
      </c>
      <c r="O86">
        <v>187</v>
      </c>
      <c r="P86">
        <v>724</v>
      </c>
      <c r="Q86">
        <v>275</v>
      </c>
      <c r="R86">
        <v>476</v>
      </c>
    </row>
    <row r="87" spans="1:18" x14ac:dyDescent="0.25">
      <c r="A87" s="8">
        <v>39114</v>
      </c>
      <c r="B87">
        <v>33</v>
      </c>
      <c r="C87">
        <v>1086</v>
      </c>
      <c r="D87">
        <v>491</v>
      </c>
      <c r="E87">
        <v>283</v>
      </c>
      <c r="F87">
        <v>134</v>
      </c>
      <c r="G87">
        <v>911</v>
      </c>
      <c r="H87">
        <v>251</v>
      </c>
      <c r="I87">
        <v>139</v>
      </c>
      <c r="J87">
        <v>171</v>
      </c>
      <c r="K87">
        <v>124</v>
      </c>
      <c r="L87">
        <v>825</v>
      </c>
      <c r="M87">
        <v>100</v>
      </c>
      <c r="N87">
        <v>388</v>
      </c>
      <c r="O87">
        <v>205</v>
      </c>
      <c r="P87">
        <v>675</v>
      </c>
      <c r="Q87">
        <v>257</v>
      </c>
      <c r="R87">
        <v>405</v>
      </c>
    </row>
    <row r="88" spans="1:18" x14ac:dyDescent="0.25">
      <c r="A88" s="8">
        <v>39142</v>
      </c>
      <c r="B88">
        <v>24</v>
      </c>
      <c r="C88">
        <v>924</v>
      </c>
      <c r="D88">
        <v>456</v>
      </c>
      <c r="E88">
        <v>286</v>
      </c>
      <c r="F88">
        <v>153</v>
      </c>
      <c r="G88">
        <v>743</v>
      </c>
      <c r="H88">
        <v>249</v>
      </c>
      <c r="I88">
        <v>109</v>
      </c>
      <c r="J88">
        <v>134</v>
      </c>
      <c r="K88">
        <v>119</v>
      </c>
      <c r="L88">
        <v>775</v>
      </c>
      <c r="M88">
        <v>106</v>
      </c>
      <c r="N88">
        <v>389</v>
      </c>
      <c r="O88">
        <v>167</v>
      </c>
      <c r="P88">
        <v>678</v>
      </c>
      <c r="Q88">
        <v>222</v>
      </c>
      <c r="R88">
        <v>419</v>
      </c>
    </row>
    <row r="89" spans="1:18" x14ac:dyDescent="0.25">
      <c r="A89" s="8">
        <v>39173</v>
      </c>
      <c r="B89">
        <v>17</v>
      </c>
      <c r="C89">
        <v>853</v>
      </c>
      <c r="D89">
        <v>467</v>
      </c>
      <c r="E89">
        <v>282</v>
      </c>
      <c r="F89">
        <v>116</v>
      </c>
      <c r="G89">
        <v>756</v>
      </c>
      <c r="H89">
        <v>188</v>
      </c>
      <c r="I89">
        <v>77</v>
      </c>
      <c r="J89">
        <v>167</v>
      </c>
      <c r="K89">
        <v>64</v>
      </c>
      <c r="L89">
        <v>689</v>
      </c>
      <c r="M89">
        <v>117</v>
      </c>
      <c r="N89">
        <v>438</v>
      </c>
      <c r="O89">
        <v>156</v>
      </c>
      <c r="P89">
        <v>666</v>
      </c>
      <c r="Q89">
        <v>224</v>
      </c>
      <c r="R89">
        <v>408</v>
      </c>
    </row>
    <row r="90" spans="1:18" x14ac:dyDescent="0.25">
      <c r="A90" s="8">
        <v>39203</v>
      </c>
      <c r="B90">
        <v>22</v>
      </c>
      <c r="C90">
        <v>676</v>
      </c>
      <c r="D90">
        <v>443</v>
      </c>
      <c r="E90">
        <v>208</v>
      </c>
      <c r="F90">
        <v>119</v>
      </c>
      <c r="G90">
        <v>676</v>
      </c>
      <c r="H90">
        <v>216</v>
      </c>
      <c r="I90">
        <v>110</v>
      </c>
      <c r="J90">
        <v>196</v>
      </c>
      <c r="K90">
        <v>85</v>
      </c>
      <c r="L90">
        <v>743</v>
      </c>
      <c r="M90">
        <v>169</v>
      </c>
      <c r="N90">
        <v>454</v>
      </c>
      <c r="O90">
        <v>100</v>
      </c>
      <c r="P90">
        <v>730</v>
      </c>
      <c r="Q90">
        <v>242</v>
      </c>
      <c r="R90">
        <v>428</v>
      </c>
    </row>
    <row r="91" spans="1:18" x14ac:dyDescent="0.25">
      <c r="A91" s="8">
        <v>39234</v>
      </c>
      <c r="B91">
        <v>33</v>
      </c>
      <c r="C91">
        <v>600</v>
      </c>
      <c r="D91">
        <v>406</v>
      </c>
      <c r="E91">
        <v>247</v>
      </c>
      <c r="F91">
        <v>123</v>
      </c>
      <c r="G91">
        <v>856</v>
      </c>
      <c r="H91">
        <v>242</v>
      </c>
      <c r="I91">
        <v>114</v>
      </c>
      <c r="J91">
        <v>227</v>
      </c>
      <c r="K91">
        <v>76</v>
      </c>
      <c r="L91">
        <v>722</v>
      </c>
      <c r="M91">
        <v>241</v>
      </c>
      <c r="N91">
        <v>412</v>
      </c>
      <c r="O91">
        <v>161</v>
      </c>
      <c r="P91">
        <v>756</v>
      </c>
      <c r="Q91">
        <v>256</v>
      </c>
      <c r="R91">
        <v>572</v>
      </c>
    </row>
    <row r="92" spans="1:18" x14ac:dyDescent="0.25">
      <c r="A92" s="8">
        <v>39264</v>
      </c>
      <c r="B92">
        <v>33</v>
      </c>
      <c r="C92">
        <v>617</v>
      </c>
      <c r="D92">
        <v>374</v>
      </c>
      <c r="E92">
        <v>247</v>
      </c>
      <c r="F92">
        <v>136</v>
      </c>
      <c r="G92">
        <v>953</v>
      </c>
      <c r="H92">
        <v>309</v>
      </c>
      <c r="I92">
        <v>112</v>
      </c>
      <c r="J92">
        <v>208</v>
      </c>
      <c r="K92">
        <v>99</v>
      </c>
      <c r="L92">
        <v>743</v>
      </c>
      <c r="M92">
        <v>235</v>
      </c>
      <c r="N92">
        <v>430</v>
      </c>
      <c r="O92">
        <v>161</v>
      </c>
      <c r="P92">
        <v>759</v>
      </c>
      <c r="Q92">
        <v>243</v>
      </c>
      <c r="R92">
        <v>704</v>
      </c>
    </row>
    <row r="93" spans="1:18" x14ac:dyDescent="0.25">
      <c r="A93" s="8">
        <v>39295</v>
      </c>
      <c r="B93">
        <v>33</v>
      </c>
      <c r="C93">
        <v>558</v>
      </c>
      <c r="D93">
        <v>341</v>
      </c>
      <c r="E93">
        <v>255</v>
      </c>
      <c r="F93">
        <v>152</v>
      </c>
      <c r="G93">
        <v>876</v>
      </c>
      <c r="H93">
        <v>205</v>
      </c>
      <c r="I93">
        <v>140</v>
      </c>
      <c r="J93">
        <v>238</v>
      </c>
      <c r="K93">
        <v>133</v>
      </c>
      <c r="L93">
        <v>683</v>
      </c>
      <c r="M93">
        <v>169</v>
      </c>
      <c r="N93">
        <v>479</v>
      </c>
      <c r="O93">
        <v>133</v>
      </c>
      <c r="P93">
        <v>744</v>
      </c>
      <c r="Q93">
        <v>239</v>
      </c>
      <c r="R93">
        <v>695</v>
      </c>
    </row>
    <row r="94" spans="1:18" x14ac:dyDescent="0.25">
      <c r="A94" s="8">
        <v>39326</v>
      </c>
      <c r="B94">
        <v>25</v>
      </c>
      <c r="C94">
        <v>596</v>
      </c>
      <c r="D94">
        <v>407</v>
      </c>
      <c r="E94">
        <v>266</v>
      </c>
      <c r="F94">
        <v>167</v>
      </c>
      <c r="G94">
        <v>860</v>
      </c>
      <c r="H94">
        <v>224</v>
      </c>
      <c r="I94">
        <v>124</v>
      </c>
      <c r="J94">
        <v>204</v>
      </c>
      <c r="K94">
        <v>112</v>
      </c>
      <c r="L94">
        <v>655</v>
      </c>
      <c r="M94">
        <v>104</v>
      </c>
      <c r="N94">
        <v>526</v>
      </c>
      <c r="O94">
        <v>187</v>
      </c>
      <c r="P94">
        <v>704</v>
      </c>
      <c r="Q94">
        <v>257</v>
      </c>
      <c r="R94">
        <v>525</v>
      </c>
    </row>
    <row r="95" spans="1:18" x14ac:dyDescent="0.25">
      <c r="A95" s="8">
        <v>39356</v>
      </c>
      <c r="B95">
        <v>9</v>
      </c>
      <c r="C95">
        <v>641</v>
      </c>
      <c r="D95">
        <v>431</v>
      </c>
      <c r="E95">
        <v>298</v>
      </c>
      <c r="F95">
        <v>137</v>
      </c>
      <c r="G95">
        <v>770</v>
      </c>
      <c r="H95">
        <v>218</v>
      </c>
      <c r="I95">
        <v>120</v>
      </c>
      <c r="J95">
        <v>199</v>
      </c>
      <c r="K95">
        <v>109</v>
      </c>
      <c r="L95">
        <v>675</v>
      </c>
      <c r="M95">
        <v>104</v>
      </c>
      <c r="N95">
        <v>430</v>
      </c>
      <c r="O95">
        <v>116</v>
      </c>
      <c r="P95">
        <v>795</v>
      </c>
      <c r="Q95">
        <v>182</v>
      </c>
      <c r="R95">
        <v>492</v>
      </c>
    </row>
    <row r="96" spans="1:18" x14ac:dyDescent="0.25">
      <c r="A96" s="8">
        <v>39387</v>
      </c>
      <c r="B96">
        <v>16</v>
      </c>
      <c r="C96">
        <v>645</v>
      </c>
      <c r="D96">
        <v>440</v>
      </c>
      <c r="E96">
        <v>322</v>
      </c>
      <c r="F96">
        <v>140</v>
      </c>
      <c r="G96">
        <v>753</v>
      </c>
      <c r="H96">
        <v>242</v>
      </c>
      <c r="I96">
        <v>132</v>
      </c>
      <c r="J96">
        <v>179</v>
      </c>
      <c r="K96">
        <v>83</v>
      </c>
      <c r="L96">
        <v>679</v>
      </c>
      <c r="M96">
        <v>119</v>
      </c>
      <c r="N96">
        <v>407</v>
      </c>
      <c r="O96">
        <v>170</v>
      </c>
      <c r="P96">
        <v>816</v>
      </c>
      <c r="Q96">
        <v>255</v>
      </c>
      <c r="R96">
        <v>482</v>
      </c>
    </row>
    <row r="97" spans="1:18" x14ac:dyDescent="0.25">
      <c r="A97" s="8">
        <v>39417</v>
      </c>
      <c r="B97">
        <v>24</v>
      </c>
      <c r="C97">
        <v>968</v>
      </c>
      <c r="D97">
        <v>459</v>
      </c>
      <c r="E97">
        <v>313</v>
      </c>
      <c r="F97">
        <v>135</v>
      </c>
      <c r="G97">
        <v>874</v>
      </c>
      <c r="H97">
        <v>210</v>
      </c>
      <c r="I97">
        <v>125</v>
      </c>
      <c r="J97">
        <v>221</v>
      </c>
      <c r="K97">
        <v>93</v>
      </c>
      <c r="L97">
        <v>803</v>
      </c>
      <c r="M97">
        <v>114</v>
      </c>
      <c r="N97">
        <v>407</v>
      </c>
      <c r="O97">
        <v>174</v>
      </c>
      <c r="P97">
        <v>787</v>
      </c>
      <c r="Q97">
        <v>235</v>
      </c>
      <c r="R97">
        <v>451</v>
      </c>
    </row>
    <row r="98" spans="1:18" x14ac:dyDescent="0.25">
      <c r="A98" s="8">
        <v>39448</v>
      </c>
      <c r="B98">
        <v>28</v>
      </c>
      <c r="C98">
        <v>1099</v>
      </c>
      <c r="D98">
        <v>454</v>
      </c>
      <c r="E98">
        <v>383</v>
      </c>
      <c r="F98">
        <v>128</v>
      </c>
      <c r="G98">
        <v>992</v>
      </c>
      <c r="H98">
        <v>271</v>
      </c>
      <c r="I98">
        <v>169</v>
      </c>
      <c r="J98">
        <v>225</v>
      </c>
      <c r="K98">
        <v>61</v>
      </c>
      <c r="L98">
        <v>893</v>
      </c>
      <c r="M98">
        <v>143</v>
      </c>
      <c r="N98">
        <v>433</v>
      </c>
      <c r="O98">
        <v>216</v>
      </c>
      <c r="P98">
        <v>960</v>
      </c>
      <c r="Q98">
        <v>264</v>
      </c>
      <c r="R98">
        <v>471</v>
      </c>
    </row>
    <row r="99" spans="1:18" x14ac:dyDescent="0.25">
      <c r="A99" s="8">
        <v>39479</v>
      </c>
      <c r="B99">
        <v>16</v>
      </c>
      <c r="C99">
        <v>1118</v>
      </c>
      <c r="D99">
        <v>481</v>
      </c>
      <c r="E99">
        <v>339</v>
      </c>
      <c r="F99">
        <v>118</v>
      </c>
      <c r="G99">
        <v>889</v>
      </c>
      <c r="H99">
        <v>289</v>
      </c>
      <c r="I99">
        <v>193</v>
      </c>
      <c r="J99">
        <v>209</v>
      </c>
      <c r="K99">
        <v>114</v>
      </c>
      <c r="L99">
        <v>866</v>
      </c>
      <c r="M99">
        <v>141</v>
      </c>
      <c r="N99">
        <v>421</v>
      </c>
      <c r="O99">
        <v>189</v>
      </c>
      <c r="P99">
        <v>867</v>
      </c>
      <c r="Q99">
        <v>313</v>
      </c>
      <c r="R99">
        <v>372</v>
      </c>
    </row>
    <row r="100" spans="1:18" x14ac:dyDescent="0.25">
      <c r="A100" s="8">
        <v>39508</v>
      </c>
      <c r="B100">
        <v>28</v>
      </c>
      <c r="C100">
        <v>1170</v>
      </c>
      <c r="D100">
        <v>507</v>
      </c>
      <c r="E100">
        <v>324</v>
      </c>
      <c r="F100">
        <v>113</v>
      </c>
      <c r="G100">
        <v>880</v>
      </c>
      <c r="H100">
        <v>267</v>
      </c>
      <c r="I100">
        <v>155</v>
      </c>
      <c r="J100">
        <v>214</v>
      </c>
      <c r="K100">
        <v>110</v>
      </c>
      <c r="L100">
        <v>876</v>
      </c>
      <c r="M100">
        <v>123</v>
      </c>
      <c r="N100">
        <v>486</v>
      </c>
      <c r="O100">
        <v>152</v>
      </c>
      <c r="P100">
        <v>792</v>
      </c>
      <c r="Q100">
        <v>283</v>
      </c>
      <c r="R100">
        <v>425</v>
      </c>
    </row>
    <row r="101" spans="1:18" x14ac:dyDescent="0.25">
      <c r="A101" s="8">
        <v>39539</v>
      </c>
      <c r="B101">
        <v>28</v>
      </c>
      <c r="C101">
        <v>1057</v>
      </c>
      <c r="D101">
        <v>505</v>
      </c>
      <c r="E101">
        <v>291</v>
      </c>
      <c r="F101">
        <v>137</v>
      </c>
      <c r="G101">
        <v>782</v>
      </c>
      <c r="H101">
        <v>245</v>
      </c>
      <c r="I101">
        <v>143</v>
      </c>
      <c r="J101">
        <v>222</v>
      </c>
      <c r="K101">
        <v>103</v>
      </c>
      <c r="L101">
        <v>736</v>
      </c>
      <c r="M101">
        <v>86</v>
      </c>
      <c r="N101">
        <v>466</v>
      </c>
      <c r="O101">
        <v>139</v>
      </c>
      <c r="P101">
        <v>734</v>
      </c>
      <c r="Q101">
        <v>251</v>
      </c>
      <c r="R101">
        <v>373</v>
      </c>
    </row>
    <row r="102" spans="1:18" x14ac:dyDescent="0.25">
      <c r="A102" s="8">
        <v>39569</v>
      </c>
      <c r="B102">
        <v>28</v>
      </c>
      <c r="C102">
        <v>809</v>
      </c>
      <c r="D102">
        <v>565</v>
      </c>
      <c r="E102">
        <v>314</v>
      </c>
      <c r="F102">
        <v>165</v>
      </c>
      <c r="G102">
        <v>884</v>
      </c>
      <c r="H102">
        <v>269</v>
      </c>
      <c r="I102">
        <v>170</v>
      </c>
      <c r="J102">
        <v>240</v>
      </c>
      <c r="K102">
        <v>121</v>
      </c>
      <c r="L102">
        <v>829</v>
      </c>
      <c r="M102">
        <v>178</v>
      </c>
      <c r="N102">
        <v>441</v>
      </c>
      <c r="O102">
        <v>172</v>
      </c>
      <c r="P102">
        <v>902</v>
      </c>
      <c r="Q102">
        <v>275</v>
      </c>
      <c r="R102">
        <v>461</v>
      </c>
    </row>
    <row r="103" spans="1:18" x14ac:dyDescent="0.25">
      <c r="A103" s="8">
        <v>39600</v>
      </c>
      <c r="B103">
        <v>28</v>
      </c>
      <c r="C103">
        <v>785</v>
      </c>
      <c r="D103">
        <v>544</v>
      </c>
      <c r="E103">
        <v>318</v>
      </c>
      <c r="F103">
        <v>160</v>
      </c>
      <c r="G103">
        <v>1000</v>
      </c>
      <c r="H103">
        <v>329</v>
      </c>
      <c r="I103">
        <v>157</v>
      </c>
      <c r="J103">
        <v>193</v>
      </c>
      <c r="K103">
        <v>144</v>
      </c>
      <c r="L103">
        <v>890</v>
      </c>
      <c r="M103">
        <v>178</v>
      </c>
      <c r="N103">
        <v>492</v>
      </c>
      <c r="O103">
        <v>171</v>
      </c>
      <c r="P103">
        <v>983</v>
      </c>
      <c r="Q103">
        <v>322</v>
      </c>
      <c r="R103">
        <v>654</v>
      </c>
    </row>
    <row r="104" spans="1:18" x14ac:dyDescent="0.25">
      <c r="A104" s="8">
        <v>39630</v>
      </c>
      <c r="B104">
        <v>13</v>
      </c>
      <c r="C104">
        <v>783</v>
      </c>
      <c r="D104">
        <v>607</v>
      </c>
      <c r="E104">
        <v>301</v>
      </c>
      <c r="F104">
        <v>183</v>
      </c>
      <c r="G104">
        <v>1146</v>
      </c>
      <c r="H104">
        <v>359</v>
      </c>
      <c r="I104">
        <v>141</v>
      </c>
      <c r="J104">
        <v>233</v>
      </c>
      <c r="K104">
        <v>117</v>
      </c>
      <c r="L104">
        <v>866</v>
      </c>
      <c r="M104">
        <v>237</v>
      </c>
      <c r="N104">
        <v>539</v>
      </c>
      <c r="O104">
        <v>197</v>
      </c>
      <c r="P104">
        <v>976</v>
      </c>
      <c r="Q104">
        <v>352</v>
      </c>
      <c r="R104">
        <v>770</v>
      </c>
    </row>
    <row r="105" spans="1:18" x14ac:dyDescent="0.25">
      <c r="A105" s="8">
        <v>39661</v>
      </c>
      <c r="B105">
        <v>17</v>
      </c>
      <c r="C105">
        <v>814</v>
      </c>
      <c r="D105">
        <v>631</v>
      </c>
      <c r="E105">
        <v>329</v>
      </c>
      <c r="F105">
        <v>196</v>
      </c>
      <c r="G105">
        <v>1170</v>
      </c>
      <c r="H105">
        <v>309</v>
      </c>
      <c r="I105">
        <v>144</v>
      </c>
      <c r="J105">
        <v>287</v>
      </c>
      <c r="K105">
        <v>122</v>
      </c>
      <c r="L105">
        <v>961</v>
      </c>
      <c r="M105">
        <v>269</v>
      </c>
      <c r="N105">
        <v>575</v>
      </c>
      <c r="O105">
        <v>183</v>
      </c>
      <c r="P105">
        <v>939</v>
      </c>
      <c r="Q105">
        <v>412</v>
      </c>
      <c r="R105">
        <v>721</v>
      </c>
    </row>
    <row r="106" spans="1:18" x14ac:dyDescent="0.25">
      <c r="A106" s="8">
        <v>39692</v>
      </c>
      <c r="B106">
        <v>25</v>
      </c>
      <c r="C106">
        <v>970</v>
      </c>
      <c r="D106">
        <v>688</v>
      </c>
      <c r="E106">
        <v>296</v>
      </c>
      <c r="F106">
        <v>215</v>
      </c>
      <c r="G106">
        <v>1062</v>
      </c>
      <c r="H106">
        <v>337</v>
      </c>
      <c r="I106">
        <v>166</v>
      </c>
      <c r="J106">
        <v>279</v>
      </c>
      <c r="K106">
        <v>100</v>
      </c>
      <c r="L106">
        <v>951</v>
      </c>
      <c r="M106">
        <v>222</v>
      </c>
      <c r="N106">
        <v>613</v>
      </c>
      <c r="O106">
        <v>194</v>
      </c>
      <c r="P106">
        <v>835</v>
      </c>
      <c r="Q106">
        <v>374</v>
      </c>
      <c r="R106">
        <v>573</v>
      </c>
    </row>
    <row r="107" spans="1:18" x14ac:dyDescent="0.25">
      <c r="A107" s="8">
        <v>39722</v>
      </c>
      <c r="B107">
        <v>15</v>
      </c>
      <c r="C107">
        <v>1078</v>
      </c>
      <c r="D107">
        <v>616</v>
      </c>
      <c r="E107">
        <v>390</v>
      </c>
      <c r="F107">
        <v>237</v>
      </c>
      <c r="G107">
        <v>1076</v>
      </c>
      <c r="H107">
        <v>316</v>
      </c>
      <c r="I107">
        <v>168</v>
      </c>
      <c r="J107">
        <v>320</v>
      </c>
      <c r="K107">
        <v>114</v>
      </c>
      <c r="L107">
        <v>1052</v>
      </c>
      <c r="M107">
        <v>216</v>
      </c>
      <c r="N107">
        <v>581</v>
      </c>
      <c r="O107">
        <v>249</v>
      </c>
      <c r="P107">
        <v>877</v>
      </c>
      <c r="Q107">
        <v>334</v>
      </c>
      <c r="R107">
        <v>552</v>
      </c>
    </row>
    <row r="108" spans="1:18" x14ac:dyDescent="0.25">
      <c r="A108" s="8">
        <v>39753</v>
      </c>
      <c r="B108">
        <v>32</v>
      </c>
      <c r="C108">
        <v>1237</v>
      </c>
      <c r="D108">
        <v>729</v>
      </c>
      <c r="E108">
        <v>415</v>
      </c>
      <c r="F108">
        <v>248</v>
      </c>
      <c r="G108">
        <v>1149</v>
      </c>
      <c r="H108">
        <v>331</v>
      </c>
      <c r="I108">
        <v>173</v>
      </c>
      <c r="J108">
        <v>321</v>
      </c>
      <c r="K108">
        <v>173</v>
      </c>
      <c r="L108">
        <v>992</v>
      </c>
      <c r="M108">
        <v>210</v>
      </c>
      <c r="N108">
        <v>538</v>
      </c>
      <c r="O108">
        <v>290</v>
      </c>
      <c r="P108">
        <v>992</v>
      </c>
      <c r="Q108">
        <v>434</v>
      </c>
      <c r="R108">
        <v>527</v>
      </c>
    </row>
    <row r="109" spans="1:18" x14ac:dyDescent="0.25">
      <c r="A109" s="8">
        <v>39783</v>
      </c>
      <c r="B109">
        <v>46</v>
      </c>
      <c r="C109">
        <v>1438</v>
      </c>
      <c r="D109">
        <v>839</v>
      </c>
      <c r="E109">
        <v>477</v>
      </c>
      <c r="F109">
        <v>253</v>
      </c>
      <c r="G109">
        <v>1282</v>
      </c>
      <c r="H109">
        <v>421</v>
      </c>
      <c r="I109">
        <v>219</v>
      </c>
      <c r="J109">
        <v>335</v>
      </c>
      <c r="K109">
        <v>205</v>
      </c>
      <c r="L109">
        <v>1147</v>
      </c>
      <c r="M109">
        <v>220</v>
      </c>
      <c r="N109">
        <v>570</v>
      </c>
      <c r="O109">
        <v>178</v>
      </c>
      <c r="P109">
        <v>1033</v>
      </c>
      <c r="Q109">
        <v>367</v>
      </c>
      <c r="R109">
        <v>511</v>
      </c>
    </row>
    <row r="110" spans="1:18" x14ac:dyDescent="0.25">
      <c r="A110" s="8">
        <v>39814</v>
      </c>
      <c r="B110">
        <v>59</v>
      </c>
      <c r="C110">
        <v>1744</v>
      </c>
      <c r="D110">
        <v>1157</v>
      </c>
      <c r="E110">
        <v>554</v>
      </c>
      <c r="F110">
        <v>281</v>
      </c>
      <c r="G110">
        <v>1513</v>
      </c>
      <c r="H110">
        <v>522</v>
      </c>
      <c r="I110">
        <v>232</v>
      </c>
      <c r="J110">
        <v>383</v>
      </c>
      <c r="K110">
        <v>188</v>
      </c>
      <c r="L110">
        <v>1445</v>
      </c>
      <c r="M110">
        <v>169</v>
      </c>
      <c r="N110">
        <v>623</v>
      </c>
      <c r="O110">
        <v>253</v>
      </c>
      <c r="P110">
        <v>1234</v>
      </c>
      <c r="Q110">
        <v>431</v>
      </c>
      <c r="R110">
        <v>652</v>
      </c>
    </row>
    <row r="111" spans="1:18" x14ac:dyDescent="0.25">
      <c r="A111" s="8">
        <v>39845</v>
      </c>
      <c r="B111">
        <v>63</v>
      </c>
      <c r="C111">
        <v>2025</v>
      </c>
      <c r="D111">
        <v>1219</v>
      </c>
      <c r="E111">
        <v>603</v>
      </c>
      <c r="F111">
        <v>300</v>
      </c>
      <c r="G111">
        <v>1547</v>
      </c>
      <c r="H111">
        <v>563</v>
      </c>
      <c r="I111">
        <v>224</v>
      </c>
      <c r="J111">
        <v>393</v>
      </c>
      <c r="K111">
        <v>244</v>
      </c>
      <c r="L111">
        <v>1512</v>
      </c>
      <c r="M111">
        <v>163</v>
      </c>
      <c r="N111">
        <v>684</v>
      </c>
      <c r="O111">
        <v>224</v>
      </c>
      <c r="P111">
        <v>1254</v>
      </c>
      <c r="Q111">
        <v>453</v>
      </c>
      <c r="R111">
        <v>563</v>
      </c>
    </row>
    <row r="112" spans="1:18" x14ac:dyDescent="0.25">
      <c r="A112" s="8">
        <v>39873</v>
      </c>
      <c r="B112">
        <v>105</v>
      </c>
      <c r="C112">
        <v>1979</v>
      </c>
      <c r="D112">
        <v>1307</v>
      </c>
      <c r="E112">
        <v>605</v>
      </c>
      <c r="F112">
        <v>246</v>
      </c>
      <c r="G112">
        <v>1606</v>
      </c>
      <c r="H112">
        <v>558</v>
      </c>
      <c r="I112">
        <v>252</v>
      </c>
      <c r="J112">
        <v>398</v>
      </c>
      <c r="K112">
        <v>241</v>
      </c>
      <c r="L112">
        <v>1597</v>
      </c>
      <c r="M112">
        <v>195</v>
      </c>
      <c r="N112">
        <v>736</v>
      </c>
      <c r="O112">
        <v>268</v>
      </c>
      <c r="P112">
        <v>1216</v>
      </c>
      <c r="Q112">
        <v>377</v>
      </c>
      <c r="R112">
        <v>598</v>
      </c>
    </row>
    <row r="113" spans="1:18" x14ac:dyDescent="0.25">
      <c r="A113" s="8">
        <v>39904</v>
      </c>
      <c r="B113">
        <v>125</v>
      </c>
      <c r="C113">
        <v>1737</v>
      </c>
      <c r="D113">
        <v>1278</v>
      </c>
      <c r="E113">
        <v>690</v>
      </c>
      <c r="F113">
        <v>243</v>
      </c>
      <c r="G113">
        <v>1591</v>
      </c>
      <c r="H113">
        <v>541</v>
      </c>
      <c r="I113">
        <v>320</v>
      </c>
      <c r="J113">
        <v>363</v>
      </c>
      <c r="K113">
        <v>199</v>
      </c>
      <c r="L113">
        <v>1448</v>
      </c>
      <c r="M113">
        <v>214</v>
      </c>
      <c r="N113">
        <v>750</v>
      </c>
      <c r="O113">
        <v>255</v>
      </c>
      <c r="P113">
        <v>1067</v>
      </c>
      <c r="Q113">
        <v>403</v>
      </c>
      <c r="R113">
        <v>575</v>
      </c>
    </row>
    <row r="114" spans="1:18" x14ac:dyDescent="0.25">
      <c r="A114" s="8">
        <v>39934</v>
      </c>
      <c r="B114">
        <v>98</v>
      </c>
      <c r="C114">
        <v>1768</v>
      </c>
      <c r="D114">
        <v>1320</v>
      </c>
      <c r="E114">
        <v>690</v>
      </c>
      <c r="F114">
        <v>266</v>
      </c>
      <c r="G114">
        <v>1569</v>
      </c>
      <c r="H114">
        <v>506</v>
      </c>
      <c r="I114">
        <v>303</v>
      </c>
      <c r="J114">
        <v>335</v>
      </c>
      <c r="K114">
        <v>201</v>
      </c>
      <c r="L114">
        <v>1514</v>
      </c>
      <c r="M114">
        <v>223</v>
      </c>
      <c r="N114">
        <v>782</v>
      </c>
      <c r="O114">
        <v>283</v>
      </c>
      <c r="P114">
        <v>1316</v>
      </c>
      <c r="Q114">
        <v>476</v>
      </c>
      <c r="R114">
        <v>702</v>
      </c>
    </row>
    <row r="115" spans="1:18" x14ac:dyDescent="0.25">
      <c r="A115" s="8">
        <v>39965</v>
      </c>
      <c r="B115">
        <v>100</v>
      </c>
      <c r="C115">
        <v>1601</v>
      </c>
      <c r="D115">
        <v>1377</v>
      </c>
      <c r="E115">
        <v>632</v>
      </c>
      <c r="F115">
        <v>271</v>
      </c>
      <c r="G115">
        <v>1592</v>
      </c>
      <c r="H115">
        <v>499</v>
      </c>
      <c r="I115">
        <v>347</v>
      </c>
      <c r="J115">
        <v>355</v>
      </c>
      <c r="K115">
        <v>159</v>
      </c>
      <c r="L115">
        <v>1580</v>
      </c>
      <c r="M115">
        <v>397</v>
      </c>
      <c r="N115">
        <v>870</v>
      </c>
      <c r="O115">
        <v>310</v>
      </c>
      <c r="P115">
        <v>1378</v>
      </c>
      <c r="Q115">
        <v>557</v>
      </c>
      <c r="R115">
        <v>991</v>
      </c>
    </row>
    <row r="116" spans="1:18" x14ac:dyDescent="0.25">
      <c r="A116" s="8">
        <v>39995</v>
      </c>
      <c r="B116">
        <v>95</v>
      </c>
      <c r="C116">
        <v>1687</v>
      </c>
      <c r="D116">
        <v>1379</v>
      </c>
      <c r="E116">
        <v>609</v>
      </c>
      <c r="F116">
        <v>317</v>
      </c>
      <c r="G116">
        <v>1538</v>
      </c>
      <c r="H116">
        <v>511</v>
      </c>
      <c r="I116">
        <v>373</v>
      </c>
      <c r="J116">
        <v>389</v>
      </c>
      <c r="K116">
        <v>181</v>
      </c>
      <c r="L116">
        <v>1531</v>
      </c>
      <c r="M116">
        <v>387</v>
      </c>
      <c r="N116">
        <v>882</v>
      </c>
      <c r="O116">
        <v>273</v>
      </c>
      <c r="P116">
        <v>1327</v>
      </c>
      <c r="Q116">
        <v>490</v>
      </c>
      <c r="R116">
        <v>1129</v>
      </c>
    </row>
    <row r="117" spans="1:18" x14ac:dyDescent="0.25">
      <c r="A117" s="8">
        <v>40026</v>
      </c>
      <c r="B117">
        <v>93</v>
      </c>
      <c r="C117">
        <v>1542</v>
      </c>
      <c r="D117">
        <v>1297</v>
      </c>
      <c r="E117">
        <v>569</v>
      </c>
      <c r="F117">
        <v>277</v>
      </c>
      <c r="G117">
        <v>1517</v>
      </c>
      <c r="H117">
        <v>547</v>
      </c>
      <c r="I117">
        <v>358</v>
      </c>
      <c r="J117">
        <v>405</v>
      </c>
      <c r="K117">
        <v>161</v>
      </c>
      <c r="L117">
        <v>1560</v>
      </c>
      <c r="M117">
        <v>378</v>
      </c>
      <c r="N117">
        <v>861</v>
      </c>
      <c r="O117">
        <v>269</v>
      </c>
      <c r="P117">
        <v>1368</v>
      </c>
      <c r="Q117">
        <v>528</v>
      </c>
      <c r="R117">
        <v>1118</v>
      </c>
    </row>
    <row r="118" spans="1:18" x14ac:dyDescent="0.25">
      <c r="A118" s="8">
        <v>40057</v>
      </c>
      <c r="B118">
        <v>76</v>
      </c>
      <c r="C118">
        <v>1594</v>
      </c>
      <c r="D118">
        <v>1280</v>
      </c>
      <c r="E118">
        <v>596</v>
      </c>
      <c r="F118">
        <v>290</v>
      </c>
      <c r="G118">
        <v>1519</v>
      </c>
      <c r="H118">
        <v>538</v>
      </c>
      <c r="I118">
        <v>362</v>
      </c>
      <c r="J118">
        <v>454</v>
      </c>
      <c r="K118">
        <v>203</v>
      </c>
      <c r="L118">
        <v>1596</v>
      </c>
      <c r="M118">
        <v>340</v>
      </c>
      <c r="N118">
        <v>916</v>
      </c>
      <c r="O118">
        <v>254</v>
      </c>
      <c r="P118">
        <v>1215</v>
      </c>
      <c r="Q118">
        <v>462</v>
      </c>
      <c r="R118">
        <v>928</v>
      </c>
    </row>
    <row r="119" spans="1:18" x14ac:dyDescent="0.25">
      <c r="A119" s="8">
        <v>40087</v>
      </c>
      <c r="B119">
        <v>84</v>
      </c>
      <c r="C119">
        <v>1744</v>
      </c>
      <c r="D119">
        <v>1265</v>
      </c>
      <c r="E119">
        <v>618</v>
      </c>
      <c r="F119">
        <v>278</v>
      </c>
      <c r="G119">
        <v>1641</v>
      </c>
      <c r="H119">
        <v>480</v>
      </c>
      <c r="I119">
        <v>261</v>
      </c>
      <c r="J119">
        <v>424</v>
      </c>
      <c r="K119">
        <v>222</v>
      </c>
      <c r="L119">
        <v>1488</v>
      </c>
      <c r="M119">
        <v>306</v>
      </c>
      <c r="N119">
        <v>974</v>
      </c>
      <c r="O119">
        <v>302</v>
      </c>
      <c r="P119">
        <v>1302</v>
      </c>
      <c r="Q119">
        <v>541</v>
      </c>
      <c r="R119">
        <v>785</v>
      </c>
    </row>
    <row r="120" spans="1:18" x14ac:dyDescent="0.25">
      <c r="A120" s="8">
        <v>40118</v>
      </c>
      <c r="B120">
        <v>96</v>
      </c>
      <c r="C120">
        <v>1780</v>
      </c>
      <c r="D120">
        <v>1219</v>
      </c>
      <c r="E120">
        <v>663</v>
      </c>
      <c r="F120">
        <v>291</v>
      </c>
      <c r="G120">
        <v>1588</v>
      </c>
      <c r="H120">
        <v>493</v>
      </c>
      <c r="I120">
        <v>243</v>
      </c>
      <c r="J120">
        <v>411</v>
      </c>
      <c r="K120">
        <v>208</v>
      </c>
      <c r="L120">
        <v>1514</v>
      </c>
      <c r="M120">
        <v>269</v>
      </c>
      <c r="N120">
        <v>899</v>
      </c>
      <c r="O120">
        <v>341</v>
      </c>
      <c r="P120">
        <v>1183</v>
      </c>
      <c r="Q120">
        <v>491</v>
      </c>
      <c r="R120">
        <v>748</v>
      </c>
    </row>
    <row r="121" spans="1:18" x14ac:dyDescent="0.25">
      <c r="A121" s="8">
        <v>40148</v>
      </c>
      <c r="B121">
        <v>89</v>
      </c>
      <c r="C121">
        <v>2044</v>
      </c>
      <c r="D121">
        <v>1245</v>
      </c>
      <c r="E121">
        <v>502</v>
      </c>
      <c r="F121">
        <v>307</v>
      </c>
      <c r="G121">
        <v>1544</v>
      </c>
      <c r="H121">
        <v>539</v>
      </c>
      <c r="I121">
        <v>256</v>
      </c>
      <c r="J121">
        <v>430</v>
      </c>
      <c r="K121">
        <v>235</v>
      </c>
      <c r="L121">
        <v>1486</v>
      </c>
      <c r="M121">
        <v>253</v>
      </c>
      <c r="N121">
        <v>930</v>
      </c>
      <c r="O121">
        <v>321</v>
      </c>
      <c r="P121">
        <v>1303</v>
      </c>
      <c r="Q121">
        <v>513</v>
      </c>
      <c r="R121">
        <v>797</v>
      </c>
    </row>
    <row r="122" spans="1:18" x14ac:dyDescent="0.25">
      <c r="A122" s="8">
        <v>40179</v>
      </c>
      <c r="B122">
        <v>68</v>
      </c>
      <c r="C122">
        <v>2194</v>
      </c>
      <c r="D122">
        <v>1318</v>
      </c>
      <c r="E122">
        <v>600</v>
      </c>
      <c r="F122">
        <v>339</v>
      </c>
      <c r="G122">
        <v>1815</v>
      </c>
      <c r="H122">
        <v>657</v>
      </c>
      <c r="I122">
        <v>313</v>
      </c>
      <c r="J122">
        <v>420</v>
      </c>
      <c r="K122">
        <v>203</v>
      </c>
      <c r="L122">
        <v>1614</v>
      </c>
      <c r="M122">
        <v>256</v>
      </c>
      <c r="N122">
        <v>919</v>
      </c>
      <c r="O122">
        <v>370</v>
      </c>
      <c r="P122">
        <v>1434</v>
      </c>
      <c r="Q122">
        <v>609</v>
      </c>
      <c r="R122">
        <v>948</v>
      </c>
    </row>
    <row r="123" spans="1:18" x14ac:dyDescent="0.25">
      <c r="A123" s="8">
        <v>40210</v>
      </c>
      <c r="B123">
        <v>79</v>
      </c>
      <c r="C123">
        <v>2440</v>
      </c>
      <c r="D123">
        <v>1276</v>
      </c>
      <c r="E123">
        <v>538</v>
      </c>
      <c r="F123">
        <v>294</v>
      </c>
      <c r="G123">
        <v>1776</v>
      </c>
      <c r="H123">
        <v>591</v>
      </c>
      <c r="I123">
        <v>300</v>
      </c>
      <c r="J123">
        <v>532</v>
      </c>
      <c r="K123">
        <v>176</v>
      </c>
      <c r="L123">
        <v>1740</v>
      </c>
      <c r="M123">
        <v>229</v>
      </c>
      <c r="N123">
        <v>971</v>
      </c>
      <c r="O123">
        <v>280</v>
      </c>
      <c r="P123">
        <v>1318</v>
      </c>
      <c r="Q123">
        <v>603</v>
      </c>
      <c r="R123">
        <v>880</v>
      </c>
    </row>
    <row r="124" spans="1:18" x14ac:dyDescent="0.25">
      <c r="A124" s="8">
        <v>40238</v>
      </c>
      <c r="B124">
        <v>73</v>
      </c>
      <c r="C124">
        <v>2251</v>
      </c>
      <c r="D124">
        <v>1289</v>
      </c>
      <c r="E124">
        <v>608</v>
      </c>
      <c r="F124">
        <v>303</v>
      </c>
      <c r="G124">
        <v>1794</v>
      </c>
      <c r="H124">
        <v>569</v>
      </c>
      <c r="I124">
        <v>322</v>
      </c>
      <c r="J124">
        <v>522</v>
      </c>
      <c r="K124">
        <v>196</v>
      </c>
      <c r="L124">
        <v>1785</v>
      </c>
      <c r="M124">
        <v>217</v>
      </c>
      <c r="N124">
        <v>884</v>
      </c>
      <c r="O124">
        <v>282</v>
      </c>
      <c r="P124">
        <v>1289</v>
      </c>
      <c r="Q124">
        <v>517</v>
      </c>
      <c r="R124">
        <v>881</v>
      </c>
    </row>
    <row r="125" spans="1:18" x14ac:dyDescent="0.25">
      <c r="A125" s="8">
        <v>40269</v>
      </c>
      <c r="B125">
        <v>69</v>
      </c>
      <c r="C125">
        <v>1919</v>
      </c>
      <c r="D125">
        <v>1100</v>
      </c>
      <c r="E125">
        <v>588</v>
      </c>
      <c r="F125">
        <v>299</v>
      </c>
      <c r="G125">
        <v>1668</v>
      </c>
      <c r="H125">
        <v>530</v>
      </c>
      <c r="I125">
        <v>302</v>
      </c>
      <c r="J125">
        <v>499</v>
      </c>
      <c r="K125">
        <v>209</v>
      </c>
      <c r="L125">
        <v>1586</v>
      </c>
      <c r="M125">
        <v>187</v>
      </c>
      <c r="N125">
        <v>863</v>
      </c>
      <c r="O125">
        <v>278</v>
      </c>
      <c r="P125">
        <v>1355</v>
      </c>
      <c r="Q125">
        <v>515</v>
      </c>
      <c r="R125">
        <v>769</v>
      </c>
    </row>
    <row r="126" spans="1:18" x14ac:dyDescent="0.25">
      <c r="A126" s="8">
        <v>40299</v>
      </c>
      <c r="B126">
        <v>46</v>
      </c>
      <c r="C126">
        <v>1755</v>
      </c>
      <c r="D126">
        <v>1028</v>
      </c>
      <c r="E126">
        <v>556</v>
      </c>
      <c r="F126">
        <v>289</v>
      </c>
      <c r="G126">
        <v>1709</v>
      </c>
      <c r="H126">
        <v>461</v>
      </c>
      <c r="I126">
        <v>319</v>
      </c>
      <c r="J126">
        <v>451</v>
      </c>
      <c r="K126">
        <v>167</v>
      </c>
      <c r="L126">
        <v>1624</v>
      </c>
      <c r="M126">
        <v>247</v>
      </c>
      <c r="N126">
        <v>903</v>
      </c>
      <c r="O126">
        <v>256</v>
      </c>
      <c r="P126">
        <v>1345</v>
      </c>
      <c r="Q126">
        <v>498</v>
      </c>
      <c r="R126">
        <v>771</v>
      </c>
    </row>
    <row r="127" spans="1:18" x14ac:dyDescent="0.25">
      <c r="A127" s="8">
        <v>40330</v>
      </c>
      <c r="B127">
        <v>64</v>
      </c>
      <c r="C127">
        <v>1785</v>
      </c>
      <c r="D127">
        <v>1002</v>
      </c>
      <c r="E127">
        <v>517</v>
      </c>
      <c r="F127">
        <v>269</v>
      </c>
      <c r="G127">
        <v>1631</v>
      </c>
      <c r="H127">
        <v>434</v>
      </c>
      <c r="I127">
        <v>291</v>
      </c>
      <c r="J127">
        <v>435</v>
      </c>
      <c r="K127">
        <v>196</v>
      </c>
      <c r="L127">
        <v>1465</v>
      </c>
      <c r="M127">
        <v>326</v>
      </c>
      <c r="N127">
        <v>1012</v>
      </c>
      <c r="O127">
        <v>282</v>
      </c>
      <c r="P127">
        <v>1327</v>
      </c>
      <c r="Q127">
        <v>532</v>
      </c>
      <c r="R127">
        <v>966</v>
      </c>
    </row>
    <row r="128" spans="1:18" x14ac:dyDescent="0.25">
      <c r="A128" s="8">
        <v>40360</v>
      </c>
      <c r="B128">
        <v>79</v>
      </c>
      <c r="C128">
        <v>1528</v>
      </c>
      <c r="D128">
        <v>1028</v>
      </c>
      <c r="E128">
        <v>528</v>
      </c>
      <c r="F128">
        <v>278</v>
      </c>
      <c r="G128">
        <v>1745</v>
      </c>
      <c r="H128">
        <v>537</v>
      </c>
      <c r="I128">
        <v>344</v>
      </c>
      <c r="J128">
        <v>408</v>
      </c>
      <c r="K128">
        <v>174</v>
      </c>
      <c r="L128">
        <v>1447</v>
      </c>
      <c r="M128">
        <v>375</v>
      </c>
      <c r="N128">
        <v>1045</v>
      </c>
      <c r="O128">
        <v>237</v>
      </c>
      <c r="P128">
        <v>1333</v>
      </c>
      <c r="Q128">
        <v>469</v>
      </c>
      <c r="R128">
        <v>1187</v>
      </c>
    </row>
    <row r="129" spans="1:18" x14ac:dyDescent="0.25">
      <c r="A129" s="8">
        <v>40391</v>
      </c>
      <c r="B129">
        <v>93</v>
      </c>
      <c r="C129">
        <v>1483</v>
      </c>
      <c r="D129">
        <v>984</v>
      </c>
      <c r="E129">
        <v>479</v>
      </c>
      <c r="F129">
        <v>272</v>
      </c>
      <c r="G129">
        <v>1638</v>
      </c>
      <c r="H129">
        <v>440</v>
      </c>
      <c r="I129">
        <v>302</v>
      </c>
      <c r="J129">
        <v>413</v>
      </c>
      <c r="K129">
        <v>193</v>
      </c>
      <c r="L129">
        <v>1524</v>
      </c>
      <c r="M129">
        <v>373</v>
      </c>
      <c r="N129">
        <v>1056</v>
      </c>
      <c r="O129">
        <v>250</v>
      </c>
      <c r="P129">
        <v>1257</v>
      </c>
      <c r="Q129">
        <v>530</v>
      </c>
      <c r="R129">
        <v>1292</v>
      </c>
    </row>
    <row r="130" spans="1:18" x14ac:dyDescent="0.25">
      <c r="A130" s="8">
        <v>40422</v>
      </c>
      <c r="B130">
        <v>66</v>
      </c>
      <c r="C130">
        <v>1464</v>
      </c>
      <c r="D130">
        <v>937</v>
      </c>
      <c r="E130">
        <v>534</v>
      </c>
      <c r="F130">
        <v>265</v>
      </c>
      <c r="G130">
        <v>1697</v>
      </c>
      <c r="H130">
        <v>418</v>
      </c>
      <c r="I130">
        <v>330</v>
      </c>
      <c r="J130">
        <v>418</v>
      </c>
      <c r="K130">
        <v>150</v>
      </c>
      <c r="L130">
        <v>1426</v>
      </c>
      <c r="M130">
        <v>316</v>
      </c>
      <c r="N130">
        <v>1037</v>
      </c>
      <c r="O130">
        <v>299</v>
      </c>
      <c r="P130">
        <v>1237</v>
      </c>
      <c r="Q130">
        <v>534</v>
      </c>
      <c r="R130">
        <v>1089</v>
      </c>
    </row>
    <row r="131" spans="1:18" x14ac:dyDescent="0.25">
      <c r="A131" s="8">
        <v>40452</v>
      </c>
      <c r="B131">
        <v>89</v>
      </c>
      <c r="C131">
        <v>1445</v>
      </c>
      <c r="D131">
        <v>937</v>
      </c>
      <c r="E131">
        <v>537</v>
      </c>
      <c r="F131">
        <v>277</v>
      </c>
      <c r="G131">
        <v>1611</v>
      </c>
      <c r="H131">
        <v>404</v>
      </c>
      <c r="I131">
        <v>300</v>
      </c>
      <c r="J131">
        <v>437</v>
      </c>
      <c r="K131">
        <v>154</v>
      </c>
      <c r="L131">
        <v>1525</v>
      </c>
      <c r="M131">
        <v>303</v>
      </c>
      <c r="N131">
        <v>960</v>
      </c>
      <c r="O131">
        <v>285</v>
      </c>
      <c r="P131">
        <v>1173</v>
      </c>
      <c r="Q131">
        <v>554</v>
      </c>
      <c r="R131">
        <v>950</v>
      </c>
    </row>
    <row r="132" spans="1:18" x14ac:dyDescent="0.25">
      <c r="A132" s="8">
        <v>40483</v>
      </c>
      <c r="B132">
        <v>68</v>
      </c>
      <c r="C132">
        <v>1596</v>
      </c>
      <c r="D132">
        <v>991</v>
      </c>
      <c r="E132">
        <v>535</v>
      </c>
      <c r="F132">
        <v>304</v>
      </c>
      <c r="G132">
        <v>1579</v>
      </c>
      <c r="H132">
        <v>434</v>
      </c>
      <c r="I132">
        <v>268</v>
      </c>
      <c r="J132">
        <v>406</v>
      </c>
      <c r="K132">
        <v>184</v>
      </c>
      <c r="L132">
        <v>1521</v>
      </c>
      <c r="M132">
        <v>281</v>
      </c>
      <c r="N132">
        <v>1017</v>
      </c>
      <c r="O132">
        <v>372</v>
      </c>
      <c r="P132">
        <v>1262</v>
      </c>
      <c r="Q132">
        <v>545</v>
      </c>
      <c r="R132">
        <v>949</v>
      </c>
    </row>
    <row r="133" spans="1:18" x14ac:dyDescent="0.25">
      <c r="A133" s="8">
        <v>40513</v>
      </c>
      <c r="B133">
        <v>83</v>
      </c>
      <c r="C133">
        <v>1749</v>
      </c>
      <c r="D133">
        <v>999</v>
      </c>
      <c r="E133">
        <v>551</v>
      </c>
      <c r="F133">
        <v>256</v>
      </c>
      <c r="G133">
        <v>1443</v>
      </c>
      <c r="H133">
        <v>428</v>
      </c>
      <c r="I133">
        <v>244</v>
      </c>
      <c r="J133">
        <v>363</v>
      </c>
      <c r="K133">
        <v>205</v>
      </c>
      <c r="L133">
        <v>1477</v>
      </c>
      <c r="M133">
        <v>234</v>
      </c>
      <c r="N133">
        <v>905</v>
      </c>
      <c r="O133">
        <v>296</v>
      </c>
      <c r="P133">
        <v>1284</v>
      </c>
      <c r="Q133">
        <v>491</v>
      </c>
      <c r="R133">
        <v>950</v>
      </c>
    </row>
    <row r="134" spans="1:18" x14ac:dyDescent="0.25">
      <c r="A134" s="8">
        <v>40544</v>
      </c>
      <c r="B134">
        <v>66</v>
      </c>
      <c r="C134">
        <v>1879</v>
      </c>
      <c r="D134">
        <v>955</v>
      </c>
      <c r="E134">
        <v>564</v>
      </c>
      <c r="F134">
        <v>267</v>
      </c>
      <c r="G134">
        <v>1599</v>
      </c>
      <c r="H134">
        <v>498</v>
      </c>
      <c r="I134">
        <v>228</v>
      </c>
      <c r="J134">
        <v>434</v>
      </c>
      <c r="K134">
        <v>213</v>
      </c>
      <c r="L134">
        <v>1511</v>
      </c>
      <c r="M134">
        <v>289</v>
      </c>
      <c r="N134">
        <v>974</v>
      </c>
      <c r="O134">
        <v>329</v>
      </c>
      <c r="P134">
        <v>1459</v>
      </c>
      <c r="Q134">
        <v>513</v>
      </c>
      <c r="R134">
        <v>1088</v>
      </c>
    </row>
    <row r="135" spans="1:18" x14ac:dyDescent="0.25">
      <c r="A135" s="8">
        <v>40575</v>
      </c>
      <c r="B135">
        <v>41</v>
      </c>
      <c r="C135">
        <v>1883</v>
      </c>
      <c r="D135">
        <v>989</v>
      </c>
      <c r="E135">
        <v>503</v>
      </c>
      <c r="F135">
        <v>333</v>
      </c>
      <c r="G135">
        <v>1556</v>
      </c>
      <c r="H135">
        <v>499</v>
      </c>
      <c r="I135">
        <v>205</v>
      </c>
      <c r="J135">
        <v>434</v>
      </c>
      <c r="K135">
        <v>202</v>
      </c>
      <c r="L135">
        <v>1469</v>
      </c>
      <c r="M135">
        <v>260</v>
      </c>
      <c r="N135">
        <v>938</v>
      </c>
      <c r="O135">
        <v>354</v>
      </c>
      <c r="P135">
        <v>1428</v>
      </c>
      <c r="Q135">
        <v>546</v>
      </c>
      <c r="R135">
        <v>927</v>
      </c>
    </row>
    <row r="136" spans="1:18" x14ac:dyDescent="0.25">
      <c r="A136" s="8">
        <v>40603</v>
      </c>
      <c r="B136">
        <v>46</v>
      </c>
      <c r="C136">
        <v>1695</v>
      </c>
      <c r="D136">
        <v>957</v>
      </c>
      <c r="E136">
        <v>518</v>
      </c>
      <c r="F136">
        <v>333</v>
      </c>
      <c r="G136">
        <v>1462</v>
      </c>
      <c r="H136">
        <v>562</v>
      </c>
      <c r="I136">
        <v>236</v>
      </c>
      <c r="J136">
        <v>434</v>
      </c>
      <c r="K136">
        <v>216</v>
      </c>
      <c r="L136">
        <v>1488</v>
      </c>
      <c r="M136">
        <v>241</v>
      </c>
      <c r="N136">
        <v>911</v>
      </c>
      <c r="O136">
        <v>386</v>
      </c>
      <c r="P136">
        <v>1308</v>
      </c>
      <c r="Q136">
        <v>495</v>
      </c>
      <c r="R136">
        <v>888</v>
      </c>
    </row>
    <row r="137" spans="1:18" x14ac:dyDescent="0.25">
      <c r="A137" s="8">
        <v>40634</v>
      </c>
      <c r="B137">
        <v>28</v>
      </c>
      <c r="C137">
        <v>1501</v>
      </c>
      <c r="D137">
        <v>951</v>
      </c>
      <c r="E137">
        <v>493</v>
      </c>
      <c r="F137">
        <v>272</v>
      </c>
      <c r="G137">
        <v>1504</v>
      </c>
      <c r="H137">
        <v>500</v>
      </c>
      <c r="I137">
        <v>218</v>
      </c>
      <c r="J137">
        <v>397</v>
      </c>
      <c r="K137">
        <v>224</v>
      </c>
      <c r="L137">
        <v>1340</v>
      </c>
      <c r="M137">
        <v>171</v>
      </c>
      <c r="N137">
        <v>917</v>
      </c>
      <c r="O137">
        <v>280</v>
      </c>
      <c r="P137">
        <v>1202</v>
      </c>
      <c r="Q137">
        <v>564</v>
      </c>
      <c r="R137">
        <v>778</v>
      </c>
    </row>
    <row r="138" spans="1:18" x14ac:dyDescent="0.25">
      <c r="A138" s="8">
        <v>40664</v>
      </c>
      <c r="B138">
        <v>32</v>
      </c>
      <c r="C138">
        <v>1367</v>
      </c>
      <c r="D138">
        <v>920</v>
      </c>
      <c r="E138">
        <v>533</v>
      </c>
      <c r="F138">
        <v>233</v>
      </c>
      <c r="G138">
        <v>1612</v>
      </c>
      <c r="H138">
        <v>483</v>
      </c>
      <c r="I138">
        <v>227</v>
      </c>
      <c r="J138">
        <v>405</v>
      </c>
      <c r="K138">
        <v>207</v>
      </c>
      <c r="L138">
        <v>1429</v>
      </c>
      <c r="M138">
        <v>264</v>
      </c>
      <c r="N138">
        <v>978</v>
      </c>
      <c r="O138">
        <v>262</v>
      </c>
      <c r="P138">
        <v>1140</v>
      </c>
      <c r="Q138">
        <v>536</v>
      </c>
      <c r="R138">
        <v>836</v>
      </c>
    </row>
    <row r="139" spans="1:18" x14ac:dyDescent="0.25">
      <c r="A139" s="8">
        <v>40695</v>
      </c>
      <c r="B139">
        <v>46</v>
      </c>
      <c r="C139">
        <v>1317</v>
      </c>
      <c r="D139">
        <v>952</v>
      </c>
      <c r="E139">
        <v>453</v>
      </c>
      <c r="F139">
        <v>259</v>
      </c>
      <c r="G139">
        <v>1737</v>
      </c>
      <c r="H139">
        <v>504</v>
      </c>
      <c r="I139">
        <v>245</v>
      </c>
      <c r="J139">
        <v>399</v>
      </c>
      <c r="K139">
        <v>208</v>
      </c>
      <c r="L139">
        <v>1349</v>
      </c>
      <c r="M139">
        <v>344</v>
      </c>
      <c r="N139">
        <v>883</v>
      </c>
      <c r="O139">
        <v>240</v>
      </c>
      <c r="P139">
        <v>1243</v>
      </c>
      <c r="Q139">
        <v>553</v>
      </c>
      <c r="R139">
        <v>1232</v>
      </c>
    </row>
    <row r="140" spans="1:18" x14ac:dyDescent="0.25">
      <c r="A140" s="8">
        <v>40725</v>
      </c>
      <c r="B140">
        <v>53</v>
      </c>
      <c r="C140">
        <v>1137</v>
      </c>
      <c r="D140">
        <v>934</v>
      </c>
      <c r="E140">
        <v>484</v>
      </c>
      <c r="F140">
        <v>251</v>
      </c>
      <c r="G140">
        <v>1664</v>
      </c>
      <c r="H140">
        <v>486</v>
      </c>
      <c r="I140">
        <v>237</v>
      </c>
      <c r="J140">
        <v>358</v>
      </c>
      <c r="K140">
        <v>194</v>
      </c>
      <c r="L140">
        <v>1389</v>
      </c>
      <c r="M140">
        <v>369</v>
      </c>
      <c r="N140">
        <v>894</v>
      </c>
      <c r="O140">
        <v>226</v>
      </c>
      <c r="P140">
        <v>1284</v>
      </c>
      <c r="Q140">
        <v>554</v>
      </c>
      <c r="R140">
        <v>1349</v>
      </c>
    </row>
    <row r="141" spans="1:18" x14ac:dyDescent="0.25">
      <c r="A141" s="8">
        <v>40756</v>
      </c>
      <c r="B141">
        <v>53</v>
      </c>
      <c r="C141">
        <v>1154</v>
      </c>
      <c r="D141">
        <v>876</v>
      </c>
      <c r="E141">
        <v>489</v>
      </c>
      <c r="F141">
        <v>281</v>
      </c>
      <c r="G141">
        <v>1570</v>
      </c>
      <c r="H141">
        <v>537</v>
      </c>
      <c r="I141">
        <v>204</v>
      </c>
      <c r="J141">
        <v>391</v>
      </c>
      <c r="K141">
        <v>174</v>
      </c>
      <c r="L141">
        <v>1440</v>
      </c>
      <c r="M141">
        <v>382</v>
      </c>
      <c r="N141">
        <v>989</v>
      </c>
      <c r="O141">
        <v>251</v>
      </c>
      <c r="P141">
        <v>1149</v>
      </c>
      <c r="Q141">
        <v>585</v>
      </c>
      <c r="R141">
        <v>1271</v>
      </c>
    </row>
    <row r="142" spans="1:18" x14ac:dyDescent="0.25">
      <c r="A142" s="8">
        <v>40787</v>
      </c>
      <c r="B142">
        <v>55</v>
      </c>
      <c r="C142">
        <v>1110</v>
      </c>
      <c r="D142">
        <v>821</v>
      </c>
      <c r="E142">
        <v>484</v>
      </c>
      <c r="F142">
        <v>234</v>
      </c>
      <c r="G142">
        <v>1648</v>
      </c>
      <c r="H142">
        <v>458</v>
      </c>
      <c r="I142">
        <v>209</v>
      </c>
      <c r="J142">
        <v>381</v>
      </c>
      <c r="K142">
        <v>120</v>
      </c>
      <c r="L142">
        <v>1509</v>
      </c>
      <c r="M142">
        <v>269</v>
      </c>
      <c r="N142">
        <v>972</v>
      </c>
      <c r="O142">
        <v>243</v>
      </c>
      <c r="P142">
        <v>1250</v>
      </c>
      <c r="Q142">
        <v>613</v>
      </c>
      <c r="R142">
        <v>1013</v>
      </c>
    </row>
    <row r="143" spans="1:18" x14ac:dyDescent="0.25">
      <c r="A143" s="8">
        <v>40817</v>
      </c>
      <c r="B143">
        <v>69</v>
      </c>
      <c r="C143">
        <v>1129</v>
      </c>
      <c r="D143">
        <v>759</v>
      </c>
      <c r="E143">
        <v>441</v>
      </c>
      <c r="F143">
        <v>251</v>
      </c>
      <c r="G143">
        <v>1513</v>
      </c>
      <c r="H143">
        <v>462</v>
      </c>
      <c r="I143">
        <v>195</v>
      </c>
      <c r="J143">
        <v>378</v>
      </c>
      <c r="K143">
        <v>146</v>
      </c>
      <c r="L143">
        <v>1495</v>
      </c>
      <c r="M143">
        <v>286</v>
      </c>
      <c r="N143">
        <v>935</v>
      </c>
      <c r="O143">
        <v>260</v>
      </c>
      <c r="P143">
        <v>1187</v>
      </c>
      <c r="Q143">
        <v>618</v>
      </c>
      <c r="R143">
        <v>924</v>
      </c>
    </row>
    <row r="144" spans="1:18" x14ac:dyDescent="0.25">
      <c r="A144" s="8">
        <v>40848</v>
      </c>
      <c r="B144">
        <v>76</v>
      </c>
      <c r="C144">
        <v>1100</v>
      </c>
      <c r="D144">
        <v>749</v>
      </c>
      <c r="E144">
        <v>427</v>
      </c>
      <c r="F144">
        <v>254</v>
      </c>
      <c r="G144">
        <v>1471</v>
      </c>
      <c r="H144">
        <v>423</v>
      </c>
      <c r="I144">
        <v>225</v>
      </c>
      <c r="J144">
        <v>393</v>
      </c>
      <c r="K144">
        <v>163</v>
      </c>
      <c r="L144">
        <v>1340</v>
      </c>
      <c r="M144">
        <v>286</v>
      </c>
      <c r="N144">
        <v>846</v>
      </c>
      <c r="O144">
        <v>265</v>
      </c>
      <c r="P144">
        <v>1186</v>
      </c>
      <c r="Q144">
        <v>535</v>
      </c>
      <c r="R144">
        <v>964</v>
      </c>
    </row>
    <row r="145" spans="1:18" x14ac:dyDescent="0.25">
      <c r="A145" s="8">
        <v>40878</v>
      </c>
      <c r="B145">
        <v>59</v>
      </c>
      <c r="C145">
        <v>1327</v>
      </c>
      <c r="D145">
        <v>783</v>
      </c>
      <c r="E145">
        <v>434</v>
      </c>
      <c r="F145">
        <v>242</v>
      </c>
      <c r="G145">
        <v>1459</v>
      </c>
      <c r="H145">
        <v>399</v>
      </c>
      <c r="I145">
        <v>235</v>
      </c>
      <c r="J145">
        <v>323</v>
      </c>
      <c r="K145">
        <v>191</v>
      </c>
      <c r="L145">
        <v>1403</v>
      </c>
      <c r="M145">
        <v>245</v>
      </c>
      <c r="N145">
        <v>956</v>
      </c>
      <c r="O145">
        <v>283</v>
      </c>
      <c r="P145">
        <v>1112</v>
      </c>
      <c r="Q145">
        <v>505</v>
      </c>
      <c r="R145">
        <v>892</v>
      </c>
    </row>
    <row r="146" spans="1:18" x14ac:dyDescent="0.25">
      <c r="A146" s="8">
        <v>40909</v>
      </c>
      <c r="B146">
        <v>78</v>
      </c>
      <c r="C146">
        <v>1479</v>
      </c>
      <c r="D146">
        <v>796</v>
      </c>
      <c r="E146">
        <v>487</v>
      </c>
      <c r="F146">
        <v>273</v>
      </c>
      <c r="G146">
        <v>1633</v>
      </c>
      <c r="H146">
        <v>400</v>
      </c>
      <c r="I146">
        <v>227</v>
      </c>
      <c r="J146">
        <v>264</v>
      </c>
      <c r="K146">
        <v>198</v>
      </c>
      <c r="L146">
        <v>1441</v>
      </c>
      <c r="M146">
        <v>277</v>
      </c>
      <c r="N146">
        <v>937</v>
      </c>
      <c r="O146">
        <v>343</v>
      </c>
      <c r="P146">
        <v>1304</v>
      </c>
      <c r="Q146">
        <v>601</v>
      </c>
      <c r="R146">
        <v>890</v>
      </c>
    </row>
    <row r="147" spans="1:18" x14ac:dyDescent="0.25">
      <c r="A147" s="8">
        <v>40940</v>
      </c>
      <c r="B147">
        <v>66</v>
      </c>
      <c r="C147">
        <v>1404</v>
      </c>
      <c r="D147">
        <v>787</v>
      </c>
      <c r="E147">
        <v>506</v>
      </c>
      <c r="F147">
        <v>268</v>
      </c>
      <c r="G147">
        <v>1556</v>
      </c>
      <c r="H147">
        <v>440</v>
      </c>
      <c r="I147">
        <v>247</v>
      </c>
      <c r="J147">
        <v>288</v>
      </c>
      <c r="K147">
        <v>210</v>
      </c>
      <c r="L147">
        <v>1590</v>
      </c>
      <c r="M147">
        <v>174</v>
      </c>
      <c r="N147">
        <v>1023</v>
      </c>
      <c r="O147">
        <v>244</v>
      </c>
      <c r="P147">
        <v>1252</v>
      </c>
      <c r="Q147">
        <v>461</v>
      </c>
      <c r="R147">
        <v>848</v>
      </c>
    </row>
    <row r="148" spans="1:18" x14ac:dyDescent="0.25">
      <c r="A148" s="8">
        <v>40969</v>
      </c>
      <c r="B148">
        <v>62</v>
      </c>
      <c r="C148">
        <v>1431</v>
      </c>
      <c r="D148">
        <v>684</v>
      </c>
      <c r="E148">
        <v>480</v>
      </c>
      <c r="F148">
        <v>249</v>
      </c>
      <c r="G148">
        <v>1514</v>
      </c>
      <c r="H148">
        <v>383</v>
      </c>
      <c r="I148">
        <v>232</v>
      </c>
      <c r="J148">
        <v>330</v>
      </c>
      <c r="K148">
        <v>207</v>
      </c>
      <c r="L148">
        <v>1521</v>
      </c>
      <c r="M148">
        <v>234</v>
      </c>
      <c r="N148">
        <v>937</v>
      </c>
      <c r="O148">
        <v>214</v>
      </c>
      <c r="P148">
        <v>1181</v>
      </c>
      <c r="Q148">
        <v>447</v>
      </c>
      <c r="R148">
        <v>787</v>
      </c>
    </row>
    <row r="149" spans="1:18" x14ac:dyDescent="0.25">
      <c r="A149" s="8">
        <v>41000</v>
      </c>
      <c r="B149">
        <v>43</v>
      </c>
      <c r="C149">
        <v>1156</v>
      </c>
      <c r="D149">
        <v>620</v>
      </c>
      <c r="E149">
        <v>427</v>
      </c>
      <c r="F149">
        <v>223</v>
      </c>
      <c r="G149">
        <v>1380</v>
      </c>
      <c r="H149">
        <v>453</v>
      </c>
      <c r="I149">
        <v>243</v>
      </c>
      <c r="J149">
        <v>333</v>
      </c>
      <c r="K149">
        <v>172</v>
      </c>
      <c r="L149">
        <v>1322</v>
      </c>
      <c r="M149">
        <v>216</v>
      </c>
      <c r="N149">
        <v>842</v>
      </c>
      <c r="O149">
        <v>210</v>
      </c>
      <c r="P149">
        <v>1080</v>
      </c>
      <c r="Q149">
        <v>478</v>
      </c>
      <c r="R149">
        <v>786</v>
      </c>
    </row>
    <row r="150" spans="1:18" x14ac:dyDescent="0.25">
      <c r="A150" s="8">
        <v>41030</v>
      </c>
      <c r="B150">
        <v>47</v>
      </c>
      <c r="C150">
        <v>1150</v>
      </c>
      <c r="D150">
        <v>683</v>
      </c>
      <c r="E150">
        <v>416</v>
      </c>
      <c r="F150">
        <v>212</v>
      </c>
      <c r="G150">
        <v>1442</v>
      </c>
      <c r="H150">
        <v>480</v>
      </c>
      <c r="I150">
        <v>230</v>
      </c>
      <c r="J150">
        <v>303</v>
      </c>
      <c r="K150">
        <v>159</v>
      </c>
      <c r="L150">
        <v>1296</v>
      </c>
      <c r="M150">
        <v>237</v>
      </c>
      <c r="N150">
        <v>936</v>
      </c>
      <c r="O150">
        <v>250</v>
      </c>
      <c r="P150">
        <v>1076</v>
      </c>
      <c r="Q150">
        <v>501</v>
      </c>
      <c r="R150">
        <v>899</v>
      </c>
    </row>
    <row r="151" spans="1:18" x14ac:dyDescent="0.25">
      <c r="A151" s="8">
        <v>41061</v>
      </c>
      <c r="B151">
        <v>52</v>
      </c>
      <c r="C151">
        <v>1039</v>
      </c>
      <c r="D151">
        <v>654</v>
      </c>
      <c r="E151">
        <v>402</v>
      </c>
      <c r="F151">
        <v>228</v>
      </c>
      <c r="G151">
        <v>1481</v>
      </c>
      <c r="H151">
        <v>437</v>
      </c>
      <c r="I151">
        <v>201</v>
      </c>
      <c r="J151">
        <v>337</v>
      </c>
      <c r="K151">
        <v>172</v>
      </c>
      <c r="L151">
        <v>1356</v>
      </c>
      <c r="M151">
        <v>391</v>
      </c>
      <c r="N151">
        <v>977</v>
      </c>
      <c r="O151">
        <v>248</v>
      </c>
      <c r="P151">
        <v>1159</v>
      </c>
      <c r="Q151">
        <v>492</v>
      </c>
      <c r="R151">
        <v>1079</v>
      </c>
    </row>
    <row r="152" spans="1:18" x14ac:dyDescent="0.25">
      <c r="A152" s="8">
        <v>41091</v>
      </c>
      <c r="B152">
        <v>83</v>
      </c>
      <c r="C152">
        <v>994</v>
      </c>
      <c r="D152">
        <v>703</v>
      </c>
      <c r="E152">
        <v>426</v>
      </c>
      <c r="F152">
        <v>212</v>
      </c>
      <c r="G152">
        <v>1568</v>
      </c>
      <c r="H152">
        <v>392</v>
      </c>
      <c r="I152">
        <v>190</v>
      </c>
      <c r="J152">
        <v>313</v>
      </c>
      <c r="K152">
        <v>145</v>
      </c>
      <c r="L152">
        <v>1378</v>
      </c>
      <c r="M152">
        <v>437</v>
      </c>
      <c r="N152">
        <v>998</v>
      </c>
      <c r="O152">
        <v>256</v>
      </c>
      <c r="P152">
        <v>1164</v>
      </c>
      <c r="Q152">
        <v>433</v>
      </c>
      <c r="R152">
        <v>1182</v>
      </c>
    </row>
    <row r="153" spans="1:18" x14ac:dyDescent="0.25">
      <c r="A153" s="8">
        <v>41122</v>
      </c>
      <c r="B153">
        <v>61</v>
      </c>
      <c r="C153">
        <v>923</v>
      </c>
      <c r="D153">
        <v>698</v>
      </c>
      <c r="E153">
        <v>437</v>
      </c>
      <c r="F153">
        <v>222</v>
      </c>
      <c r="G153">
        <v>1501</v>
      </c>
      <c r="H153">
        <v>424</v>
      </c>
      <c r="I153">
        <v>211</v>
      </c>
      <c r="J153">
        <v>321</v>
      </c>
      <c r="K153">
        <v>148</v>
      </c>
      <c r="L153">
        <v>1377</v>
      </c>
      <c r="M153">
        <v>392</v>
      </c>
      <c r="N153">
        <v>977</v>
      </c>
      <c r="O153">
        <v>214</v>
      </c>
      <c r="P153">
        <v>1202</v>
      </c>
      <c r="Q153">
        <v>443</v>
      </c>
      <c r="R153">
        <v>1059</v>
      </c>
    </row>
    <row r="154" spans="1:18" x14ac:dyDescent="0.25">
      <c r="A154" s="8">
        <v>41153</v>
      </c>
      <c r="B154">
        <v>48</v>
      </c>
      <c r="C154">
        <v>954</v>
      </c>
      <c r="D154">
        <v>668</v>
      </c>
      <c r="E154">
        <v>364</v>
      </c>
      <c r="F154">
        <v>214</v>
      </c>
      <c r="G154">
        <v>1437</v>
      </c>
      <c r="H154">
        <v>372</v>
      </c>
      <c r="I154">
        <v>205</v>
      </c>
      <c r="J154">
        <v>302</v>
      </c>
      <c r="K154">
        <v>130</v>
      </c>
      <c r="L154">
        <v>1253</v>
      </c>
      <c r="M154">
        <v>337</v>
      </c>
      <c r="N154">
        <v>867</v>
      </c>
      <c r="O154">
        <v>240</v>
      </c>
      <c r="P154">
        <v>1072</v>
      </c>
      <c r="Q154">
        <v>473</v>
      </c>
      <c r="R154">
        <v>943</v>
      </c>
    </row>
    <row r="155" spans="1:18" x14ac:dyDescent="0.25">
      <c r="A155" s="8">
        <v>41183</v>
      </c>
      <c r="B155">
        <v>61</v>
      </c>
      <c r="C155">
        <v>930</v>
      </c>
      <c r="D155">
        <v>672</v>
      </c>
      <c r="E155">
        <v>430</v>
      </c>
      <c r="F155">
        <v>209</v>
      </c>
      <c r="G155">
        <v>1247</v>
      </c>
      <c r="H155">
        <v>376</v>
      </c>
      <c r="I155">
        <v>215</v>
      </c>
      <c r="J155">
        <v>289</v>
      </c>
      <c r="K155">
        <v>153</v>
      </c>
      <c r="L155">
        <v>1252</v>
      </c>
      <c r="M155">
        <v>287</v>
      </c>
      <c r="N155">
        <v>957</v>
      </c>
      <c r="O155">
        <v>217</v>
      </c>
      <c r="P155">
        <v>1135</v>
      </c>
      <c r="Q155">
        <v>460</v>
      </c>
      <c r="R155">
        <v>907</v>
      </c>
    </row>
    <row r="156" spans="1:18" x14ac:dyDescent="0.25">
      <c r="A156" s="8">
        <v>41214</v>
      </c>
      <c r="B156">
        <v>53</v>
      </c>
      <c r="C156">
        <v>988</v>
      </c>
      <c r="D156">
        <v>640</v>
      </c>
      <c r="E156">
        <v>341</v>
      </c>
      <c r="F156">
        <v>202</v>
      </c>
      <c r="G156">
        <v>1253</v>
      </c>
      <c r="H156">
        <v>398</v>
      </c>
      <c r="I156">
        <v>187</v>
      </c>
      <c r="J156">
        <v>295</v>
      </c>
      <c r="K156">
        <v>137</v>
      </c>
      <c r="L156">
        <v>1197</v>
      </c>
      <c r="M156">
        <v>287</v>
      </c>
      <c r="N156">
        <v>889</v>
      </c>
      <c r="O156">
        <v>233</v>
      </c>
      <c r="P156">
        <v>1121</v>
      </c>
      <c r="Q156">
        <v>381</v>
      </c>
      <c r="R156">
        <v>825</v>
      </c>
    </row>
    <row r="157" spans="1:18" x14ac:dyDescent="0.25">
      <c r="A157" s="8">
        <v>41244</v>
      </c>
      <c r="B157">
        <v>58</v>
      </c>
      <c r="C157">
        <v>1105</v>
      </c>
      <c r="D157">
        <v>706</v>
      </c>
      <c r="E157">
        <v>439</v>
      </c>
      <c r="F157">
        <v>183</v>
      </c>
      <c r="G157">
        <v>1247</v>
      </c>
      <c r="H157">
        <v>369</v>
      </c>
      <c r="I157">
        <v>229</v>
      </c>
      <c r="J157">
        <v>254</v>
      </c>
      <c r="K157">
        <v>132</v>
      </c>
      <c r="L157">
        <v>1307</v>
      </c>
      <c r="M157">
        <v>267</v>
      </c>
      <c r="N157">
        <v>910</v>
      </c>
      <c r="O157">
        <v>246</v>
      </c>
      <c r="P157">
        <v>1179</v>
      </c>
      <c r="Q157">
        <v>472</v>
      </c>
      <c r="R157">
        <v>874</v>
      </c>
    </row>
    <row r="158" spans="1:18" x14ac:dyDescent="0.25">
      <c r="A158" s="8">
        <v>41275</v>
      </c>
      <c r="B158">
        <v>97</v>
      </c>
      <c r="C158">
        <v>1322</v>
      </c>
      <c r="D158">
        <v>683</v>
      </c>
      <c r="E158">
        <v>523</v>
      </c>
      <c r="F158">
        <v>212</v>
      </c>
      <c r="G158">
        <v>1467</v>
      </c>
      <c r="H158">
        <v>474</v>
      </c>
      <c r="I158">
        <v>236</v>
      </c>
      <c r="J158">
        <v>303</v>
      </c>
      <c r="K158">
        <v>204</v>
      </c>
      <c r="L158">
        <v>1575</v>
      </c>
      <c r="M158">
        <v>246</v>
      </c>
      <c r="N158">
        <v>960</v>
      </c>
      <c r="O158">
        <v>288</v>
      </c>
      <c r="P158">
        <v>1324</v>
      </c>
      <c r="Q158">
        <v>521</v>
      </c>
      <c r="R158">
        <v>912</v>
      </c>
    </row>
    <row r="159" spans="1:18" x14ac:dyDescent="0.25">
      <c r="A159" s="8">
        <v>41306</v>
      </c>
      <c r="B159">
        <v>53</v>
      </c>
      <c r="C159">
        <v>1291</v>
      </c>
      <c r="D159">
        <v>693</v>
      </c>
      <c r="E159">
        <v>415</v>
      </c>
      <c r="F159">
        <v>227</v>
      </c>
      <c r="G159">
        <v>1453</v>
      </c>
      <c r="H159">
        <v>468</v>
      </c>
      <c r="I159">
        <v>143</v>
      </c>
      <c r="J159">
        <v>252</v>
      </c>
      <c r="K159">
        <v>176</v>
      </c>
      <c r="L159">
        <v>1480</v>
      </c>
      <c r="M159">
        <v>220</v>
      </c>
      <c r="N159">
        <v>956</v>
      </c>
      <c r="O159">
        <v>287</v>
      </c>
      <c r="P159">
        <v>1219</v>
      </c>
      <c r="Q159">
        <v>494</v>
      </c>
      <c r="R159">
        <v>828</v>
      </c>
    </row>
    <row r="160" spans="1:18" x14ac:dyDescent="0.25">
      <c r="A160" s="8">
        <v>41334</v>
      </c>
      <c r="B160">
        <v>72</v>
      </c>
      <c r="C160">
        <v>1195</v>
      </c>
      <c r="D160">
        <v>582</v>
      </c>
      <c r="E160">
        <v>386</v>
      </c>
      <c r="F160">
        <v>203</v>
      </c>
      <c r="G160">
        <v>1297</v>
      </c>
      <c r="H160">
        <v>463</v>
      </c>
      <c r="I160">
        <v>145</v>
      </c>
      <c r="J160">
        <v>266</v>
      </c>
      <c r="K160">
        <v>148</v>
      </c>
      <c r="L160">
        <v>1378</v>
      </c>
      <c r="M160">
        <v>250</v>
      </c>
      <c r="N160">
        <v>861</v>
      </c>
      <c r="O160">
        <v>293</v>
      </c>
      <c r="P160">
        <v>1173</v>
      </c>
      <c r="Q160">
        <v>435</v>
      </c>
      <c r="R160">
        <v>786</v>
      </c>
    </row>
    <row r="161" spans="1:18" x14ac:dyDescent="0.25">
      <c r="A161" s="8">
        <v>41365</v>
      </c>
      <c r="B161">
        <v>73</v>
      </c>
      <c r="C161">
        <v>1077</v>
      </c>
      <c r="D161">
        <v>583</v>
      </c>
      <c r="E161">
        <v>379</v>
      </c>
      <c r="F161">
        <v>231</v>
      </c>
      <c r="G161">
        <v>1253</v>
      </c>
      <c r="H161">
        <v>355</v>
      </c>
      <c r="I161">
        <v>152</v>
      </c>
      <c r="J161">
        <v>376</v>
      </c>
      <c r="K161">
        <v>140</v>
      </c>
      <c r="L161">
        <v>1259</v>
      </c>
      <c r="M161">
        <v>227</v>
      </c>
      <c r="N161">
        <v>757</v>
      </c>
      <c r="O161">
        <v>241</v>
      </c>
      <c r="P161">
        <v>1086</v>
      </c>
      <c r="Q161">
        <v>420</v>
      </c>
      <c r="R161">
        <v>715</v>
      </c>
    </row>
    <row r="162" spans="1:18" x14ac:dyDescent="0.25">
      <c r="A162" s="8">
        <v>41395</v>
      </c>
      <c r="B162">
        <v>66</v>
      </c>
      <c r="C162">
        <v>891</v>
      </c>
      <c r="D162">
        <v>640</v>
      </c>
      <c r="E162">
        <v>416</v>
      </c>
      <c r="F162">
        <v>244</v>
      </c>
      <c r="G162">
        <v>1222</v>
      </c>
      <c r="H162">
        <v>371</v>
      </c>
      <c r="I162">
        <v>187</v>
      </c>
      <c r="J162">
        <v>300</v>
      </c>
      <c r="K162">
        <v>117</v>
      </c>
      <c r="L162">
        <v>1255</v>
      </c>
      <c r="M162">
        <v>289</v>
      </c>
      <c r="N162">
        <v>769</v>
      </c>
      <c r="O162">
        <v>227</v>
      </c>
      <c r="P162">
        <v>1228</v>
      </c>
      <c r="Q162">
        <v>433</v>
      </c>
      <c r="R162">
        <v>811</v>
      </c>
    </row>
    <row r="163" spans="1:18" x14ac:dyDescent="0.25">
      <c r="A163" s="8">
        <v>41426</v>
      </c>
      <c r="B163">
        <v>70</v>
      </c>
      <c r="C163">
        <v>825</v>
      </c>
      <c r="D163">
        <v>569</v>
      </c>
      <c r="E163">
        <v>420</v>
      </c>
      <c r="F163">
        <v>207</v>
      </c>
      <c r="G163">
        <v>1208</v>
      </c>
      <c r="H163">
        <v>384</v>
      </c>
      <c r="I163">
        <v>164</v>
      </c>
      <c r="J163">
        <v>284</v>
      </c>
      <c r="K163">
        <v>157</v>
      </c>
      <c r="L163">
        <v>1300</v>
      </c>
      <c r="M163">
        <v>422</v>
      </c>
      <c r="N163">
        <v>821</v>
      </c>
      <c r="O163">
        <v>253</v>
      </c>
      <c r="P163">
        <v>1305</v>
      </c>
      <c r="Q163">
        <v>411</v>
      </c>
      <c r="R163">
        <v>1086</v>
      </c>
    </row>
    <row r="164" spans="1:18" x14ac:dyDescent="0.25">
      <c r="A164" s="8">
        <v>41456</v>
      </c>
      <c r="B164">
        <v>57</v>
      </c>
      <c r="C164">
        <v>767</v>
      </c>
      <c r="D164">
        <v>619</v>
      </c>
      <c r="E164">
        <v>463</v>
      </c>
      <c r="F164">
        <v>194</v>
      </c>
      <c r="G164">
        <v>1195</v>
      </c>
      <c r="H164">
        <v>388</v>
      </c>
      <c r="I164">
        <v>172</v>
      </c>
      <c r="J164">
        <v>253</v>
      </c>
      <c r="K164">
        <v>160</v>
      </c>
      <c r="L164">
        <v>1265</v>
      </c>
      <c r="M164">
        <v>396</v>
      </c>
      <c r="N164">
        <v>887</v>
      </c>
      <c r="O164">
        <v>225</v>
      </c>
      <c r="P164">
        <v>1245</v>
      </c>
      <c r="Q164">
        <v>396</v>
      </c>
      <c r="R164">
        <v>1073</v>
      </c>
    </row>
    <row r="165" spans="1:18" x14ac:dyDescent="0.25">
      <c r="A165" s="8">
        <v>41487</v>
      </c>
      <c r="B165">
        <v>59</v>
      </c>
      <c r="C165">
        <v>758</v>
      </c>
      <c r="D165">
        <v>542</v>
      </c>
      <c r="E165">
        <v>427</v>
      </c>
      <c r="F165">
        <v>180</v>
      </c>
      <c r="G165">
        <v>1274</v>
      </c>
      <c r="H165">
        <v>417</v>
      </c>
      <c r="I165">
        <v>192</v>
      </c>
      <c r="J165">
        <v>212</v>
      </c>
      <c r="K165">
        <v>135</v>
      </c>
      <c r="L165">
        <v>1224</v>
      </c>
      <c r="M165">
        <v>321</v>
      </c>
      <c r="N165">
        <v>890</v>
      </c>
      <c r="O165">
        <v>213</v>
      </c>
      <c r="P165">
        <v>1113</v>
      </c>
      <c r="Q165">
        <v>434</v>
      </c>
      <c r="R165">
        <v>961</v>
      </c>
    </row>
    <row r="166" spans="1:18" x14ac:dyDescent="0.25">
      <c r="A166" s="8">
        <v>41518</v>
      </c>
      <c r="B166">
        <v>52</v>
      </c>
      <c r="C166">
        <v>697</v>
      </c>
      <c r="D166">
        <v>630</v>
      </c>
      <c r="E166">
        <v>463</v>
      </c>
      <c r="F166">
        <v>219</v>
      </c>
      <c r="G166">
        <v>1243</v>
      </c>
      <c r="H166">
        <v>369</v>
      </c>
      <c r="I166">
        <v>189</v>
      </c>
      <c r="J166">
        <v>221</v>
      </c>
      <c r="K166">
        <v>144</v>
      </c>
      <c r="L166">
        <v>1167</v>
      </c>
      <c r="M166">
        <v>297</v>
      </c>
      <c r="N166">
        <v>877</v>
      </c>
      <c r="O166">
        <v>240</v>
      </c>
      <c r="P166">
        <v>996</v>
      </c>
      <c r="Q166">
        <v>413</v>
      </c>
      <c r="R166">
        <v>827</v>
      </c>
    </row>
    <row r="167" spans="1:18" x14ac:dyDescent="0.25">
      <c r="A167" s="8">
        <v>41548</v>
      </c>
      <c r="B167">
        <v>67</v>
      </c>
      <c r="C167">
        <v>733</v>
      </c>
      <c r="D167">
        <v>609</v>
      </c>
      <c r="E167">
        <v>348</v>
      </c>
      <c r="F167">
        <v>150</v>
      </c>
      <c r="G167">
        <v>1205</v>
      </c>
      <c r="H167">
        <v>390</v>
      </c>
      <c r="I167">
        <v>217</v>
      </c>
      <c r="J167">
        <v>298</v>
      </c>
      <c r="K167">
        <v>144</v>
      </c>
      <c r="L167">
        <v>1208</v>
      </c>
      <c r="M167">
        <v>244</v>
      </c>
      <c r="N167">
        <v>702</v>
      </c>
      <c r="O167">
        <v>208</v>
      </c>
      <c r="P167">
        <v>977</v>
      </c>
      <c r="Q167">
        <v>511</v>
      </c>
      <c r="R167">
        <v>920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7"/>
  <sheetViews>
    <sheetView workbookViewId="0"/>
  </sheetViews>
  <sheetFormatPr defaultRowHeight="15" x14ac:dyDescent="0.25"/>
  <cols>
    <col min="2" max="2" width="8.85546875" style="9"/>
  </cols>
  <sheetData>
    <row r="1" spans="1:36" ht="14.45" x14ac:dyDescent="0.3">
      <c r="A1" t="s">
        <v>111</v>
      </c>
      <c r="B1" s="9" t="s">
        <v>110</v>
      </c>
      <c r="C1" t="s">
        <v>182</v>
      </c>
      <c r="D1" t="s">
        <v>6</v>
      </c>
      <c r="E1" t="s">
        <v>32</v>
      </c>
      <c r="F1" t="s">
        <v>34</v>
      </c>
      <c r="G1" t="s">
        <v>36</v>
      </c>
      <c r="H1" t="s">
        <v>48</v>
      </c>
      <c r="I1" t="s">
        <v>95</v>
      </c>
      <c r="J1" t="s">
        <v>52</v>
      </c>
      <c r="K1" t="s">
        <v>54</v>
      </c>
      <c r="L1" t="s">
        <v>56</v>
      </c>
      <c r="M1" t="s">
        <v>58</v>
      </c>
      <c r="N1" t="s">
        <v>61</v>
      </c>
      <c r="O1" t="s">
        <v>63</v>
      </c>
      <c r="P1" t="s">
        <v>65</v>
      </c>
      <c r="Q1" t="s">
        <v>67</v>
      </c>
      <c r="R1" t="s">
        <v>69</v>
      </c>
      <c r="S1" t="s">
        <v>216</v>
      </c>
      <c r="T1" t="s">
        <v>182</v>
      </c>
      <c r="U1" t="s">
        <v>6</v>
      </c>
      <c r="V1" t="s">
        <v>32</v>
      </c>
      <c r="W1" t="s">
        <v>34</v>
      </c>
      <c r="X1" t="s">
        <v>36</v>
      </c>
      <c r="Y1" t="s">
        <v>48</v>
      </c>
      <c r="Z1" t="s">
        <v>95</v>
      </c>
      <c r="AA1" t="s">
        <v>52</v>
      </c>
      <c r="AB1" t="s">
        <v>54</v>
      </c>
      <c r="AC1" t="s">
        <v>56</v>
      </c>
      <c r="AD1" t="s">
        <v>58</v>
      </c>
      <c r="AE1" t="s">
        <v>61</v>
      </c>
      <c r="AF1" t="s">
        <v>63</v>
      </c>
      <c r="AG1" t="s">
        <v>65</v>
      </c>
      <c r="AH1" t="s">
        <v>67</v>
      </c>
      <c r="AI1" t="s">
        <v>69</v>
      </c>
      <c r="AJ1" t="s">
        <v>216</v>
      </c>
    </row>
    <row r="2" spans="1:36" ht="14.45" x14ac:dyDescent="0.3">
      <c r="A2" s="8">
        <v>36526</v>
      </c>
      <c r="B2" s="9">
        <v>1</v>
      </c>
      <c r="C2">
        <v>16.006358050035008</v>
      </c>
      <c r="D2">
        <v>549.56723867189476</v>
      </c>
      <c r="E2">
        <v>373.30018493927435</v>
      </c>
      <c r="F2">
        <v>301.71914804946562</v>
      </c>
      <c r="G2">
        <v>173.92859984807833</v>
      </c>
      <c r="H2">
        <v>735.18749797184125</v>
      </c>
      <c r="I2">
        <v>210.08229823013167</v>
      </c>
      <c r="J2">
        <v>119.84631620712715</v>
      </c>
      <c r="K2">
        <v>167.50909906230876</v>
      </c>
      <c r="L2">
        <v>63.274607682611339</v>
      </c>
      <c r="M2">
        <v>585.32102102514295</v>
      </c>
      <c r="N2">
        <v>81.265424885720876</v>
      </c>
      <c r="O2">
        <v>270.77471909389789</v>
      </c>
      <c r="P2">
        <v>127.3527657137907</v>
      </c>
      <c r="Q2">
        <v>585.2223028129572</v>
      </c>
      <c r="R2">
        <v>264.36556207091951</v>
      </c>
      <c r="S2">
        <v>425.23493958575955</v>
      </c>
    </row>
    <row r="3" spans="1:36" ht="14.45" x14ac:dyDescent="0.3">
      <c r="A3" s="8">
        <v>36557</v>
      </c>
      <c r="B3" s="9">
        <f>IF(B2=12,1,B2+1)</f>
        <v>2</v>
      </c>
      <c r="C3">
        <v>23.89181691745873</v>
      </c>
      <c r="D3">
        <v>589.37132309321089</v>
      </c>
      <c r="E3">
        <v>346.55847471568211</v>
      </c>
      <c r="F3">
        <v>301.35252541853094</v>
      </c>
      <c r="G3">
        <v>155.42131655931897</v>
      </c>
      <c r="H3">
        <v>796.22255279811395</v>
      </c>
      <c r="I3">
        <v>201.37218267444948</v>
      </c>
      <c r="J3">
        <v>110.16289170367192</v>
      </c>
      <c r="K3">
        <v>166.49678511916349</v>
      </c>
      <c r="L3">
        <v>62.685235920070092</v>
      </c>
      <c r="M3">
        <v>536.87787838301483</v>
      </c>
      <c r="N3">
        <v>70.832568938342163</v>
      </c>
      <c r="O3">
        <v>287.5088237611705</v>
      </c>
      <c r="P3">
        <v>118.76176327979661</v>
      </c>
      <c r="Q3">
        <v>608.44507861581008</v>
      </c>
      <c r="R3">
        <v>217.51660488037331</v>
      </c>
      <c r="S3">
        <v>460.49326263392123</v>
      </c>
    </row>
    <row r="4" spans="1:36" ht="14.45" x14ac:dyDescent="0.3">
      <c r="A4" s="8">
        <v>36586</v>
      </c>
      <c r="B4" s="9">
        <f t="shared" ref="B4:B67" si="0">IF(B3=12,1,B3+1)</f>
        <v>3</v>
      </c>
      <c r="C4">
        <v>16.277909853433936</v>
      </c>
      <c r="D4">
        <v>527.83033069494707</v>
      </c>
      <c r="E4">
        <v>347.17622791149211</v>
      </c>
      <c r="F4">
        <v>351.92936886240545</v>
      </c>
      <c r="G4">
        <v>152.0502089310697</v>
      </c>
      <c r="H4">
        <v>802.47333621174153</v>
      </c>
      <c r="I4">
        <v>175.35444267501956</v>
      </c>
      <c r="J4">
        <v>141.44579000564343</v>
      </c>
      <c r="K4">
        <v>140.38132215137523</v>
      </c>
      <c r="L4">
        <v>79.62009623349536</v>
      </c>
      <c r="M4">
        <v>583.42233985085841</v>
      </c>
      <c r="N4">
        <v>83.736532174397695</v>
      </c>
      <c r="O4">
        <v>315.23144836963735</v>
      </c>
      <c r="P4">
        <v>102.00921250110444</v>
      </c>
      <c r="Q4">
        <v>671.11094816374975</v>
      </c>
      <c r="R4">
        <v>251.54716335032137</v>
      </c>
      <c r="S4">
        <v>344.76135481434312</v>
      </c>
      <c r="T4">
        <f>IF( OR($B4=3,$B4=6,$B4=9,$B4=12),AVERAGE(C2:C4),"" )</f>
        <v>18.725361606975891</v>
      </c>
      <c r="U4">
        <f t="shared" ref="U4:AJ19" si="1">IF( OR($B4=3,$B4=6,$B4=9,$B4=12),AVERAGE(D2:D4),"" )</f>
        <v>555.58963082001753</v>
      </c>
      <c r="V4">
        <f t="shared" si="1"/>
        <v>355.67829585548287</v>
      </c>
      <c r="W4">
        <f t="shared" si="1"/>
        <v>318.33368077680069</v>
      </c>
      <c r="X4">
        <f t="shared" si="1"/>
        <v>160.46670844615565</v>
      </c>
      <c r="Y4">
        <f t="shared" si="1"/>
        <v>777.96112899389891</v>
      </c>
      <c r="Z4">
        <f t="shared" si="1"/>
        <v>195.60297452653356</v>
      </c>
      <c r="AA4">
        <f t="shared" si="1"/>
        <v>123.81833263881417</v>
      </c>
      <c r="AB4">
        <f t="shared" si="1"/>
        <v>158.12906877761583</v>
      </c>
      <c r="AC4">
        <f t="shared" si="1"/>
        <v>68.526646612058926</v>
      </c>
      <c r="AD4">
        <f t="shared" si="1"/>
        <v>568.54041308633873</v>
      </c>
      <c r="AE4">
        <f t="shared" si="1"/>
        <v>78.611508666153583</v>
      </c>
      <c r="AF4">
        <f t="shared" si="1"/>
        <v>291.17166374156858</v>
      </c>
      <c r="AG4">
        <f t="shared" si="1"/>
        <v>116.04124716489726</v>
      </c>
      <c r="AH4">
        <f t="shared" si="1"/>
        <v>621.59277653083905</v>
      </c>
      <c r="AI4">
        <f t="shared" si="1"/>
        <v>244.4764434338714</v>
      </c>
      <c r="AJ4">
        <f t="shared" si="1"/>
        <v>410.16318567800795</v>
      </c>
    </row>
    <row r="5" spans="1:36" ht="14.45" x14ac:dyDescent="0.3">
      <c r="A5" s="8">
        <v>36617</v>
      </c>
      <c r="B5" s="9">
        <f t="shared" si="0"/>
        <v>4</v>
      </c>
      <c r="C5">
        <v>19.508167991719702</v>
      </c>
      <c r="D5">
        <v>417.00382434545213</v>
      </c>
      <c r="E5">
        <v>453.44738363606677</v>
      </c>
      <c r="F5">
        <v>277.35401376285733</v>
      </c>
      <c r="G5">
        <v>142.0982965267533</v>
      </c>
      <c r="H5">
        <v>677.47889221285027</v>
      </c>
      <c r="I5">
        <v>187.90457921631591</v>
      </c>
      <c r="J5">
        <v>98.577477443727332</v>
      </c>
      <c r="K5">
        <v>131.71266665417156</v>
      </c>
      <c r="L5">
        <v>63.833905284268475</v>
      </c>
      <c r="M5">
        <v>550.19652560643681</v>
      </c>
      <c r="N5">
        <v>80.1681185994929</v>
      </c>
      <c r="O5">
        <v>281.79506962721553</v>
      </c>
      <c r="P5">
        <v>92.396452847426602</v>
      </c>
      <c r="Q5">
        <v>598.36981772114393</v>
      </c>
      <c r="R5">
        <v>250.05215507316137</v>
      </c>
      <c r="S5">
        <v>324.9342443802355</v>
      </c>
      <c r="T5" t="str">
        <f t="shared" ref="T5:T68" si="2">IF( OR($B5=3,$B5=6,$B5=9,$B5=12),AVERAGE(C3:C5),"" )</f>
        <v/>
      </c>
      <c r="U5" t="str">
        <f t="shared" ref="U5:U68" si="3">IF( OR($B5=3,$B5=6,$B5=9,$B5=12),AVERAGE(D3:D5),"" )</f>
        <v/>
      </c>
      <c r="V5" t="str">
        <f t="shared" ref="V5:V68" si="4">IF( OR($B5=3,$B5=6,$B5=9,$B5=12),AVERAGE(E3:E5),"" )</f>
        <v/>
      </c>
      <c r="W5" t="str">
        <f t="shared" ref="W5:W68" si="5">IF( OR($B5=3,$B5=6,$B5=9,$B5=12),AVERAGE(F3:F5),"" )</f>
        <v/>
      </c>
      <c r="X5" t="str">
        <f t="shared" ref="X5:X68" si="6">IF( OR($B5=3,$B5=6,$B5=9,$B5=12),AVERAGE(G3:G5),"" )</f>
        <v/>
      </c>
      <c r="Y5" t="str">
        <f t="shared" ref="Y5:Y68" si="7">IF( OR($B5=3,$B5=6,$B5=9,$B5=12),AVERAGE(H3:H5),"" )</f>
        <v/>
      </c>
      <c r="Z5" t="str">
        <f t="shared" ref="Z5:Z68" si="8">IF( OR($B5=3,$B5=6,$B5=9,$B5=12),AVERAGE(I3:I5),"" )</f>
        <v/>
      </c>
      <c r="AA5" t="str">
        <f t="shared" ref="AA5:AA68" si="9">IF( OR($B5=3,$B5=6,$B5=9,$B5=12),AVERAGE(J3:J5),"" )</f>
        <v/>
      </c>
      <c r="AB5" t="str">
        <f t="shared" ref="AB5:AB68" si="10">IF( OR($B5=3,$B5=6,$B5=9,$B5=12),AVERAGE(K3:K5),"" )</f>
        <v/>
      </c>
      <c r="AC5" t="str">
        <f t="shared" ref="AC5:AC68" si="11">IF( OR($B5=3,$B5=6,$B5=9,$B5=12),AVERAGE(L3:L5),"" )</f>
        <v/>
      </c>
      <c r="AD5" t="str">
        <f t="shared" ref="AD5:AD68" si="12">IF( OR($B5=3,$B5=6,$B5=9,$B5=12),AVERAGE(M3:M5),"" )</f>
        <v/>
      </c>
      <c r="AE5" t="str">
        <f t="shared" ref="AE5:AE68" si="13">IF( OR($B5=3,$B5=6,$B5=9,$B5=12),AVERAGE(N3:N5),"" )</f>
        <v/>
      </c>
      <c r="AF5" t="str">
        <f t="shared" ref="AF5:AF68" si="14">IF( OR($B5=3,$B5=6,$B5=9,$B5=12),AVERAGE(O3:O5),"" )</f>
        <v/>
      </c>
      <c r="AG5" t="str">
        <f t="shared" ref="AG5:AG68" si="15">IF( OR($B5=3,$B5=6,$B5=9,$B5=12),AVERAGE(P3:P5),"" )</f>
        <v/>
      </c>
      <c r="AH5" t="str">
        <f t="shared" ref="AH5:AH68" si="16">IF( OR($B5=3,$B5=6,$B5=9,$B5=12),AVERAGE(Q3:Q5),"" )</f>
        <v/>
      </c>
      <c r="AI5" t="str">
        <f t="shared" ref="AI5:AJ68" si="17">IF( OR($B5=3,$B5=6,$B5=9,$B5=12),AVERAGE(R3:R5),"" )</f>
        <v/>
      </c>
      <c r="AJ5" t="str">
        <f t="shared" si="1"/>
        <v/>
      </c>
    </row>
    <row r="6" spans="1:36" ht="14.45" x14ac:dyDescent="0.3">
      <c r="A6" s="8">
        <v>36647</v>
      </c>
      <c r="B6" s="9">
        <f t="shared" si="0"/>
        <v>5</v>
      </c>
      <c r="C6">
        <v>28.252851355278441</v>
      </c>
      <c r="D6">
        <v>432.15820293155082</v>
      </c>
      <c r="E6">
        <v>441.78855751434395</v>
      </c>
      <c r="F6">
        <v>253.56873893918356</v>
      </c>
      <c r="G6">
        <v>140.83032502471684</v>
      </c>
      <c r="H6">
        <v>703.23387695773522</v>
      </c>
      <c r="I6">
        <v>198.00597567187387</v>
      </c>
      <c r="J6">
        <v>128.31828357888017</v>
      </c>
      <c r="K6">
        <v>143.21533450264388</v>
      </c>
      <c r="L6">
        <v>55.057170131484227</v>
      </c>
      <c r="M6">
        <v>575.50053123760256</v>
      </c>
      <c r="N6">
        <v>65.308886408203776</v>
      </c>
      <c r="O6">
        <v>370.005996460201</v>
      </c>
      <c r="P6">
        <v>109.4564939914751</v>
      </c>
      <c r="Q6">
        <v>575.71179011761865</v>
      </c>
      <c r="R6">
        <v>266.39749734207203</v>
      </c>
      <c r="S6">
        <v>417.65064000779626</v>
      </c>
      <c r="T6" t="str">
        <f t="shared" si="2"/>
        <v/>
      </c>
      <c r="U6" t="str">
        <f t="shared" si="3"/>
        <v/>
      </c>
      <c r="V6" t="str">
        <f t="shared" si="4"/>
        <v/>
      </c>
      <c r="W6" t="str">
        <f t="shared" si="5"/>
        <v/>
      </c>
      <c r="X6" t="str">
        <f t="shared" si="6"/>
        <v/>
      </c>
      <c r="Y6" t="str">
        <f t="shared" si="7"/>
        <v/>
      </c>
      <c r="Z6" t="str">
        <f t="shared" si="8"/>
        <v/>
      </c>
      <c r="AA6" t="str">
        <f t="shared" si="9"/>
        <v/>
      </c>
      <c r="AB6" t="str">
        <f t="shared" si="10"/>
        <v/>
      </c>
      <c r="AC6" t="str">
        <f t="shared" si="11"/>
        <v/>
      </c>
      <c r="AD6" t="str">
        <f t="shared" si="12"/>
        <v/>
      </c>
      <c r="AE6" t="str">
        <f t="shared" si="13"/>
        <v/>
      </c>
      <c r="AF6" t="str">
        <f t="shared" si="14"/>
        <v/>
      </c>
      <c r="AG6" t="str">
        <f t="shared" si="15"/>
        <v/>
      </c>
      <c r="AH6" t="str">
        <f t="shared" si="16"/>
        <v/>
      </c>
      <c r="AI6" t="str">
        <f t="shared" si="17"/>
        <v/>
      </c>
      <c r="AJ6" t="str">
        <f t="shared" si="1"/>
        <v/>
      </c>
    </row>
    <row r="7" spans="1:36" ht="14.45" x14ac:dyDescent="0.3">
      <c r="A7" s="8">
        <v>36678</v>
      </c>
      <c r="B7" s="9">
        <f t="shared" si="0"/>
        <v>6</v>
      </c>
      <c r="C7">
        <v>11.600006364217737</v>
      </c>
      <c r="D7">
        <v>448.9413023216058</v>
      </c>
      <c r="E7">
        <v>402.31364343941749</v>
      </c>
      <c r="F7">
        <v>234.70141979696183</v>
      </c>
      <c r="G7">
        <v>121.30054033790215</v>
      </c>
      <c r="H7">
        <v>687.52294706107352</v>
      </c>
      <c r="I7">
        <v>179.91600762889283</v>
      </c>
      <c r="J7">
        <v>104.10566991703642</v>
      </c>
      <c r="K7">
        <v>129.79432729268299</v>
      </c>
      <c r="L7">
        <v>76.626091322829481</v>
      </c>
      <c r="M7">
        <v>552.54652627126575</v>
      </c>
      <c r="N7">
        <v>88.49859879126771</v>
      </c>
      <c r="O7">
        <v>318.09200867821414</v>
      </c>
      <c r="P7">
        <v>130.62013210103592</v>
      </c>
      <c r="Q7">
        <v>658.5825061982988</v>
      </c>
      <c r="R7">
        <v>217.03692380706724</v>
      </c>
      <c r="S7">
        <v>505.72092371694328</v>
      </c>
      <c r="T7">
        <f t="shared" si="2"/>
        <v>19.787008570405291</v>
      </c>
      <c r="U7">
        <f t="shared" si="3"/>
        <v>432.7011098662029</v>
      </c>
      <c r="V7">
        <f t="shared" si="4"/>
        <v>432.51652819660944</v>
      </c>
      <c r="W7">
        <f t="shared" si="5"/>
        <v>255.20805749966758</v>
      </c>
      <c r="X7">
        <f t="shared" si="6"/>
        <v>134.74305396312408</v>
      </c>
      <c r="Y7">
        <f t="shared" si="7"/>
        <v>689.411905410553</v>
      </c>
      <c r="Z7">
        <f t="shared" si="8"/>
        <v>188.60885417236088</v>
      </c>
      <c r="AA7">
        <f t="shared" si="9"/>
        <v>110.33381031321464</v>
      </c>
      <c r="AB7">
        <f t="shared" si="10"/>
        <v>134.90744281649947</v>
      </c>
      <c r="AC7">
        <f t="shared" si="11"/>
        <v>65.17238891286074</v>
      </c>
      <c r="AD7">
        <f t="shared" si="12"/>
        <v>559.4145277051017</v>
      </c>
      <c r="AE7">
        <f t="shared" si="13"/>
        <v>77.991867932988129</v>
      </c>
      <c r="AF7">
        <f t="shared" si="14"/>
        <v>323.29769158854356</v>
      </c>
      <c r="AG7">
        <f t="shared" si="15"/>
        <v>110.82435964664587</v>
      </c>
      <c r="AH7">
        <f t="shared" si="16"/>
        <v>610.88803801235372</v>
      </c>
      <c r="AI7">
        <f t="shared" si="17"/>
        <v>244.49552540743358</v>
      </c>
      <c r="AJ7">
        <f t="shared" si="1"/>
        <v>416.10193603499164</v>
      </c>
    </row>
    <row r="8" spans="1:36" ht="14.45" x14ac:dyDescent="0.3">
      <c r="A8" s="8">
        <v>36708</v>
      </c>
      <c r="B8" s="9">
        <f t="shared" si="0"/>
        <v>7</v>
      </c>
      <c r="C8">
        <v>15.706322787347226</v>
      </c>
      <c r="D8">
        <v>463.04651842378729</v>
      </c>
      <c r="E8">
        <v>412.98912397071882</v>
      </c>
      <c r="F8">
        <v>284.70091674389539</v>
      </c>
      <c r="G8">
        <v>105.33956766446502</v>
      </c>
      <c r="H8">
        <v>664.04867264017957</v>
      </c>
      <c r="I8">
        <v>216.85301079301021</v>
      </c>
      <c r="J8">
        <v>144.60221646108468</v>
      </c>
      <c r="K8">
        <v>115.36080098980324</v>
      </c>
      <c r="L8">
        <v>73.147994438634328</v>
      </c>
      <c r="M8">
        <v>642.08883666754616</v>
      </c>
      <c r="N8">
        <v>80.919017460218569</v>
      </c>
      <c r="O8">
        <v>343.25926490479151</v>
      </c>
      <c r="P8">
        <v>126.48806107523355</v>
      </c>
      <c r="Q8">
        <v>645.56530816180452</v>
      </c>
      <c r="R8">
        <v>198.69067267906485</v>
      </c>
      <c r="S8">
        <v>406.50762299669663</v>
      </c>
      <c r="T8" t="str">
        <f t="shared" si="2"/>
        <v/>
      </c>
      <c r="U8" t="str">
        <f t="shared" si="3"/>
        <v/>
      </c>
      <c r="V8" t="str">
        <f t="shared" si="4"/>
        <v/>
      </c>
      <c r="W8" t="str">
        <f t="shared" si="5"/>
        <v/>
      </c>
      <c r="X8" t="str">
        <f t="shared" si="6"/>
        <v/>
      </c>
      <c r="Y8" t="str">
        <f t="shared" si="7"/>
        <v/>
      </c>
      <c r="Z8" t="str">
        <f t="shared" si="8"/>
        <v/>
      </c>
      <c r="AA8" t="str">
        <f t="shared" si="9"/>
        <v/>
      </c>
      <c r="AB8" t="str">
        <f t="shared" si="10"/>
        <v/>
      </c>
      <c r="AC8" t="str">
        <f t="shared" si="11"/>
        <v/>
      </c>
      <c r="AD8" t="str">
        <f t="shared" si="12"/>
        <v/>
      </c>
      <c r="AE8" t="str">
        <f t="shared" si="13"/>
        <v/>
      </c>
      <c r="AF8" t="str">
        <f t="shared" si="14"/>
        <v/>
      </c>
      <c r="AG8" t="str">
        <f t="shared" si="15"/>
        <v/>
      </c>
      <c r="AH8" t="str">
        <f t="shared" si="16"/>
        <v/>
      </c>
      <c r="AI8" t="str">
        <f t="shared" si="17"/>
        <v/>
      </c>
      <c r="AJ8" t="str">
        <f t="shared" si="1"/>
        <v/>
      </c>
    </row>
    <row r="9" spans="1:36" ht="14.45" x14ac:dyDescent="0.3">
      <c r="A9" s="8">
        <v>36739</v>
      </c>
      <c r="B9" s="9">
        <f t="shared" si="0"/>
        <v>8</v>
      </c>
      <c r="C9">
        <v>24.577190562551955</v>
      </c>
      <c r="D9">
        <v>536.89732571573529</v>
      </c>
      <c r="E9">
        <v>389.61900537738154</v>
      </c>
      <c r="F9">
        <v>324.51970331115729</v>
      </c>
      <c r="G9">
        <v>139.8140714792417</v>
      </c>
      <c r="H9">
        <v>720.65750086076457</v>
      </c>
      <c r="I9">
        <v>208.58474601136436</v>
      </c>
      <c r="J9">
        <v>139.41782537102463</v>
      </c>
      <c r="K9">
        <v>134.51328776331906</v>
      </c>
      <c r="L9">
        <v>71.388885826879473</v>
      </c>
      <c r="M9">
        <v>606.92577401594463</v>
      </c>
      <c r="N9">
        <v>75.496042571920583</v>
      </c>
      <c r="O9">
        <v>324.7590329813014</v>
      </c>
      <c r="P9">
        <v>107.27543536146628</v>
      </c>
      <c r="Q9">
        <v>586.99073557780014</v>
      </c>
      <c r="R9">
        <v>177.76721145262331</v>
      </c>
      <c r="S9">
        <v>451.11462094033033</v>
      </c>
      <c r="T9" t="str">
        <f t="shared" si="2"/>
        <v/>
      </c>
      <c r="U9" t="str">
        <f t="shared" si="3"/>
        <v/>
      </c>
      <c r="V9" t="str">
        <f t="shared" si="4"/>
        <v/>
      </c>
      <c r="W9" t="str">
        <f t="shared" si="5"/>
        <v/>
      </c>
      <c r="X9" t="str">
        <f t="shared" si="6"/>
        <v/>
      </c>
      <c r="Y9" t="str">
        <f t="shared" si="7"/>
        <v/>
      </c>
      <c r="Z9" t="str">
        <f t="shared" si="8"/>
        <v/>
      </c>
      <c r="AA9" t="str">
        <f t="shared" si="9"/>
        <v/>
      </c>
      <c r="AB9" t="str">
        <f t="shared" si="10"/>
        <v/>
      </c>
      <c r="AC9" t="str">
        <f t="shared" si="11"/>
        <v/>
      </c>
      <c r="AD9" t="str">
        <f t="shared" si="12"/>
        <v/>
      </c>
      <c r="AE9" t="str">
        <f t="shared" si="13"/>
        <v/>
      </c>
      <c r="AF9" t="str">
        <f t="shared" si="14"/>
        <v/>
      </c>
      <c r="AG9" t="str">
        <f t="shared" si="15"/>
        <v/>
      </c>
      <c r="AH9" t="str">
        <f t="shared" si="16"/>
        <v/>
      </c>
      <c r="AI9" t="str">
        <f t="shared" si="17"/>
        <v/>
      </c>
      <c r="AJ9" t="str">
        <f t="shared" si="1"/>
        <v/>
      </c>
    </row>
    <row r="10" spans="1:36" ht="14.45" x14ac:dyDescent="0.3">
      <c r="A10" s="8">
        <v>36770</v>
      </c>
      <c r="B10" s="9">
        <f t="shared" si="0"/>
        <v>9</v>
      </c>
      <c r="C10">
        <v>29.288599496184997</v>
      </c>
      <c r="D10">
        <v>463.17754866193536</v>
      </c>
      <c r="E10">
        <v>411.88098709886799</v>
      </c>
      <c r="F10">
        <v>292.65759478218939</v>
      </c>
      <c r="G10">
        <v>130.11208377463427</v>
      </c>
      <c r="H10">
        <v>676.77524451961369</v>
      </c>
      <c r="I10">
        <v>248.17448252919971</v>
      </c>
      <c r="J10">
        <v>124.15859028353434</v>
      </c>
      <c r="K10">
        <v>135.81509257123173</v>
      </c>
      <c r="L10">
        <v>56.555923485021708</v>
      </c>
      <c r="M10">
        <v>577.2692234501161</v>
      </c>
      <c r="N10">
        <v>63.220454865238551</v>
      </c>
      <c r="O10">
        <v>321.93676455665457</v>
      </c>
      <c r="P10">
        <v>121.30387551584008</v>
      </c>
      <c r="Q10">
        <v>554.31357651230826</v>
      </c>
      <c r="R10">
        <v>218.41694489503905</v>
      </c>
      <c r="S10">
        <v>396.97011184245542</v>
      </c>
      <c r="T10">
        <f t="shared" si="2"/>
        <v>23.190704282028062</v>
      </c>
      <c r="U10">
        <f t="shared" si="3"/>
        <v>487.70713093381931</v>
      </c>
      <c r="V10">
        <f t="shared" si="4"/>
        <v>404.82970548232282</v>
      </c>
      <c r="W10">
        <f t="shared" si="5"/>
        <v>300.62607161241402</v>
      </c>
      <c r="X10">
        <f t="shared" si="6"/>
        <v>125.08857430611367</v>
      </c>
      <c r="Y10">
        <f t="shared" si="7"/>
        <v>687.16047267351939</v>
      </c>
      <c r="Z10">
        <f t="shared" si="8"/>
        <v>224.53741311119143</v>
      </c>
      <c r="AA10">
        <f t="shared" si="9"/>
        <v>136.0595440385479</v>
      </c>
      <c r="AB10">
        <f t="shared" si="10"/>
        <v>128.56306044145134</v>
      </c>
      <c r="AC10">
        <f t="shared" si="11"/>
        <v>67.030934583511836</v>
      </c>
      <c r="AD10">
        <f t="shared" si="12"/>
        <v>608.76127804453563</v>
      </c>
      <c r="AE10">
        <f t="shared" si="13"/>
        <v>73.211838299125887</v>
      </c>
      <c r="AF10">
        <f t="shared" si="14"/>
        <v>329.98502081424914</v>
      </c>
      <c r="AG10">
        <f t="shared" si="15"/>
        <v>118.35579065084664</v>
      </c>
      <c r="AH10">
        <f t="shared" si="16"/>
        <v>595.62320675063768</v>
      </c>
      <c r="AI10">
        <f t="shared" si="17"/>
        <v>198.29160967557573</v>
      </c>
      <c r="AJ10">
        <f t="shared" si="1"/>
        <v>418.19745192649413</v>
      </c>
    </row>
    <row r="11" spans="1:36" ht="14.45" x14ac:dyDescent="0.3">
      <c r="A11" s="8">
        <v>36800</v>
      </c>
      <c r="B11" s="9">
        <f t="shared" si="0"/>
        <v>10</v>
      </c>
      <c r="C11">
        <v>42.910041193733015</v>
      </c>
      <c r="D11">
        <v>497.2980980238903</v>
      </c>
      <c r="E11">
        <v>433.48648704850706</v>
      </c>
      <c r="F11">
        <v>292.05017860414904</v>
      </c>
      <c r="G11">
        <v>100.46944010767037</v>
      </c>
      <c r="H11">
        <v>674.59424937276071</v>
      </c>
      <c r="I11">
        <v>162.13087898758357</v>
      </c>
      <c r="J11">
        <v>102.75266517027462</v>
      </c>
      <c r="K11">
        <v>157.36440561804491</v>
      </c>
      <c r="L11">
        <v>69.320732961202523</v>
      </c>
      <c r="M11">
        <v>520.69413510523464</v>
      </c>
      <c r="N11">
        <v>29.248520240531491</v>
      </c>
      <c r="O11">
        <v>314.99333980641143</v>
      </c>
      <c r="P11">
        <v>123.10108937811449</v>
      </c>
      <c r="Q11">
        <v>603.88692856934017</v>
      </c>
      <c r="R11">
        <v>166.55462692356676</v>
      </c>
      <c r="S11">
        <v>408.18549514775322</v>
      </c>
      <c r="T11" t="str">
        <f t="shared" si="2"/>
        <v/>
      </c>
      <c r="U11" t="str">
        <f t="shared" si="3"/>
        <v/>
      </c>
      <c r="V11" t="str">
        <f t="shared" si="4"/>
        <v/>
      </c>
      <c r="W11" t="str">
        <f t="shared" si="5"/>
        <v/>
      </c>
      <c r="X11" t="str">
        <f t="shared" si="6"/>
        <v/>
      </c>
      <c r="Y11" t="str">
        <f t="shared" si="7"/>
        <v/>
      </c>
      <c r="Z11" t="str">
        <f t="shared" si="8"/>
        <v/>
      </c>
      <c r="AA11" t="str">
        <f t="shared" si="9"/>
        <v/>
      </c>
      <c r="AB11" t="str">
        <f t="shared" si="10"/>
        <v/>
      </c>
      <c r="AC11" t="str">
        <f t="shared" si="11"/>
        <v/>
      </c>
      <c r="AD11" t="str">
        <f t="shared" si="12"/>
        <v/>
      </c>
      <c r="AE11" t="str">
        <f t="shared" si="13"/>
        <v/>
      </c>
      <c r="AF11" t="str">
        <f t="shared" si="14"/>
        <v/>
      </c>
      <c r="AG11" t="str">
        <f t="shared" si="15"/>
        <v/>
      </c>
      <c r="AH11" t="str">
        <f t="shared" si="16"/>
        <v/>
      </c>
      <c r="AI11" t="str">
        <f t="shared" si="17"/>
        <v/>
      </c>
      <c r="AJ11" t="str">
        <f t="shared" si="1"/>
        <v/>
      </c>
    </row>
    <row r="12" spans="1:36" ht="14.45" x14ac:dyDescent="0.3">
      <c r="A12" s="8">
        <v>36831</v>
      </c>
      <c r="B12" s="9">
        <f t="shared" si="0"/>
        <v>11</v>
      </c>
      <c r="C12">
        <v>12.041192404870554</v>
      </c>
      <c r="D12">
        <v>523.50982111400697</v>
      </c>
      <c r="E12">
        <v>415.87073030178675</v>
      </c>
      <c r="F12">
        <v>274.22008885744174</v>
      </c>
      <c r="G12">
        <v>134.82308381050399</v>
      </c>
      <c r="H12">
        <v>603.17737742127656</v>
      </c>
      <c r="I12">
        <v>141.68125922404832</v>
      </c>
      <c r="J12">
        <v>118.13822271620198</v>
      </c>
      <c r="K12">
        <v>114.08868466730887</v>
      </c>
      <c r="L12">
        <v>74.592646441026915</v>
      </c>
      <c r="M12">
        <v>575.16879147915029</v>
      </c>
      <c r="N12">
        <v>46.533189307140013</v>
      </c>
      <c r="O12">
        <v>315.1817510859841</v>
      </c>
      <c r="P12">
        <v>113.20146956026957</v>
      </c>
      <c r="Q12">
        <v>582.18855988584357</v>
      </c>
      <c r="R12">
        <v>216.71102923996335</v>
      </c>
      <c r="S12">
        <v>413.71577516072756</v>
      </c>
      <c r="T12" t="str">
        <f t="shared" si="2"/>
        <v/>
      </c>
      <c r="U12" t="str">
        <f t="shared" si="3"/>
        <v/>
      </c>
      <c r="V12" t="str">
        <f t="shared" si="4"/>
        <v/>
      </c>
      <c r="W12" t="str">
        <f t="shared" si="5"/>
        <v/>
      </c>
      <c r="X12" t="str">
        <f t="shared" si="6"/>
        <v/>
      </c>
      <c r="Y12" t="str">
        <f t="shared" si="7"/>
        <v/>
      </c>
      <c r="Z12" t="str">
        <f t="shared" si="8"/>
        <v/>
      </c>
      <c r="AA12" t="str">
        <f t="shared" si="9"/>
        <v/>
      </c>
      <c r="AB12" t="str">
        <f t="shared" si="10"/>
        <v/>
      </c>
      <c r="AC12" t="str">
        <f t="shared" si="11"/>
        <v/>
      </c>
      <c r="AD12" t="str">
        <f t="shared" si="12"/>
        <v/>
      </c>
      <c r="AE12" t="str">
        <f t="shared" si="13"/>
        <v/>
      </c>
      <c r="AF12" t="str">
        <f t="shared" si="14"/>
        <v/>
      </c>
      <c r="AG12" t="str">
        <f t="shared" si="15"/>
        <v/>
      </c>
      <c r="AH12" t="str">
        <f t="shared" si="16"/>
        <v/>
      </c>
      <c r="AI12" t="str">
        <f t="shared" si="17"/>
        <v/>
      </c>
      <c r="AJ12" t="str">
        <f t="shared" si="1"/>
        <v/>
      </c>
    </row>
    <row r="13" spans="1:36" ht="14.45" x14ac:dyDescent="0.3">
      <c r="A13" s="8">
        <v>36861</v>
      </c>
      <c r="B13" s="9">
        <f t="shared" si="0"/>
        <v>12</v>
      </c>
      <c r="C13">
        <v>19.246139378745472</v>
      </c>
      <c r="D13">
        <v>519.2410156225792</v>
      </c>
      <c r="E13">
        <v>382.01581406767394</v>
      </c>
      <c r="F13">
        <v>283.22535009563302</v>
      </c>
      <c r="G13">
        <v>136.15410887567117</v>
      </c>
      <c r="H13">
        <v>625.25471601565607</v>
      </c>
      <c r="I13">
        <v>181.21082767737693</v>
      </c>
      <c r="J13">
        <v>151.17599815208411</v>
      </c>
      <c r="K13">
        <v>128.27580114061141</v>
      </c>
      <c r="L13">
        <v>83.48889899959552</v>
      </c>
      <c r="M13">
        <v>565.6188535163509</v>
      </c>
      <c r="N13">
        <v>33.454070783872588</v>
      </c>
      <c r="O13">
        <v>279.55721474003411</v>
      </c>
      <c r="P13">
        <v>106.45030179515115</v>
      </c>
      <c r="Q13">
        <v>564.54081102959117</v>
      </c>
      <c r="R13">
        <v>179.31492626154483</v>
      </c>
      <c r="S13">
        <v>409.43609032105951</v>
      </c>
      <c r="T13">
        <f t="shared" si="2"/>
        <v>24.732457659116346</v>
      </c>
      <c r="U13">
        <f t="shared" si="3"/>
        <v>513.34964492015877</v>
      </c>
      <c r="V13">
        <f t="shared" si="4"/>
        <v>410.45767713932258</v>
      </c>
      <c r="W13">
        <f t="shared" si="5"/>
        <v>283.16520585240795</v>
      </c>
      <c r="X13">
        <f t="shared" si="6"/>
        <v>123.81554426461518</v>
      </c>
      <c r="Y13">
        <f t="shared" si="7"/>
        <v>634.34211426989771</v>
      </c>
      <c r="Z13">
        <f t="shared" si="8"/>
        <v>161.67432196300294</v>
      </c>
      <c r="AA13">
        <f t="shared" si="9"/>
        <v>124.02229534618691</v>
      </c>
      <c r="AB13">
        <f t="shared" si="10"/>
        <v>133.24296380865505</v>
      </c>
      <c r="AC13">
        <f t="shared" si="11"/>
        <v>75.800759467274986</v>
      </c>
      <c r="AD13">
        <f t="shared" si="12"/>
        <v>553.82726003357857</v>
      </c>
      <c r="AE13">
        <f t="shared" si="13"/>
        <v>36.411926777181371</v>
      </c>
      <c r="AF13">
        <f t="shared" si="14"/>
        <v>303.24410187747657</v>
      </c>
      <c r="AG13">
        <f t="shared" si="15"/>
        <v>114.25095357784507</v>
      </c>
      <c r="AH13">
        <f t="shared" si="16"/>
        <v>583.53876649492497</v>
      </c>
      <c r="AI13">
        <f t="shared" si="17"/>
        <v>187.52686080835829</v>
      </c>
      <c r="AJ13">
        <f t="shared" si="1"/>
        <v>410.44578687651347</v>
      </c>
    </row>
    <row r="14" spans="1:36" ht="14.45" x14ac:dyDescent="0.3">
      <c r="A14" s="8">
        <v>36892</v>
      </c>
      <c r="B14" s="9">
        <f t="shared" si="0"/>
        <v>1</v>
      </c>
      <c r="C14">
        <v>9.2668388710728991</v>
      </c>
      <c r="D14">
        <v>616.69558594591149</v>
      </c>
      <c r="E14">
        <v>503.54250990580249</v>
      </c>
      <c r="F14">
        <v>333.09055793840088</v>
      </c>
      <c r="G14">
        <v>153.13278899667768</v>
      </c>
      <c r="H14">
        <v>672.11994299876665</v>
      </c>
      <c r="I14">
        <v>172.69477057900656</v>
      </c>
      <c r="J14">
        <v>154.36205527477975</v>
      </c>
      <c r="K14">
        <v>162.3069531286967</v>
      </c>
      <c r="L14">
        <v>71.774181848932272</v>
      </c>
      <c r="M14">
        <v>655.91699149993121</v>
      </c>
      <c r="N14">
        <v>80.262148035279878</v>
      </c>
      <c r="O14">
        <v>345.43686590287712</v>
      </c>
      <c r="P14">
        <v>122.32568285666738</v>
      </c>
      <c r="Q14">
        <v>613.04586713053038</v>
      </c>
      <c r="R14">
        <v>190.07305010208447</v>
      </c>
      <c r="S14">
        <v>457.86924890280619</v>
      </c>
      <c r="T14" t="str">
        <f t="shared" si="2"/>
        <v/>
      </c>
      <c r="U14" t="str">
        <f t="shared" si="3"/>
        <v/>
      </c>
      <c r="V14" t="str">
        <f t="shared" si="4"/>
        <v/>
      </c>
      <c r="W14" t="str">
        <f t="shared" si="5"/>
        <v/>
      </c>
      <c r="X14" t="str">
        <f t="shared" si="6"/>
        <v/>
      </c>
      <c r="Y14" t="str">
        <f t="shared" si="7"/>
        <v/>
      </c>
      <c r="Z14" t="str">
        <f t="shared" si="8"/>
        <v/>
      </c>
      <c r="AA14" t="str">
        <f t="shared" si="9"/>
        <v/>
      </c>
      <c r="AB14" t="str">
        <f t="shared" si="10"/>
        <v/>
      </c>
      <c r="AC14" t="str">
        <f t="shared" si="11"/>
        <v/>
      </c>
      <c r="AD14" t="str">
        <f t="shared" si="12"/>
        <v/>
      </c>
      <c r="AE14" t="str">
        <f t="shared" si="13"/>
        <v/>
      </c>
      <c r="AF14" t="str">
        <f t="shared" si="14"/>
        <v/>
      </c>
      <c r="AG14" t="str">
        <f t="shared" si="15"/>
        <v/>
      </c>
      <c r="AH14" t="str">
        <f t="shared" si="16"/>
        <v/>
      </c>
      <c r="AI14" t="str">
        <f t="shared" si="17"/>
        <v/>
      </c>
      <c r="AJ14" t="str">
        <f t="shared" si="1"/>
        <v/>
      </c>
    </row>
    <row r="15" spans="1:36" ht="14.45" x14ac:dyDescent="0.3">
      <c r="A15" s="8">
        <v>36923</v>
      </c>
      <c r="B15" s="9">
        <f t="shared" si="0"/>
        <v>2</v>
      </c>
      <c r="C15">
        <v>25.803162270855427</v>
      </c>
      <c r="D15">
        <v>599.53289762930081</v>
      </c>
      <c r="E15">
        <v>475.704930440829</v>
      </c>
      <c r="F15">
        <v>366.12923648980393</v>
      </c>
      <c r="G15">
        <v>160.13105342475288</v>
      </c>
      <c r="H15">
        <v>760.95861689330241</v>
      </c>
      <c r="I15">
        <v>170.66969742363656</v>
      </c>
      <c r="J15">
        <v>107.21209996160927</v>
      </c>
      <c r="K15">
        <v>158.885503513716</v>
      </c>
      <c r="L15">
        <v>65.578400654842554</v>
      </c>
      <c r="M15">
        <v>662.17987044174242</v>
      </c>
      <c r="N15">
        <v>65.947564183973739</v>
      </c>
      <c r="O15">
        <v>365.56104739392811</v>
      </c>
      <c r="P15">
        <v>117.01526676097608</v>
      </c>
      <c r="Q15">
        <v>650.08051167816723</v>
      </c>
      <c r="R15">
        <v>227.82989218073581</v>
      </c>
      <c r="S15">
        <v>335.51831849610886</v>
      </c>
      <c r="T15" t="str">
        <f t="shared" si="2"/>
        <v/>
      </c>
      <c r="U15" t="str">
        <f t="shared" si="3"/>
        <v/>
      </c>
      <c r="V15" t="str">
        <f t="shared" si="4"/>
        <v/>
      </c>
      <c r="W15" t="str">
        <f t="shared" si="5"/>
        <v/>
      </c>
      <c r="X15" t="str">
        <f t="shared" si="6"/>
        <v/>
      </c>
      <c r="Y15" t="str">
        <f t="shared" si="7"/>
        <v/>
      </c>
      <c r="Z15" t="str">
        <f t="shared" si="8"/>
        <v/>
      </c>
      <c r="AA15" t="str">
        <f t="shared" si="9"/>
        <v/>
      </c>
      <c r="AB15" t="str">
        <f t="shared" si="10"/>
        <v/>
      </c>
      <c r="AC15" t="str">
        <f t="shared" si="11"/>
        <v/>
      </c>
      <c r="AD15" t="str">
        <f t="shared" si="12"/>
        <v/>
      </c>
      <c r="AE15" t="str">
        <f t="shared" si="13"/>
        <v/>
      </c>
      <c r="AF15" t="str">
        <f t="shared" si="14"/>
        <v/>
      </c>
      <c r="AG15" t="str">
        <f t="shared" si="15"/>
        <v/>
      </c>
      <c r="AH15" t="str">
        <f t="shared" si="16"/>
        <v/>
      </c>
      <c r="AI15" t="str">
        <f t="shared" si="17"/>
        <v/>
      </c>
      <c r="AJ15" t="str">
        <f t="shared" si="1"/>
        <v/>
      </c>
    </row>
    <row r="16" spans="1:36" ht="14.45" x14ac:dyDescent="0.3">
      <c r="A16" s="8">
        <v>36951</v>
      </c>
      <c r="B16" s="9">
        <f t="shared" si="0"/>
        <v>3</v>
      </c>
      <c r="C16">
        <v>13.405337526357357</v>
      </c>
      <c r="D16">
        <v>538.8761074209998</v>
      </c>
      <c r="E16">
        <v>545.42449176067282</v>
      </c>
      <c r="F16">
        <v>361.19066804299507</v>
      </c>
      <c r="G16">
        <v>191.25812444159712</v>
      </c>
      <c r="H16">
        <v>816.1241584559267</v>
      </c>
      <c r="I16">
        <v>176.26774706395193</v>
      </c>
      <c r="J16">
        <v>149.52840657739449</v>
      </c>
      <c r="K16">
        <v>157.18753677513143</v>
      </c>
      <c r="L16">
        <v>49.288631001687605</v>
      </c>
      <c r="M16">
        <v>610.58004106381975</v>
      </c>
      <c r="N16">
        <v>113.64243652239688</v>
      </c>
      <c r="O16">
        <v>364.89813959186313</v>
      </c>
      <c r="P16">
        <v>115.11131318931969</v>
      </c>
      <c r="Q16">
        <v>683.92217037539251</v>
      </c>
      <c r="R16">
        <v>203.6819136439849</v>
      </c>
      <c r="S16">
        <v>393.53788089740129</v>
      </c>
      <c r="T16">
        <f t="shared" si="2"/>
        <v>16.158446222761896</v>
      </c>
      <c r="U16">
        <f t="shared" si="3"/>
        <v>585.03486366540403</v>
      </c>
      <c r="V16">
        <f t="shared" si="4"/>
        <v>508.22397736910142</v>
      </c>
      <c r="W16">
        <f t="shared" si="5"/>
        <v>353.47015415706664</v>
      </c>
      <c r="X16">
        <f t="shared" si="6"/>
        <v>168.17398895434258</v>
      </c>
      <c r="Y16">
        <f t="shared" si="7"/>
        <v>749.73423944933199</v>
      </c>
      <c r="Z16">
        <f t="shared" si="8"/>
        <v>173.21073835553167</v>
      </c>
      <c r="AA16">
        <f t="shared" si="9"/>
        <v>137.03418727126117</v>
      </c>
      <c r="AB16">
        <f t="shared" si="10"/>
        <v>159.45999780584805</v>
      </c>
      <c r="AC16">
        <f t="shared" si="11"/>
        <v>62.213737835154149</v>
      </c>
      <c r="AD16">
        <f t="shared" si="12"/>
        <v>642.89230100183113</v>
      </c>
      <c r="AE16">
        <f t="shared" si="13"/>
        <v>86.617382913883489</v>
      </c>
      <c r="AF16">
        <f t="shared" si="14"/>
        <v>358.63201762955606</v>
      </c>
      <c r="AG16">
        <f t="shared" si="15"/>
        <v>118.15075426898771</v>
      </c>
      <c r="AH16">
        <f t="shared" si="16"/>
        <v>649.01618306136334</v>
      </c>
      <c r="AI16">
        <f t="shared" si="17"/>
        <v>207.19495197560173</v>
      </c>
      <c r="AJ16">
        <f t="shared" si="1"/>
        <v>395.6418160987721</v>
      </c>
    </row>
    <row r="17" spans="1:36" ht="14.45" x14ac:dyDescent="0.3">
      <c r="A17" s="8">
        <v>36982</v>
      </c>
      <c r="B17" s="9">
        <f t="shared" si="0"/>
        <v>4</v>
      </c>
      <c r="C17">
        <v>23.409801590063644</v>
      </c>
      <c r="D17">
        <v>556.00509912726955</v>
      </c>
      <c r="E17">
        <v>513.03178371296644</v>
      </c>
      <c r="F17">
        <v>335.33743127425606</v>
      </c>
      <c r="G17">
        <v>133.80058578066553</v>
      </c>
      <c r="H17">
        <v>713.62486969371878</v>
      </c>
      <c r="I17">
        <v>228.24011716327379</v>
      </c>
      <c r="J17">
        <v>153.57333328075416</v>
      </c>
      <c r="K17">
        <v>158.25178605463896</v>
      </c>
      <c r="L17">
        <v>71.93979801877876</v>
      </c>
      <c r="M17">
        <v>697.05749375670428</v>
      </c>
      <c r="N17">
        <v>73.487442049535161</v>
      </c>
      <c r="O17">
        <v>299.60367997540391</v>
      </c>
      <c r="P17">
        <v>87.024566053971569</v>
      </c>
      <c r="Q17">
        <v>693.56501599496221</v>
      </c>
      <c r="R17">
        <v>229.21447548373126</v>
      </c>
      <c r="S17">
        <v>445.72764377809261</v>
      </c>
      <c r="T17" t="str">
        <f t="shared" si="2"/>
        <v/>
      </c>
      <c r="U17" t="str">
        <f t="shared" si="3"/>
        <v/>
      </c>
      <c r="V17" t="str">
        <f t="shared" si="4"/>
        <v/>
      </c>
      <c r="W17" t="str">
        <f t="shared" si="5"/>
        <v/>
      </c>
      <c r="X17" t="str">
        <f t="shared" si="6"/>
        <v/>
      </c>
      <c r="Y17" t="str">
        <f t="shared" si="7"/>
        <v/>
      </c>
      <c r="Z17" t="str">
        <f t="shared" si="8"/>
        <v/>
      </c>
      <c r="AA17" t="str">
        <f t="shared" si="9"/>
        <v/>
      </c>
      <c r="AB17" t="str">
        <f t="shared" si="10"/>
        <v/>
      </c>
      <c r="AC17" t="str">
        <f t="shared" si="11"/>
        <v/>
      </c>
      <c r="AD17" t="str">
        <f t="shared" si="12"/>
        <v/>
      </c>
      <c r="AE17" t="str">
        <f t="shared" si="13"/>
        <v/>
      </c>
      <c r="AF17" t="str">
        <f t="shared" si="14"/>
        <v/>
      </c>
      <c r="AG17" t="str">
        <f t="shared" si="15"/>
        <v/>
      </c>
      <c r="AH17" t="str">
        <f t="shared" si="16"/>
        <v/>
      </c>
      <c r="AI17" t="str">
        <f t="shared" si="17"/>
        <v/>
      </c>
      <c r="AJ17" t="str">
        <f t="shared" si="1"/>
        <v/>
      </c>
    </row>
    <row r="18" spans="1:36" ht="14.45" x14ac:dyDescent="0.3">
      <c r="A18" s="8">
        <v>37012</v>
      </c>
      <c r="B18" s="9">
        <f t="shared" si="0"/>
        <v>5</v>
      </c>
      <c r="C18">
        <v>35.577664669609888</v>
      </c>
      <c r="D18">
        <v>520.33153904604853</v>
      </c>
      <c r="E18">
        <v>597.28989127813395</v>
      </c>
      <c r="F18">
        <v>319.93243233342298</v>
      </c>
      <c r="G18">
        <v>150.28907819801873</v>
      </c>
      <c r="H18">
        <v>750.320861441077</v>
      </c>
      <c r="I18">
        <v>185.50033510312392</v>
      </c>
      <c r="J18">
        <v>160.64273669417057</v>
      </c>
      <c r="K18">
        <v>131.19726447444998</v>
      </c>
      <c r="L18">
        <v>62.328871846963274</v>
      </c>
      <c r="M18">
        <v>668.85266732070738</v>
      </c>
      <c r="N18">
        <v>68.418833380023003</v>
      </c>
      <c r="O18">
        <v>333.00539681418087</v>
      </c>
      <c r="P18">
        <v>92.702948992779937</v>
      </c>
      <c r="Q18">
        <v>646.55327555670169</v>
      </c>
      <c r="R18">
        <v>180.39515568045823</v>
      </c>
      <c r="S18">
        <v>407.49157038598503</v>
      </c>
      <c r="T18" t="str">
        <f t="shared" si="2"/>
        <v/>
      </c>
      <c r="U18" t="str">
        <f t="shared" si="3"/>
        <v/>
      </c>
      <c r="V18" t="str">
        <f t="shared" si="4"/>
        <v/>
      </c>
      <c r="W18" t="str">
        <f t="shared" si="5"/>
        <v/>
      </c>
      <c r="X18" t="str">
        <f t="shared" si="6"/>
        <v/>
      </c>
      <c r="Y18" t="str">
        <f t="shared" si="7"/>
        <v/>
      </c>
      <c r="Z18" t="str">
        <f t="shared" si="8"/>
        <v/>
      </c>
      <c r="AA18" t="str">
        <f t="shared" si="9"/>
        <v/>
      </c>
      <c r="AB18" t="str">
        <f t="shared" si="10"/>
        <v/>
      </c>
      <c r="AC18" t="str">
        <f t="shared" si="11"/>
        <v/>
      </c>
      <c r="AD18" t="str">
        <f t="shared" si="12"/>
        <v/>
      </c>
      <c r="AE18" t="str">
        <f t="shared" si="13"/>
        <v/>
      </c>
      <c r="AF18" t="str">
        <f t="shared" si="14"/>
        <v/>
      </c>
      <c r="AG18" t="str">
        <f t="shared" si="15"/>
        <v/>
      </c>
      <c r="AH18" t="str">
        <f t="shared" si="16"/>
        <v/>
      </c>
      <c r="AI18" t="str">
        <f t="shared" si="17"/>
        <v/>
      </c>
      <c r="AJ18" t="str">
        <f t="shared" si="1"/>
        <v/>
      </c>
    </row>
    <row r="19" spans="1:36" ht="14.45" x14ac:dyDescent="0.3">
      <c r="A19" s="8">
        <v>37043</v>
      </c>
      <c r="B19" s="9">
        <f t="shared" si="0"/>
        <v>6</v>
      </c>
      <c r="C19">
        <v>23.200012728435475</v>
      </c>
      <c r="D19">
        <v>511.26220290095466</v>
      </c>
      <c r="E19">
        <v>622.87137689859048</v>
      </c>
      <c r="F19">
        <v>357.73872797246162</v>
      </c>
      <c r="G19">
        <v>156.55027000874551</v>
      </c>
      <c r="H19">
        <v>768.68885053356144</v>
      </c>
      <c r="I19">
        <v>237.92171500651401</v>
      </c>
      <c r="J19">
        <v>166.36494310271505</v>
      </c>
      <c r="K19">
        <v>154.37658624963052</v>
      </c>
      <c r="L19">
        <v>82.93647531412131</v>
      </c>
      <c r="M19">
        <v>703.60970501331826</v>
      </c>
      <c r="N19">
        <v>83.582009969530603</v>
      </c>
      <c r="O19">
        <v>348.34002177338175</v>
      </c>
      <c r="P19">
        <v>81.506962431046404</v>
      </c>
      <c r="Q19">
        <v>691.13955099623729</v>
      </c>
      <c r="R19">
        <v>237.2937033623935</v>
      </c>
      <c r="S19">
        <v>440.30428681823417</v>
      </c>
      <c r="T19">
        <f t="shared" si="2"/>
        <v>27.395826329369669</v>
      </c>
      <c r="U19">
        <f t="shared" si="3"/>
        <v>529.19961369142425</v>
      </c>
      <c r="V19">
        <f t="shared" si="4"/>
        <v>577.73101729656355</v>
      </c>
      <c r="W19">
        <f t="shared" si="5"/>
        <v>337.66953052671357</v>
      </c>
      <c r="X19">
        <f t="shared" si="6"/>
        <v>146.87997799580992</v>
      </c>
      <c r="Y19">
        <f t="shared" si="7"/>
        <v>744.21152722278566</v>
      </c>
      <c r="Z19">
        <f t="shared" si="8"/>
        <v>217.22072242430389</v>
      </c>
      <c r="AA19">
        <f t="shared" si="9"/>
        <v>160.19367102587992</v>
      </c>
      <c r="AB19">
        <f t="shared" si="10"/>
        <v>147.94187892623981</v>
      </c>
      <c r="AC19">
        <f t="shared" si="11"/>
        <v>72.401715059954441</v>
      </c>
      <c r="AD19">
        <f t="shared" si="12"/>
        <v>689.83995536357668</v>
      </c>
      <c r="AE19">
        <f t="shared" si="13"/>
        <v>75.162761799696241</v>
      </c>
      <c r="AF19">
        <f t="shared" si="14"/>
        <v>326.98303285432218</v>
      </c>
      <c r="AG19">
        <f t="shared" si="15"/>
        <v>87.078159159265965</v>
      </c>
      <c r="AH19">
        <f t="shared" si="16"/>
        <v>677.08594751596695</v>
      </c>
      <c r="AI19">
        <f t="shared" si="17"/>
        <v>215.63444484219431</v>
      </c>
      <c r="AJ19">
        <f t="shared" si="1"/>
        <v>431.17450032743727</v>
      </c>
    </row>
    <row r="20" spans="1:36" ht="14.45" x14ac:dyDescent="0.3">
      <c r="A20" s="8">
        <v>37073</v>
      </c>
      <c r="B20" s="9">
        <f t="shared" si="0"/>
        <v>7</v>
      </c>
      <c r="C20">
        <v>16.687967961556428</v>
      </c>
      <c r="D20">
        <v>539.01508785268993</v>
      </c>
      <c r="E20">
        <v>652.38928590293688</v>
      </c>
      <c r="F20">
        <v>383.05214252815017</v>
      </c>
      <c r="G20">
        <v>131.67445958058127</v>
      </c>
      <c r="H20">
        <v>680.38561538241265</v>
      </c>
      <c r="I20">
        <v>224.46188836469477</v>
      </c>
      <c r="J20">
        <v>206.86150410405168</v>
      </c>
      <c r="K20">
        <v>199.16992991401926</v>
      </c>
      <c r="L20">
        <v>87.176376933714891</v>
      </c>
      <c r="M20">
        <v>737.99833271065449</v>
      </c>
      <c r="N20">
        <v>97.777146097764103</v>
      </c>
      <c r="O20">
        <v>352.84751252783036</v>
      </c>
      <c r="P20">
        <v>132.81246412899523</v>
      </c>
      <c r="Q20">
        <v>664.9225887663564</v>
      </c>
      <c r="R20">
        <v>224.26471965755835</v>
      </c>
      <c r="S20">
        <v>408.74527963704543</v>
      </c>
      <c r="T20" t="str">
        <f t="shared" si="2"/>
        <v/>
      </c>
      <c r="U20" t="str">
        <f t="shared" si="3"/>
        <v/>
      </c>
      <c r="V20" t="str">
        <f t="shared" si="4"/>
        <v/>
      </c>
      <c r="W20" t="str">
        <f t="shared" si="5"/>
        <v/>
      </c>
      <c r="X20" t="str">
        <f t="shared" si="6"/>
        <v/>
      </c>
      <c r="Y20" t="str">
        <f t="shared" si="7"/>
        <v/>
      </c>
      <c r="Z20" t="str">
        <f t="shared" si="8"/>
        <v/>
      </c>
      <c r="AA20" t="str">
        <f t="shared" si="9"/>
        <v/>
      </c>
      <c r="AB20" t="str">
        <f t="shared" si="10"/>
        <v/>
      </c>
      <c r="AC20" t="str">
        <f t="shared" si="11"/>
        <v/>
      </c>
      <c r="AD20" t="str">
        <f t="shared" si="12"/>
        <v/>
      </c>
      <c r="AE20" t="str">
        <f t="shared" si="13"/>
        <v/>
      </c>
      <c r="AF20" t="str">
        <f t="shared" si="14"/>
        <v/>
      </c>
      <c r="AG20" t="str">
        <f t="shared" si="15"/>
        <v/>
      </c>
      <c r="AH20" t="str">
        <f t="shared" si="16"/>
        <v/>
      </c>
      <c r="AI20" t="str">
        <f t="shared" si="17"/>
        <v/>
      </c>
      <c r="AJ20" t="str">
        <f t="shared" si="17"/>
        <v/>
      </c>
    </row>
    <row r="21" spans="1:36" ht="14.45" x14ac:dyDescent="0.3">
      <c r="A21" s="8">
        <v>37104</v>
      </c>
      <c r="B21" s="9">
        <f t="shared" si="0"/>
        <v>8</v>
      </c>
      <c r="C21">
        <v>19.234323048953705</v>
      </c>
      <c r="D21">
        <v>628.38655610675744</v>
      </c>
      <c r="E21">
        <v>678.45656136381365</v>
      </c>
      <c r="F21">
        <v>387.32996846815547</v>
      </c>
      <c r="G21">
        <v>162.78352607940286</v>
      </c>
      <c r="H21">
        <v>773.21597217178805</v>
      </c>
      <c r="I21">
        <v>238.08157878064821</v>
      </c>
      <c r="J21">
        <v>204.73946383157462</v>
      </c>
      <c r="K21">
        <v>164.29837291091113</v>
      </c>
      <c r="L21">
        <v>85.270058070994921</v>
      </c>
      <c r="M21">
        <v>821.01260526129499</v>
      </c>
      <c r="N21">
        <v>124.91163407354134</v>
      </c>
      <c r="O21">
        <v>394.48670770963969</v>
      </c>
      <c r="P21">
        <v>144.87713435414517</v>
      </c>
      <c r="Q21">
        <v>644.77738830307578</v>
      </c>
      <c r="R21">
        <v>229.10105861006534</v>
      </c>
      <c r="S21">
        <v>417.84201596531454</v>
      </c>
      <c r="T21" t="str">
        <f t="shared" si="2"/>
        <v/>
      </c>
      <c r="U21" t="str">
        <f t="shared" si="3"/>
        <v/>
      </c>
      <c r="V21" t="str">
        <f t="shared" si="4"/>
        <v/>
      </c>
      <c r="W21" t="str">
        <f t="shared" si="5"/>
        <v/>
      </c>
      <c r="X21" t="str">
        <f t="shared" si="6"/>
        <v/>
      </c>
      <c r="Y21" t="str">
        <f t="shared" si="7"/>
        <v/>
      </c>
      <c r="Z21" t="str">
        <f t="shared" si="8"/>
        <v/>
      </c>
      <c r="AA21" t="str">
        <f t="shared" si="9"/>
        <v/>
      </c>
      <c r="AB21" t="str">
        <f t="shared" si="10"/>
        <v/>
      </c>
      <c r="AC21" t="str">
        <f t="shared" si="11"/>
        <v/>
      </c>
      <c r="AD21" t="str">
        <f t="shared" si="12"/>
        <v/>
      </c>
      <c r="AE21" t="str">
        <f t="shared" si="13"/>
        <v/>
      </c>
      <c r="AF21" t="str">
        <f t="shared" si="14"/>
        <v/>
      </c>
      <c r="AG21" t="str">
        <f t="shared" si="15"/>
        <v/>
      </c>
      <c r="AH21" t="str">
        <f t="shared" si="16"/>
        <v/>
      </c>
      <c r="AI21" t="str">
        <f t="shared" si="17"/>
        <v/>
      </c>
      <c r="AJ21" t="str">
        <f t="shared" si="17"/>
        <v/>
      </c>
    </row>
    <row r="22" spans="1:36" ht="14.45" x14ac:dyDescent="0.3">
      <c r="A22" s="8">
        <v>37135</v>
      </c>
      <c r="B22" s="9">
        <f t="shared" si="0"/>
        <v>9</v>
      </c>
      <c r="C22">
        <v>26.945511536490198</v>
      </c>
      <c r="D22">
        <v>586.77155776084555</v>
      </c>
      <c r="E22">
        <v>683.2999965460707</v>
      </c>
      <c r="F22">
        <v>368.72743891329998</v>
      </c>
      <c r="G22">
        <v>184.32545201406521</v>
      </c>
      <c r="H22">
        <v>767.01194378889556</v>
      </c>
      <c r="I22">
        <v>229.91055957250535</v>
      </c>
      <c r="J22">
        <v>209.15947132380015</v>
      </c>
      <c r="K22">
        <v>195.73351576442221</v>
      </c>
      <c r="L22">
        <v>79.84365668473653</v>
      </c>
      <c r="M22">
        <v>836.47239891698405</v>
      </c>
      <c r="N22">
        <v>89.083368219199784</v>
      </c>
      <c r="O22">
        <v>352.08794190183977</v>
      </c>
      <c r="P22">
        <v>155.96212566322296</v>
      </c>
      <c r="Q22">
        <v>800.43736531120953</v>
      </c>
      <c r="R22">
        <v>223.38096636992631</v>
      </c>
      <c r="S22">
        <v>426.15909065440064</v>
      </c>
      <c r="T22">
        <f t="shared" si="2"/>
        <v>20.955934182333447</v>
      </c>
      <c r="U22">
        <f t="shared" si="3"/>
        <v>584.72440057343101</v>
      </c>
      <c r="V22">
        <f t="shared" si="4"/>
        <v>671.38194793760704</v>
      </c>
      <c r="W22">
        <f t="shared" si="5"/>
        <v>379.70318330320191</v>
      </c>
      <c r="X22">
        <f t="shared" si="6"/>
        <v>159.59447922468311</v>
      </c>
      <c r="Y22">
        <f t="shared" si="7"/>
        <v>740.20451044769879</v>
      </c>
      <c r="Z22">
        <f t="shared" si="8"/>
        <v>230.81800890594945</v>
      </c>
      <c r="AA22">
        <f t="shared" si="9"/>
        <v>206.92014641980882</v>
      </c>
      <c r="AB22">
        <f t="shared" si="10"/>
        <v>186.40060619645087</v>
      </c>
      <c r="AC22">
        <f t="shared" si="11"/>
        <v>84.096697229815447</v>
      </c>
      <c r="AD22">
        <f t="shared" si="12"/>
        <v>798.49444562964447</v>
      </c>
      <c r="AE22">
        <f t="shared" si="13"/>
        <v>103.92404946350173</v>
      </c>
      <c r="AF22">
        <f t="shared" si="14"/>
        <v>366.47405404643661</v>
      </c>
      <c r="AG22">
        <f t="shared" si="15"/>
        <v>144.55057471545445</v>
      </c>
      <c r="AH22">
        <f t="shared" si="16"/>
        <v>703.37911412688061</v>
      </c>
      <c r="AI22">
        <f t="shared" si="17"/>
        <v>225.58224821251667</v>
      </c>
      <c r="AJ22">
        <f t="shared" si="17"/>
        <v>417.58212875225354</v>
      </c>
    </row>
    <row r="23" spans="1:36" ht="14.45" x14ac:dyDescent="0.3">
      <c r="A23" s="8">
        <v>37165</v>
      </c>
      <c r="B23" s="9">
        <f t="shared" si="0"/>
        <v>10</v>
      </c>
      <c r="C23">
        <v>35.208238928191193</v>
      </c>
      <c r="D23">
        <v>638.02034158940364</v>
      </c>
      <c r="E23">
        <v>763.10579627121047</v>
      </c>
      <c r="F23">
        <v>356.03290324534072</v>
      </c>
      <c r="G23">
        <v>158.03005683602319</v>
      </c>
      <c r="H23">
        <v>828.81719596342305</v>
      </c>
      <c r="I23">
        <v>340.15694218963614</v>
      </c>
      <c r="J23">
        <v>249.38928109035405</v>
      </c>
      <c r="K23">
        <v>207.839781004965</v>
      </c>
      <c r="L23">
        <v>76.786042664716646</v>
      </c>
      <c r="M23">
        <v>940.14218838445152</v>
      </c>
      <c r="N23">
        <v>71.996357515154443</v>
      </c>
      <c r="O23">
        <v>423.68113756709016</v>
      </c>
      <c r="P23">
        <v>173.17610878616105</v>
      </c>
      <c r="Q23">
        <v>776.72716641466616</v>
      </c>
      <c r="R23">
        <v>247.24568841448729</v>
      </c>
      <c r="S23">
        <v>447.85569672221516</v>
      </c>
      <c r="T23" t="str">
        <f t="shared" si="2"/>
        <v/>
      </c>
      <c r="U23" t="str">
        <f t="shared" si="3"/>
        <v/>
      </c>
      <c r="V23" t="str">
        <f t="shared" si="4"/>
        <v/>
      </c>
      <c r="W23" t="str">
        <f t="shared" si="5"/>
        <v/>
      </c>
      <c r="X23" t="str">
        <f t="shared" si="6"/>
        <v/>
      </c>
      <c r="Y23" t="str">
        <f t="shared" si="7"/>
        <v/>
      </c>
      <c r="Z23" t="str">
        <f t="shared" si="8"/>
        <v/>
      </c>
      <c r="AA23" t="str">
        <f t="shared" si="9"/>
        <v/>
      </c>
      <c r="AB23" t="str">
        <f t="shared" si="10"/>
        <v/>
      </c>
      <c r="AC23" t="str">
        <f t="shared" si="11"/>
        <v/>
      </c>
      <c r="AD23" t="str">
        <f t="shared" si="12"/>
        <v/>
      </c>
      <c r="AE23" t="str">
        <f t="shared" si="13"/>
        <v/>
      </c>
      <c r="AF23" t="str">
        <f t="shared" si="14"/>
        <v/>
      </c>
      <c r="AG23" t="str">
        <f t="shared" si="15"/>
        <v/>
      </c>
      <c r="AH23" t="str">
        <f t="shared" si="16"/>
        <v/>
      </c>
      <c r="AI23" t="str">
        <f t="shared" si="17"/>
        <v/>
      </c>
      <c r="AJ23" t="str">
        <f t="shared" si="17"/>
        <v/>
      </c>
    </row>
    <row r="24" spans="1:36" ht="14.45" x14ac:dyDescent="0.3">
      <c r="A24" s="8">
        <v>37196</v>
      </c>
      <c r="B24" s="9">
        <f t="shared" si="0"/>
        <v>11</v>
      </c>
      <c r="C24">
        <v>21.893077099764643</v>
      </c>
      <c r="D24">
        <v>727.70037374768594</v>
      </c>
      <c r="E24">
        <v>760.39109020865908</v>
      </c>
      <c r="F24">
        <v>376.01390972118901</v>
      </c>
      <c r="G24">
        <v>191.74838586382791</v>
      </c>
      <c r="H24">
        <v>910.09448819394038</v>
      </c>
      <c r="I24">
        <v>331.68790919118288</v>
      </c>
      <c r="J24">
        <v>243.3445442273904</v>
      </c>
      <c r="K24">
        <v>267.5898240378699</v>
      </c>
      <c r="L24">
        <v>63.504550348441825</v>
      </c>
      <c r="M24">
        <v>994.71604522719599</v>
      </c>
      <c r="N24">
        <v>93.066378614280026</v>
      </c>
      <c r="O24">
        <v>439.83562691741832</v>
      </c>
      <c r="P24">
        <v>173.07662701363529</v>
      </c>
      <c r="Q24">
        <v>761.01087496421792</v>
      </c>
      <c r="R24">
        <v>255.65909440290608</v>
      </c>
      <c r="S24">
        <v>452.50162908204572</v>
      </c>
      <c r="T24" t="str">
        <f t="shared" si="2"/>
        <v/>
      </c>
      <c r="U24" t="str">
        <f t="shared" si="3"/>
        <v/>
      </c>
      <c r="V24" t="str">
        <f t="shared" si="4"/>
        <v/>
      </c>
      <c r="W24" t="str">
        <f t="shared" si="5"/>
        <v/>
      </c>
      <c r="X24" t="str">
        <f t="shared" si="6"/>
        <v/>
      </c>
      <c r="Y24" t="str">
        <f t="shared" si="7"/>
        <v/>
      </c>
      <c r="Z24" t="str">
        <f t="shared" si="8"/>
        <v/>
      </c>
      <c r="AA24" t="str">
        <f t="shared" si="9"/>
        <v/>
      </c>
      <c r="AB24" t="str">
        <f t="shared" si="10"/>
        <v/>
      </c>
      <c r="AC24" t="str">
        <f t="shared" si="11"/>
        <v/>
      </c>
      <c r="AD24" t="str">
        <f t="shared" si="12"/>
        <v/>
      </c>
      <c r="AE24" t="str">
        <f t="shared" si="13"/>
        <v/>
      </c>
      <c r="AF24" t="str">
        <f t="shared" si="14"/>
        <v/>
      </c>
      <c r="AG24" t="str">
        <f t="shared" si="15"/>
        <v/>
      </c>
      <c r="AH24" t="str">
        <f t="shared" si="16"/>
        <v/>
      </c>
      <c r="AI24" t="str">
        <f t="shared" si="17"/>
        <v/>
      </c>
      <c r="AJ24" t="str">
        <f t="shared" si="17"/>
        <v/>
      </c>
    </row>
    <row r="25" spans="1:36" ht="14.45" x14ac:dyDescent="0.3">
      <c r="A25" s="8">
        <v>37226</v>
      </c>
      <c r="B25" s="9">
        <f t="shared" si="0"/>
        <v>12</v>
      </c>
      <c r="C25">
        <v>25.982288161306386</v>
      </c>
      <c r="D25">
        <v>702.76585735124934</v>
      </c>
      <c r="E25">
        <v>790.30784815058473</v>
      </c>
      <c r="F25">
        <v>399.18355502609143</v>
      </c>
      <c r="G25">
        <v>219.57247135583589</v>
      </c>
      <c r="H25">
        <v>922.05974700389072</v>
      </c>
      <c r="I25">
        <v>334.37712249992171</v>
      </c>
      <c r="J25">
        <v>275.32052643591476</v>
      </c>
      <c r="K25">
        <v>210.89411373964927</v>
      </c>
      <c r="L25">
        <v>65.966537481161893</v>
      </c>
      <c r="M25">
        <v>923.64355334850916</v>
      </c>
      <c r="N25">
        <v>105.31837098626556</v>
      </c>
      <c r="O25">
        <v>418.28485513734427</v>
      </c>
      <c r="P25">
        <v>163.69244521329847</v>
      </c>
      <c r="Q25">
        <v>820.86140440512793</v>
      </c>
      <c r="R25">
        <v>297.4265543380115</v>
      </c>
      <c r="S25">
        <v>470.01019683431213</v>
      </c>
      <c r="T25">
        <f t="shared" si="2"/>
        <v>27.694534729754071</v>
      </c>
      <c r="U25">
        <f t="shared" si="3"/>
        <v>689.49552422944635</v>
      </c>
      <c r="V25">
        <f t="shared" si="4"/>
        <v>771.26824487681813</v>
      </c>
      <c r="W25">
        <f t="shared" si="5"/>
        <v>377.07678933087374</v>
      </c>
      <c r="X25">
        <f t="shared" si="6"/>
        <v>189.78363801856233</v>
      </c>
      <c r="Y25">
        <f t="shared" si="7"/>
        <v>886.99047705375142</v>
      </c>
      <c r="Z25">
        <f t="shared" si="8"/>
        <v>335.40732462691358</v>
      </c>
      <c r="AA25">
        <f t="shared" si="9"/>
        <v>256.01811725121973</v>
      </c>
      <c r="AB25">
        <f t="shared" si="10"/>
        <v>228.77457292749475</v>
      </c>
      <c r="AC25">
        <f t="shared" si="11"/>
        <v>68.752376831440117</v>
      </c>
      <c r="AD25">
        <f t="shared" si="12"/>
        <v>952.83392898671889</v>
      </c>
      <c r="AE25">
        <f t="shared" si="13"/>
        <v>90.127035705233354</v>
      </c>
      <c r="AF25">
        <f t="shared" si="14"/>
        <v>427.26720654061756</v>
      </c>
      <c r="AG25">
        <f t="shared" si="15"/>
        <v>169.98172700436496</v>
      </c>
      <c r="AH25">
        <f t="shared" si="16"/>
        <v>786.19981526133733</v>
      </c>
      <c r="AI25">
        <f t="shared" si="17"/>
        <v>266.77711238513496</v>
      </c>
      <c r="AJ25">
        <f t="shared" si="17"/>
        <v>456.78917421285769</v>
      </c>
    </row>
    <row r="26" spans="1:36" ht="14.45" x14ac:dyDescent="0.3">
      <c r="A26" s="8">
        <v>37257</v>
      </c>
      <c r="B26" s="9">
        <f t="shared" si="0"/>
        <v>1</v>
      </c>
      <c r="C26">
        <v>27.800516613218697</v>
      </c>
      <c r="D26">
        <v>893.32339064652956</v>
      </c>
      <c r="E26">
        <v>841.98911492445666</v>
      </c>
      <c r="F26">
        <v>423.51403350062606</v>
      </c>
      <c r="G26">
        <v>184.32650527377868</v>
      </c>
      <c r="H26">
        <v>916.28147725166991</v>
      </c>
      <c r="I26">
        <v>327.58595656223923</v>
      </c>
      <c r="J26">
        <v>252.1566492997955</v>
      </c>
      <c r="K26">
        <v>179.99424930297775</v>
      </c>
      <c r="L26">
        <v>88.773330181574124</v>
      </c>
      <c r="M26">
        <v>1000.8542649590231</v>
      </c>
      <c r="N26">
        <v>119.38994520247881</v>
      </c>
      <c r="O26">
        <v>464.89630079724384</v>
      </c>
      <c r="P26">
        <v>146.62324999943007</v>
      </c>
      <c r="Q26">
        <v>715.06560296163229</v>
      </c>
      <c r="R26">
        <v>293.31069660423185</v>
      </c>
      <c r="S26">
        <v>480.61437357832358</v>
      </c>
      <c r="T26" t="str">
        <f t="shared" si="2"/>
        <v/>
      </c>
      <c r="U26" t="str">
        <f t="shared" si="3"/>
        <v/>
      </c>
      <c r="V26" t="str">
        <f t="shared" si="4"/>
        <v/>
      </c>
      <c r="W26" t="str">
        <f t="shared" si="5"/>
        <v/>
      </c>
      <c r="X26" t="str">
        <f t="shared" si="6"/>
        <v/>
      </c>
      <c r="Y26" t="str">
        <f t="shared" si="7"/>
        <v/>
      </c>
      <c r="Z26" t="str">
        <f t="shared" si="8"/>
        <v/>
      </c>
      <c r="AA26" t="str">
        <f t="shared" si="9"/>
        <v/>
      </c>
      <c r="AB26" t="str">
        <f t="shared" si="10"/>
        <v/>
      </c>
      <c r="AC26" t="str">
        <f t="shared" si="11"/>
        <v/>
      </c>
      <c r="AD26" t="str">
        <f t="shared" si="12"/>
        <v/>
      </c>
      <c r="AE26" t="str">
        <f t="shared" si="13"/>
        <v/>
      </c>
      <c r="AF26" t="str">
        <f t="shared" si="14"/>
        <v/>
      </c>
      <c r="AG26" t="str">
        <f t="shared" si="15"/>
        <v/>
      </c>
      <c r="AH26" t="str">
        <f t="shared" si="16"/>
        <v/>
      </c>
      <c r="AI26" t="str">
        <f t="shared" si="17"/>
        <v/>
      </c>
      <c r="AJ26" t="str">
        <f t="shared" si="17"/>
        <v/>
      </c>
    </row>
    <row r="27" spans="1:36" ht="14.45" x14ac:dyDescent="0.3">
      <c r="A27" s="8">
        <v>37288</v>
      </c>
      <c r="B27" s="9">
        <f t="shared" si="0"/>
        <v>2</v>
      </c>
      <c r="C27">
        <v>33.448543684442221</v>
      </c>
      <c r="D27">
        <v>769.37635773251668</v>
      </c>
      <c r="E27">
        <v>819.47607157970936</v>
      </c>
      <c r="F27">
        <v>388.66026642763802</v>
      </c>
      <c r="G27">
        <v>184.62168512500921</v>
      </c>
      <c r="H27">
        <v>991.10219858786218</v>
      </c>
      <c r="I27">
        <v>298.89772405938464</v>
      </c>
      <c r="J27">
        <v>274.42363201182559</v>
      </c>
      <c r="K27">
        <v>215.01870535389114</v>
      </c>
      <c r="L27">
        <v>88.723718533022279</v>
      </c>
      <c r="M27">
        <v>889.91852754118145</v>
      </c>
      <c r="N27">
        <v>111.13385816188168</v>
      </c>
      <c r="O27">
        <v>493.0134125664058</v>
      </c>
      <c r="P27">
        <v>177.26939666028466</v>
      </c>
      <c r="Q27">
        <v>728.62007859125004</v>
      </c>
      <c r="R27">
        <v>317.83676316571785</v>
      </c>
      <c r="S27">
        <v>571.95740200007822</v>
      </c>
      <c r="T27" t="str">
        <f t="shared" si="2"/>
        <v/>
      </c>
      <c r="U27" t="str">
        <f t="shared" si="3"/>
        <v/>
      </c>
      <c r="V27" t="str">
        <f t="shared" si="4"/>
        <v/>
      </c>
      <c r="W27" t="str">
        <f t="shared" si="5"/>
        <v/>
      </c>
      <c r="X27" t="str">
        <f t="shared" si="6"/>
        <v/>
      </c>
      <c r="Y27" t="str">
        <f t="shared" si="7"/>
        <v/>
      </c>
      <c r="Z27" t="str">
        <f t="shared" si="8"/>
        <v/>
      </c>
      <c r="AA27" t="str">
        <f t="shared" si="9"/>
        <v/>
      </c>
      <c r="AB27" t="str">
        <f t="shared" si="10"/>
        <v/>
      </c>
      <c r="AC27" t="str">
        <f t="shared" si="11"/>
        <v/>
      </c>
      <c r="AD27" t="str">
        <f t="shared" si="12"/>
        <v/>
      </c>
      <c r="AE27" t="str">
        <f t="shared" si="13"/>
        <v/>
      </c>
      <c r="AF27" t="str">
        <f t="shared" si="14"/>
        <v/>
      </c>
      <c r="AG27" t="str">
        <f t="shared" si="15"/>
        <v/>
      </c>
      <c r="AH27" t="str">
        <f t="shared" si="16"/>
        <v/>
      </c>
      <c r="AI27" t="str">
        <f t="shared" si="17"/>
        <v/>
      </c>
      <c r="AJ27" t="str">
        <f t="shared" si="17"/>
        <v/>
      </c>
    </row>
    <row r="28" spans="1:36" ht="14.45" x14ac:dyDescent="0.3">
      <c r="A28" s="8">
        <v>37316</v>
      </c>
      <c r="B28" s="9">
        <f t="shared" si="0"/>
        <v>3</v>
      </c>
      <c r="C28">
        <v>26.810675052714714</v>
      </c>
      <c r="D28">
        <v>796.08490832765563</v>
      </c>
      <c r="E28">
        <v>843.28041988529549</v>
      </c>
      <c r="F28">
        <v>458.43430943918599</v>
      </c>
      <c r="G28">
        <v>186.4766713305572</v>
      </c>
      <c r="H28">
        <v>1047.2130778753467</v>
      </c>
      <c r="I28">
        <v>285.86427373583916</v>
      </c>
      <c r="J28">
        <v>268.74700101072256</v>
      </c>
      <c r="K28">
        <v>188.8227643022019</v>
      </c>
      <c r="L28">
        <v>90.994395695423265</v>
      </c>
      <c r="M28">
        <v>902.75944721705855</v>
      </c>
      <c r="N28">
        <v>111.24996417455694</v>
      </c>
      <c r="O28">
        <v>453.08185665989674</v>
      </c>
      <c r="P28">
        <v>164.71212293756312</v>
      </c>
      <c r="Q28">
        <v>788.38290533186455</v>
      </c>
      <c r="R28">
        <v>319.7806044210563</v>
      </c>
      <c r="S28">
        <v>528.78188503678996</v>
      </c>
      <c r="T28">
        <f t="shared" si="2"/>
        <v>29.353245116791879</v>
      </c>
      <c r="U28">
        <f t="shared" si="3"/>
        <v>819.59488556890062</v>
      </c>
      <c r="V28">
        <f t="shared" si="4"/>
        <v>834.9152021298205</v>
      </c>
      <c r="W28">
        <f t="shared" si="5"/>
        <v>423.53620312248336</v>
      </c>
      <c r="X28">
        <f t="shared" si="6"/>
        <v>185.14162057644839</v>
      </c>
      <c r="Y28">
        <f t="shared" si="7"/>
        <v>984.8655845716263</v>
      </c>
      <c r="Z28">
        <f t="shared" si="8"/>
        <v>304.11598478582101</v>
      </c>
      <c r="AA28">
        <f t="shared" si="9"/>
        <v>265.1090941074479</v>
      </c>
      <c r="AB28">
        <f t="shared" si="10"/>
        <v>194.61190631969029</v>
      </c>
      <c r="AC28">
        <f t="shared" si="11"/>
        <v>89.497148136673218</v>
      </c>
      <c r="AD28">
        <f t="shared" si="12"/>
        <v>931.17741323908774</v>
      </c>
      <c r="AE28">
        <f t="shared" si="13"/>
        <v>113.92458917963916</v>
      </c>
      <c r="AF28">
        <f t="shared" si="14"/>
        <v>470.33052334118219</v>
      </c>
      <c r="AG28">
        <f t="shared" si="15"/>
        <v>162.86825653242593</v>
      </c>
      <c r="AH28">
        <f t="shared" si="16"/>
        <v>744.02286229491563</v>
      </c>
      <c r="AI28">
        <f t="shared" si="17"/>
        <v>310.30935473033531</v>
      </c>
      <c r="AJ28">
        <f t="shared" si="17"/>
        <v>527.11788687173055</v>
      </c>
    </row>
    <row r="29" spans="1:36" x14ac:dyDescent="0.25">
      <c r="A29" s="8">
        <v>37347</v>
      </c>
      <c r="B29" s="9">
        <f t="shared" si="0"/>
        <v>4</v>
      </c>
      <c r="C29">
        <v>32.188477186337508</v>
      </c>
      <c r="D29">
        <v>797.62476468760985</v>
      </c>
      <c r="E29">
        <v>869.52827908831523</v>
      </c>
      <c r="F29">
        <v>445.50592454591373</v>
      </c>
      <c r="G29">
        <v>224.03819014437016</v>
      </c>
      <c r="H29">
        <v>1039.9714092352747</v>
      </c>
      <c r="I29">
        <v>275.46221036946838</v>
      </c>
      <c r="J29">
        <v>266.67801792671497</v>
      </c>
      <c r="K29">
        <v>176.92746266978267</v>
      </c>
      <c r="L29">
        <v>112.46926169133017</v>
      </c>
      <c r="M29">
        <v>1012.0636283398867</v>
      </c>
      <c r="N29">
        <v>105.55468948933232</v>
      </c>
      <c r="O29">
        <v>433.69204024411613</v>
      </c>
      <c r="P29">
        <v>180.49539626008919</v>
      </c>
      <c r="Q29">
        <v>822.23544882660678</v>
      </c>
      <c r="R29">
        <v>279.22490649836351</v>
      </c>
      <c r="S29">
        <v>539.94649530842105</v>
      </c>
      <c r="T29" t="str">
        <f t="shared" si="2"/>
        <v/>
      </c>
      <c r="U29" t="str">
        <f t="shared" si="3"/>
        <v/>
      </c>
      <c r="V29" t="str">
        <f t="shared" si="4"/>
        <v/>
      </c>
      <c r="W29" t="str">
        <f t="shared" si="5"/>
        <v/>
      </c>
      <c r="X29" t="str">
        <f t="shared" si="6"/>
        <v/>
      </c>
      <c r="Y29" t="str">
        <f t="shared" si="7"/>
        <v/>
      </c>
      <c r="Z29" t="str">
        <f t="shared" si="8"/>
        <v/>
      </c>
      <c r="AA29" t="str">
        <f t="shared" si="9"/>
        <v/>
      </c>
      <c r="AB29" t="str">
        <f t="shared" si="10"/>
        <v/>
      </c>
      <c r="AC29" t="str">
        <f t="shared" si="11"/>
        <v/>
      </c>
      <c r="AD29" t="str">
        <f t="shared" si="12"/>
        <v/>
      </c>
      <c r="AE29" t="str">
        <f t="shared" si="13"/>
        <v/>
      </c>
      <c r="AF29" t="str">
        <f t="shared" si="14"/>
        <v/>
      </c>
      <c r="AG29" t="str">
        <f t="shared" si="15"/>
        <v/>
      </c>
      <c r="AH29" t="str">
        <f t="shared" si="16"/>
        <v/>
      </c>
      <c r="AI29" t="str">
        <f t="shared" si="17"/>
        <v/>
      </c>
      <c r="AJ29" t="str">
        <f t="shared" si="17"/>
        <v/>
      </c>
    </row>
    <row r="30" spans="1:36" x14ac:dyDescent="0.25">
      <c r="A30" s="8">
        <v>37377</v>
      </c>
      <c r="B30" s="9">
        <f t="shared" si="0"/>
        <v>5</v>
      </c>
      <c r="C30">
        <v>26.160047551183741</v>
      </c>
      <c r="D30">
        <v>681.43837540340246</v>
      </c>
      <c r="E30">
        <v>752.79122504192412</v>
      </c>
      <c r="F30">
        <v>458.60283644078902</v>
      </c>
      <c r="G30">
        <v>199.68478921415075</v>
      </c>
      <c r="H30">
        <v>970.40133239582678</v>
      </c>
      <c r="I30">
        <v>267.82913551406097</v>
      </c>
      <c r="J30">
        <v>254.67750939319725</v>
      </c>
      <c r="K30">
        <v>233.35085971409805</v>
      </c>
      <c r="L30">
        <v>112.1919693245339</v>
      </c>
      <c r="M30">
        <v>1008.4082392273856</v>
      </c>
      <c r="N30">
        <v>124.39787887276911</v>
      </c>
      <c r="O30">
        <v>424.47910149461944</v>
      </c>
      <c r="P30">
        <v>190.99041298512492</v>
      </c>
      <c r="Q30">
        <v>850.09782526899664</v>
      </c>
      <c r="R30">
        <v>276.88558778861028</v>
      </c>
      <c r="S30">
        <v>546.33218855073892</v>
      </c>
      <c r="T30" t="str">
        <f t="shared" si="2"/>
        <v/>
      </c>
      <c r="U30" t="str">
        <f t="shared" si="3"/>
        <v/>
      </c>
      <c r="V30" t="str">
        <f t="shared" si="4"/>
        <v/>
      </c>
      <c r="W30" t="str">
        <f t="shared" si="5"/>
        <v/>
      </c>
      <c r="X30" t="str">
        <f t="shared" si="6"/>
        <v/>
      </c>
      <c r="Y30" t="str">
        <f t="shared" si="7"/>
        <v/>
      </c>
      <c r="Z30" t="str">
        <f t="shared" si="8"/>
        <v/>
      </c>
      <c r="AA30" t="str">
        <f t="shared" si="9"/>
        <v/>
      </c>
      <c r="AB30" t="str">
        <f t="shared" si="10"/>
        <v/>
      </c>
      <c r="AC30" t="str">
        <f t="shared" si="11"/>
        <v/>
      </c>
      <c r="AD30" t="str">
        <f t="shared" si="12"/>
        <v/>
      </c>
      <c r="AE30" t="str">
        <f t="shared" si="13"/>
        <v/>
      </c>
      <c r="AF30" t="str">
        <f t="shared" si="14"/>
        <v/>
      </c>
      <c r="AG30" t="str">
        <f t="shared" si="15"/>
        <v/>
      </c>
      <c r="AH30" t="str">
        <f t="shared" si="16"/>
        <v/>
      </c>
      <c r="AI30" t="str">
        <f t="shared" si="17"/>
        <v/>
      </c>
      <c r="AJ30" t="str">
        <f t="shared" si="17"/>
        <v/>
      </c>
    </row>
    <row r="31" spans="1:36" x14ac:dyDescent="0.25">
      <c r="A31" s="8">
        <v>37408</v>
      </c>
      <c r="B31" s="9">
        <f t="shared" si="0"/>
        <v>6</v>
      </c>
      <c r="C31">
        <v>31.230786365201602</v>
      </c>
      <c r="D31">
        <v>684.37581562136825</v>
      </c>
      <c r="E31">
        <v>799.52178378950225</v>
      </c>
      <c r="F31">
        <v>417.70649162102455</v>
      </c>
      <c r="G31">
        <v>195.94702669968808</v>
      </c>
      <c r="H31">
        <v>1003.5925241127615</v>
      </c>
      <c r="I31">
        <v>269.38243765200349</v>
      </c>
      <c r="J31">
        <v>260.26417479259106</v>
      </c>
      <c r="K31">
        <v>235.98968598669634</v>
      </c>
      <c r="L31">
        <v>119.89729583454495</v>
      </c>
      <c r="M31">
        <v>1093.9407373333868</v>
      </c>
      <c r="N31">
        <v>136.25974734528521</v>
      </c>
      <c r="O31">
        <v>434.20534926934141</v>
      </c>
      <c r="P31">
        <v>182.86818494145027</v>
      </c>
      <c r="Q31">
        <v>799.04289946940492</v>
      </c>
      <c r="R31">
        <v>323.14386433496679</v>
      </c>
      <c r="S31">
        <v>470.49658077148456</v>
      </c>
      <c r="T31">
        <f t="shared" si="2"/>
        <v>29.859770367574281</v>
      </c>
      <c r="U31">
        <f t="shared" si="3"/>
        <v>721.14631857079348</v>
      </c>
      <c r="V31">
        <f t="shared" si="4"/>
        <v>807.28042930658046</v>
      </c>
      <c r="W31">
        <f t="shared" si="5"/>
        <v>440.60508420257571</v>
      </c>
      <c r="X31">
        <f t="shared" si="6"/>
        <v>206.55666868606966</v>
      </c>
      <c r="Y31">
        <f t="shared" si="7"/>
        <v>1004.6550885812876</v>
      </c>
      <c r="Z31">
        <f t="shared" si="8"/>
        <v>270.891261178511</v>
      </c>
      <c r="AA31">
        <f t="shared" si="9"/>
        <v>260.53990070416779</v>
      </c>
      <c r="AB31">
        <f t="shared" si="10"/>
        <v>215.42266945685901</v>
      </c>
      <c r="AC31">
        <f t="shared" si="11"/>
        <v>114.85284228346967</v>
      </c>
      <c r="AD31">
        <f t="shared" si="12"/>
        <v>1038.1375349668863</v>
      </c>
      <c r="AE31">
        <f t="shared" si="13"/>
        <v>122.07077190246223</v>
      </c>
      <c r="AF31">
        <f t="shared" si="14"/>
        <v>430.79216366935901</v>
      </c>
      <c r="AG31">
        <f t="shared" si="15"/>
        <v>184.78466472888815</v>
      </c>
      <c r="AH31">
        <f t="shared" si="16"/>
        <v>823.79205785500278</v>
      </c>
      <c r="AI31">
        <f t="shared" si="17"/>
        <v>293.08478620731353</v>
      </c>
      <c r="AJ31">
        <f t="shared" si="17"/>
        <v>518.92508821021488</v>
      </c>
    </row>
    <row r="32" spans="1:36" x14ac:dyDescent="0.25">
      <c r="A32" s="8">
        <v>37438</v>
      </c>
      <c r="B32" s="9">
        <f t="shared" si="0"/>
        <v>7</v>
      </c>
      <c r="C32">
        <v>18.651258309974832</v>
      </c>
      <c r="D32">
        <v>716.275083186796</v>
      </c>
      <c r="E32">
        <v>754.44433501348396</v>
      </c>
      <c r="F32">
        <v>407.89876798943561</v>
      </c>
      <c r="G32">
        <v>209.6257396522854</v>
      </c>
      <c r="H32">
        <v>896.60985755902686</v>
      </c>
      <c r="I32">
        <v>256.79961804435419</v>
      </c>
      <c r="J32">
        <v>265.10406351198856</v>
      </c>
      <c r="K32">
        <v>231.70759173165607</v>
      </c>
      <c r="L32">
        <v>109.2209779974129</v>
      </c>
      <c r="M32">
        <v>1085.2916657509625</v>
      </c>
      <c r="N32">
        <v>132.16772851835699</v>
      </c>
      <c r="O32">
        <v>456.40058685665019</v>
      </c>
      <c r="P32">
        <v>173.92108397844612</v>
      </c>
      <c r="Q32">
        <v>807.19860120981252</v>
      </c>
      <c r="R32">
        <v>350.16772016706477</v>
      </c>
      <c r="S32">
        <v>481.09617767498958</v>
      </c>
      <c r="T32" t="str">
        <f t="shared" si="2"/>
        <v/>
      </c>
      <c r="U32" t="str">
        <f t="shared" si="3"/>
        <v/>
      </c>
      <c r="V32" t="str">
        <f t="shared" si="4"/>
        <v/>
      </c>
      <c r="W32" t="str">
        <f t="shared" si="5"/>
        <v/>
      </c>
      <c r="X32" t="str">
        <f t="shared" si="6"/>
        <v/>
      </c>
      <c r="Y32" t="str">
        <f t="shared" si="7"/>
        <v/>
      </c>
      <c r="Z32" t="str">
        <f t="shared" si="8"/>
        <v/>
      </c>
      <c r="AA32" t="str">
        <f t="shared" si="9"/>
        <v/>
      </c>
      <c r="AB32" t="str">
        <f t="shared" si="10"/>
        <v/>
      </c>
      <c r="AC32" t="str">
        <f t="shared" si="11"/>
        <v/>
      </c>
      <c r="AD32" t="str">
        <f t="shared" si="12"/>
        <v/>
      </c>
      <c r="AE32" t="str">
        <f t="shared" si="13"/>
        <v/>
      </c>
      <c r="AF32" t="str">
        <f t="shared" si="14"/>
        <v/>
      </c>
      <c r="AG32" t="str">
        <f t="shared" si="15"/>
        <v/>
      </c>
      <c r="AH32" t="str">
        <f t="shared" si="16"/>
        <v/>
      </c>
      <c r="AI32" t="str">
        <f t="shared" si="17"/>
        <v/>
      </c>
      <c r="AJ32" t="str">
        <f t="shared" si="17"/>
        <v/>
      </c>
    </row>
    <row r="33" spans="1:36" x14ac:dyDescent="0.25">
      <c r="A33" s="8">
        <v>37469</v>
      </c>
      <c r="B33" s="9">
        <f t="shared" si="0"/>
        <v>8</v>
      </c>
      <c r="C33">
        <v>34.194352087028804</v>
      </c>
      <c r="D33">
        <v>787.28890362800644</v>
      </c>
      <c r="E33">
        <v>750.14645835325189</v>
      </c>
      <c r="F33">
        <v>404.07937251002164</v>
      </c>
      <c r="G33">
        <v>216.71181079282465</v>
      </c>
      <c r="H33">
        <v>963.23506075779619</v>
      </c>
      <c r="I33">
        <v>232.81428721470468</v>
      </c>
      <c r="J33">
        <v>263.23645349773881</v>
      </c>
      <c r="K33">
        <v>226.75097080102356</v>
      </c>
      <c r="L33">
        <v>106.09181643716811</v>
      </c>
      <c r="M33">
        <v>962.35148414172045</v>
      </c>
      <c r="N33">
        <v>115.30304683711508</v>
      </c>
      <c r="O33">
        <v>469.94542419647149</v>
      </c>
      <c r="P33">
        <v>164.78391617379873</v>
      </c>
      <c r="Q33">
        <v>745.14367987855451</v>
      </c>
      <c r="R33">
        <v>335.57126012179691</v>
      </c>
      <c r="S33">
        <v>461.17378058393973</v>
      </c>
      <c r="T33" t="str">
        <f t="shared" si="2"/>
        <v/>
      </c>
      <c r="U33" t="str">
        <f t="shared" si="3"/>
        <v/>
      </c>
      <c r="V33" t="str">
        <f t="shared" si="4"/>
        <v/>
      </c>
      <c r="W33" t="str">
        <f t="shared" si="5"/>
        <v/>
      </c>
      <c r="X33" t="str">
        <f t="shared" si="6"/>
        <v/>
      </c>
      <c r="Y33" t="str">
        <f t="shared" si="7"/>
        <v/>
      </c>
      <c r="Z33" t="str">
        <f t="shared" si="8"/>
        <v/>
      </c>
      <c r="AA33" t="str">
        <f t="shared" si="9"/>
        <v/>
      </c>
      <c r="AB33" t="str">
        <f t="shared" si="10"/>
        <v/>
      </c>
      <c r="AC33" t="str">
        <f t="shared" si="11"/>
        <v/>
      </c>
      <c r="AD33" t="str">
        <f t="shared" si="12"/>
        <v/>
      </c>
      <c r="AE33" t="str">
        <f t="shared" si="13"/>
        <v/>
      </c>
      <c r="AF33" t="str">
        <f t="shared" si="14"/>
        <v/>
      </c>
      <c r="AG33" t="str">
        <f t="shared" si="15"/>
        <v/>
      </c>
      <c r="AH33" t="str">
        <f t="shared" si="16"/>
        <v/>
      </c>
      <c r="AI33" t="str">
        <f t="shared" si="17"/>
        <v/>
      </c>
      <c r="AJ33" t="str">
        <f t="shared" si="17"/>
        <v/>
      </c>
    </row>
    <row r="34" spans="1:36" x14ac:dyDescent="0.25">
      <c r="A34" s="8">
        <v>37500</v>
      </c>
      <c r="B34" s="9">
        <f t="shared" si="0"/>
        <v>9</v>
      </c>
      <c r="C34">
        <v>49.204847153590791</v>
      </c>
      <c r="D34">
        <v>737.96422908572606</v>
      </c>
      <c r="E34">
        <v>719.20756978033103</v>
      </c>
      <c r="F34">
        <v>417.32761710817618</v>
      </c>
      <c r="G34">
        <v>207.98219451854416</v>
      </c>
      <c r="H34">
        <v>984.40035566489269</v>
      </c>
      <c r="I34">
        <v>252.47187616606897</v>
      </c>
      <c r="J34">
        <v>220.62026427304949</v>
      </c>
      <c r="K34">
        <v>217.70360426859204</v>
      </c>
      <c r="L34">
        <v>90.933053446505497</v>
      </c>
      <c r="M34">
        <v>1039.9107477893863</v>
      </c>
      <c r="N34">
        <v>138.89342356756956</v>
      </c>
      <c r="O34">
        <v>405.58196622394246</v>
      </c>
      <c r="P34">
        <v>146.78788297715101</v>
      </c>
      <c r="Q34">
        <v>792.94664130428646</v>
      </c>
      <c r="R34">
        <v>278.97800688866351</v>
      </c>
      <c r="S34">
        <v>515.67195901103275</v>
      </c>
      <c r="T34">
        <f t="shared" si="2"/>
        <v>34.016819183531474</v>
      </c>
      <c r="U34">
        <f t="shared" si="3"/>
        <v>747.17607196684276</v>
      </c>
      <c r="V34">
        <f t="shared" si="4"/>
        <v>741.26612104902233</v>
      </c>
      <c r="W34">
        <f t="shared" si="5"/>
        <v>409.76858586921117</v>
      </c>
      <c r="X34">
        <f t="shared" si="6"/>
        <v>211.43991498788475</v>
      </c>
      <c r="Y34">
        <f t="shared" si="7"/>
        <v>948.08175799390528</v>
      </c>
      <c r="Z34">
        <f t="shared" si="8"/>
        <v>247.36192714170929</v>
      </c>
      <c r="AA34">
        <f t="shared" si="9"/>
        <v>249.65359376092565</v>
      </c>
      <c r="AB34">
        <f t="shared" si="10"/>
        <v>225.38738893375719</v>
      </c>
      <c r="AC34">
        <f t="shared" si="11"/>
        <v>102.0819492936955</v>
      </c>
      <c r="AD34">
        <f t="shared" si="12"/>
        <v>1029.1846325606896</v>
      </c>
      <c r="AE34">
        <f t="shared" si="13"/>
        <v>128.78806630768054</v>
      </c>
      <c r="AF34">
        <f t="shared" si="14"/>
        <v>443.97599242568805</v>
      </c>
      <c r="AG34">
        <f t="shared" si="15"/>
        <v>161.83096104313196</v>
      </c>
      <c r="AH34">
        <f t="shared" si="16"/>
        <v>781.76297413088457</v>
      </c>
      <c r="AI34">
        <f t="shared" si="17"/>
        <v>321.57232905917505</v>
      </c>
      <c r="AJ34">
        <f t="shared" si="17"/>
        <v>485.98063908998739</v>
      </c>
    </row>
    <row r="35" spans="1:36" x14ac:dyDescent="0.25">
      <c r="A35" s="8">
        <v>37530</v>
      </c>
      <c r="B35" s="9">
        <f t="shared" si="0"/>
        <v>10</v>
      </c>
      <c r="C35">
        <v>39.60926879421509</v>
      </c>
      <c r="D35">
        <v>810.94174258092426</v>
      </c>
      <c r="E35">
        <v>705.87286155086974</v>
      </c>
      <c r="F35">
        <v>392.15218328472309</v>
      </c>
      <c r="G35">
        <v>218.7303435677407</v>
      </c>
      <c r="H35">
        <v>1052.2830981662194</v>
      </c>
      <c r="I35">
        <v>277.63588427939152</v>
      </c>
      <c r="J35">
        <v>225.84179532216612</v>
      </c>
      <c r="K35">
        <v>204.87064127632263</v>
      </c>
      <c r="L35">
        <v>111.97964555271177</v>
      </c>
      <c r="M35">
        <v>993.8645991492773</v>
      </c>
      <c r="N35">
        <v>134.99317034091459</v>
      </c>
      <c r="O35">
        <v>399.52829362027262</v>
      </c>
      <c r="P35">
        <v>182.5651749251698</v>
      </c>
      <c r="Q35">
        <v>823.09893754389986</v>
      </c>
      <c r="R35">
        <v>281.38421442987675</v>
      </c>
      <c r="S35">
        <v>520.93238383306618</v>
      </c>
      <c r="T35" t="str">
        <f t="shared" si="2"/>
        <v/>
      </c>
      <c r="U35" t="str">
        <f t="shared" si="3"/>
        <v/>
      </c>
      <c r="V35" t="str">
        <f t="shared" si="4"/>
        <v/>
      </c>
      <c r="W35" t="str">
        <f t="shared" si="5"/>
        <v/>
      </c>
      <c r="X35" t="str">
        <f t="shared" si="6"/>
        <v/>
      </c>
      <c r="Y35" t="str">
        <f t="shared" si="7"/>
        <v/>
      </c>
      <c r="Z35" t="str">
        <f t="shared" si="8"/>
        <v/>
      </c>
      <c r="AA35" t="str">
        <f t="shared" si="9"/>
        <v/>
      </c>
      <c r="AB35" t="str">
        <f t="shared" si="10"/>
        <v/>
      </c>
      <c r="AC35" t="str">
        <f t="shared" si="11"/>
        <v/>
      </c>
      <c r="AD35" t="str">
        <f t="shared" si="12"/>
        <v/>
      </c>
      <c r="AE35" t="str">
        <f t="shared" si="13"/>
        <v/>
      </c>
      <c r="AF35" t="str">
        <f t="shared" si="14"/>
        <v/>
      </c>
      <c r="AG35" t="str">
        <f t="shared" si="15"/>
        <v/>
      </c>
      <c r="AH35" t="str">
        <f t="shared" si="16"/>
        <v/>
      </c>
      <c r="AI35" t="str">
        <f t="shared" si="17"/>
        <v/>
      </c>
      <c r="AJ35" t="str">
        <f t="shared" si="17"/>
        <v/>
      </c>
    </row>
    <row r="36" spans="1:36" x14ac:dyDescent="0.25">
      <c r="A36" s="8">
        <v>37561</v>
      </c>
      <c r="B36" s="9">
        <f t="shared" si="0"/>
        <v>11</v>
      </c>
      <c r="C36">
        <v>35.028923359623427</v>
      </c>
      <c r="D36">
        <v>823.27893029962081</v>
      </c>
      <c r="E36">
        <v>768.54541825379215</v>
      </c>
      <c r="F36">
        <v>376.01390972118901</v>
      </c>
      <c r="G36">
        <v>224.70513968417333</v>
      </c>
      <c r="H36">
        <v>1082.7353630035636</v>
      </c>
      <c r="I36">
        <v>255.9049100713431</v>
      </c>
      <c r="J36">
        <v>222.14024784243105</v>
      </c>
      <c r="K36">
        <v>231.28887891645343</v>
      </c>
      <c r="L36">
        <v>113.90498713291947</v>
      </c>
      <c r="M36">
        <v>1081.9902859818019</v>
      </c>
      <c r="N36">
        <v>95.336290287799045</v>
      </c>
      <c r="O36">
        <v>414.49947329314307</v>
      </c>
      <c r="P36">
        <v>159.97893632071154</v>
      </c>
      <c r="Q36">
        <v>819.94095606959127</v>
      </c>
      <c r="R36">
        <v>283.62180785322391</v>
      </c>
      <c r="S36">
        <v>504.2161009771367</v>
      </c>
      <c r="T36" t="str">
        <f t="shared" si="2"/>
        <v/>
      </c>
      <c r="U36" t="str">
        <f t="shared" si="3"/>
        <v/>
      </c>
      <c r="V36" t="str">
        <f t="shared" si="4"/>
        <v/>
      </c>
      <c r="W36" t="str">
        <f t="shared" si="5"/>
        <v/>
      </c>
      <c r="X36" t="str">
        <f t="shared" si="6"/>
        <v/>
      </c>
      <c r="Y36" t="str">
        <f t="shared" si="7"/>
        <v/>
      </c>
      <c r="Z36" t="str">
        <f t="shared" si="8"/>
        <v/>
      </c>
      <c r="AA36" t="str">
        <f t="shared" si="9"/>
        <v/>
      </c>
      <c r="AB36" t="str">
        <f t="shared" si="10"/>
        <v/>
      </c>
      <c r="AC36" t="str">
        <f t="shared" si="11"/>
        <v/>
      </c>
      <c r="AD36" t="str">
        <f t="shared" si="12"/>
        <v/>
      </c>
      <c r="AE36" t="str">
        <f t="shared" si="13"/>
        <v/>
      </c>
      <c r="AF36" t="str">
        <f t="shared" si="14"/>
        <v/>
      </c>
      <c r="AG36" t="str">
        <f t="shared" si="15"/>
        <v/>
      </c>
      <c r="AH36" t="str">
        <f t="shared" si="16"/>
        <v/>
      </c>
      <c r="AI36" t="str">
        <f t="shared" si="17"/>
        <v/>
      </c>
      <c r="AJ36" t="str">
        <f t="shared" si="17"/>
        <v/>
      </c>
    </row>
    <row r="37" spans="1:36" x14ac:dyDescent="0.25">
      <c r="A37" s="8">
        <v>37591</v>
      </c>
      <c r="B37" s="9">
        <f t="shared" si="0"/>
        <v>12</v>
      </c>
      <c r="C37">
        <v>43.303813602177307</v>
      </c>
      <c r="D37">
        <v>842.42378569111554</v>
      </c>
      <c r="E37">
        <v>818.6053158593013</v>
      </c>
      <c r="F37">
        <v>388.92176697914823</v>
      </c>
      <c r="G37">
        <v>203.27233156086118</v>
      </c>
      <c r="H37">
        <v>1023.540878922662</v>
      </c>
      <c r="I37">
        <v>262.10851860477732</v>
      </c>
      <c r="J37">
        <v>255.29721542239366</v>
      </c>
      <c r="K37">
        <v>245.68077167608627</v>
      </c>
      <c r="L37">
        <v>98.949806221742833</v>
      </c>
      <c r="M37">
        <v>1040.9793793439223</v>
      </c>
      <c r="N37">
        <v>123.90396586619478</v>
      </c>
      <c r="O37">
        <v>481.34287349975796</v>
      </c>
      <c r="P37">
        <v>187.79440033672893</v>
      </c>
      <c r="Q37">
        <v>778.49436417776644</v>
      </c>
      <c r="R37">
        <v>258.77183969480421</v>
      </c>
      <c r="S37">
        <v>500.29725009093846</v>
      </c>
      <c r="T37">
        <f t="shared" si="2"/>
        <v>39.314001918671941</v>
      </c>
      <c r="U37">
        <f t="shared" si="3"/>
        <v>825.54815285722009</v>
      </c>
      <c r="V37">
        <f t="shared" si="4"/>
        <v>764.3411985546544</v>
      </c>
      <c r="W37">
        <f t="shared" si="5"/>
        <v>385.69595332835343</v>
      </c>
      <c r="X37">
        <f t="shared" si="6"/>
        <v>215.56927160425843</v>
      </c>
      <c r="Y37">
        <f t="shared" si="7"/>
        <v>1052.8531133641484</v>
      </c>
      <c r="Z37">
        <f t="shared" si="8"/>
        <v>265.21643765183734</v>
      </c>
      <c r="AA37">
        <f t="shared" si="9"/>
        <v>234.42641952899695</v>
      </c>
      <c r="AB37">
        <f t="shared" si="10"/>
        <v>227.28009728962078</v>
      </c>
      <c r="AC37">
        <f t="shared" si="11"/>
        <v>108.27814630245803</v>
      </c>
      <c r="AD37">
        <f t="shared" si="12"/>
        <v>1038.9447548250007</v>
      </c>
      <c r="AE37">
        <f t="shared" si="13"/>
        <v>118.07780883163615</v>
      </c>
      <c r="AF37">
        <f t="shared" si="14"/>
        <v>431.79021347105783</v>
      </c>
      <c r="AG37">
        <f t="shared" si="15"/>
        <v>176.77950386087011</v>
      </c>
      <c r="AH37">
        <f t="shared" si="16"/>
        <v>807.17808593041912</v>
      </c>
      <c r="AI37">
        <f t="shared" si="17"/>
        <v>274.59262065930164</v>
      </c>
      <c r="AJ37">
        <f t="shared" si="17"/>
        <v>508.48191163371376</v>
      </c>
    </row>
    <row r="38" spans="1:36" x14ac:dyDescent="0.25">
      <c r="A38" s="8">
        <v>37622</v>
      </c>
      <c r="B38" s="9">
        <f t="shared" si="0"/>
        <v>1</v>
      </c>
      <c r="C38">
        <v>45.491754457994233</v>
      </c>
      <c r="D38">
        <v>882.25827845850483</v>
      </c>
      <c r="E38">
        <v>821.81072654936077</v>
      </c>
      <c r="F38">
        <v>374.61154161493283</v>
      </c>
      <c r="G38">
        <v>237.26129653188946</v>
      </c>
      <c r="H38">
        <v>982.95289250892017</v>
      </c>
      <c r="I38">
        <v>294.64932506005755</v>
      </c>
      <c r="J38">
        <v>232.98123870665518</v>
      </c>
      <c r="K38">
        <v>234.09656701254332</v>
      </c>
      <c r="L38">
        <v>95.384110088712617</v>
      </c>
      <c r="M38">
        <v>993.70530592360149</v>
      </c>
      <c r="N38">
        <v>127.41616000600681</v>
      </c>
      <c r="O38">
        <v>430.0539656197202</v>
      </c>
      <c r="P38">
        <v>168.40727571363112</v>
      </c>
      <c r="Q38">
        <v>786.4794180434036</v>
      </c>
      <c r="R38">
        <v>293.31069660423185</v>
      </c>
      <c r="S38">
        <v>564.67244303132259</v>
      </c>
      <c r="T38" t="str">
        <f t="shared" si="2"/>
        <v/>
      </c>
      <c r="U38" t="str">
        <f t="shared" si="3"/>
        <v/>
      </c>
      <c r="V38" t="str">
        <f t="shared" si="4"/>
        <v/>
      </c>
      <c r="W38" t="str">
        <f t="shared" si="5"/>
        <v/>
      </c>
      <c r="X38" t="str">
        <f t="shared" si="6"/>
        <v/>
      </c>
      <c r="Y38" t="str">
        <f t="shared" si="7"/>
        <v/>
      </c>
      <c r="Z38" t="str">
        <f t="shared" si="8"/>
        <v/>
      </c>
      <c r="AA38" t="str">
        <f t="shared" si="9"/>
        <v/>
      </c>
      <c r="AB38" t="str">
        <f t="shared" si="10"/>
        <v/>
      </c>
      <c r="AC38" t="str">
        <f t="shared" si="11"/>
        <v/>
      </c>
      <c r="AD38" t="str">
        <f t="shared" si="12"/>
        <v/>
      </c>
      <c r="AE38" t="str">
        <f t="shared" si="13"/>
        <v/>
      </c>
      <c r="AF38" t="str">
        <f t="shared" si="14"/>
        <v/>
      </c>
      <c r="AG38" t="str">
        <f t="shared" si="15"/>
        <v/>
      </c>
      <c r="AH38" t="str">
        <f t="shared" si="16"/>
        <v/>
      </c>
      <c r="AI38" t="str">
        <f t="shared" si="17"/>
        <v/>
      </c>
      <c r="AJ38" t="str">
        <f t="shared" si="17"/>
        <v/>
      </c>
    </row>
    <row r="39" spans="1:36" x14ac:dyDescent="0.25">
      <c r="A39" s="8">
        <v>37653</v>
      </c>
      <c r="B39" s="9">
        <f t="shared" si="0"/>
        <v>2</v>
      </c>
      <c r="C39">
        <v>39.182579744632314</v>
      </c>
      <c r="D39">
        <v>851.3947807738133</v>
      </c>
      <c r="E39">
        <v>734.92695308339012</v>
      </c>
      <c r="F39">
        <v>411.19129636547211</v>
      </c>
      <c r="G39">
        <v>194.04115885587703</v>
      </c>
      <c r="H39">
        <v>956.76626099633506</v>
      </c>
      <c r="I39">
        <v>285.35250997814364</v>
      </c>
      <c r="J39">
        <v>315.73471640070255</v>
      </c>
      <c r="K39">
        <v>232.14408896614793</v>
      </c>
      <c r="L39">
        <v>63.64962416499425</v>
      </c>
      <c r="M39">
        <v>1042.6589120215281</v>
      </c>
      <c r="N39">
        <v>129.45262599076327</v>
      </c>
      <c r="O39">
        <v>465.34933330416254</v>
      </c>
      <c r="P39">
        <v>193.86111358907976</v>
      </c>
      <c r="Q39">
        <v>872.45157462484735</v>
      </c>
      <c r="R39">
        <v>310.33619058363604</v>
      </c>
      <c r="S39">
        <v>543.80989205912954</v>
      </c>
      <c r="T39" t="str">
        <f t="shared" si="2"/>
        <v/>
      </c>
      <c r="U39" t="str">
        <f t="shared" si="3"/>
        <v/>
      </c>
      <c r="V39" t="str">
        <f t="shared" si="4"/>
        <v/>
      </c>
      <c r="W39" t="str">
        <f t="shared" si="5"/>
        <v/>
      </c>
      <c r="X39" t="str">
        <f t="shared" si="6"/>
        <v/>
      </c>
      <c r="Y39" t="str">
        <f t="shared" si="7"/>
        <v/>
      </c>
      <c r="Z39" t="str">
        <f t="shared" si="8"/>
        <v/>
      </c>
      <c r="AA39" t="str">
        <f t="shared" si="9"/>
        <v/>
      </c>
      <c r="AB39" t="str">
        <f t="shared" si="10"/>
        <v/>
      </c>
      <c r="AC39" t="str">
        <f t="shared" si="11"/>
        <v/>
      </c>
      <c r="AD39" t="str">
        <f t="shared" si="12"/>
        <v/>
      </c>
      <c r="AE39" t="str">
        <f t="shared" si="13"/>
        <v/>
      </c>
      <c r="AF39" t="str">
        <f t="shared" si="14"/>
        <v/>
      </c>
      <c r="AG39" t="str">
        <f t="shared" si="15"/>
        <v/>
      </c>
      <c r="AH39" t="str">
        <f t="shared" si="16"/>
        <v/>
      </c>
      <c r="AI39" t="str">
        <f t="shared" si="17"/>
        <v/>
      </c>
      <c r="AJ39" t="str">
        <f t="shared" si="17"/>
        <v/>
      </c>
    </row>
    <row r="40" spans="1:36" x14ac:dyDescent="0.25">
      <c r="A40" s="8">
        <v>37681</v>
      </c>
      <c r="B40" s="9">
        <f t="shared" si="0"/>
        <v>3</v>
      </c>
      <c r="C40">
        <v>44.046109015174174</v>
      </c>
      <c r="D40">
        <v>778.72725918671563</v>
      </c>
      <c r="E40">
        <v>718.52907336556723</v>
      </c>
      <c r="F40">
        <v>443.61623075024266</v>
      </c>
      <c r="G40">
        <v>208.47135564134086</v>
      </c>
      <c r="H40">
        <v>938.0064999218655</v>
      </c>
      <c r="I40">
        <v>291.34410006943352</v>
      </c>
      <c r="J40">
        <v>269.75732808219141</v>
      </c>
      <c r="K40">
        <v>234.29840387236572</v>
      </c>
      <c r="L40">
        <v>112.7951363307851</v>
      </c>
      <c r="M40">
        <v>1114.402222187033</v>
      </c>
      <c r="N40">
        <v>119.62361739199672</v>
      </c>
      <c r="O40">
        <v>422.6736783605748</v>
      </c>
      <c r="P40">
        <v>150.67415791447536</v>
      </c>
      <c r="Q40">
        <v>861.30832407506205</v>
      </c>
      <c r="R40">
        <v>376.81154024137209</v>
      </c>
      <c r="S40">
        <v>583.10119817474106</v>
      </c>
      <c r="T40">
        <f t="shared" si="2"/>
        <v>42.906814405933574</v>
      </c>
      <c r="U40">
        <f t="shared" si="3"/>
        <v>837.46010613967792</v>
      </c>
      <c r="V40">
        <f t="shared" si="4"/>
        <v>758.42225099943937</v>
      </c>
      <c r="W40">
        <f t="shared" si="5"/>
        <v>409.80635624354926</v>
      </c>
      <c r="X40">
        <f t="shared" si="6"/>
        <v>213.25793700970246</v>
      </c>
      <c r="Y40">
        <f t="shared" si="7"/>
        <v>959.24188447570702</v>
      </c>
      <c r="Z40">
        <f t="shared" si="8"/>
        <v>290.4486450358782</v>
      </c>
      <c r="AA40">
        <f t="shared" si="9"/>
        <v>272.82442772984973</v>
      </c>
      <c r="AB40">
        <f t="shared" si="10"/>
        <v>233.51301995035234</v>
      </c>
      <c r="AC40">
        <f t="shared" si="11"/>
        <v>90.609623528163993</v>
      </c>
      <c r="AD40">
        <f t="shared" si="12"/>
        <v>1050.2554800440541</v>
      </c>
      <c r="AE40">
        <f t="shared" si="13"/>
        <v>125.49746779625559</v>
      </c>
      <c r="AF40">
        <f t="shared" si="14"/>
        <v>439.35899242815253</v>
      </c>
      <c r="AG40">
        <f t="shared" si="15"/>
        <v>170.98084907239544</v>
      </c>
      <c r="AH40">
        <f t="shared" si="16"/>
        <v>840.07977224777096</v>
      </c>
      <c r="AI40">
        <f t="shared" si="17"/>
        <v>326.81947580974662</v>
      </c>
      <c r="AJ40">
        <f t="shared" si="17"/>
        <v>563.86117775506443</v>
      </c>
    </row>
    <row r="41" spans="1:36" x14ac:dyDescent="0.25">
      <c r="A41" s="8">
        <v>37712</v>
      </c>
      <c r="B41" s="9">
        <f t="shared" si="0"/>
        <v>4</v>
      </c>
      <c r="C41">
        <v>39.991744383025392</v>
      </c>
      <c r="D41">
        <v>720.19452437290624</v>
      </c>
      <c r="E41">
        <v>806.9141637532681</v>
      </c>
      <c r="F41">
        <v>386.55611674265833</v>
      </c>
      <c r="G41">
        <v>226.11261783089211</v>
      </c>
      <c r="H41">
        <v>1015.1855961055363</v>
      </c>
      <c r="I41">
        <v>269.55944871869406</v>
      </c>
      <c r="J41">
        <v>278.09225215704134</v>
      </c>
      <c r="K41">
        <v>234.92035321154478</v>
      </c>
      <c r="L41">
        <v>86.125110304171756</v>
      </c>
      <c r="M41">
        <v>1145.0898676064332</v>
      </c>
      <c r="N41">
        <v>165.68077843895199</v>
      </c>
      <c r="O41">
        <v>509.11674289526678</v>
      </c>
      <c r="P41">
        <v>169.75162267317913</v>
      </c>
      <c r="Q41">
        <v>866.17169418375374</v>
      </c>
      <c r="R41">
        <v>344.8635972050684</v>
      </c>
      <c r="S41">
        <v>531.49095735057108</v>
      </c>
      <c r="T41" t="str">
        <f t="shared" si="2"/>
        <v/>
      </c>
      <c r="U41" t="str">
        <f t="shared" si="3"/>
        <v/>
      </c>
      <c r="V41" t="str">
        <f t="shared" si="4"/>
        <v/>
      </c>
      <c r="W41" t="str">
        <f t="shared" si="5"/>
        <v/>
      </c>
      <c r="X41" t="str">
        <f t="shared" si="6"/>
        <v/>
      </c>
      <c r="Y41" t="str">
        <f t="shared" si="7"/>
        <v/>
      </c>
      <c r="Z41" t="str">
        <f t="shared" si="8"/>
        <v/>
      </c>
      <c r="AA41" t="str">
        <f t="shared" si="9"/>
        <v/>
      </c>
      <c r="AB41" t="str">
        <f t="shared" si="10"/>
        <v/>
      </c>
      <c r="AC41" t="str">
        <f t="shared" si="11"/>
        <v/>
      </c>
      <c r="AD41" t="str">
        <f t="shared" si="12"/>
        <v/>
      </c>
      <c r="AE41" t="str">
        <f t="shared" si="13"/>
        <v/>
      </c>
      <c r="AF41" t="str">
        <f t="shared" si="14"/>
        <v/>
      </c>
      <c r="AG41" t="str">
        <f t="shared" si="15"/>
        <v/>
      </c>
      <c r="AH41" t="str">
        <f t="shared" si="16"/>
        <v/>
      </c>
      <c r="AI41" t="str">
        <f t="shared" si="17"/>
        <v/>
      </c>
      <c r="AJ41" t="str">
        <f t="shared" si="17"/>
        <v/>
      </c>
    </row>
    <row r="42" spans="1:36" x14ac:dyDescent="0.25">
      <c r="A42" s="8">
        <v>37742</v>
      </c>
      <c r="B42" s="9">
        <f t="shared" si="0"/>
        <v>5</v>
      </c>
      <c r="C42">
        <v>41.856076081893988</v>
      </c>
      <c r="D42">
        <v>778.32018915883839</v>
      </c>
      <c r="E42">
        <v>777.50666881895029</v>
      </c>
      <c r="F42">
        <v>391.24864016006836</v>
      </c>
      <c r="G42">
        <v>231.21396645849035</v>
      </c>
      <c r="H42">
        <v>1051.268110095479</v>
      </c>
      <c r="I42">
        <v>270.95554565624843</v>
      </c>
      <c r="J42">
        <v>245.8617494526635</v>
      </c>
      <c r="K42">
        <v>234.35236554978087</v>
      </c>
      <c r="L42">
        <v>90.376864178096753</v>
      </c>
      <c r="M42">
        <v>1133.5616524377019</v>
      </c>
      <c r="N42">
        <v>176.23032840308957</v>
      </c>
      <c r="O42">
        <v>460.4519067060279</v>
      </c>
      <c r="P42">
        <v>138.49597198921339</v>
      </c>
      <c r="Q42">
        <v>829.14470985743696</v>
      </c>
      <c r="R42">
        <v>355.54626613764731</v>
      </c>
      <c r="S42">
        <v>539.55947546953144</v>
      </c>
      <c r="T42" t="str">
        <f t="shared" si="2"/>
        <v/>
      </c>
      <c r="U42" t="str">
        <f t="shared" si="3"/>
        <v/>
      </c>
      <c r="V42" t="str">
        <f t="shared" si="4"/>
        <v/>
      </c>
      <c r="W42" t="str">
        <f t="shared" si="5"/>
        <v/>
      </c>
      <c r="X42" t="str">
        <f t="shared" si="6"/>
        <v/>
      </c>
      <c r="Y42" t="str">
        <f t="shared" si="7"/>
        <v/>
      </c>
      <c r="Z42" t="str">
        <f t="shared" si="8"/>
        <v/>
      </c>
      <c r="AA42" t="str">
        <f t="shared" si="9"/>
        <v/>
      </c>
      <c r="AB42" t="str">
        <f t="shared" si="10"/>
        <v/>
      </c>
      <c r="AC42" t="str">
        <f t="shared" si="11"/>
        <v/>
      </c>
      <c r="AD42" t="str">
        <f t="shared" si="12"/>
        <v/>
      </c>
      <c r="AE42" t="str">
        <f t="shared" si="13"/>
        <v/>
      </c>
      <c r="AF42" t="str">
        <f t="shared" si="14"/>
        <v/>
      </c>
      <c r="AG42" t="str">
        <f t="shared" si="15"/>
        <v/>
      </c>
      <c r="AH42" t="str">
        <f t="shared" si="16"/>
        <v/>
      </c>
      <c r="AI42" t="str">
        <f t="shared" si="17"/>
        <v/>
      </c>
      <c r="AJ42" t="str">
        <f t="shared" si="17"/>
        <v/>
      </c>
    </row>
    <row r="43" spans="1:36" x14ac:dyDescent="0.25">
      <c r="A43" s="8">
        <v>37773</v>
      </c>
      <c r="B43" s="9">
        <f t="shared" si="0"/>
        <v>6</v>
      </c>
      <c r="C43">
        <v>32.123094547064504</v>
      </c>
      <c r="D43">
        <v>819.40443354329079</v>
      </c>
      <c r="E43">
        <v>816.88049429323348</v>
      </c>
      <c r="F43">
        <v>446.65644648584805</v>
      </c>
      <c r="G43">
        <v>281.99783736674686</v>
      </c>
      <c r="H43">
        <v>1109.5856451180102</v>
      </c>
      <c r="I43">
        <v>294.94427480146368</v>
      </c>
      <c r="J43">
        <v>243.93387362913435</v>
      </c>
      <c r="K43">
        <v>224.19020168736154</v>
      </c>
      <c r="L43">
        <v>117.19284555256273</v>
      </c>
      <c r="M43">
        <v>1107.1207462169216</v>
      </c>
      <c r="N43">
        <v>151.00951381049649</v>
      </c>
      <c r="O43">
        <v>541.537008639291</v>
      </c>
      <c r="P43">
        <v>120.17052153295303</v>
      </c>
      <c r="Q43">
        <v>867.87779418504624</v>
      </c>
      <c r="R43">
        <v>346.29446954105396</v>
      </c>
      <c r="S43">
        <v>590.42708175245116</v>
      </c>
      <c r="T43">
        <f t="shared" si="2"/>
        <v>37.990305003994628</v>
      </c>
      <c r="U43">
        <f t="shared" si="3"/>
        <v>772.63971569167859</v>
      </c>
      <c r="V43">
        <f t="shared" si="4"/>
        <v>800.43377562181729</v>
      </c>
      <c r="W43">
        <f t="shared" si="5"/>
        <v>408.15373446285821</v>
      </c>
      <c r="X43">
        <f t="shared" si="6"/>
        <v>246.44147388537644</v>
      </c>
      <c r="Y43">
        <f t="shared" si="7"/>
        <v>1058.6797837730085</v>
      </c>
      <c r="Z43">
        <f t="shared" si="8"/>
        <v>278.48642305880207</v>
      </c>
      <c r="AA43">
        <f t="shared" si="9"/>
        <v>255.96262507961308</v>
      </c>
      <c r="AB43">
        <f t="shared" si="10"/>
        <v>231.15430681622908</v>
      </c>
      <c r="AC43">
        <f t="shared" si="11"/>
        <v>97.898273344943746</v>
      </c>
      <c r="AD43">
        <f t="shared" si="12"/>
        <v>1128.5907554203523</v>
      </c>
      <c r="AE43">
        <f t="shared" si="13"/>
        <v>164.30687355084603</v>
      </c>
      <c r="AF43">
        <f t="shared" si="14"/>
        <v>503.70188608019527</v>
      </c>
      <c r="AG43">
        <f t="shared" si="15"/>
        <v>142.80603873178185</v>
      </c>
      <c r="AH43">
        <f t="shared" si="16"/>
        <v>854.39806607541232</v>
      </c>
      <c r="AI43">
        <f t="shared" si="17"/>
        <v>348.90144429458991</v>
      </c>
      <c r="AJ43">
        <f t="shared" si="17"/>
        <v>553.82583819085119</v>
      </c>
    </row>
    <row r="44" spans="1:36" x14ac:dyDescent="0.25">
      <c r="A44" s="8">
        <v>37803</v>
      </c>
      <c r="B44" s="9">
        <f t="shared" si="0"/>
        <v>7</v>
      </c>
      <c r="C44">
        <v>42.210742490995671</v>
      </c>
      <c r="D44">
        <v>816.36065878360421</v>
      </c>
      <c r="E44">
        <v>762.07461905913237</v>
      </c>
      <c r="F44">
        <v>407.89876798943561</v>
      </c>
      <c r="G44">
        <v>240.17421427498024</v>
      </c>
      <c r="H44">
        <v>1113.7950963675371</v>
      </c>
      <c r="I44">
        <v>274.87070227710507</v>
      </c>
      <c r="J44">
        <v>224.93678116168726</v>
      </c>
      <c r="K44">
        <v>184.38008363327526</v>
      </c>
      <c r="L44">
        <v>97.196650144486711</v>
      </c>
      <c r="M44">
        <v>1030.7746890527746</v>
      </c>
      <c r="N44">
        <v>128.7961027908479</v>
      </c>
      <c r="O44">
        <v>486.12415448807064</v>
      </c>
      <c r="P44">
        <v>138.08280000712995</v>
      </c>
      <c r="Q44">
        <v>860.43112287233009</v>
      </c>
      <c r="R44">
        <v>398.3649625496102</v>
      </c>
      <c r="S44">
        <v>558.66827454041425</v>
      </c>
      <c r="T44" t="str">
        <f t="shared" si="2"/>
        <v/>
      </c>
      <c r="U44" t="str">
        <f t="shared" si="3"/>
        <v/>
      </c>
      <c r="V44" t="str">
        <f t="shared" si="4"/>
        <v/>
      </c>
      <c r="W44" t="str">
        <f t="shared" si="5"/>
        <v/>
      </c>
      <c r="X44" t="str">
        <f t="shared" si="6"/>
        <v/>
      </c>
      <c r="Y44" t="str">
        <f t="shared" si="7"/>
        <v/>
      </c>
      <c r="Z44" t="str">
        <f t="shared" si="8"/>
        <v/>
      </c>
      <c r="AA44" t="str">
        <f t="shared" si="9"/>
        <v/>
      </c>
      <c r="AB44" t="str">
        <f t="shared" si="10"/>
        <v/>
      </c>
      <c r="AC44" t="str">
        <f t="shared" si="11"/>
        <v/>
      </c>
      <c r="AD44" t="str">
        <f t="shared" si="12"/>
        <v/>
      </c>
      <c r="AE44" t="str">
        <f t="shared" si="13"/>
        <v/>
      </c>
      <c r="AF44" t="str">
        <f t="shared" si="14"/>
        <v/>
      </c>
      <c r="AG44" t="str">
        <f t="shared" si="15"/>
        <v/>
      </c>
      <c r="AH44" t="str">
        <f t="shared" si="16"/>
        <v/>
      </c>
      <c r="AI44" t="str">
        <f t="shared" si="17"/>
        <v/>
      </c>
      <c r="AJ44" t="str">
        <f t="shared" si="17"/>
        <v/>
      </c>
    </row>
    <row r="45" spans="1:36" x14ac:dyDescent="0.25">
      <c r="A45" s="8">
        <v>37834</v>
      </c>
      <c r="B45" s="9">
        <f t="shared" si="0"/>
        <v>8</v>
      </c>
      <c r="C45">
        <v>21.371470054393004</v>
      </c>
      <c r="D45">
        <v>782.4736809758474</v>
      </c>
      <c r="E45">
        <v>781.31597878344246</v>
      </c>
      <c r="F45">
        <v>454.32758463562021</v>
      </c>
      <c r="G45">
        <v>216.71181079282465</v>
      </c>
      <c r="H45">
        <v>954.13840226165746</v>
      </c>
      <c r="I45">
        <v>268.63186986312076</v>
      </c>
      <c r="J45">
        <v>218.38876142034627</v>
      </c>
      <c r="K45">
        <v>231.55501679257065</v>
      </c>
      <c r="L45">
        <v>100.14274261826148</v>
      </c>
      <c r="M45">
        <v>915.58494333569729</v>
      </c>
      <c r="N45">
        <v>149.61942982435173</v>
      </c>
      <c r="O45">
        <v>517.70410551725104</v>
      </c>
      <c r="P45">
        <v>143.77120203083109</v>
      </c>
      <c r="Q45">
        <v>932.69685100444917</v>
      </c>
      <c r="R45">
        <v>354.5837961060347</v>
      </c>
      <c r="S45">
        <v>576.46722572992473</v>
      </c>
      <c r="T45" t="str">
        <f t="shared" si="2"/>
        <v/>
      </c>
      <c r="U45" t="str">
        <f t="shared" si="3"/>
        <v/>
      </c>
      <c r="V45" t="str">
        <f t="shared" si="4"/>
        <v/>
      </c>
      <c r="W45" t="str">
        <f t="shared" si="5"/>
        <v/>
      </c>
      <c r="X45" t="str">
        <f t="shared" si="6"/>
        <v/>
      </c>
      <c r="Y45" t="str">
        <f t="shared" si="7"/>
        <v/>
      </c>
      <c r="Z45" t="str">
        <f t="shared" si="8"/>
        <v/>
      </c>
      <c r="AA45" t="str">
        <f t="shared" si="9"/>
        <v/>
      </c>
      <c r="AB45" t="str">
        <f t="shared" si="10"/>
        <v/>
      </c>
      <c r="AC45" t="str">
        <f t="shared" si="11"/>
        <v/>
      </c>
      <c r="AD45" t="str">
        <f t="shared" si="12"/>
        <v/>
      </c>
      <c r="AE45" t="str">
        <f t="shared" si="13"/>
        <v/>
      </c>
      <c r="AF45" t="str">
        <f t="shared" si="14"/>
        <v/>
      </c>
      <c r="AG45" t="str">
        <f t="shared" si="15"/>
        <v/>
      </c>
      <c r="AH45" t="str">
        <f t="shared" si="16"/>
        <v/>
      </c>
      <c r="AI45" t="str">
        <f t="shared" si="17"/>
        <v/>
      </c>
      <c r="AJ45" t="str">
        <f t="shared" si="17"/>
        <v/>
      </c>
    </row>
    <row r="46" spans="1:36" x14ac:dyDescent="0.25">
      <c r="A46" s="8">
        <v>37865</v>
      </c>
      <c r="B46" s="9">
        <f t="shared" si="0"/>
        <v>9</v>
      </c>
      <c r="C46">
        <v>29.288599496184997</v>
      </c>
      <c r="D46">
        <v>817.16039025590146</v>
      </c>
      <c r="E46">
        <v>832.21081495873841</v>
      </c>
      <c r="F46">
        <v>407.81888659178736</v>
      </c>
      <c r="G46">
        <v>217.83917056207707</v>
      </c>
      <c r="H46">
        <v>1033.6203734481373</v>
      </c>
      <c r="I46">
        <v>273.95884435041523</v>
      </c>
      <c r="J46">
        <v>236.85638761781937</v>
      </c>
      <c r="K46">
        <v>197.73079653752856</v>
      </c>
      <c r="L46">
        <v>118.6565453509279</v>
      </c>
      <c r="M46">
        <v>1006.8649246222956</v>
      </c>
      <c r="N46">
        <v>133.14610948891149</v>
      </c>
      <c r="O46">
        <v>496.03549825949801</v>
      </c>
      <c r="P46">
        <v>184.50421401989121</v>
      </c>
      <c r="Q46">
        <v>851.80232993011066</v>
      </c>
      <c r="R46">
        <v>335.56785170237816</v>
      </c>
      <c r="S46">
        <v>540.96907398138535</v>
      </c>
      <c r="T46">
        <f t="shared" si="2"/>
        <v>30.956937347191225</v>
      </c>
      <c r="U46">
        <f t="shared" si="3"/>
        <v>805.33157667178432</v>
      </c>
      <c r="V46">
        <f t="shared" si="4"/>
        <v>791.86713760043767</v>
      </c>
      <c r="W46">
        <f t="shared" si="5"/>
        <v>423.34841307228106</v>
      </c>
      <c r="X46">
        <f t="shared" si="6"/>
        <v>224.90839854329397</v>
      </c>
      <c r="Y46">
        <f t="shared" si="7"/>
        <v>1033.8512906924441</v>
      </c>
      <c r="Z46">
        <f t="shared" si="8"/>
        <v>272.48713883021367</v>
      </c>
      <c r="AA46">
        <f t="shared" si="9"/>
        <v>226.72731006661763</v>
      </c>
      <c r="AB46">
        <f t="shared" si="10"/>
        <v>204.5552989877915</v>
      </c>
      <c r="AC46">
        <f t="shared" si="11"/>
        <v>105.33197937122536</v>
      </c>
      <c r="AD46">
        <f t="shared" si="12"/>
        <v>984.40818567025588</v>
      </c>
      <c r="AE46">
        <f t="shared" si="13"/>
        <v>137.18721403470371</v>
      </c>
      <c r="AF46">
        <f t="shared" si="14"/>
        <v>499.95458608827329</v>
      </c>
      <c r="AG46">
        <f t="shared" si="15"/>
        <v>155.45273868595075</v>
      </c>
      <c r="AH46">
        <f t="shared" si="16"/>
        <v>881.64343460229668</v>
      </c>
      <c r="AI46">
        <f t="shared" si="17"/>
        <v>362.83887011934104</v>
      </c>
      <c r="AJ46">
        <f t="shared" si="17"/>
        <v>558.70152475057478</v>
      </c>
    </row>
    <row r="47" spans="1:36" x14ac:dyDescent="0.25">
      <c r="A47" s="8">
        <v>37895</v>
      </c>
      <c r="B47" s="9">
        <f t="shared" si="0"/>
        <v>10</v>
      </c>
      <c r="C47">
        <v>34.10798146168522</v>
      </c>
      <c r="D47">
        <v>776.35746238262004</v>
      </c>
      <c r="E47">
        <v>723.89063729616214</v>
      </c>
      <c r="F47">
        <v>369.44863583139698</v>
      </c>
      <c r="G47">
        <v>221.8700135711054</v>
      </c>
      <c r="H47">
        <v>1025.0055701978029</v>
      </c>
      <c r="I47">
        <v>275.51652638412895</v>
      </c>
      <c r="J47">
        <v>194.80192771864566</v>
      </c>
      <c r="K47">
        <v>190.02494263311084</v>
      </c>
      <c r="L47">
        <v>118.37848244143817</v>
      </c>
      <c r="M47">
        <v>1047.5870099141032</v>
      </c>
      <c r="N47">
        <v>120.36891022064883</v>
      </c>
      <c r="O47">
        <v>535.38804082112108</v>
      </c>
      <c r="P47">
        <v>139.79276251413</v>
      </c>
      <c r="Q47">
        <v>842.06920755131375</v>
      </c>
      <c r="R47">
        <v>391.04129799446105</v>
      </c>
      <c r="S47">
        <v>521.97633650607827</v>
      </c>
      <c r="T47" t="str">
        <f t="shared" si="2"/>
        <v/>
      </c>
      <c r="U47" t="str">
        <f t="shared" si="3"/>
        <v/>
      </c>
      <c r="V47" t="str">
        <f t="shared" si="4"/>
        <v/>
      </c>
      <c r="W47" t="str">
        <f t="shared" si="5"/>
        <v/>
      </c>
      <c r="X47" t="str">
        <f t="shared" si="6"/>
        <v/>
      </c>
      <c r="Y47" t="str">
        <f t="shared" si="7"/>
        <v/>
      </c>
      <c r="Z47" t="str">
        <f t="shared" si="8"/>
        <v/>
      </c>
      <c r="AA47" t="str">
        <f t="shared" si="9"/>
        <v/>
      </c>
      <c r="AB47" t="str">
        <f t="shared" si="10"/>
        <v/>
      </c>
      <c r="AC47" t="str">
        <f t="shared" si="11"/>
        <v/>
      </c>
      <c r="AD47" t="str">
        <f t="shared" si="12"/>
        <v/>
      </c>
      <c r="AE47" t="str">
        <f t="shared" si="13"/>
        <v/>
      </c>
      <c r="AF47" t="str">
        <f t="shared" si="14"/>
        <v/>
      </c>
      <c r="AG47" t="str">
        <f t="shared" si="15"/>
        <v/>
      </c>
      <c r="AH47" t="str">
        <f t="shared" si="16"/>
        <v/>
      </c>
      <c r="AI47" t="str">
        <f t="shared" si="17"/>
        <v/>
      </c>
      <c r="AJ47" t="str">
        <f t="shared" si="17"/>
        <v/>
      </c>
    </row>
    <row r="48" spans="1:36" x14ac:dyDescent="0.25">
      <c r="A48" s="8">
        <v>37926</v>
      </c>
      <c r="B48" s="9">
        <f t="shared" si="0"/>
        <v>11</v>
      </c>
      <c r="C48">
        <v>37.218231069599895</v>
      </c>
      <c r="D48">
        <v>749.42277296403483</v>
      </c>
      <c r="E48">
        <v>704.33008489836925</v>
      </c>
      <c r="F48">
        <v>356.27837302311559</v>
      </c>
      <c r="G48">
        <v>236.68941380066258</v>
      </c>
      <c r="H48">
        <v>979.36397500027067</v>
      </c>
      <c r="I48">
        <v>302.03369214428909</v>
      </c>
      <c r="J48">
        <v>259.50019861593086</v>
      </c>
      <c r="K48">
        <v>198.09944337687267</v>
      </c>
      <c r="L48">
        <v>121.96905701843589</v>
      </c>
      <c r="M48">
        <v>996.81903898031896</v>
      </c>
      <c r="N48">
        <v>136.1947004111415</v>
      </c>
      <c r="O48">
        <v>549.28781057428739</v>
      </c>
      <c r="P48">
        <v>151.55899230383199</v>
      </c>
      <c r="Q48">
        <v>841.27770957326084</v>
      </c>
      <c r="R48">
        <v>356.52459649155264</v>
      </c>
      <c r="S48">
        <v>583.9425784820686</v>
      </c>
      <c r="T48" t="str">
        <f t="shared" si="2"/>
        <v/>
      </c>
      <c r="U48" t="str">
        <f t="shared" si="3"/>
        <v/>
      </c>
      <c r="V48" t="str">
        <f t="shared" si="4"/>
        <v/>
      </c>
      <c r="W48" t="str">
        <f t="shared" si="5"/>
        <v/>
      </c>
      <c r="X48" t="str">
        <f t="shared" si="6"/>
        <v/>
      </c>
      <c r="Y48" t="str">
        <f t="shared" si="7"/>
        <v/>
      </c>
      <c r="Z48" t="str">
        <f t="shared" si="8"/>
        <v/>
      </c>
      <c r="AA48" t="str">
        <f t="shared" si="9"/>
        <v/>
      </c>
      <c r="AB48" t="str">
        <f t="shared" si="10"/>
        <v/>
      </c>
      <c r="AC48" t="str">
        <f t="shared" si="11"/>
        <v/>
      </c>
      <c r="AD48" t="str">
        <f t="shared" si="12"/>
        <v/>
      </c>
      <c r="AE48" t="str">
        <f t="shared" si="13"/>
        <v/>
      </c>
      <c r="AF48" t="str">
        <f t="shared" si="14"/>
        <v/>
      </c>
      <c r="AG48" t="str">
        <f t="shared" si="15"/>
        <v/>
      </c>
      <c r="AH48" t="str">
        <f t="shared" si="16"/>
        <v/>
      </c>
      <c r="AI48" t="str">
        <f t="shared" si="17"/>
        <v/>
      </c>
      <c r="AJ48" t="str">
        <f t="shared" si="17"/>
        <v/>
      </c>
    </row>
    <row r="49" spans="1:36" x14ac:dyDescent="0.25">
      <c r="A49" s="8">
        <v>37956</v>
      </c>
      <c r="B49" s="9">
        <f t="shared" si="0"/>
        <v>12</v>
      </c>
      <c r="C49">
        <v>30.793823005992753</v>
      </c>
      <c r="D49">
        <v>727.83266500199454</v>
      </c>
      <c r="E49">
        <v>653.87362884070114</v>
      </c>
      <c r="F49">
        <v>387.89558817445391</v>
      </c>
      <c r="G49">
        <v>206.14882681879789</v>
      </c>
      <c r="H49">
        <v>946.06603627499794</v>
      </c>
      <c r="I49">
        <v>287.99577970154547</v>
      </c>
      <c r="J49">
        <v>224.26108335143601</v>
      </c>
      <c r="K49">
        <v>211.98119680016293</v>
      </c>
      <c r="L49">
        <v>90.703989036597591</v>
      </c>
      <c r="M49">
        <v>950.72105165514301</v>
      </c>
      <c r="N49">
        <v>158.59707630872933</v>
      </c>
      <c r="O49">
        <v>517.07575057179236</v>
      </c>
      <c r="P49">
        <v>144.61173074058271</v>
      </c>
      <c r="Q49">
        <v>784.84942021187067</v>
      </c>
      <c r="R49">
        <v>298.50029641143391</v>
      </c>
      <c r="S49">
        <v>578.81924001552522</v>
      </c>
      <c r="T49">
        <f t="shared" si="2"/>
        <v>34.040011845759288</v>
      </c>
      <c r="U49">
        <f t="shared" si="3"/>
        <v>751.20430011621647</v>
      </c>
      <c r="V49">
        <f t="shared" si="4"/>
        <v>694.03145034507759</v>
      </c>
      <c r="W49">
        <f t="shared" si="5"/>
        <v>371.20753234298883</v>
      </c>
      <c r="X49">
        <f t="shared" si="6"/>
        <v>221.56941806352197</v>
      </c>
      <c r="Y49">
        <f t="shared" si="7"/>
        <v>983.47852715769056</v>
      </c>
      <c r="Z49">
        <f t="shared" si="8"/>
        <v>288.51533274332115</v>
      </c>
      <c r="AA49">
        <f t="shared" si="9"/>
        <v>226.18773656200418</v>
      </c>
      <c r="AB49">
        <f t="shared" si="10"/>
        <v>200.03519427004881</v>
      </c>
      <c r="AC49">
        <f t="shared" si="11"/>
        <v>110.35050949882388</v>
      </c>
      <c r="AD49">
        <f t="shared" si="12"/>
        <v>998.37570018318831</v>
      </c>
      <c r="AE49">
        <f t="shared" si="13"/>
        <v>138.38689564683989</v>
      </c>
      <c r="AF49">
        <f t="shared" si="14"/>
        <v>533.91720065573361</v>
      </c>
      <c r="AG49">
        <f t="shared" si="15"/>
        <v>145.32116185284823</v>
      </c>
      <c r="AH49">
        <f t="shared" si="16"/>
        <v>822.73211244548168</v>
      </c>
      <c r="AI49">
        <f t="shared" si="17"/>
        <v>348.6887302991492</v>
      </c>
      <c r="AJ49">
        <f t="shared" si="17"/>
        <v>561.57938500122407</v>
      </c>
    </row>
    <row r="50" spans="1:36" x14ac:dyDescent="0.25">
      <c r="A50" s="8">
        <v>37987</v>
      </c>
      <c r="B50" s="9">
        <f t="shared" si="0"/>
        <v>1</v>
      </c>
      <c r="C50">
        <v>26.115636818478169</v>
      </c>
      <c r="D50">
        <v>733.24810099310525</v>
      </c>
      <c r="E50">
        <v>637.45363275871171</v>
      </c>
      <c r="F50">
        <v>381.99304982409404</v>
      </c>
      <c r="G50">
        <v>181.49071288495131</v>
      </c>
      <c r="H50">
        <v>1077.554224968532</v>
      </c>
      <c r="I50">
        <v>216.31355283865253</v>
      </c>
      <c r="J50">
        <v>226.26984499905606</v>
      </c>
      <c r="K50">
        <v>289.23931390883132</v>
      </c>
      <c r="L50">
        <v>118.99403832849298</v>
      </c>
      <c r="M50">
        <v>956.17327098763815</v>
      </c>
      <c r="N50">
        <v>142.46531276262178</v>
      </c>
      <c r="O50">
        <v>517.65755120892243</v>
      </c>
      <c r="P50">
        <v>170.0829699993389</v>
      </c>
      <c r="Q50">
        <v>828.21476451976343</v>
      </c>
      <c r="R50">
        <v>310.67777732421928</v>
      </c>
      <c r="S50">
        <v>505.33733518214683</v>
      </c>
      <c r="T50" t="str">
        <f t="shared" si="2"/>
        <v/>
      </c>
      <c r="U50" t="str">
        <f t="shared" si="3"/>
        <v/>
      </c>
      <c r="V50" t="str">
        <f t="shared" si="4"/>
        <v/>
      </c>
      <c r="W50" t="str">
        <f t="shared" si="5"/>
        <v/>
      </c>
      <c r="X50" t="str">
        <f t="shared" si="6"/>
        <v/>
      </c>
      <c r="Y50" t="str">
        <f t="shared" si="7"/>
        <v/>
      </c>
      <c r="Z50" t="str">
        <f t="shared" si="8"/>
        <v/>
      </c>
      <c r="AA50" t="str">
        <f t="shared" si="9"/>
        <v/>
      </c>
      <c r="AB50" t="str">
        <f t="shared" si="10"/>
        <v/>
      </c>
      <c r="AC50" t="str">
        <f t="shared" si="11"/>
        <v/>
      </c>
      <c r="AD50" t="str">
        <f t="shared" si="12"/>
        <v/>
      </c>
      <c r="AE50" t="str">
        <f t="shared" si="13"/>
        <v/>
      </c>
      <c r="AF50" t="str">
        <f t="shared" si="14"/>
        <v/>
      </c>
      <c r="AG50" t="str">
        <f t="shared" si="15"/>
        <v/>
      </c>
      <c r="AH50" t="str">
        <f t="shared" si="16"/>
        <v/>
      </c>
      <c r="AI50" t="str">
        <f t="shared" si="17"/>
        <v/>
      </c>
      <c r="AJ50" t="str">
        <f t="shared" si="17"/>
        <v/>
      </c>
    </row>
    <row r="51" spans="1:36" x14ac:dyDescent="0.25">
      <c r="A51" s="8">
        <v>38018</v>
      </c>
      <c r="B51" s="9">
        <f t="shared" si="0"/>
        <v>2</v>
      </c>
      <c r="C51">
        <v>22.936144240760381</v>
      </c>
      <c r="D51">
        <v>754.13399592838198</v>
      </c>
      <c r="E51">
        <v>655.95250174067439</v>
      </c>
      <c r="F51">
        <v>364.25165066165107</v>
      </c>
      <c r="G51">
        <v>233.60294852552184</v>
      </c>
      <c r="H51">
        <v>1040.2861091919415</v>
      </c>
      <c r="I51">
        <v>262.77715317607533</v>
      </c>
      <c r="J51">
        <v>190.81786598671744</v>
      </c>
      <c r="K51">
        <v>257.83216438453314</v>
      </c>
      <c r="L51">
        <v>89.688106777946444</v>
      </c>
      <c r="M51">
        <v>881.68700981469567</v>
      </c>
      <c r="N51">
        <v>139.22263549950011</v>
      </c>
      <c r="O51">
        <v>488.07339841243379</v>
      </c>
      <c r="P51">
        <v>116.14201850156581</v>
      </c>
      <c r="Q51">
        <v>808.10590534665903</v>
      </c>
      <c r="R51">
        <v>343.1511956302441</v>
      </c>
      <c r="S51">
        <v>551.69119484259511</v>
      </c>
      <c r="T51" t="str">
        <f t="shared" si="2"/>
        <v/>
      </c>
      <c r="U51" t="str">
        <f t="shared" si="3"/>
        <v/>
      </c>
      <c r="V51" t="str">
        <f t="shared" si="4"/>
        <v/>
      </c>
      <c r="W51" t="str">
        <f t="shared" si="5"/>
        <v/>
      </c>
      <c r="X51" t="str">
        <f t="shared" si="6"/>
        <v/>
      </c>
      <c r="Y51" t="str">
        <f t="shared" si="7"/>
        <v/>
      </c>
      <c r="Z51" t="str">
        <f t="shared" si="8"/>
        <v/>
      </c>
      <c r="AA51" t="str">
        <f t="shared" si="9"/>
        <v/>
      </c>
      <c r="AB51" t="str">
        <f t="shared" si="10"/>
        <v/>
      </c>
      <c r="AC51" t="str">
        <f t="shared" si="11"/>
        <v/>
      </c>
      <c r="AD51" t="str">
        <f t="shared" si="12"/>
        <v/>
      </c>
      <c r="AE51" t="str">
        <f t="shared" si="13"/>
        <v/>
      </c>
      <c r="AF51" t="str">
        <f t="shared" si="14"/>
        <v/>
      </c>
      <c r="AG51" t="str">
        <f t="shared" si="15"/>
        <v/>
      </c>
      <c r="AH51" t="str">
        <f t="shared" si="16"/>
        <v/>
      </c>
      <c r="AI51" t="str">
        <f t="shared" si="17"/>
        <v/>
      </c>
      <c r="AJ51" t="str">
        <f t="shared" si="17"/>
        <v/>
      </c>
    </row>
    <row r="52" spans="1:36" x14ac:dyDescent="0.25">
      <c r="A52" s="8">
        <v>38047</v>
      </c>
      <c r="B52" s="9">
        <f t="shared" si="0"/>
        <v>3</v>
      </c>
      <c r="C52">
        <v>21.065530398561563</v>
      </c>
      <c r="D52">
        <v>797.66287643137741</v>
      </c>
      <c r="E52">
        <v>653.73573835144475</v>
      </c>
      <c r="F52">
        <v>377.86100656805638</v>
      </c>
      <c r="G52">
        <v>269.67395546265192</v>
      </c>
      <c r="H52">
        <v>1076.464839827172</v>
      </c>
      <c r="I52">
        <v>259.37844645679974</v>
      </c>
      <c r="J52">
        <v>218.23064743727846</v>
      </c>
      <c r="K52">
        <v>240.23000903369143</v>
      </c>
      <c r="L52">
        <v>93.837970560905248</v>
      </c>
      <c r="M52">
        <v>935.53598316373598</v>
      </c>
      <c r="N52">
        <v>106.46501947887707</v>
      </c>
      <c r="O52">
        <v>501.73494193881186</v>
      </c>
      <c r="P52">
        <v>160.96866559807307</v>
      </c>
      <c r="Q52">
        <v>854.40997365340831</v>
      </c>
      <c r="R52">
        <v>372.73790196849239</v>
      </c>
      <c r="S52">
        <v>587.53542781865542</v>
      </c>
      <c r="T52">
        <f t="shared" si="2"/>
        <v>23.372437152600039</v>
      </c>
      <c r="U52">
        <f t="shared" si="3"/>
        <v>761.68165778428818</v>
      </c>
      <c r="V52">
        <f t="shared" si="4"/>
        <v>649.04729095027699</v>
      </c>
      <c r="W52">
        <f t="shared" si="5"/>
        <v>374.70190235126717</v>
      </c>
      <c r="X52">
        <f t="shared" si="6"/>
        <v>228.25587229104167</v>
      </c>
      <c r="Y52">
        <f t="shared" si="7"/>
        <v>1064.7683913292151</v>
      </c>
      <c r="Z52">
        <f t="shared" si="8"/>
        <v>246.15638415717589</v>
      </c>
      <c r="AA52">
        <f t="shared" si="9"/>
        <v>211.77278614101729</v>
      </c>
      <c r="AB52">
        <f t="shared" si="10"/>
        <v>262.43382910901863</v>
      </c>
      <c r="AC52">
        <f t="shared" si="11"/>
        <v>100.84003855578156</v>
      </c>
      <c r="AD52">
        <f t="shared" si="12"/>
        <v>924.4654213220233</v>
      </c>
      <c r="AE52">
        <f t="shared" si="13"/>
        <v>129.38432258033299</v>
      </c>
      <c r="AF52">
        <f t="shared" si="14"/>
        <v>502.48863052005601</v>
      </c>
      <c r="AG52">
        <f t="shared" si="15"/>
        <v>149.06455136632593</v>
      </c>
      <c r="AH52">
        <f t="shared" si="16"/>
        <v>830.24354783994352</v>
      </c>
      <c r="AI52">
        <f t="shared" si="17"/>
        <v>342.18895830765194</v>
      </c>
      <c r="AJ52">
        <f t="shared" si="17"/>
        <v>548.18798594779912</v>
      </c>
    </row>
    <row r="53" spans="1:36" x14ac:dyDescent="0.25">
      <c r="A53" s="8">
        <v>38078</v>
      </c>
      <c r="B53" s="9">
        <f t="shared" si="0"/>
        <v>4</v>
      </c>
      <c r="C53">
        <v>33.163885585923495</v>
      </c>
      <c r="D53">
        <v>792.02739791787224</v>
      </c>
      <c r="E53">
        <v>603.92324145738962</v>
      </c>
      <c r="F53">
        <v>392.35445849379818</v>
      </c>
      <c r="G53">
        <v>224.03819014437016</v>
      </c>
      <c r="H53">
        <v>1065.7899645787522</v>
      </c>
      <c r="I53">
        <v>235.1266724225105</v>
      </c>
      <c r="J53">
        <v>174.32648642680203</v>
      </c>
      <c r="K53">
        <v>197.56899998125732</v>
      </c>
      <c r="L53">
        <v>112.46926169133017</v>
      </c>
      <c r="M53">
        <v>800.28585542754445</v>
      </c>
      <c r="N53">
        <v>130.94126037917172</v>
      </c>
      <c r="O53">
        <v>514.35456946826332</v>
      </c>
      <c r="P53">
        <v>162.23098116234206</v>
      </c>
      <c r="Q53">
        <v>809.68223586742192</v>
      </c>
      <c r="R53">
        <v>361.53374087661246</v>
      </c>
      <c r="S53">
        <v>523.03541939272111</v>
      </c>
      <c r="T53" t="str">
        <f t="shared" si="2"/>
        <v/>
      </c>
      <c r="U53" t="str">
        <f t="shared" si="3"/>
        <v/>
      </c>
      <c r="V53" t="str">
        <f t="shared" si="4"/>
        <v/>
      </c>
      <c r="W53" t="str">
        <f t="shared" si="5"/>
        <v/>
      </c>
      <c r="X53" t="str">
        <f t="shared" si="6"/>
        <v/>
      </c>
      <c r="Y53" t="str">
        <f t="shared" si="7"/>
        <v/>
      </c>
      <c r="Z53" t="str">
        <f t="shared" si="8"/>
        <v/>
      </c>
      <c r="AA53" t="str">
        <f t="shared" si="9"/>
        <v/>
      </c>
      <c r="AB53" t="str">
        <f t="shared" si="10"/>
        <v/>
      </c>
      <c r="AC53" t="str">
        <f t="shared" si="11"/>
        <v/>
      </c>
      <c r="AD53" t="str">
        <f t="shared" si="12"/>
        <v/>
      </c>
      <c r="AE53" t="str">
        <f t="shared" si="13"/>
        <v/>
      </c>
      <c r="AF53" t="str">
        <f t="shared" si="14"/>
        <v/>
      </c>
      <c r="AG53" t="str">
        <f t="shared" si="15"/>
        <v/>
      </c>
      <c r="AH53" t="str">
        <f t="shared" si="16"/>
        <v/>
      </c>
      <c r="AI53" t="str">
        <f t="shared" si="17"/>
        <v/>
      </c>
      <c r="AJ53" t="str">
        <f t="shared" si="17"/>
        <v/>
      </c>
    </row>
    <row r="54" spans="1:36" x14ac:dyDescent="0.25">
      <c r="A54" s="8">
        <v>38108</v>
      </c>
      <c r="B54" s="9">
        <f t="shared" si="0"/>
        <v>5</v>
      </c>
      <c r="C54">
        <v>23.020841845041691</v>
      </c>
      <c r="D54">
        <v>723.89220390297555</v>
      </c>
      <c r="E54">
        <v>566.39558655685119</v>
      </c>
      <c r="F54">
        <v>412.04920077617328</v>
      </c>
      <c r="G54">
        <v>250.13147280509412</v>
      </c>
      <c r="H54">
        <v>968.35407220089883</v>
      </c>
      <c r="I54">
        <v>239.69144423437362</v>
      </c>
      <c r="J54">
        <v>186.11048763349029</v>
      </c>
      <c r="K54">
        <v>217.32676634317286</v>
      </c>
      <c r="L54">
        <v>88.299235116531307</v>
      </c>
      <c r="M54">
        <v>840.16922474794376</v>
      </c>
      <c r="N54">
        <v>118.17798492913064</v>
      </c>
      <c r="O54">
        <v>468.67426218292127</v>
      </c>
      <c r="P54">
        <v>139.6128749891264</v>
      </c>
      <c r="Q54">
        <v>849.10005786844624</v>
      </c>
      <c r="R54">
        <v>325.1308038426863</v>
      </c>
      <c r="S54">
        <v>528.27162033418551</v>
      </c>
      <c r="T54" t="str">
        <f t="shared" si="2"/>
        <v/>
      </c>
      <c r="U54" t="str">
        <f t="shared" si="3"/>
        <v/>
      </c>
      <c r="V54" t="str">
        <f t="shared" si="4"/>
        <v/>
      </c>
      <c r="W54" t="str">
        <f t="shared" si="5"/>
        <v/>
      </c>
      <c r="X54" t="str">
        <f t="shared" si="6"/>
        <v/>
      </c>
      <c r="Y54" t="str">
        <f t="shared" si="7"/>
        <v/>
      </c>
      <c r="Z54" t="str">
        <f t="shared" si="8"/>
        <v/>
      </c>
      <c r="AA54" t="str">
        <f t="shared" si="9"/>
        <v/>
      </c>
      <c r="AB54" t="str">
        <f t="shared" si="10"/>
        <v/>
      </c>
      <c r="AC54" t="str">
        <f t="shared" si="11"/>
        <v/>
      </c>
      <c r="AD54" t="str">
        <f t="shared" si="12"/>
        <v/>
      </c>
      <c r="AE54" t="str">
        <f t="shared" si="13"/>
        <v/>
      </c>
      <c r="AF54" t="str">
        <f t="shared" si="14"/>
        <v/>
      </c>
      <c r="AG54" t="str">
        <f t="shared" si="15"/>
        <v/>
      </c>
      <c r="AH54" t="str">
        <f t="shared" si="16"/>
        <v/>
      </c>
      <c r="AI54" t="str">
        <f t="shared" si="17"/>
        <v/>
      </c>
      <c r="AJ54" t="str">
        <f t="shared" si="17"/>
        <v/>
      </c>
    </row>
    <row r="55" spans="1:36" x14ac:dyDescent="0.25">
      <c r="A55" s="8">
        <v>38139</v>
      </c>
      <c r="B55" s="9">
        <f t="shared" si="0"/>
        <v>6</v>
      </c>
      <c r="C55">
        <v>24.09232091029838</v>
      </c>
      <c r="D55">
        <v>770.93262198157493</v>
      </c>
      <c r="E55">
        <v>553.43653488366567</v>
      </c>
      <c r="F55">
        <v>429.07968817506236</v>
      </c>
      <c r="G55">
        <v>174.17513484416719</v>
      </c>
      <c r="H55">
        <v>968.26148377767856</v>
      </c>
      <c r="I55">
        <v>223.17450126644084</v>
      </c>
      <c r="J55">
        <v>175.55073750715945</v>
      </c>
      <c r="K55">
        <v>195.67478129730239</v>
      </c>
      <c r="L55">
        <v>122.60174611652717</v>
      </c>
      <c r="M55">
        <v>825.27132547671624</v>
      </c>
      <c r="N55">
        <v>134.85500768193174</v>
      </c>
      <c r="O55">
        <v>563.00334051328082</v>
      </c>
      <c r="P55">
        <v>226.75654932739835</v>
      </c>
      <c r="Q55">
        <v>904.15564410274919</v>
      </c>
      <c r="R55">
        <v>314.46238738268408</v>
      </c>
      <c r="S55">
        <v>486.43140258014444</v>
      </c>
      <c r="T55">
        <f t="shared" si="2"/>
        <v>26.759016113754523</v>
      </c>
      <c r="U55">
        <f t="shared" si="3"/>
        <v>762.28407460080746</v>
      </c>
      <c r="V55">
        <f t="shared" si="4"/>
        <v>574.58512096596883</v>
      </c>
      <c r="W55">
        <f t="shared" si="5"/>
        <v>411.16111581501127</v>
      </c>
      <c r="X55">
        <f t="shared" si="6"/>
        <v>216.11493259787713</v>
      </c>
      <c r="Y55">
        <f t="shared" si="7"/>
        <v>1000.8018401857765</v>
      </c>
      <c r="Z55">
        <f t="shared" si="8"/>
        <v>232.66420597444164</v>
      </c>
      <c r="AA55">
        <f t="shared" si="9"/>
        <v>178.66257052248389</v>
      </c>
      <c r="AB55">
        <f t="shared" si="10"/>
        <v>203.52351587391084</v>
      </c>
      <c r="AC55">
        <f t="shared" si="11"/>
        <v>107.79008097479623</v>
      </c>
      <c r="AD55">
        <f t="shared" si="12"/>
        <v>821.90880188406811</v>
      </c>
      <c r="AE55">
        <f t="shared" si="13"/>
        <v>127.99141766341137</v>
      </c>
      <c r="AF55">
        <f t="shared" si="14"/>
        <v>515.34405738815519</v>
      </c>
      <c r="AG55">
        <f t="shared" si="15"/>
        <v>176.20013515962228</v>
      </c>
      <c r="AH55">
        <f t="shared" si="16"/>
        <v>854.31264594620586</v>
      </c>
      <c r="AI55">
        <f t="shared" si="17"/>
        <v>333.70897736732763</v>
      </c>
      <c r="AJ55">
        <f t="shared" si="17"/>
        <v>512.5794807690171</v>
      </c>
    </row>
    <row r="56" spans="1:36" x14ac:dyDescent="0.25">
      <c r="A56" s="8">
        <v>38169</v>
      </c>
      <c r="B56" s="9">
        <f t="shared" si="0"/>
        <v>7</v>
      </c>
      <c r="C56">
        <v>27.486064877857647</v>
      </c>
      <c r="D56">
        <v>735.56868812112043</v>
      </c>
      <c r="E56">
        <v>624.72950623746146</v>
      </c>
      <c r="F56">
        <v>376.84048616282882</v>
      </c>
      <c r="G56">
        <v>169.59670393978868</v>
      </c>
      <c r="H56">
        <v>962.9186251598552</v>
      </c>
      <c r="I56">
        <v>219.70633988239192</v>
      </c>
      <c r="J56">
        <v>174.72767822381064</v>
      </c>
      <c r="K56">
        <v>204.09987867426727</v>
      </c>
      <c r="L56">
        <v>100.20273210771826</v>
      </c>
      <c r="M56">
        <v>797.56317762163758</v>
      </c>
      <c r="N56">
        <v>119.35555075382238</v>
      </c>
      <c r="O56">
        <v>525.43596974253001</v>
      </c>
      <c r="P56">
        <v>135.97466565587607</v>
      </c>
      <c r="Q56">
        <v>809.1343292702677</v>
      </c>
      <c r="R56">
        <v>340.33154825225955</v>
      </c>
      <c r="S56">
        <v>552.70119016615081</v>
      </c>
      <c r="T56" t="str">
        <f t="shared" si="2"/>
        <v/>
      </c>
      <c r="U56" t="str">
        <f t="shared" si="3"/>
        <v/>
      </c>
      <c r="V56" t="str">
        <f t="shared" si="4"/>
        <v/>
      </c>
      <c r="W56" t="str">
        <f t="shared" si="5"/>
        <v/>
      </c>
      <c r="X56" t="str">
        <f t="shared" si="6"/>
        <v/>
      </c>
      <c r="Y56" t="str">
        <f t="shared" si="7"/>
        <v/>
      </c>
      <c r="Z56" t="str">
        <f t="shared" si="8"/>
        <v/>
      </c>
      <c r="AA56" t="str">
        <f t="shared" si="9"/>
        <v/>
      </c>
      <c r="AB56" t="str">
        <f t="shared" si="10"/>
        <v/>
      </c>
      <c r="AC56" t="str">
        <f t="shared" si="11"/>
        <v/>
      </c>
      <c r="AD56" t="str">
        <f t="shared" si="12"/>
        <v/>
      </c>
      <c r="AE56" t="str">
        <f t="shared" si="13"/>
        <v/>
      </c>
      <c r="AF56" t="str">
        <f t="shared" si="14"/>
        <v/>
      </c>
      <c r="AG56" t="str">
        <f t="shared" si="15"/>
        <v/>
      </c>
      <c r="AH56" t="str">
        <f t="shared" si="16"/>
        <v/>
      </c>
      <c r="AI56" t="str">
        <f t="shared" si="17"/>
        <v/>
      </c>
      <c r="AJ56" t="str">
        <f t="shared" si="17"/>
        <v/>
      </c>
    </row>
    <row r="57" spans="1:36" x14ac:dyDescent="0.25">
      <c r="A57" s="8">
        <v>38200</v>
      </c>
      <c r="B57" s="9">
        <f t="shared" si="0"/>
        <v>8</v>
      </c>
      <c r="C57">
        <v>10.685735027196502</v>
      </c>
      <c r="D57">
        <v>677.74258829138785</v>
      </c>
      <c r="E57">
        <v>562.0903517577691</v>
      </c>
      <c r="F57">
        <v>314.05132578499092</v>
      </c>
      <c r="G57">
        <v>182.75696486215168</v>
      </c>
      <c r="H57">
        <v>905.62289028225121</v>
      </c>
      <c r="I57">
        <v>248.61616191253532</v>
      </c>
      <c r="J57">
        <v>186.21541710395596</v>
      </c>
      <c r="K57">
        <v>205.61316843821626</v>
      </c>
      <c r="L57">
        <v>96.176693405657062</v>
      </c>
      <c r="M57">
        <v>878.17171069087885</v>
      </c>
      <c r="N57">
        <v>135.89287662945705</v>
      </c>
      <c r="O57">
        <v>428.87295826060102</v>
      </c>
      <c r="P57">
        <v>174.7373070836255</v>
      </c>
      <c r="Q57">
        <v>863.7583881041204</v>
      </c>
      <c r="R57">
        <v>324.16373853125424</v>
      </c>
      <c r="S57">
        <v>523.07630146769009</v>
      </c>
      <c r="T57" t="str">
        <f t="shared" si="2"/>
        <v/>
      </c>
      <c r="U57" t="str">
        <f t="shared" si="3"/>
        <v/>
      </c>
      <c r="V57" t="str">
        <f t="shared" si="4"/>
        <v/>
      </c>
      <c r="W57" t="str">
        <f t="shared" si="5"/>
        <v/>
      </c>
      <c r="X57" t="str">
        <f t="shared" si="6"/>
        <v/>
      </c>
      <c r="Y57" t="str">
        <f t="shared" si="7"/>
        <v/>
      </c>
      <c r="Z57" t="str">
        <f t="shared" si="8"/>
        <v/>
      </c>
      <c r="AA57" t="str">
        <f t="shared" si="9"/>
        <v/>
      </c>
      <c r="AB57" t="str">
        <f t="shared" si="10"/>
        <v/>
      </c>
      <c r="AC57" t="str">
        <f t="shared" si="11"/>
        <v/>
      </c>
      <c r="AD57" t="str">
        <f t="shared" si="12"/>
        <v/>
      </c>
      <c r="AE57" t="str">
        <f t="shared" si="13"/>
        <v/>
      </c>
      <c r="AF57" t="str">
        <f t="shared" si="14"/>
        <v/>
      </c>
      <c r="AG57" t="str">
        <f t="shared" si="15"/>
        <v/>
      </c>
      <c r="AH57" t="str">
        <f t="shared" si="16"/>
        <v/>
      </c>
      <c r="AI57" t="str">
        <f t="shared" si="17"/>
        <v/>
      </c>
      <c r="AJ57" t="str">
        <f t="shared" si="17"/>
        <v/>
      </c>
    </row>
    <row r="58" spans="1:36" x14ac:dyDescent="0.25">
      <c r="A58" s="8">
        <v>38231</v>
      </c>
      <c r="B58" s="9">
        <f t="shared" si="0"/>
        <v>9</v>
      </c>
      <c r="C58">
        <v>9.3723518387791991</v>
      </c>
      <c r="D58">
        <v>754.76341478849054</v>
      </c>
      <c r="E58">
        <v>540.72580870415493</v>
      </c>
      <c r="F58">
        <v>358.16218278397906</v>
      </c>
      <c r="G58">
        <v>233.6103322317297</v>
      </c>
      <c r="H58">
        <v>913.64658010147843</v>
      </c>
      <c r="I58">
        <v>223.46446911720147</v>
      </c>
      <c r="J58">
        <v>170.00176208053162</v>
      </c>
      <c r="K58">
        <v>248.66145625174047</v>
      </c>
      <c r="L58">
        <v>138.61745952211203</v>
      </c>
      <c r="M58">
        <v>774.5114804786889</v>
      </c>
      <c r="N58">
        <v>102.49376773606856</v>
      </c>
      <c r="O58">
        <v>472.69265128258041</v>
      </c>
      <c r="P58">
        <v>141.69108148488883</v>
      </c>
      <c r="Q58">
        <v>765.12395213571494</v>
      </c>
      <c r="R58">
        <v>298.83409278821256</v>
      </c>
      <c r="S58">
        <v>552.64466550616339</v>
      </c>
      <c r="T58">
        <f t="shared" si="2"/>
        <v>15.848050581277784</v>
      </c>
      <c r="U58">
        <f t="shared" si="3"/>
        <v>722.69156373366638</v>
      </c>
      <c r="V58">
        <f t="shared" si="4"/>
        <v>575.84855556646187</v>
      </c>
      <c r="W58">
        <f t="shared" si="5"/>
        <v>349.68466491059962</v>
      </c>
      <c r="X58">
        <f t="shared" si="6"/>
        <v>195.32133367789001</v>
      </c>
      <c r="Y58">
        <f t="shared" si="7"/>
        <v>927.39603184786165</v>
      </c>
      <c r="Z58">
        <f t="shared" si="8"/>
        <v>230.59565697070957</v>
      </c>
      <c r="AA58">
        <f t="shared" si="9"/>
        <v>176.98161913609943</v>
      </c>
      <c r="AB58">
        <f t="shared" si="10"/>
        <v>219.45816778807466</v>
      </c>
      <c r="AC58">
        <f t="shared" si="11"/>
        <v>111.66562834516246</v>
      </c>
      <c r="AD58">
        <f t="shared" si="12"/>
        <v>816.74878959706848</v>
      </c>
      <c r="AE58">
        <f t="shared" si="13"/>
        <v>119.24739837311598</v>
      </c>
      <c r="AF58">
        <f t="shared" si="14"/>
        <v>475.66719309523722</v>
      </c>
      <c r="AG58">
        <f t="shared" si="15"/>
        <v>150.80101807479681</v>
      </c>
      <c r="AH58">
        <f t="shared" si="16"/>
        <v>812.6722231700345</v>
      </c>
      <c r="AI58">
        <f t="shared" si="17"/>
        <v>321.10979319057543</v>
      </c>
      <c r="AJ58">
        <f t="shared" si="17"/>
        <v>542.80738571333472</v>
      </c>
    </row>
    <row r="59" spans="1:36" x14ac:dyDescent="0.25">
      <c r="A59" s="8">
        <v>38261</v>
      </c>
      <c r="B59" s="9">
        <f t="shared" si="0"/>
        <v>10</v>
      </c>
      <c r="C59">
        <v>16.50386199758962</v>
      </c>
      <c r="D59">
        <v>757.27648020424544</v>
      </c>
      <c r="E59">
        <v>556.43130978109104</v>
      </c>
      <c r="F59">
        <v>371.51259469079031</v>
      </c>
      <c r="G59">
        <v>215.590673564376</v>
      </c>
      <c r="H59">
        <v>977.79446409862055</v>
      </c>
      <c r="I59">
        <v>232.06968953124709</v>
      </c>
      <c r="J59">
        <v>198.01294850521674</v>
      </c>
      <c r="K59">
        <v>251.38716369171956</v>
      </c>
      <c r="L59">
        <v>110.91317273792404</v>
      </c>
      <c r="M59">
        <v>806.86928475632601</v>
      </c>
      <c r="N59">
        <v>112.49430861742881</v>
      </c>
      <c r="O59">
        <v>427.70661155822637</v>
      </c>
      <c r="P59">
        <v>128.31723723311933</v>
      </c>
      <c r="Q59">
        <v>769.34983918956073</v>
      </c>
      <c r="R59">
        <v>310.35023650354054</v>
      </c>
      <c r="S59">
        <v>585.65744955981984</v>
      </c>
      <c r="T59" t="str">
        <f t="shared" si="2"/>
        <v/>
      </c>
      <c r="U59" t="str">
        <f t="shared" si="3"/>
        <v/>
      </c>
      <c r="V59" t="str">
        <f t="shared" si="4"/>
        <v/>
      </c>
      <c r="W59" t="str">
        <f t="shared" si="5"/>
        <v/>
      </c>
      <c r="X59" t="str">
        <f t="shared" si="6"/>
        <v/>
      </c>
      <c r="Y59" t="str">
        <f t="shared" si="7"/>
        <v/>
      </c>
      <c r="Z59" t="str">
        <f t="shared" si="8"/>
        <v/>
      </c>
      <c r="AA59" t="str">
        <f t="shared" si="9"/>
        <v/>
      </c>
      <c r="AB59" t="str">
        <f t="shared" si="10"/>
        <v/>
      </c>
      <c r="AC59" t="str">
        <f t="shared" si="11"/>
        <v/>
      </c>
      <c r="AD59" t="str">
        <f t="shared" si="12"/>
        <v/>
      </c>
      <c r="AE59" t="str">
        <f t="shared" si="13"/>
        <v/>
      </c>
      <c r="AF59" t="str">
        <f t="shared" si="14"/>
        <v/>
      </c>
      <c r="AG59" t="str">
        <f t="shared" si="15"/>
        <v/>
      </c>
      <c r="AH59" t="str">
        <f t="shared" si="16"/>
        <v/>
      </c>
      <c r="AI59" t="str">
        <f t="shared" si="17"/>
        <v/>
      </c>
      <c r="AJ59" t="str">
        <f t="shared" si="17"/>
        <v/>
      </c>
    </row>
    <row r="60" spans="1:36" x14ac:dyDescent="0.25">
      <c r="A60" s="8">
        <v>38292</v>
      </c>
      <c r="B60" s="9">
        <f t="shared" si="0"/>
        <v>11</v>
      </c>
      <c r="C60">
        <v>21.893077099764643</v>
      </c>
      <c r="D60">
        <v>754.85337276812197</v>
      </c>
      <c r="E60">
        <v>567.74509014239027</v>
      </c>
      <c r="F60">
        <v>361.47193531208228</v>
      </c>
      <c r="G60">
        <v>181.76149076675352</v>
      </c>
      <c r="H60">
        <v>919.68564790558605</v>
      </c>
      <c r="I60">
        <v>238.33204071022084</v>
      </c>
      <c r="J60">
        <v>188.8192106660664</v>
      </c>
      <c r="K60">
        <v>194.98793379503695</v>
      </c>
      <c r="L60">
        <v>102.81689104033438</v>
      </c>
      <c r="M60">
        <v>916.9052763616437</v>
      </c>
      <c r="N60">
        <v>104.41593698187515</v>
      </c>
      <c r="O60">
        <v>484.42725729614278</v>
      </c>
      <c r="P60">
        <v>108.52372288422538</v>
      </c>
      <c r="Q60">
        <v>812.82870490170137</v>
      </c>
      <c r="R60">
        <v>293.60849122833747</v>
      </c>
      <c r="S60">
        <v>553.77580320993218</v>
      </c>
      <c r="T60" t="str">
        <f t="shared" si="2"/>
        <v/>
      </c>
      <c r="U60" t="str">
        <f t="shared" si="3"/>
        <v/>
      </c>
      <c r="V60" t="str">
        <f t="shared" si="4"/>
        <v/>
      </c>
      <c r="W60" t="str">
        <f t="shared" si="5"/>
        <v/>
      </c>
      <c r="X60" t="str">
        <f t="shared" si="6"/>
        <v/>
      </c>
      <c r="Y60" t="str">
        <f t="shared" si="7"/>
        <v/>
      </c>
      <c r="Z60" t="str">
        <f t="shared" si="8"/>
        <v/>
      </c>
      <c r="AA60" t="str">
        <f t="shared" si="9"/>
        <v/>
      </c>
      <c r="AB60" t="str">
        <f t="shared" si="10"/>
        <v/>
      </c>
      <c r="AC60" t="str">
        <f t="shared" si="11"/>
        <v/>
      </c>
      <c r="AD60" t="str">
        <f t="shared" si="12"/>
        <v/>
      </c>
      <c r="AE60" t="str">
        <f t="shared" si="13"/>
        <v/>
      </c>
      <c r="AF60" t="str">
        <f t="shared" si="14"/>
        <v/>
      </c>
      <c r="AG60" t="str">
        <f t="shared" si="15"/>
        <v/>
      </c>
      <c r="AH60" t="str">
        <f t="shared" si="16"/>
        <v/>
      </c>
      <c r="AI60" t="str">
        <f t="shared" si="17"/>
        <v/>
      </c>
      <c r="AJ60" t="str">
        <f t="shared" si="17"/>
        <v/>
      </c>
    </row>
    <row r="61" spans="1:36" x14ac:dyDescent="0.25">
      <c r="A61" s="8">
        <v>38322</v>
      </c>
      <c r="B61" s="9">
        <f t="shared" si="0"/>
        <v>12</v>
      </c>
      <c r="C61">
        <v>15.396911502996376</v>
      </c>
      <c r="D61">
        <v>778.8615234338688</v>
      </c>
      <c r="E61">
        <v>534.62001492539548</v>
      </c>
      <c r="F61">
        <v>353.00550881484691</v>
      </c>
      <c r="G61">
        <v>204.23116331350673</v>
      </c>
      <c r="H61">
        <v>922.05974700389072</v>
      </c>
      <c r="I61">
        <v>220.0417193225291</v>
      </c>
      <c r="J61">
        <v>173.20164026695727</v>
      </c>
      <c r="K61">
        <v>236.98410719197702</v>
      </c>
      <c r="L61">
        <v>74.212354666307121</v>
      </c>
      <c r="M61">
        <v>877.51151919646634</v>
      </c>
      <c r="N61">
        <v>136.29436245281425</v>
      </c>
      <c r="O61">
        <v>475.0370716635166</v>
      </c>
      <c r="P61">
        <v>116.49278309658051</v>
      </c>
      <c r="Q61">
        <v>777.43518817208246</v>
      </c>
      <c r="R61">
        <v>296.35281226458909</v>
      </c>
      <c r="S61">
        <v>559.74961389098269</v>
      </c>
      <c r="T61">
        <f t="shared" si="2"/>
        <v>17.931283533450213</v>
      </c>
      <c r="U61">
        <f t="shared" si="3"/>
        <v>763.66379213541211</v>
      </c>
      <c r="V61">
        <f t="shared" si="4"/>
        <v>552.93213828295893</v>
      </c>
      <c r="W61">
        <f t="shared" si="5"/>
        <v>361.99667960590654</v>
      </c>
      <c r="X61">
        <f t="shared" si="6"/>
        <v>200.52777588154541</v>
      </c>
      <c r="Y61">
        <f t="shared" si="7"/>
        <v>939.84661966936574</v>
      </c>
      <c r="Z61">
        <f t="shared" si="8"/>
        <v>230.14781652133237</v>
      </c>
      <c r="AA61">
        <f t="shared" si="9"/>
        <v>186.67793314608014</v>
      </c>
      <c r="AB61">
        <f t="shared" si="10"/>
        <v>227.78640155957785</v>
      </c>
      <c r="AC61">
        <f t="shared" si="11"/>
        <v>95.980806148188506</v>
      </c>
      <c r="AD61">
        <f t="shared" si="12"/>
        <v>867.09536010481213</v>
      </c>
      <c r="AE61">
        <f t="shared" si="13"/>
        <v>117.73486935070606</v>
      </c>
      <c r="AF61">
        <f t="shared" si="14"/>
        <v>462.39031350596196</v>
      </c>
      <c r="AG61">
        <f t="shared" si="15"/>
        <v>117.77791440464175</v>
      </c>
      <c r="AH61">
        <f t="shared" si="16"/>
        <v>786.53791075444826</v>
      </c>
      <c r="AI61">
        <f t="shared" si="17"/>
        <v>300.10384666548907</v>
      </c>
      <c r="AJ61">
        <f t="shared" si="17"/>
        <v>566.39428888691157</v>
      </c>
    </row>
    <row r="62" spans="1:36" x14ac:dyDescent="0.25">
      <c r="A62" s="8">
        <v>38353</v>
      </c>
      <c r="B62" s="9">
        <f t="shared" si="0"/>
        <v>1</v>
      </c>
      <c r="C62">
        <v>24.430757023737645</v>
      </c>
      <c r="D62">
        <v>795.950403391912</v>
      </c>
      <c r="E62">
        <v>501.70811096261195</v>
      </c>
      <c r="F62">
        <v>314.63678741549779</v>
      </c>
      <c r="G62">
        <v>172.98333571846922</v>
      </c>
      <c r="H62">
        <v>1009.0808795691939</v>
      </c>
      <c r="I62">
        <v>245.68946742167941</v>
      </c>
      <c r="J62">
        <v>161.07344898237889</v>
      </c>
      <c r="K62">
        <v>173.75167418264326</v>
      </c>
      <c r="L62">
        <v>80.273756015253198</v>
      </c>
      <c r="M62">
        <v>856.08784449173584</v>
      </c>
      <c r="N62">
        <v>144.47186646350377</v>
      </c>
      <c r="O62">
        <v>466.8872913788166</v>
      </c>
      <c r="P62">
        <v>113.10936428527464</v>
      </c>
      <c r="Q62">
        <v>795.75393948259466</v>
      </c>
      <c r="R62">
        <v>279.80296715535275</v>
      </c>
      <c r="S62">
        <v>548.84974760487569</v>
      </c>
      <c r="T62" t="str">
        <f t="shared" si="2"/>
        <v/>
      </c>
      <c r="U62" t="str">
        <f t="shared" si="3"/>
        <v/>
      </c>
      <c r="V62" t="str">
        <f t="shared" si="4"/>
        <v/>
      </c>
      <c r="W62" t="str">
        <f t="shared" si="5"/>
        <v/>
      </c>
      <c r="X62" t="str">
        <f t="shared" si="6"/>
        <v/>
      </c>
      <c r="Y62" t="str">
        <f t="shared" si="7"/>
        <v/>
      </c>
      <c r="Z62" t="str">
        <f t="shared" si="8"/>
        <v/>
      </c>
      <c r="AA62" t="str">
        <f t="shared" si="9"/>
        <v/>
      </c>
      <c r="AB62" t="str">
        <f t="shared" si="10"/>
        <v/>
      </c>
      <c r="AC62" t="str">
        <f t="shared" si="11"/>
        <v/>
      </c>
      <c r="AD62" t="str">
        <f t="shared" si="12"/>
        <v/>
      </c>
      <c r="AE62" t="str">
        <f t="shared" si="13"/>
        <v/>
      </c>
      <c r="AF62" t="str">
        <f t="shared" si="14"/>
        <v/>
      </c>
      <c r="AG62" t="str">
        <f t="shared" si="15"/>
        <v/>
      </c>
      <c r="AH62" t="str">
        <f t="shared" si="16"/>
        <v/>
      </c>
      <c r="AI62" t="str">
        <f t="shared" si="17"/>
        <v/>
      </c>
      <c r="AJ62" t="str">
        <f t="shared" si="17"/>
        <v/>
      </c>
    </row>
    <row r="63" spans="1:36" x14ac:dyDescent="0.25">
      <c r="A63" s="8">
        <v>38384</v>
      </c>
      <c r="B63" s="9">
        <f t="shared" si="0"/>
        <v>2</v>
      </c>
      <c r="C63">
        <v>23.89181691745873</v>
      </c>
      <c r="D63">
        <v>834.70076546452287</v>
      </c>
      <c r="E63">
        <v>494.28715428617392</v>
      </c>
      <c r="F63">
        <v>335.14907032528208</v>
      </c>
      <c r="G63">
        <v>216.64789580995978</v>
      </c>
      <c r="H63">
        <v>993.8861935277157</v>
      </c>
      <c r="I63">
        <v>221.23849666026962</v>
      </c>
      <c r="J63">
        <v>200.65383846025955</v>
      </c>
      <c r="K63">
        <v>210.26165435048645</v>
      </c>
      <c r="L63">
        <v>78.115447838856582</v>
      </c>
      <c r="M63">
        <v>837.78558194010498</v>
      </c>
      <c r="N63">
        <v>168.53266402571066</v>
      </c>
      <c r="O63">
        <v>475.22936161210657</v>
      </c>
      <c r="P63">
        <v>149.32545235915603</v>
      </c>
      <c r="Q63">
        <v>792.01948802711206</v>
      </c>
      <c r="R63">
        <v>304.71076114707466</v>
      </c>
      <c r="S63">
        <v>531.424987685112</v>
      </c>
      <c r="T63" t="str">
        <f t="shared" si="2"/>
        <v/>
      </c>
      <c r="U63" t="str">
        <f t="shared" si="3"/>
        <v/>
      </c>
      <c r="V63" t="str">
        <f t="shared" si="4"/>
        <v/>
      </c>
      <c r="W63" t="str">
        <f t="shared" si="5"/>
        <v/>
      </c>
      <c r="X63" t="str">
        <f t="shared" si="6"/>
        <v/>
      </c>
      <c r="Y63" t="str">
        <f t="shared" si="7"/>
        <v/>
      </c>
      <c r="Z63" t="str">
        <f t="shared" si="8"/>
        <v/>
      </c>
      <c r="AA63" t="str">
        <f t="shared" si="9"/>
        <v/>
      </c>
      <c r="AB63" t="str">
        <f t="shared" si="10"/>
        <v/>
      </c>
      <c r="AC63" t="str">
        <f t="shared" si="11"/>
        <v/>
      </c>
      <c r="AD63" t="str">
        <f t="shared" si="12"/>
        <v/>
      </c>
      <c r="AE63" t="str">
        <f t="shared" si="13"/>
        <v/>
      </c>
      <c r="AF63" t="str">
        <f t="shared" si="14"/>
        <v/>
      </c>
      <c r="AG63" t="str">
        <f t="shared" si="15"/>
        <v/>
      </c>
      <c r="AH63" t="str">
        <f t="shared" si="16"/>
        <v/>
      </c>
      <c r="AI63" t="str">
        <f t="shared" si="17"/>
        <v/>
      </c>
      <c r="AJ63" t="str">
        <f t="shared" si="17"/>
        <v/>
      </c>
    </row>
    <row r="64" spans="1:36" x14ac:dyDescent="0.25">
      <c r="A64" s="8">
        <v>38412</v>
      </c>
      <c r="B64" s="9">
        <f t="shared" si="0"/>
        <v>3</v>
      </c>
      <c r="C64">
        <v>30.640771488816817</v>
      </c>
      <c r="D64">
        <v>758.21367383833206</v>
      </c>
      <c r="E64">
        <v>490.30180376358351</v>
      </c>
      <c r="F64">
        <v>344.52032951793376</v>
      </c>
      <c r="G64">
        <v>185.52038070834919</v>
      </c>
      <c r="H64">
        <v>954.58249836123321</v>
      </c>
      <c r="I64">
        <v>243.85227184494906</v>
      </c>
      <c r="J64">
        <v>178.82789164999207</v>
      </c>
      <c r="K64">
        <v>170.03934795800382</v>
      </c>
      <c r="L64">
        <v>84.359387675965323</v>
      </c>
      <c r="M64">
        <v>755.73327168481978</v>
      </c>
      <c r="N64">
        <v>133.97845147903632</v>
      </c>
      <c r="O64">
        <v>507.81657759867625</v>
      </c>
      <c r="P64">
        <v>151.61002224934788</v>
      </c>
      <c r="Q64">
        <v>792.32481985852394</v>
      </c>
      <c r="R64">
        <v>313.67014701173673</v>
      </c>
      <c r="S64">
        <v>518.8048683379825</v>
      </c>
      <c r="T64">
        <f t="shared" si="2"/>
        <v>26.321115143337732</v>
      </c>
      <c r="U64">
        <f t="shared" si="3"/>
        <v>796.28828089825572</v>
      </c>
      <c r="V64">
        <f t="shared" si="4"/>
        <v>495.43235633745644</v>
      </c>
      <c r="W64">
        <f t="shared" si="5"/>
        <v>331.43539575290453</v>
      </c>
      <c r="X64">
        <f t="shared" si="6"/>
        <v>191.71720407892607</v>
      </c>
      <c r="Y64">
        <f t="shared" si="7"/>
        <v>985.84985715271432</v>
      </c>
      <c r="Z64">
        <f t="shared" si="8"/>
        <v>236.92674530896602</v>
      </c>
      <c r="AA64">
        <f t="shared" si="9"/>
        <v>180.18505969754349</v>
      </c>
      <c r="AB64">
        <f t="shared" si="10"/>
        <v>184.68422549704451</v>
      </c>
      <c r="AC64">
        <f t="shared" si="11"/>
        <v>80.916197176691696</v>
      </c>
      <c r="AD64">
        <f t="shared" si="12"/>
        <v>816.53556603888683</v>
      </c>
      <c r="AE64">
        <f t="shared" si="13"/>
        <v>148.99432732275025</v>
      </c>
      <c r="AF64">
        <f t="shared" si="14"/>
        <v>483.31107686319979</v>
      </c>
      <c r="AG64">
        <f t="shared" si="15"/>
        <v>138.01494629792617</v>
      </c>
      <c r="AH64">
        <f t="shared" si="16"/>
        <v>793.36608245607692</v>
      </c>
      <c r="AI64">
        <f t="shared" si="17"/>
        <v>299.39462510472134</v>
      </c>
      <c r="AJ64">
        <f t="shared" si="17"/>
        <v>533.0265345426568</v>
      </c>
    </row>
    <row r="65" spans="1:36" x14ac:dyDescent="0.25">
      <c r="A65" s="8">
        <v>38443</v>
      </c>
      <c r="B65" s="9">
        <f t="shared" si="0"/>
        <v>4</v>
      </c>
      <c r="C65">
        <v>18.532759592133718</v>
      </c>
      <c r="D65">
        <v>646.49586190469427</v>
      </c>
      <c r="E65">
        <v>454.45728872211595</v>
      </c>
      <c r="F65">
        <v>331.4718701068295</v>
      </c>
      <c r="G65">
        <v>194.99620253306293</v>
      </c>
      <c r="H65">
        <v>973.87590755597228</v>
      </c>
      <c r="I65">
        <v>252.83495737483346</v>
      </c>
      <c r="J65">
        <v>184.70306299982596</v>
      </c>
      <c r="K65">
        <v>157.26885570647349</v>
      </c>
      <c r="L65">
        <v>97.270712814123385</v>
      </c>
      <c r="M65">
        <v>759.84587869051427</v>
      </c>
      <c r="N65">
        <v>125.59671913920555</v>
      </c>
      <c r="O65">
        <v>520.63996135585921</v>
      </c>
      <c r="P65">
        <v>154.71033965150502</v>
      </c>
      <c r="Q65">
        <v>772.02259698986745</v>
      </c>
      <c r="R65">
        <v>318.81649771828074</v>
      </c>
      <c r="S65">
        <v>577.39244912175684</v>
      </c>
      <c r="T65" t="str">
        <f t="shared" si="2"/>
        <v/>
      </c>
      <c r="U65" t="str">
        <f t="shared" si="3"/>
        <v/>
      </c>
      <c r="V65" t="str">
        <f t="shared" si="4"/>
        <v/>
      </c>
      <c r="W65" t="str">
        <f t="shared" si="5"/>
        <v/>
      </c>
      <c r="X65" t="str">
        <f t="shared" si="6"/>
        <v/>
      </c>
      <c r="Y65" t="str">
        <f t="shared" si="7"/>
        <v/>
      </c>
      <c r="Z65" t="str">
        <f t="shared" si="8"/>
        <v/>
      </c>
      <c r="AA65" t="str">
        <f t="shared" si="9"/>
        <v/>
      </c>
      <c r="AB65" t="str">
        <f t="shared" si="10"/>
        <v/>
      </c>
      <c r="AC65" t="str">
        <f t="shared" si="11"/>
        <v/>
      </c>
      <c r="AD65" t="str">
        <f t="shared" si="12"/>
        <v/>
      </c>
      <c r="AE65" t="str">
        <f t="shared" si="13"/>
        <v/>
      </c>
      <c r="AF65" t="str">
        <f t="shared" si="14"/>
        <v/>
      </c>
      <c r="AG65" t="str">
        <f t="shared" si="15"/>
        <v/>
      </c>
      <c r="AH65" t="str">
        <f t="shared" si="16"/>
        <v/>
      </c>
      <c r="AI65" t="str">
        <f t="shared" si="17"/>
        <v/>
      </c>
      <c r="AJ65" t="str">
        <f t="shared" si="17"/>
        <v/>
      </c>
    </row>
    <row r="66" spans="1:36" x14ac:dyDescent="0.25">
      <c r="A66" s="8">
        <v>38473</v>
      </c>
      <c r="B66" s="9">
        <f t="shared" si="0"/>
        <v>5</v>
      </c>
      <c r="C66">
        <v>16.742430432757594</v>
      </c>
      <c r="D66">
        <v>617.21335280148435</v>
      </c>
      <c r="E66">
        <v>434.57988641271129</v>
      </c>
      <c r="F66">
        <v>318.9419294469418</v>
      </c>
      <c r="G66">
        <v>178.66533771792436</v>
      </c>
      <c r="H66">
        <v>999.0629751248174</v>
      </c>
      <c r="I66">
        <v>232.39648723593615</v>
      </c>
      <c r="J66">
        <v>142.03168793082156</v>
      </c>
      <c r="K66">
        <v>190.28610877973662</v>
      </c>
      <c r="L66">
        <v>101.80382401670668</v>
      </c>
      <c r="M66">
        <v>748.86878396336874</v>
      </c>
      <c r="N66">
        <v>119.21463391973707</v>
      </c>
      <c r="O66">
        <v>547.81443364801976</v>
      </c>
      <c r="P66">
        <v>177.58757698616878</v>
      </c>
      <c r="Q66">
        <v>783.24740943211555</v>
      </c>
      <c r="R66">
        <v>329.32604002130165</v>
      </c>
      <c r="S66">
        <v>511.3398376311668</v>
      </c>
      <c r="T66" t="str">
        <f t="shared" si="2"/>
        <v/>
      </c>
      <c r="U66" t="str">
        <f t="shared" si="3"/>
        <v/>
      </c>
      <c r="V66" t="str">
        <f t="shared" si="4"/>
        <v/>
      </c>
      <c r="W66" t="str">
        <f t="shared" si="5"/>
        <v/>
      </c>
      <c r="X66" t="str">
        <f t="shared" si="6"/>
        <v/>
      </c>
      <c r="Y66" t="str">
        <f t="shared" si="7"/>
        <v/>
      </c>
      <c r="Z66" t="str">
        <f t="shared" si="8"/>
        <v/>
      </c>
      <c r="AA66" t="str">
        <f t="shared" si="9"/>
        <v/>
      </c>
      <c r="AB66" t="str">
        <f t="shared" si="10"/>
        <v/>
      </c>
      <c r="AC66" t="str">
        <f t="shared" si="11"/>
        <v/>
      </c>
      <c r="AD66" t="str">
        <f t="shared" si="12"/>
        <v/>
      </c>
      <c r="AE66" t="str">
        <f t="shared" si="13"/>
        <v/>
      </c>
      <c r="AF66" t="str">
        <f t="shared" si="14"/>
        <v/>
      </c>
      <c r="AG66" t="str">
        <f t="shared" si="15"/>
        <v/>
      </c>
      <c r="AH66" t="str">
        <f t="shared" si="16"/>
        <v/>
      </c>
      <c r="AI66" t="str">
        <f t="shared" si="17"/>
        <v/>
      </c>
      <c r="AJ66" t="str">
        <f t="shared" si="17"/>
        <v/>
      </c>
    </row>
    <row r="67" spans="1:36" x14ac:dyDescent="0.25">
      <c r="A67" s="8">
        <v>38504</v>
      </c>
      <c r="B67" s="9">
        <f t="shared" si="0"/>
        <v>6</v>
      </c>
      <c r="C67">
        <v>22.307704546572573</v>
      </c>
      <c r="D67">
        <v>645.13673007140778</v>
      </c>
      <c r="E67">
        <v>464.60078112927653</v>
      </c>
      <c r="F67">
        <v>297.77096432389868</v>
      </c>
      <c r="G67">
        <v>199.05729696476249</v>
      </c>
      <c r="H67">
        <v>958.71255395738592</v>
      </c>
      <c r="I67">
        <v>242.83745291987174</v>
      </c>
      <c r="J67">
        <v>163.30301163456693</v>
      </c>
      <c r="K67">
        <v>205.5076848800814</v>
      </c>
      <c r="L67">
        <v>88.345375878085747</v>
      </c>
      <c r="M67">
        <v>753.28820003587248</v>
      </c>
      <c r="N67">
        <v>134.15263785025502</v>
      </c>
      <c r="O67">
        <v>464.45336236450902</v>
      </c>
      <c r="P67">
        <v>122.26044364656961</v>
      </c>
      <c r="Q67">
        <v>774.85766619093624</v>
      </c>
      <c r="R67">
        <v>280.70108812380693</v>
      </c>
      <c r="S67">
        <v>571.13756061565232</v>
      </c>
      <c r="T67">
        <f t="shared" si="2"/>
        <v>19.194298190487963</v>
      </c>
      <c r="U67">
        <f t="shared" si="3"/>
        <v>636.28198159252872</v>
      </c>
      <c r="V67">
        <f t="shared" si="4"/>
        <v>451.21265208803464</v>
      </c>
      <c r="W67">
        <f t="shared" si="5"/>
        <v>316.06158795922329</v>
      </c>
      <c r="X67">
        <f t="shared" si="6"/>
        <v>190.9062790719166</v>
      </c>
      <c r="Y67">
        <f t="shared" si="7"/>
        <v>977.21714554605853</v>
      </c>
      <c r="Z67">
        <f t="shared" si="8"/>
        <v>242.68963251021378</v>
      </c>
      <c r="AA67">
        <f t="shared" si="9"/>
        <v>163.34592085507148</v>
      </c>
      <c r="AB67">
        <f t="shared" si="10"/>
        <v>184.35421645543047</v>
      </c>
      <c r="AC67">
        <f t="shared" si="11"/>
        <v>95.80663756963861</v>
      </c>
      <c r="AD67">
        <f t="shared" si="12"/>
        <v>754.00095422991853</v>
      </c>
      <c r="AE67">
        <f t="shared" si="13"/>
        <v>126.32133030306586</v>
      </c>
      <c r="AF67">
        <f t="shared" si="14"/>
        <v>510.96925245612937</v>
      </c>
      <c r="AG67">
        <f t="shared" si="15"/>
        <v>151.51945342808114</v>
      </c>
      <c r="AH67">
        <f t="shared" si="16"/>
        <v>776.70922420430634</v>
      </c>
      <c r="AI67">
        <f t="shared" si="17"/>
        <v>309.61454195446311</v>
      </c>
      <c r="AJ67">
        <f t="shared" si="17"/>
        <v>553.28994912285873</v>
      </c>
    </row>
    <row r="68" spans="1:36" x14ac:dyDescent="0.25">
      <c r="A68" s="8">
        <v>38534</v>
      </c>
      <c r="B68" s="9">
        <f t="shared" ref="B68:B131" si="18">IF(B67=12,1,B67+1)</f>
        <v>7</v>
      </c>
      <c r="C68">
        <v>21.596193832602435</v>
      </c>
      <c r="D68">
        <v>613.77780697319724</v>
      </c>
      <c r="E68">
        <v>553.1955933095079</v>
      </c>
      <c r="F68">
        <v>313.68864644872838</v>
      </c>
      <c r="G68">
        <v>205.41215694570678</v>
      </c>
      <c r="H68">
        <v>960.03563526416701</v>
      </c>
      <c r="I68">
        <v>211.14635261424678</v>
      </c>
      <c r="J68">
        <v>142.59385234356961</v>
      </c>
      <c r="K68">
        <v>215.93175569886247</v>
      </c>
      <c r="L68">
        <v>90.182458896946429</v>
      </c>
      <c r="M68">
        <v>811.69720861746407</v>
      </c>
      <c r="N68">
        <v>107.89202328029143</v>
      </c>
      <c r="O68">
        <v>454.48293733204241</v>
      </c>
      <c r="P68">
        <v>149.67753893902636</v>
      </c>
      <c r="Q68">
        <v>761.70899178911566</v>
      </c>
      <c r="R68">
        <v>269.51111046566223</v>
      </c>
      <c r="S68">
        <v>509.43982845274093</v>
      </c>
      <c r="T68" t="str">
        <f t="shared" si="2"/>
        <v/>
      </c>
      <c r="U68" t="str">
        <f t="shared" si="3"/>
        <v/>
      </c>
      <c r="V68" t="str">
        <f t="shared" si="4"/>
        <v/>
      </c>
      <c r="W68" t="str">
        <f t="shared" si="5"/>
        <v/>
      </c>
      <c r="X68" t="str">
        <f t="shared" si="6"/>
        <v/>
      </c>
      <c r="Y68" t="str">
        <f t="shared" si="7"/>
        <v/>
      </c>
      <c r="Z68" t="str">
        <f t="shared" si="8"/>
        <v/>
      </c>
      <c r="AA68" t="str">
        <f t="shared" si="9"/>
        <v/>
      </c>
      <c r="AB68" t="str">
        <f t="shared" si="10"/>
        <v/>
      </c>
      <c r="AC68" t="str">
        <f t="shared" si="11"/>
        <v/>
      </c>
      <c r="AD68" t="str">
        <f t="shared" si="12"/>
        <v/>
      </c>
      <c r="AE68" t="str">
        <f t="shared" si="13"/>
        <v/>
      </c>
      <c r="AF68" t="str">
        <f t="shared" si="14"/>
        <v/>
      </c>
      <c r="AG68" t="str">
        <f t="shared" si="15"/>
        <v/>
      </c>
      <c r="AH68" t="str">
        <f t="shared" si="16"/>
        <v/>
      </c>
      <c r="AI68" t="str">
        <f t="shared" si="17"/>
        <v/>
      </c>
      <c r="AJ68" t="str">
        <f t="shared" si="17"/>
        <v/>
      </c>
    </row>
    <row r="69" spans="1:36" x14ac:dyDescent="0.25">
      <c r="A69" s="8">
        <v>38565</v>
      </c>
      <c r="B69" s="9">
        <f t="shared" si="18"/>
        <v>8</v>
      </c>
      <c r="C69">
        <v>12.822882032635803</v>
      </c>
      <c r="D69">
        <v>675.33497696530833</v>
      </c>
      <c r="E69">
        <v>475.85467856757532</v>
      </c>
      <c r="F69">
        <v>323.47286555854066</v>
      </c>
      <c r="G69">
        <v>181.75829292301424</v>
      </c>
      <c r="H69">
        <v>958.18136159327469</v>
      </c>
      <c r="I69">
        <v>196.99670456628857</v>
      </c>
      <c r="J69">
        <v>152.09217313202686</v>
      </c>
      <c r="K69">
        <v>192.16183966188436</v>
      </c>
      <c r="L69">
        <v>99.151230315110368</v>
      </c>
      <c r="M69">
        <v>756.57870459521871</v>
      </c>
      <c r="N69">
        <v>105.0081319409441</v>
      </c>
      <c r="O69">
        <v>468.99025057005588</v>
      </c>
      <c r="P69">
        <v>150.40679597071562</v>
      </c>
      <c r="Q69">
        <v>716.75725397841916</v>
      </c>
      <c r="R69">
        <v>290.89180055883816</v>
      </c>
      <c r="S69">
        <v>513.79092333512756</v>
      </c>
      <c r="T69" t="str">
        <f t="shared" ref="T69:T132" si="19">IF( OR($B69=3,$B69=6,$B69=9,$B69=12),AVERAGE(C67:C69),"" )</f>
        <v/>
      </c>
      <c r="U69" t="str">
        <f t="shared" ref="U69:U132" si="20">IF( OR($B69=3,$B69=6,$B69=9,$B69=12),AVERAGE(D67:D69),"" )</f>
        <v/>
      </c>
      <c r="V69" t="str">
        <f t="shared" ref="V69:V132" si="21">IF( OR($B69=3,$B69=6,$B69=9,$B69=12),AVERAGE(E67:E69),"" )</f>
        <v/>
      </c>
      <c r="W69" t="str">
        <f t="shared" ref="W69:W132" si="22">IF( OR($B69=3,$B69=6,$B69=9,$B69=12),AVERAGE(F67:F69),"" )</f>
        <v/>
      </c>
      <c r="X69" t="str">
        <f t="shared" ref="X69:X132" si="23">IF( OR($B69=3,$B69=6,$B69=9,$B69=12),AVERAGE(G67:G69),"" )</f>
        <v/>
      </c>
      <c r="Y69" t="str">
        <f t="shared" ref="Y69:Y132" si="24">IF( OR($B69=3,$B69=6,$B69=9,$B69=12),AVERAGE(H67:H69),"" )</f>
        <v/>
      </c>
      <c r="Z69" t="str">
        <f t="shared" ref="Z69:Z132" si="25">IF( OR($B69=3,$B69=6,$B69=9,$B69=12),AVERAGE(I67:I69),"" )</f>
        <v/>
      </c>
      <c r="AA69" t="str">
        <f t="shared" ref="AA69:AA132" si="26">IF( OR($B69=3,$B69=6,$B69=9,$B69=12),AVERAGE(J67:J69),"" )</f>
        <v/>
      </c>
      <c r="AB69" t="str">
        <f t="shared" ref="AB69:AB132" si="27">IF( OR($B69=3,$B69=6,$B69=9,$B69=12),AVERAGE(K67:K69),"" )</f>
        <v/>
      </c>
      <c r="AC69" t="str">
        <f t="shared" ref="AC69:AC132" si="28">IF( OR($B69=3,$B69=6,$B69=9,$B69=12),AVERAGE(L67:L69),"" )</f>
        <v/>
      </c>
      <c r="AD69" t="str">
        <f t="shared" ref="AD69:AD132" si="29">IF( OR($B69=3,$B69=6,$B69=9,$B69=12),AVERAGE(M67:M69),"" )</f>
        <v/>
      </c>
      <c r="AE69" t="str">
        <f t="shared" ref="AE69:AE132" si="30">IF( OR($B69=3,$B69=6,$B69=9,$B69=12),AVERAGE(N67:N69),"" )</f>
        <v/>
      </c>
      <c r="AF69" t="str">
        <f t="shared" ref="AF69:AF132" si="31">IF( OR($B69=3,$B69=6,$B69=9,$B69=12),AVERAGE(O67:O69),"" )</f>
        <v/>
      </c>
      <c r="AG69" t="str">
        <f t="shared" ref="AG69:AG132" si="32">IF( OR($B69=3,$B69=6,$B69=9,$B69=12),AVERAGE(P67:P69),"" )</f>
        <v/>
      </c>
      <c r="AH69" t="str">
        <f t="shared" ref="AH69:AH132" si="33">IF( OR($B69=3,$B69=6,$B69=9,$B69=12),AVERAGE(Q67:Q69),"" )</f>
        <v/>
      </c>
      <c r="AI69" t="str">
        <f t="shared" ref="AI69:AJ132" si="34">IF( OR($B69=3,$B69=6,$B69=9,$B69=12),AVERAGE(R67:R69),"" )</f>
        <v/>
      </c>
      <c r="AJ69" t="str">
        <f t="shared" si="34"/>
        <v/>
      </c>
    </row>
    <row r="70" spans="1:36" x14ac:dyDescent="0.25">
      <c r="A70" s="8">
        <v>38596</v>
      </c>
      <c r="B70" s="9">
        <f t="shared" si="18"/>
        <v>9</v>
      </c>
      <c r="C70">
        <v>14.058527758168799</v>
      </c>
      <c r="D70">
        <v>686.36673014152075</v>
      </c>
      <c r="E70">
        <v>463.63013676000782</v>
      </c>
      <c r="F70">
        <v>356.04913155811488</v>
      </c>
      <c r="G70">
        <v>149.82603586170006</v>
      </c>
      <c r="H70">
        <v>908.51949491572384</v>
      </c>
      <c r="I70">
        <v>226.68751434485341</v>
      </c>
      <c r="J70">
        <v>160.45110128949054</v>
      </c>
      <c r="K70">
        <v>193.73623499131588</v>
      </c>
      <c r="L70">
        <v>74.298958303852046</v>
      </c>
      <c r="M70">
        <v>890.17186156350647</v>
      </c>
      <c r="N70">
        <v>122.60936701137175</v>
      </c>
      <c r="O70">
        <v>515.48787074026257</v>
      </c>
      <c r="P70">
        <v>146.78788297715101</v>
      </c>
      <c r="Q70">
        <v>746.93219383318751</v>
      </c>
      <c r="R70">
        <v>304.79091855807724</v>
      </c>
      <c r="S70">
        <v>552.64466550616339</v>
      </c>
      <c r="T70">
        <f t="shared" si="19"/>
        <v>16.159201207802347</v>
      </c>
      <c r="U70">
        <f t="shared" si="20"/>
        <v>658.49317136000877</v>
      </c>
      <c r="V70">
        <f t="shared" si="21"/>
        <v>497.56013621236366</v>
      </c>
      <c r="W70">
        <f t="shared" si="22"/>
        <v>331.07021452179464</v>
      </c>
      <c r="X70">
        <f t="shared" si="23"/>
        <v>178.998828576807</v>
      </c>
      <c r="Y70">
        <f t="shared" si="24"/>
        <v>942.24549725772192</v>
      </c>
      <c r="Z70">
        <f t="shared" si="25"/>
        <v>211.61019050846292</v>
      </c>
      <c r="AA70">
        <f t="shared" si="26"/>
        <v>151.71237558836233</v>
      </c>
      <c r="AB70">
        <f t="shared" si="27"/>
        <v>200.60994345068755</v>
      </c>
      <c r="AC70">
        <f t="shared" si="28"/>
        <v>87.877549171969619</v>
      </c>
      <c r="AD70">
        <f t="shared" si="29"/>
        <v>819.48259159206316</v>
      </c>
      <c r="AE70">
        <f t="shared" si="30"/>
        <v>111.8365074108691</v>
      </c>
      <c r="AF70">
        <f t="shared" si="31"/>
        <v>479.65368621412034</v>
      </c>
      <c r="AG70">
        <f t="shared" si="32"/>
        <v>148.95740596229766</v>
      </c>
      <c r="AH70">
        <f t="shared" si="33"/>
        <v>741.79947986690752</v>
      </c>
      <c r="AI70">
        <f t="shared" si="34"/>
        <v>288.39794319419252</v>
      </c>
      <c r="AJ70">
        <f t="shared" si="34"/>
        <v>525.29180576467729</v>
      </c>
    </row>
    <row r="71" spans="1:36" x14ac:dyDescent="0.25">
      <c r="A71" s="8">
        <v>38626</v>
      </c>
      <c r="B71" s="9">
        <f t="shared" si="18"/>
        <v>10</v>
      </c>
      <c r="C71">
        <v>2.2005149330119496</v>
      </c>
      <c r="D71">
        <v>618.93935941102893</v>
      </c>
      <c r="E71">
        <v>509.79706667562812</v>
      </c>
      <c r="F71">
        <v>329.20143807322808</v>
      </c>
      <c r="G71">
        <v>186.28708686630549</v>
      </c>
      <c r="H71">
        <v>914.84632263304411</v>
      </c>
      <c r="I71">
        <v>265.9794158554476</v>
      </c>
      <c r="J71">
        <v>173.39512247483844</v>
      </c>
      <c r="K71">
        <v>155.38497913228335</v>
      </c>
      <c r="L71">
        <v>105.58080866398539</v>
      </c>
      <c r="M71">
        <v>772.77621638634037</v>
      </c>
      <c r="N71">
        <v>137.24305651326316</v>
      </c>
      <c r="O71">
        <v>509.22245987873544</v>
      </c>
      <c r="P71">
        <v>123.10108937811449</v>
      </c>
      <c r="Q71">
        <v>714.54683694592075</v>
      </c>
      <c r="R71">
        <v>330.00575148209811</v>
      </c>
      <c r="S71">
        <v>524.06424185210267</v>
      </c>
      <c r="T71" t="str">
        <f t="shared" si="19"/>
        <v/>
      </c>
      <c r="U71" t="str">
        <f t="shared" si="20"/>
        <v/>
      </c>
      <c r="V71" t="str">
        <f t="shared" si="21"/>
        <v/>
      </c>
      <c r="W71" t="str">
        <f t="shared" si="22"/>
        <v/>
      </c>
      <c r="X71" t="str">
        <f t="shared" si="23"/>
        <v/>
      </c>
      <c r="Y71" t="str">
        <f t="shared" si="24"/>
        <v/>
      </c>
      <c r="Z71" t="str">
        <f t="shared" si="25"/>
        <v/>
      </c>
      <c r="AA71" t="str">
        <f t="shared" si="26"/>
        <v/>
      </c>
      <c r="AB71" t="str">
        <f t="shared" si="27"/>
        <v/>
      </c>
      <c r="AC71" t="str">
        <f t="shared" si="28"/>
        <v/>
      </c>
      <c r="AD71" t="str">
        <f t="shared" si="29"/>
        <v/>
      </c>
      <c r="AE71" t="str">
        <f t="shared" si="30"/>
        <v/>
      </c>
      <c r="AF71" t="str">
        <f t="shared" si="31"/>
        <v/>
      </c>
      <c r="AG71" t="str">
        <f t="shared" si="32"/>
        <v/>
      </c>
      <c r="AH71" t="str">
        <f t="shared" si="33"/>
        <v/>
      </c>
      <c r="AI71" t="str">
        <f t="shared" si="34"/>
        <v/>
      </c>
      <c r="AJ71" t="str">
        <f t="shared" si="34"/>
        <v/>
      </c>
    </row>
    <row r="72" spans="1:36" x14ac:dyDescent="0.25">
      <c r="A72" s="8">
        <v>38657</v>
      </c>
      <c r="B72" s="9">
        <f t="shared" si="18"/>
        <v>11</v>
      </c>
      <c r="C72">
        <v>19.703769389788178</v>
      </c>
      <c r="D72">
        <v>612.57165790103716</v>
      </c>
      <c r="E72">
        <v>502.51046578132565</v>
      </c>
      <c r="F72">
        <v>342.77511107180214</v>
      </c>
      <c r="G72">
        <v>140.81522086874861</v>
      </c>
      <c r="H72">
        <v>929.27680761723184</v>
      </c>
      <c r="I72">
        <v>218.56256267895827</v>
      </c>
      <c r="J72">
        <v>173.67328467680974</v>
      </c>
      <c r="K72">
        <v>181.50472560708229</v>
      </c>
      <c r="L72">
        <v>94.752821154817966</v>
      </c>
      <c r="M72">
        <v>747.61427923523922</v>
      </c>
      <c r="N72">
        <v>131.65487706410346</v>
      </c>
      <c r="O72">
        <v>568.5432873287366</v>
      </c>
      <c r="P72">
        <v>140.3324002813259</v>
      </c>
      <c r="Q72">
        <v>829.08527899973535</v>
      </c>
      <c r="R72">
        <v>299.60050125340558</v>
      </c>
      <c r="S72">
        <v>532.22810658697756</v>
      </c>
      <c r="T72" t="str">
        <f t="shared" si="19"/>
        <v/>
      </c>
      <c r="U72" t="str">
        <f t="shared" si="20"/>
        <v/>
      </c>
      <c r="V72" t="str">
        <f t="shared" si="21"/>
        <v/>
      </c>
      <c r="W72" t="str">
        <f t="shared" si="22"/>
        <v/>
      </c>
      <c r="X72" t="str">
        <f t="shared" si="23"/>
        <v/>
      </c>
      <c r="Y72" t="str">
        <f t="shared" si="24"/>
        <v/>
      </c>
      <c r="Z72" t="str">
        <f t="shared" si="25"/>
        <v/>
      </c>
      <c r="AA72" t="str">
        <f t="shared" si="26"/>
        <v/>
      </c>
      <c r="AB72" t="str">
        <f t="shared" si="27"/>
        <v/>
      </c>
      <c r="AC72" t="str">
        <f t="shared" si="28"/>
        <v/>
      </c>
      <c r="AD72" t="str">
        <f t="shared" si="29"/>
        <v/>
      </c>
      <c r="AE72" t="str">
        <f t="shared" si="30"/>
        <v/>
      </c>
      <c r="AF72" t="str">
        <f t="shared" si="31"/>
        <v/>
      </c>
      <c r="AG72" t="str">
        <f t="shared" si="32"/>
        <v/>
      </c>
      <c r="AH72" t="str">
        <f t="shared" si="33"/>
        <v/>
      </c>
      <c r="AI72" t="str">
        <f t="shared" si="34"/>
        <v/>
      </c>
      <c r="AJ72" t="str">
        <f t="shared" si="34"/>
        <v/>
      </c>
    </row>
    <row r="73" spans="1:36" x14ac:dyDescent="0.25">
      <c r="A73" s="8">
        <v>38687</v>
      </c>
      <c r="B73" s="9">
        <f t="shared" si="18"/>
        <v>12</v>
      </c>
      <c r="C73">
        <v>22.133060285557292</v>
      </c>
      <c r="D73">
        <v>727.83266500199454</v>
      </c>
      <c r="E73">
        <v>465.89759334708378</v>
      </c>
      <c r="F73">
        <v>303.74892618951947</v>
      </c>
      <c r="G73">
        <v>176.42504248678517</v>
      </c>
      <c r="H73">
        <v>856.58804899178006</v>
      </c>
      <c r="I73">
        <v>217.88444756446512</v>
      </c>
      <c r="J73">
        <v>128.14919048653488</v>
      </c>
      <c r="K73">
        <v>148.93037929037087</v>
      </c>
      <c r="L73">
        <v>69.05871892559135</v>
      </c>
      <c r="M73">
        <v>790.2618024306463</v>
      </c>
      <c r="N73">
        <v>94.167014058308041</v>
      </c>
      <c r="O73">
        <v>476.08803863622347</v>
      </c>
      <c r="P73">
        <v>164.69669334344141</v>
      </c>
      <c r="Q73">
        <v>811.32882035397154</v>
      </c>
      <c r="R73">
        <v>288.83661775063212</v>
      </c>
      <c r="S73">
        <v>440.84488629089418</v>
      </c>
      <c r="T73">
        <f t="shared" si="19"/>
        <v>14.679114869452471</v>
      </c>
      <c r="U73">
        <f t="shared" si="20"/>
        <v>653.11456077135347</v>
      </c>
      <c r="V73">
        <f t="shared" si="21"/>
        <v>492.7350419346792</v>
      </c>
      <c r="W73">
        <f t="shared" si="22"/>
        <v>325.24182511151656</v>
      </c>
      <c r="X73">
        <f t="shared" si="23"/>
        <v>167.84245007394642</v>
      </c>
      <c r="Y73">
        <f t="shared" si="24"/>
        <v>900.23705974735196</v>
      </c>
      <c r="Z73">
        <f t="shared" si="25"/>
        <v>234.14214203295697</v>
      </c>
      <c r="AA73">
        <f t="shared" si="26"/>
        <v>158.40586587939436</v>
      </c>
      <c r="AB73">
        <f t="shared" si="27"/>
        <v>161.94002800991217</v>
      </c>
      <c r="AC73">
        <f t="shared" si="28"/>
        <v>89.797449581464903</v>
      </c>
      <c r="AD73">
        <f t="shared" si="29"/>
        <v>770.21743268407533</v>
      </c>
      <c r="AE73">
        <f t="shared" si="30"/>
        <v>121.02164921189156</v>
      </c>
      <c r="AF73">
        <f t="shared" si="31"/>
        <v>517.9512619478985</v>
      </c>
      <c r="AG73">
        <f t="shared" si="32"/>
        <v>142.71006100096062</v>
      </c>
      <c r="AH73">
        <f t="shared" si="33"/>
        <v>784.98697876654251</v>
      </c>
      <c r="AI73">
        <f t="shared" si="34"/>
        <v>306.14762349537858</v>
      </c>
      <c r="AJ73">
        <f t="shared" si="34"/>
        <v>499.04574490999153</v>
      </c>
    </row>
    <row r="74" spans="1:36" x14ac:dyDescent="0.25">
      <c r="A74" s="8">
        <v>38718</v>
      </c>
      <c r="B74" s="9">
        <f t="shared" si="18"/>
        <v>1</v>
      </c>
      <c r="C74">
        <v>21.903437331626854</v>
      </c>
      <c r="D74">
        <v>640.30115861369757</v>
      </c>
      <c r="E74">
        <v>412.73976221787092</v>
      </c>
      <c r="F74">
        <v>302.64183657561074</v>
      </c>
      <c r="G74">
        <v>159.7496379039415</v>
      </c>
      <c r="H74">
        <v>931.59788345941661</v>
      </c>
      <c r="I74">
        <v>255.48143894935504</v>
      </c>
      <c r="J74">
        <v>100.6709056139868</v>
      </c>
      <c r="K74">
        <v>138.37708183408117</v>
      </c>
      <c r="L74">
        <v>94.439712959121408</v>
      </c>
      <c r="M74">
        <v>737.23640052785186</v>
      </c>
      <c r="N74">
        <v>113.37028409983283</v>
      </c>
      <c r="O74">
        <v>478.83323486825327</v>
      </c>
      <c r="P74">
        <v>143.27186142801455</v>
      </c>
      <c r="Q74">
        <v>685.38713435622083</v>
      </c>
      <c r="R74">
        <v>297.17004787534017</v>
      </c>
      <c r="S74">
        <v>451.93573811788866</v>
      </c>
      <c r="T74" t="str">
        <f t="shared" si="19"/>
        <v/>
      </c>
      <c r="U74" t="str">
        <f t="shared" si="20"/>
        <v/>
      </c>
      <c r="V74" t="str">
        <f t="shared" si="21"/>
        <v/>
      </c>
      <c r="W74" t="str">
        <f t="shared" si="22"/>
        <v/>
      </c>
      <c r="X74" t="str">
        <f t="shared" si="23"/>
        <v/>
      </c>
      <c r="Y74" t="str">
        <f t="shared" si="24"/>
        <v/>
      </c>
      <c r="Z74" t="str">
        <f t="shared" si="25"/>
        <v/>
      </c>
      <c r="AA74" t="str">
        <f t="shared" si="26"/>
        <v/>
      </c>
      <c r="AB74" t="str">
        <f t="shared" si="27"/>
        <v/>
      </c>
      <c r="AC74" t="str">
        <f t="shared" si="28"/>
        <v/>
      </c>
      <c r="AD74" t="str">
        <f t="shared" si="29"/>
        <v/>
      </c>
      <c r="AE74" t="str">
        <f t="shared" si="30"/>
        <v/>
      </c>
      <c r="AF74" t="str">
        <f t="shared" si="31"/>
        <v/>
      </c>
      <c r="AG74" t="str">
        <f t="shared" si="32"/>
        <v/>
      </c>
      <c r="AH74" t="str">
        <f t="shared" si="33"/>
        <v/>
      </c>
      <c r="AI74" t="str">
        <f t="shared" si="34"/>
        <v/>
      </c>
      <c r="AJ74" t="str">
        <f t="shared" si="34"/>
        <v/>
      </c>
    </row>
    <row r="75" spans="1:36" x14ac:dyDescent="0.25">
      <c r="A75" s="8">
        <v>38749</v>
      </c>
      <c r="B75" s="9">
        <f t="shared" si="18"/>
        <v>2</v>
      </c>
      <c r="C75">
        <v>23.89181691745873</v>
      </c>
      <c r="D75">
        <v>606.79116515507917</v>
      </c>
      <c r="E75">
        <v>443.18603871147548</v>
      </c>
      <c r="F75">
        <v>322.94476244228861</v>
      </c>
      <c r="G75">
        <v>146.00184282845115</v>
      </c>
      <c r="H75">
        <v>915.00633689853191</v>
      </c>
      <c r="I75">
        <v>234.78371074151059</v>
      </c>
      <c r="J75">
        <v>117.04807243515141</v>
      </c>
      <c r="K75">
        <v>171.25383612256815</v>
      </c>
      <c r="L75">
        <v>85.830553798249824</v>
      </c>
      <c r="M75">
        <v>769.18960088605706</v>
      </c>
      <c r="N75">
        <v>105.02760221892115</v>
      </c>
      <c r="O75">
        <v>435.70924838033056</v>
      </c>
      <c r="P75">
        <v>177.26939666028466</v>
      </c>
      <c r="Q75">
        <v>792.96574786943825</v>
      </c>
      <c r="R75">
        <v>263.45761194562454</v>
      </c>
      <c r="S75">
        <v>531.424987685112</v>
      </c>
      <c r="T75" t="str">
        <f t="shared" si="19"/>
        <v/>
      </c>
      <c r="U75" t="str">
        <f t="shared" si="20"/>
        <v/>
      </c>
      <c r="V75" t="str">
        <f t="shared" si="21"/>
        <v/>
      </c>
      <c r="W75" t="str">
        <f t="shared" si="22"/>
        <v/>
      </c>
      <c r="X75" t="str">
        <f t="shared" si="23"/>
        <v/>
      </c>
      <c r="Y75" t="str">
        <f t="shared" si="24"/>
        <v/>
      </c>
      <c r="Z75" t="str">
        <f t="shared" si="25"/>
        <v/>
      </c>
      <c r="AA75" t="str">
        <f t="shared" si="26"/>
        <v/>
      </c>
      <c r="AB75" t="str">
        <f t="shared" si="27"/>
        <v/>
      </c>
      <c r="AC75" t="str">
        <f t="shared" si="28"/>
        <v/>
      </c>
      <c r="AD75" t="str">
        <f t="shared" si="29"/>
        <v/>
      </c>
      <c r="AE75" t="str">
        <f t="shared" si="30"/>
        <v/>
      </c>
      <c r="AF75" t="str">
        <f t="shared" si="31"/>
        <v/>
      </c>
      <c r="AG75" t="str">
        <f t="shared" si="32"/>
        <v/>
      </c>
      <c r="AH75" t="str">
        <f t="shared" si="33"/>
        <v/>
      </c>
      <c r="AI75" t="str">
        <f t="shared" si="34"/>
        <v/>
      </c>
      <c r="AJ75" t="str">
        <f t="shared" si="34"/>
        <v/>
      </c>
    </row>
    <row r="76" spans="1:36" x14ac:dyDescent="0.25">
      <c r="A76" s="8">
        <v>38777</v>
      </c>
      <c r="B76" s="9">
        <f t="shared" si="18"/>
        <v>3</v>
      </c>
      <c r="C76">
        <v>13.405337526357357</v>
      </c>
      <c r="D76">
        <v>646.96692252594414</v>
      </c>
      <c r="E76">
        <v>395.52946299665814</v>
      </c>
      <c r="F76">
        <v>270.42993607321682</v>
      </c>
      <c r="G76">
        <v>129.09923399807806</v>
      </c>
      <c r="H76">
        <v>865.85215377402972</v>
      </c>
      <c r="I76">
        <v>240.19905428921948</v>
      </c>
      <c r="J76">
        <v>117.19794029039028</v>
      </c>
      <c r="K76">
        <v>210.57198322706284</v>
      </c>
      <c r="L76">
        <v>80.56795452198935</v>
      </c>
      <c r="M76">
        <v>771.65330343034884</v>
      </c>
      <c r="N76">
        <v>99.287602435357272</v>
      </c>
      <c r="O76">
        <v>486.53085278915086</v>
      </c>
      <c r="P76">
        <v>160.96866559807307</v>
      </c>
      <c r="Q76">
        <v>734.18158059029895</v>
      </c>
      <c r="R76">
        <v>297.37559392021797</v>
      </c>
      <c r="S76">
        <v>511.04496646113239</v>
      </c>
      <c r="T76">
        <f t="shared" si="19"/>
        <v>19.733530591814315</v>
      </c>
      <c r="U76">
        <f t="shared" si="20"/>
        <v>631.35308209824018</v>
      </c>
      <c r="V76">
        <f t="shared" si="21"/>
        <v>417.15175464200155</v>
      </c>
      <c r="W76">
        <f t="shared" si="22"/>
        <v>298.67217836370537</v>
      </c>
      <c r="X76">
        <f t="shared" si="23"/>
        <v>144.95023824349025</v>
      </c>
      <c r="Y76">
        <f t="shared" si="24"/>
        <v>904.15212471065945</v>
      </c>
      <c r="Z76">
        <f t="shared" si="25"/>
        <v>243.48806799336171</v>
      </c>
      <c r="AA76">
        <f t="shared" si="26"/>
        <v>111.63897277984283</v>
      </c>
      <c r="AB76">
        <f t="shared" si="27"/>
        <v>173.40096706123737</v>
      </c>
      <c r="AC76">
        <f t="shared" si="28"/>
        <v>86.94607375978687</v>
      </c>
      <c r="AD76">
        <f t="shared" si="29"/>
        <v>759.35976828141929</v>
      </c>
      <c r="AE76">
        <f t="shared" si="30"/>
        <v>105.89516291803709</v>
      </c>
      <c r="AF76">
        <f t="shared" si="31"/>
        <v>467.02444534591154</v>
      </c>
      <c r="AG76">
        <f t="shared" si="32"/>
        <v>160.50330789545743</v>
      </c>
      <c r="AH76">
        <f t="shared" si="33"/>
        <v>737.5114876053193</v>
      </c>
      <c r="AI76">
        <f t="shared" si="34"/>
        <v>286.00108458039421</v>
      </c>
      <c r="AJ76">
        <f t="shared" si="34"/>
        <v>498.13523075471102</v>
      </c>
    </row>
    <row r="77" spans="1:36" x14ac:dyDescent="0.25">
      <c r="A77" s="8">
        <v>38808</v>
      </c>
      <c r="B77" s="9">
        <f t="shared" si="18"/>
        <v>4</v>
      </c>
      <c r="C77">
        <v>16.581942792961748</v>
      </c>
      <c r="D77">
        <v>628.77086713385847</v>
      </c>
      <c r="E77">
        <v>418.10070562434669</v>
      </c>
      <c r="F77">
        <v>319.87518660454975</v>
      </c>
      <c r="G77">
        <v>142.0982965267533</v>
      </c>
      <c r="H77">
        <v>863.37249068588847</v>
      </c>
      <c r="I77">
        <v>267.59186150176924</v>
      </c>
      <c r="J77">
        <v>136.97081076391586</v>
      </c>
      <c r="K77">
        <v>211.33002485557375</v>
      </c>
      <c r="L77">
        <v>79.032454161475258</v>
      </c>
      <c r="M77">
        <v>685.35118470124814</v>
      </c>
      <c r="N77">
        <v>122.92444851922244</v>
      </c>
      <c r="O77">
        <v>488.16543660328045</v>
      </c>
      <c r="P77">
        <v>145.04094342328597</v>
      </c>
      <c r="Q77">
        <v>781.43750670925613</v>
      </c>
      <c r="R77">
        <v>277.14113853942052</v>
      </c>
      <c r="S77">
        <v>500.08467350712829</v>
      </c>
      <c r="T77" t="str">
        <f t="shared" si="19"/>
        <v/>
      </c>
      <c r="U77" t="str">
        <f t="shared" si="20"/>
        <v/>
      </c>
      <c r="V77" t="str">
        <f t="shared" si="21"/>
        <v/>
      </c>
      <c r="W77" t="str">
        <f t="shared" si="22"/>
        <v/>
      </c>
      <c r="X77" t="str">
        <f t="shared" si="23"/>
        <v/>
      </c>
      <c r="Y77" t="str">
        <f t="shared" si="24"/>
        <v/>
      </c>
      <c r="Z77" t="str">
        <f t="shared" si="25"/>
        <v/>
      </c>
      <c r="AA77" t="str">
        <f t="shared" si="26"/>
        <v/>
      </c>
      <c r="AB77" t="str">
        <f t="shared" si="27"/>
        <v/>
      </c>
      <c r="AC77" t="str">
        <f t="shared" si="28"/>
        <v/>
      </c>
      <c r="AD77" t="str">
        <f t="shared" si="29"/>
        <v/>
      </c>
      <c r="AE77" t="str">
        <f t="shared" si="30"/>
        <v/>
      </c>
      <c r="AF77" t="str">
        <f t="shared" si="31"/>
        <v/>
      </c>
      <c r="AG77" t="str">
        <f t="shared" si="32"/>
        <v/>
      </c>
      <c r="AH77" t="str">
        <f t="shared" si="33"/>
        <v/>
      </c>
      <c r="AI77" t="str">
        <f t="shared" si="34"/>
        <v/>
      </c>
      <c r="AJ77" t="str">
        <f t="shared" si="34"/>
        <v/>
      </c>
    </row>
    <row r="78" spans="1:36" x14ac:dyDescent="0.25">
      <c r="A78" s="8">
        <v>38838</v>
      </c>
      <c r="B78" s="9">
        <f t="shared" si="18"/>
        <v>5</v>
      </c>
      <c r="C78">
        <v>20.928038040946994</v>
      </c>
      <c r="D78">
        <v>704.29812921086489</v>
      </c>
      <c r="E78">
        <v>383.08937854390666</v>
      </c>
      <c r="F78">
        <v>305.07488903620521</v>
      </c>
      <c r="G78">
        <v>147.13616047358477</v>
      </c>
      <c r="H78">
        <v>905.9126362555977</v>
      </c>
      <c r="I78">
        <v>235.52289737812364</v>
      </c>
      <c r="J78">
        <v>154.76556340048143</v>
      </c>
      <c r="K78">
        <v>203.30568464361332</v>
      </c>
      <c r="L78">
        <v>89.338049647314023</v>
      </c>
      <c r="M78">
        <v>712.96411623909762</v>
      </c>
      <c r="N78">
        <v>99.518303098215284</v>
      </c>
      <c r="O78">
        <v>459.42411227141622</v>
      </c>
      <c r="P78">
        <v>145.19738998869147</v>
      </c>
      <c r="Q78">
        <v>698.43718038532597</v>
      </c>
      <c r="R78">
        <v>277.93439683326415</v>
      </c>
      <c r="S78">
        <v>484.24898530633675</v>
      </c>
      <c r="T78" t="str">
        <f t="shared" si="19"/>
        <v/>
      </c>
      <c r="U78" t="str">
        <f t="shared" si="20"/>
        <v/>
      </c>
      <c r="V78" t="str">
        <f t="shared" si="21"/>
        <v/>
      </c>
      <c r="W78" t="str">
        <f t="shared" si="22"/>
        <v/>
      </c>
      <c r="X78" t="str">
        <f t="shared" si="23"/>
        <v/>
      </c>
      <c r="Y78" t="str">
        <f t="shared" si="24"/>
        <v/>
      </c>
      <c r="Z78" t="str">
        <f t="shared" si="25"/>
        <v/>
      </c>
      <c r="AA78" t="str">
        <f t="shared" si="26"/>
        <v/>
      </c>
      <c r="AB78" t="str">
        <f t="shared" si="27"/>
        <v/>
      </c>
      <c r="AC78" t="str">
        <f t="shared" si="28"/>
        <v/>
      </c>
      <c r="AD78" t="str">
        <f t="shared" si="29"/>
        <v/>
      </c>
      <c r="AE78" t="str">
        <f t="shared" si="30"/>
        <v/>
      </c>
      <c r="AF78" t="str">
        <f t="shared" si="31"/>
        <v/>
      </c>
      <c r="AG78" t="str">
        <f t="shared" si="32"/>
        <v/>
      </c>
      <c r="AH78" t="str">
        <f t="shared" si="33"/>
        <v/>
      </c>
      <c r="AI78" t="str">
        <f t="shared" si="34"/>
        <v/>
      </c>
      <c r="AJ78" t="str">
        <f t="shared" si="34"/>
        <v/>
      </c>
    </row>
    <row r="79" spans="1:36" x14ac:dyDescent="0.25">
      <c r="A79" s="8">
        <v>38869</v>
      </c>
      <c r="B79" s="9">
        <f t="shared" si="18"/>
        <v>6</v>
      </c>
      <c r="C79">
        <v>27.661553637749989</v>
      </c>
      <c r="D79">
        <v>656.67763758610204</v>
      </c>
      <c r="E79">
        <v>388.01823478928588</v>
      </c>
      <c r="F79">
        <v>262.61744770232735</v>
      </c>
      <c r="G79">
        <v>147.21945921352227</v>
      </c>
      <c r="H79">
        <v>900.46408205360046</v>
      </c>
      <c r="I79">
        <v>221.20820610109774</v>
      </c>
      <c r="J79">
        <v>116.35339578962893</v>
      </c>
      <c r="K79">
        <v>201.57452344696981</v>
      </c>
      <c r="L79">
        <v>84.739442168776122</v>
      </c>
      <c r="M79">
        <v>763.42666840782226</v>
      </c>
      <c r="N79">
        <v>111.67680323659972</v>
      </c>
      <c r="O79">
        <v>446.88999992215361</v>
      </c>
      <c r="P79">
        <v>146.29454795316022</v>
      </c>
      <c r="Q79">
        <v>746.95162779270333</v>
      </c>
      <c r="R79">
        <v>255.62126581721253</v>
      </c>
      <c r="S79">
        <v>484.75405291607501</v>
      </c>
      <c r="T79">
        <f t="shared" si="19"/>
        <v>21.723844823886242</v>
      </c>
      <c r="U79">
        <f t="shared" si="20"/>
        <v>663.2488779769418</v>
      </c>
      <c r="V79">
        <f t="shared" si="21"/>
        <v>396.40277298584641</v>
      </c>
      <c r="W79">
        <f t="shared" si="22"/>
        <v>295.85584111436077</v>
      </c>
      <c r="X79">
        <f t="shared" si="23"/>
        <v>145.48463873795345</v>
      </c>
      <c r="Y79">
        <f t="shared" si="24"/>
        <v>889.91640299836217</v>
      </c>
      <c r="Z79">
        <f t="shared" si="25"/>
        <v>241.44098832699686</v>
      </c>
      <c r="AA79">
        <f t="shared" si="26"/>
        <v>136.02992331800874</v>
      </c>
      <c r="AB79">
        <f t="shared" si="27"/>
        <v>205.40341098205229</v>
      </c>
      <c r="AC79">
        <f t="shared" si="28"/>
        <v>84.369981992521801</v>
      </c>
      <c r="AD79">
        <f t="shared" si="29"/>
        <v>720.58065644938927</v>
      </c>
      <c r="AE79">
        <f t="shared" si="30"/>
        <v>111.37318495134582</v>
      </c>
      <c r="AF79">
        <f t="shared" si="31"/>
        <v>464.82651626561682</v>
      </c>
      <c r="AG79">
        <f t="shared" si="32"/>
        <v>145.51096045504588</v>
      </c>
      <c r="AH79">
        <f t="shared" si="33"/>
        <v>742.27543829576177</v>
      </c>
      <c r="AI79">
        <f t="shared" si="34"/>
        <v>270.2322670632991</v>
      </c>
      <c r="AJ79">
        <f t="shared" si="34"/>
        <v>489.69590390984666</v>
      </c>
    </row>
    <row r="80" spans="1:36" x14ac:dyDescent="0.25">
      <c r="A80" s="8">
        <v>38899</v>
      </c>
      <c r="B80" s="9">
        <f t="shared" si="18"/>
        <v>7</v>
      </c>
      <c r="C80">
        <v>24.541129355230041</v>
      </c>
      <c r="D80">
        <v>763.30324521421187</v>
      </c>
      <c r="E80">
        <v>423.48076453348534</v>
      </c>
      <c r="F80">
        <v>302.30060977897256</v>
      </c>
      <c r="G80">
        <v>158.00935149669755</v>
      </c>
      <c r="H80">
        <v>897.57085419092289</v>
      </c>
      <c r="I80">
        <v>225.41299806115535</v>
      </c>
      <c r="J80">
        <v>103.43075205202584</v>
      </c>
      <c r="K80">
        <v>231.70759173165607</v>
      </c>
      <c r="L80">
        <v>93.18854086017798</v>
      </c>
      <c r="M80">
        <v>742.03662728089057</v>
      </c>
      <c r="N80">
        <v>118.00690046281875</v>
      </c>
      <c r="O80">
        <v>464.07118495508126</v>
      </c>
      <c r="P80">
        <v>153.89380764153415</v>
      </c>
      <c r="Q80">
        <v>697.82996579409451</v>
      </c>
      <c r="R80">
        <v>300.00324340155828</v>
      </c>
      <c r="S80">
        <v>491.53857532995062</v>
      </c>
      <c r="T80" t="str">
        <f t="shared" si="19"/>
        <v/>
      </c>
      <c r="U80" t="str">
        <f t="shared" si="20"/>
        <v/>
      </c>
      <c r="V80" t="str">
        <f t="shared" si="21"/>
        <v/>
      </c>
      <c r="W80" t="str">
        <f t="shared" si="22"/>
        <v/>
      </c>
      <c r="X80" t="str">
        <f t="shared" si="23"/>
        <v/>
      </c>
      <c r="Y80" t="str">
        <f t="shared" si="24"/>
        <v/>
      </c>
      <c r="Z80" t="str">
        <f t="shared" si="25"/>
        <v/>
      </c>
      <c r="AA80" t="str">
        <f t="shared" si="26"/>
        <v/>
      </c>
      <c r="AB80" t="str">
        <f t="shared" si="27"/>
        <v/>
      </c>
      <c r="AC80" t="str">
        <f t="shared" si="28"/>
        <v/>
      </c>
      <c r="AD80" t="str">
        <f t="shared" si="29"/>
        <v/>
      </c>
      <c r="AE80" t="str">
        <f t="shared" si="30"/>
        <v/>
      </c>
      <c r="AF80" t="str">
        <f t="shared" si="31"/>
        <v/>
      </c>
      <c r="AG80" t="str">
        <f t="shared" si="32"/>
        <v/>
      </c>
      <c r="AH80" t="str">
        <f t="shared" si="33"/>
        <v/>
      </c>
      <c r="AI80" t="str">
        <f t="shared" si="34"/>
        <v/>
      </c>
      <c r="AJ80" t="str">
        <f t="shared" si="34"/>
        <v/>
      </c>
    </row>
    <row r="81" spans="1:36" x14ac:dyDescent="0.25">
      <c r="A81" s="8">
        <v>38930</v>
      </c>
      <c r="B81" s="9">
        <f t="shared" si="18"/>
        <v>8</v>
      </c>
      <c r="C81">
        <v>34.194352087028804</v>
      </c>
      <c r="D81">
        <v>743.95189975857488</v>
      </c>
      <c r="E81">
        <v>441.56820609436573</v>
      </c>
      <c r="F81">
        <v>266.94362691724228</v>
      </c>
      <c r="G81">
        <v>137.81672760096683</v>
      </c>
      <c r="H81">
        <v>848.01071980670622</v>
      </c>
      <c r="I81">
        <v>228.60045396194985</v>
      </c>
      <c r="J81">
        <v>128.6933772655612</v>
      </c>
      <c r="K81">
        <v>175.82808329062419</v>
      </c>
      <c r="L81">
        <v>79.320984252088294</v>
      </c>
      <c r="M81">
        <v>707.73365086448337</v>
      </c>
      <c r="N81">
        <v>113.93039151762562</v>
      </c>
      <c r="O81">
        <v>425.05226375493862</v>
      </c>
      <c r="P81">
        <v>142.66526970751701</v>
      </c>
      <c r="Q81">
        <v>736.01947155351104</v>
      </c>
      <c r="R81">
        <v>324.16373853125424</v>
      </c>
      <c r="S81">
        <v>460.39999907289285</v>
      </c>
      <c r="T81" t="str">
        <f t="shared" si="19"/>
        <v/>
      </c>
      <c r="U81" t="str">
        <f t="shared" si="20"/>
        <v/>
      </c>
      <c r="V81" t="str">
        <f t="shared" si="21"/>
        <v/>
      </c>
      <c r="W81" t="str">
        <f t="shared" si="22"/>
        <v/>
      </c>
      <c r="X81" t="str">
        <f t="shared" si="23"/>
        <v/>
      </c>
      <c r="Y81" t="str">
        <f t="shared" si="24"/>
        <v/>
      </c>
      <c r="Z81" t="str">
        <f t="shared" si="25"/>
        <v/>
      </c>
      <c r="AA81" t="str">
        <f t="shared" si="26"/>
        <v/>
      </c>
      <c r="AB81" t="str">
        <f t="shared" si="27"/>
        <v/>
      </c>
      <c r="AC81" t="str">
        <f t="shared" si="28"/>
        <v/>
      </c>
      <c r="AD81" t="str">
        <f t="shared" si="29"/>
        <v/>
      </c>
      <c r="AE81" t="str">
        <f t="shared" si="30"/>
        <v/>
      </c>
      <c r="AF81" t="str">
        <f t="shared" si="31"/>
        <v/>
      </c>
      <c r="AG81" t="str">
        <f t="shared" si="32"/>
        <v/>
      </c>
      <c r="AH81" t="str">
        <f t="shared" si="33"/>
        <v/>
      </c>
      <c r="AI81" t="str">
        <f t="shared" si="34"/>
        <v/>
      </c>
      <c r="AJ81" t="str">
        <f t="shared" si="34"/>
        <v/>
      </c>
    </row>
    <row r="82" spans="1:36" x14ac:dyDescent="0.25">
      <c r="A82" s="8">
        <v>38961</v>
      </c>
      <c r="B82" s="9">
        <f t="shared" si="18"/>
        <v>9</v>
      </c>
      <c r="C82">
        <v>16.401615717863599</v>
      </c>
      <c r="D82">
        <v>703.16591584428534</v>
      </c>
      <c r="E82">
        <v>382.31004443535954</v>
      </c>
      <c r="F82">
        <v>285.26191549166475</v>
      </c>
      <c r="G82">
        <v>137.99766460946057</v>
      </c>
      <c r="H82">
        <v>890.06198824700709</v>
      </c>
      <c r="I82">
        <v>196.6057588867686</v>
      </c>
      <c r="J82">
        <v>162.36123344769877</v>
      </c>
      <c r="K82">
        <v>134.81645218467858</v>
      </c>
      <c r="L82">
        <v>110.89396761768963</v>
      </c>
      <c r="M82">
        <v>760.05393284308673</v>
      </c>
      <c r="N82">
        <v>121.65148133159541</v>
      </c>
      <c r="O82">
        <v>436.70576219316587</v>
      </c>
      <c r="P82">
        <v>116.20707402357789</v>
      </c>
      <c r="Q82">
        <v>744.79198697406662</v>
      </c>
      <c r="R82">
        <v>307.76933144300961</v>
      </c>
      <c r="S82">
        <v>385.29452031767732</v>
      </c>
      <c r="T82">
        <f t="shared" si="19"/>
        <v>25.045699053374147</v>
      </c>
      <c r="U82">
        <f t="shared" si="20"/>
        <v>736.80702027235736</v>
      </c>
      <c r="V82">
        <f t="shared" si="21"/>
        <v>415.78633835440354</v>
      </c>
      <c r="W82">
        <f t="shared" si="22"/>
        <v>284.83538406262647</v>
      </c>
      <c r="X82">
        <f t="shared" si="23"/>
        <v>144.60791456904164</v>
      </c>
      <c r="Y82">
        <f t="shared" si="24"/>
        <v>878.54785408154532</v>
      </c>
      <c r="Z82">
        <f t="shared" si="25"/>
        <v>216.87307030329126</v>
      </c>
      <c r="AA82">
        <f t="shared" si="26"/>
        <v>131.49512092176192</v>
      </c>
      <c r="AB82">
        <f t="shared" si="27"/>
        <v>180.78404240231961</v>
      </c>
      <c r="AC82">
        <f t="shared" si="28"/>
        <v>94.467830909985295</v>
      </c>
      <c r="AD82">
        <f t="shared" si="29"/>
        <v>736.60807032948696</v>
      </c>
      <c r="AE82">
        <f t="shared" si="30"/>
        <v>117.86292443734659</v>
      </c>
      <c r="AF82">
        <f t="shared" si="31"/>
        <v>441.94307030106188</v>
      </c>
      <c r="AG82">
        <f t="shared" si="32"/>
        <v>137.58871712420969</v>
      </c>
      <c r="AH82">
        <f t="shared" si="33"/>
        <v>726.21380810722405</v>
      </c>
      <c r="AI82">
        <f t="shared" si="34"/>
        <v>310.64543779194071</v>
      </c>
      <c r="AJ82">
        <f t="shared" si="34"/>
        <v>445.74436490684025</v>
      </c>
    </row>
    <row r="83" spans="1:36" x14ac:dyDescent="0.25">
      <c r="A83" s="8">
        <v>38991</v>
      </c>
      <c r="B83" s="9">
        <f t="shared" si="18"/>
        <v>10</v>
      </c>
      <c r="C83">
        <v>16.50386199758962</v>
      </c>
      <c r="D83">
        <v>543.80799208367864</v>
      </c>
      <c r="E83">
        <v>384.73250562006865</v>
      </c>
      <c r="F83">
        <v>263.15475457264313</v>
      </c>
      <c r="G83">
        <v>124.54024346679972</v>
      </c>
      <c r="H83">
        <v>894.9127445022782</v>
      </c>
      <c r="I83">
        <v>218.29386321204063</v>
      </c>
      <c r="J83">
        <v>124.15947041408184</v>
      </c>
      <c r="K83">
        <v>161.32325858956807</v>
      </c>
      <c r="L83">
        <v>51.190695109811095</v>
      </c>
      <c r="M83">
        <v>793.43868206511945</v>
      </c>
      <c r="N83">
        <v>115.86913787595168</v>
      </c>
      <c r="O83">
        <v>430.72571705157856</v>
      </c>
      <c r="P83">
        <v>154.39797650814359</v>
      </c>
      <c r="Q83">
        <v>681.87581637759695</v>
      </c>
      <c r="R83">
        <v>277.24621127649618</v>
      </c>
      <c r="S83">
        <v>442.63593335715439</v>
      </c>
      <c r="T83" t="str">
        <f t="shared" si="19"/>
        <v/>
      </c>
      <c r="U83" t="str">
        <f t="shared" si="20"/>
        <v/>
      </c>
      <c r="V83" t="str">
        <f t="shared" si="21"/>
        <v/>
      </c>
      <c r="W83" t="str">
        <f t="shared" si="22"/>
        <v/>
      </c>
      <c r="X83" t="str">
        <f t="shared" si="23"/>
        <v/>
      </c>
      <c r="Y83" t="str">
        <f t="shared" si="24"/>
        <v/>
      </c>
      <c r="Z83" t="str">
        <f t="shared" si="25"/>
        <v/>
      </c>
      <c r="AA83" t="str">
        <f t="shared" si="26"/>
        <v/>
      </c>
      <c r="AB83" t="str">
        <f t="shared" si="27"/>
        <v/>
      </c>
      <c r="AC83" t="str">
        <f t="shared" si="28"/>
        <v/>
      </c>
      <c r="AD83" t="str">
        <f t="shared" si="29"/>
        <v/>
      </c>
      <c r="AE83" t="str">
        <f t="shared" si="30"/>
        <v/>
      </c>
      <c r="AF83" t="str">
        <f t="shared" si="31"/>
        <v/>
      </c>
      <c r="AG83" t="str">
        <f t="shared" si="32"/>
        <v/>
      </c>
      <c r="AH83" t="str">
        <f t="shared" si="33"/>
        <v/>
      </c>
      <c r="AI83" t="str">
        <f t="shared" si="34"/>
        <v/>
      </c>
      <c r="AJ83" t="str">
        <f t="shared" si="34"/>
        <v/>
      </c>
    </row>
    <row r="84" spans="1:36" x14ac:dyDescent="0.25">
      <c r="A84" s="8">
        <v>39022</v>
      </c>
      <c r="B84" s="9">
        <f t="shared" si="18"/>
        <v>11</v>
      </c>
      <c r="C84">
        <v>24.082384809741107</v>
      </c>
      <c r="D84">
        <v>671.22213578517903</v>
      </c>
      <c r="E84">
        <v>434.21796840333616</v>
      </c>
      <c r="F84">
        <v>286.68463835096179</v>
      </c>
      <c r="G84">
        <v>132.82570479108912</v>
      </c>
      <c r="H84">
        <v>943.13070497849787</v>
      </c>
      <c r="I84">
        <v>200.98969331783601</v>
      </c>
      <c r="J84">
        <v>138.33279070187751</v>
      </c>
      <c r="K84">
        <v>144.16661062505392</v>
      </c>
      <c r="L84">
        <v>91.728794947749307</v>
      </c>
      <c r="M84">
        <v>691.88494477747884</v>
      </c>
      <c r="N84">
        <v>121.44027453326784</v>
      </c>
      <c r="O84">
        <v>434.76839619256327</v>
      </c>
      <c r="P84">
        <v>138.46130161090824</v>
      </c>
      <c r="Q84">
        <v>699.03268621546317</v>
      </c>
      <c r="R84">
        <v>305.59251127847369</v>
      </c>
      <c r="S84">
        <v>430.95393245909116</v>
      </c>
      <c r="T84" t="str">
        <f t="shared" si="19"/>
        <v/>
      </c>
      <c r="U84" t="str">
        <f t="shared" si="20"/>
        <v/>
      </c>
      <c r="V84" t="str">
        <f t="shared" si="21"/>
        <v/>
      </c>
      <c r="W84" t="str">
        <f t="shared" si="22"/>
        <v/>
      </c>
      <c r="X84" t="str">
        <f t="shared" si="23"/>
        <v/>
      </c>
      <c r="Y84" t="str">
        <f t="shared" si="24"/>
        <v/>
      </c>
      <c r="Z84" t="str">
        <f t="shared" si="25"/>
        <v/>
      </c>
      <c r="AA84" t="str">
        <f t="shared" si="26"/>
        <v/>
      </c>
      <c r="AB84" t="str">
        <f t="shared" si="27"/>
        <v/>
      </c>
      <c r="AC84" t="str">
        <f t="shared" si="28"/>
        <v/>
      </c>
      <c r="AD84" t="str">
        <f t="shared" si="29"/>
        <v/>
      </c>
      <c r="AE84" t="str">
        <f t="shared" si="30"/>
        <v/>
      </c>
      <c r="AF84" t="str">
        <f t="shared" si="31"/>
        <v/>
      </c>
      <c r="AG84" t="str">
        <f t="shared" si="32"/>
        <v/>
      </c>
      <c r="AH84" t="str">
        <f t="shared" si="33"/>
        <v/>
      </c>
      <c r="AI84" t="str">
        <f t="shared" si="34"/>
        <v/>
      </c>
      <c r="AJ84" t="str">
        <f t="shared" si="34"/>
        <v/>
      </c>
    </row>
    <row r="85" spans="1:36" x14ac:dyDescent="0.25">
      <c r="A85" s="8">
        <v>39052</v>
      </c>
      <c r="B85" s="9">
        <f t="shared" si="18"/>
        <v>12</v>
      </c>
      <c r="C85">
        <v>24.057674223431839</v>
      </c>
      <c r="D85">
        <v>649.051269528224</v>
      </c>
      <c r="E85">
        <v>399.19641946225187</v>
      </c>
      <c r="F85">
        <v>271.93738324399544</v>
      </c>
      <c r="G85">
        <v>173.54854722884846</v>
      </c>
      <c r="H85">
        <v>855.49685402491161</v>
      </c>
      <c r="I85">
        <v>204.94081701608104</v>
      </c>
      <c r="J85">
        <v>108.1258794730138</v>
      </c>
      <c r="K85">
        <v>139.14663174574798</v>
      </c>
      <c r="L85">
        <v>102.0419876661723</v>
      </c>
      <c r="M85">
        <v>793.27041335360559</v>
      </c>
      <c r="N85">
        <v>99.123172692955819</v>
      </c>
      <c r="O85">
        <v>442.45709550960282</v>
      </c>
      <c r="P85">
        <v>145.61597887072563</v>
      </c>
      <c r="Q85">
        <v>588.90185916032397</v>
      </c>
      <c r="R85">
        <v>328.56507446726181</v>
      </c>
      <c r="S85">
        <v>443.08837171731096</v>
      </c>
      <c r="T85">
        <f t="shared" si="19"/>
        <v>21.547973676920851</v>
      </c>
      <c r="U85">
        <f t="shared" si="20"/>
        <v>621.36046579902722</v>
      </c>
      <c r="V85">
        <f t="shared" si="21"/>
        <v>406.04896449521885</v>
      </c>
      <c r="W85">
        <f t="shared" si="22"/>
        <v>273.92559205586679</v>
      </c>
      <c r="X85">
        <f t="shared" si="23"/>
        <v>143.63816516224577</v>
      </c>
      <c r="Y85">
        <f t="shared" si="24"/>
        <v>897.84676783522912</v>
      </c>
      <c r="Z85">
        <f t="shared" si="25"/>
        <v>208.07479118198589</v>
      </c>
      <c r="AA85">
        <f t="shared" si="26"/>
        <v>123.53938019632439</v>
      </c>
      <c r="AB85">
        <f t="shared" si="27"/>
        <v>148.21216698678998</v>
      </c>
      <c r="AC85">
        <f t="shared" si="28"/>
        <v>81.6538259079109</v>
      </c>
      <c r="AD85">
        <f t="shared" si="29"/>
        <v>759.53134673206796</v>
      </c>
      <c r="AE85">
        <f t="shared" si="30"/>
        <v>112.14419503405846</v>
      </c>
      <c r="AF85">
        <f t="shared" si="31"/>
        <v>435.98373625124822</v>
      </c>
      <c r="AG85">
        <f t="shared" si="32"/>
        <v>146.15841899659247</v>
      </c>
      <c r="AH85">
        <f t="shared" si="33"/>
        <v>656.6034539177947</v>
      </c>
      <c r="AI85">
        <f t="shared" si="34"/>
        <v>303.80126567407723</v>
      </c>
      <c r="AJ85">
        <f t="shared" si="34"/>
        <v>438.89274584451886</v>
      </c>
    </row>
    <row r="86" spans="1:36" x14ac:dyDescent="0.25">
      <c r="A86" s="8">
        <v>39083</v>
      </c>
      <c r="B86" s="9">
        <f t="shared" si="18"/>
        <v>1</v>
      </c>
      <c r="C86">
        <v>29.485396407959225</v>
      </c>
      <c r="D86">
        <v>680.13556249058649</v>
      </c>
      <c r="E86">
        <v>476.94372522953972</v>
      </c>
      <c r="F86">
        <v>214.06373806567589</v>
      </c>
      <c r="G86">
        <v>169.20227920003273</v>
      </c>
      <c r="H86">
        <v>889.25252512035217</v>
      </c>
      <c r="I86">
        <v>220.76444898759601</v>
      </c>
      <c r="J86">
        <v>137.10418574095345</v>
      </c>
      <c r="K86">
        <v>137.33665264735873</v>
      </c>
      <c r="L86">
        <v>95.384110088712617</v>
      </c>
      <c r="M86">
        <v>790.85359329351377</v>
      </c>
      <c r="N86">
        <v>129.4227137068888</v>
      </c>
      <c r="O86">
        <v>432.04495620129302</v>
      </c>
      <c r="P86">
        <v>156.67741571367671</v>
      </c>
      <c r="Q86">
        <v>671.47535219743418</v>
      </c>
      <c r="R86">
        <v>265.3303998886966</v>
      </c>
      <c r="S86">
        <v>470.72518893679427</v>
      </c>
      <c r="T86" t="str">
        <f t="shared" si="19"/>
        <v/>
      </c>
      <c r="U86" t="str">
        <f t="shared" si="20"/>
        <v/>
      </c>
      <c r="V86" t="str">
        <f t="shared" si="21"/>
        <v/>
      </c>
      <c r="W86" t="str">
        <f t="shared" si="22"/>
        <v/>
      </c>
      <c r="X86" t="str">
        <f t="shared" si="23"/>
        <v/>
      </c>
      <c r="Y86" t="str">
        <f t="shared" si="24"/>
        <v/>
      </c>
      <c r="Z86" t="str">
        <f t="shared" si="25"/>
        <v/>
      </c>
      <c r="AA86" t="str">
        <f t="shared" si="26"/>
        <v/>
      </c>
      <c r="AB86" t="str">
        <f t="shared" si="27"/>
        <v/>
      </c>
      <c r="AC86" t="str">
        <f t="shared" si="28"/>
        <v/>
      </c>
      <c r="AD86" t="str">
        <f t="shared" si="29"/>
        <v/>
      </c>
      <c r="AE86" t="str">
        <f t="shared" si="30"/>
        <v/>
      </c>
      <c r="AF86" t="str">
        <f t="shared" si="31"/>
        <v/>
      </c>
      <c r="AG86" t="str">
        <f t="shared" si="32"/>
        <v/>
      </c>
      <c r="AH86" t="str">
        <f t="shared" si="33"/>
        <v/>
      </c>
      <c r="AI86" t="str">
        <f t="shared" si="34"/>
        <v/>
      </c>
      <c r="AJ86" t="str">
        <f t="shared" si="34"/>
        <v/>
      </c>
    </row>
    <row r="87" spans="1:36" x14ac:dyDescent="0.25">
      <c r="A87" s="8">
        <v>39114</v>
      </c>
      <c r="B87" s="9">
        <f t="shared" si="18"/>
        <v>2</v>
      </c>
      <c r="C87">
        <v>31.537198331045524</v>
      </c>
      <c r="D87">
        <v>788.24785329954068</v>
      </c>
      <c r="E87">
        <v>456.19359540321688</v>
      </c>
      <c r="F87">
        <v>265.67839468362695</v>
      </c>
      <c r="G87">
        <v>126.22094799362874</v>
      </c>
      <c r="H87">
        <v>845.40646340219325</v>
      </c>
      <c r="I87">
        <v>226.65658229276602</v>
      </c>
      <c r="J87">
        <v>136.72001738223568</v>
      </c>
      <c r="K87">
        <v>162.69114431643976</v>
      </c>
      <c r="L87">
        <v>119.58414237059526</v>
      </c>
      <c r="M87">
        <v>754.55579159452691</v>
      </c>
      <c r="N87">
        <v>122.12511885921063</v>
      </c>
      <c r="O87">
        <v>383.34509834822734</v>
      </c>
      <c r="P87">
        <v>179.01589317910521</v>
      </c>
      <c r="Q87">
        <v>638.72539357025164</v>
      </c>
      <c r="R87">
        <v>240.95589419937903</v>
      </c>
      <c r="S87">
        <v>455.98966104336944</v>
      </c>
      <c r="T87" t="str">
        <f t="shared" si="19"/>
        <v/>
      </c>
      <c r="U87" t="str">
        <f t="shared" si="20"/>
        <v/>
      </c>
      <c r="V87" t="str">
        <f t="shared" si="21"/>
        <v/>
      </c>
      <c r="W87" t="str">
        <f t="shared" si="22"/>
        <v/>
      </c>
      <c r="X87" t="str">
        <f t="shared" si="23"/>
        <v/>
      </c>
      <c r="Y87" t="str">
        <f t="shared" si="24"/>
        <v/>
      </c>
      <c r="Z87" t="str">
        <f t="shared" si="25"/>
        <v/>
      </c>
      <c r="AA87" t="str">
        <f t="shared" si="26"/>
        <v/>
      </c>
      <c r="AB87" t="str">
        <f t="shared" si="27"/>
        <v/>
      </c>
      <c r="AC87" t="str">
        <f t="shared" si="28"/>
        <v/>
      </c>
      <c r="AD87" t="str">
        <f t="shared" si="29"/>
        <v/>
      </c>
      <c r="AE87" t="str">
        <f t="shared" si="30"/>
        <v/>
      </c>
      <c r="AF87" t="str">
        <f t="shared" si="31"/>
        <v/>
      </c>
      <c r="AG87" t="str">
        <f t="shared" si="32"/>
        <v/>
      </c>
      <c r="AH87" t="str">
        <f t="shared" si="33"/>
        <v/>
      </c>
      <c r="AI87" t="str">
        <f t="shared" si="34"/>
        <v/>
      </c>
      <c r="AJ87" t="str">
        <f t="shared" si="34"/>
        <v/>
      </c>
    </row>
    <row r="88" spans="1:36" x14ac:dyDescent="0.25">
      <c r="A88" s="8">
        <v>39142</v>
      </c>
      <c r="B88" s="9">
        <f t="shared" si="18"/>
        <v>3</v>
      </c>
      <c r="C88">
        <v>22.980578616612615</v>
      </c>
      <c r="D88">
        <v>729.02126391947843</v>
      </c>
      <c r="E88">
        <v>440.98150397671418</v>
      </c>
      <c r="F88">
        <v>264.87315656486305</v>
      </c>
      <c r="G88">
        <v>146.31246519782178</v>
      </c>
      <c r="H88">
        <v>724.46863767354068</v>
      </c>
      <c r="I88">
        <v>227.41279284416598</v>
      </c>
      <c r="J88">
        <v>110.12565079010811</v>
      </c>
      <c r="K88">
        <v>132.47251526960761</v>
      </c>
      <c r="L88">
        <v>112.7951363307851</v>
      </c>
      <c r="M88">
        <v>725.7661531050004</v>
      </c>
      <c r="N88">
        <v>126.80103443551651</v>
      </c>
      <c r="O88">
        <v>394.29271194787435</v>
      </c>
      <c r="P88">
        <v>156.28934392371048</v>
      </c>
      <c r="Q88">
        <v>668.1545122687553</v>
      </c>
      <c r="R88">
        <v>226.08692414482323</v>
      </c>
      <c r="S88">
        <v>464.4855552000314</v>
      </c>
      <c r="T88">
        <f t="shared" si="19"/>
        <v>28.001057785205788</v>
      </c>
      <c r="U88">
        <f t="shared" si="20"/>
        <v>732.46822656986853</v>
      </c>
      <c r="V88">
        <f t="shared" si="21"/>
        <v>458.03960820315689</v>
      </c>
      <c r="W88">
        <f t="shared" si="22"/>
        <v>248.20509643805531</v>
      </c>
      <c r="X88">
        <f t="shared" si="23"/>
        <v>147.2452307971611</v>
      </c>
      <c r="Y88">
        <f t="shared" si="24"/>
        <v>819.70920873202874</v>
      </c>
      <c r="Z88">
        <f t="shared" si="25"/>
        <v>224.94460804150935</v>
      </c>
      <c r="AA88">
        <f t="shared" si="26"/>
        <v>127.98328463776575</v>
      </c>
      <c r="AB88">
        <f t="shared" si="27"/>
        <v>144.16677074446872</v>
      </c>
      <c r="AC88">
        <f t="shared" si="28"/>
        <v>109.25446293003098</v>
      </c>
      <c r="AD88">
        <f t="shared" si="29"/>
        <v>757.05851266434695</v>
      </c>
      <c r="AE88">
        <f t="shared" si="30"/>
        <v>126.11628900053864</v>
      </c>
      <c r="AF88">
        <f t="shared" si="31"/>
        <v>403.22758883246485</v>
      </c>
      <c r="AG88">
        <f t="shared" si="32"/>
        <v>163.99421760549748</v>
      </c>
      <c r="AH88">
        <f t="shared" si="33"/>
        <v>659.4517526788137</v>
      </c>
      <c r="AI88">
        <f t="shared" si="34"/>
        <v>244.12440607763293</v>
      </c>
      <c r="AJ88">
        <f t="shared" si="34"/>
        <v>463.73346839339837</v>
      </c>
    </row>
    <row r="89" spans="1:36" x14ac:dyDescent="0.25">
      <c r="A89" s="8">
        <v>39173</v>
      </c>
      <c r="B89" s="9">
        <f t="shared" si="18"/>
        <v>4</v>
      </c>
      <c r="C89">
        <v>16.581942792961748</v>
      </c>
      <c r="D89">
        <v>795.75897576436398</v>
      </c>
      <c r="E89">
        <v>471.62567518495143</v>
      </c>
      <c r="F89">
        <v>272.5220623035741</v>
      </c>
      <c r="G89">
        <v>120.31680581827287</v>
      </c>
      <c r="H89">
        <v>780.75311358676038</v>
      </c>
      <c r="I89">
        <v>184.95319839092875</v>
      </c>
      <c r="J89">
        <v>79.899639612284261</v>
      </c>
      <c r="K89">
        <v>164.1493681436317</v>
      </c>
      <c r="L89">
        <v>64.847141876082262</v>
      </c>
      <c r="M89">
        <v>733.240630837205</v>
      </c>
      <c r="N89">
        <v>156.32783126901114</v>
      </c>
      <c r="O89">
        <v>458.8336077944997</v>
      </c>
      <c r="P89">
        <v>167.60286795579711</v>
      </c>
      <c r="Q89">
        <v>696.7033192347584</v>
      </c>
      <c r="R89">
        <v>233.38201140161729</v>
      </c>
      <c r="S89">
        <v>492.83706954325686</v>
      </c>
      <c r="T89" t="str">
        <f t="shared" si="19"/>
        <v/>
      </c>
      <c r="U89" t="str">
        <f t="shared" si="20"/>
        <v/>
      </c>
      <c r="V89" t="str">
        <f t="shared" si="21"/>
        <v/>
      </c>
      <c r="W89" t="str">
        <f t="shared" si="22"/>
        <v/>
      </c>
      <c r="X89" t="str">
        <f t="shared" si="23"/>
        <v/>
      </c>
      <c r="Y89" t="str">
        <f t="shared" si="24"/>
        <v/>
      </c>
      <c r="Z89" t="str">
        <f t="shared" si="25"/>
        <v/>
      </c>
      <c r="AA89" t="str">
        <f t="shared" si="26"/>
        <v/>
      </c>
      <c r="AB89" t="str">
        <f t="shared" si="27"/>
        <v/>
      </c>
      <c r="AC89" t="str">
        <f t="shared" si="28"/>
        <v/>
      </c>
      <c r="AD89" t="str">
        <f t="shared" si="29"/>
        <v/>
      </c>
      <c r="AE89" t="str">
        <f t="shared" si="30"/>
        <v/>
      </c>
      <c r="AF89" t="str">
        <f t="shared" si="31"/>
        <v/>
      </c>
      <c r="AG89" t="str">
        <f t="shared" si="32"/>
        <v/>
      </c>
      <c r="AH89" t="str">
        <f t="shared" si="33"/>
        <v/>
      </c>
      <c r="AI89" t="str">
        <f t="shared" si="34"/>
        <v/>
      </c>
      <c r="AJ89" t="str">
        <f t="shared" si="34"/>
        <v/>
      </c>
    </row>
    <row r="90" spans="1:36" x14ac:dyDescent="0.25">
      <c r="A90" s="8">
        <v>39203</v>
      </c>
      <c r="B90" s="9">
        <f t="shared" si="18"/>
        <v>5</v>
      </c>
      <c r="C90">
        <v>23.020841845041691</v>
      </c>
      <c r="D90">
        <v>735.8663606592653</v>
      </c>
      <c r="E90">
        <v>456.20589971760927</v>
      </c>
      <c r="F90">
        <v>206.02460038808664</v>
      </c>
      <c r="G90">
        <v>125.06573640254706</v>
      </c>
      <c r="H90">
        <v>691.97394588563168</v>
      </c>
      <c r="I90">
        <v>225.10153023749871</v>
      </c>
      <c r="J90">
        <v>107.74817705096807</v>
      </c>
      <c r="K90">
        <v>196.29514379383355</v>
      </c>
      <c r="L90">
        <v>88.299235116531307</v>
      </c>
      <c r="M90">
        <v>762.20480340381232</v>
      </c>
      <c r="N90">
        <v>175.19367941248316</v>
      </c>
      <c r="O90">
        <v>466.61867331369791</v>
      </c>
      <c r="P90">
        <v>111.69029999130112</v>
      </c>
      <c r="Q90">
        <v>728.37020240183983</v>
      </c>
      <c r="R90">
        <v>253.8117888062261</v>
      </c>
      <c r="S90">
        <v>483.12019979280217</v>
      </c>
      <c r="T90" t="str">
        <f t="shared" si="19"/>
        <v/>
      </c>
      <c r="U90" t="str">
        <f t="shared" si="20"/>
        <v/>
      </c>
      <c r="V90" t="str">
        <f t="shared" si="21"/>
        <v/>
      </c>
      <c r="W90" t="str">
        <f t="shared" si="22"/>
        <v/>
      </c>
      <c r="X90" t="str">
        <f t="shared" si="23"/>
        <v/>
      </c>
      <c r="Y90" t="str">
        <f t="shared" si="24"/>
        <v/>
      </c>
      <c r="Z90" t="str">
        <f t="shared" si="25"/>
        <v/>
      </c>
      <c r="AA90" t="str">
        <f t="shared" si="26"/>
        <v/>
      </c>
      <c r="AB90" t="str">
        <f t="shared" si="27"/>
        <v/>
      </c>
      <c r="AC90" t="str">
        <f t="shared" si="28"/>
        <v/>
      </c>
      <c r="AD90" t="str">
        <f t="shared" si="29"/>
        <v/>
      </c>
      <c r="AE90" t="str">
        <f t="shared" si="30"/>
        <v/>
      </c>
      <c r="AF90" t="str">
        <f t="shared" si="31"/>
        <v/>
      </c>
      <c r="AG90" t="str">
        <f t="shared" si="32"/>
        <v/>
      </c>
      <c r="AH90" t="str">
        <f t="shared" si="33"/>
        <v/>
      </c>
      <c r="AI90" t="str">
        <f t="shared" si="34"/>
        <v/>
      </c>
      <c r="AJ90" t="str">
        <f t="shared" si="34"/>
        <v/>
      </c>
    </row>
    <row r="91" spans="1:36" x14ac:dyDescent="0.25">
      <c r="A91" s="8">
        <v>39234</v>
      </c>
      <c r="B91" s="9">
        <f t="shared" si="18"/>
        <v>6</v>
      </c>
      <c r="C91">
        <v>29.446170001475796</v>
      </c>
      <c r="D91">
        <v>692.45445088165411</v>
      </c>
      <c r="E91">
        <v>414.56685085381599</v>
      </c>
      <c r="F91">
        <v>255.37995898612147</v>
      </c>
      <c r="G91">
        <v>127.52108086805097</v>
      </c>
      <c r="H91">
        <v>817.38839261705414</v>
      </c>
      <c r="I91">
        <v>237.92171500651401</v>
      </c>
      <c r="J91">
        <v>116.35339578962893</v>
      </c>
      <c r="K91">
        <v>223.20691132908362</v>
      </c>
      <c r="L91">
        <v>68.512740476882826</v>
      </c>
      <c r="M91">
        <v>731.99741645477775</v>
      </c>
      <c r="N91">
        <v>169.27112943409139</v>
      </c>
      <c r="O91">
        <v>402.00585145835652</v>
      </c>
      <c r="P91">
        <v>168.23873014613426</v>
      </c>
      <c r="Q91">
        <v>703.23216763547157</v>
      </c>
      <c r="R91">
        <v>246.93978886492982</v>
      </c>
      <c r="S91">
        <v>479.72200392386657</v>
      </c>
      <c r="T91">
        <f t="shared" si="19"/>
        <v>23.016318213159746</v>
      </c>
      <c r="U91">
        <f t="shared" si="20"/>
        <v>741.35992910176117</v>
      </c>
      <c r="V91">
        <f t="shared" si="21"/>
        <v>447.46614191879229</v>
      </c>
      <c r="W91">
        <f t="shared" si="22"/>
        <v>244.64220722592742</v>
      </c>
      <c r="X91">
        <f t="shared" si="23"/>
        <v>124.30120769629029</v>
      </c>
      <c r="Y91">
        <f t="shared" si="24"/>
        <v>763.37181736314869</v>
      </c>
      <c r="Z91">
        <f t="shared" si="25"/>
        <v>215.99214787831383</v>
      </c>
      <c r="AA91">
        <f t="shared" si="26"/>
        <v>101.33373748429376</v>
      </c>
      <c r="AB91">
        <f t="shared" si="27"/>
        <v>194.55047442218293</v>
      </c>
      <c r="AC91">
        <f t="shared" si="28"/>
        <v>73.886372489832127</v>
      </c>
      <c r="AD91">
        <f t="shared" si="29"/>
        <v>742.48095023193162</v>
      </c>
      <c r="AE91">
        <f t="shared" si="30"/>
        <v>166.93088003852856</v>
      </c>
      <c r="AF91">
        <f t="shared" si="31"/>
        <v>442.48604418885139</v>
      </c>
      <c r="AG91">
        <f t="shared" si="32"/>
        <v>149.17729936441083</v>
      </c>
      <c r="AH91">
        <f t="shared" si="33"/>
        <v>709.43522975735652</v>
      </c>
      <c r="AI91">
        <f t="shared" si="34"/>
        <v>244.71119635759109</v>
      </c>
      <c r="AJ91">
        <f t="shared" si="34"/>
        <v>485.22642441997522</v>
      </c>
    </row>
    <row r="92" spans="1:36" x14ac:dyDescent="0.25">
      <c r="A92" s="8">
        <v>39264</v>
      </c>
      <c r="B92" s="9">
        <f t="shared" si="18"/>
        <v>7</v>
      </c>
      <c r="C92">
        <v>32.394290748903657</v>
      </c>
      <c r="D92">
        <v>744.00964027988744</v>
      </c>
      <c r="E92">
        <v>356.71577913406196</v>
      </c>
      <c r="F92">
        <v>255.71318703906243</v>
      </c>
      <c r="G92">
        <v>143.26181202367243</v>
      </c>
      <c r="H92">
        <v>915.82979019694812</v>
      </c>
      <c r="I92">
        <v>293.89289620631649</v>
      </c>
      <c r="J92">
        <v>112.46839058084363</v>
      </c>
      <c r="K92">
        <v>205.08586842631686</v>
      </c>
      <c r="L92">
        <v>99.200704786641083</v>
      </c>
      <c r="M92">
        <v>750.11321642136295</v>
      </c>
      <c r="N92">
        <v>158.46640919292804</v>
      </c>
      <c r="O92">
        <v>412.29464779067138</v>
      </c>
      <c r="P92">
        <v>169.70481527593833</v>
      </c>
      <c r="Q92">
        <v>734.60879894274308</v>
      </c>
      <c r="R92">
        <v>239.01897752976612</v>
      </c>
      <c r="S92">
        <v>525.10342493518237</v>
      </c>
      <c r="T92" t="str">
        <f t="shared" si="19"/>
        <v/>
      </c>
      <c r="U92" t="str">
        <f t="shared" si="20"/>
        <v/>
      </c>
      <c r="V92" t="str">
        <f t="shared" si="21"/>
        <v/>
      </c>
      <c r="W92" t="str">
        <f t="shared" si="22"/>
        <v/>
      </c>
      <c r="X92" t="str">
        <f t="shared" si="23"/>
        <v/>
      </c>
      <c r="Y92" t="str">
        <f t="shared" si="24"/>
        <v/>
      </c>
      <c r="Z92" t="str">
        <f t="shared" si="25"/>
        <v/>
      </c>
      <c r="AA92" t="str">
        <f t="shared" si="26"/>
        <v/>
      </c>
      <c r="AB92" t="str">
        <f t="shared" si="27"/>
        <v/>
      </c>
      <c r="AC92" t="str">
        <f t="shared" si="28"/>
        <v/>
      </c>
      <c r="AD92" t="str">
        <f t="shared" si="29"/>
        <v/>
      </c>
      <c r="AE92" t="str">
        <f t="shared" si="30"/>
        <v/>
      </c>
      <c r="AF92" t="str">
        <f t="shared" si="31"/>
        <v/>
      </c>
      <c r="AG92" t="str">
        <f t="shared" si="32"/>
        <v/>
      </c>
      <c r="AH92" t="str">
        <f t="shared" si="33"/>
        <v/>
      </c>
      <c r="AI92" t="str">
        <f t="shared" si="34"/>
        <v/>
      </c>
      <c r="AJ92" t="str">
        <f t="shared" si="34"/>
        <v/>
      </c>
    </row>
    <row r="93" spans="1:36" x14ac:dyDescent="0.25">
      <c r="A93" s="8">
        <v>39295</v>
      </c>
      <c r="B93" s="9">
        <f t="shared" si="18"/>
        <v>8</v>
      </c>
      <c r="C93">
        <v>35.262925589748455</v>
      </c>
      <c r="D93">
        <v>671.72355997618899</v>
      </c>
      <c r="E93">
        <v>354.29354888983227</v>
      </c>
      <c r="F93">
        <v>266.94362691724228</v>
      </c>
      <c r="G93">
        <v>151.79813474889102</v>
      </c>
      <c r="H93">
        <v>885.40809362416519</v>
      </c>
      <c r="I93">
        <v>215.95895420368532</v>
      </c>
      <c r="J93">
        <v>136.49297588771643</v>
      </c>
      <c r="K93">
        <v>228.6725891976424</v>
      </c>
      <c r="L93">
        <v>131.87113631909679</v>
      </c>
      <c r="M93">
        <v>709.81216378919555</v>
      </c>
      <c r="N93">
        <v>115.98937449685981</v>
      </c>
      <c r="O93">
        <v>457.52816705306878</v>
      </c>
      <c r="P93">
        <v>147.08899900077336</v>
      </c>
      <c r="Q93">
        <v>754.26788820359809</v>
      </c>
      <c r="R93">
        <v>227.19980501164156</v>
      </c>
      <c r="S93">
        <v>537.77815017758076</v>
      </c>
      <c r="T93" t="str">
        <f t="shared" si="19"/>
        <v/>
      </c>
      <c r="U93" t="str">
        <f t="shared" si="20"/>
        <v/>
      </c>
      <c r="V93" t="str">
        <f t="shared" si="21"/>
        <v/>
      </c>
      <c r="W93" t="str">
        <f t="shared" si="22"/>
        <v/>
      </c>
      <c r="X93" t="str">
        <f t="shared" si="23"/>
        <v/>
      </c>
      <c r="Y93" t="str">
        <f t="shared" si="24"/>
        <v/>
      </c>
      <c r="Z93" t="str">
        <f t="shared" si="25"/>
        <v/>
      </c>
      <c r="AA93" t="str">
        <f t="shared" si="26"/>
        <v/>
      </c>
      <c r="AB93" t="str">
        <f t="shared" si="27"/>
        <v/>
      </c>
      <c r="AC93" t="str">
        <f t="shared" si="28"/>
        <v/>
      </c>
      <c r="AD93" t="str">
        <f t="shared" si="29"/>
        <v/>
      </c>
      <c r="AE93" t="str">
        <f t="shared" si="30"/>
        <v/>
      </c>
      <c r="AF93" t="str">
        <f t="shared" si="31"/>
        <v/>
      </c>
      <c r="AG93" t="str">
        <f t="shared" si="32"/>
        <v/>
      </c>
      <c r="AH93" t="str">
        <f t="shared" si="33"/>
        <v/>
      </c>
      <c r="AI93" t="str">
        <f t="shared" si="34"/>
        <v/>
      </c>
      <c r="AJ93" t="str">
        <f t="shared" si="34"/>
        <v/>
      </c>
    </row>
    <row r="94" spans="1:36" x14ac:dyDescent="0.25">
      <c r="A94" s="8">
        <v>39326</v>
      </c>
      <c r="B94" s="9">
        <f t="shared" si="18"/>
        <v>9</v>
      </c>
      <c r="C94">
        <v>29.288599496184997</v>
      </c>
      <c r="D94">
        <v>715.16533420340284</v>
      </c>
      <c r="E94">
        <v>429.83477371599815</v>
      </c>
      <c r="F94">
        <v>281.03581303993639</v>
      </c>
      <c r="G94">
        <v>164.61149992699941</v>
      </c>
      <c r="H94">
        <v>881.85865194979965</v>
      </c>
      <c r="I94">
        <v>240.65404366467848</v>
      </c>
      <c r="J94">
        <v>118.42819380890968</v>
      </c>
      <c r="K94">
        <v>203.72263885684762</v>
      </c>
      <c r="L94">
        <v>124.20124373181238</v>
      </c>
      <c r="M94">
        <v>676.40669295138832</v>
      </c>
      <c r="N94">
        <v>99.620110696739545</v>
      </c>
      <c r="O94">
        <v>511.59739624410969</v>
      </c>
      <c r="P94">
        <v>190.62037581060585</v>
      </c>
      <c r="Q94">
        <v>753.3528144105502</v>
      </c>
      <c r="R94">
        <v>255.15070380920471</v>
      </c>
      <c r="S94">
        <v>510.80712920904188</v>
      </c>
      <c r="T94">
        <f t="shared" si="19"/>
        <v>32.315271944945707</v>
      </c>
      <c r="U94">
        <f t="shared" si="20"/>
        <v>710.29951148649309</v>
      </c>
      <c r="V94">
        <f t="shared" si="21"/>
        <v>380.28136724663074</v>
      </c>
      <c r="W94">
        <f t="shared" si="22"/>
        <v>267.89754233208038</v>
      </c>
      <c r="X94">
        <f t="shared" si="23"/>
        <v>153.22381556652093</v>
      </c>
      <c r="Y94">
        <f t="shared" si="24"/>
        <v>894.36551192363765</v>
      </c>
      <c r="Z94">
        <f t="shared" si="25"/>
        <v>250.16863135822678</v>
      </c>
      <c r="AA94">
        <f t="shared" si="26"/>
        <v>122.46318675915659</v>
      </c>
      <c r="AB94">
        <f t="shared" si="27"/>
        <v>212.49369882693563</v>
      </c>
      <c r="AC94">
        <f t="shared" si="28"/>
        <v>118.42436161251675</v>
      </c>
      <c r="AD94">
        <f t="shared" si="29"/>
        <v>712.11069105398235</v>
      </c>
      <c r="AE94">
        <f t="shared" si="30"/>
        <v>124.69196479550912</v>
      </c>
      <c r="AF94">
        <f t="shared" si="31"/>
        <v>460.47340369594991</v>
      </c>
      <c r="AG94">
        <f t="shared" si="32"/>
        <v>169.1380633624392</v>
      </c>
      <c r="AH94">
        <f t="shared" si="33"/>
        <v>747.4098338522972</v>
      </c>
      <c r="AI94">
        <f t="shared" si="34"/>
        <v>240.45649545020413</v>
      </c>
      <c r="AJ94">
        <f t="shared" si="34"/>
        <v>524.56290144060165</v>
      </c>
    </row>
    <row r="95" spans="1:36" x14ac:dyDescent="0.25">
      <c r="A95" s="8">
        <v>39356</v>
      </c>
      <c r="B95" s="9">
        <f t="shared" si="18"/>
        <v>10</v>
      </c>
      <c r="C95">
        <v>9.9023171985537726</v>
      </c>
      <c r="D95">
        <v>764.43184852113586</v>
      </c>
      <c r="E95">
        <v>456.80360860123852</v>
      </c>
      <c r="F95">
        <v>307.52987004959863</v>
      </c>
      <c r="G95">
        <v>143.37826348698792</v>
      </c>
      <c r="H95">
        <v>807.83448214156419</v>
      </c>
      <c r="I95">
        <v>231.01001058361584</v>
      </c>
      <c r="J95">
        <v>128.44083146284328</v>
      </c>
      <c r="K95">
        <v>196.95293533327634</v>
      </c>
      <c r="L95">
        <v>116.24553681186271</v>
      </c>
      <c r="M95">
        <v>697.35821665879644</v>
      </c>
      <c r="N95">
        <v>116.99408096212596</v>
      </c>
      <c r="O95">
        <v>432.73845404714672</v>
      </c>
      <c r="P95">
        <v>121.01463023611255</v>
      </c>
      <c r="Q95">
        <v>837.85359199411062</v>
      </c>
      <c r="R95">
        <v>188.2791434788146</v>
      </c>
      <c r="S95">
        <v>513.62471512198101</v>
      </c>
      <c r="T95" t="str">
        <f t="shared" si="19"/>
        <v/>
      </c>
      <c r="U95" t="str">
        <f t="shared" si="20"/>
        <v/>
      </c>
      <c r="V95" t="str">
        <f t="shared" si="21"/>
        <v/>
      </c>
      <c r="W95" t="str">
        <f t="shared" si="22"/>
        <v/>
      </c>
      <c r="X95" t="str">
        <f t="shared" si="23"/>
        <v/>
      </c>
      <c r="Y95" t="str">
        <f t="shared" si="24"/>
        <v/>
      </c>
      <c r="Z95" t="str">
        <f t="shared" si="25"/>
        <v/>
      </c>
      <c r="AA95" t="str">
        <f t="shared" si="26"/>
        <v/>
      </c>
      <c r="AB95" t="str">
        <f t="shared" si="27"/>
        <v/>
      </c>
      <c r="AC95" t="str">
        <f t="shared" si="28"/>
        <v/>
      </c>
      <c r="AD95" t="str">
        <f t="shared" si="29"/>
        <v/>
      </c>
      <c r="AE95" t="str">
        <f t="shared" si="30"/>
        <v/>
      </c>
      <c r="AF95" t="str">
        <f t="shared" si="31"/>
        <v/>
      </c>
      <c r="AG95" t="str">
        <f t="shared" si="32"/>
        <v/>
      </c>
      <c r="AH95" t="str">
        <f t="shared" si="33"/>
        <v/>
      </c>
      <c r="AI95" t="str">
        <f t="shared" si="34"/>
        <v/>
      </c>
      <c r="AJ95" t="str">
        <f t="shared" si="34"/>
        <v/>
      </c>
    </row>
    <row r="96" spans="1:36" x14ac:dyDescent="0.25">
      <c r="A96" s="8">
        <v>39387</v>
      </c>
      <c r="B96" s="9">
        <f t="shared" si="18"/>
        <v>11</v>
      </c>
      <c r="C96">
        <v>17.514461679811713</v>
      </c>
      <c r="D96">
        <v>700.54737472724992</v>
      </c>
      <c r="E96">
        <v>448.48804248231903</v>
      </c>
      <c r="F96">
        <v>334.46541140945544</v>
      </c>
      <c r="G96">
        <v>139.81653135904119</v>
      </c>
      <c r="H96">
        <v>802.46036254102705</v>
      </c>
      <c r="I96">
        <v>265.78964908697441</v>
      </c>
      <c r="J96">
        <v>133.28414870545865</v>
      </c>
      <c r="K96">
        <v>185.65340504952988</v>
      </c>
      <c r="L96">
        <v>83.66472506223289</v>
      </c>
      <c r="M96">
        <v>713.96637918527074</v>
      </c>
      <c r="N96">
        <v>135.05974457438199</v>
      </c>
      <c r="O96">
        <v>412.47258100320107</v>
      </c>
      <c r="P96">
        <v>159.04338698550271</v>
      </c>
      <c r="Q96">
        <v>829.08527899973535</v>
      </c>
      <c r="R96">
        <v>254.66042606539472</v>
      </c>
      <c r="S96">
        <v>519.29948861320486</v>
      </c>
      <c r="T96" t="str">
        <f t="shared" si="19"/>
        <v/>
      </c>
      <c r="U96" t="str">
        <f t="shared" si="20"/>
        <v/>
      </c>
      <c r="V96" t="str">
        <f t="shared" si="21"/>
        <v/>
      </c>
      <c r="W96" t="str">
        <f t="shared" si="22"/>
        <v/>
      </c>
      <c r="X96" t="str">
        <f t="shared" si="23"/>
        <v/>
      </c>
      <c r="Y96" t="str">
        <f t="shared" si="24"/>
        <v/>
      </c>
      <c r="Z96" t="str">
        <f t="shared" si="25"/>
        <v/>
      </c>
      <c r="AA96" t="str">
        <f t="shared" si="26"/>
        <v/>
      </c>
      <c r="AB96" t="str">
        <f t="shared" si="27"/>
        <v/>
      </c>
      <c r="AC96" t="str">
        <f t="shared" si="28"/>
        <v/>
      </c>
      <c r="AD96" t="str">
        <f t="shared" si="29"/>
        <v/>
      </c>
      <c r="AE96" t="str">
        <f t="shared" si="30"/>
        <v/>
      </c>
      <c r="AF96" t="str">
        <f t="shared" si="31"/>
        <v/>
      </c>
      <c r="AG96" t="str">
        <f t="shared" si="32"/>
        <v/>
      </c>
      <c r="AH96" t="str">
        <f t="shared" si="33"/>
        <v/>
      </c>
      <c r="AI96" t="str">
        <f t="shared" si="34"/>
        <v/>
      </c>
      <c r="AJ96" t="str">
        <f t="shared" si="34"/>
        <v/>
      </c>
    </row>
    <row r="97" spans="1:36" x14ac:dyDescent="0.25">
      <c r="A97" s="8">
        <v>39417</v>
      </c>
      <c r="B97" s="9">
        <f t="shared" si="18"/>
        <v>12</v>
      </c>
      <c r="C97">
        <v>23.095367254494565</v>
      </c>
      <c r="D97">
        <v>866.5953502114769</v>
      </c>
      <c r="E97">
        <v>463.87634565360406</v>
      </c>
      <c r="F97">
        <v>321.19396586932294</v>
      </c>
      <c r="G97">
        <v>129.44228660715217</v>
      </c>
      <c r="H97">
        <v>953.7044010430775</v>
      </c>
      <c r="I97">
        <v>226.51353459672114</v>
      </c>
      <c r="J97">
        <v>125.1456938345067</v>
      </c>
      <c r="K97">
        <v>240.24535637351798</v>
      </c>
      <c r="L97">
        <v>95.857624777313376</v>
      </c>
      <c r="M97">
        <v>805.30485704544287</v>
      </c>
      <c r="N97">
        <v>141.25052108746206</v>
      </c>
      <c r="O97">
        <v>427.7435578917063</v>
      </c>
      <c r="P97">
        <v>174.73917464487076</v>
      </c>
      <c r="Q97">
        <v>833.57151647333637</v>
      </c>
      <c r="R97">
        <v>252.32938725426968</v>
      </c>
      <c r="S97">
        <v>505.90596365698036</v>
      </c>
      <c r="T97">
        <f t="shared" si="19"/>
        <v>16.837382044286684</v>
      </c>
      <c r="U97">
        <f t="shared" si="20"/>
        <v>777.19152448662089</v>
      </c>
      <c r="V97">
        <f t="shared" si="21"/>
        <v>456.38933224572048</v>
      </c>
      <c r="W97">
        <f t="shared" si="22"/>
        <v>321.06308244279234</v>
      </c>
      <c r="X97">
        <f t="shared" si="23"/>
        <v>137.54569381772708</v>
      </c>
      <c r="Y97">
        <f t="shared" si="24"/>
        <v>854.66641524188947</v>
      </c>
      <c r="Z97">
        <f t="shared" si="25"/>
        <v>241.1043980891038</v>
      </c>
      <c r="AA97">
        <f t="shared" si="26"/>
        <v>128.95689133426956</v>
      </c>
      <c r="AB97">
        <f t="shared" si="27"/>
        <v>207.6172322521081</v>
      </c>
      <c r="AC97">
        <f t="shared" si="28"/>
        <v>98.589295550469657</v>
      </c>
      <c r="AD97">
        <f t="shared" si="29"/>
        <v>738.87648429650335</v>
      </c>
      <c r="AE97">
        <f t="shared" si="30"/>
        <v>131.10144887465665</v>
      </c>
      <c r="AF97">
        <f t="shared" si="31"/>
        <v>424.31819764735138</v>
      </c>
      <c r="AG97">
        <f t="shared" si="32"/>
        <v>151.59906395549535</v>
      </c>
      <c r="AH97">
        <f t="shared" si="33"/>
        <v>833.50346248906078</v>
      </c>
      <c r="AI97">
        <f t="shared" si="34"/>
        <v>231.75631893282636</v>
      </c>
      <c r="AJ97">
        <f t="shared" si="34"/>
        <v>512.94338913072215</v>
      </c>
    </row>
    <row r="98" spans="1:36" x14ac:dyDescent="0.25">
      <c r="A98" s="8">
        <v>39448</v>
      </c>
      <c r="B98" s="9">
        <f t="shared" si="18"/>
        <v>1</v>
      </c>
      <c r="C98">
        <v>23.588317126367379</v>
      </c>
      <c r="D98">
        <v>810.70388630927835</v>
      </c>
      <c r="E98">
        <v>416.40856010425199</v>
      </c>
      <c r="F98">
        <v>353.38970551359427</v>
      </c>
      <c r="G98">
        <v>120.99380858996754</v>
      </c>
      <c r="H98">
        <v>893.7573504755718</v>
      </c>
      <c r="I98">
        <v>241.23857127273595</v>
      </c>
      <c r="J98">
        <v>162.03221951203591</v>
      </c>
      <c r="K98">
        <v>234.09656701254332</v>
      </c>
      <c r="L98">
        <v>57.608224905064056</v>
      </c>
      <c r="M98">
        <v>798.00255232893539</v>
      </c>
      <c r="N98">
        <v>143.46858961306279</v>
      </c>
      <c r="O98">
        <v>431.04946091050658</v>
      </c>
      <c r="P98">
        <v>180.9749828564394</v>
      </c>
      <c r="Q98">
        <v>890.35405816234368</v>
      </c>
      <c r="R98">
        <v>254.71718389314873</v>
      </c>
      <c r="S98">
        <v>465.78059661602964</v>
      </c>
      <c r="T98" t="str">
        <f t="shared" si="19"/>
        <v/>
      </c>
      <c r="U98" t="str">
        <f t="shared" si="20"/>
        <v/>
      </c>
      <c r="V98" t="str">
        <f t="shared" si="21"/>
        <v/>
      </c>
      <c r="W98" t="str">
        <f t="shared" si="22"/>
        <v/>
      </c>
      <c r="X98" t="str">
        <f t="shared" si="23"/>
        <v/>
      </c>
      <c r="Y98" t="str">
        <f t="shared" si="24"/>
        <v/>
      </c>
      <c r="Z98" t="str">
        <f t="shared" si="25"/>
        <v/>
      </c>
      <c r="AA98" t="str">
        <f t="shared" si="26"/>
        <v/>
      </c>
      <c r="AB98" t="str">
        <f t="shared" si="27"/>
        <v/>
      </c>
      <c r="AC98" t="str">
        <f t="shared" si="28"/>
        <v/>
      </c>
      <c r="AD98" t="str">
        <f t="shared" si="29"/>
        <v/>
      </c>
      <c r="AE98" t="str">
        <f t="shared" si="30"/>
        <v/>
      </c>
      <c r="AF98" t="str">
        <f t="shared" si="31"/>
        <v/>
      </c>
      <c r="AG98" t="str">
        <f t="shared" si="32"/>
        <v/>
      </c>
      <c r="AH98" t="str">
        <f t="shared" si="33"/>
        <v/>
      </c>
      <c r="AI98" t="str">
        <f t="shared" si="34"/>
        <v/>
      </c>
      <c r="AJ98" t="str">
        <f t="shared" si="34"/>
        <v/>
      </c>
    </row>
    <row r="99" spans="1:36" x14ac:dyDescent="0.25">
      <c r="A99" s="8">
        <v>39479</v>
      </c>
      <c r="B99" s="9">
        <f t="shared" si="18"/>
        <v>2</v>
      </c>
      <c r="C99">
        <v>15.290762827173587</v>
      </c>
      <c r="D99">
        <v>811.47430938203183</v>
      </c>
      <c r="E99">
        <v>446.90248348054445</v>
      </c>
      <c r="F99">
        <v>318.25079787190651</v>
      </c>
      <c r="G99">
        <v>111.14979002424023</v>
      </c>
      <c r="H99">
        <v>824.9905005099339</v>
      </c>
      <c r="I99">
        <v>260.97112463190984</v>
      </c>
      <c r="J99">
        <v>189.83426873936321</v>
      </c>
      <c r="K99">
        <v>198.84473194231524</v>
      </c>
      <c r="L99">
        <v>109.9402599213537</v>
      </c>
      <c r="M99">
        <v>792.05492790407311</v>
      </c>
      <c r="N99">
        <v>172.19641759148698</v>
      </c>
      <c r="O99">
        <v>415.94919176444256</v>
      </c>
      <c r="P99">
        <v>165.04392102854089</v>
      </c>
      <c r="Q99">
        <v>820.40728329690091</v>
      </c>
      <c r="R99">
        <v>293.45990227395191</v>
      </c>
      <c r="S99">
        <v>418.83494792131711</v>
      </c>
      <c r="T99" t="str">
        <f t="shared" si="19"/>
        <v/>
      </c>
      <c r="U99" t="str">
        <f t="shared" si="20"/>
        <v/>
      </c>
      <c r="V99" t="str">
        <f t="shared" si="21"/>
        <v/>
      </c>
      <c r="W99" t="str">
        <f t="shared" si="22"/>
        <v/>
      </c>
      <c r="X99" t="str">
        <f t="shared" si="23"/>
        <v/>
      </c>
      <c r="Y99" t="str">
        <f t="shared" si="24"/>
        <v/>
      </c>
      <c r="Z99" t="str">
        <f t="shared" si="25"/>
        <v/>
      </c>
      <c r="AA99" t="str">
        <f t="shared" si="26"/>
        <v/>
      </c>
      <c r="AB99" t="str">
        <f t="shared" si="27"/>
        <v/>
      </c>
      <c r="AC99" t="str">
        <f t="shared" si="28"/>
        <v/>
      </c>
      <c r="AD99" t="str">
        <f t="shared" si="29"/>
        <v/>
      </c>
      <c r="AE99" t="str">
        <f t="shared" si="30"/>
        <v/>
      </c>
      <c r="AF99" t="str">
        <f t="shared" si="31"/>
        <v/>
      </c>
      <c r="AG99" t="str">
        <f t="shared" si="32"/>
        <v/>
      </c>
      <c r="AH99" t="str">
        <f t="shared" si="33"/>
        <v/>
      </c>
      <c r="AI99" t="str">
        <f t="shared" si="34"/>
        <v/>
      </c>
      <c r="AJ99" t="str">
        <f t="shared" si="34"/>
        <v/>
      </c>
    </row>
    <row r="100" spans="1:36" x14ac:dyDescent="0.25">
      <c r="A100" s="8">
        <v>39508</v>
      </c>
      <c r="B100" s="9">
        <f t="shared" si="18"/>
        <v>3</v>
      </c>
      <c r="C100">
        <v>26.810675052714714</v>
      </c>
      <c r="D100">
        <v>923.11134067726175</v>
      </c>
      <c r="E100">
        <v>490.30180376358351</v>
      </c>
      <c r="F100">
        <v>300.0660934511036</v>
      </c>
      <c r="G100">
        <v>108.06084030950237</v>
      </c>
      <c r="H100">
        <v>858.0516839202096</v>
      </c>
      <c r="I100">
        <v>243.85227184494906</v>
      </c>
      <c r="J100">
        <v>156.60069607767667</v>
      </c>
      <c r="K100">
        <v>211.56058408728381</v>
      </c>
      <c r="L100">
        <v>104.26441173433916</v>
      </c>
      <c r="M100">
        <v>820.34987112255533</v>
      </c>
      <c r="N100">
        <v>147.13704939215594</v>
      </c>
      <c r="O100">
        <v>492.61248844901525</v>
      </c>
      <c r="P100">
        <v>142.25137890062271</v>
      </c>
      <c r="Q100">
        <v>780.499076278546</v>
      </c>
      <c r="R100">
        <v>288.20990780623862</v>
      </c>
      <c r="S100">
        <v>471.13689966590294</v>
      </c>
      <c r="T100">
        <f t="shared" si="19"/>
        <v>21.896585002085228</v>
      </c>
      <c r="U100">
        <f t="shared" si="20"/>
        <v>848.42984545619072</v>
      </c>
      <c r="V100">
        <f t="shared" si="21"/>
        <v>451.20428244945998</v>
      </c>
      <c r="W100">
        <f t="shared" si="22"/>
        <v>323.90219894553479</v>
      </c>
      <c r="X100">
        <f t="shared" si="23"/>
        <v>113.40147964123672</v>
      </c>
      <c r="Y100">
        <f t="shared" si="24"/>
        <v>858.93317830190517</v>
      </c>
      <c r="Z100">
        <f t="shared" si="25"/>
        <v>248.68732258319827</v>
      </c>
      <c r="AA100">
        <f t="shared" si="26"/>
        <v>169.48906144302526</v>
      </c>
      <c r="AB100">
        <f t="shared" si="27"/>
        <v>214.83396101404745</v>
      </c>
      <c r="AC100">
        <f t="shared" si="28"/>
        <v>90.604298853585647</v>
      </c>
      <c r="AD100">
        <f t="shared" si="29"/>
        <v>803.46911711852124</v>
      </c>
      <c r="AE100">
        <f t="shared" si="30"/>
        <v>154.2673521989019</v>
      </c>
      <c r="AF100">
        <f t="shared" si="31"/>
        <v>446.5370470413215</v>
      </c>
      <c r="AG100">
        <f t="shared" si="32"/>
        <v>162.75676092853436</v>
      </c>
      <c r="AH100">
        <f t="shared" si="33"/>
        <v>830.42013924593027</v>
      </c>
      <c r="AI100">
        <f t="shared" si="34"/>
        <v>278.79566465777975</v>
      </c>
      <c r="AJ100">
        <f t="shared" si="34"/>
        <v>451.91748140108325</v>
      </c>
    </row>
    <row r="101" spans="1:36" x14ac:dyDescent="0.25">
      <c r="A101" s="8">
        <v>39539</v>
      </c>
      <c r="B101" s="9">
        <f t="shared" si="18"/>
        <v>4</v>
      </c>
      <c r="C101">
        <v>27.311435188407582</v>
      </c>
      <c r="D101">
        <v>986.06944593544279</v>
      </c>
      <c r="E101">
        <v>510.00206845481898</v>
      </c>
      <c r="F101">
        <v>281.2195749302839</v>
      </c>
      <c r="G101">
        <v>142.0982965267533</v>
      </c>
      <c r="H101">
        <v>807.60441114397702</v>
      </c>
      <c r="I101">
        <v>241.02943407328482</v>
      </c>
      <c r="J101">
        <v>148.38504499424221</v>
      </c>
      <c r="K101">
        <v>218.21053729273197</v>
      </c>
      <c r="L101">
        <v>104.36336895681988</v>
      </c>
      <c r="M101">
        <v>783.25849680142653</v>
      </c>
      <c r="N101">
        <v>114.90763665927315</v>
      </c>
      <c r="O101">
        <v>488.16543660328045</v>
      </c>
      <c r="P101">
        <v>149.33845285804998</v>
      </c>
      <c r="Q101">
        <v>767.83819267013916</v>
      </c>
      <c r="R101">
        <v>261.51287884734791</v>
      </c>
      <c r="S101">
        <v>450.5593797540069</v>
      </c>
      <c r="T101" t="str">
        <f t="shared" si="19"/>
        <v/>
      </c>
      <c r="U101" t="str">
        <f t="shared" si="20"/>
        <v/>
      </c>
      <c r="V101" t="str">
        <f t="shared" si="21"/>
        <v/>
      </c>
      <c r="W101" t="str">
        <f t="shared" si="22"/>
        <v/>
      </c>
      <c r="X101" t="str">
        <f t="shared" si="23"/>
        <v/>
      </c>
      <c r="Y101" t="str">
        <f t="shared" si="24"/>
        <v/>
      </c>
      <c r="Z101" t="str">
        <f t="shared" si="25"/>
        <v/>
      </c>
      <c r="AA101" t="str">
        <f t="shared" si="26"/>
        <v/>
      </c>
      <c r="AB101" t="str">
        <f t="shared" si="27"/>
        <v/>
      </c>
      <c r="AC101" t="str">
        <f t="shared" si="28"/>
        <v/>
      </c>
      <c r="AD101" t="str">
        <f t="shared" si="29"/>
        <v/>
      </c>
      <c r="AE101" t="str">
        <f t="shared" si="30"/>
        <v/>
      </c>
      <c r="AF101" t="str">
        <f t="shared" si="31"/>
        <v/>
      </c>
      <c r="AG101" t="str">
        <f t="shared" si="32"/>
        <v/>
      </c>
      <c r="AH101" t="str">
        <f t="shared" si="33"/>
        <v/>
      </c>
      <c r="AI101" t="str">
        <f t="shared" si="34"/>
        <v/>
      </c>
      <c r="AJ101" t="str">
        <f t="shared" si="34"/>
        <v/>
      </c>
    </row>
    <row r="102" spans="1:36" x14ac:dyDescent="0.25">
      <c r="A102" s="8">
        <v>39569</v>
      </c>
      <c r="B102" s="9">
        <f t="shared" si="18"/>
        <v>5</v>
      </c>
      <c r="C102">
        <v>29.299253257325791</v>
      </c>
      <c r="D102">
        <v>880.64480143986043</v>
      </c>
      <c r="E102">
        <v>581.84273891749262</v>
      </c>
      <c r="F102">
        <v>311.01790635509235</v>
      </c>
      <c r="G102">
        <v>173.41047484386777</v>
      </c>
      <c r="H102">
        <v>904.88900615813384</v>
      </c>
      <c r="I102">
        <v>280.33477608281089</v>
      </c>
      <c r="J102">
        <v>166.51990998785973</v>
      </c>
      <c r="K102">
        <v>240.36140056387782</v>
      </c>
      <c r="L102">
        <v>125.69655822470928</v>
      </c>
      <c r="M102">
        <v>850.42770124059268</v>
      </c>
      <c r="N102">
        <v>184.52352032794084</v>
      </c>
      <c r="O102">
        <v>453.25734566374621</v>
      </c>
      <c r="P102">
        <v>192.10731598503793</v>
      </c>
      <c r="Q102">
        <v>899.98619529652001</v>
      </c>
      <c r="R102">
        <v>288.4224872798024</v>
      </c>
      <c r="S102">
        <v>520.37012173944345</v>
      </c>
      <c r="T102" t="str">
        <f t="shared" si="19"/>
        <v/>
      </c>
      <c r="U102" t="str">
        <f t="shared" si="20"/>
        <v/>
      </c>
      <c r="V102" t="str">
        <f t="shared" si="21"/>
        <v/>
      </c>
      <c r="W102" t="str">
        <f t="shared" si="22"/>
        <v/>
      </c>
      <c r="X102" t="str">
        <f t="shared" si="23"/>
        <v/>
      </c>
      <c r="Y102" t="str">
        <f t="shared" si="24"/>
        <v/>
      </c>
      <c r="Z102" t="str">
        <f t="shared" si="25"/>
        <v/>
      </c>
      <c r="AA102" t="str">
        <f t="shared" si="26"/>
        <v/>
      </c>
      <c r="AB102" t="str">
        <f t="shared" si="27"/>
        <v/>
      </c>
      <c r="AC102" t="str">
        <f t="shared" si="28"/>
        <v/>
      </c>
      <c r="AD102" t="str">
        <f t="shared" si="29"/>
        <v/>
      </c>
      <c r="AE102" t="str">
        <f t="shared" si="30"/>
        <v/>
      </c>
      <c r="AF102" t="str">
        <f t="shared" si="31"/>
        <v/>
      </c>
      <c r="AG102" t="str">
        <f t="shared" si="32"/>
        <v/>
      </c>
      <c r="AH102" t="str">
        <f t="shared" si="33"/>
        <v/>
      </c>
      <c r="AI102" t="str">
        <f t="shared" si="34"/>
        <v/>
      </c>
      <c r="AJ102" t="str">
        <f t="shared" si="34"/>
        <v/>
      </c>
    </row>
    <row r="103" spans="1:36" x14ac:dyDescent="0.25">
      <c r="A103" s="8">
        <v>39600</v>
      </c>
      <c r="B103" s="9">
        <f t="shared" si="18"/>
        <v>6</v>
      </c>
      <c r="C103">
        <v>24.984629092161281</v>
      </c>
      <c r="D103">
        <v>905.96123990349759</v>
      </c>
      <c r="E103">
        <v>555.47873611939872</v>
      </c>
      <c r="F103">
        <v>328.78877310763812</v>
      </c>
      <c r="G103">
        <v>165.88108080396876</v>
      </c>
      <c r="H103">
        <v>954.89298202926875</v>
      </c>
      <c r="I103">
        <v>323.4555546989385</v>
      </c>
      <c r="J103">
        <v>160.24108016641881</v>
      </c>
      <c r="K103">
        <v>189.77503914763497</v>
      </c>
      <c r="L103">
        <v>129.8136135351464</v>
      </c>
      <c r="M103">
        <v>902.3236851035349</v>
      </c>
      <c r="N103">
        <v>125.02183003845755</v>
      </c>
      <c r="O103">
        <v>480.06524009104714</v>
      </c>
      <c r="P103">
        <v>178.68834071421713</v>
      </c>
      <c r="Q103">
        <v>914.38785818210124</v>
      </c>
      <c r="R103">
        <v>310.60395318166957</v>
      </c>
      <c r="S103">
        <v>548.49334015071463</v>
      </c>
      <c r="T103">
        <f t="shared" si="19"/>
        <v>27.198439179298219</v>
      </c>
      <c r="U103">
        <f t="shared" si="20"/>
        <v>924.22516242626705</v>
      </c>
      <c r="V103">
        <f t="shared" si="21"/>
        <v>549.10784783057011</v>
      </c>
      <c r="W103">
        <f t="shared" si="22"/>
        <v>307.0087514643381</v>
      </c>
      <c r="X103">
        <f t="shared" si="23"/>
        <v>160.46328405819659</v>
      </c>
      <c r="Y103">
        <f t="shared" si="24"/>
        <v>889.12879977712657</v>
      </c>
      <c r="Z103">
        <f t="shared" si="25"/>
        <v>281.60658828501141</v>
      </c>
      <c r="AA103">
        <f t="shared" si="26"/>
        <v>158.38201171617357</v>
      </c>
      <c r="AB103">
        <f t="shared" si="27"/>
        <v>216.11565900141491</v>
      </c>
      <c r="AC103">
        <f t="shared" si="28"/>
        <v>119.95784690555853</v>
      </c>
      <c r="AD103">
        <f t="shared" si="29"/>
        <v>845.33662771518482</v>
      </c>
      <c r="AE103">
        <f t="shared" si="30"/>
        <v>141.48432900855718</v>
      </c>
      <c r="AF103">
        <f t="shared" si="31"/>
        <v>473.8293407860246</v>
      </c>
      <c r="AG103">
        <f t="shared" si="32"/>
        <v>173.37803651910167</v>
      </c>
      <c r="AH103">
        <f t="shared" si="33"/>
        <v>860.73741538292018</v>
      </c>
      <c r="AI103">
        <f t="shared" si="34"/>
        <v>286.8464397696066</v>
      </c>
      <c r="AJ103">
        <f t="shared" si="34"/>
        <v>506.47428054805499</v>
      </c>
    </row>
    <row r="104" spans="1:36" x14ac:dyDescent="0.25">
      <c r="A104" s="8">
        <v>39630</v>
      </c>
      <c r="B104" s="9">
        <f t="shared" si="18"/>
        <v>7</v>
      </c>
      <c r="C104">
        <v>12.761387264719621</v>
      </c>
      <c r="D104">
        <v>944.18079147350375</v>
      </c>
      <c r="E104">
        <v>578.94780196357112</v>
      </c>
      <c r="F104">
        <v>311.61809432695463</v>
      </c>
      <c r="G104">
        <v>192.77140882597098</v>
      </c>
      <c r="H104">
        <v>1101.3021401528883</v>
      </c>
      <c r="I104">
        <v>341.448381029345</v>
      </c>
      <c r="J104">
        <v>141.58967028481209</v>
      </c>
      <c r="K104">
        <v>229.73561222755689</v>
      </c>
      <c r="L104">
        <v>117.23719656603036</v>
      </c>
      <c r="M104">
        <v>874.29077445612415</v>
      </c>
      <c r="N104">
        <v>159.81505948393166</v>
      </c>
      <c r="O104">
        <v>516.80654688179504</v>
      </c>
      <c r="P104">
        <v>207.65123359850841</v>
      </c>
      <c r="Q104">
        <v>944.63529350213071</v>
      </c>
      <c r="R104">
        <v>346.2332514011427</v>
      </c>
      <c r="S104">
        <v>574.33187102285581</v>
      </c>
      <c r="T104" t="str">
        <f t="shared" si="19"/>
        <v/>
      </c>
      <c r="U104" t="str">
        <f t="shared" si="20"/>
        <v/>
      </c>
      <c r="V104" t="str">
        <f t="shared" si="21"/>
        <v/>
      </c>
      <c r="W104" t="str">
        <f t="shared" si="22"/>
        <v/>
      </c>
      <c r="X104" t="str">
        <f t="shared" si="23"/>
        <v/>
      </c>
      <c r="Y104" t="str">
        <f t="shared" si="24"/>
        <v/>
      </c>
      <c r="Z104" t="str">
        <f t="shared" si="25"/>
        <v/>
      </c>
      <c r="AA104" t="str">
        <f t="shared" si="26"/>
        <v/>
      </c>
      <c r="AB104" t="str">
        <f t="shared" si="27"/>
        <v/>
      </c>
      <c r="AC104" t="str">
        <f t="shared" si="28"/>
        <v/>
      </c>
      <c r="AD104" t="str">
        <f t="shared" si="29"/>
        <v/>
      </c>
      <c r="AE104" t="str">
        <f t="shared" si="30"/>
        <v/>
      </c>
      <c r="AF104" t="str">
        <f t="shared" si="31"/>
        <v/>
      </c>
      <c r="AG104" t="str">
        <f t="shared" si="32"/>
        <v/>
      </c>
      <c r="AH104" t="str">
        <f t="shared" si="33"/>
        <v/>
      </c>
      <c r="AI104" t="str">
        <f t="shared" si="34"/>
        <v/>
      </c>
      <c r="AJ104" t="str">
        <f t="shared" si="34"/>
        <v/>
      </c>
    </row>
    <row r="105" spans="1:36" x14ac:dyDescent="0.25">
      <c r="A105" s="8">
        <v>39661</v>
      </c>
      <c r="B105" s="9">
        <f t="shared" si="18"/>
        <v>8</v>
      </c>
      <c r="C105">
        <v>18.165749546234053</v>
      </c>
      <c r="D105">
        <v>979.89780971436892</v>
      </c>
      <c r="E105">
        <v>655.59891304834059</v>
      </c>
      <c r="F105">
        <v>344.40962061087339</v>
      </c>
      <c r="G105">
        <v>195.7397000709384</v>
      </c>
      <c r="H105">
        <v>1182.565604498029</v>
      </c>
      <c r="I105">
        <v>325.51861877531104</v>
      </c>
      <c r="J105">
        <v>140.39277519879403</v>
      </c>
      <c r="K105">
        <v>275.75223991480408</v>
      </c>
      <c r="L105">
        <v>120.96450098443465</v>
      </c>
      <c r="M105">
        <v>998.7254603241829</v>
      </c>
      <c r="N105">
        <v>184.62214047133307</v>
      </c>
      <c r="O105">
        <v>549.2248351889657</v>
      </c>
      <c r="P105">
        <v>202.38561516647763</v>
      </c>
      <c r="Q105">
        <v>951.95906857954117</v>
      </c>
      <c r="R105">
        <v>391.65824127529839</v>
      </c>
      <c r="S105">
        <v>557.89646946479957</v>
      </c>
      <c r="T105" t="str">
        <f t="shared" si="19"/>
        <v/>
      </c>
      <c r="U105" t="str">
        <f t="shared" si="20"/>
        <v/>
      </c>
      <c r="V105" t="str">
        <f t="shared" si="21"/>
        <v/>
      </c>
      <c r="W105" t="str">
        <f t="shared" si="22"/>
        <v/>
      </c>
      <c r="X105" t="str">
        <f t="shared" si="23"/>
        <v/>
      </c>
      <c r="Y105" t="str">
        <f t="shared" si="24"/>
        <v/>
      </c>
      <c r="Z105" t="str">
        <f t="shared" si="25"/>
        <v/>
      </c>
      <c r="AA105" t="str">
        <f t="shared" si="26"/>
        <v/>
      </c>
      <c r="AB105" t="str">
        <f t="shared" si="27"/>
        <v/>
      </c>
      <c r="AC105" t="str">
        <f t="shared" si="28"/>
        <v/>
      </c>
      <c r="AD105" t="str">
        <f t="shared" si="29"/>
        <v/>
      </c>
      <c r="AE105" t="str">
        <f t="shared" si="30"/>
        <v/>
      </c>
      <c r="AF105" t="str">
        <f t="shared" si="31"/>
        <v/>
      </c>
      <c r="AG105" t="str">
        <f t="shared" si="32"/>
        <v/>
      </c>
      <c r="AH105" t="str">
        <f t="shared" si="33"/>
        <v/>
      </c>
      <c r="AI105" t="str">
        <f t="shared" si="34"/>
        <v/>
      </c>
      <c r="AJ105" t="str">
        <f t="shared" si="34"/>
        <v/>
      </c>
    </row>
    <row r="106" spans="1:36" x14ac:dyDescent="0.25">
      <c r="A106" s="8">
        <v>39692</v>
      </c>
      <c r="B106" s="9">
        <f t="shared" si="18"/>
        <v>9</v>
      </c>
      <c r="C106">
        <v>29.288599496184997</v>
      </c>
      <c r="D106">
        <v>1163.9435808343972</v>
      </c>
      <c r="E106">
        <v>726.60030544620815</v>
      </c>
      <c r="F106">
        <v>312.73158142789913</v>
      </c>
      <c r="G106">
        <v>211.92498493595733</v>
      </c>
      <c r="H106">
        <v>1088.9928934542875</v>
      </c>
      <c r="I106">
        <v>362.05541390623506</v>
      </c>
      <c r="J106">
        <v>158.54096913128231</v>
      </c>
      <c r="K106">
        <v>278.6206678483357</v>
      </c>
      <c r="L106">
        <v>110.89396761768963</v>
      </c>
      <c r="M106">
        <v>982.08055724697761</v>
      </c>
      <c r="N106">
        <v>212.65062091034787</v>
      </c>
      <c r="O106">
        <v>596.21521653543584</v>
      </c>
      <c r="P106">
        <v>197.75589789977289</v>
      </c>
      <c r="Q106">
        <v>893.53636368296782</v>
      </c>
      <c r="R106">
        <v>371.30880632156641</v>
      </c>
      <c r="S106">
        <v>557.50949530815433</v>
      </c>
      <c r="T106">
        <f t="shared" si="19"/>
        <v>20.071912102379557</v>
      </c>
      <c r="U106">
        <f t="shared" si="20"/>
        <v>1029.3407273407565</v>
      </c>
      <c r="V106">
        <f t="shared" si="21"/>
        <v>653.71567348603992</v>
      </c>
      <c r="W106">
        <f t="shared" si="22"/>
        <v>322.91976545524238</v>
      </c>
      <c r="X106">
        <f t="shared" si="23"/>
        <v>200.14536461095557</v>
      </c>
      <c r="Y106">
        <f t="shared" si="24"/>
        <v>1124.2868793684017</v>
      </c>
      <c r="Z106">
        <f t="shared" si="25"/>
        <v>343.00747123696374</v>
      </c>
      <c r="AA106">
        <f t="shared" si="26"/>
        <v>146.84113820496282</v>
      </c>
      <c r="AB106">
        <f t="shared" si="27"/>
        <v>261.36950666356557</v>
      </c>
      <c r="AC106">
        <f t="shared" si="28"/>
        <v>116.36522172271822</v>
      </c>
      <c r="AD106">
        <f t="shared" si="29"/>
        <v>951.69893067576152</v>
      </c>
      <c r="AE106">
        <f t="shared" si="30"/>
        <v>185.69594028853757</v>
      </c>
      <c r="AF106">
        <f t="shared" si="31"/>
        <v>554.0821995353989</v>
      </c>
      <c r="AG106">
        <f t="shared" si="32"/>
        <v>202.59758222158632</v>
      </c>
      <c r="AH106">
        <f t="shared" si="33"/>
        <v>930.04357525488001</v>
      </c>
      <c r="AI106">
        <f t="shared" si="34"/>
        <v>369.73343299933578</v>
      </c>
      <c r="AJ106">
        <f t="shared" si="34"/>
        <v>563.24594526526982</v>
      </c>
    </row>
    <row r="107" spans="1:36" x14ac:dyDescent="0.25">
      <c r="A107" s="8">
        <v>39722</v>
      </c>
      <c r="B107" s="9">
        <f t="shared" si="18"/>
        <v>10</v>
      </c>
      <c r="C107">
        <v>16.50386199758962</v>
      </c>
      <c r="D107">
        <v>1285.5811742679946</v>
      </c>
      <c r="E107">
        <v>652.87940347648009</v>
      </c>
      <c r="F107">
        <v>402.47197758168949</v>
      </c>
      <c r="G107">
        <v>248.03393026581122</v>
      </c>
      <c r="H107">
        <v>1128.8700036160039</v>
      </c>
      <c r="I107">
        <v>334.85854745147981</v>
      </c>
      <c r="J107">
        <v>179.81716404798061</v>
      </c>
      <c r="K107">
        <v>316.70823772185145</v>
      </c>
      <c r="L107">
        <v>121.57790088580136</v>
      </c>
      <c r="M107">
        <v>1086.8456947037835</v>
      </c>
      <c r="N107">
        <v>242.98770661364625</v>
      </c>
      <c r="O107">
        <v>584.70009721254007</v>
      </c>
      <c r="P107">
        <v>259.76416317924162</v>
      </c>
      <c r="Q107">
        <v>924.27371091677367</v>
      </c>
      <c r="R107">
        <v>345.5232633072751</v>
      </c>
      <c r="S107">
        <v>576.2618755027105</v>
      </c>
      <c r="T107" t="str">
        <f t="shared" si="19"/>
        <v/>
      </c>
      <c r="U107" t="str">
        <f t="shared" si="20"/>
        <v/>
      </c>
      <c r="V107" t="str">
        <f t="shared" si="21"/>
        <v/>
      </c>
      <c r="W107" t="str">
        <f t="shared" si="22"/>
        <v/>
      </c>
      <c r="X107" t="str">
        <f t="shared" si="23"/>
        <v/>
      </c>
      <c r="Y107" t="str">
        <f t="shared" si="24"/>
        <v/>
      </c>
      <c r="Z107" t="str">
        <f t="shared" si="25"/>
        <v/>
      </c>
      <c r="AA107" t="str">
        <f t="shared" si="26"/>
        <v/>
      </c>
      <c r="AB107" t="str">
        <f t="shared" si="27"/>
        <v/>
      </c>
      <c r="AC107" t="str">
        <f t="shared" si="28"/>
        <v/>
      </c>
      <c r="AD107" t="str">
        <f t="shared" si="29"/>
        <v/>
      </c>
      <c r="AE107" t="str">
        <f t="shared" si="30"/>
        <v/>
      </c>
      <c r="AF107" t="str">
        <f t="shared" si="31"/>
        <v/>
      </c>
      <c r="AG107" t="str">
        <f t="shared" si="32"/>
        <v/>
      </c>
      <c r="AH107" t="str">
        <f t="shared" si="33"/>
        <v/>
      </c>
      <c r="AI107" t="str">
        <f t="shared" si="34"/>
        <v/>
      </c>
      <c r="AJ107" t="str">
        <f t="shared" si="34"/>
        <v/>
      </c>
    </row>
    <row r="108" spans="1:36" x14ac:dyDescent="0.25">
      <c r="A108" s="8">
        <v>39753</v>
      </c>
      <c r="B108" s="9">
        <f t="shared" si="18"/>
        <v>11</v>
      </c>
      <c r="C108">
        <v>35.028923359623427</v>
      </c>
      <c r="D108">
        <v>1343.5303915311754</v>
      </c>
      <c r="E108">
        <v>743.06314311275128</v>
      </c>
      <c r="F108">
        <v>431.06566998423602</v>
      </c>
      <c r="G108">
        <v>247.67499840744438</v>
      </c>
      <c r="H108">
        <v>1224.4713898534396</v>
      </c>
      <c r="I108">
        <v>363.53873490821701</v>
      </c>
      <c r="J108">
        <v>174.68301307609352</v>
      </c>
      <c r="K108">
        <v>332.93152525641949</v>
      </c>
      <c r="L108">
        <v>174.38551127429264</v>
      </c>
      <c r="M108">
        <v>1043.0849015490257</v>
      </c>
      <c r="N108">
        <v>238.34072571949761</v>
      </c>
      <c r="O108">
        <v>545.2340259944034</v>
      </c>
      <c r="P108">
        <v>271.30930721056342</v>
      </c>
      <c r="Q108">
        <v>1007.9075940781097</v>
      </c>
      <c r="R108">
        <v>433.4220584799267</v>
      </c>
      <c r="S108">
        <v>567.78180601485258</v>
      </c>
      <c r="T108" t="str">
        <f t="shared" si="19"/>
        <v/>
      </c>
      <c r="U108" t="str">
        <f t="shared" si="20"/>
        <v/>
      </c>
      <c r="V108" t="str">
        <f t="shared" si="21"/>
        <v/>
      </c>
      <c r="W108" t="str">
        <f t="shared" si="22"/>
        <v/>
      </c>
      <c r="X108" t="str">
        <f t="shared" si="23"/>
        <v/>
      </c>
      <c r="Y108" t="str">
        <f t="shared" si="24"/>
        <v/>
      </c>
      <c r="Z108" t="str">
        <f t="shared" si="25"/>
        <v/>
      </c>
      <c r="AA108" t="str">
        <f t="shared" si="26"/>
        <v/>
      </c>
      <c r="AB108" t="str">
        <f t="shared" si="27"/>
        <v/>
      </c>
      <c r="AC108" t="str">
        <f t="shared" si="28"/>
        <v/>
      </c>
      <c r="AD108" t="str">
        <f t="shared" si="29"/>
        <v/>
      </c>
      <c r="AE108" t="str">
        <f t="shared" si="30"/>
        <v/>
      </c>
      <c r="AF108" t="str">
        <f t="shared" si="31"/>
        <v/>
      </c>
      <c r="AG108" t="str">
        <f t="shared" si="32"/>
        <v/>
      </c>
      <c r="AH108" t="str">
        <f t="shared" si="33"/>
        <v/>
      </c>
      <c r="AI108" t="str">
        <f t="shared" si="34"/>
        <v/>
      </c>
      <c r="AJ108" t="str">
        <f t="shared" si="34"/>
        <v/>
      </c>
    </row>
    <row r="109" spans="1:36" x14ac:dyDescent="0.25">
      <c r="A109" s="8">
        <v>39783</v>
      </c>
      <c r="B109" s="9">
        <f t="shared" si="18"/>
        <v>12</v>
      </c>
      <c r="C109">
        <v>44.266120571114584</v>
      </c>
      <c r="D109">
        <v>1287.3596214918427</v>
      </c>
      <c r="E109">
        <v>847.91340741475778</v>
      </c>
      <c r="F109">
        <v>489.48728983919182</v>
      </c>
      <c r="G109">
        <v>242.5844334193296</v>
      </c>
      <c r="H109">
        <v>1398.9119475254295</v>
      </c>
      <c r="I109">
        <v>454.10570507247428</v>
      </c>
      <c r="J109">
        <v>219.25525559805575</v>
      </c>
      <c r="K109">
        <v>364.17282527207476</v>
      </c>
      <c r="L109">
        <v>211.29906536934666</v>
      </c>
      <c r="M109">
        <v>1150.2922428781108</v>
      </c>
      <c r="N109">
        <v>272.58872490562851</v>
      </c>
      <c r="O109">
        <v>599.05117444293023</v>
      </c>
      <c r="P109">
        <v>178.75616716544252</v>
      </c>
      <c r="Q109">
        <v>1094.1288138716093</v>
      </c>
      <c r="R109">
        <v>394.06334094602965</v>
      </c>
      <c r="S109">
        <v>573.21052644948327</v>
      </c>
      <c r="T109">
        <f t="shared" si="19"/>
        <v>31.932968642775876</v>
      </c>
      <c r="U109">
        <f t="shared" si="20"/>
        <v>1305.4903957636709</v>
      </c>
      <c r="V109">
        <f t="shared" si="21"/>
        <v>747.95198466799638</v>
      </c>
      <c r="W109">
        <f t="shared" si="22"/>
        <v>441.00831246837242</v>
      </c>
      <c r="X109">
        <f t="shared" si="23"/>
        <v>246.09778736419506</v>
      </c>
      <c r="Y109">
        <f t="shared" si="24"/>
        <v>1250.7511136649575</v>
      </c>
      <c r="Z109">
        <f t="shared" si="25"/>
        <v>384.16766247739042</v>
      </c>
      <c r="AA109">
        <f t="shared" si="26"/>
        <v>191.25181090737661</v>
      </c>
      <c r="AB109">
        <f t="shared" si="27"/>
        <v>337.9375294167819</v>
      </c>
      <c r="AC109">
        <f t="shared" si="28"/>
        <v>169.08749250981353</v>
      </c>
      <c r="AD109">
        <f t="shared" si="29"/>
        <v>1093.4076130436399</v>
      </c>
      <c r="AE109">
        <f t="shared" si="30"/>
        <v>251.30571907959077</v>
      </c>
      <c r="AF109">
        <f t="shared" si="31"/>
        <v>576.32843254995794</v>
      </c>
      <c r="AG109">
        <f t="shared" si="32"/>
        <v>236.60987918508252</v>
      </c>
      <c r="AH109">
        <f t="shared" si="33"/>
        <v>1008.7700396221641</v>
      </c>
      <c r="AI109">
        <f t="shared" si="34"/>
        <v>391.00288757774382</v>
      </c>
      <c r="AJ109">
        <f t="shared" si="34"/>
        <v>572.41806932234874</v>
      </c>
    </row>
    <row r="110" spans="1:36" x14ac:dyDescent="0.25">
      <c r="A110" s="8">
        <v>39814</v>
      </c>
      <c r="B110" s="9">
        <f t="shared" si="18"/>
        <v>1</v>
      </c>
      <c r="C110">
        <v>49.703953944845551</v>
      </c>
      <c r="D110">
        <v>1286.5037103943416</v>
      </c>
      <c r="E110">
        <v>1061.1997886357258</v>
      </c>
      <c r="F110">
        <v>511.16944348441575</v>
      </c>
      <c r="G110">
        <v>265.61922042016312</v>
      </c>
      <c r="H110">
        <v>1363.1601524894556</v>
      </c>
      <c r="I110">
        <v>464.67355794969802</v>
      </c>
      <c r="J110">
        <v>222.43476288042797</v>
      </c>
      <c r="K110">
        <v>398.48437851468486</v>
      </c>
      <c r="L110">
        <v>177.54666036314825</v>
      </c>
      <c r="M110">
        <v>1291.2807257730253</v>
      </c>
      <c r="N110">
        <v>169.55378772452875</v>
      </c>
      <c r="O110">
        <v>620.19356615992058</v>
      </c>
      <c r="P110">
        <v>211.97532714203319</v>
      </c>
      <c r="Q110">
        <v>1144.4759455961794</v>
      </c>
      <c r="R110">
        <v>415.84509946192082</v>
      </c>
      <c r="S110">
        <v>644.77483862770987</v>
      </c>
      <c r="T110" t="str">
        <f t="shared" si="19"/>
        <v/>
      </c>
      <c r="U110" t="str">
        <f t="shared" si="20"/>
        <v/>
      </c>
      <c r="V110" t="str">
        <f t="shared" si="21"/>
        <v/>
      </c>
      <c r="W110" t="str">
        <f t="shared" si="22"/>
        <v/>
      </c>
      <c r="X110" t="str">
        <f t="shared" si="23"/>
        <v/>
      </c>
      <c r="Y110" t="str">
        <f t="shared" si="24"/>
        <v/>
      </c>
      <c r="Z110" t="str">
        <f t="shared" si="25"/>
        <v/>
      </c>
      <c r="AA110" t="str">
        <f t="shared" si="26"/>
        <v/>
      </c>
      <c r="AB110" t="str">
        <f t="shared" si="27"/>
        <v/>
      </c>
      <c r="AC110" t="str">
        <f t="shared" si="28"/>
        <v/>
      </c>
      <c r="AD110" t="str">
        <f t="shared" si="29"/>
        <v/>
      </c>
      <c r="AE110" t="str">
        <f t="shared" si="30"/>
        <v/>
      </c>
      <c r="AF110" t="str">
        <f t="shared" si="31"/>
        <v/>
      </c>
      <c r="AG110" t="str">
        <f t="shared" si="32"/>
        <v/>
      </c>
      <c r="AH110" t="str">
        <f t="shared" si="33"/>
        <v/>
      </c>
      <c r="AI110" t="str">
        <f t="shared" si="34"/>
        <v/>
      </c>
      <c r="AJ110" t="str">
        <f t="shared" si="34"/>
        <v/>
      </c>
    </row>
    <row r="111" spans="1:36" x14ac:dyDescent="0.25">
      <c r="A111" s="8">
        <v>39845</v>
      </c>
      <c r="B111" s="9">
        <f t="shared" si="18"/>
        <v>2</v>
      </c>
      <c r="C111">
        <v>60.207378631996001</v>
      </c>
      <c r="D111">
        <v>1469.7991739701381</v>
      </c>
      <c r="E111">
        <v>1132.5865433737706</v>
      </c>
      <c r="F111">
        <v>566.09212718808146</v>
      </c>
      <c r="G111">
        <v>282.58421192603447</v>
      </c>
      <c r="H111">
        <v>1435.613390651145</v>
      </c>
      <c r="I111">
        <v>508.39703518257875</v>
      </c>
      <c r="J111">
        <v>220.32578340734383</v>
      </c>
      <c r="K111">
        <v>373.90420886760717</v>
      </c>
      <c r="L111">
        <v>235.31073176149388</v>
      </c>
      <c r="M111">
        <v>1382.8949780496057</v>
      </c>
      <c r="N111">
        <v>199.06394374051334</v>
      </c>
      <c r="O111">
        <v>675.7939362633698</v>
      </c>
      <c r="P111">
        <v>195.60761010790031</v>
      </c>
      <c r="Q111">
        <v>1186.6098422771786</v>
      </c>
      <c r="R111">
        <v>424.71992246038405</v>
      </c>
      <c r="S111">
        <v>633.88192387016545</v>
      </c>
      <c r="T111" t="str">
        <f t="shared" si="19"/>
        <v/>
      </c>
      <c r="U111" t="str">
        <f t="shared" si="20"/>
        <v/>
      </c>
      <c r="V111" t="str">
        <f t="shared" si="21"/>
        <v/>
      </c>
      <c r="W111" t="str">
        <f t="shared" si="22"/>
        <v/>
      </c>
      <c r="X111" t="str">
        <f t="shared" si="23"/>
        <v/>
      </c>
      <c r="Y111" t="str">
        <f t="shared" si="24"/>
        <v/>
      </c>
      <c r="Z111" t="str">
        <f t="shared" si="25"/>
        <v/>
      </c>
      <c r="AA111" t="str">
        <f t="shared" si="26"/>
        <v/>
      </c>
      <c r="AB111" t="str">
        <f t="shared" si="27"/>
        <v/>
      </c>
      <c r="AC111" t="str">
        <f t="shared" si="28"/>
        <v/>
      </c>
      <c r="AD111" t="str">
        <f t="shared" si="29"/>
        <v/>
      </c>
      <c r="AE111" t="str">
        <f t="shared" si="30"/>
        <v/>
      </c>
      <c r="AF111" t="str">
        <f t="shared" si="31"/>
        <v/>
      </c>
      <c r="AG111" t="str">
        <f t="shared" si="32"/>
        <v/>
      </c>
      <c r="AH111" t="str">
        <f t="shared" si="33"/>
        <v/>
      </c>
      <c r="AI111" t="str">
        <f t="shared" si="34"/>
        <v/>
      </c>
      <c r="AJ111" t="str">
        <f t="shared" si="34"/>
        <v/>
      </c>
    </row>
    <row r="112" spans="1:36" x14ac:dyDescent="0.25">
      <c r="A112" s="8">
        <v>39873</v>
      </c>
      <c r="B112" s="9">
        <f t="shared" si="18"/>
        <v>3</v>
      </c>
      <c r="C112">
        <v>100.54003144768018</v>
      </c>
      <c r="D112">
        <v>1561.3994386327358</v>
      </c>
      <c r="E112">
        <v>1263.9535651262399</v>
      </c>
      <c r="F112">
        <v>560.30860042567178</v>
      </c>
      <c r="G112">
        <v>235.24749306316446</v>
      </c>
      <c r="H112">
        <v>1565.9443231543826</v>
      </c>
      <c r="I112">
        <v>509.62384902427556</v>
      </c>
      <c r="J112">
        <v>254.60242201015819</v>
      </c>
      <c r="K112">
        <v>393.46314236793904</v>
      </c>
      <c r="L112">
        <v>228.43384752705217</v>
      </c>
      <c r="M112">
        <v>1495.5465116241105</v>
      </c>
      <c r="N112">
        <v>233.26605391439358</v>
      </c>
      <c r="O112">
        <v>746.01397427669804</v>
      </c>
      <c r="P112">
        <v>250.81164174583478</v>
      </c>
      <c r="Q112">
        <v>1198.3420161044342</v>
      </c>
      <c r="R112">
        <v>383.94040721891156</v>
      </c>
      <c r="S112">
        <v>662.91733176519995</v>
      </c>
      <c r="T112">
        <f t="shared" si="19"/>
        <v>70.150454674840574</v>
      </c>
      <c r="U112">
        <f t="shared" si="20"/>
        <v>1439.2341076657385</v>
      </c>
      <c r="V112">
        <f t="shared" si="21"/>
        <v>1152.5799657119121</v>
      </c>
      <c r="W112">
        <f t="shared" si="22"/>
        <v>545.8567236993897</v>
      </c>
      <c r="X112">
        <f t="shared" si="23"/>
        <v>261.15030846978738</v>
      </c>
      <c r="Y112">
        <f t="shared" si="24"/>
        <v>1454.9059554316611</v>
      </c>
      <c r="Z112">
        <f t="shared" si="25"/>
        <v>494.23148071885083</v>
      </c>
      <c r="AA112">
        <f t="shared" si="26"/>
        <v>232.45432276597668</v>
      </c>
      <c r="AB112">
        <f t="shared" si="27"/>
        <v>388.61724325007702</v>
      </c>
      <c r="AC112">
        <f t="shared" si="28"/>
        <v>213.76374655056478</v>
      </c>
      <c r="AD112">
        <f t="shared" si="29"/>
        <v>1389.907405148914</v>
      </c>
      <c r="AE112">
        <f t="shared" si="30"/>
        <v>200.6279284598119</v>
      </c>
      <c r="AF112">
        <f t="shared" si="31"/>
        <v>680.66715889999614</v>
      </c>
      <c r="AG112">
        <f t="shared" si="32"/>
        <v>219.46485966525609</v>
      </c>
      <c r="AH112">
        <f t="shared" si="33"/>
        <v>1176.4759346592639</v>
      </c>
      <c r="AI112">
        <f t="shared" si="34"/>
        <v>408.16847638040548</v>
      </c>
      <c r="AJ112">
        <f t="shared" si="34"/>
        <v>647.19136475435835</v>
      </c>
    </row>
    <row r="113" spans="1:36" x14ac:dyDescent="0.25">
      <c r="A113" s="8">
        <v>39904</v>
      </c>
      <c r="B113" s="9">
        <f t="shared" si="18"/>
        <v>4</v>
      </c>
      <c r="C113">
        <v>121.92604994824814</v>
      </c>
      <c r="D113">
        <v>1620.437679839039</v>
      </c>
      <c r="E113">
        <v>1290.6586999708093</v>
      </c>
      <c r="F113">
        <v>666.80930138108556</v>
      </c>
      <c r="G113">
        <v>252.04296391241644</v>
      </c>
      <c r="H113">
        <v>1643.0928620589098</v>
      </c>
      <c r="I113">
        <v>532.23234217815138</v>
      </c>
      <c r="J113">
        <v>332.05045033676578</v>
      </c>
      <c r="K113">
        <v>356.80371638406172</v>
      </c>
      <c r="L113">
        <v>201.63408177094328</v>
      </c>
      <c r="M113">
        <v>1540.9759556636759</v>
      </c>
      <c r="N113">
        <v>285.93295633819133</v>
      </c>
      <c r="O113">
        <v>785.67398594948577</v>
      </c>
      <c r="P113">
        <v>273.96622646620682</v>
      </c>
      <c r="Q113">
        <v>1116.1898522875183</v>
      </c>
      <c r="R113">
        <v>419.87924372701679</v>
      </c>
      <c r="S113">
        <v>694.56204653767816</v>
      </c>
      <c r="T113" t="str">
        <f t="shared" si="19"/>
        <v/>
      </c>
      <c r="U113" t="str">
        <f t="shared" si="20"/>
        <v/>
      </c>
      <c r="V113" t="str">
        <f t="shared" si="21"/>
        <v/>
      </c>
      <c r="W113" t="str">
        <f t="shared" si="22"/>
        <v/>
      </c>
      <c r="X113" t="str">
        <f t="shared" si="23"/>
        <v/>
      </c>
      <c r="Y113" t="str">
        <f t="shared" si="24"/>
        <v/>
      </c>
      <c r="Z113" t="str">
        <f t="shared" si="25"/>
        <v/>
      </c>
      <c r="AA113" t="str">
        <f t="shared" si="26"/>
        <v/>
      </c>
      <c r="AB113" t="str">
        <f t="shared" si="27"/>
        <v/>
      </c>
      <c r="AC113" t="str">
        <f t="shared" si="28"/>
        <v/>
      </c>
      <c r="AD113" t="str">
        <f t="shared" si="29"/>
        <v/>
      </c>
      <c r="AE113" t="str">
        <f t="shared" si="30"/>
        <v/>
      </c>
      <c r="AF113" t="str">
        <f t="shared" si="31"/>
        <v/>
      </c>
      <c r="AG113" t="str">
        <f t="shared" si="32"/>
        <v/>
      </c>
      <c r="AH113" t="str">
        <f t="shared" si="33"/>
        <v/>
      </c>
      <c r="AI113" t="str">
        <f t="shared" si="34"/>
        <v/>
      </c>
      <c r="AJ113" t="str">
        <f t="shared" si="34"/>
        <v/>
      </c>
    </row>
    <row r="114" spans="1:36" x14ac:dyDescent="0.25">
      <c r="A114" s="8">
        <v>39934</v>
      </c>
      <c r="B114" s="9">
        <f t="shared" si="18"/>
        <v>5</v>
      </c>
      <c r="C114">
        <v>102.54738640064026</v>
      </c>
      <c r="D114">
        <v>1924.5735586473093</v>
      </c>
      <c r="E114">
        <v>1359.3494077364428</v>
      </c>
      <c r="F114">
        <v>683.44699167201816</v>
      </c>
      <c r="G114">
        <v>279.55870489981106</v>
      </c>
      <c r="H114">
        <v>1606.075622920941</v>
      </c>
      <c r="I114">
        <v>527.32117731562198</v>
      </c>
      <c r="J114">
        <v>296.79725133130296</v>
      </c>
      <c r="K114">
        <v>335.50445495374612</v>
      </c>
      <c r="L114">
        <v>208.80172068732696</v>
      </c>
      <c r="M114">
        <v>1553.1333409870415</v>
      </c>
      <c r="N114">
        <v>231.17272490522924</v>
      </c>
      <c r="O114">
        <v>803.73524786632549</v>
      </c>
      <c r="P114">
        <v>316.0835489753822</v>
      </c>
      <c r="Q114">
        <v>1313.0618991244128</v>
      </c>
      <c r="R114">
        <v>499.23310525522157</v>
      </c>
      <c r="S114">
        <v>792.40743050127833</v>
      </c>
      <c r="T114" t="str">
        <f t="shared" si="19"/>
        <v/>
      </c>
      <c r="U114" t="str">
        <f t="shared" si="20"/>
        <v/>
      </c>
      <c r="V114" t="str">
        <f t="shared" si="21"/>
        <v/>
      </c>
      <c r="W114" t="str">
        <f t="shared" si="22"/>
        <v/>
      </c>
      <c r="X114" t="str">
        <f t="shared" si="23"/>
        <v/>
      </c>
      <c r="Y114" t="str">
        <f t="shared" si="24"/>
        <v/>
      </c>
      <c r="Z114" t="str">
        <f t="shared" si="25"/>
        <v/>
      </c>
      <c r="AA114" t="str">
        <f t="shared" si="26"/>
        <v/>
      </c>
      <c r="AB114" t="str">
        <f t="shared" si="27"/>
        <v/>
      </c>
      <c r="AC114" t="str">
        <f t="shared" si="28"/>
        <v/>
      </c>
      <c r="AD114" t="str">
        <f t="shared" si="29"/>
        <v/>
      </c>
      <c r="AE114" t="str">
        <f t="shared" si="30"/>
        <v/>
      </c>
      <c r="AF114" t="str">
        <f t="shared" si="31"/>
        <v/>
      </c>
      <c r="AG114" t="str">
        <f t="shared" si="32"/>
        <v/>
      </c>
      <c r="AH114" t="str">
        <f t="shared" si="33"/>
        <v/>
      </c>
      <c r="AI114" t="str">
        <f t="shared" si="34"/>
        <v/>
      </c>
      <c r="AJ114" t="str">
        <f t="shared" si="34"/>
        <v/>
      </c>
    </row>
    <row r="115" spans="1:36" x14ac:dyDescent="0.25">
      <c r="A115" s="8">
        <v>39965</v>
      </c>
      <c r="B115" s="9">
        <f t="shared" si="18"/>
        <v>6</v>
      </c>
      <c r="C115">
        <v>89.230818186290293</v>
      </c>
      <c r="D115">
        <v>1847.6992931025472</v>
      </c>
      <c r="E115">
        <v>1406.0555508022283</v>
      </c>
      <c r="F115">
        <v>653.44183837744436</v>
      </c>
      <c r="G115">
        <v>280.96108061172208</v>
      </c>
      <c r="H115">
        <v>1520.1896273905959</v>
      </c>
      <c r="I115">
        <v>490.59064375310123</v>
      </c>
      <c r="J115">
        <v>354.16340648246705</v>
      </c>
      <c r="K115">
        <v>349.06807718865502</v>
      </c>
      <c r="L115">
        <v>143.33586494505749</v>
      </c>
      <c r="M115">
        <v>1601.8780027680732</v>
      </c>
      <c r="N115">
        <v>278.84082317566094</v>
      </c>
      <c r="O115">
        <v>848.89585138051018</v>
      </c>
      <c r="P115">
        <v>323.93792761056903</v>
      </c>
      <c r="Q115">
        <v>1281.8173637588357</v>
      </c>
      <c r="R115">
        <v>537.28696249127313</v>
      </c>
      <c r="S115">
        <v>831.12675854641918</v>
      </c>
      <c r="T115">
        <f t="shared" si="19"/>
        <v>104.56808484505957</v>
      </c>
      <c r="U115">
        <f t="shared" si="20"/>
        <v>1797.5701771962986</v>
      </c>
      <c r="V115">
        <f t="shared" si="21"/>
        <v>1352.02121950316</v>
      </c>
      <c r="W115">
        <f t="shared" si="22"/>
        <v>667.89937714351606</v>
      </c>
      <c r="X115">
        <f t="shared" si="23"/>
        <v>270.85424980798319</v>
      </c>
      <c r="Y115">
        <f t="shared" si="24"/>
        <v>1589.7860374568154</v>
      </c>
      <c r="Z115">
        <f t="shared" si="25"/>
        <v>516.71472108229148</v>
      </c>
      <c r="AA115">
        <f t="shared" si="26"/>
        <v>327.67036938351197</v>
      </c>
      <c r="AB115">
        <f t="shared" si="27"/>
        <v>347.1254161754876</v>
      </c>
      <c r="AC115">
        <f t="shared" si="28"/>
        <v>184.59055580110922</v>
      </c>
      <c r="AD115">
        <f t="shared" si="29"/>
        <v>1565.3290998062637</v>
      </c>
      <c r="AE115">
        <f t="shared" si="30"/>
        <v>265.31550147302715</v>
      </c>
      <c r="AF115">
        <f t="shared" si="31"/>
        <v>812.76836173210711</v>
      </c>
      <c r="AG115">
        <f t="shared" si="32"/>
        <v>304.66256768405265</v>
      </c>
      <c r="AH115">
        <f t="shared" si="33"/>
        <v>1237.0230383902556</v>
      </c>
      <c r="AI115">
        <f t="shared" si="34"/>
        <v>485.46643715783716</v>
      </c>
      <c r="AJ115">
        <f t="shared" si="34"/>
        <v>772.6987451951253</v>
      </c>
    </row>
    <row r="116" spans="1:36" x14ac:dyDescent="0.25">
      <c r="A116" s="8">
        <v>39995</v>
      </c>
      <c r="B116" s="9">
        <f t="shared" si="18"/>
        <v>7</v>
      </c>
      <c r="C116">
        <v>93.256291549874149</v>
      </c>
      <c r="D116">
        <v>2034.2694702628364</v>
      </c>
      <c r="E116">
        <v>1315.2702123686402</v>
      </c>
      <c r="F116">
        <v>630.48312108011748</v>
      </c>
      <c r="G116">
        <v>333.9264294963541</v>
      </c>
      <c r="H116">
        <v>1478.0128198561449</v>
      </c>
      <c r="I116">
        <v>486.01705489135185</v>
      </c>
      <c r="J116">
        <v>374.55990791655961</v>
      </c>
      <c r="K116">
        <v>383.5500135472945</v>
      </c>
      <c r="L116">
        <v>181.36694511497004</v>
      </c>
      <c r="M116">
        <v>1545.6572467578824</v>
      </c>
      <c r="N116">
        <v>260.96383130920486</v>
      </c>
      <c r="O116">
        <v>845.68344035202824</v>
      </c>
      <c r="P116">
        <v>287.76033894615631</v>
      </c>
      <c r="Q116">
        <v>1284.3555681120158</v>
      </c>
      <c r="R116">
        <v>481.97242382545431</v>
      </c>
      <c r="S116">
        <v>842.10478231792752</v>
      </c>
      <c r="T116" t="str">
        <f t="shared" si="19"/>
        <v/>
      </c>
      <c r="U116" t="str">
        <f t="shared" si="20"/>
        <v/>
      </c>
      <c r="V116" t="str">
        <f t="shared" si="21"/>
        <v/>
      </c>
      <c r="W116" t="str">
        <f t="shared" si="22"/>
        <v/>
      </c>
      <c r="X116" t="str">
        <f t="shared" si="23"/>
        <v/>
      </c>
      <c r="Y116" t="str">
        <f t="shared" si="24"/>
        <v/>
      </c>
      <c r="Z116" t="str">
        <f t="shared" si="25"/>
        <v/>
      </c>
      <c r="AA116" t="str">
        <f t="shared" si="26"/>
        <v/>
      </c>
      <c r="AB116" t="str">
        <f t="shared" si="27"/>
        <v/>
      </c>
      <c r="AC116" t="str">
        <f t="shared" si="28"/>
        <v/>
      </c>
      <c r="AD116" t="str">
        <f t="shared" si="29"/>
        <v/>
      </c>
      <c r="AE116" t="str">
        <f t="shared" si="30"/>
        <v/>
      </c>
      <c r="AF116" t="str">
        <f t="shared" si="31"/>
        <v/>
      </c>
      <c r="AG116" t="str">
        <f t="shared" si="32"/>
        <v/>
      </c>
      <c r="AH116" t="str">
        <f t="shared" si="33"/>
        <v/>
      </c>
      <c r="AI116" t="str">
        <f t="shared" si="34"/>
        <v/>
      </c>
      <c r="AJ116" t="str">
        <f t="shared" si="34"/>
        <v/>
      </c>
    </row>
    <row r="117" spans="1:36" x14ac:dyDescent="0.25">
      <c r="A117" s="8">
        <v>40026</v>
      </c>
      <c r="B117" s="9">
        <f t="shared" si="18"/>
        <v>8</v>
      </c>
      <c r="C117">
        <v>99.377335752927479</v>
      </c>
      <c r="D117">
        <v>1856.268332407318</v>
      </c>
      <c r="E117">
        <v>1347.5622665985702</v>
      </c>
      <c r="F117">
        <v>595.65068123886613</v>
      </c>
      <c r="G117">
        <v>276.63212714107112</v>
      </c>
      <c r="H117">
        <v>1533.2923265158204</v>
      </c>
      <c r="I117">
        <v>576.24169731422376</v>
      </c>
      <c r="J117">
        <v>349.03203834144625</v>
      </c>
      <c r="K117">
        <v>389.12772531531584</v>
      </c>
      <c r="L117">
        <v>159.63348080732771</v>
      </c>
      <c r="M117">
        <v>1621.2400812754686</v>
      </c>
      <c r="N117">
        <v>259.43185538350895</v>
      </c>
      <c r="O117">
        <v>822.40449234382504</v>
      </c>
      <c r="P117">
        <v>297.49579497148898</v>
      </c>
      <c r="Q117">
        <v>1386.8796654066159</v>
      </c>
      <c r="R117">
        <v>501.93094998387755</v>
      </c>
      <c r="S117">
        <v>865.08772935041054</v>
      </c>
      <c r="T117" t="str">
        <f t="shared" si="19"/>
        <v/>
      </c>
      <c r="U117" t="str">
        <f t="shared" si="20"/>
        <v/>
      </c>
      <c r="V117" t="str">
        <f t="shared" si="21"/>
        <v/>
      </c>
      <c r="W117" t="str">
        <f t="shared" si="22"/>
        <v/>
      </c>
      <c r="X117" t="str">
        <f t="shared" si="23"/>
        <v/>
      </c>
      <c r="Y117" t="str">
        <f t="shared" si="24"/>
        <v/>
      </c>
      <c r="Z117" t="str">
        <f t="shared" si="25"/>
        <v/>
      </c>
      <c r="AA117" t="str">
        <f t="shared" si="26"/>
        <v/>
      </c>
      <c r="AB117" t="str">
        <f t="shared" si="27"/>
        <v/>
      </c>
      <c r="AC117" t="str">
        <f t="shared" si="28"/>
        <v/>
      </c>
      <c r="AD117" t="str">
        <f t="shared" si="29"/>
        <v/>
      </c>
      <c r="AE117" t="str">
        <f t="shared" si="30"/>
        <v/>
      </c>
      <c r="AF117" t="str">
        <f t="shared" si="31"/>
        <v/>
      </c>
      <c r="AG117" t="str">
        <f t="shared" si="32"/>
        <v/>
      </c>
      <c r="AH117" t="str">
        <f t="shared" si="33"/>
        <v/>
      </c>
      <c r="AI117" t="str">
        <f t="shared" si="34"/>
        <v/>
      </c>
      <c r="AJ117" t="str">
        <f t="shared" si="34"/>
        <v/>
      </c>
    </row>
    <row r="118" spans="1:36" x14ac:dyDescent="0.25">
      <c r="A118" s="8">
        <v>40057</v>
      </c>
      <c r="B118" s="9">
        <f t="shared" si="18"/>
        <v>9</v>
      </c>
      <c r="C118">
        <v>89.037342468402386</v>
      </c>
      <c r="D118">
        <v>1912.7072864433289</v>
      </c>
      <c r="E118">
        <v>1351.8145217603872</v>
      </c>
      <c r="F118">
        <v>629.68926530752663</v>
      </c>
      <c r="G118">
        <v>285.85230526245408</v>
      </c>
      <c r="H118">
        <v>1557.6084794322624</v>
      </c>
      <c r="I118">
        <v>577.99944415891537</v>
      </c>
      <c r="J118">
        <v>345.73392063568792</v>
      </c>
      <c r="K118">
        <v>453.38273549514128</v>
      </c>
      <c r="L118">
        <v>225.11475426390996</v>
      </c>
      <c r="M118">
        <v>1648.1604304586501</v>
      </c>
      <c r="N118">
        <v>325.68113112395616</v>
      </c>
      <c r="O118">
        <v>890.91865961901988</v>
      </c>
      <c r="P118">
        <v>258.91751580691914</v>
      </c>
      <c r="Q118">
        <v>1300.1756669159352</v>
      </c>
      <c r="R118">
        <v>458.67558427958204</v>
      </c>
      <c r="S118">
        <v>902.91241124950648</v>
      </c>
      <c r="T118">
        <f t="shared" si="19"/>
        <v>93.890323257068005</v>
      </c>
      <c r="U118">
        <f t="shared" si="20"/>
        <v>1934.4150297044944</v>
      </c>
      <c r="V118">
        <f t="shared" si="21"/>
        <v>1338.2156669091992</v>
      </c>
      <c r="W118">
        <f t="shared" si="22"/>
        <v>618.60768920883675</v>
      </c>
      <c r="X118">
        <f t="shared" si="23"/>
        <v>298.80362063329312</v>
      </c>
      <c r="Y118">
        <f t="shared" si="24"/>
        <v>1522.971208601409</v>
      </c>
      <c r="Z118">
        <f t="shared" si="25"/>
        <v>546.75273212149693</v>
      </c>
      <c r="AA118">
        <f t="shared" si="26"/>
        <v>356.44195563123122</v>
      </c>
      <c r="AB118">
        <f t="shared" si="27"/>
        <v>408.68682478591722</v>
      </c>
      <c r="AC118">
        <f t="shared" si="28"/>
        <v>188.70506006206924</v>
      </c>
      <c r="AD118">
        <f t="shared" si="29"/>
        <v>1605.019252830667</v>
      </c>
      <c r="AE118">
        <f t="shared" si="30"/>
        <v>282.02560593889001</v>
      </c>
      <c r="AF118">
        <f t="shared" si="31"/>
        <v>853.00219743829109</v>
      </c>
      <c r="AG118">
        <f t="shared" si="32"/>
        <v>281.39121657485481</v>
      </c>
      <c r="AH118">
        <f t="shared" si="33"/>
        <v>1323.8036334781889</v>
      </c>
      <c r="AI118">
        <f t="shared" si="34"/>
        <v>480.85965269630469</v>
      </c>
      <c r="AJ118">
        <f t="shared" si="34"/>
        <v>870.03497430594814</v>
      </c>
    </row>
    <row r="119" spans="1:36" x14ac:dyDescent="0.25">
      <c r="A119" s="8">
        <v>40087</v>
      </c>
      <c r="B119" s="9">
        <f t="shared" si="18"/>
        <v>10</v>
      </c>
      <c r="C119">
        <v>92.42162718650188</v>
      </c>
      <c r="D119">
        <v>2079.8270574428411</v>
      </c>
      <c r="E119">
        <v>1340.7344892820574</v>
      </c>
      <c r="F119">
        <v>637.76328755252337</v>
      </c>
      <c r="G119">
        <v>290.94275364512879</v>
      </c>
      <c r="H119">
        <v>1721.6316690835154</v>
      </c>
      <c r="I119">
        <v>508.6458948630073</v>
      </c>
      <c r="J119">
        <v>279.35880843168417</v>
      </c>
      <c r="K119">
        <v>419.63841498145314</v>
      </c>
      <c r="L119">
        <v>236.75696488287633</v>
      </c>
      <c r="M119">
        <v>1537.2874465011691</v>
      </c>
      <c r="N119">
        <v>344.23258436933219</v>
      </c>
      <c r="O119">
        <v>980.20291684167648</v>
      </c>
      <c r="P119">
        <v>315.05533044229304</v>
      </c>
      <c r="Q119">
        <v>1372.1828638696002</v>
      </c>
      <c r="R119">
        <v>559.66492649471809</v>
      </c>
      <c r="S119">
        <v>819.50284831454292</v>
      </c>
      <c r="T119" t="str">
        <f t="shared" si="19"/>
        <v/>
      </c>
      <c r="U119" t="str">
        <f t="shared" si="20"/>
        <v/>
      </c>
      <c r="V119" t="str">
        <f t="shared" si="21"/>
        <v/>
      </c>
      <c r="W119" t="str">
        <f t="shared" si="22"/>
        <v/>
      </c>
      <c r="X119" t="str">
        <f t="shared" si="23"/>
        <v/>
      </c>
      <c r="Y119" t="str">
        <f t="shared" si="24"/>
        <v/>
      </c>
      <c r="Z119" t="str">
        <f t="shared" si="25"/>
        <v/>
      </c>
      <c r="AA119" t="str">
        <f t="shared" si="26"/>
        <v/>
      </c>
      <c r="AB119" t="str">
        <f t="shared" si="27"/>
        <v/>
      </c>
      <c r="AC119" t="str">
        <f t="shared" si="28"/>
        <v/>
      </c>
      <c r="AD119" t="str">
        <f t="shared" si="29"/>
        <v/>
      </c>
      <c r="AE119" t="str">
        <f t="shared" si="30"/>
        <v/>
      </c>
      <c r="AF119" t="str">
        <f t="shared" si="31"/>
        <v/>
      </c>
      <c r="AG119" t="str">
        <f t="shared" si="32"/>
        <v/>
      </c>
      <c r="AH119" t="str">
        <f t="shared" si="33"/>
        <v/>
      </c>
      <c r="AI119" t="str">
        <f t="shared" si="34"/>
        <v/>
      </c>
      <c r="AJ119" t="str">
        <f t="shared" si="34"/>
        <v/>
      </c>
    </row>
    <row r="120" spans="1:36" x14ac:dyDescent="0.25">
      <c r="A120" s="8">
        <v>40118</v>
      </c>
      <c r="B120" s="9">
        <f t="shared" si="18"/>
        <v>11</v>
      </c>
      <c r="C120">
        <v>105.08677007887029</v>
      </c>
      <c r="D120">
        <v>1933.2935302550463</v>
      </c>
      <c r="E120">
        <v>1242.5157358771521</v>
      </c>
      <c r="F120">
        <v>688.66635951698436</v>
      </c>
      <c r="G120">
        <v>290.61864732486418</v>
      </c>
      <c r="H120">
        <v>1692.3068468992708</v>
      </c>
      <c r="I120">
        <v>541.46403718958004</v>
      </c>
      <c r="J120">
        <v>245.36400102595795</v>
      </c>
      <c r="K120">
        <v>426.27681271149038</v>
      </c>
      <c r="L120">
        <v>209.665817023427</v>
      </c>
      <c r="M120">
        <v>1591.9662711141382</v>
      </c>
      <c r="N120">
        <v>305.30312008830884</v>
      </c>
      <c r="O120">
        <v>911.08808432893795</v>
      </c>
      <c r="P120">
        <v>319.02232330621422</v>
      </c>
      <c r="Q120">
        <v>1201.9704473733909</v>
      </c>
      <c r="R120">
        <v>490.34615371807377</v>
      </c>
      <c r="S120">
        <v>805.8838536985005</v>
      </c>
      <c r="T120" t="str">
        <f t="shared" si="19"/>
        <v/>
      </c>
      <c r="U120" t="str">
        <f t="shared" si="20"/>
        <v/>
      </c>
      <c r="V120" t="str">
        <f t="shared" si="21"/>
        <v/>
      </c>
      <c r="W120" t="str">
        <f t="shared" si="22"/>
        <v/>
      </c>
      <c r="X120" t="str">
        <f t="shared" si="23"/>
        <v/>
      </c>
      <c r="Y120" t="str">
        <f t="shared" si="24"/>
        <v/>
      </c>
      <c r="Z120" t="str">
        <f t="shared" si="25"/>
        <v/>
      </c>
      <c r="AA120" t="str">
        <f t="shared" si="26"/>
        <v/>
      </c>
      <c r="AB120" t="str">
        <f t="shared" si="27"/>
        <v/>
      </c>
      <c r="AC120" t="str">
        <f t="shared" si="28"/>
        <v/>
      </c>
      <c r="AD120" t="str">
        <f t="shared" si="29"/>
        <v/>
      </c>
      <c r="AE120" t="str">
        <f t="shared" si="30"/>
        <v/>
      </c>
      <c r="AF120" t="str">
        <f t="shared" si="31"/>
        <v/>
      </c>
      <c r="AG120" t="str">
        <f t="shared" si="32"/>
        <v/>
      </c>
      <c r="AH120" t="str">
        <f t="shared" si="33"/>
        <v/>
      </c>
      <c r="AI120" t="str">
        <f t="shared" si="34"/>
        <v/>
      </c>
      <c r="AJ120" t="str">
        <f t="shared" si="34"/>
        <v/>
      </c>
    </row>
    <row r="121" spans="1:36" x14ac:dyDescent="0.25">
      <c r="A121" s="8">
        <v>40148</v>
      </c>
      <c r="B121" s="9">
        <f t="shared" si="18"/>
        <v>12</v>
      </c>
      <c r="C121">
        <v>85.645320235417344</v>
      </c>
      <c r="D121">
        <v>1829.8769585043997</v>
      </c>
      <c r="E121">
        <v>1258.2266891911484</v>
      </c>
      <c r="F121">
        <v>515.14175995654989</v>
      </c>
      <c r="G121">
        <v>294.36134806219047</v>
      </c>
      <c r="H121">
        <v>1684.805028844979</v>
      </c>
      <c r="I121">
        <v>581.38473879825096</v>
      </c>
      <c r="J121">
        <v>256.29838097306975</v>
      </c>
      <c r="K121">
        <v>467.44571602087211</v>
      </c>
      <c r="L121">
        <v>242.22087981364132</v>
      </c>
      <c r="M121">
        <v>1490.2652771725132</v>
      </c>
      <c r="N121">
        <v>313.47703364147281</v>
      </c>
      <c r="O121">
        <v>977.39928461741249</v>
      </c>
      <c r="P121">
        <v>322.36364977588227</v>
      </c>
      <c r="Q121">
        <v>1380.106335406299</v>
      </c>
      <c r="R121">
        <v>550.82968366570356</v>
      </c>
      <c r="S121">
        <v>894.02894242708066</v>
      </c>
      <c r="T121">
        <f t="shared" si="19"/>
        <v>94.384572500263175</v>
      </c>
      <c r="U121">
        <f t="shared" si="20"/>
        <v>1947.6658487340956</v>
      </c>
      <c r="V121">
        <f t="shared" si="21"/>
        <v>1280.4923047834527</v>
      </c>
      <c r="W121">
        <f t="shared" si="22"/>
        <v>613.85713567535242</v>
      </c>
      <c r="X121">
        <f t="shared" si="23"/>
        <v>291.97424967739448</v>
      </c>
      <c r="Y121">
        <f t="shared" si="24"/>
        <v>1699.5811816092548</v>
      </c>
      <c r="Z121">
        <f t="shared" si="25"/>
        <v>543.83155695027938</v>
      </c>
      <c r="AA121">
        <f t="shared" si="26"/>
        <v>260.34039681023728</v>
      </c>
      <c r="AB121">
        <f t="shared" si="27"/>
        <v>437.78698123793856</v>
      </c>
      <c r="AC121">
        <f t="shared" si="28"/>
        <v>229.54788723998158</v>
      </c>
      <c r="AD121">
        <f t="shared" si="29"/>
        <v>1539.8396649292736</v>
      </c>
      <c r="AE121">
        <f t="shared" si="30"/>
        <v>321.00424603303799</v>
      </c>
      <c r="AF121">
        <f t="shared" si="31"/>
        <v>956.2300952626756</v>
      </c>
      <c r="AG121">
        <f t="shared" si="32"/>
        <v>318.81376784146318</v>
      </c>
      <c r="AH121">
        <f t="shared" si="33"/>
        <v>1318.0865488830966</v>
      </c>
      <c r="AI121">
        <f t="shared" si="34"/>
        <v>533.61358795949855</v>
      </c>
      <c r="AJ121">
        <f t="shared" si="34"/>
        <v>839.80521481337473</v>
      </c>
    </row>
    <row r="122" spans="1:36" x14ac:dyDescent="0.25">
      <c r="A122" s="8">
        <v>40179</v>
      </c>
      <c r="B122" s="9">
        <f t="shared" si="18"/>
        <v>1</v>
      </c>
      <c r="C122">
        <v>57.285913021177926</v>
      </c>
      <c r="D122">
        <v>1618.4570760350834</v>
      </c>
      <c r="E122">
        <v>1208.8689035625641</v>
      </c>
      <c r="F122">
        <v>553.61311568709289</v>
      </c>
      <c r="G122">
        <v>320.44453993749215</v>
      </c>
      <c r="H122">
        <v>1635.2516039447205</v>
      </c>
      <c r="I122">
        <v>584.84775397117164</v>
      </c>
      <c r="J122">
        <v>300.09517578264638</v>
      </c>
      <c r="K122">
        <v>436.98025842341417</v>
      </c>
      <c r="L122">
        <v>191.71261730701644</v>
      </c>
      <c r="M122">
        <v>1442.3024853963066</v>
      </c>
      <c r="N122">
        <v>256.83887371289563</v>
      </c>
      <c r="O122">
        <v>914.86017223269187</v>
      </c>
      <c r="P122">
        <v>310.00344285593786</v>
      </c>
      <c r="Q122">
        <v>1329.9663743800008</v>
      </c>
      <c r="R122">
        <v>587.58623102624085</v>
      </c>
      <c r="S122">
        <v>937.49470401697681</v>
      </c>
      <c r="T122" t="str">
        <f t="shared" si="19"/>
        <v/>
      </c>
      <c r="U122" t="str">
        <f t="shared" si="20"/>
        <v/>
      </c>
      <c r="V122" t="str">
        <f t="shared" si="21"/>
        <v/>
      </c>
      <c r="W122" t="str">
        <f t="shared" si="22"/>
        <v/>
      </c>
      <c r="X122" t="str">
        <f t="shared" si="23"/>
        <v/>
      </c>
      <c r="Y122" t="str">
        <f t="shared" si="24"/>
        <v/>
      </c>
      <c r="Z122" t="str">
        <f t="shared" si="25"/>
        <v/>
      </c>
      <c r="AA122" t="str">
        <f t="shared" si="26"/>
        <v/>
      </c>
      <c r="AB122" t="str">
        <f t="shared" si="27"/>
        <v/>
      </c>
      <c r="AC122" t="str">
        <f t="shared" si="28"/>
        <v/>
      </c>
      <c r="AD122" t="str">
        <f t="shared" si="29"/>
        <v/>
      </c>
      <c r="AE122" t="str">
        <f t="shared" si="30"/>
        <v/>
      </c>
      <c r="AF122" t="str">
        <f t="shared" si="31"/>
        <v/>
      </c>
      <c r="AG122" t="str">
        <f t="shared" si="32"/>
        <v/>
      </c>
      <c r="AH122" t="str">
        <f t="shared" si="33"/>
        <v/>
      </c>
      <c r="AI122" t="str">
        <f t="shared" si="34"/>
        <v/>
      </c>
      <c r="AJ122" t="str">
        <f t="shared" si="34"/>
        <v/>
      </c>
    </row>
    <row r="123" spans="1:36" x14ac:dyDescent="0.25">
      <c r="A123" s="8">
        <v>40210</v>
      </c>
      <c r="B123" s="9">
        <f t="shared" si="18"/>
        <v>2</v>
      </c>
      <c r="C123">
        <v>75.498141459169588</v>
      </c>
      <c r="D123">
        <v>1771.0172762899442</v>
      </c>
      <c r="E123">
        <v>1185.5458813330035</v>
      </c>
      <c r="F123">
        <v>505.07058777311414</v>
      </c>
      <c r="G123">
        <v>276.93252768751381</v>
      </c>
      <c r="H123">
        <v>1648.1250043932989</v>
      </c>
      <c r="I123">
        <v>533.6814348008952</v>
      </c>
      <c r="J123">
        <v>295.07917420626404</v>
      </c>
      <c r="K123">
        <v>506.15022676225698</v>
      </c>
      <c r="L123">
        <v>169.73233110665132</v>
      </c>
      <c r="M123">
        <v>1591.4267604539114</v>
      </c>
      <c r="N123">
        <v>279.66652218759236</v>
      </c>
      <c r="O123">
        <v>959.3507487013627</v>
      </c>
      <c r="P123">
        <v>244.50951263487539</v>
      </c>
      <c r="Q123">
        <v>1247.1704721860617</v>
      </c>
      <c r="R123">
        <v>565.35565837441857</v>
      </c>
      <c r="S123">
        <v>990.79234992139538</v>
      </c>
      <c r="T123" t="str">
        <f t="shared" si="19"/>
        <v/>
      </c>
      <c r="U123" t="str">
        <f t="shared" si="20"/>
        <v/>
      </c>
      <c r="V123" t="str">
        <f t="shared" si="21"/>
        <v/>
      </c>
      <c r="W123" t="str">
        <f t="shared" si="22"/>
        <v/>
      </c>
      <c r="X123" t="str">
        <f t="shared" si="23"/>
        <v/>
      </c>
      <c r="Y123" t="str">
        <f t="shared" si="24"/>
        <v/>
      </c>
      <c r="Z123" t="str">
        <f t="shared" si="25"/>
        <v/>
      </c>
      <c r="AA123" t="str">
        <f t="shared" si="26"/>
        <v/>
      </c>
      <c r="AB123" t="str">
        <f t="shared" si="27"/>
        <v/>
      </c>
      <c r="AC123" t="str">
        <f t="shared" si="28"/>
        <v/>
      </c>
      <c r="AD123" t="str">
        <f t="shared" si="29"/>
        <v/>
      </c>
      <c r="AE123" t="str">
        <f t="shared" si="30"/>
        <v/>
      </c>
      <c r="AF123" t="str">
        <f t="shared" si="31"/>
        <v/>
      </c>
      <c r="AG123" t="str">
        <f t="shared" si="32"/>
        <v/>
      </c>
      <c r="AH123" t="str">
        <f t="shared" si="33"/>
        <v/>
      </c>
      <c r="AI123" t="str">
        <f t="shared" si="34"/>
        <v/>
      </c>
      <c r="AJ123" t="str">
        <f t="shared" si="34"/>
        <v/>
      </c>
    </row>
    <row r="124" spans="1:36" x14ac:dyDescent="0.25">
      <c r="A124" s="8">
        <v>40238</v>
      </c>
      <c r="B124" s="9">
        <f t="shared" si="18"/>
        <v>3</v>
      </c>
      <c r="C124">
        <v>69.899259958863368</v>
      </c>
      <c r="D124">
        <v>1776.0031007389027</v>
      </c>
      <c r="E124">
        <v>1246.5464004955802</v>
      </c>
      <c r="F124">
        <v>563.08699017984873</v>
      </c>
      <c r="G124">
        <v>289.75605852901964</v>
      </c>
      <c r="H124">
        <v>1749.2553647191546</v>
      </c>
      <c r="I124">
        <v>519.67019730253185</v>
      </c>
      <c r="J124">
        <v>325.32531701297989</v>
      </c>
      <c r="K124">
        <v>516.0496490353371</v>
      </c>
      <c r="L124">
        <v>185.78022454482252</v>
      </c>
      <c r="M124">
        <v>1671.6033332805494</v>
      </c>
      <c r="N124">
        <v>259.58324974063288</v>
      </c>
      <c r="O124">
        <v>896.02765388668615</v>
      </c>
      <c r="P124">
        <v>263.91374243404999</v>
      </c>
      <c r="Q124">
        <v>1270.2819562159668</v>
      </c>
      <c r="R124">
        <v>526.51774676970092</v>
      </c>
      <c r="S124">
        <v>976.63907907214241</v>
      </c>
      <c r="T124">
        <f t="shared" si="19"/>
        <v>67.561104813070301</v>
      </c>
      <c r="U124">
        <f t="shared" si="20"/>
        <v>1721.825817687977</v>
      </c>
      <c r="V124">
        <f t="shared" si="21"/>
        <v>1213.6537284637159</v>
      </c>
      <c r="W124">
        <f t="shared" si="22"/>
        <v>540.5902312133519</v>
      </c>
      <c r="X124">
        <f t="shared" si="23"/>
        <v>295.71104205134185</v>
      </c>
      <c r="Y124">
        <f t="shared" si="24"/>
        <v>1677.543991019058</v>
      </c>
      <c r="Z124">
        <f t="shared" si="25"/>
        <v>546.06646202486627</v>
      </c>
      <c r="AA124">
        <f t="shared" si="26"/>
        <v>306.83322233396342</v>
      </c>
      <c r="AB124">
        <f t="shared" si="27"/>
        <v>486.39337807366945</v>
      </c>
      <c r="AC124">
        <f t="shared" si="28"/>
        <v>182.40839098616343</v>
      </c>
      <c r="AD124">
        <f t="shared" si="29"/>
        <v>1568.4441930435889</v>
      </c>
      <c r="AE124">
        <f t="shared" si="30"/>
        <v>265.36288188037361</v>
      </c>
      <c r="AF124">
        <f t="shared" si="31"/>
        <v>923.41285827358024</v>
      </c>
      <c r="AG124">
        <f t="shared" si="32"/>
        <v>272.80889930828772</v>
      </c>
      <c r="AH124">
        <f t="shared" si="33"/>
        <v>1282.4729342606763</v>
      </c>
      <c r="AI124">
        <f t="shared" si="34"/>
        <v>559.81987872345337</v>
      </c>
      <c r="AJ124">
        <f t="shared" si="34"/>
        <v>968.30871100350487</v>
      </c>
    </row>
    <row r="125" spans="1:36" x14ac:dyDescent="0.25">
      <c r="A125" s="8">
        <v>40269</v>
      </c>
      <c r="B125" s="9">
        <f t="shared" si="18"/>
        <v>4</v>
      </c>
      <c r="C125">
        <v>67.303179571432977</v>
      </c>
      <c r="D125">
        <v>1790.2244718544132</v>
      </c>
      <c r="E125">
        <v>1110.8955946540611</v>
      </c>
      <c r="F125">
        <v>568.2374916117077</v>
      </c>
      <c r="G125">
        <v>310.12693913503091</v>
      </c>
      <c r="H125">
        <v>1722.6140125168204</v>
      </c>
      <c r="I125">
        <v>521.41061248506514</v>
      </c>
      <c r="J125">
        <v>313.37261250532271</v>
      </c>
      <c r="K125">
        <v>490.48224373456418</v>
      </c>
      <c r="L125">
        <v>211.76644768908113</v>
      </c>
      <c r="M125">
        <v>1687.8369238139435</v>
      </c>
      <c r="N125">
        <v>249.85730296841953</v>
      </c>
      <c r="O125">
        <v>904.04886649920832</v>
      </c>
      <c r="P125">
        <v>298.67690571609995</v>
      </c>
      <c r="Q125">
        <v>1417.4669633079545</v>
      </c>
      <c r="R125">
        <v>536.57024942782539</v>
      </c>
      <c r="S125">
        <v>928.9012413695209</v>
      </c>
      <c r="T125" t="str">
        <f t="shared" si="19"/>
        <v/>
      </c>
      <c r="U125" t="str">
        <f t="shared" si="20"/>
        <v/>
      </c>
      <c r="V125" t="str">
        <f t="shared" si="21"/>
        <v/>
      </c>
      <c r="W125" t="str">
        <f t="shared" si="22"/>
        <v/>
      </c>
      <c r="X125" t="str">
        <f t="shared" si="23"/>
        <v/>
      </c>
      <c r="Y125" t="str">
        <f t="shared" si="24"/>
        <v/>
      </c>
      <c r="Z125" t="str">
        <f t="shared" si="25"/>
        <v/>
      </c>
      <c r="AA125" t="str">
        <f t="shared" si="26"/>
        <v/>
      </c>
      <c r="AB125" t="str">
        <f t="shared" si="27"/>
        <v/>
      </c>
      <c r="AC125" t="str">
        <f t="shared" si="28"/>
        <v/>
      </c>
      <c r="AD125" t="str">
        <f t="shared" si="29"/>
        <v/>
      </c>
      <c r="AE125" t="str">
        <f t="shared" si="30"/>
        <v/>
      </c>
      <c r="AF125" t="str">
        <f t="shared" si="31"/>
        <v/>
      </c>
      <c r="AG125" t="str">
        <f t="shared" si="32"/>
        <v/>
      </c>
      <c r="AH125" t="str">
        <f t="shared" si="33"/>
        <v/>
      </c>
      <c r="AI125" t="str">
        <f t="shared" si="34"/>
        <v/>
      </c>
      <c r="AJ125" t="str">
        <f t="shared" si="34"/>
        <v/>
      </c>
    </row>
    <row r="126" spans="1:36" x14ac:dyDescent="0.25">
      <c r="A126" s="8">
        <v>40299</v>
      </c>
      <c r="B126" s="9">
        <f t="shared" si="18"/>
        <v>5</v>
      </c>
      <c r="C126">
        <v>48.134487494178082</v>
      </c>
      <c r="D126">
        <v>1910.422282480785</v>
      </c>
      <c r="E126">
        <v>1058.6448417826236</v>
      </c>
      <c r="F126">
        <v>550.71960488353932</v>
      </c>
      <c r="G126">
        <v>303.73107412047142</v>
      </c>
      <c r="H126">
        <v>1749.3838365658944</v>
      </c>
      <c r="I126">
        <v>480.42502518280975</v>
      </c>
      <c r="J126">
        <v>312.46971344780741</v>
      </c>
      <c r="K126">
        <v>451.67913189295376</v>
      </c>
      <c r="L126">
        <v>173.48202664071445</v>
      </c>
      <c r="M126">
        <v>1665.9765824061792</v>
      </c>
      <c r="N126">
        <v>256.05230067978306</v>
      </c>
      <c r="O126">
        <v>928.09837445433743</v>
      </c>
      <c r="P126">
        <v>285.9271679777309</v>
      </c>
      <c r="Q126">
        <v>1341.9971537403762</v>
      </c>
      <c r="R126">
        <v>522.30690423760575</v>
      </c>
      <c r="S126">
        <v>870.29363093516463</v>
      </c>
      <c r="T126" t="str">
        <f t="shared" si="19"/>
        <v/>
      </c>
      <c r="U126" t="str">
        <f t="shared" si="20"/>
        <v/>
      </c>
      <c r="V126" t="str">
        <f t="shared" si="21"/>
        <v/>
      </c>
      <c r="W126" t="str">
        <f t="shared" si="22"/>
        <v/>
      </c>
      <c r="X126" t="str">
        <f t="shared" si="23"/>
        <v/>
      </c>
      <c r="Y126" t="str">
        <f t="shared" si="24"/>
        <v/>
      </c>
      <c r="Z126" t="str">
        <f t="shared" si="25"/>
        <v/>
      </c>
      <c r="AA126" t="str">
        <f t="shared" si="26"/>
        <v/>
      </c>
      <c r="AB126" t="str">
        <f t="shared" si="27"/>
        <v/>
      </c>
      <c r="AC126" t="str">
        <f t="shared" si="28"/>
        <v/>
      </c>
      <c r="AD126" t="str">
        <f t="shared" si="29"/>
        <v/>
      </c>
      <c r="AE126" t="str">
        <f t="shared" si="30"/>
        <v/>
      </c>
      <c r="AF126" t="str">
        <f t="shared" si="31"/>
        <v/>
      </c>
      <c r="AG126" t="str">
        <f t="shared" si="32"/>
        <v/>
      </c>
      <c r="AH126" t="str">
        <f t="shared" si="33"/>
        <v/>
      </c>
      <c r="AI126" t="str">
        <f t="shared" si="34"/>
        <v/>
      </c>
      <c r="AJ126" t="str">
        <f t="shared" si="34"/>
        <v/>
      </c>
    </row>
    <row r="127" spans="1:36" x14ac:dyDescent="0.25">
      <c r="A127" s="8">
        <v>40330</v>
      </c>
      <c r="B127" s="9">
        <f t="shared" si="18"/>
        <v>6</v>
      </c>
      <c r="C127">
        <v>57.107723639225789</v>
      </c>
      <c r="D127">
        <v>2060.0519913729213</v>
      </c>
      <c r="E127">
        <v>1023.142819102275</v>
      </c>
      <c r="F127">
        <v>534.54023803977645</v>
      </c>
      <c r="G127">
        <v>278.88756710167246</v>
      </c>
      <c r="H127">
        <v>1557.4304536897373</v>
      </c>
      <c r="I127">
        <v>426.68605087945076</v>
      </c>
      <c r="J127">
        <v>297.00735241036858</v>
      </c>
      <c r="K127">
        <v>427.73130585088717</v>
      </c>
      <c r="L127">
        <v>176.69075175617149</v>
      </c>
      <c r="M127">
        <v>1485.2856164906502</v>
      </c>
      <c r="N127">
        <v>228.97256512661326</v>
      </c>
      <c r="O127">
        <v>987.45126620353597</v>
      </c>
      <c r="P127">
        <v>294.67901801993702</v>
      </c>
      <c r="Q127">
        <v>1234.3770984818398</v>
      </c>
      <c r="R127">
        <v>513.17174873493229</v>
      </c>
      <c r="S127">
        <v>810.15988774555092</v>
      </c>
      <c r="T127">
        <f t="shared" si="19"/>
        <v>57.515130234945616</v>
      </c>
      <c r="U127">
        <f t="shared" si="20"/>
        <v>1920.2329152360398</v>
      </c>
      <c r="V127">
        <f t="shared" si="21"/>
        <v>1064.22775184632</v>
      </c>
      <c r="W127">
        <f t="shared" si="22"/>
        <v>551.16577817834116</v>
      </c>
      <c r="X127">
        <f t="shared" si="23"/>
        <v>297.58186011905826</v>
      </c>
      <c r="Y127">
        <f t="shared" si="24"/>
        <v>1676.4761009241508</v>
      </c>
      <c r="Z127">
        <f t="shared" si="25"/>
        <v>476.17389618244187</v>
      </c>
      <c r="AA127">
        <f t="shared" si="26"/>
        <v>307.61655945449957</v>
      </c>
      <c r="AB127">
        <f t="shared" si="27"/>
        <v>456.63089382613504</v>
      </c>
      <c r="AC127">
        <f t="shared" si="28"/>
        <v>187.31307536198904</v>
      </c>
      <c r="AD127">
        <f t="shared" si="29"/>
        <v>1613.0330409035912</v>
      </c>
      <c r="AE127">
        <f t="shared" si="30"/>
        <v>244.96072292493864</v>
      </c>
      <c r="AF127">
        <f t="shared" si="31"/>
        <v>939.86616905236053</v>
      </c>
      <c r="AG127">
        <f t="shared" si="32"/>
        <v>293.09436390458927</v>
      </c>
      <c r="AH127">
        <f t="shared" si="33"/>
        <v>1331.2804051767237</v>
      </c>
      <c r="AI127">
        <f t="shared" si="34"/>
        <v>524.01630080012126</v>
      </c>
      <c r="AJ127">
        <f t="shared" si="34"/>
        <v>869.78492001674556</v>
      </c>
    </row>
    <row r="128" spans="1:36" x14ac:dyDescent="0.25">
      <c r="A128" s="8">
        <v>40360</v>
      </c>
      <c r="B128" s="9">
        <f t="shared" si="18"/>
        <v>7</v>
      </c>
      <c r="C128">
        <v>77.54996876252693</v>
      </c>
      <c r="D128">
        <v>1842.539271227987</v>
      </c>
      <c r="E128">
        <v>980.49149986581745</v>
      </c>
      <c r="F128">
        <v>546.62576014827914</v>
      </c>
      <c r="G128">
        <v>292.84399810721277</v>
      </c>
      <c r="H128">
        <v>1676.9391226586299</v>
      </c>
      <c r="I128">
        <v>510.74590699932668</v>
      </c>
      <c r="J128">
        <v>345.43862821259114</v>
      </c>
      <c r="K128">
        <v>402.28381883623695</v>
      </c>
      <c r="L128">
        <v>174.35275386742978</v>
      </c>
      <c r="M128">
        <v>1460.8530607829234</v>
      </c>
      <c r="N128">
        <v>252.87192956318302</v>
      </c>
      <c r="O128">
        <v>1001.9718766075619</v>
      </c>
      <c r="P128">
        <v>249.81392062358626</v>
      </c>
      <c r="Q128">
        <v>1290.1627522933813</v>
      </c>
      <c r="R128">
        <v>461.31646280436343</v>
      </c>
      <c r="S128">
        <v>885.3661440313374</v>
      </c>
      <c r="T128" t="str">
        <f t="shared" si="19"/>
        <v/>
      </c>
      <c r="U128" t="str">
        <f t="shared" si="20"/>
        <v/>
      </c>
      <c r="V128" t="str">
        <f t="shared" si="21"/>
        <v/>
      </c>
      <c r="W128" t="str">
        <f t="shared" si="22"/>
        <v/>
      </c>
      <c r="X128" t="str">
        <f t="shared" si="23"/>
        <v/>
      </c>
      <c r="Y128" t="str">
        <f t="shared" si="24"/>
        <v/>
      </c>
      <c r="Z128" t="str">
        <f t="shared" si="25"/>
        <v/>
      </c>
      <c r="AA128" t="str">
        <f t="shared" si="26"/>
        <v/>
      </c>
      <c r="AB128" t="str">
        <f t="shared" si="27"/>
        <v/>
      </c>
      <c r="AC128" t="str">
        <f t="shared" si="28"/>
        <v/>
      </c>
      <c r="AD128" t="str">
        <f t="shared" si="29"/>
        <v/>
      </c>
      <c r="AE128" t="str">
        <f t="shared" si="30"/>
        <v/>
      </c>
      <c r="AF128" t="str">
        <f t="shared" si="31"/>
        <v/>
      </c>
      <c r="AG128" t="str">
        <f t="shared" si="32"/>
        <v/>
      </c>
      <c r="AH128" t="str">
        <f t="shared" si="33"/>
        <v/>
      </c>
      <c r="AI128" t="str">
        <f t="shared" si="34"/>
        <v/>
      </c>
      <c r="AJ128" t="str">
        <f t="shared" si="34"/>
        <v/>
      </c>
    </row>
    <row r="129" spans="1:36" x14ac:dyDescent="0.25">
      <c r="A129" s="8">
        <v>40391</v>
      </c>
      <c r="B129" s="9">
        <f t="shared" si="18"/>
        <v>8</v>
      </c>
      <c r="C129">
        <v>99.377335752927479</v>
      </c>
      <c r="D129">
        <v>1785.2437982879719</v>
      </c>
      <c r="E129">
        <v>1022.3602701102491</v>
      </c>
      <c r="F129">
        <v>501.43528350336885</v>
      </c>
      <c r="G129">
        <v>271.63876744538391</v>
      </c>
      <c r="H129">
        <v>1655.5918462972404</v>
      </c>
      <c r="I129">
        <v>463.52165780303193</v>
      </c>
      <c r="J129">
        <v>294.43484798635967</v>
      </c>
      <c r="K129">
        <v>396.8141989017912</v>
      </c>
      <c r="L129">
        <v>191.36187450816303</v>
      </c>
      <c r="M129">
        <v>1583.8268486306501</v>
      </c>
      <c r="N129">
        <v>256.00021708478528</v>
      </c>
      <c r="O129">
        <v>1008.6633494948655</v>
      </c>
      <c r="P129">
        <v>276.48308082852134</v>
      </c>
      <c r="Q129">
        <v>1274.347762731079</v>
      </c>
      <c r="R129">
        <v>503.83220358230136</v>
      </c>
      <c r="S129">
        <v>999.72571227256742</v>
      </c>
      <c r="T129" t="str">
        <f t="shared" si="19"/>
        <v/>
      </c>
      <c r="U129" t="str">
        <f t="shared" si="20"/>
        <v/>
      </c>
      <c r="V129" t="str">
        <f t="shared" si="21"/>
        <v/>
      </c>
      <c r="W129" t="str">
        <f t="shared" si="22"/>
        <v/>
      </c>
      <c r="X129" t="str">
        <f t="shared" si="23"/>
        <v/>
      </c>
      <c r="Y129" t="str">
        <f t="shared" si="24"/>
        <v/>
      </c>
      <c r="Z129" t="str">
        <f t="shared" si="25"/>
        <v/>
      </c>
      <c r="AA129" t="str">
        <f t="shared" si="26"/>
        <v/>
      </c>
      <c r="AB129" t="str">
        <f t="shared" si="27"/>
        <v/>
      </c>
      <c r="AC129" t="str">
        <f t="shared" si="28"/>
        <v/>
      </c>
      <c r="AD129" t="str">
        <f t="shared" si="29"/>
        <v/>
      </c>
      <c r="AE129" t="str">
        <f t="shared" si="30"/>
        <v/>
      </c>
      <c r="AF129" t="str">
        <f t="shared" si="31"/>
        <v/>
      </c>
      <c r="AG129" t="str">
        <f t="shared" si="32"/>
        <v/>
      </c>
      <c r="AH129" t="str">
        <f t="shared" si="33"/>
        <v/>
      </c>
      <c r="AI129" t="str">
        <f t="shared" si="34"/>
        <v/>
      </c>
      <c r="AJ129" t="str">
        <f t="shared" si="34"/>
        <v/>
      </c>
    </row>
    <row r="130" spans="1:36" x14ac:dyDescent="0.25">
      <c r="A130" s="8">
        <v>40422</v>
      </c>
      <c r="B130" s="9">
        <f t="shared" si="18"/>
        <v>9</v>
      </c>
      <c r="C130">
        <v>77.321902669928392</v>
      </c>
      <c r="D130">
        <v>1756.7148477748015</v>
      </c>
      <c r="E130">
        <v>989.57047413240844</v>
      </c>
      <c r="F130">
        <v>564.18467730573695</v>
      </c>
      <c r="G130">
        <v>261.20986515362182</v>
      </c>
      <c r="H130">
        <v>1740.1327120451278</v>
      </c>
      <c r="I130">
        <v>449.07763505283754</v>
      </c>
      <c r="J130">
        <v>315.17180610435639</v>
      </c>
      <c r="K130">
        <v>417.43168157922696</v>
      </c>
      <c r="L130">
        <v>166.34095142653445</v>
      </c>
      <c r="M130">
        <v>1472.6044948834806</v>
      </c>
      <c r="N130">
        <v>302.69187480932396</v>
      </c>
      <c r="O130">
        <v>1008.605513127646</v>
      </c>
      <c r="P130">
        <v>304.78872923727886</v>
      </c>
      <c r="Q130">
        <v>1323.7179423662649</v>
      </c>
      <c r="R130">
        <v>530.15749351795841</v>
      </c>
      <c r="S130">
        <v>1059.5599308736125</v>
      </c>
      <c r="T130">
        <f t="shared" si="19"/>
        <v>84.749735728460934</v>
      </c>
      <c r="U130">
        <f t="shared" si="20"/>
        <v>1794.8326390969203</v>
      </c>
      <c r="V130">
        <f t="shared" si="21"/>
        <v>997.47408136949161</v>
      </c>
      <c r="W130">
        <f t="shared" si="22"/>
        <v>537.41524031912832</v>
      </c>
      <c r="X130">
        <f t="shared" si="23"/>
        <v>275.23087690207285</v>
      </c>
      <c r="Y130">
        <f t="shared" si="24"/>
        <v>1690.8878936669996</v>
      </c>
      <c r="Z130">
        <f t="shared" si="25"/>
        <v>474.44839995173203</v>
      </c>
      <c r="AA130">
        <f t="shared" si="26"/>
        <v>318.34842743443573</v>
      </c>
      <c r="AB130">
        <f t="shared" si="27"/>
        <v>405.50989977241835</v>
      </c>
      <c r="AC130">
        <f t="shared" si="28"/>
        <v>177.35185993404244</v>
      </c>
      <c r="AD130">
        <f t="shared" si="29"/>
        <v>1505.761468099018</v>
      </c>
      <c r="AE130">
        <f t="shared" si="30"/>
        <v>270.52134048576409</v>
      </c>
      <c r="AF130">
        <f t="shared" si="31"/>
        <v>1006.4135797433578</v>
      </c>
      <c r="AG130">
        <f t="shared" si="32"/>
        <v>277.02857689646214</v>
      </c>
      <c r="AH130">
        <f t="shared" si="33"/>
        <v>1296.0761524635752</v>
      </c>
      <c r="AI130">
        <f t="shared" si="34"/>
        <v>498.43538663487442</v>
      </c>
      <c r="AJ130">
        <f t="shared" si="34"/>
        <v>981.55059572583923</v>
      </c>
    </row>
    <row r="131" spans="1:36" x14ac:dyDescent="0.25">
      <c r="A131" s="8">
        <v>40452</v>
      </c>
      <c r="B131" s="9">
        <f t="shared" si="18"/>
        <v>10</v>
      </c>
      <c r="C131">
        <v>97.92291451903175</v>
      </c>
      <c r="D131">
        <v>1723.251202984464</v>
      </c>
      <c r="E131">
        <v>993.09740431406146</v>
      </c>
      <c r="F131">
        <v>554.17295374709556</v>
      </c>
      <c r="G131">
        <v>289.89619697734054</v>
      </c>
      <c r="H131">
        <v>1690.1575983507271</v>
      </c>
      <c r="I131">
        <v>428.11029484303117</v>
      </c>
      <c r="J131">
        <v>321.10207865710822</v>
      </c>
      <c r="K131">
        <v>432.50468713890336</v>
      </c>
      <c r="L131">
        <v>164.23681347731062</v>
      </c>
      <c r="M131">
        <v>1575.5130080069105</v>
      </c>
      <c r="N131">
        <v>340.85775511080931</v>
      </c>
      <c r="O131">
        <v>966.11375787269958</v>
      </c>
      <c r="P131">
        <v>297.3204277352765</v>
      </c>
      <c r="Q131">
        <v>1236.2292621498011</v>
      </c>
      <c r="R131">
        <v>573.11343674320483</v>
      </c>
      <c r="S131">
        <v>991.75503936154871</v>
      </c>
      <c r="T131" t="str">
        <f t="shared" si="19"/>
        <v/>
      </c>
      <c r="U131" t="str">
        <f t="shared" si="20"/>
        <v/>
      </c>
      <c r="V131" t="str">
        <f t="shared" si="21"/>
        <v/>
      </c>
      <c r="W131" t="str">
        <f t="shared" si="22"/>
        <v/>
      </c>
      <c r="X131" t="str">
        <f t="shared" si="23"/>
        <v/>
      </c>
      <c r="Y131" t="str">
        <f t="shared" si="24"/>
        <v/>
      </c>
      <c r="Z131" t="str">
        <f t="shared" si="25"/>
        <v/>
      </c>
      <c r="AA131" t="str">
        <f t="shared" si="26"/>
        <v/>
      </c>
      <c r="AB131" t="str">
        <f t="shared" si="27"/>
        <v/>
      </c>
      <c r="AC131" t="str">
        <f t="shared" si="28"/>
        <v/>
      </c>
      <c r="AD131" t="str">
        <f t="shared" si="29"/>
        <v/>
      </c>
      <c r="AE131" t="str">
        <f t="shared" si="30"/>
        <v/>
      </c>
      <c r="AF131" t="str">
        <f t="shared" si="31"/>
        <v/>
      </c>
      <c r="AG131" t="str">
        <f t="shared" si="32"/>
        <v/>
      </c>
      <c r="AH131" t="str">
        <f t="shared" si="33"/>
        <v/>
      </c>
      <c r="AI131" t="str">
        <f t="shared" si="34"/>
        <v/>
      </c>
      <c r="AJ131" t="str">
        <f t="shared" si="34"/>
        <v/>
      </c>
    </row>
    <row r="132" spans="1:36" x14ac:dyDescent="0.25">
      <c r="A132" s="8">
        <v>40483</v>
      </c>
      <c r="B132" s="9">
        <f t="shared" ref="B132:B154" si="35">IF(B131=12,1,B131+1)</f>
        <v>11</v>
      </c>
      <c r="C132">
        <v>74.43646213919979</v>
      </c>
      <c r="D132">
        <v>1733.447457464637</v>
      </c>
      <c r="E132">
        <v>1010.1173865908595</v>
      </c>
      <c r="F132">
        <v>555.71116491943678</v>
      </c>
      <c r="G132">
        <v>303.60161095106088</v>
      </c>
      <c r="H132">
        <v>1682.715687187625</v>
      </c>
      <c r="I132">
        <v>476.66408142044168</v>
      </c>
      <c r="J132">
        <v>270.60721100805239</v>
      </c>
      <c r="K132">
        <v>421.09096340843087</v>
      </c>
      <c r="L132">
        <v>185.47360736687773</v>
      </c>
      <c r="M132">
        <v>1599.3267492500688</v>
      </c>
      <c r="N132">
        <v>318.92259012942299</v>
      </c>
      <c r="O132">
        <v>1030.6747294355171</v>
      </c>
      <c r="P132">
        <v>348.02435269768824</v>
      </c>
      <c r="Q132">
        <v>1282.2372819824338</v>
      </c>
      <c r="R132">
        <v>544.27424394368677</v>
      </c>
      <c r="S132">
        <v>1022.4382047591938</v>
      </c>
      <c r="T132" t="str">
        <f t="shared" si="19"/>
        <v/>
      </c>
      <c r="U132" t="str">
        <f t="shared" si="20"/>
        <v/>
      </c>
      <c r="V132" t="str">
        <f t="shared" si="21"/>
        <v/>
      </c>
      <c r="W132" t="str">
        <f t="shared" si="22"/>
        <v/>
      </c>
      <c r="X132" t="str">
        <f t="shared" si="23"/>
        <v/>
      </c>
      <c r="Y132" t="str">
        <f t="shared" si="24"/>
        <v/>
      </c>
      <c r="Z132" t="str">
        <f t="shared" si="25"/>
        <v/>
      </c>
      <c r="AA132" t="str">
        <f t="shared" si="26"/>
        <v/>
      </c>
      <c r="AB132" t="str">
        <f t="shared" si="27"/>
        <v/>
      </c>
      <c r="AC132" t="str">
        <f t="shared" si="28"/>
        <v/>
      </c>
      <c r="AD132" t="str">
        <f t="shared" si="29"/>
        <v/>
      </c>
      <c r="AE132" t="str">
        <f t="shared" si="30"/>
        <v/>
      </c>
      <c r="AF132" t="str">
        <f t="shared" si="31"/>
        <v/>
      </c>
      <c r="AG132" t="str">
        <f t="shared" si="32"/>
        <v/>
      </c>
      <c r="AH132" t="str">
        <f t="shared" si="33"/>
        <v/>
      </c>
      <c r="AI132" t="str">
        <f t="shared" si="34"/>
        <v/>
      </c>
      <c r="AJ132" t="str">
        <f t="shared" si="34"/>
        <v/>
      </c>
    </row>
    <row r="133" spans="1:36" x14ac:dyDescent="0.25">
      <c r="A133" s="8">
        <v>40513</v>
      </c>
      <c r="B133" s="9">
        <f t="shared" si="35"/>
        <v>12</v>
      </c>
      <c r="C133">
        <v>79.871478421793711</v>
      </c>
      <c r="D133">
        <v>1565.7802350411914</v>
      </c>
      <c r="E133">
        <v>1009.6132228931382</v>
      </c>
      <c r="F133">
        <v>565.42452138657166</v>
      </c>
      <c r="G133">
        <v>245.46092867726631</v>
      </c>
      <c r="H133">
        <v>1574.5943371912595</v>
      </c>
      <c r="I133">
        <v>461.65615622569834</v>
      </c>
      <c r="J133">
        <v>244.28439436495708</v>
      </c>
      <c r="K133">
        <v>394.61115096645716</v>
      </c>
      <c r="L133">
        <v>211.29906536934666</v>
      </c>
      <c r="M133">
        <v>1481.2394444036352</v>
      </c>
      <c r="N133">
        <v>289.9352801268958</v>
      </c>
      <c r="O133">
        <v>951.12511029974007</v>
      </c>
      <c r="P133">
        <v>297.2574465223089</v>
      </c>
      <c r="Q133">
        <v>1359.9819912983023</v>
      </c>
      <c r="R133">
        <v>527.20735805041022</v>
      </c>
      <c r="S133">
        <v>1065.655577547963</v>
      </c>
      <c r="T133">
        <f t="shared" ref="T133:T167" si="36">IF( OR($B133=3,$B133=6,$B133=9,$B133=12),AVERAGE(C131:C133),"" )</f>
        <v>84.076951693341755</v>
      </c>
      <c r="U133">
        <f t="shared" ref="U133:U167" si="37">IF( OR($B133=3,$B133=6,$B133=9,$B133=12),AVERAGE(D131:D133),"" )</f>
        <v>1674.1596318300974</v>
      </c>
      <c r="V133">
        <f t="shared" ref="V133:V167" si="38">IF( OR($B133=3,$B133=6,$B133=9,$B133=12),AVERAGE(E131:E133),"" )</f>
        <v>1004.2760045993531</v>
      </c>
      <c r="W133">
        <f t="shared" ref="W133:W167" si="39">IF( OR($B133=3,$B133=6,$B133=9,$B133=12),AVERAGE(F131:F133),"" )</f>
        <v>558.43621335103455</v>
      </c>
      <c r="X133">
        <f t="shared" ref="X133:X167" si="40">IF( OR($B133=3,$B133=6,$B133=9,$B133=12),AVERAGE(G131:G133),"" )</f>
        <v>279.65291220188925</v>
      </c>
      <c r="Y133">
        <f t="shared" ref="Y133:Y167" si="41">IF( OR($B133=3,$B133=6,$B133=9,$B133=12),AVERAGE(H131:H133),"" )</f>
        <v>1649.1558742432037</v>
      </c>
      <c r="Z133">
        <f t="shared" ref="Z133:Z167" si="42">IF( OR($B133=3,$B133=6,$B133=9,$B133=12),AVERAGE(I131:I133),"" )</f>
        <v>455.47684416305702</v>
      </c>
      <c r="AA133">
        <f t="shared" ref="AA133:AA167" si="43">IF( OR($B133=3,$B133=6,$B133=9,$B133=12),AVERAGE(J131:J133),"" )</f>
        <v>278.66456134337255</v>
      </c>
      <c r="AB133">
        <f t="shared" ref="AB133:AB167" si="44">IF( OR($B133=3,$B133=6,$B133=9,$B133=12),AVERAGE(K131:K133),"" )</f>
        <v>416.06893383793044</v>
      </c>
      <c r="AC133">
        <f t="shared" ref="AC133:AC167" si="45">IF( OR($B133=3,$B133=6,$B133=9,$B133=12),AVERAGE(L131:L133),"" )</f>
        <v>187.00316207117831</v>
      </c>
      <c r="AD133">
        <f t="shared" ref="AD133:AD167" si="46">IF( OR($B133=3,$B133=6,$B133=9,$B133=12),AVERAGE(M131:M133),"" )</f>
        <v>1552.0264005535382</v>
      </c>
      <c r="AE133">
        <f t="shared" ref="AE133:AE167" si="47">IF( OR($B133=3,$B133=6,$B133=9,$B133=12),AVERAGE(N131:N133),"" )</f>
        <v>316.57187512237601</v>
      </c>
      <c r="AF133">
        <f t="shared" ref="AF133:AF167" si="48">IF( OR($B133=3,$B133=6,$B133=9,$B133=12),AVERAGE(O131:O133),"" )</f>
        <v>982.63786586931894</v>
      </c>
      <c r="AG133">
        <f t="shared" ref="AG133:AG167" si="49">IF( OR($B133=3,$B133=6,$B133=9,$B133=12),AVERAGE(P131:P133),"" )</f>
        <v>314.20074231842455</v>
      </c>
      <c r="AH133">
        <f t="shared" ref="AH133:AH167" si="50">IF( OR($B133=3,$B133=6,$B133=9,$B133=12),AVERAGE(Q131:Q133),"" )</f>
        <v>1292.8161784768456</v>
      </c>
      <c r="AI133">
        <f t="shared" ref="AI133:AJ167" si="51">IF( OR($B133=3,$B133=6,$B133=9,$B133=12),AVERAGE(R131:R133),"" )</f>
        <v>548.19834624576731</v>
      </c>
      <c r="AJ133">
        <f t="shared" si="51"/>
        <v>1026.6162738895684</v>
      </c>
    </row>
    <row r="134" spans="1:36" x14ac:dyDescent="0.25">
      <c r="A134" s="8">
        <v>40544</v>
      </c>
      <c r="B134" s="9">
        <f t="shared" si="35"/>
        <v>1</v>
      </c>
      <c r="C134">
        <v>55.601033226437394</v>
      </c>
      <c r="D134">
        <v>1386.0897200865641</v>
      </c>
      <c r="E134">
        <v>875.92549537348157</v>
      </c>
      <c r="F134">
        <v>520.39632874586732</v>
      </c>
      <c r="G134">
        <v>252.3855226056354</v>
      </c>
      <c r="H134">
        <v>1440.6431485992332</v>
      </c>
      <c r="I134">
        <v>443.3092564347694</v>
      </c>
      <c r="J134">
        <v>218.5996807617999</v>
      </c>
      <c r="K134">
        <v>451.54626703752803</v>
      </c>
      <c r="L134">
        <v>201.15658860292859</v>
      </c>
      <c r="M134">
        <v>1350.2596378152534</v>
      </c>
      <c r="N134">
        <v>289.94700977744856</v>
      </c>
      <c r="O134">
        <v>969.61241322594321</v>
      </c>
      <c r="P134">
        <v>275.65170999892854</v>
      </c>
      <c r="Q134">
        <v>1353.1526779779786</v>
      </c>
      <c r="R134">
        <v>494.96180051964126</v>
      </c>
      <c r="S134">
        <v>1075.9432889983871</v>
      </c>
      <c r="T134" t="str">
        <f t="shared" si="36"/>
        <v/>
      </c>
      <c r="U134" t="str">
        <f t="shared" si="37"/>
        <v/>
      </c>
      <c r="V134" t="str">
        <f t="shared" si="38"/>
        <v/>
      </c>
      <c r="W134" t="str">
        <f t="shared" si="39"/>
        <v/>
      </c>
      <c r="X134" t="str">
        <f t="shared" si="40"/>
        <v/>
      </c>
      <c r="Y134" t="str">
        <f t="shared" si="41"/>
        <v/>
      </c>
      <c r="Z134" t="str">
        <f t="shared" si="42"/>
        <v/>
      </c>
      <c r="AA134" t="str">
        <f t="shared" si="43"/>
        <v/>
      </c>
      <c r="AB134" t="str">
        <f t="shared" si="44"/>
        <v/>
      </c>
      <c r="AC134" t="str">
        <f t="shared" si="45"/>
        <v/>
      </c>
      <c r="AD134" t="str">
        <f t="shared" si="46"/>
        <v/>
      </c>
      <c r="AE134" t="str">
        <f t="shared" si="47"/>
        <v/>
      </c>
      <c r="AF134" t="str">
        <f t="shared" si="48"/>
        <v/>
      </c>
      <c r="AG134" t="str">
        <f t="shared" si="49"/>
        <v/>
      </c>
      <c r="AH134" t="str">
        <f t="shared" si="50"/>
        <v/>
      </c>
      <c r="AI134" t="str">
        <f t="shared" si="51"/>
        <v/>
      </c>
      <c r="AJ134" t="str">
        <f t="shared" si="51"/>
        <v/>
      </c>
    </row>
    <row r="135" spans="1:36" x14ac:dyDescent="0.25">
      <c r="A135" s="8">
        <v>40575</v>
      </c>
      <c r="B135" s="9">
        <f t="shared" si="35"/>
        <v>2</v>
      </c>
      <c r="C135">
        <v>39.182579744632314</v>
      </c>
      <c r="D135">
        <v>1366.7317751040839</v>
      </c>
      <c r="E135">
        <v>918.89096915230448</v>
      </c>
      <c r="F135">
        <v>472.21283578043943</v>
      </c>
      <c r="G135">
        <v>313.66847523789829</v>
      </c>
      <c r="H135">
        <v>1443.9653754707056</v>
      </c>
      <c r="I135">
        <v>450.60412176928384</v>
      </c>
      <c r="J135">
        <v>201.63743570761378</v>
      </c>
      <c r="K135">
        <v>412.91202709552545</v>
      </c>
      <c r="L135">
        <v>194.80642547467937</v>
      </c>
      <c r="M135">
        <v>1343.5666155786182</v>
      </c>
      <c r="N135">
        <v>317.52530903394762</v>
      </c>
      <c r="O135">
        <v>926.74665528514754</v>
      </c>
      <c r="P135">
        <v>309.1298838312353</v>
      </c>
      <c r="Q135">
        <v>1351.2590548419546</v>
      </c>
      <c r="R135">
        <v>511.91407872708544</v>
      </c>
      <c r="S135">
        <v>1043.7096686103789</v>
      </c>
      <c r="T135" t="str">
        <f t="shared" si="36"/>
        <v/>
      </c>
      <c r="U135" t="str">
        <f t="shared" si="37"/>
        <v/>
      </c>
      <c r="V135" t="str">
        <f t="shared" si="38"/>
        <v/>
      </c>
      <c r="W135" t="str">
        <f t="shared" si="39"/>
        <v/>
      </c>
      <c r="X135" t="str">
        <f t="shared" si="40"/>
        <v/>
      </c>
      <c r="Y135" t="str">
        <f t="shared" si="41"/>
        <v/>
      </c>
      <c r="Z135" t="str">
        <f t="shared" si="42"/>
        <v/>
      </c>
      <c r="AA135" t="str">
        <f t="shared" si="43"/>
        <v/>
      </c>
      <c r="AB135" t="str">
        <f t="shared" si="44"/>
        <v/>
      </c>
      <c r="AC135" t="str">
        <f t="shared" si="45"/>
        <v/>
      </c>
      <c r="AD135" t="str">
        <f t="shared" si="46"/>
        <v/>
      </c>
      <c r="AE135" t="str">
        <f t="shared" si="47"/>
        <v/>
      </c>
      <c r="AF135" t="str">
        <f t="shared" si="48"/>
        <v/>
      </c>
      <c r="AG135" t="str">
        <f t="shared" si="49"/>
        <v/>
      </c>
      <c r="AH135" t="str">
        <f t="shared" si="50"/>
        <v/>
      </c>
      <c r="AI135" t="str">
        <f t="shared" si="51"/>
        <v/>
      </c>
      <c r="AJ135" t="str">
        <f t="shared" si="51"/>
        <v/>
      </c>
    </row>
    <row r="136" spans="1:36" x14ac:dyDescent="0.25">
      <c r="A136" s="8">
        <v>40603</v>
      </c>
      <c r="B136" s="9">
        <f t="shared" si="35"/>
        <v>3</v>
      </c>
      <c r="C136">
        <v>44.046109015174174</v>
      </c>
      <c r="D136">
        <v>1337.3279679042382</v>
      </c>
      <c r="E136">
        <v>925.48091953007781</v>
      </c>
      <c r="F136">
        <v>479.73529755454211</v>
      </c>
      <c r="G136">
        <v>318.44477719525918</v>
      </c>
      <c r="H136">
        <v>1425.5358657856211</v>
      </c>
      <c r="I136">
        <v>513.27706658000511</v>
      </c>
      <c r="J136">
        <v>238.4371888666561</v>
      </c>
      <c r="K136">
        <v>429.05277333589333</v>
      </c>
      <c r="L136">
        <v>204.73739031470237</v>
      </c>
      <c r="M136">
        <v>1393.4710139616009</v>
      </c>
      <c r="N136">
        <v>288.29291791471206</v>
      </c>
      <c r="O136">
        <v>923.39501435607588</v>
      </c>
      <c r="P136">
        <v>361.24363326079185</v>
      </c>
      <c r="Q136">
        <v>1289.0060502175986</v>
      </c>
      <c r="R136">
        <v>504.11273626886265</v>
      </c>
      <c r="S136">
        <v>984.39898094899252</v>
      </c>
      <c r="T136">
        <f t="shared" si="36"/>
        <v>46.27657399541463</v>
      </c>
      <c r="U136">
        <f t="shared" si="37"/>
        <v>1363.3831543649621</v>
      </c>
      <c r="V136">
        <f t="shared" si="38"/>
        <v>906.76579468528791</v>
      </c>
      <c r="W136">
        <f t="shared" si="39"/>
        <v>490.78148736028294</v>
      </c>
      <c r="X136">
        <f t="shared" si="40"/>
        <v>294.83292501293096</v>
      </c>
      <c r="Y136">
        <f t="shared" si="41"/>
        <v>1436.71479661852</v>
      </c>
      <c r="Z136">
        <f t="shared" si="42"/>
        <v>469.06348159468615</v>
      </c>
      <c r="AA136">
        <f t="shared" si="43"/>
        <v>219.55810177868992</v>
      </c>
      <c r="AB136">
        <f t="shared" si="44"/>
        <v>431.17035582298223</v>
      </c>
      <c r="AC136">
        <f t="shared" si="45"/>
        <v>200.23346813077012</v>
      </c>
      <c r="AD136">
        <f t="shared" si="46"/>
        <v>1362.4324224518241</v>
      </c>
      <c r="AE136">
        <f t="shared" si="47"/>
        <v>298.5884122420361</v>
      </c>
      <c r="AF136">
        <f t="shared" si="48"/>
        <v>939.91802762238888</v>
      </c>
      <c r="AG136">
        <f t="shared" si="49"/>
        <v>315.34174236365192</v>
      </c>
      <c r="AH136">
        <f t="shared" si="50"/>
        <v>1331.1392610125106</v>
      </c>
      <c r="AI136">
        <f t="shared" si="51"/>
        <v>503.66287183852978</v>
      </c>
      <c r="AJ136">
        <f t="shared" si="51"/>
        <v>1034.6839795192529</v>
      </c>
    </row>
    <row r="137" spans="1:36" x14ac:dyDescent="0.25">
      <c r="A137" s="8">
        <v>40634</v>
      </c>
      <c r="B137" s="9">
        <f t="shared" si="35"/>
        <v>4</v>
      </c>
      <c r="C137">
        <v>27.311435188407582</v>
      </c>
      <c r="D137">
        <v>1400.2745868960262</v>
      </c>
      <c r="E137">
        <v>960.41973683273841</v>
      </c>
      <c r="F137">
        <v>476.43041388532635</v>
      </c>
      <c r="G137">
        <v>282.12216536698463</v>
      </c>
      <c r="H137">
        <v>1553.2442894636079</v>
      </c>
      <c r="I137">
        <v>491.89680423119347</v>
      </c>
      <c r="J137">
        <v>226.20936929192166</v>
      </c>
      <c r="K137">
        <v>390.22334822168733</v>
      </c>
      <c r="L137">
        <v>226.96499656628791</v>
      </c>
      <c r="M137">
        <v>1426.0412849373797</v>
      </c>
      <c r="N137">
        <v>228.47913800855477</v>
      </c>
      <c r="O137">
        <v>960.61739348757123</v>
      </c>
      <c r="P137">
        <v>300.82566043348197</v>
      </c>
      <c r="Q137">
        <v>1257.4134980783479</v>
      </c>
      <c r="R137">
        <v>587.62256442192927</v>
      </c>
      <c r="S137">
        <v>939.77264731532796</v>
      </c>
      <c r="T137" t="str">
        <f t="shared" si="36"/>
        <v/>
      </c>
      <c r="U137" t="str">
        <f t="shared" si="37"/>
        <v/>
      </c>
      <c r="V137" t="str">
        <f t="shared" si="38"/>
        <v/>
      </c>
      <c r="W137" t="str">
        <f t="shared" si="39"/>
        <v/>
      </c>
      <c r="X137" t="str">
        <f t="shared" si="40"/>
        <v/>
      </c>
      <c r="Y137" t="str">
        <f t="shared" si="41"/>
        <v/>
      </c>
      <c r="Z137" t="str">
        <f t="shared" si="42"/>
        <v/>
      </c>
      <c r="AA137" t="str">
        <f t="shared" si="43"/>
        <v/>
      </c>
      <c r="AB137" t="str">
        <f t="shared" si="44"/>
        <v/>
      </c>
      <c r="AC137" t="str">
        <f t="shared" si="45"/>
        <v/>
      </c>
      <c r="AD137" t="str">
        <f t="shared" si="46"/>
        <v/>
      </c>
      <c r="AE137" t="str">
        <f t="shared" si="47"/>
        <v/>
      </c>
      <c r="AF137" t="str">
        <f t="shared" si="48"/>
        <v/>
      </c>
      <c r="AG137" t="str">
        <f t="shared" si="49"/>
        <v/>
      </c>
      <c r="AH137" t="str">
        <f t="shared" si="50"/>
        <v/>
      </c>
      <c r="AI137" t="str">
        <f t="shared" si="51"/>
        <v/>
      </c>
      <c r="AJ137" t="str">
        <f t="shared" si="51"/>
        <v/>
      </c>
    </row>
    <row r="138" spans="1:36" x14ac:dyDescent="0.25">
      <c r="A138" s="8">
        <v>40664</v>
      </c>
      <c r="B138" s="9">
        <f t="shared" si="35"/>
        <v>5</v>
      </c>
      <c r="C138">
        <v>33.484860865515188</v>
      </c>
      <c r="D138">
        <v>1488.0611168952896</v>
      </c>
      <c r="E138">
        <v>947.42534478600567</v>
      </c>
      <c r="F138">
        <v>527.93803849447204</v>
      </c>
      <c r="G138">
        <v>244.87660993103751</v>
      </c>
      <c r="H138">
        <v>1650.0917171118911</v>
      </c>
      <c r="I138">
        <v>503.35203289218458</v>
      </c>
      <c r="J138">
        <v>222.35305627790683</v>
      </c>
      <c r="K138">
        <v>405.60986345154384</v>
      </c>
      <c r="L138">
        <v>215.03460787202329</v>
      </c>
      <c r="M138">
        <v>1465.936290799526</v>
      </c>
      <c r="N138">
        <v>273.67533352009201</v>
      </c>
      <c r="O138">
        <v>1005.1829570502126</v>
      </c>
      <c r="P138">
        <v>292.62858597720896</v>
      </c>
      <c r="Q138">
        <v>1137.4548366275308</v>
      </c>
      <c r="R138">
        <v>562.16164793445125</v>
      </c>
      <c r="S138">
        <v>943.66468931491272</v>
      </c>
      <c r="T138" t="str">
        <f t="shared" si="36"/>
        <v/>
      </c>
      <c r="U138" t="str">
        <f t="shared" si="37"/>
        <v/>
      </c>
      <c r="V138" t="str">
        <f t="shared" si="38"/>
        <v/>
      </c>
      <c r="W138" t="str">
        <f t="shared" si="39"/>
        <v/>
      </c>
      <c r="X138" t="str">
        <f t="shared" si="40"/>
        <v/>
      </c>
      <c r="Y138" t="str">
        <f t="shared" si="41"/>
        <v/>
      </c>
      <c r="Z138" t="str">
        <f t="shared" si="42"/>
        <v/>
      </c>
      <c r="AA138" t="str">
        <f t="shared" si="43"/>
        <v/>
      </c>
      <c r="AB138" t="str">
        <f t="shared" si="44"/>
        <v/>
      </c>
      <c r="AC138" t="str">
        <f t="shared" si="45"/>
        <v/>
      </c>
      <c r="AD138" t="str">
        <f t="shared" si="46"/>
        <v/>
      </c>
      <c r="AE138" t="str">
        <f t="shared" si="47"/>
        <v/>
      </c>
      <c r="AF138" t="str">
        <f t="shared" si="48"/>
        <v/>
      </c>
      <c r="AG138" t="str">
        <f t="shared" si="49"/>
        <v/>
      </c>
      <c r="AH138" t="str">
        <f t="shared" si="50"/>
        <v/>
      </c>
      <c r="AI138" t="str">
        <f t="shared" si="51"/>
        <v/>
      </c>
      <c r="AJ138" t="str">
        <f t="shared" si="51"/>
        <v/>
      </c>
    </row>
    <row r="139" spans="1:36" x14ac:dyDescent="0.25">
      <c r="A139" s="8">
        <v>40695</v>
      </c>
      <c r="B139" s="9">
        <f t="shared" si="35"/>
        <v>6</v>
      </c>
      <c r="C139">
        <v>41.046176365693533</v>
      </c>
      <c r="D139">
        <v>1519.9375196852309</v>
      </c>
      <c r="E139">
        <v>972.08778820894781</v>
      </c>
      <c r="F139">
        <v>468.36891263446569</v>
      </c>
      <c r="G139">
        <v>268.51999955142441</v>
      </c>
      <c r="H139">
        <v>1658.64910978484</v>
      </c>
      <c r="I139">
        <v>495.50638166645894</v>
      </c>
      <c r="J139">
        <v>250.05773656543062</v>
      </c>
      <c r="K139">
        <v>392.33285295288266</v>
      </c>
      <c r="L139">
        <v>187.50855288410037</v>
      </c>
      <c r="M139">
        <v>1367.6793833760321</v>
      </c>
      <c r="N139">
        <v>241.61522209679435</v>
      </c>
      <c r="O139">
        <v>861.58050203332232</v>
      </c>
      <c r="P139">
        <v>250.79065363398894</v>
      </c>
      <c r="Q139">
        <v>1156.2401909667872</v>
      </c>
      <c r="R139">
        <v>533.42852829025855</v>
      </c>
      <c r="S139">
        <v>1033.2473930667895</v>
      </c>
      <c r="T139">
        <f t="shared" si="36"/>
        <v>33.947490806538774</v>
      </c>
      <c r="U139">
        <f t="shared" si="37"/>
        <v>1469.4244078255153</v>
      </c>
      <c r="V139">
        <f t="shared" si="38"/>
        <v>959.97762327589737</v>
      </c>
      <c r="W139">
        <f t="shared" si="39"/>
        <v>490.91245500475469</v>
      </c>
      <c r="X139">
        <f t="shared" si="40"/>
        <v>265.17292494981552</v>
      </c>
      <c r="Y139">
        <f t="shared" si="41"/>
        <v>1620.6617054534463</v>
      </c>
      <c r="Z139">
        <f t="shared" si="42"/>
        <v>496.918406263279</v>
      </c>
      <c r="AA139">
        <f t="shared" si="43"/>
        <v>232.87338737841969</v>
      </c>
      <c r="AB139">
        <f t="shared" si="44"/>
        <v>396.05535487537128</v>
      </c>
      <c r="AC139">
        <f t="shared" si="45"/>
        <v>209.83605244080385</v>
      </c>
      <c r="AD139">
        <f t="shared" si="46"/>
        <v>1419.8856530376459</v>
      </c>
      <c r="AE139">
        <f t="shared" si="47"/>
        <v>247.92323120848039</v>
      </c>
      <c r="AF139">
        <f t="shared" si="48"/>
        <v>942.46028419036872</v>
      </c>
      <c r="AG139">
        <f t="shared" si="49"/>
        <v>281.41496668155997</v>
      </c>
      <c r="AH139">
        <f t="shared" si="50"/>
        <v>1183.7028418908885</v>
      </c>
      <c r="AI139">
        <f t="shared" si="51"/>
        <v>561.07091354887973</v>
      </c>
      <c r="AJ139">
        <f t="shared" si="51"/>
        <v>972.22824323234329</v>
      </c>
    </row>
    <row r="140" spans="1:36" x14ac:dyDescent="0.25">
      <c r="A140" s="8">
        <v>40725</v>
      </c>
      <c r="B140" s="9">
        <f t="shared" si="35"/>
        <v>7</v>
      </c>
      <c r="C140">
        <v>52.027194233087684</v>
      </c>
      <c r="D140">
        <v>1371.0518006454326</v>
      </c>
      <c r="E140">
        <v>890.83566232944884</v>
      </c>
      <c r="F140">
        <v>501.07361346925592</v>
      </c>
      <c r="G140">
        <v>264.40231483780718</v>
      </c>
      <c r="H140">
        <v>1599.0983954750488</v>
      </c>
      <c r="I140">
        <v>462.23931247983757</v>
      </c>
      <c r="J140">
        <v>237.99114792553519</v>
      </c>
      <c r="K140">
        <v>352.9843312337569</v>
      </c>
      <c r="L140">
        <v>194.39330028897342</v>
      </c>
      <c r="M140">
        <v>1402.2977895144995</v>
      </c>
      <c r="N140">
        <v>248.82597869017209</v>
      </c>
      <c r="O140">
        <v>857.18933749967493</v>
      </c>
      <c r="P140">
        <v>238.21918169168984</v>
      </c>
      <c r="Q140">
        <v>1242.7374148122294</v>
      </c>
      <c r="R140">
        <v>544.92392408020748</v>
      </c>
      <c r="S140">
        <v>1006.199602610172</v>
      </c>
      <c r="T140" t="str">
        <f t="shared" si="36"/>
        <v/>
      </c>
      <c r="U140" t="str">
        <f t="shared" si="37"/>
        <v/>
      </c>
      <c r="V140" t="str">
        <f t="shared" si="38"/>
        <v/>
      </c>
      <c r="W140" t="str">
        <f t="shared" si="39"/>
        <v/>
      </c>
      <c r="X140" t="str">
        <f t="shared" si="40"/>
        <v/>
      </c>
      <c r="Y140" t="str">
        <f t="shared" si="41"/>
        <v/>
      </c>
      <c r="Z140" t="str">
        <f t="shared" si="42"/>
        <v/>
      </c>
      <c r="AA140" t="str">
        <f t="shared" si="43"/>
        <v/>
      </c>
      <c r="AB140" t="str">
        <f t="shared" si="44"/>
        <v/>
      </c>
      <c r="AC140" t="str">
        <f t="shared" si="45"/>
        <v/>
      </c>
      <c r="AD140" t="str">
        <f t="shared" si="46"/>
        <v/>
      </c>
      <c r="AE140" t="str">
        <f t="shared" si="47"/>
        <v/>
      </c>
      <c r="AF140" t="str">
        <f t="shared" si="48"/>
        <v/>
      </c>
      <c r="AG140" t="str">
        <f t="shared" si="49"/>
        <v/>
      </c>
      <c r="AH140" t="str">
        <f t="shared" si="50"/>
        <v/>
      </c>
      <c r="AI140" t="str">
        <f t="shared" si="51"/>
        <v/>
      </c>
      <c r="AJ140" t="str">
        <f t="shared" si="51"/>
        <v/>
      </c>
    </row>
    <row r="141" spans="1:36" x14ac:dyDescent="0.25">
      <c r="A141" s="8">
        <v>40756</v>
      </c>
      <c r="B141" s="9">
        <f t="shared" si="35"/>
        <v>8</v>
      </c>
      <c r="C141">
        <v>56.634395644141463</v>
      </c>
      <c r="D141">
        <v>1389.1917351478892</v>
      </c>
      <c r="E141">
        <v>910.14999656156328</v>
      </c>
      <c r="F141">
        <v>511.90366102953521</v>
      </c>
      <c r="G141">
        <v>280.62681489762087</v>
      </c>
      <c r="H141">
        <v>1586.8615376597481</v>
      </c>
      <c r="I141">
        <v>565.70711418233668</v>
      </c>
      <c r="J141">
        <v>198.88976486495821</v>
      </c>
      <c r="K141">
        <v>375.67639653898397</v>
      </c>
      <c r="L141">
        <v>172.52314074829204</v>
      </c>
      <c r="M141">
        <v>1496.5293057927402</v>
      </c>
      <c r="N141">
        <v>262.17716602248788</v>
      </c>
      <c r="O141">
        <v>944.66671652502089</v>
      </c>
      <c r="P141">
        <v>277.58901315183545</v>
      </c>
      <c r="Q141">
        <v>1164.8572628305567</v>
      </c>
      <c r="R141">
        <v>556.11667753895529</v>
      </c>
      <c r="S141">
        <v>983.476300540583</v>
      </c>
      <c r="T141" t="str">
        <f t="shared" si="36"/>
        <v/>
      </c>
      <c r="U141" t="str">
        <f t="shared" si="37"/>
        <v/>
      </c>
      <c r="V141" t="str">
        <f t="shared" si="38"/>
        <v/>
      </c>
      <c r="W141" t="str">
        <f t="shared" si="39"/>
        <v/>
      </c>
      <c r="X141" t="str">
        <f t="shared" si="40"/>
        <v/>
      </c>
      <c r="Y141" t="str">
        <f t="shared" si="41"/>
        <v/>
      </c>
      <c r="Z141" t="str">
        <f t="shared" si="42"/>
        <v/>
      </c>
      <c r="AA141" t="str">
        <f t="shared" si="43"/>
        <v/>
      </c>
      <c r="AB141" t="str">
        <f t="shared" si="44"/>
        <v/>
      </c>
      <c r="AC141" t="str">
        <f t="shared" si="45"/>
        <v/>
      </c>
      <c r="AD141" t="str">
        <f t="shared" si="46"/>
        <v/>
      </c>
      <c r="AE141" t="str">
        <f t="shared" si="47"/>
        <v/>
      </c>
      <c r="AF141" t="str">
        <f t="shared" si="48"/>
        <v/>
      </c>
      <c r="AG141" t="str">
        <f t="shared" si="49"/>
        <v/>
      </c>
      <c r="AH141" t="str">
        <f t="shared" si="50"/>
        <v/>
      </c>
      <c r="AI141" t="str">
        <f t="shared" si="51"/>
        <v/>
      </c>
      <c r="AJ141" t="str">
        <f t="shared" si="51"/>
        <v/>
      </c>
    </row>
    <row r="142" spans="1:36" x14ac:dyDescent="0.25">
      <c r="A142" s="8">
        <v>40787</v>
      </c>
      <c r="B142" s="9">
        <f t="shared" si="35"/>
        <v>9</v>
      </c>
      <c r="C142">
        <v>64.434918891606998</v>
      </c>
      <c r="D142">
        <v>1331.9354378620421</v>
      </c>
      <c r="E142">
        <v>867.06228309787343</v>
      </c>
      <c r="F142">
        <v>511.35839665913232</v>
      </c>
      <c r="G142">
        <v>230.65323941866984</v>
      </c>
      <c r="H142">
        <v>1689.8872772247323</v>
      </c>
      <c r="I142">
        <v>492.05157142153013</v>
      </c>
      <c r="J142">
        <v>199.60881053275907</v>
      </c>
      <c r="K142">
        <v>380.48198727675953</v>
      </c>
      <c r="L142">
        <v>133.07276114122755</v>
      </c>
      <c r="M142">
        <v>1558.3170987231222</v>
      </c>
      <c r="N142">
        <v>257.67124785983594</v>
      </c>
      <c r="O142">
        <v>945.38530256516083</v>
      </c>
      <c r="P142">
        <v>247.70455252394234</v>
      </c>
      <c r="Q142">
        <v>1337.6292869505507</v>
      </c>
      <c r="R142">
        <v>608.58903282117706</v>
      </c>
      <c r="S142">
        <v>985.61451788335125</v>
      </c>
      <c r="T142">
        <f t="shared" si="36"/>
        <v>57.698836256278717</v>
      </c>
      <c r="U142">
        <f t="shared" si="37"/>
        <v>1364.0596578851212</v>
      </c>
      <c r="V142">
        <f t="shared" si="38"/>
        <v>889.34931399629511</v>
      </c>
      <c r="W142">
        <f t="shared" si="39"/>
        <v>508.11189038597445</v>
      </c>
      <c r="X142">
        <f t="shared" si="40"/>
        <v>258.56078971803265</v>
      </c>
      <c r="Y142">
        <f t="shared" si="41"/>
        <v>1625.2824034531766</v>
      </c>
      <c r="Z142">
        <f t="shared" si="42"/>
        <v>506.66599936123475</v>
      </c>
      <c r="AA142">
        <f t="shared" si="43"/>
        <v>212.16324110775085</v>
      </c>
      <c r="AB142">
        <f t="shared" si="44"/>
        <v>369.71423834983347</v>
      </c>
      <c r="AC142">
        <f t="shared" si="45"/>
        <v>166.66306739283101</v>
      </c>
      <c r="AD142">
        <f t="shared" si="46"/>
        <v>1485.7147313434541</v>
      </c>
      <c r="AE142">
        <f t="shared" si="47"/>
        <v>256.2247975241653</v>
      </c>
      <c r="AF142">
        <f t="shared" si="48"/>
        <v>915.74711886328566</v>
      </c>
      <c r="AG142">
        <f t="shared" si="49"/>
        <v>254.5042491224892</v>
      </c>
      <c r="AH142">
        <f t="shared" si="50"/>
        <v>1248.4079881977789</v>
      </c>
      <c r="AI142">
        <f t="shared" si="51"/>
        <v>569.87654481344669</v>
      </c>
      <c r="AJ142">
        <f t="shared" si="51"/>
        <v>991.76347367803544</v>
      </c>
    </row>
    <row r="143" spans="1:36" x14ac:dyDescent="0.25">
      <c r="A143" s="8">
        <v>40817</v>
      </c>
      <c r="B143" s="9">
        <f t="shared" si="35"/>
        <v>10</v>
      </c>
      <c r="C143">
        <v>75.917765188912256</v>
      </c>
      <c r="D143">
        <v>1346.4018049615638</v>
      </c>
      <c r="E143">
        <v>804.44069356923444</v>
      </c>
      <c r="F143">
        <v>455.10292849621811</v>
      </c>
      <c r="G143">
        <v>262.68572361484649</v>
      </c>
      <c r="H143">
        <v>1587.3423006236189</v>
      </c>
      <c r="I143">
        <v>489.57167380564454</v>
      </c>
      <c r="J143">
        <v>208.71635112712033</v>
      </c>
      <c r="K143">
        <v>374.11160580893699</v>
      </c>
      <c r="L143">
        <v>155.70503095900875</v>
      </c>
      <c r="M143">
        <v>1544.5193094887418</v>
      </c>
      <c r="N143">
        <v>321.7337226458464</v>
      </c>
      <c r="O143">
        <v>940.95454542809807</v>
      </c>
      <c r="P143">
        <v>271.23968846025224</v>
      </c>
      <c r="Q143">
        <v>1250.9839166000118</v>
      </c>
      <c r="R143">
        <v>639.32148719729355</v>
      </c>
      <c r="S143">
        <v>964.61226986323265</v>
      </c>
      <c r="T143" t="str">
        <f t="shared" si="36"/>
        <v/>
      </c>
      <c r="U143" t="str">
        <f t="shared" si="37"/>
        <v/>
      </c>
      <c r="V143" t="str">
        <f t="shared" si="38"/>
        <v/>
      </c>
      <c r="W143" t="str">
        <f t="shared" si="39"/>
        <v/>
      </c>
      <c r="X143" t="str">
        <f t="shared" si="40"/>
        <v/>
      </c>
      <c r="Y143" t="str">
        <f t="shared" si="41"/>
        <v/>
      </c>
      <c r="Z143" t="str">
        <f t="shared" si="42"/>
        <v/>
      </c>
      <c r="AA143" t="str">
        <f t="shared" si="43"/>
        <v/>
      </c>
      <c r="AB143" t="str">
        <f t="shared" si="44"/>
        <v/>
      </c>
      <c r="AC143" t="str">
        <f t="shared" si="45"/>
        <v/>
      </c>
      <c r="AD143" t="str">
        <f t="shared" si="46"/>
        <v/>
      </c>
      <c r="AE143" t="str">
        <f t="shared" si="47"/>
        <v/>
      </c>
      <c r="AF143" t="str">
        <f t="shared" si="48"/>
        <v/>
      </c>
      <c r="AG143" t="str">
        <f t="shared" si="49"/>
        <v/>
      </c>
      <c r="AH143" t="str">
        <f t="shared" si="50"/>
        <v/>
      </c>
      <c r="AI143" t="str">
        <f t="shared" si="51"/>
        <v/>
      </c>
      <c r="AJ143" t="str">
        <f t="shared" si="51"/>
        <v/>
      </c>
    </row>
    <row r="144" spans="1:36" x14ac:dyDescent="0.25">
      <c r="A144" s="8">
        <v>40848</v>
      </c>
      <c r="B144" s="9">
        <f t="shared" si="35"/>
        <v>11</v>
      </c>
      <c r="C144">
        <v>83.193692979105649</v>
      </c>
      <c r="D144">
        <v>1194.7319568991859</v>
      </c>
      <c r="E144">
        <v>763.44896322558395</v>
      </c>
      <c r="F144">
        <v>443.53021947775613</v>
      </c>
      <c r="G144">
        <v>253.667135465689</v>
      </c>
      <c r="H144">
        <v>1567.6217706478762</v>
      </c>
      <c r="I144">
        <v>464.58273373467011</v>
      </c>
      <c r="J144">
        <v>227.18888983884995</v>
      </c>
      <c r="K144">
        <v>407.60775522047618</v>
      </c>
      <c r="L144">
        <v>164.30542391739712</v>
      </c>
      <c r="M144">
        <v>1409.005814592434</v>
      </c>
      <c r="N144">
        <v>324.59736931322055</v>
      </c>
      <c r="O144">
        <v>857.37543864547445</v>
      </c>
      <c r="P144">
        <v>247.92057383034245</v>
      </c>
      <c r="Q144">
        <v>1205.0185550167723</v>
      </c>
      <c r="R144">
        <v>534.28756056857321</v>
      </c>
      <c r="S144">
        <v>1038.5989772264097</v>
      </c>
      <c r="T144" t="str">
        <f t="shared" si="36"/>
        <v/>
      </c>
      <c r="U144" t="str">
        <f t="shared" si="37"/>
        <v/>
      </c>
      <c r="V144" t="str">
        <f t="shared" si="38"/>
        <v/>
      </c>
      <c r="W144" t="str">
        <f t="shared" si="39"/>
        <v/>
      </c>
      <c r="X144" t="str">
        <f t="shared" si="40"/>
        <v/>
      </c>
      <c r="Y144" t="str">
        <f t="shared" si="41"/>
        <v/>
      </c>
      <c r="Z144" t="str">
        <f t="shared" si="42"/>
        <v/>
      </c>
      <c r="AA144" t="str">
        <f t="shared" si="43"/>
        <v/>
      </c>
      <c r="AB144" t="str">
        <f t="shared" si="44"/>
        <v/>
      </c>
      <c r="AC144" t="str">
        <f t="shared" si="45"/>
        <v/>
      </c>
      <c r="AD144" t="str">
        <f t="shared" si="46"/>
        <v/>
      </c>
      <c r="AE144" t="str">
        <f t="shared" si="47"/>
        <v/>
      </c>
      <c r="AF144" t="str">
        <f t="shared" si="48"/>
        <v/>
      </c>
      <c r="AG144" t="str">
        <f t="shared" si="49"/>
        <v/>
      </c>
      <c r="AH144" t="str">
        <f t="shared" si="50"/>
        <v/>
      </c>
      <c r="AI144" t="str">
        <f t="shared" si="51"/>
        <v/>
      </c>
      <c r="AJ144" t="str">
        <f t="shared" si="51"/>
        <v/>
      </c>
    </row>
    <row r="145" spans="1:36" x14ac:dyDescent="0.25">
      <c r="A145" s="8">
        <v>40878</v>
      </c>
      <c r="B145" s="9">
        <f t="shared" si="35"/>
        <v>12</v>
      </c>
      <c r="C145">
        <v>56.776111167299142</v>
      </c>
      <c r="D145">
        <v>1187.9876340192459</v>
      </c>
      <c r="E145">
        <v>791.31847199732454</v>
      </c>
      <c r="F145">
        <v>445.36160123733595</v>
      </c>
      <c r="G145">
        <v>232.03728414022831</v>
      </c>
      <c r="H145">
        <v>1592.0534566611557</v>
      </c>
      <c r="I145">
        <v>430.37571573377016</v>
      </c>
      <c r="J145">
        <v>235.2739044088726</v>
      </c>
      <c r="K145">
        <v>351.12782854591092</v>
      </c>
      <c r="L145">
        <v>196.86888529534252</v>
      </c>
      <c r="M145">
        <v>1407.0270416373055</v>
      </c>
      <c r="N145">
        <v>303.5647163721772</v>
      </c>
      <c r="O145">
        <v>1004.7244259077917</v>
      </c>
      <c r="P145">
        <v>284.2022208304507</v>
      </c>
      <c r="Q145">
        <v>1177.8037183206479</v>
      </c>
      <c r="R145">
        <v>542.23974707832417</v>
      </c>
      <c r="S145">
        <v>1000.5945001818769</v>
      </c>
      <c r="T145">
        <f t="shared" si="36"/>
        <v>71.962523111772356</v>
      </c>
      <c r="U145">
        <f t="shared" si="37"/>
        <v>1243.0404652933319</v>
      </c>
      <c r="V145">
        <f t="shared" si="38"/>
        <v>786.40270959738098</v>
      </c>
      <c r="W145">
        <f t="shared" si="39"/>
        <v>447.99824973710338</v>
      </c>
      <c r="X145">
        <f t="shared" si="40"/>
        <v>249.46338107358793</v>
      </c>
      <c r="Y145">
        <f t="shared" si="41"/>
        <v>1582.3391759775504</v>
      </c>
      <c r="Z145">
        <f t="shared" si="42"/>
        <v>461.51004109136164</v>
      </c>
      <c r="AA145">
        <f t="shared" si="43"/>
        <v>223.72638179161427</v>
      </c>
      <c r="AB145">
        <f t="shared" si="44"/>
        <v>377.6157298584414</v>
      </c>
      <c r="AC145">
        <f t="shared" si="45"/>
        <v>172.29311339058282</v>
      </c>
      <c r="AD145">
        <f t="shared" si="46"/>
        <v>1453.5173885728273</v>
      </c>
      <c r="AE145">
        <f t="shared" si="47"/>
        <v>316.6319361104147</v>
      </c>
      <c r="AF145">
        <f t="shared" si="48"/>
        <v>934.3514699937881</v>
      </c>
      <c r="AG145">
        <f t="shared" si="49"/>
        <v>267.7874943736818</v>
      </c>
      <c r="AH145">
        <f t="shared" si="50"/>
        <v>1211.2687299791439</v>
      </c>
      <c r="AI145">
        <f t="shared" si="51"/>
        <v>571.94959828139702</v>
      </c>
      <c r="AJ145">
        <f t="shared" si="51"/>
        <v>1001.2685824238397</v>
      </c>
    </row>
    <row r="146" spans="1:36" x14ac:dyDescent="0.25">
      <c r="A146" s="8">
        <v>40909</v>
      </c>
      <c r="B146" s="9">
        <f t="shared" si="35"/>
        <v>1</v>
      </c>
      <c r="C146">
        <v>65.710311994880556</v>
      </c>
      <c r="D146">
        <v>1091.0200617392381</v>
      </c>
      <c r="E146">
        <v>730.09077938983387</v>
      </c>
      <c r="F146">
        <v>449.34931223269035</v>
      </c>
      <c r="G146">
        <v>258.05710738329014</v>
      </c>
      <c r="H146">
        <v>1471.2759610147266</v>
      </c>
      <c r="I146">
        <v>356.0716919154774</v>
      </c>
      <c r="J146">
        <v>217.64091023214289</v>
      </c>
      <c r="K146">
        <v>274.67330529471747</v>
      </c>
      <c r="L146">
        <v>186.99063165906037</v>
      </c>
      <c r="M146">
        <v>1287.7062462553147</v>
      </c>
      <c r="N146">
        <v>277.90768757215659</v>
      </c>
      <c r="O146">
        <v>932.77908746684682</v>
      </c>
      <c r="P146">
        <v>287.38156999888292</v>
      </c>
      <c r="Q146">
        <v>1209.3975956705169</v>
      </c>
      <c r="R146">
        <v>579.86752848402421</v>
      </c>
      <c r="S146">
        <v>880.13743309610697</v>
      </c>
      <c r="T146" t="str">
        <f t="shared" si="36"/>
        <v/>
      </c>
      <c r="U146" t="str">
        <f t="shared" si="37"/>
        <v/>
      </c>
      <c r="V146" t="str">
        <f t="shared" si="38"/>
        <v/>
      </c>
      <c r="W146" t="str">
        <f t="shared" si="39"/>
        <v/>
      </c>
      <c r="X146" t="str">
        <f t="shared" si="40"/>
        <v/>
      </c>
      <c r="Y146" t="str">
        <f t="shared" si="41"/>
        <v/>
      </c>
      <c r="Z146" t="str">
        <f t="shared" si="42"/>
        <v/>
      </c>
      <c r="AA146" t="str">
        <f t="shared" si="43"/>
        <v/>
      </c>
      <c r="AB146" t="str">
        <f t="shared" si="44"/>
        <v/>
      </c>
      <c r="AC146" t="str">
        <f t="shared" si="45"/>
        <v/>
      </c>
      <c r="AD146" t="str">
        <f t="shared" si="46"/>
        <v/>
      </c>
      <c r="AE146" t="str">
        <f t="shared" si="47"/>
        <v/>
      </c>
      <c r="AF146" t="str">
        <f t="shared" si="48"/>
        <v/>
      </c>
      <c r="AG146" t="str">
        <f t="shared" si="49"/>
        <v/>
      </c>
      <c r="AH146" t="str">
        <f t="shared" si="50"/>
        <v/>
      </c>
      <c r="AI146" t="str">
        <f t="shared" si="51"/>
        <v/>
      </c>
      <c r="AJ146" t="str">
        <f t="shared" si="51"/>
        <v/>
      </c>
    </row>
    <row r="147" spans="1:36" x14ac:dyDescent="0.25">
      <c r="A147" s="8">
        <v>40940</v>
      </c>
      <c r="B147" s="9">
        <f t="shared" si="35"/>
        <v>2</v>
      </c>
      <c r="C147">
        <v>63.074396662091047</v>
      </c>
      <c r="D147">
        <v>1019.0607606192957</v>
      </c>
      <c r="E147">
        <v>731.21050831432115</v>
      </c>
      <c r="F147">
        <v>475.02921452266867</v>
      </c>
      <c r="G147">
        <v>252.44189598725748</v>
      </c>
      <c r="H147">
        <v>1443.9653754707056</v>
      </c>
      <c r="I147">
        <v>397.32627971640255</v>
      </c>
      <c r="J147">
        <v>242.94852009649074</v>
      </c>
      <c r="K147">
        <v>274.00613779610904</v>
      </c>
      <c r="L147">
        <v>202.52153143407261</v>
      </c>
      <c r="M147">
        <v>1454.2347983458155</v>
      </c>
      <c r="N147">
        <v>212.4977068150265</v>
      </c>
      <c r="O147">
        <v>1010.7268959026716</v>
      </c>
      <c r="P147">
        <v>213.0725752961057</v>
      </c>
      <c r="Q147">
        <v>1184.717322592526</v>
      </c>
      <c r="R147">
        <v>432.22049504246593</v>
      </c>
      <c r="S147">
        <v>954.76353719698102</v>
      </c>
      <c r="T147" t="str">
        <f t="shared" si="36"/>
        <v/>
      </c>
      <c r="U147" t="str">
        <f t="shared" si="37"/>
        <v/>
      </c>
      <c r="V147" t="str">
        <f t="shared" si="38"/>
        <v/>
      </c>
      <c r="W147" t="str">
        <f t="shared" si="39"/>
        <v/>
      </c>
      <c r="X147" t="str">
        <f t="shared" si="40"/>
        <v/>
      </c>
      <c r="Y147" t="str">
        <f t="shared" si="41"/>
        <v/>
      </c>
      <c r="Z147" t="str">
        <f t="shared" si="42"/>
        <v/>
      </c>
      <c r="AA147" t="str">
        <f t="shared" si="43"/>
        <v/>
      </c>
      <c r="AB147" t="str">
        <f t="shared" si="44"/>
        <v/>
      </c>
      <c r="AC147" t="str">
        <f t="shared" si="45"/>
        <v/>
      </c>
      <c r="AD147" t="str">
        <f t="shared" si="46"/>
        <v/>
      </c>
      <c r="AE147" t="str">
        <f t="shared" si="47"/>
        <v/>
      </c>
      <c r="AF147" t="str">
        <f t="shared" si="48"/>
        <v/>
      </c>
      <c r="AG147" t="str">
        <f t="shared" si="49"/>
        <v/>
      </c>
      <c r="AH147" t="str">
        <f t="shared" si="50"/>
        <v/>
      </c>
      <c r="AI147" t="str">
        <f t="shared" si="51"/>
        <v/>
      </c>
      <c r="AJ147" t="str">
        <f t="shared" si="51"/>
        <v/>
      </c>
    </row>
    <row r="148" spans="1:36" x14ac:dyDescent="0.25">
      <c r="A148" s="8">
        <v>40969</v>
      </c>
      <c r="B148" s="9">
        <f t="shared" si="35"/>
        <v>3</v>
      </c>
      <c r="C148">
        <v>59.366494759582586</v>
      </c>
      <c r="D148">
        <v>1129.0361782129585</v>
      </c>
      <c r="E148">
        <v>661.47225596507133</v>
      </c>
      <c r="F148">
        <v>444.54236066830163</v>
      </c>
      <c r="G148">
        <v>238.1163649297884</v>
      </c>
      <c r="H148">
        <v>1476.2389198354515</v>
      </c>
      <c r="I148">
        <v>349.79558096110668</v>
      </c>
      <c r="J148">
        <v>234.39588058078056</v>
      </c>
      <c r="K148">
        <v>326.23828387291428</v>
      </c>
      <c r="L148">
        <v>196.20666571825643</v>
      </c>
      <c r="M148">
        <v>1424.3746049970396</v>
      </c>
      <c r="N148">
        <v>279.9192646972723</v>
      </c>
      <c r="O148">
        <v>949.74876888215488</v>
      </c>
      <c r="P148">
        <v>200.27496766271881</v>
      </c>
      <c r="Q148">
        <v>1163.850263996165</v>
      </c>
      <c r="R148">
        <v>455.22907699430624</v>
      </c>
      <c r="S148">
        <v>872.43468244015446</v>
      </c>
      <c r="T148">
        <f t="shared" si="36"/>
        <v>62.717067805518063</v>
      </c>
      <c r="U148">
        <f t="shared" si="37"/>
        <v>1079.705666857164</v>
      </c>
      <c r="V148">
        <f t="shared" si="38"/>
        <v>707.59118122307552</v>
      </c>
      <c r="W148">
        <f t="shared" si="39"/>
        <v>456.30696247455353</v>
      </c>
      <c r="X148">
        <f t="shared" si="40"/>
        <v>249.53845610011203</v>
      </c>
      <c r="Y148">
        <f t="shared" si="41"/>
        <v>1463.8267521069611</v>
      </c>
      <c r="Z148">
        <f t="shared" si="42"/>
        <v>367.73118419766223</v>
      </c>
      <c r="AA148">
        <f t="shared" si="43"/>
        <v>231.66177030313807</v>
      </c>
      <c r="AB148">
        <f t="shared" si="44"/>
        <v>291.63924232124691</v>
      </c>
      <c r="AC148">
        <f t="shared" si="45"/>
        <v>195.23960960379645</v>
      </c>
      <c r="AD148">
        <f t="shared" si="46"/>
        <v>1388.7718831993898</v>
      </c>
      <c r="AE148">
        <f t="shared" si="47"/>
        <v>256.77488636148513</v>
      </c>
      <c r="AF148">
        <f t="shared" si="48"/>
        <v>964.41825075055783</v>
      </c>
      <c r="AG148">
        <f t="shared" si="49"/>
        <v>233.57637098590249</v>
      </c>
      <c r="AH148">
        <f t="shared" si="50"/>
        <v>1185.9883940864026</v>
      </c>
      <c r="AI148">
        <f t="shared" si="51"/>
        <v>489.10570017359879</v>
      </c>
      <c r="AJ148">
        <f t="shared" si="51"/>
        <v>902.44521757774748</v>
      </c>
    </row>
    <row r="149" spans="1:36" x14ac:dyDescent="0.25">
      <c r="A149" s="8">
        <v>41000</v>
      </c>
      <c r="B149" s="9">
        <f t="shared" si="35"/>
        <v>4</v>
      </c>
      <c r="C149">
        <v>41.942561182197359</v>
      </c>
      <c r="D149">
        <v>1078.4259976361134</v>
      </c>
      <c r="E149">
        <v>626.14115335047086</v>
      </c>
      <c r="F149">
        <v>412.64865462278772</v>
      </c>
      <c r="G149">
        <v>231.29868704719698</v>
      </c>
      <c r="H149">
        <v>1425.1842549599594</v>
      </c>
      <c r="I149">
        <v>445.65850463346129</v>
      </c>
      <c r="J149">
        <v>252.15081072448149</v>
      </c>
      <c r="K149">
        <v>327.31580593909797</v>
      </c>
      <c r="L149">
        <v>174.27669379197107</v>
      </c>
      <c r="M149">
        <v>1406.885506482997</v>
      </c>
      <c r="N149">
        <v>288.60522695817446</v>
      </c>
      <c r="O149">
        <v>882.04999489262264</v>
      </c>
      <c r="P149">
        <v>225.61924532511148</v>
      </c>
      <c r="Q149">
        <v>1129.7891663266353</v>
      </c>
      <c r="R149">
        <v>498.0205421873797</v>
      </c>
      <c r="S149">
        <v>949.43611926715653</v>
      </c>
      <c r="T149" t="str">
        <f t="shared" si="36"/>
        <v/>
      </c>
      <c r="U149" t="str">
        <f t="shared" si="37"/>
        <v/>
      </c>
      <c r="V149" t="str">
        <f t="shared" si="38"/>
        <v/>
      </c>
      <c r="W149" t="str">
        <f t="shared" si="39"/>
        <v/>
      </c>
      <c r="X149" t="str">
        <f t="shared" si="40"/>
        <v/>
      </c>
      <c r="Y149" t="str">
        <f t="shared" si="41"/>
        <v/>
      </c>
      <c r="Z149" t="str">
        <f t="shared" si="42"/>
        <v/>
      </c>
      <c r="AA149" t="str">
        <f t="shared" si="43"/>
        <v/>
      </c>
      <c r="AB149" t="str">
        <f t="shared" si="44"/>
        <v/>
      </c>
      <c r="AC149" t="str">
        <f t="shared" si="45"/>
        <v/>
      </c>
      <c r="AD149" t="str">
        <f t="shared" si="46"/>
        <v/>
      </c>
      <c r="AE149" t="str">
        <f t="shared" si="47"/>
        <v/>
      </c>
      <c r="AF149" t="str">
        <f t="shared" si="48"/>
        <v/>
      </c>
      <c r="AG149" t="str">
        <f t="shared" si="49"/>
        <v/>
      </c>
      <c r="AH149" t="str">
        <f t="shared" si="50"/>
        <v/>
      </c>
      <c r="AI149" t="str">
        <f t="shared" si="51"/>
        <v/>
      </c>
      <c r="AJ149" t="str">
        <f t="shared" si="51"/>
        <v/>
      </c>
    </row>
    <row r="150" spans="1:36" x14ac:dyDescent="0.25">
      <c r="A150" s="8">
        <v>41030</v>
      </c>
      <c r="B150" s="9">
        <f t="shared" si="35"/>
        <v>5</v>
      </c>
      <c r="C150">
        <v>49.180889396225432</v>
      </c>
      <c r="D150">
        <v>1251.8436608848449</v>
      </c>
      <c r="E150">
        <v>703.36033748787156</v>
      </c>
      <c r="F150">
        <v>412.04920077617328</v>
      </c>
      <c r="G150">
        <v>222.8061858599998</v>
      </c>
      <c r="H150">
        <v>1476.0746005430192</v>
      </c>
      <c r="I150">
        <v>500.22562274999711</v>
      </c>
      <c r="J150">
        <v>225.29164292475141</v>
      </c>
      <c r="K150">
        <v>303.45626821189575</v>
      </c>
      <c r="L150">
        <v>165.17151039445267</v>
      </c>
      <c r="M150">
        <v>1329.4985534472958</v>
      </c>
      <c r="N150">
        <v>245.685810773719</v>
      </c>
      <c r="O150">
        <v>962.01559079652259</v>
      </c>
      <c r="P150">
        <v>279.22574997825279</v>
      </c>
      <c r="Q150">
        <v>1073.597722992301</v>
      </c>
      <c r="R150">
        <v>525.45333137156729</v>
      </c>
      <c r="S150">
        <v>1014.7781766675915</v>
      </c>
      <c r="T150" t="str">
        <f t="shared" si="36"/>
        <v/>
      </c>
      <c r="U150" t="str">
        <f t="shared" si="37"/>
        <v/>
      </c>
      <c r="V150" t="str">
        <f t="shared" si="38"/>
        <v/>
      </c>
      <c r="W150" t="str">
        <f t="shared" si="39"/>
        <v/>
      </c>
      <c r="X150" t="str">
        <f t="shared" si="40"/>
        <v/>
      </c>
      <c r="Y150" t="str">
        <f t="shared" si="41"/>
        <v/>
      </c>
      <c r="Z150" t="str">
        <f t="shared" si="42"/>
        <v/>
      </c>
      <c r="AA150" t="str">
        <f t="shared" si="43"/>
        <v/>
      </c>
      <c r="AB150" t="str">
        <f t="shared" si="44"/>
        <v/>
      </c>
      <c r="AC150" t="str">
        <f t="shared" si="45"/>
        <v/>
      </c>
      <c r="AD150" t="str">
        <f t="shared" si="46"/>
        <v/>
      </c>
      <c r="AE150" t="str">
        <f t="shared" si="47"/>
        <v/>
      </c>
      <c r="AF150" t="str">
        <f t="shared" si="48"/>
        <v/>
      </c>
      <c r="AG150" t="str">
        <f t="shared" si="49"/>
        <v/>
      </c>
      <c r="AH150" t="str">
        <f t="shared" si="50"/>
        <v/>
      </c>
      <c r="AI150" t="str">
        <f t="shared" si="51"/>
        <v/>
      </c>
      <c r="AJ150" t="str">
        <f t="shared" si="51"/>
        <v/>
      </c>
    </row>
    <row r="151" spans="1:36" x14ac:dyDescent="0.25">
      <c r="A151" s="8">
        <v>41061</v>
      </c>
      <c r="B151" s="9">
        <f t="shared" si="35"/>
        <v>6</v>
      </c>
      <c r="C151">
        <v>46.400025456870949</v>
      </c>
      <c r="D151">
        <v>1199.1002907767311</v>
      </c>
      <c r="E151">
        <v>667.7998040847184</v>
      </c>
      <c r="F151">
        <v>415.63863770210861</v>
      </c>
      <c r="G151">
        <v>236.38054014565546</v>
      </c>
      <c r="H151">
        <v>1414.196506385347</v>
      </c>
      <c r="I151">
        <v>429.63549362746539</v>
      </c>
      <c r="J151">
        <v>205.1494083659247</v>
      </c>
      <c r="K151">
        <v>331.36885073965277</v>
      </c>
      <c r="L151">
        <v>155.05514950031377</v>
      </c>
      <c r="M151">
        <v>1374.7763112363971</v>
      </c>
      <c r="N151">
        <v>274.62660418560057</v>
      </c>
      <c r="O151">
        <v>953.30028367673378</v>
      </c>
      <c r="P151">
        <v>259.15034208845526</v>
      </c>
      <c r="Q151">
        <v>1078.1032834517348</v>
      </c>
      <c r="R151">
        <v>474.587406724787</v>
      </c>
      <c r="S151">
        <v>904.93014376547558</v>
      </c>
      <c r="T151">
        <f t="shared" si="36"/>
        <v>45.841158678431249</v>
      </c>
      <c r="U151">
        <f t="shared" si="37"/>
        <v>1176.4566497658964</v>
      </c>
      <c r="V151">
        <f t="shared" si="38"/>
        <v>665.76709830768687</v>
      </c>
      <c r="W151">
        <f t="shared" si="39"/>
        <v>413.44549770035655</v>
      </c>
      <c r="X151">
        <f t="shared" si="40"/>
        <v>230.16180435095075</v>
      </c>
      <c r="Y151">
        <f t="shared" si="41"/>
        <v>1438.4851206294418</v>
      </c>
      <c r="Z151">
        <f t="shared" si="42"/>
        <v>458.50654033697464</v>
      </c>
      <c r="AA151">
        <f t="shared" si="43"/>
        <v>227.53062067171922</v>
      </c>
      <c r="AB151">
        <f t="shared" si="44"/>
        <v>320.71364163021548</v>
      </c>
      <c r="AC151">
        <f t="shared" si="45"/>
        <v>164.83445122891249</v>
      </c>
      <c r="AD151">
        <f t="shared" si="46"/>
        <v>1370.3867903888968</v>
      </c>
      <c r="AE151">
        <f t="shared" si="47"/>
        <v>269.639213972498</v>
      </c>
      <c r="AF151">
        <f t="shared" si="48"/>
        <v>932.45528978862637</v>
      </c>
      <c r="AG151">
        <f t="shared" si="49"/>
        <v>254.66511246393983</v>
      </c>
      <c r="AH151">
        <f t="shared" si="50"/>
        <v>1093.8300575902238</v>
      </c>
      <c r="AI151">
        <f t="shared" si="51"/>
        <v>499.35376009457804</v>
      </c>
      <c r="AJ151">
        <f t="shared" si="51"/>
        <v>956.3814799000744</v>
      </c>
    </row>
    <row r="152" spans="1:36" x14ac:dyDescent="0.25">
      <c r="A152" s="8">
        <v>41091</v>
      </c>
      <c r="B152" s="9">
        <f t="shared" si="35"/>
        <v>7</v>
      </c>
      <c r="C152">
        <v>81.476549459363738</v>
      </c>
      <c r="D152">
        <v>1198.6152065449078</v>
      </c>
      <c r="E152">
        <v>670.51121051135181</v>
      </c>
      <c r="F152">
        <v>441.02760193781614</v>
      </c>
      <c r="G152">
        <v>223.31988344866585</v>
      </c>
      <c r="H152">
        <v>1506.8427188130267</v>
      </c>
      <c r="I152">
        <v>372.8350010125439</v>
      </c>
      <c r="J152">
        <v>190.79459116393116</v>
      </c>
      <c r="K152">
        <v>308.61479239152487</v>
      </c>
      <c r="L152">
        <v>145.29396155619148</v>
      </c>
      <c r="M152">
        <v>1391.19247944635</v>
      </c>
      <c r="N152">
        <v>294.68008858429596</v>
      </c>
      <c r="O152">
        <v>956.90711277927915</v>
      </c>
      <c r="P152">
        <v>269.84119696049822</v>
      </c>
      <c r="Q152">
        <v>1126.5937311849182</v>
      </c>
      <c r="R152">
        <v>425.90624391106473</v>
      </c>
      <c r="S152">
        <v>881.63671629742271</v>
      </c>
      <c r="T152" t="str">
        <f t="shared" si="36"/>
        <v/>
      </c>
      <c r="U152" t="str">
        <f t="shared" si="37"/>
        <v/>
      </c>
      <c r="V152" t="str">
        <f t="shared" si="38"/>
        <v/>
      </c>
      <c r="W152" t="str">
        <f t="shared" si="39"/>
        <v/>
      </c>
      <c r="X152" t="str">
        <f t="shared" si="40"/>
        <v/>
      </c>
      <c r="Y152" t="str">
        <f t="shared" si="41"/>
        <v/>
      </c>
      <c r="Z152" t="str">
        <f t="shared" si="42"/>
        <v/>
      </c>
      <c r="AA152" t="str">
        <f t="shared" si="43"/>
        <v/>
      </c>
      <c r="AB152" t="str">
        <f t="shared" si="44"/>
        <v/>
      </c>
      <c r="AC152" t="str">
        <f t="shared" si="45"/>
        <v/>
      </c>
      <c r="AD152" t="str">
        <f t="shared" si="46"/>
        <v/>
      </c>
      <c r="AE152" t="str">
        <f t="shared" si="47"/>
        <v/>
      </c>
      <c r="AF152" t="str">
        <f t="shared" si="48"/>
        <v/>
      </c>
      <c r="AG152" t="str">
        <f t="shared" si="49"/>
        <v/>
      </c>
      <c r="AH152" t="str">
        <f t="shared" si="50"/>
        <v/>
      </c>
      <c r="AI152" t="str">
        <f t="shared" si="51"/>
        <v/>
      </c>
      <c r="AJ152" t="str">
        <f t="shared" si="51"/>
        <v/>
      </c>
    </row>
    <row r="153" spans="1:36" x14ac:dyDescent="0.25">
      <c r="A153" s="8">
        <v>41122</v>
      </c>
      <c r="B153" s="9">
        <f t="shared" si="35"/>
        <v>8</v>
      </c>
      <c r="C153">
        <v>65.182983665898661</v>
      </c>
      <c r="D153">
        <v>1111.1126269857034</v>
      </c>
      <c r="E153">
        <v>725.21084200909945</v>
      </c>
      <c r="F153">
        <v>457.46809789347014</v>
      </c>
      <c r="G153">
        <v>221.70517048851187</v>
      </c>
      <c r="H153">
        <v>1517.1204891893515</v>
      </c>
      <c r="I153">
        <v>446.66632479201257</v>
      </c>
      <c r="J153">
        <v>205.71441365934402</v>
      </c>
      <c r="K153">
        <v>308.41975265732441</v>
      </c>
      <c r="L153">
        <v>146.74382086636336</v>
      </c>
      <c r="M153">
        <v>1431.0561486643078</v>
      </c>
      <c r="N153">
        <v>269.04044261993522</v>
      </c>
      <c r="O153">
        <v>933.20463300803385</v>
      </c>
      <c r="P153">
        <v>236.66951718921428</v>
      </c>
      <c r="Q153">
        <v>1218.588711855813</v>
      </c>
      <c r="R153">
        <v>421.12767205086698</v>
      </c>
      <c r="S153">
        <v>819.43462019864467</v>
      </c>
      <c r="T153" t="str">
        <f t="shared" si="36"/>
        <v/>
      </c>
      <c r="U153" t="str">
        <f t="shared" si="37"/>
        <v/>
      </c>
      <c r="V153" t="str">
        <f t="shared" si="38"/>
        <v/>
      </c>
      <c r="W153" t="str">
        <f t="shared" si="39"/>
        <v/>
      </c>
      <c r="X153" t="str">
        <f t="shared" si="40"/>
        <v/>
      </c>
      <c r="Y153" t="str">
        <f t="shared" si="41"/>
        <v/>
      </c>
      <c r="Z153" t="str">
        <f t="shared" si="42"/>
        <v/>
      </c>
      <c r="AA153" t="str">
        <f t="shared" si="43"/>
        <v/>
      </c>
      <c r="AB153" t="str">
        <f t="shared" si="44"/>
        <v/>
      </c>
      <c r="AC153" t="str">
        <f t="shared" si="45"/>
        <v/>
      </c>
      <c r="AD153" t="str">
        <f t="shared" si="46"/>
        <v/>
      </c>
      <c r="AE153" t="str">
        <f t="shared" si="47"/>
        <v/>
      </c>
      <c r="AF153" t="str">
        <f t="shared" si="48"/>
        <v/>
      </c>
      <c r="AG153" t="str">
        <f t="shared" si="49"/>
        <v/>
      </c>
      <c r="AH153" t="str">
        <f t="shared" si="50"/>
        <v/>
      </c>
      <c r="AI153" t="str">
        <f t="shared" si="51"/>
        <v/>
      </c>
      <c r="AJ153" t="str">
        <f t="shared" si="51"/>
        <v/>
      </c>
    </row>
    <row r="154" spans="1:36" x14ac:dyDescent="0.25">
      <c r="A154" s="8">
        <v>41153</v>
      </c>
      <c r="B154" s="9">
        <f t="shared" si="35"/>
        <v>9</v>
      </c>
      <c r="C154">
        <v>56.234111032675195</v>
      </c>
      <c r="D154">
        <v>1144.7445114598092</v>
      </c>
      <c r="E154">
        <v>705.47820354370208</v>
      </c>
      <c r="F154">
        <v>384.57532310728135</v>
      </c>
      <c r="G154">
        <v>210.93928733160402</v>
      </c>
      <c r="H154">
        <v>1473.5242823858862</v>
      </c>
      <c r="I154">
        <v>399.65760822884107</v>
      </c>
      <c r="J154">
        <v>195.78854621634261</v>
      </c>
      <c r="K154">
        <v>301.58939673905871</v>
      </c>
      <c r="L154">
        <v>144.16215790299651</v>
      </c>
      <c r="M154">
        <v>1293.9505133863963</v>
      </c>
      <c r="N154">
        <v>322.80747408462719</v>
      </c>
      <c r="O154">
        <v>843.26034704114659</v>
      </c>
      <c r="P154">
        <v>244.64647162858503</v>
      </c>
      <c r="Q154">
        <v>1147.1508764887922</v>
      </c>
      <c r="R154">
        <v>469.59643152433398</v>
      </c>
      <c r="S154">
        <v>917.50690065547906</v>
      </c>
      <c r="T154">
        <f t="shared" si="36"/>
        <v>67.631214719312524</v>
      </c>
      <c r="U154">
        <f t="shared" si="37"/>
        <v>1151.4907816634734</v>
      </c>
      <c r="V154">
        <f t="shared" si="38"/>
        <v>700.4000853547177</v>
      </c>
      <c r="W154">
        <f t="shared" si="39"/>
        <v>427.69034097952255</v>
      </c>
      <c r="X154">
        <f t="shared" si="40"/>
        <v>218.65478042292725</v>
      </c>
      <c r="Y154">
        <f t="shared" si="41"/>
        <v>1499.1624967960881</v>
      </c>
      <c r="Z154">
        <f t="shared" si="42"/>
        <v>406.38631134446587</v>
      </c>
      <c r="AA154">
        <f t="shared" si="43"/>
        <v>197.43251701320594</v>
      </c>
      <c r="AB154">
        <f t="shared" si="44"/>
        <v>306.20798059596933</v>
      </c>
      <c r="AC154">
        <f t="shared" si="45"/>
        <v>145.39998010851713</v>
      </c>
      <c r="AD154">
        <f t="shared" si="46"/>
        <v>1372.0663804990181</v>
      </c>
      <c r="AE154">
        <f t="shared" si="47"/>
        <v>295.50933509628612</v>
      </c>
      <c r="AF154">
        <f t="shared" si="48"/>
        <v>911.12403094281979</v>
      </c>
      <c r="AG154">
        <f t="shared" si="49"/>
        <v>250.38572859276584</v>
      </c>
      <c r="AH154">
        <f t="shared" si="50"/>
        <v>1164.1111065098412</v>
      </c>
      <c r="AI154">
        <f t="shared" si="51"/>
        <v>438.87678249542188</v>
      </c>
      <c r="AJ154">
        <f t="shared" si="51"/>
        <v>872.85941238384885</v>
      </c>
    </row>
    <row r="155" spans="1:36" x14ac:dyDescent="0.25">
      <c r="A155" s="8">
        <v>41183</v>
      </c>
      <c r="B155" s="9">
        <f t="shared" ref="B155:B165" si="52">IF(B154=12,1,B154+1)</f>
        <v>10</v>
      </c>
      <c r="C155">
        <v>67.115705456864461</v>
      </c>
      <c r="D155">
        <v>1109.0820891180288</v>
      </c>
      <c r="E155">
        <v>712.23207651979646</v>
      </c>
      <c r="F155">
        <v>443.75115476955506</v>
      </c>
      <c r="G155">
        <v>218.7303435677407</v>
      </c>
      <c r="H155">
        <v>1308.2722067928969</v>
      </c>
      <c r="I155">
        <v>398.43928430935574</v>
      </c>
      <c r="J155">
        <v>230.12315637092755</v>
      </c>
      <c r="K155">
        <v>286.02712719254708</v>
      </c>
      <c r="L155">
        <v>163.17034066252288</v>
      </c>
      <c r="M155">
        <v>1293.470351491575</v>
      </c>
      <c r="N155">
        <v>322.85866573202071</v>
      </c>
      <c r="O155">
        <v>963.09465237934739</v>
      </c>
      <c r="P155">
        <v>226.38081690721054</v>
      </c>
      <c r="Q155">
        <v>1196.1809143563719</v>
      </c>
      <c r="R155">
        <v>475.87036263876217</v>
      </c>
      <c r="S155">
        <v>946.86507442202605</v>
      </c>
      <c r="T155" t="str">
        <f t="shared" si="36"/>
        <v/>
      </c>
      <c r="U155" t="str">
        <f t="shared" si="37"/>
        <v/>
      </c>
      <c r="V155" t="str">
        <f t="shared" si="38"/>
        <v/>
      </c>
      <c r="W155" t="str">
        <f t="shared" si="39"/>
        <v/>
      </c>
      <c r="X155" t="str">
        <f t="shared" si="40"/>
        <v/>
      </c>
      <c r="Y155" t="str">
        <f t="shared" si="41"/>
        <v/>
      </c>
      <c r="Z155" t="str">
        <f t="shared" si="42"/>
        <v/>
      </c>
      <c r="AA155" t="str">
        <f t="shared" si="43"/>
        <v/>
      </c>
      <c r="AB155" t="str">
        <f t="shared" si="44"/>
        <v/>
      </c>
      <c r="AC155" t="str">
        <f t="shared" si="45"/>
        <v/>
      </c>
      <c r="AD155" t="str">
        <f t="shared" si="46"/>
        <v/>
      </c>
      <c r="AE155" t="str">
        <f t="shared" si="47"/>
        <v/>
      </c>
      <c r="AF155" t="str">
        <f t="shared" si="48"/>
        <v/>
      </c>
      <c r="AG155" t="str">
        <f t="shared" si="49"/>
        <v/>
      </c>
      <c r="AH155" t="str">
        <f t="shared" si="50"/>
        <v/>
      </c>
      <c r="AI155" t="str">
        <f t="shared" si="51"/>
        <v/>
      </c>
      <c r="AJ155" t="str">
        <f t="shared" si="51"/>
        <v/>
      </c>
    </row>
    <row r="156" spans="1:36" x14ac:dyDescent="0.25">
      <c r="A156" s="8">
        <v>41214</v>
      </c>
      <c r="B156" s="9">
        <f t="shared" si="52"/>
        <v>11</v>
      </c>
      <c r="C156">
        <v>58.016654314376304</v>
      </c>
      <c r="D156">
        <v>1073.0865212876324</v>
      </c>
      <c r="E156">
        <v>652.34624361064584</v>
      </c>
      <c r="F156">
        <v>354.20094810752892</v>
      </c>
      <c r="G156">
        <v>201.73528096090229</v>
      </c>
      <c r="H156">
        <v>1335.3025687435681</v>
      </c>
      <c r="I156">
        <v>437.12512535791654</v>
      </c>
      <c r="J156">
        <v>188.8192106660664</v>
      </c>
      <c r="K156">
        <v>305.96510888051012</v>
      </c>
      <c r="L156">
        <v>138.09719678946874</v>
      </c>
      <c r="M156">
        <v>1258.6417612441369</v>
      </c>
      <c r="N156">
        <v>325.73232514998006</v>
      </c>
      <c r="O156">
        <v>900.95362287922785</v>
      </c>
      <c r="P156">
        <v>217.98299510365959</v>
      </c>
      <c r="Q156">
        <v>1138.976222743509</v>
      </c>
      <c r="R156">
        <v>380.49263659182503</v>
      </c>
      <c r="S156">
        <v>888.84248569687554</v>
      </c>
      <c r="T156" t="str">
        <f t="shared" si="36"/>
        <v/>
      </c>
      <c r="U156" t="str">
        <f t="shared" si="37"/>
        <v/>
      </c>
      <c r="V156" t="str">
        <f t="shared" si="38"/>
        <v/>
      </c>
      <c r="W156" t="str">
        <f t="shared" si="39"/>
        <v/>
      </c>
      <c r="X156" t="str">
        <f t="shared" si="40"/>
        <v/>
      </c>
      <c r="Y156" t="str">
        <f t="shared" si="41"/>
        <v/>
      </c>
      <c r="Z156" t="str">
        <f t="shared" si="42"/>
        <v/>
      </c>
      <c r="AA156" t="str">
        <f t="shared" si="43"/>
        <v/>
      </c>
      <c r="AB156" t="str">
        <f t="shared" si="44"/>
        <v/>
      </c>
      <c r="AC156" t="str">
        <f t="shared" si="45"/>
        <v/>
      </c>
      <c r="AD156" t="str">
        <f t="shared" si="46"/>
        <v/>
      </c>
      <c r="AE156" t="str">
        <f t="shared" si="47"/>
        <v/>
      </c>
      <c r="AF156" t="str">
        <f t="shared" si="48"/>
        <v/>
      </c>
      <c r="AG156" t="str">
        <f t="shared" si="49"/>
        <v/>
      </c>
      <c r="AH156" t="str">
        <f t="shared" si="50"/>
        <v/>
      </c>
      <c r="AI156" t="str">
        <f t="shared" si="51"/>
        <v/>
      </c>
      <c r="AJ156" t="str">
        <f t="shared" si="51"/>
        <v/>
      </c>
    </row>
    <row r="157" spans="1:36" x14ac:dyDescent="0.25">
      <c r="A157" s="8">
        <v>41244</v>
      </c>
      <c r="B157" s="9">
        <f t="shared" si="52"/>
        <v>12</v>
      </c>
      <c r="C157">
        <v>55.813804198361865</v>
      </c>
      <c r="D157">
        <v>989.24365907405172</v>
      </c>
      <c r="E157">
        <v>713.50043579835392</v>
      </c>
      <c r="F157">
        <v>450.49249526080757</v>
      </c>
      <c r="G157">
        <v>175.46621073413959</v>
      </c>
      <c r="H157">
        <v>1360.7201236850317</v>
      </c>
      <c r="I157">
        <v>398.01663936281</v>
      </c>
      <c r="J157">
        <v>229.26691110481627</v>
      </c>
      <c r="K157">
        <v>276.11909737046864</v>
      </c>
      <c r="L157">
        <v>136.05598355489639</v>
      </c>
      <c r="M157">
        <v>1310.7514921026075</v>
      </c>
      <c r="N157">
        <v>330.82358886274005</v>
      </c>
      <c r="O157">
        <v>956.37994516327456</v>
      </c>
      <c r="P157">
        <v>247.0450400151621</v>
      </c>
      <c r="Q157">
        <v>1248.7685107014784</v>
      </c>
      <c r="R157">
        <v>506.80625865538417</v>
      </c>
      <c r="S157">
        <v>980.403131344126</v>
      </c>
      <c r="T157">
        <f t="shared" si="36"/>
        <v>60.315387989867553</v>
      </c>
      <c r="U157">
        <f t="shared" si="37"/>
        <v>1057.1374231599043</v>
      </c>
      <c r="V157">
        <f t="shared" si="38"/>
        <v>692.69291864293211</v>
      </c>
      <c r="W157">
        <f t="shared" si="39"/>
        <v>416.14819937929718</v>
      </c>
      <c r="X157">
        <f t="shared" si="40"/>
        <v>198.64394508759418</v>
      </c>
      <c r="Y157">
        <f t="shared" si="41"/>
        <v>1334.7649664071657</v>
      </c>
      <c r="Z157">
        <f t="shared" si="42"/>
        <v>411.19368301002743</v>
      </c>
      <c r="AA157">
        <f t="shared" si="43"/>
        <v>216.06975938060339</v>
      </c>
      <c r="AB157">
        <f t="shared" si="44"/>
        <v>289.3704444811753</v>
      </c>
      <c r="AC157">
        <f t="shared" si="45"/>
        <v>145.77450700229602</v>
      </c>
      <c r="AD157">
        <f t="shared" si="46"/>
        <v>1287.6212016127731</v>
      </c>
      <c r="AE157">
        <f t="shared" si="47"/>
        <v>326.47152658158029</v>
      </c>
      <c r="AF157">
        <f t="shared" si="48"/>
        <v>940.14274014061664</v>
      </c>
      <c r="AG157">
        <f t="shared" si="49"/>
        <v>230.46961734201076</v>
      </c>
      <c r="AH157">
        <f t="shared" si="50"/>
        <v>1194.6418826004531</v>
      </c>
      <c r="AI157">
        <f t="shared" si="51"/>
        <v>454.38975262865711</v>
      </c>
      <c r="AJ157">
        <f t="shared" si="51"/>
        <v>938.7035638210092</v>
      </c>
    </row>
    <row r="158" spans="1:36" x14ac:dyDescent="0.25">
      <c r="A158" s="8">
        <v>41275</v>
      </c>
      <c r="B158" s="9">
        <f t="shared" si="52"/>
        <v>1</v>
      </c>
      <c r="C158">
        <v>81.71667004491556</v>
      </c>
      <c r="D158">
        <v>975.20522083791252</v>
      </c>
      <c r="E158">
        <v>626.44723909956849</v>
      </c>
      <c r="F158">
        <v>482.56609917391592</v>
      </c>
      <c r="G158">
        <v>200.39599547713374</v>
      </c>
      <c r="H158">
        <v>1321.7157592214353</v>
      </c>
      <c r="I158">
        <v>421.94495491984077</v>
      </c>
      <c r="J158">
        <v>226.26984499905606</v>
      </c>
      <c r="K158">
        <v>315.25004357689164</v>
      </c>
      <c r="L158">
        <v>192.65701443660765</v>
      </c>
      <c r="M158">
        <v>1407.4513100986262</v>
      </c>
      <c r="N158">
        <v>246.80610520848563</v>
      </c>
      <c r="O158">
        <v>955.67547915493378</v>
      </c>
      <c r="P158">
        <v>241.29997714191921</v>
      </c>
      <c r="Q158">
        <v>1227.946638548899</v>
      </c>
      <c r="R158">
        <v>502.68050306185791</v>
      </c>
      <c r="S158">
        <v>901.8936393074714</v>
      </c>
      <c r="T158" t="str">
        <f t="shared" si="36"/>
        <v/>
      </c>
      <c r="U158" t="str">
        <f t="shared" si="37"/>
        <v/>
      </c>
      <c r="V158" t="str">
        <f t="shared" si="38"/>
        <v/>
      </c>
      <c r="W158" t="str">
        <f t="shared" si="39"/>
        <v/>
      </c>
      <c r="X158" t="str">
        <f t="shared" si="40"/>
        <v/>
      </c>
      <c r="Y158" t="str">
        <f t="shared" si="41"/>
        <v/>
      </c>
      <c r="Z158" t="str">
        <f t="shared" si="42"/>
        <v/>
      </c>
      <c r="AA158" t="str">
        <f t="shared" si="43"/>
        <v/>
      </c>
      <c r="AB158" t="str">
        <f t="shared" si="44"/>
        <v/>
      </c>
      <c r="AC158" t="str">
        <f t="shared" si="45"/>
        <v/>
      </c>
      <c r="AD158" t="str">
        <f t="shared" si="46"/>
        <v/>
      </c>
      <c r="AE158" t="str">
        <f t="shared" si="47"/>
        <v/>
      </c>
      <c r="AF158" t="str">
        <f t="shared" si="48"/>
        <v/>
      </c>
      <c r="AG158" t="str">
        <f t="shared" si="49"/>
        <v/>
      </c>
      <c r="AH158" t="str">
        <f t="shared" si="50"/>
        <v/>
      </c>
      <c r="AI158" t="str">
        <f t="shared" si="51"/>
        <v/>
      </c>
      <c r="AJ158" t="str">
        <f t="shared" si="51"/>
        <v/>
      </c>
    </row>
    <row r="159" spans="1:36" x14ac:dyDescent="0.25">
      <c r="A159" s="8">
        <v>41306</v>
      </c>
      <c r="B159" s="9">
        <f t="shared" si="52"/>
        <v>2</v>
      </c>
      <c r="C159">
        <v>50.650651865012506</v>
      </c>
      <c r="D159">
        <v>937.04233757799909</v>
      </c>
      <c r="E159">
        <v>643.87405624120026</v>
      </c>
      <c r="F159">
        <v>389.59905934171445</v>
      </c>
      <c r="G159">
        <v>213.82205369069945</v>
      </c>
      <c r="H159">
        <v>1348.3815492024005</v>
      </c>
      <c r="I159">
        <v>422.61067933471907</v>
      </c>
      <c r="J159">
        <v>140.65440637165253</v>
      </c>
      <c r="K159">
        <v>239.75537057159542</v>
      </c>
      <c r="L159">
        <v>169.73233110665132</v>
      </c>
      <c r="M159">
        <v>1353.6273594665452</v>
      </c>
      <c r="N159">
        <v>268.67526149026338</v>
      </c>
      <c r="O159">
        <v>944.53070623944677</v>
      </c>
      <c r="P159">
        <v>250.62225045074726</v>
      </c>
      <c r="Q159">
        <v>1153.4907477957581</v>
      </c>
      <c r="R159">
        <v>463.1603569435535</v>
      </c>
      <c r="S159">
        <v>932.24552924422198</v>
      </c>
      <c r="T159" t="str">
        <f t="shared" si="36"/>
        <v/>
      </c>
      <c r="U159" t="str">
        <f t="shared" si="37"/>
        <v/>
      </c>
      <c r="V159" t="str">
        <f t="shared" si="38"/>
        <v/>
      </c>
      <c r="W159" t="str">
        <f t="shared" si="39"/>
        <v/>
      </c>
      <c r="X159" t="str">
        <f t="shared" si="40"/>
        <v/>
      </c>
      <c r="Y159" t="str">
        <f t="shared" si="41"/>
        <v/>
      </c>
      <c r="Z159" t="str">
        <f t="shared" si="42"/>
        <v/>
      </c>
      <c r="AA159" t="str">
        <f t="shared" si="43"/>
        <v/>
      </c>
      <c r="AB159" t="str">
        <f t="shared" si="44"/>
        <v/>
      </c>
      <c r="AC159" t="str">
        <f t="shared" si="45"/>
        <v/>
      </c>
      <c r="AD159" t="str">
        <f t="shared" si="46"/>
        <v/>
      </c>
      <c r="AE159" t="str">
        <f t="shared" si="47"/>
        <v/>
      </c>
      <c r="AF159" t="str">
        <f t="shared" si="48"/>
        <v/>
      </c>
      <c r="AG159" t="str">
        <f t="shared" si="49"/>
        <v/>
      </c>
      <c r="AH159" t="str">
        <f t="shared" si="50"/>
        <v/>
      </c>
      <c r="AI159" t="str">
        <f t="shared" si="51"/>
        <v/>
      </c>
      <c r="AJ159" t="str">
        <f t="shared" si="51"/>
        <v/>
      </c>
    </row>
    <row r="160" spans="1:36" x14ac:dyDescent="0.25">
      <c r="A160" s="8">
        <v>41334</v>
      </c>
      <c r="B160" s="9">
        <f t="shared" si="52"/>
        <v>3</v>
      </c>
      <c r="C160">
        <v>68.941735849837841</v>
      </c>
      <c r="D160">
        <v>942.83594197378443</v>
      </c>
      <c r="E160">
        <v>562.83165639133256</v>
      </c>
      <c r="F160">
        <v>357.48614837075922</v>
      </c>
      <c r="G160">
        <v>194.12699630822107</v>
      </c>
      <c r="H160">
        <v>1264.6511750505817</v>
      </c>
      <c r="I160">
        <v>422.85993207569817</v>
      </c>
      <c r="J160">
        <v>146.49742536298785</v>
      </c>
      <c r="K160">
        <v>262.96782881877334</v>
      </c>
      <c r="L160">
        <v>140.28302669711087</v>
      </c>
      <c r="M160">
        <v>1290.4590438434718</v>
      </c>
      <c r="N160">
        <v>299.05904347999177</v>
      </c>
      <c r="O160">
        <v>872.71471719053943</v>
      </c>
      <c r="P160">
        <v>274.20825011764771</v>
      </c>
      <c r="Q160">
        <v>1155.9664349428465</v>
      </c>
      <c r="R160">
        <v>443.00816217566717</v>
      </c>
      <c r="S160">
        <v>871.32612502917584</v>
      </c>
      <c r="T160">
        <f t="shared" si="36"/>
        <v>67.103019253255312</v>
      </c>
      <c r="U160">
        <f t="shared" si="37"/>
        <v>951.69450012989864</v>
      </c>
      <c r="V160">
        <f t="shared" si="38"/>
        <v>611.05098391070044</v>
      </c>
      <c r="W160">
        <f t="shared" si="39"/>
        <v>409.88376896212986</v>
      </c>
      <c r="X160">
        <f t="shared" si="40"/>
        <v>202.78168182535146</v>
      </c>
      <c r="Y160">
        <f t="shared" si="41"/>
        <v>1311.5828278248057</v>
      </c>
      <c r="Z160">
        <f t="shared" si="42"/>
        <v>422.47185544341937</v>
      </c>
      <c r="AA160">
        <f t="shared" si="43"/>
        <v>171.14055891123215</v>
      </c>
      <c r="AB160">
        <f t="shared" si="44"/>
        <v>272.65774765575344</v>
      </c>
      <c r="AC160">
        <f t="shared" si="45"/>
        <v>167.5574574134566</v>
      </c>
      <c r="AD160">
        <f t="shared" si="46"/>
        <v>1350.5125711362143</v>
      </c>
      <c r="AE160">
        <f t="shared" si="47"/>
        <v>271.51347005958024</v>
      </c>
      <c r="AF160">
        <f t="shared" si="48"/>
        <v>924.3069675283067</v>
      </c>
      <c r="AG160">
        <f t="shared" si="49"/>
        <v>255.37682590343806</v>
      </c>
      <c r="AH160">
        <f t="shared" si="50"/>
        <v>1179.1346070958346</v>
      </c>
      <c r="AI160">
        <f t="shared" si="51"/>
        <v>469.61634072702617</v>
      </c>
      <c r="AJ160">
        <f t="shared" si="51"/>
        <v>901.82176452695637</v>
      </c>
    </row>
    <row r="161" spans="1:36" x14ac:dyDescent="0.25">
      <c r="A161" s="8">
        <v>41365</v>
      </c>
      <c r="B161" s="9">
        <f t="shared" si="52"/>
        <v>4</v>
      </c>
      <c r="C161">
        <v>71.204813169776912</v>
      </c>
      <c r="D161">
        <v>1004.7273351679015</v>
      </c>
      <c r="E161">
        <v>588.77466516665243</v>
      </c>
      <c r="F161">
        <v>366.26192061366874</v>
      </c>
      <c r="G161">
        <v>239.59639779328475</v>
      </c>
      <c r="H161">
        <v>1294.0259938150934</v>
      </c>
      <c r="I161">
        <v>349.24673100414736</v>
      </c>
      <c r="J161">
        <v>157.72396390996374</v>
      </c>
      <c r="K161">
        <v>369.58181091021271</v>
      </c>
      <c r="L161">
        <v>141.85312285392993</v>
      </c>
      <c r="M161">
        <v>1339.8402818926575</v>
      </c>
      <c r="N161">
        <v>303.30271536808146</v>
      </c>
      <c r="O161">
        <v>793.00694315168096</v>
      </c>
      <c r="P161">
        <v>258.92494344453269</v>
      </c>
      <c r="Q161">
        <v>1136.0657728062276</v>
      </c>
      <c r="R161">
        <v>437.59127137803239</v>
      </c>
      <c r="S161">
        <v>863.672805694678</v>
      </c>
      <c r="T161" t="str">
        <f t="shared" si="36"/>
        <v/>
      </c>
      <c r="U161" t="str">
        <f t="shared" si="37"/>
        <v/>
      </c>
      <c r="V161" t="str">
        <f t="shared" si="38"/>
        <v/>
      </c>
      <c r="W161" t="str">
        <f t="shared" si="39"/>
        <v/>
      </c>
      <c r="X161" t="str">
        <f t="shared" si="40"/>
        <v/>
      </c>
      <c r="Y161" t="str">
        <f t="shared" si="41"/>
        <v/>
      </c>
      <c r="Z161" t="str">
        <f t="shared" si="42"/>
        <v/>
      </c>
      <c r="AA161" t="str">
        <f t="shared" si="43"/>
        <v/>
      </c>
      <c r="AB161" t="str">
        <f t="shared" si="44"/>
        <v/>
      </c>
      <c r="AC161" t="str">
        <f t="shared" si="45"/>
        <v/>
      </c>
      <c r="AD161" t="str">
        <f t="shared" si="46"/>
        <v/>
      </c>
      <c r="AE161" t="str">
        <f t="shared" si="47"/>
        <v/>
      </c>
      <c r="AF161" t="str">
        <f t="shared" si="48"/>
        <v/>
      </c>
      <c r="AG161" t="str">
        <f t="shared" si="49"/>
        <v/>
      </c>
      <c r="AH161" t="str">
        <f t="shared" si="50"/>
        <v/>
      </c>
      <c r="AI161" t="str">
        <f t="shared" si="51"/>
        <v/>
      </c>
      <c r="AJ161" t="str">
        <f t="shared" si="51"/>
        <v/>
      </c>
    </row>
    <row r="162" spans="1:36" x14ac:dyDescent="0.25">
      <c r="A162" s="8">
        <v>41395</v>
      </c>
      <c r="B162" s="9">
        <f t="shared" si="52"/>
        <v>5</v>
      </c>
      <c r="C162">
        <v>69.062525535125076</v>
      </c>
      <c r="D162">
        <v>969.90669725947544</v>
      </c>
      <c r="E162">
        <v>659.07850072069959</v>
      </c>
      <c r="F162">
        <v>412.04920077617328</v>
      </c>
      <c r="G162">
        <v>256.43730825396204</v>
      </c>
      <c r="H162">
        <v>1250.8759791009497</v>
      </c>
      <c r="I162">
        <v>386.63272091718528</v>
      </c>
      <c r="J162">
        <v>183.17190098664571</v>
      </c>
      <c r="K162">
        <v>300.45175070484726</v>
      </c>
      <c r="L162">
        <v>121.54130010157839</v>
      </c>
      <c r="M162">
        <v>1287.4387998274353</v>
      </c>
      <c r="N162">
        <v>299.59155828525229</v>
      </c>
      <c r="O162">
        <v>790.37392021637379</v>
      </c>
      <c r="P162">
        <v>253.53698098025356</v>
      </c>
      <c r="Q162">
        <v>1225.2583678759718</v>
      </c>
      <c r="R162">
        <v>454.13431633510703</v>
      </c>
      <c r="S162">
        <v>915.44505147654809</v>
      </c>
      <c r="T162" t="str">
        <f t="shared" si="36"/>
        <v/>
      </c>
      <c r="U162" t="str">
        <f t="shared" si="37"/>
        <v/>
      </c>
      <c r="V162" t="str">
        <f t="shared" si="38"/>
        <v/>
      </c>
      <c r="W162" t="str">
        <f t="shared" si="39"/>
        <v/>
      </c>
      <c r="X162" t="str">
        <f t="shared" si="40"/>
        <v/>
      </c>
      <c r="Y162" t="str">
        <f t="shared" si="41"/>
        <v/>
      </c>
      <c r="Z162" t="str">
        <f t="shared" si="42"/>
        <v/>
      </c>
      <c r="AA162" t="str">
        <f t="shared" si="43"/>
        <v/>
      </c>
      <c r="AB162" t="str">
        <f t="shared" si="44"/>
        <v/>
      </c>
      <c r="AC162" t="str">
        <f t="shared" si="45"/>
        <v/>
      </c>
      <c r="AD162" t="str">
        <f t="shared" si="46"/>
        <v/>
      </c>
      <c r="AE162" t="str">
        <f t="shared" si="47"/>
        <v/>
      </c>
      <c r="AF162" t="str">
        <f t="shared" si="48"/>
        <v/>
      </c>
      <c r="AG162" t="str">
        <f t="shared" si="49"/>
        <v/>
      </c>
      <c r="AH162" t="str">
        <f t="shared" si="50"/>
        <v/>
      </c>
      <c r="AI162" t="str">
        <f t="shared" si="51"/>
        <v/>
      </c>
      <c r="AJ162" t="str">
        <f t="shared" si="51"/>
        <v/>
      </c>
    </row>
    <row r="163" spans="1:36" x14ac:dyDescent="0.25">
      <c r="A163" s="8">
        <v>41426</v>
      </c>
      <c r="B163" s="9">
        <f t="shared" si="52"/>
        <v>6</v>
      </c>
      <c r="C163">
        <v>62.461572730403205</v>
      </c>
      <c r="D163">
        <v>952.12486996227449</v>
      </c>
      <c r="E163">
        <v>581.00625156606236</v>
      </c>
      <c r="F163">
        <v>434.24932297235227</v>
      </c>
      <c r="G163">
        <v>214.60864829013457</v>
      </c>
      <c r="H163">
        <v>1153.5107222913566</v>
      </c>
      <c r="I163">
        <v>377.52867174587345</v>
      </c>
      <c r="J163">
        <v>167.38558692543111</v>
      </c>
      <c r="K163">
        <v>279.25446175092401</v>
      </c>
      <c r="L163">
        <v>141.53289809040268</v>
      </c>
      <c r="M163">
        <v>1318.0008883534781</v>
      </c>
      <c r="N163">
        <v>296.40006896757916</v>
      </c>
      <c r="O163">
        <v>801.08447584298722</v>
      </c>
      <c r="P163">
        <v>264.37514737249666</v>
      </c>
      <c r="Q163">
        <v>1213.9126703231354</v>
      </c>
      <c r="R163">
        <v>396.4541141542428</v>
      </c>
      <c r="S163">
        <v>910.80086758971879</v>
      </c>
      <c r="T163">
        <f t="shared" si="36"/>
        <v>67.576303811768398</v>
      </c>
      <c r="U163">
        <f t="shared" si="37"/>
        <v>975.58630079655052</v>
      </c>
      <c r="V163">
        <f t="shared" si="38"/>
        <v>609.61980581780483</v>
      </c>
      <c r="W163">
        <f t="shared" si="39"/>
        <v>404.18681478739808</v>
      </c>
      <c r="X163">
        <f t="shared" si="40"/>
        <v>236.88078477912714</v>
      </c>
      <c r="Y163">
        <f t="shared" si="41"/>
        <v>1232.8042317357999</v>
      </c>
      <c r="Z163">
        <f t="shared" si="42"/>
        <v>371.13604122240207</v>
      </c>
      <c r="AA163">
        <f t="shared" si="43"/>
        <v>169.42715060734687</v>
      </c>
      <c r="AB163">
        <f t="shared" si="44"/>
        <v>316.42934112199464</v>
      </c>
      <c r="AC163">
        <f t="shared" si="45"/>
        <v>134.97577368197034</v>
      </c>
      <c r="AD163">
        <f t="shared" si="46"/>
        <v>1315.0933233578571</v>
      </c>
      <c r="AE163">
        <f t="shared" si="47"/>
        <v>299.76478087363768</v>
      </c>
      <c r="AF163">
        <f t="shared" si="48"/>
        <v>794.82177973701391</v>
      </c>
      <c r="AG163">
        <f t="shared" si="49"/>
        <v>258.94569059909435</v>
      </c>
      <c r="AH163">
        <f t="shared" si="50"/>
        <v>1191.745603668445</v>
      </c>
      <c r="AI163">
        <f t="shared" si="51"/>
        <v>429.39323395579413</v>
      </c>
      <c r="AJ163">
        <f t="shared" si="51"/>
        <v>896.63957492031511</v>
      </c>
    </row>
    <row r="164" spans="1:36" x14ac:dyDescent="0.25">
      <c r="A164" s="8">
        <v>41456</v>
      </c>
      <c r="B164" s="9">
        <f t="shared" si="52"/>
        <v>7</v>
      </c>
      <c r="C164">
        <v>55.953774929924492</v>
      </c>
      <c r="D164">
        <v>924.88718653917931</v>
      </c>
      <c r="E164">
        <v>590.39322803204379</v>
      </c>
      <c r="F164">
        <v>479.33281619063121</v>
      </c>
      <c r="G164">
        <v>204.35876126906214</v>
      </c>
      <c r="H164">
        <v>1148.3909751157953</v>
      </c>
      <c r="I164">
        <v>369.03056222670159</v>
      </c>
      <c r="J164">
        <v>172.71931410629557</v>
      </c>
      <c r="K164">
        <v>249.45540726854887</v>
      </c>
      <c r="L164">
        <v>160.32437137234922</v>
      </c>
      <c r="M164">
        <v>1277.1106578371791</v>
      </c>
      <c r="N164">
        <v>267.03275761872129</v>
      </c>
      <c r="O164">
        <v>850.47756416354764</v>
      </c>
      <c r="P164">
        <v>237.16511451606289</v>
      </c>
      <c r="Q164">
        <v>1204.9907176333531</v>
      </c>
      <c r="R164">
        <v>389.51240782628554</v>
      </c>
      <c r="S164">
        <v>800.33519169808346</v>
      </c>
      <c r="T164" t="str">
        <f t="shared" si="36"/>
        <v/>
      </c>
      <c r="U164" t="str">
        <f t="shared" si="37"/>
        <v/>
      </c>
      <c r="V164" t="str">
        <f t="shared" si="38"/>
        <v/>
      </c>
      <c r="W164" t="str">
        <f t="shared" si="39"/>
        <v/>
      </c>
      <c r="X164" t="str">
        <f t="shared" si="40"/>
        <v/>
      </c>
      <c r="Y164" t="str">
        <f t="shared" si="41"/>
        <v/>
      </c>
      <c r="Z164" t="str">
        <f t="shared" si="42"/>
        <v/>
      </c>
      <c r="AA164" t="str">
        <f t="shared" si="43"/>
        <v/>
      </c>
      <c r="AB164" t="str">
        <f t="shared" si="44"/>
        <v/>
      </c>
      <c r="AC164" t="str">
        <f t="shared" si="45"/>
        <v/>
      </c>
      <c r="AD164" t="str">
        <f t="shared" si="46"/>
        <v/>
      </c>
      <c r="AE164" t="str">
        <f t="shared" si="47"/>
        <v/>
      </c>
      <c r="AF164" t="str">
        <f t="shared" si="48"/>
        <v/>
      </c>
      <c r="AG164" t="str">
        <f t="shared" si="49"/>
        <v/>
      </c>
      <c r="AH164" t="str">
        <f t="shared" si="50"/>
        <v/>
      </c>
      <c r="AI164" t="str">
        <f t="shared" si="51"/>
        <v/>
      </c>
      <c r="AJ164" t="str">
        <f t="shared" si="51"/>
        <v/>
      </c>
    </row>
    <row r="165" spans="1:36" x14ac:dyDescent="0.25">
      <c r="A165" s="8">
        <v>41487</v>
      </c>
      <c r="B165" s="9">
        <f t="shared" si="52"/>
        <v>8</v>
      </c>
      <c r="C165">
        <v>63.045836660459365</v>
      </c>
      <c r="D165">
        <v>912.48469258414207</v>
      </c>
      <c r="E165">
        <v>563.12933577210879</v>
      </c>
      <c r="F165">
        <v>446.99972036730378</v>
      </c>
      <c r="G165">
        <v>179.76094904473936</v>
      </c>
      <c r="H165">
        <v>1287.6825471200759</v>
      </c>
      <c r="I165">
        <v>439.29211659969161</v>
      </c>
      <c r="J165">
        <v>187.19036693172538</v>
      </c>
      <c r="K165">
        <v>203.69155004159742</v>
      </c>
      <c r="L165">
        <v>133.85416092539901</v>
      </c>
      <c r="M165">
        <v>1272.0499099238291</v>
      </c>
      <c r="N165">
        <v>220.31117877805917</v>
      </c>
      <c r="O165">
        <v>850.10452750987724</v>
      </c>
      <c r="P165">
        <v>235.5635848659002</v>
      </c>
      <c r="Q165">
        <v>1128.3604295303826</v>
      </c>
      <c r="R165">
        <v>412.57203085795999</v>
      </c>
      <c r="S165">
        <v>743.60403211605046</v>
      </c>
      <c r="T165" t="str">
        <f t="shared" si="36"/>
        <v/>
      </c>
      <c r="U165" t="str">
        <f t="shared" si="37"/>
        <v/>
      </c>
      <c r="V165" t="str">
        <f t="shared" si="38"/>
        <v/>
      </c>
      <c r="W165" t="str">
        <f t="shared" si="39"/>
        <v/>
      </c>
      <c r="X165" t="str">
        <f t="shared" si="40"/>
        <v/>
      </c>
      <c r="Y165" t="str">
        <f t="shared" si="41"/>
        <v/>
      </c>
      <c r="Z165" t="str">
        <f t="shared" si="42"/>
        <v/>
      </c>
      <c r="AA165" t="str">
        <f t="shared" si="43"/>
        <v/>
      </c>
      <c r="AB165" t="str">
        <f t="shared" si="44"/>
        <v/>
      </c>
      <c r="AC165" t="str">
        <f t="shared" si="45"/>
        <v/>
      </c>
      <c r="AD165" t="str">
        <f t="shared" si="46"/>
        <v/>
      </c>
      <c r="AE165" t="str">
        <f t="shared" si="47"/>
        <v/>
      </c>
      <c r="AF165" t="str">
        <f t="shared" si="48"/>
        <v/>
      </c>
      <c r="AG165" t="str">
        <f t="shared" si="49"/>
        <v/>
      </c>
      <c r="AH165" t="str">
        <f t="shared" si="50"/>
        <v/>
      </c>
      <c r="AI165" t="str">
        <f t="shared" si="51"/>
        <v/>
      </c>
      <c r="AJ165" t="str">
        <f t="shared" si="51"/>
        <v/>
      </c>
    </row>
    <row r="166" spans="1:36" x14ac:dyDescent="0.25">
      <c r="A166" s="8">
        <v>41518</v>
      </c>
      <c r="B166" s="9">
        <f t="shared" ref="B166:B167" si="53">IF(B165=12,1,B165+1)</f>
        <v>9</v>
      </c>
      <c r="C166">
        <v>60.920286952064792</v>
      </c>
      <c r="D166">
        <v>836.35945963048948</v>
      </c>
      <c r="E166">
        <v>665.34620992894065</v>
      </c>
      <c r="F166">
        <v>489.1713587875584</v>
      </c>
      <c r="G166">
        <v>215.86777535337049</v>
      </c>
      <c r="H166">
        <v>1274.5933771786058</v>
      </c>
      <c r="I166">
        <v>396.43456300118913</v>
      </c>
      <c r="J166">
        <v>180.50748895067684</v>
      </c>
      <c r="K166">
        <v>220.69952542825158</v>
      </c>
      <c r="L166">
        <v>159.68731336947306</v>
      </c>
      <c r="M166">
        <v>1205.13986362484</v>
      </c>
      <c r="N166">
        <v>284.4920468935735</v>
      </c>
      <c r="O166">
        <v>852.98653328152886</v>
      </c>
      <c r="P166">
        <v>244.64647162858503</v>
      </c>
      <c r="Q166">
        <v>1065.8230158421989</v>
      </c>
      <c r="R166">
        <v>410.02817382568696</v>
      </c>
      <c r="S166">
        <v>804.64284924929075</v>
      </c>
      <c r="T166">
        <f t="shared" si="36"/>
        <v>59.973299514149552</v>
      </c>
      <c r="U166">
        <f t="shared" si="37"/>
        <v>891.24377958460354</v>
      </c>
      <c r="V166">
        <f t="shared" si="38"/>
        <v>606.28959124436437</v>
      </c>
      <c r="W166">
        <f t="shared" si="39"/>
        <v>471.83463178183115</v>
      </c>
      <c r="X166">
        <f t="shared" si="40"/>
        <v>199.99582855572399</v>
      </c>
      <c r="Y166">
        <f t="shared" si="41"/>
        <v>1236.8889664714923</v>
      </c>
      <c r="Z166">
        <f t="shared" si="42"/>
        <v>401.5857472758608</v>
      </c>
      <c r="AA166">
        <f t="shared" si="43"/>
        <v>180.13905666289926</v>
      </c>
      <c r="AB166">
        <f t="shared" si="44"/>
        <v>224.61549424613261</v>
      </c>
      <c r="AC166">
        <f t="shared" si="45"/>
        <v>151.28861522240709</v>
      </c>
      <c r="AD166">
        <f t="shared" si="46"/>
        <v>1251.433477128616</v>
      </c>
      <c r="AE166">
        <f t="shared" si="47"/>
        <v>257.27866109678467</v>
      </c>
      <c r="AF166">
        <f t="shared" si="48"/>
        <v>851.18954165165121</v>
      </c>
      <c r="AG166">
        <f t="shared" si="49"/>
        <v>239.12505700351605</v>
      </c>
      <c r="AH166">
        <f t="shared" si="50"/>
        <v>1133.0580543353115</v>
      </c>
      <c r="AI166">
        <f t="shared" si="51"/>
        <v>404.03753750331083</v>
      </c>
      <c r="AJ166">
        <f t="shared" si="51"/>
        <v>782.86069102114163</v>
      </c>
    </row>
    <row r="167" spans="1:36" x14ac:dyDescent="0.25">
      <c r="A167" s="8">
        <v>41548</v>
      </c>
      <c r="B167" s="9">
        <f t="shared" si="53"/>
        <v>10</v>
      </c>
      <c r="C167">
        <v>73.717250255900311</v>
      </c>
      <c r="D167">
        <v>874.14749604679037</v>
      </c>
      <c r="E167">
        <v>645.4603193460656</v>
      </c>
      <c r="F167">
        <v>359.12884153443059</v>
      </c>
      <c r="G167">
        <v>156.98350016823494</v>
      </c>
      <c r="H167">
        <v>1264.2085077669933</v>
      </c>
      <c r="I167">
        <v>413.27478957619343</v>
      </c>
      <c r="J167">
        <v>232.26383689530829</v>
      </c>
      <c r="K167">
        <v>294.93454637847412</v>
      </c>
      <c r="L167">
        <v>153.57208532943329</v>
      </c>
      <c r="M167">
        <v>1248.0129269982608</v>
      </c>
      <c r="N167">
        <v>274.48611302652631</v>
      </c>
      <c r="O167">
        <v>706.47068544441163</v>
      </c>
      <c r="P167">
        <v>216.99175076820183</v>
      </c>
      <c r="Q167">
        <v>1029.6640998468504</v>
      </c>
      <c r="R167">
        <v>528.6299028443641</v>
      </c>
      <c r="S167">
        <v>960.43645917118408</v>
      </c>
      <c r="T167" t="str">
        <f t="shared" si="36"/>
        <v/>
      </c>
      <c r="U167" t="str">
        <f t="shared" si="37"/>
        <v/>
      </c>
      <c r="V167" t="str">
        <f t="shared" si="38"/>
        <v/>
      </c>
      <c r="W167" t="str">
        <f t="shared" si="39"/>
        <v/>
      </c>
      <c r="X167" t="str">
        <f t="shared" si="40"/>
        <v/>
      </c>
      <c r="Y167" t="str">
        <f t="shared" si="41"/>
        <v/>
      </c>
      <c r="Z167" t="str">
        <f t="shared" si="42"/>
        <v/>
      </c>
      <c r="AA167" t="str">
        <f t="shared" si="43"/>
        <v/>
      </c>
      <c r="AB167" t="str">
        <f t="shared" si="44"/>
        <v/>
      </c>
      <c r="AC167" t="str">
        <f t="shared" si="45"/>
        <v/>
      </c>
      <c r="AD167" t="str">
        <f t="shared" si="46"/>
        <v/>
      </c>
      <c r="AE167" t="str">
        <f t="shared" si="47"/>
        <v/>
      </c>
      <c r="AF167" t="str">
        <f t="shared" si="48"/>
        <v/>
      </c>
      <c r="AG167" t="str">
        <f t="shared" si="49"/>
        <v/>
      </c>
      <c r="AH167" t="str">
        <f t="shared" si="50"/>
        <v/>
      </c>
      <c r="AI167" t="str">
        <f t="shared" si="51"/>
        <v/>
      </c>
      <c r="AJ167" t="str">
        <f t="shared" si="51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54"/>
  <sheetViews>
    <sheetView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26.5703125" customWidth="1"/>
    <col min="2" max="2" width="10.7109375" style="22" bestFit="1" customWidth="1"/>
    <col min="22" max="22" width="8.85546875" style="16"/>
    <col min="41" max="41" width="8.85546875" style="16"/>
    <col min="60" max="60" width="8.85546875" style="16"/>
    <col min="78" max="78" width="17.5703125" style="16" customWidth="1"/>
    <col min="95" max="95" width="8.85546875" style="25"/>
    <col min="106" max="106" width="8.85546875" style="16"/>
  </cols>
  <sheetData>
    <row r="1" spans="1:124" ht="17.25" x14ac:dyDescent="0.3">
      <c r="A1" s="23" t="s">
        <v>244</v>
      </c>
      <c r="B1" s="23"/>
      <c r="C1" t="s">
        <v>221</v>
      </c>
      <c r="D1" s="15" t="s">
        <v>44</v>
      </c>
      <c r="W1" s="15" t="s">
        <v>162</v>
      </c>
      <c r="AP1" s="15" t="s">
        <v>188</v>
      </c>
      <c r="BI1" s="15" t="s">
        <v>190</v>
      </c>
      <c r="CA1" s="21" t="s">
        <v>220</v>
      </c>
      <c r="CB1" s="21">
        <f>1-0.5</f>
        <v>0.5</v>
      </c>
      <c r="CR1" s="15" t="s">
        <v>219</v>
      </c>
      <c r="CS1" s="15" t="s">
        <v>243</v>
      </c>
      <c r="DC1" s="15" t="s">
        <v>222</v>
      </c>
      <c r="DT1" t="s">
        <v>221</v>
      </c>
    </row>
    <row r="2" spans="1:124" ht="17.25" x14ac:dyDescent="0.3">
      <c r="A2" s="23" t="s">
        <v>245</v>
      </c>
      <c r="B2" s="23"/>
      <c r="C2" t="s">
        <v>236</v>
      </c>
      <c r="D2" t="s">
        <v>187</v>
      </c>
      <c r="E2" t="s">
        <v>6</v>
      </c>
      <c r="F2" t="s">
        <v>97</v>
      </c>
      <c r="G2" t="s">
        <v>98</v>
      </c>
      <c r="H2" t="s">
        <v>99</v>
      </c>
      <c r="I2" t="s">
        <v>100</v>
      </c>
      <c r="J2" t="s">
        <v>102</v>
      </c>
      <c r="K2" t="s">
        <v>101</v>
      </c>
      <c r="L2" t="s">
        <v>103</v>
      </c>
      <c r="M2" t="s">
        <v>104</v>
      </c>
      <c r="N2" t="s">
        <v>59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216</v>
      </c>
      <c r="U2" t="s">
        <v>163</v>
      </c>
      <c r="W2" t="s">
        <v>182</v>
      </c>
      <c r="X2" t="s">
        <v>6</v>
      </c>
      <c r="Y2" t="s">
        <v>32</v>
      </c>
      <c r="Z2" t="s">
        <v>34</v>
      </c>
      <c r="AA2" t="s">
        <v>36</v>
      </c>
      <c r="AB2" t="s">
        <v>48</v>
      </c>
      <c r="AC2" t="s">
        <v>95</v>
      </c>
      <c r="AD2" t="s">
        <v>52</v>
      </c>
      <c r="AE2" t="s">
        <v>54</v>
      </c>
      <c r="AF2" t="s">
        <v>56</v>
      </c>
      <c r="AG2" t="s">
        <v>58</v>
      </c>
      <c r="AH2" t="s">
        <v>61</v>
      </c>
      <c r="AI2" t="s">
        <v>63</v>
      </c>
      <c r="AJ2" t="s">
        <v>65</v>
      </c>
      <c r="AK2" t="s">
        <v>67</v>
      </c>
      <c r="AL2" t="s">
        <v>69</v>
      </c>
      <c r="AM2" t="s">
        <v>216</v>
      </c>
      <c r="AN2" t="s">
        <v>163</v>
      </c>
      <c r="AP2" t="s">
        <v>182</v>
      </c>
      <c r="AQ2" t="s">
        <v>6</v>
      </c>
      <c r="AR2" t="s">
        <v>32</v>
      </c>
      <c r="AS2" t="s">
        <v>34</v>
      </c>
      <c r="AT2" t="s">
        <v>36</v>
      </c>
      <c r="AU2" t="s">
        <v>48</v>
      </c>
      <c r="AV2" t="s">
        <v>95</v>
      </c>
      <c r="AW2" t="s">
        <v>52</v>
      </c>
      <c r="AX2" t="s">
        <v>54</v>
      </c>
      <c r="AY2" t="s">
        <v>56</v>
      </c>
      <c r="AZ2" t="s">
        <v>58</v>
      </c>
      <c r="BA2" t="s">
        <v>61</v>
      </c>
      <c r="BB2" t="s">
        <v>63</v>
      </c>
      <c r="BC2" t="s">
        <v>65</v>
      </c>
      <c r="BD2" t="s">
        <v>67</v>
      </c>
      <c r="BE2" t="s">
        <v>69</v>
      </c>
      <c r="BF2" t="s">
        <v>216</v>
      </c>
      <c r="BG2" t="s">
        <v>163</v>
      </c>
      <c r="BI2" t="s">
        <v>182</v>
      </c>
      <c r="BJ2" t="s">
        <v>6</v>
      </c>
      <c r="BK2" t="s">
        <v>32</v>
      </c>
      <c r="BL2" t="s">
        <v>34</v>
      </c>
      <c r="BM2" t="s">
        <v>36</v>
      </c>
      <c r="BN2" t="s">
        <v>48</v>
      </c>
      <c r="BO2" t="s">
        <v>95</v>
      </c>
      <c r="BP2" t="s">
        <v>52</v>
      </c>
      <c r="BQ2" t="s">
        <v>54</v>
      </c>
      <c r="BR2" t="s">
        <v>56</v>
      </c>
      <c r="BS2" t="s">
        <v>58</v>
      </c>
      <c r="BT2" t="s">
        <v>61</v>
      </c>
      <c r="BU2" t="s">
        <v>63</v>
      </c>
      <c r="BV2" t="s">
        <v>65</v>
      </c>
      <c r="BW2" t="s">
        <v>67</v>
      </c>
      <c r="BX2" t="s">
        <v>69</v>
      </c>
      <c r="BY2" t="s">
        <v>216</v>
      </c>
      <c r="CA2" t="s">
        <v>182</v>
      </c>
      <c r="CB2" t="s">
        <v>6</v>
      </c>
      <c r="CC2" t="s">
        <v>32</v>
      </c>
      <c r="CD2" t="s">
        <v>34</v>
      </c>
      <c r="CE2" t="s">
        <v>36</v>
      </c>
      <c r="CF2" t="s">
        <v>48</v>
      </c>
      <c r="CG2" t="s">
        <v>95</v>
      </c>
      <c r="CH2" t="s">
        <v>52</v>
      </c>
      <c r="CI2" t="s">
        <v>54</v>
      </c>
      <c r="CJ2" t="s">
        <v>56</v>
      </c>
      <c r="CK2" t="s">
        <v>58</v>
      </c>
      <c r="CL2" t="s">
        <v>61</v>
      </c>
      <c r="CM2" t="s">
        <v>63</v>
      </c>
      <c r="CN2" t="s">
        <v>65</v>
      </c>
      <c r="CO2" t="s">
        <v>67</v>
      </c>
      <c r="CP2" t="s">
        <v>69</v>
      </c>
      <c r="CQ2" s="25" t="s">
        <v>216</v>
      </c>
      <c r="DC2" t="s">
        <v>182</v>
      </c>
      <c r="DD2" t="s">
        <v>6</v>
      </c>
      <c r="DE2" t="s">
        <v>32</v>
      </c>
      <c r="DF2" t="s">
        <v>34</v>
      </c>
      <c r="DG2" t="s">
        <v>36</v>
      </c>
      <c r="DH2" t="s">
        <v>48</v>
      </c>
      <c r="DI2" t="s">
        <v>95</v>
      </c>
      <c r="DJ2" t="s">
        <v>52</v>
      </c>
      <c r="DK2" t="s">
        <v>54</v>
      </c>
      <c r="DL2" t="s">
        <v>56</v>
      </c>
      <c r="DM2" t="s">
        <v>58</v>
      </c>
      <c r="DN2" t="s">
        <v>61</v>
      </c>
      <c r="DO2" t="s">
        <v>63</v>
      </c>
      <c r="DP2" t="s">
        <v>65</v>
      </c>
      <c r="DQ2" t="s">
        <v>67</v>
      </c>
      <c r="DR2" t="s">
        <v>69</v>
      </c>
      <c r="DS2" t="s">
        <v>216</v>
      </c>
    </row>
    <row r="3" spans="1:124" x14ac:dyDescent="0.25">
      <c r="A3" t="s">
        <v>112</v>
      </c>
      <c r="B3" s="26">
        <v>36951</v>
      </c>
      <c r="C3">
        <v>1</v>
      </c>
      <c r="D3">
        <v>13.199791056517151</v>
      </c>
      <c r="E3">
        <v>199.52837605733433</v>
      </c>
      <c r="F3">
        <v>281.60570099685771</v>
      </c>
      <c r="G3">
        <v>133.71280718392575</v>
      </c>
      <c r="H3">
        <v>198.7689118563201</v>
      </c>
      <c r="I3">
        <v>487.04931301562647</v>
      </c>
      <c r="J3">
        <v>141.1687186771689</v>
      </c>
      <c r="K3">
        <v>247.87484388858741</v>
      </c>
      <c r="L3">
        <v>235.90066433634937</v>
      </c>
      <c r="M3">
        <v>48.212228617149172</v>
      </c>
      <c r="N3">
        <v>775.20191321194886</v>
      </c>
      <c r="O3">
        <v>47.18327011697761</v>
      </c>
      <c r="P3">
        <v>742.39913396725478</v>
      </c>
      <c r="Q3">
        <v>82.80683291170449</v>
      </c>
      <c r="R3">
        <v>590.43153450392276</v>
      </c>
      <c r="S3">
        <v>215.71717945035746</v>
      </c>
      <c r="T3">
        <v>448.2778702526661</v>
      </c>
      <c r="U3">
        <f>SUM(D3:T3)</f>
        <v>4889.0390901006676</v>
      </c>
      <c r="W3">
        <v>16.158446222761896</v>
      </c>
      <c r="X3">
        <v>585.03486366540403</v>
      </c>
      <c r="Y3">
        <v>508.22397736910142</v>
      </c>
      <c r="Z3">
        <v>353.47015415706664</v>
      </c>
      <c r="AA3">
        <v>168.17398895434258</v>
      </c>
      <c r="AB3">
        <v>749.73423944933199</v>
      </c>
      <c r="AC3">
        <v>173.21073835553167</v>
      </c>
      <c r="AD3">
        <v>137.03418727126117</v>
      </c>
      <c r="AE3">
        <v>159.45999780584805</v>
      </c>
      <c r="AF3">
        <v>62.213737835154149</v>
      </c>
      <c r="AG3">
        <v>642.89230100183113</v>
      </c>
      <c r="AH3">
        <v>86.617382913883489</v>
      </c>
      <c r="AI3">
        <v>358.63201762955606</v>
      </c>
      <c r="AJ3">
        <v>118.15075426898771</v>
      </c>
      <c r="AK3">
        <v>649.01618306136334</v>
      </c>
      <c r="AL3">
        <v>207.19495197560173</v>
      </c>
      <c r="AM3">
        <v>395.6418160987721</v>
      </c>
      <c r="AN3">
        <f>SUM(W3:AM3)</f>
        <v>5370.8597380357996</v>
      </c>
      <c r="AP3">
        <f t="shared" ref="AP3:BF3" si="0">D3/W3</f>
        <v>0.81689729783071718</v>
      </c>
      <c r="AQ3">
        <f t="shared" si="0"/>
        <v>0.34105382165984821</v>
      </c>
      <c r="AR3">
        <f t="shared" si="0"/>
        <v>0.55409762926698647</v>
      </c>
      <c r="AS3">
        <f t="shared" si="0"/>
        <v>0.37828598995237839</v>
      </c>
      <c r="AT3">
        <f t="shared" si="0"/>
        <v>1.181924226761867</v>
      </c>
      <c r="AU3">
        <f t="shared" si="0"/>
        <v>0.64962927846720264</v>
      </c>
      <c r="AV3">
        <f t="shared" si="0"/>
        <v>0.81501135563204252</v>
      </c>
      <c r="AW3">
        <f t="shared" si="0"/>
        <v>1.8088540445598114</v>
      </c>
      <c r="AX3">
        <f t="shared" si="0"/>
        <v>1.4793720530685843</v>
      </c>
      <c r="AY3">
        <f t="shared" si="0"/>
        <v>0.77494505706915806</v>
      </c>
      <c r="AZ3">
        <f t="shared" si="0"/>
        <v>1.2058036968306156</v>
      </c>
      <c r="BA3">
        <f t="shared" si="0"/>
        <v>0.54473211415182143</v>
      </c>
      <c r="BB3">
        <f t="shared" si="0"/>
        <v>2.0700860421617615</v>
      </c>
      <c r="BC3">
        <f t="shared" si="0"/>
        <v>0.70085742087758873</v>
      </c>
      <c r="BD3">
        <f t="shared" si="0"/>
        <v>0.90973314674358208</v>
      </c>
      <c r="BE3">
        <f t="shared" si="0"/>
        <v>1.0411314435679846</v>
      </c>
      <c r="BF3">
        <f t="shared" si="0"/>
        <v>1.1330396636859876</v>
      </c>
      <c r="BG3">
        <f t="shared" ref="BG3" si="1">U3/AN3</f>
        <v>0.9102898471686135</v>
      </c>
      <c r="BI3">
        <f t="shared" ref="BI3:BI34" si="2">W3/$AN3</f>
        <v>3.0085399751420936E-3</v>
      </c>
      <c r="BJ3">
        <f t="shared" ref="BJ3:BJ34" si="3">X3/$AN3</f>
        <v>0.10892760045887172</v>
      </c>
      <c r="BK3">
        <f t="shared" ref="BK3:BK34" si="4">Y3/$AN3</f>
        <v>9.4626186897028564E-2</v>
      </c>
      <c r="BL3">
        <f t="shared" ref="BL3:BL34" si="5">Z3/$AN3</f>
        <v>6.5812583347472739E-2</v>
      </c>
      <c r="BM3">
        <f t="shared" ref="BM3:BM34" si="6">AA3/$AN3</f>
        <v>3.1312303273041013E-2</v>
      </c>
      <c r="BN3">
        <f t="shared" ref="BN3:BN34" si="7">AB3/$AN3</f>
        <v>0.13959296574807231</v>
      </c>
      <c r="BO3">
        <f t="shared" ref="BO3:BO34" si="8">AC3/$AN3</f>
        <v>3.2250095292728188E-2</v>
      </c>
      <c r="BP3">
        <f t="shared" ref="BP3:BP34" si="9">AD3/$AN3</f>
        <v>2.551438576971227E-2</v>
      </c>
      <c r="BQ3">
        <f t="shared" ref="BQ3:BQ34" si="10">AE3/$AN3</f>
        <v>2.9689845868915737E-2</v>
      </c>
      <c r="BR3">
        <f t="shared" ref="BR3:BR34" si="11">AF3/$AN3</f>
        <v>1.1583571508033201E-2</v>
      </c>
      <c r="BS3">
        <f t="shared" ref="BS3:BS34" si="12">AG3/$AN3</f>
        <v>0.11970007268090491</v>
      </c>
      <c r="BT3">
        <f t="shared" ref="BT3:BT34" si="13">AH3/$AN3</f>
        <v>1.6127284483053863E-2</v>
      </c>
      <c r="BU3">
        <f t="shared" ref="BU3:BU34" si="14">AI3/$AN3</f>
        <v>6.6773670347368433E-2</v>
      </c>
      <c r="BV3">
        <f t="shared" ref="BV3:BV34" si="15">AJ3/$AN3</f>
        <v>2.1998480696164509E-2</v>
      </c>
      <c r="BW3">
        <f t="shared" ref="BW3:BW34" si="16">AK3/$AN3</f>
        <v>0.12084027785441998</v>
      </c>
      <c r="BX3">
        <f t="shared" ref="BX3:BX34" si="17">AL3/$AN3</f>
        <v>3.8577613656203186E-2</v>
      </c>
      <c r="BY3">
        <f t="shared" ref="BY3:BY34" si="18">AM3/$AN3</f>
        <v>7.36645221428672E-2</v>
      </c>
      <c r="BZ3" s="24" t="s">
        <v>237</v>
      </c>
      <c r="CA3">
        <f t="shared" ref="CA3:CA34" si="19">BI3*( (AP3/$BG3)^(1-$CB$1) )</f>
        <v>2.8500315436306828E-3</v>
      </c>
      <c r="CB3">
        <f t="shared" ref="CB3:CB34" si="20">BJ3*( (AQ3/$BG3)^(1-$CB$1) )</f>
        <v>6.6674466216643677E-2</v>
      </c>
      <c r="CC3">
        <f t="shared" ref="CC3:CC34" si="21">BK3*( (AR3/$BG3)^(1-$CB$1) )</f>
        <v>7.382690063415491E-2</v>
      </c>
      <c r="CD3">
        <f t="shared" ref="CD3:CD34" si="22">BL3*( (AS3/$BG3)^(1-$CB$1) )</f>
        <v>4.2425719639781596E-2</v>
      </c>
      <c r="CE3">
        <f t="shared" ref="CE3:CE34" si="23">BM3*( (AT3/$BG3)^(1-$CB$1) )</f>
        <v>3.5679600468672884E-2</v>
      </c>
      <c r="CF3">
        <f t="shared" ref="CF3:CF34" si="24">BN3*( (AU3/$BG3)^(1-$CB$1) )</f>
        <v>0.11792516154108494</v>
      </c>
      <c r="CG3">
        <f t="shared" ref="CG3:CG34" si="25">BO3*( (AV3/$BG3)^(1-$CB$1) )</f>
        <v>3.0515675127045765E-2</v>
      </c>
      <c r="CH3">
        <f t="shared" ref="CH3:CH34" si="26">BP3*( (AW3/$BG3)^(1-$CB$1) )</f>
        <v>3.5966405040479384E-2</v>
      </c>
      <c r="CI3">
        <f t="shared" ref="CI3:CI34" si="27">BQ3*( (AX3/$BG3)^(1-$CB$1) )</f>
        <v>3.784920820806096E-2</v>
      </c>
      <c r="CJ3">
        <f t="shared" ref="CJ3:CJ34" si="28">BR3*( (AY3/$BG3)^(1-$CB$1) )</f>
        <v>1.0687794401895439E-2</v>
      </c>
      <c r="CK3">
        <f t="shared" ref="CK3:CK34" si="29">BS3*( (AZ3/$BG3)^(1-$CB$1) )</f>
        <v>0.1377662605014241</v>
      </c>
      <c r="CL3">
        <f t="shared" ref="CL3:CL34" si="30">BT3*( (BA3/$BG3)^(1-$CB$1) )</f>
        <v>1.2475641523039167E-2</v>
      </c>
      <c r="CM3">
        <f t="shared" ref="CM3:CM34" si="31">BU3*( (BB3/$BG3)^(1-$CB$1) )</f>
        <v>0.100695392212987</v>
      </c>
      <c r="CN3">
        <f t="shared" ref="CN3:CN34" si="32">BV3*( (BC3/$BG3)^(1-$CB$1) )</f>
        <v>1.9302682904562572E-2</v>
      </c>
      <c r="CO3">
        <f t="shared" ref="CO3:CO34" si="33">BW3*( (BD3/$BG3)^(1-$CB$1) )</f>
        <v>0.12080332142639072</v>
      </c>
      <c r="CP3">
        <f t="shared" ref="CP3:CP34" si="34">BX3*( (BE3/$BG3)^(1-$CB$1) )</f>
        <v>4.1257061404477567E-2</v>
      </c>
      <c r="CQ3" s="25">
        <f t="shared" ref="CQ3:CQ34" si="35">BY3*( (BF3/$BG3)^(1-$CB$1) )</f>
        <v>8.2184720615956108E-2</v>
      </c>
      <c r="CR3">
        <f>SUM(CA3:CQ3)</f>
        <v>0.9688860434102875</v>
      </c>
      <c r="CS3">
        <f>1-CR3</f>
        <v>3.1113956589712499E-2</v>
      </c>
      <c r="DC3">
        <f>AP3/$BG3</f>
        <v>0.89740350325955343</v>
      </c>
      <c r="DD3">
        <f t="shared" ref="DD3:DS3" si="36">AQ3/$BG3</f>
        <v>0.37466508356725042</v>
      </c>
      <c r="DE3">
        <f t="shared" si="36"/>
        <v>0.60870461314103907</v>
      </c>
      <c r="DF3">
        <f t="shared" si="36"/>
        <v>0.41556652656185045</v>
      </c>
      <c r="DG3">
        <f t="shared" si="36"/>
        <v>1.2984042724832661</v>
      </c>
      <c r="DH3">
        <f t="shared" si="36"/>
        <v>0.71365102059286334</v>
      </c>
      <c r="DI3">
        <f t="shared" si="36"/>
        <v>0.89533169920226241</v>
      </c>
      <c r="DJ3">
        <f t="shared" si="36"/>
        <v>1.9871187734171842</v>
      </c>
      <c r="DK3">
        <f t="shared" si="36"/>
        <v>1.6251659377175931</v>
      </c>
      <c r="DL3">
        <f t="shared" si="36"/>
        <v>0.85131681901052181</v>
      </c>
      <c r="DM3">
        <f t="shared" si="36"/>
        <v>1.3246370928789057</v>
      </c>
      <c r="DN3">
        <f t="shared" si="36"/>
        <v>0.59841611531334638</v>
      </c>
      <c r="DO3">
        <f t="shared" si="36"/>
        <v>2.2740954967262401</v>
      </c>
      <c r="DP3">
        <f t="shared" si="36"/>
        <v>0.76992775768899524</v>
      </c>
      <c r="DQ3">
        <f t="shared" si="36"/>
        <v>0.99938843608245986</v>
      </c>
      <c r="DR3">
        <f t="shared" si="36"/>
        <v>1.143736192165983</v>
      </c>
      <c r="DS3">
        <f t="shared" si="36"/>
        <v>1.2447020772671697</v>
      </c>
      <c r="DT3">
        <v>3.25</v>
      </c>
    </row>
    <row r="4" spans="1:124" x14ac:dyDescent="0.25">
      <c r="A4" t="s">
        <v>113</v>
      </c>
      <c r="B4" s="26">
        <f>DATE(YEAR(B3),MONTH(B3)+3,1)</f>
        <v>37043</v>
      </c>
      <c r="C4">
        <v>1</v>
      </c>
      <c r="D4">
        <v>15.575813454417334</v>
      </c>
      <c r="E4">
        <v>218.42010248634764</v>
      </c>
      <c r="F4">
        <v>208.89134672261244</v>
      </c>
      <c r="G4">
        <v>102.14746961909084</v>
      </c>
      <c r="H4">
        <v>155.03999417816291</v>
      </c>
      <c r="I4">
        <v>457.31763342634969</v>
      </c>
      <c r="J4">
        <v>124.79252813938474</v>
      </c>
      <c r="K4">
        <v>134.24927841765316</v>
      </c>
      <c r="L4">
        <v>230.22734096087774</v>
      </c>
      <c r="M4">
        <v>48.081030951132391</v>
      </c>
      <c r="N4">
        <v>814.00950356712053</v>
      </c>
      <c r="O4">
        <v>57.489966029665688</v>
      </c>
      <c r="P4">
        <v>696.38209525196726</v>
      </c>
      <c r="Q4">
        <v>56.068320628406745</v>
      </c>
      <c r="R4">
        <v>485.04135599115716</v>
      </c>
      <c r="S4">
        <v>207.43516707784661</v>
      </c>
      <c r="T4">
        <v>482.77896176281502</v>
      </c>
      <c r="U4">
        <f t="shared" ref="U4:U52" si="37">SUM(D4:T4)</f>
        <v>4493.9479086650081</v>
      </c>
      <c r="W4">
        <v>27.395826329369669</v>
      </c>
      <c r="X4">
        <v>529.19961369142425</v>
      </c>
      <c r="Y4">
        <v>577.73101729656355</v>
      </c>
      <c r="Z4">
        <v>337.66953052671357</v>
      </c>
      <c r="AA4">
        <v>146.87997799580992</v>
      </c>
      <c r="AB4">
        <v>744.21152722278566</v>
      </c>
      <c r="AC4">
        <v>217.22072242430389</v>
      </c>
      <c r="AD4">
        <v>160.19367102587992</v>
      </c>
      <c r="AE4">
        <v>147.94187892623981</v>
      </c>
      <c r="AF4">
        <v>72.401715059954441</v>
      </c>
      <c r="AG4">
        <v>689.83995536357668</v>
      </c>
      <c r="AH4">
        <v>75.162761799696241</v>
      </c>
      <c r="AI4">
        <v>326.98303285432218</v>
      </c>
      <c r="AJ4">
        <v>87.078159159265965</v>
      </c>
      <c r="AK4">
        <v>677.08594751596695</v>
      </c>
      <c r="AL4">
        <v>215.63444484219431</v>
      </c>
      <c r="AM4">
        <v>431.17450032743727</v>
      </c>
      <c r="AN4">
        <f t="shared" ref="AN4:AN53" si="38">SUM(W4:AM4)</f>
        <v>5463.8042823615042</v>
      </c>
      <c r="AP4">
        <f t="shared" ref="AP4:AP52" si="39">D4/W4</f>
        <v>0.56854694825245322</v>
      </c>
      <c r="AQ4">
        <f t="shared" ref="AQ4:AQ52" si="40">E4/X4</f>
        <v>0.41273670054813794</v>
      </c>
      <c r="AR4">
        <f t="shared" ref="AR4:AR52" si="41">F4/Y4</f>
        <v>0.36157197808090574</v>
      </c>
      <c r="AS4">
        <f t="shared" ref="AS4:AS52" si="42">G4/Z4</f>
        <v>0.30250721603384284</v>
      </c>
      <c r="AT4">
        <f t="shared" ref="AT4:AT52" si="43">H4/AA4</f>
        <v>1.0555556740523597</v>
      </c>
      <c r="AU4">
        <f t="shared" ref="AU4:AU52" si="44">I4/AB4</f>
        <v>0.61449952963366017</v>
      </c>
      <c r="AV4">
        <f t="shared" ref="AV4:AV52" si="45">J4/AC4</f>
        <v>0.57449642348405272</v>
      </c>
      <c r="AW4">
        <f t="shared" ref="AW4:AW52" si="46">K4/AD4</f>
        <v>0.83804358535465895</v>
      </c>
      <c r="AX4">
        <f t="shared" ref="AX4:AX52" si="47">L4/AE4</f>
        <v>1.5562012773655758</v>
      </c>
      <c r="AY4">
        <f t="shared" ref="AY4:AY52" si="48">M4/AF4</f>
        <v>0.66408690610874943</v>
      </c>
      <c r="AZ4">
        <f t="shared" ref="AZ4:AZ52" si="49">N4/AG4</f>
        <v>1.1799976171836857</v>
      </c>
      <c r="BA4">
        <f t="shared" ref="BA4:BA52" si="50">O4/AH4</f>
        <v>0.76487298567969897</v>
      </c>
      <c r="BB4">
        <f t="shared" ref="BB4:BB52" si="51">P4/AI4</f>
        <v>2.1297193593596035</v>
      </c>
      <c r="BC4">
        <f t="shared" ref="BC4:BC52" si="52">Q4/AJ4</f>
        <v>0.64388500135674409</v>
      </c>
      <c r="BD4">
        <f t="shared" ref="BD4:BD52" si="53">R4/AK4</f>
        <v>0.71636600607446366</v>
      </c>
      <c r="BE4">
        <f t="shared" ref="BE4:BE52" si="54">S4/AL4</f>
        <v>0.9619760295237243</v>
      </c>
      <c r="BF4">
        <f t="shared" ref="BF4:BF52" si="55">T4/AM4</f>
        <v>1.1196834724599645</v>
      </c>
      <c r="BG4">
        <f t="shared" ref="BG4:BG52" si="56">U4/AN4</f>
        <v>0.82249430551027791</v>
      </c>
      <c r="BI4">
        <f t="shared" si="2"/>
        <v>5.0140570404049968E-3</v>
      </c>
      <c r="BJ4">
        <f t="shared" si="3"/>
        <v>9.685552160054671E-2</v>
      </c>
      <c r="BK4">
        <f t="shared" si="4"/>
        <v>0.10573786823983071</v>
      </c>
      <c r="BL4">
        <f t="shared" si="5"/>
        <v>6.180117608106743E-2</v>
      </c>
      <c r="BM4">
        <f t="shared" si="6"/>
        <v>2.6882364448883062E-2</v>
      </c>
      <c r="BN4">
        <f t="shared" si="7"/>
        <v>0.1362075742034323</v>
      </c>
      <c r="BO4">
        <f t="shared" si="8"/>
        <v>3.9756314684540488E-2</v>
      </c>
      <c r="BP4">
        <f t="shared" si="9"/>
        <v>2.9319071977564105E-2</v>
      </c>
      <c r="BQ4">
        <f t="shared" si="10"/>
        <v>2.7076716383094532E-2</v>
      </c>
      <c r="BR4">
        <f t="shared" si="11"/>
        <v>1.3251154565269638E-2</v>
      </c>
      <c r="BS4">
        <f t="shared" si="12"/>
        <v>0.12625634442846875</v>
      </c>
      <c r="BT4">
        <f t="shared" si="13"/>
        <v>1.3756488687257706E-2</v>
      </c>
      <c r="BU4">
        <f t="shared" si="14"/>
        <v>5.9845304838224776E-2</v>
      </c>
      <c r="BV4">
        <f t="shared" si="15"/>
        <v>1.5937276421187991E-2</v>
      </c>
      <c r="BW4">
        <f t="shared" si="16"/>
        <v>0.12392207197131234</v>
      </c>
      <c r="BX4">
        <f t="shared" si="17"/>
        <v>3.9465989940070695E-2</v>
      </c>
      <c r="BY4">
        <f t="shared" si="18"/>
        <v>7.8914704488843787E-2</v>
      </c>
      <c r="BZ4" s="24" t="s">
        <v>238</v>
      </c>
      <c r="CA4">
        <f t="shared" si="19"/>
        <v>4.1687512999610309E-3</v>
      </c>
      <c r="CB4">
        <f t="shared" si="20"/>
        <v>6.8611115206282616E-2</v>
      </c>
      <c r="CC4">
        <f t="shared" si="21"/>
        <v>7.0107016112717122E-2</v>
      </c>
      <c r="CD4">
        <f t="shared" si="22"/>
        <v>3.7479877202988683E-2</v>
      </c>
      <c r="CE4">
        <f t="shared" si="23"/>
        <v>3.0453806713349209E-2</v>
      </c>
      <c r="CF4">
        <f t="shared" si="24"/>
        <v>0.11773228847432674</v>
      </c>
      <c r="CG4">
        <f t="shared" si="25"/>
        <v>3.3226403459448543E-2</v>
      </c>
      <c r="CH4">
        <f t="shared" si="26"/>
        <v>2.9594913357618581E-2</v>
      </c>
      <c r="CI4">
        <f t="shared" si="27"/>
        <v>3.7244524134528202E-2</v>
      </c>
      <c r="CJ4">
        <f t="shared" si="28"/>
        <v>1.1906928026683538E-2</v>
      </c>
      <c r="CK4">
        <f t="shared" si="29"/>
        <v>0.15122629982190816</v>
      </c>
      <c r="CL4">
        <f t="shared" si="30"/>
        <v>1.3265872126172841E-2</v>
      </c>
      <c r="CM4">
        <f t="shared" si="31"/>
        <v>9.6299675336582499E-2</v>
      </c>
      <c r="CN4">
        <f t="shared" si="32"/>
        <v>1.410106159749528E-2</v>
      </c>
      <c r="CO4">
        <f t="shared" si="33"/>
        <v>0.11565108213318714</v>
      </c>
      <c r="CP4">
        <f t="shared" si="34"/>
        <v>4.2681401946246263E-2</v>
      </c>
      <c r="CQ4" s="25">
        <f t="shared" si="35"/>
        <v>9.2074446857402292E-2</v>
      </c>
      <c r="CR4">
        <f t="shared" ref="CR4:CR52" si="57">SUM(CA4:CQ4)</f>
        <v>0.96582546380689871</v>
      </c>
      <c r="CS4">
        <f t="shared" ref="CS4:CS52" si="58">1-CR4</f>
        <v>3.417453619310129E-2</v>
      </c>
      <c r="DC4">
        <f t="shared" ref="DC4:DC52" si="59">AP4/$BG4</f>
        <v>0.69124727605223357</v>
      </c>
      <c r="DD4">
        <f t="shared" ref="DD4:DD52" si="60">AQ4/$BG4</f>
        <v>0.50181101289458152</v>
      </c>
      <c r="DE4">
        <f t="shared" ref="DE4:DE52" si="61">AR4/$BG4</f>
        <v>0.43960423270843851</v>
      </c>
      <c r="DF4">
        <f t="shared" ref="DF4:DF52" si="62">AS4/$BG4</f>
        <v>0.36779247468001186</v>
      </c>
      <c r="DG4">
        <f t="shared" ref="DG4:DG52" si="63">AT4/$BG4</f>
        <v>1.2833592487883425</v>
      </c>
      <c r="DH4">
        <f t="shared" ref="DH4:DH52" si="64">AU4/$BG4</f>
        <v>0.74711706271622491</v>
      </c>
      <c r="DI4">
        <f t="shared" ref="DI4:DI52" si="65">AV4/$BG4</f>
        <v>0.69848073066917271</v>
      </c>
      <c r="DJ4">
        <f t="shared" ref="DJ4:DJ52" si="66">AW4/$BG4</f>
        <v>1.0189050303937779</v>
      </c>
      <c r="DK4">
        <f t="shared" ref="DK4:DK52" si="67">AX4/$BG4</f>
        <v>1.8920511266033677</v>
      </c>
      <c r="DL4">
        <f t="shared" ref="DL4:DL52" si="68">AY4/$BG4</f>
        <v>0.80740608373786604</v>
      </c>
      <c r="DM4">
        <f t="shared" ref="DM4:DM52" si="69">AZ4/$BG4</f>
        <v>1.4346574915817947</v>
      </c>
      <c r="DN4">
        <f t="shared" ref="DN4:DN52" si="70">BA4/$BG4</f>
        <v>0.9299431990658823</v>
      </c>
      <c r="DO4">
        <f t="shared" ref="DO4:DO52" si="71">BB4/$BG4</f>
        <v>2.5893423761010959</v>
      </c>
      <c r="DP4">
        <f t="shared" ref="DP4:DP52" si="72">BC4/$BG4</f>
        <v>0.78284432736257781</v>
      </c>
      <c r="DQ4">
        <f t="shared" ref="DQ4:DQ52" si="73">BD4/$BG4</f>
        <v>0.8709677395638965</v>
      </c>
      <c r="DR4">
        <f t="shared" ref="DR4:DR52" si="74">BE4/$BG4</f>
        <v>1.1695838172726454</v>
      </c>
      <c r="DS4">
        <f t="shared" ref="DS4:DS52" si="75">BF4/$BG4</f>
        <v>1.3613267167428102</v>
      </c>
      <c r="DT4">
        <v>3.25</v>
      </c>
    </row>
    <row r="5" spans="1:124" x14ac:dyDescent="0.25">
      <c r="A5" t="s">
        <v>114</v>
      </c>
      <c r="B5" s="26">
        <f t="shared" ref="B5:B53" si="76">DATE(YEAR(B4),MONTH(B4)+3,1)</f>
        <v>37135</v>
      </c>
      <c r="C5">
        <v>1</v>
      </c>
      <c r="D5">
        <v>14.929381122442123</v>
      </c>
      <c r="E5">
        <v>138.96551438627583</v>
      </c>
      <c r="F5">
        <v>170.46534017146189</v>
      </c>
      <c r="G5">
        <v>114.20978780072846</v>
      </c>
      <c r="H5">
        <v>107.09874253601406</v>
      </c>
      <c r="I5">
        <v>371.46314186435239</v>
      </c>
      <c r="J5">
        <v>120.52718926686316</v>
      </c>
      <c r="K5">
        <v>101.14541596588627</v>
      </c>
      <c r="L5">
        <v>201.34138522271618</v>
      </c>
      <c r="M5">
        <v>61.48798023635544</v>
      </c>
      <c r="N5">
        <v>614.19831223409597</v>
      </c>
      <c r="O5">
        <v>49.264252474883563</v>
      </c>
      <c r="P5">
        <v>730.85056127473138</v>
      </c>
      <c r="Q5">
        <v>72.222121358807115</v>
      </c>
      <c r="R5">
        <v>504.82304012780065</v>
      </c>
      <c r="S5">
        <v>266.11942908590026</v>
      </c>
      <c r="T5">
        <v>429.71781299134801</v>
      </c>
      <c r="U5">
        <f t="shared" si="37"/>
        <v>4068.8294081206627</v>
      </c>
      <c r="W5">
        <v>20.955934182333447</v>
      </c>
      <c r="X5">
        <v>584.72440057343101</v>
      </c>
      <c r="Y5">
        <v>671.38194793760704</v>
      </c>
      <c r="Z5">
        <v>379.70318330320191</v>
      </c>
      <c r="AA5">
        <v>159.59447922468311</v>
      </c>
      <c r="AB5">
        <v>740.20451044769879</v>
      </c>
      <c r="AC5">
        <v>230.81800890594945</v>
      </c>
      <c r="AD5">
        <v>206.92014641980882</v>
      </c>
      <c r="AE5">
        <v>186.40060619645087</v>
      </c>
      <c r="AF5">
        <v>84.096697229815447</v>
      </c>
      <c r="AG5">
        <v>798.49444562964447</v>
      </c>
      <c r="AH5">
        <v>103.92404946350173</v>
      </c>
      <c r="AI5">
        <v>366.47405404643661</v>
      </c>
      <c r="AJ5">
        <v>144.55057471545445</v>
      </c>
      <c r="AK5">
        <v>703.37911412688061</v>
      </c>
      <c r="AL5">
        <v>225.58224821251667</v>
      </c>
      <c r="AM5">
        <v>417.58212875225354</v>
      </c>
      <c r="AN5">
        <f t="shared" si="38"/>
        <v>6024.7865293676678</v>
      </c>
      <c r="AP5">
        <f t="shared" si="39"/>
        <v>0.71241782840815038</v>
      </c>
      <c r="AQ5">
        <f t="shared" si="40"/>
        <v>0.2376598518036776</v>
      </c>
      <c r="AR5">
        <f t="shared" si="41"/>
        <v>0.25390217996642295</v>
      </c>
      <c r="AS5">
        <f t="shared" si="42"/>
        <v>0.30078701686714399</v>
      </c>
      <c r="AT5">
        <f t="shared" si="43"/>
        <v>0.67106796586137807</v>
      </c>
      <c r="AU5">
        <f t="shared" si="44"/>
        <v>0.50183852789505412</v>
      </c>
      <c r="AV5">
        <f t="shared" si="45"/>
        <v>0.52217411387503099</v>
      </c>
      <c r="AW5">
        <f t="shared" si="46"/>
        <v>0.48881376567691937</v>
      </c>
      <c r="AX5">
        <f t="shared" si="47"/>
        <v>1.0801541332463209</v>
      </c>
      <c r="AY5">
        <f t="shared" si="48"/>
        <v>0.73115808660504245</v>
      </c>
      <c r="AZ5">
        <f t="shared" si="49"/>
        <v>0.76919547229884144</v>
      </c>
      <c r="BA5">
        <f t="shared" si="50"/>
        <v>0.47404092439820905</v>
      </c>
      <c r="BB5">
        <f t="shared" si="51"/>
        <v>1.9942764111265676</v>
      </c>
      <c r="BC5">
        <f t="shared" si="52"/>
        <v>0.49963219794162173</v>
      </c>
      <c r="BD5">
        <f t="shared" si="53"/>
        <v>0.71771116029575055</v>
      </c>
      <c r="BE5">
        <f t="shared" si="54"/>
        <v>1.1797002255035347</v>
      </c>
      <c r="BF5">
        <f t="shared" si="55"/>
        <v>1.029061790252749</v>
      </c>
      <c r="BG5">
        <f t="shared" si="56"/>
        <v>0.67534831122849881</v>
      </c>
      <c r="BI5">
        <f t="shared" si="2"/>
        <v>3.4782865882773246E-3</v>
      </c>
      <c r="BJ5">
        <f t="shared" si="3"/>
        <v>9.705313171233651E-2</v>
      </c>
      <c r="BK5">
        <f t="shared" si="4"/>
        <v>0.11143663674471667</v>
      </c>
      <c r="BL5">
        <f t="shared" si="5"/>
        <v>6.3023508211012699E-2</v>
      </c>
      <c r="BM5">
        <f t="shared" si="6"/>
        <v>2.6489648794483241E-2</v>
      </c>
      <c r="BN5">
        <f t="shared" si="7"/>
        <v>0.12285987343113168</v>
      </c>
      <c r="BO5">
        <f t="shared" si="8"/>
        <v>3.831140037590261E-2</v>
      </c>
      <c r="BP5">
        <f t="shared" si="9"/>
        <v>3.4344809631209644E-2</v>
      </c>
      <c r="BQ5">
        <f t="shared" si="10"/>
        <v>3.0938956141905755E-2</v>
      </c>
      <c r="BR5">
        <f t="shared" si="11"/>
        <v>1.395845260572939E-2</v>
      </c>
      <c r="BS5">
        <f t="shared" si="12"/>
        <v>0.1325348942634571</v>
      </c>
      <c r="BT5">
        <f t="shared" si="13"/>
        <v>1.7249416050996433E-2</v>
      </c>
      <c r="BU5">
        <f t="shared" si="14"/>
        <v>6.0827724311901872E-2</v>
      </c>
      <c r="BV5">
        <f t="shared" si="15"/>
        <v>2.3992646712185796E-2</v>
      </c>
      <c r="BW5">
        <f t="shared" si="16"/>
        <v>0.1167475578924294</v>
      </c>
      <c r="BX5">
        <f t="shared" si="17"/>
        <v>3.7442363661006374E-2</v>
      </c>
      <c r="BY5">
        <f t="shared" si="18"/>
        <v>6.9310692871317539E-2</v>
      </c>
      <c r="BZ5" s="24" t="s">
        <v>239</v>
      </c>
      <c r="CA5">
        <f t="shared" si="19"/>
        <v>3.5724720749054002E-3</v>
      </c>
      <c r="CB5">
        <f t="shared" si="20"/>
        <v>5.7573622470618376E-2</v>
      </c>
      <c r="CC5">
        <f t="shared" si="21"/>
        <v>6.8327778651711704E-2</v>
      </c>
      <c r="CD5">
        <f t="shared" si="22"/>
        <v>4.2059897377098567E-2</v>
      </c>
      <c r="CE5">
        <f t="shared" si="23"/>
        <v>2.6405569902910164E-2</v>
      </c>
      <c r="CF5">
        <f t="shared" si="24"/>
        <v>0.10590785075504434</v>
      </c>
      <c r="CG5">
        <f t="shared" si="25"/>
        <v>3.3687733045478438E-2</v>
      </c>
      <c r="CH5">
        <f t="shared" si="26"/>
        <v>2.9219240176065281E-2</v>
      </c>
      <c r="CI5">
        <f t="shared" si="27"/>
        <v>3.9127726454804869E-2</v>
      </c>
      <c r="CJ5">
        <f t="shared" si="28"/>
        <v>1.4523758237331407E-2</v>
      </c>
      <c r="CK5">
        <f t="shared" si="29"/>
        <v>0.14144405108550856</v>
      </c>
      <c r="CL5">
        <f t="shared" si="30"/>
        <v>1.4451682326492887E-2</v>
      </c>
      <c r="CM5">
        <f t="shared" si="31"/>
        <v>0.10452744525840668</v>
      </c>
      <c r="CN5">
        <f t="shared" si="32"/>
        <v>2.0636662377259325E-2</v>
      </c>
      <c r="CO5">
        <f t="shared" si="33"/>
        <v>0.12035350580843079</v>
      </c>
      <c r="CP5">
        <f t="shared" si="34"/>
        <v>4.9486322283171437E-2</v>
      </c>
      <c r="CQ5" s="25">
        <f t="shared" si="35"/>
        <v>8.5557297424044845E-2</v>
      </c>
      <c r="CR5">
        <f t="shared" si="57"/>
        <v>0.95686261570928299</v>
      </c>
      <c r="CS5">
        <f t="shared" si="58"/>
        <v>4.3137384290717007E-2</v>
      </c>
      <c r="DC5">
        <f t="shared" si="59"/>
        <v>1.0548894793446952</v>
      </c>
      <c r="DD5">
        <f t="shared" si="60"/>
        <v>0.35190707943188632</v>
      </c>
      <c r="DE5">
        <f t="shared" si="61"/>
        <v>0.3759573774672802</v>
      </c>
      <c r="DF5">
        <f t="shared" si="62"/>
        <v>0.44538057157497662</v>
      </c>
      <c r="DG5">
        <f t="shared" si="63"/>
        <v>0.99366201810835275</v>
      </c>
      <c r="DH5">
        <f t="shared" si="64"/>
        <v>0.7430810435909434</v>
      </c>
      <c r="DI5">
        <f t="shared" si="65"/>
        <v>0.77319229972629255</v>
      </c>
      <c r="DJ5">
        <f t="shared" si="66"/>
        <v>0.7237950514568372</v>
      </c>
      <c r="DK5">
        <f t="shared" si="67"/>
        <v>1.5994030269824118</v>
      </c>
      <c r="DL5">
        <f t="shared" si="68"/>
        <v>1.0826385058622896</v>
      </c>
      <c r="DM5">
        <f t="shared" si="69"/>
        <v>1.138961124963249</v>
      </c>
      <c r="DN5">
        <f t="shared" si="70"/>
        <v>0.70192064822950451</v>
      </c>
      <c r="DO5">
        <f t="shared" si="71"/>
        <v>2.952959795662863</v>
      </c>
      <c r="DP5">
        <f t="shared" si="72"/>
        <v>0.73981409242404261</v>
      </c>
      <c r="DQ5">
        <f t="shared" si="73"/>
        <v>1.0627274080099367</v>
      </c>
      <c r="DR5">
        <f t="shared" si="74"/>
        <v>1.7468026585534651</v>
      </c>
      <c r="DS5">
        <f t="shared" si="75"/>
        <v>1.5237497053643687</v>
      </c>
      <c r="DT5">
        <v>3.25</v>
      </c>
    </row>
    <row r="6" spans="1:124" x14ac:dyDescent="0.25">
      <c r="A6" t="s">
        <v>115</v>
      </c>
      <c r="B6" s="26">
        <f t="shared" si="76"/>
        <v>37226</v>
      </c>
      <c r="C6">
        <v>1</v>
      </c>
      <c r="D6">
        <v>11.327448242658065</v>
      </c>
      <c r="E6">
        <v>125.09977580873762</v>
      </c>
      <c r="F6">
        <v>133.63030684085226</v>
      </c>
      <c r="G6">
        <v>91.395212735527707</v>
      </c>
      <c r="H6">
        <v>89.189712035320838</v>
      </c>
      <c r="I6">
        <v>348.23718817263398</v>
      </c>
      <c r="J6">
        <v>113.8893422055279</v>
      </c>
      <c r="K6">
        <v>79.797590938551494</v>
      </c>
      <c r="L6">
        <v>171.31954911698188</v>
      </c>
      <c r="M6">
        <v>48.628098653618537</v>
      </c>
      <c r="N6">
        <v>540.01733294360463</v>
      </c>
      <c r="O6">
        <v>39.578802338172061</v>
      </c>
      <c r="P6">
        <v>664.70486917723406</v>
      </c>
      <c r="Q6">
        <v>62.427342129903707</v>
      </c>
      <c r="R6">
        <v>397.77485282568932</v>
      </c>
      <c r="S6">
        <v>189.77876258441526</v>
      </c>
      <c r="T6">
        <v>417.8305560047736</v>
      </c>
      <c r="U6">
        <f t="shared" si="37"/>
        <v>3524.6267427542025</v>
      </c>
      <c r="W6">
        <v>27.694534729754071</v>
      </c>
      <c r="X6">
        <v>689.49552422944635</v>
      </c>
      <c r="Y6">
        <v>771.26824487681813</v>
      </c>
      <c r="Z6">
        <v>377.07678933087374</v>
      </c>
      <c r="AA6">
        <v>189.78363801856233</v>
      </c>
      <c r="AB6">
        <v>886.99047705375142</v>
      </c>
      <c r="AC6">
        <v>335.40732462691358</v>
      </c>
      <c r="AD6">
        <v>256.01811725121973</v>
      </c>
      <c r="AE6">
        <v>228.77457292749475</v>
      </c>
      <c r="AF6">
        <v>68.752376831440117</v>
      </c>
      <c r="AG6">
        <v>952.83392898671889</v>
      </c>
      <c r="AH6">
        <v>90.127035705233354</v>
      </c>
      <c r="AI6">
        <v>427.26720654061756</v>
      </c>
      <c r="AJ6">
        <v>169.98172700436496</v>
      </c>
      <c r="AK6">
        <v>786.19981526133733</v>
      </c>
      <c r="AL6">
        <v>266.77711238513496</v>
      </c>
      <c r="AM6">
        <v>456.78917421285769</v>
      </c>
      <c r="AN6">
        <f t="shared" si="38"/>
        <v>6981.23759997254</v>
      </c>
      <c r="AP6">
        <f t="shared" si="39"/>
        <v>0.40901384887640801</v>
      </c>
      <c r="AQ6">
        <f t="shared" si="40"/>
        <v>0.18143667567464533</v>
      </c>
      <c r="AR6">
        <f t="shared" si="41"/>
        <v>0.17326048068035629</v>
      </c>
      <c r="AS6">
        <f t="shared" si="42"/>
        <v>0.24237825111884867</v>
      </c>
      <c r="AT6">
        <f t="shared" si="43"/>
        <v>0.46995469665618583</v>
      </c>
      <c r="AU6">
        <f t="shared" si="44"/>
        <v>0.39260532912297647</v>
      </c>
      <c r="AV6">
        <f t="shared" si="45"/>
        <v>0.33955532227035107</v>
      </c>
      <c r="AW6">
        <f t="shared" si="46"/>
        <v>0.31168728133505291</v>
      </c>
      <c r="AX6">
        <f t="shared" si="47"/>
        <v>0.74885747539468894</v>
      </c>
      <c r="AY6">
        <f t="shared" si="48"/>
        <v>0.70729334598627502</v>
      </c>
      <c r="AZ6">
        <f t="shared" si="49"/>
        <v>0.56674863952197874</v>
      </c>
      <c r="BA6">
        <f t="shared" si="50"/>
        <v>0.4391446143598603</v>
      </c>
      <c r="BB6">
        <f t="shared" si="51"/>
        <v>1.555712348155708</v>
      </c>
      <c r="BC6">
        <f t="shared" si="52"/>
        <v>0.36725913561462192</v>
      </c>
      <c r="BD6">
        <f t="shared" si="53"/>
        <v>0.50594625577909436</v>
      </c>
      <c r="BE6">
        <f t="shared" si="54"/>
        <v>0.71137572817880868</v>
      </c>
      <c r="BF6">
        <f t="shared" si="55"/>
        <v>0.91471203695836734</v>
      </c>
      <c r="BG6">
        <f t="shared" si="56"/>
        <v>0.50487133438461773</v>
      </c>
      <c r="BI6">
        <f t="shared" si="2"/>
        <v>3.9669950110082204E-3</v>
      </c>
      <c r="BJ6">
        <f t="shared" si="3"/>
        <v>9.8764082206879544E-2</v>
      </c>
      <c r="BK6">
        <f t="shared" si="4"/>
        <v>0.11047729486815516</v>
      </c>
      <c r="BL6">
        <f t="shared" si="5"/>
        <v>5.4012885814451711E-2</v>
      </c>
      <c r="BM6">
        <f t="shared" si="6"/>
        <v>2.7184812907572267E-2</v>
      </c>
      <c r="BN6">
        <f t="shared" si="7"/>
        <v>0.127053472160472</v>
      </c>
      <c r="BO6">
        <f t="shared" si="8"/>
        <v>4.8044106768151379E-2</v>
      </c>
      <c r="BP6">
        <f t="shared" si="9"/>
        <v>3.6672311117476757E-2</v>
      </c>
      <c r="BQ6">
        <f t="shared" si="10"/>
        <v>3.2769916458422012E-2</v>
      </c>
      <c r="BR6">
        <f t="shared" si="11"/>
        <v>9.8481645763940969E-3</v>
      </c>
      <c r="BS6">
        <f t="shared" si="12"/>
        <v>0.13648495919841874</v>
      </c>
      <c r="BT6">
        <f t="shared" si="13"/>
        <v>1.2909893756600958E-2</v>
      </c>
      <c r="BU6">
        <f t="shared" si="14"/>
        <v>6.1202215283762608E-2</v>
      </c>
      <c r="BV6">
        <f t="shared" si="15"/>
        <v>2.4348365826287528E-2</v>
      </c>
      <c r="BW6">
        <f t="shared" si="16"/>
        <v>0.1126161091071345</v>
      </c>
      <c r="BX6">
        <f t="shared" si="17"/>
        <v>3.8213441179280917E-2</v>
      </c>
      <c r="BY6">
        <f t="shared" si="18"/>
        <v>6.5430973759531469E-2</v>
      </c>
      <c r="BZ6" s="24" t="s">
        <v>240</v>
      </c>
      <c r="CA6">
        <f t="shared" si="19"/>
        <v>3.5705926310211611E-3</v>
      </c>
      <c r="CB6">
        <f t="shared" si="20"/>
        <v>5.9206749118338238E-2</v>
      </c>
      <c r="CC6">
        <f t="shared" si="21"/>
        <v>6.4719094539501337E-2</v>
      </c>
      <c r="CD6">
        <f t="shared" si="22"/>
        <v>3.742431403631049E-2</v>
      </c>
      <c r="CE6">
        <f t="shared" si="23"/>
        <v>2.622792837809361E-2</v>
      </c>
      <c r="CF6">
        <f t="shared" si="24"/>
        <v>0.11204030354112322</v>
      </c>
      <c r="CG6">
        <f t="shared" si="25"/>
        <v>3.940079982562994E-2</v>
      </c>
      <c r="CH6">
        <f t="shared" si="26"/>
        <v>2.8814259582874185E-2</v>
      </c>
      <c r="CI6">
        <f t="shared" si="27"/>
        <v>3.9910260495492102E-2</v>
      </c>
      <c r="CJ6">
        <f t="shared" si="28"/>
        <v>1.1656407652233006E-2</v>
      </c>
      <c r="CK6">
        <f t="shared" si="29"/>
        <v>0.14460712137046791</v>
      </c>
      <c r="CL6">
        <f t="shared" si="30"/>
        <v>1.2040266290973014E-2</v>
      </c>
      <c r="CM6">
        <f t="shared" si="31"/>
        <v>0.10743392316129476</v>
      </c>
      <c r="CN6">
        <f t="shared" si="32"/>
        <v>2.076661759151165E-2</v>
      </c>
      <c r="CO6">
        <f t="shared" si="33"/>
        <v>0.11273593082365949</v>
      </c>
      <c r="CP6">
        <f t="shared" si="34"/>
        <v>4.5360236834246039E-2</v>
      </c>
      <c r="CQ6" s="25">
        <f t="shared" si="35"/>
        <v>8.8071465737106086E-2</v>
      </c>
      <c r="CR6">
        <f t="shared" si="57"/>
        <v>0.95398627160987637</v>
      </c>
      <c r="CS6">
        <f t="shared" si="58"/>
        <v>4.6013728390123632E-2</v>
      </c>
      <c r="DC6">
        <f t="shared" si="59"/>
        <v>0.81013482251859403</v>
      </c>
      <c r="DD6">
        <f t="shared" si="60"/>
        <v>0.35937210793676089</v>
      </c>
      <c r="DE6">
        <f t="shared" si="61"/>
        <v>0.34317749668148945</v>
      </c>
      <c r="DF6">
        <f t="shared" si="62"/>
        <v>0.4800792491304362</v>
      </c>
      <c r="DG6">
        <f t="shared" si="63"/>
        <v>0.93084052242539894</v>
      </c>
      <c r="DH6">
        <f t="shared" si="64"/>
        <v>0.77763442363294188</v>
      </c>
      <c r="DI6">
        <f t="shared" si="65"/>
        <v>0.67255813341874804</v>
      </c>
      <c r="DJ6">
        <f t="shared" si="66"/>
        <v>0.61735983033175212</v>
      </c>
      <c r="DK6">
        <f t="shared" si="67"/>
        <v>1.4832640009309763</v>
      </c>
      <c r="DL6">
        <f t="shared" si="68"/>
        <v>1.4009378188373227</v>
      </c>
      <c r="DM6">
        <f t="shared" si="69"/>
        <v>1.1225605434952701</v>
      </c>
      <c r="DN6">
        <f t="shared" si="70"/>
        <v>0.8698149101594943</v>
      </c>
      <c r="DO6">
        <f t="shared" si="71"/>
        <v>3.0814036016759578</v>
      </c>
      <c r="DP6">
        <f t="shared" si="72"/>
        <v>0.72743115047771556</v>
      </c>
      <c r="DQ6">
        <f t="shared" si="73"/>
        <v>1.002129099676033</v>
      </c>
      <c r="DR6">
        <f t="shared" si="74"/>
        <v>1.4090238041458563</v>
      </c>
      <c r="DS6">
        <f t="shared" si="75"/>
        <v>1.8117725738445818</v>
      </c>
      <c r="DT6">
        <v>3.25</v>
      </c>
    </row>
    <row r="7" spans="1:124" x14ac:dyDescent="0.25">
      <c r="A7" t="s">
        <v>116</v>
      </c>
      <c r="B7" s="26">
        <f t="shared" si="76"/>
        <v>37316</v>
      </c>
      <c r="D7">
        <v>10.850911790838261</v>
      </c>
      <c r="E7">
        <v>108.9913611433962</v>
      </c>
      <c r="F7">
        <v>144.18498726831774</v>
      </c>
      <c r="G7">
        <v>101.85095631533734</v>
      </c>
      <c r="H7">
        <v>115.08586871454948</v>
      </c>
      <c r="I7">
        <v>349.18389005860837</v>
      </c>
      <c r="J7">
        <v>84.219997997407688</v>
      </c>
      <c r="K7">
        <v>92.405660334344702</v>
      </c>
      <c r="L7">
        <v>190.96536031799928</v>
      </c>
      <c r="M7">
        <v>48.240304705663988</v>
      </c>
      <c r="N7">
        <v>531.40705905673337</v>
      </c>
      <c r="O7">
        <v>60.188008847934093</v>
      </c>
      <c r="P7">
        <v>682.81394226875</v>
      </c>
      <c r="Q7">
        <v>65.310228897544974</v>
      </c>
      <c r="R7">
        <v>342.00034403504509</v>
      </c>
      <c r="S7">
        <v>146.61272347117492</v>
      </c>
      <c r="T7">
        <v>409.10855659966484</v>
      </c>
      <c r="U7">
        <f t="shared" si="37"/>
        <v>3483.4201618233101</v>
      </c>
      <c r="W7">
        <v>29.353245116791879</v>
      </c>
      <c r="X7">
        <v>819.59488556890062</v>
      </c>
      <c r="Y7">
        <v>834.9152021298205</v>
      </c>
      <c r="Z7">
        <v>423.53620312248336</v>
      </c>
      <c r="AA7">
        <v>185.14162057644839</v>
      </c>
      <c r="AB7">
        <v>984.8655845716263</v>
      </c>
      <c r="AC7">
        <v>304.11598478582101</v>
      </c>
      <c r="AD7">
        <v>265.1090941074479</v>
      </c>
      <c r="AE7">
        <v>194.61190631969029</v>
      </c>
      <c r="AF7">
        <v>89.497148136673218</v>
      </c>
      <c r="AG7">
        <v>931.17741323908774</v>
      </c>
      <c r="AH7">
        <v>113.92458917963916</v>
      </c>
      <c r="AI7">
        <v>470.33052334118219</v>
      </c>
      <c r="AJ7">
        <v>162.86825653242593</v>
      </c>
      <c r="AK7">
        <v>744.02286229491563</v>
      </c>
      <c r="AL7">
        <v>310.30935473033531</v>
      </c>
      <c r="AM7">
        <v>527.11788687173055</v>
      </c>
      <c r="AN7">
        <f t="shared" si="38"/>
        <v>7390.4917606250192</v>
      </c>
      <c r="AP7">
        <f t="shared" si="39"/>
        <v>0.36966651379308196</v>
      </c>
      <c r="AQ7">
        <f t="shared" si="40"/>
        <v>0.13298199276553888</v>
      </c>
      <c r="AR7">
        <f t="shared" si="41"/>
        <v>0.17269416930067888</v>
      </c>
      <c r="AS7">
        <f t="shared" si="42"/>
        <v>0.24047756853947819</v>
      </c>
      <c r="AT7">
        <f t="shared" si="43"/>
        <v>0.62160992410147131</v>
      </c>
      <c r="AU7">
        <f t="shared" si="44"/>
        <v>0.35454979392998909</v>
      </c>
      <c r="AV7">
        <f t="shared" si="45"/>
        <v>0.27693380884507302</v>
      </c>
      <c r="AW7">
        <f t="shared" si="46"/>
        <v>0.34855711248024168</v>
      </c>
      <c r="AX7">
        <f t="shared" si="47"/>
        <v>0.98126247221636687</v>
      </c>
      <c r="AY7">
        <f t="shared" si="48"/>
        <v>0.53901499332688318</v>
      </c>
      <c r="AZ7">
        <f t="shared" si="49"/>
        <v>0.57068293485367227</v>
      </c>
      <c r="BA7">
        <f t="shared" si="50"/>
        <v>0.52831446908294866</v>
      </c>
      <c r="BB7">
        <f t="shared" si="51"/>
        <v>1.4517746741549036</v>
      </c>
      <c r="BC7">
        <f t="shared" si="52"/>
        <v>0.40100035628822589</v>
      </c>
      <c r="BD7">
        <f t="shared" si="53"/>
        <v>0.4596637568100469</v>
      </c>
      <c r="BE7">
        <f t="shared" si="54"/>
        <v>0.47247277994111436</v>
      </c>
      <c r="BF7">
        <f t="shared" si="55"/>
        <v>0.77612345698907725</v>
      </c>
      <c r="BG7">
        <f t="shared" si="56"/>
        <v>0.4713380752796773</v>
      </c>
      <c r="BI7">
        <f t="shared" si="2"/>
        <v>3.9717580463562354E-3</v>
      </c>
      <c r="BJ7">
        <f t="shared" si="3"/>
        <v>0.11089855886661416</v>
      </c>
      <c r="BK7">
        <f t="shared" si="4"/>
        <v>0.1129715354772564</v>
      </c>
      <c r="BL7">
        <f t="shared" si="5"/>
        <v>5.7308257263609289E-2</v>
      </c>
      <c r="BM7">
        <f t="shared" si="6"/>
        <v>2.505132629507063E-2</v>
      </c>
      <c r="BN7">
        <f t="shared" si="7"/>
        <v>0.13326117076792945</v>
      </c>
      <c r="BO7">
        <f t="shared" si="8"/>
        <v>4.1149627742782531E-2</v>
      </c>
      <c r="BP7">
        <f t="shared" si="9"/>
        <v>3.5871644633973236E-2</v>
      </c>
      <c r="BQ7">
        <f t="shared" si="10"/>
        <v>2.6332741125095555E-2</v>
      </c>
      <c r="BR7">
        <f t="shared" si="11"/>
        <v>1.2109769016115428E-2</v>
      </c>
      <c r="BS7">
        <f t="shared" si="12"/>
        <v>0.12599667835369285</v>
      </c>
      <c r="BT7">
        <f t="shared" si="13"/>
        <v>1.5415021472130627E-2</v>
      </c>
      <c r="BU7">
        <f t="shared" si="14"/>
        <v>6.3639949623786066E-2</v>
      </c>
      <c r="BV7">
        <f t="shared" si="15"/>
        <v>2.2037539829237566E-2</v>
      </c>
      <c r="BW7">
        <f t="shared" si="16"/>
        <v>0.10067298447701578</v>
      </c>
      <c r="BX7">
        <f t="shared" si="17"/>
        <v>4.1987646395006906E-2</v>
      </c>
      <c r="BY7">
        <f t="shared" si="18"/>
        <v>7.1323790614327379E-2</v>
      </c>
      <c r="BZ7" s="24" t="s">
        <v>241</v>
      </c>
      <c r="CA7">
        <f t="shared" si="19"/>
        <v>3.5173985316247019E-3</v>
      </c>
      <c r="CB7">
        <f t="shared" si="20"/>
        <v>5.8905528770079263E-2</v>
      </c>
      <c r="CC7">
        <f t="shared" si="21"/>
        <v>6.8381969810119861E-2</v>
      </c>
      <c r="CD7">
        <f t="shared" si="22"/>
        <v>4.0934380848681097E-2</v>
      </c>
      <c r="CE7">
        <f t="shared" si="23"/>
        <v>2.8768911577399692E-2</v>
      </c>
      <c r="CF7">
        <f t="shared" si="24"/>
        <v>0.11557821451576339</v>
      </c>
      <c r="CG7">
        <f t="shared" si="25"/>
        <v>3.1541884576802626E-2</v>
      </c>
      <c r="CH7">
        <f t="shared" si="26"/>
        <v>3.0847644062599634E-2</v>
      </c>
      <c r="CI7">
        <f t="shared" si="27"/>
        <v>3.7994646004479736E-2</v>
      </c>
      <c r="CJ7">
        <f t="shared" si="28"/>
        <v>1.2950007510085064E-2</v>
      </c>
      <c r="CK7">
        <f t="shared" si="29"/>
        <v>0.13864055139793344</v>
      </c>
      <c r="CL7">
        <f t="shared" si="30"/>
        <v>1.6320149188598889E-2</v>
      </c>
      <c r="CM7">
        <f t="shared" si="31"/>
        <v>0.11168971253714152</v>
      </c>
      <c r="CN7">
        <f t="shared" si="32"/>
        <v>2.0326809987452343E-2</v>
      </c>
      <c r="CO7">
        <f t="shared" si="33"/>
        <v>9.9418409881834827E-2</v>
      </c>
      <c r="CP7">
        <f t="shared" si="34"/>
        <v>4.2038156783011579E-2</v>
      </c>
      <c r="CQ7" s="25">
        <f t="shared" si="35"/>
        <v>9.1523697932084327E-2</v>
      </c>
      <c r="CR7">
        <f t="shared" si="57"/>
        <v>0.94937807391569207</v>
      </c>
      <c r="CS7">
        <f t="shared" si="58"/>
        <v>5.0621926084307933E-2</v>
      </c>
      <c r="DC7">
        <f t="shared" si="59"/>
        <v>0.78429164368639936</v>
      </c>
      <c r="DD7">
        <f t="shared" si="60"/>
        <v>0.28213717444030278</v>
      </c>
      <c r="DE7">
        <f t="shared" si="61"/>
        <v>0.36639129821669414</v>
      </c>
      <c r="DF7">
        <f t="shared" si="62"/>
        <v>0.51020187239655168</v>
      </c>
      <c r="DG7">
        <f t="shared" si="63"/>
        <v>1.3188196683084161</v>
      </c>
      <c r="DH7">
        <f t="shared" si="64"/>
        <v>0.7522197177039226</v>
      </c>
      <c r="DI7">
        <f t="shared" si="65"/>
        <v>0.58754813873406919</v>
      </c>
      <c r="DJ7">
        <f t="shared" si="66"/>
        <v>0.73950552853897655</v>
      </c>
      <c r="DK7">
        <f t="shared" si="67"/>
        <v>2.081865488236053</v>
      </c>
      <c r="DL7">
        <f t="shared" si="68"/>
        <v>1.1435846616190481</v>
      </c>
      <c r="DM7">
        <f t="shared" si="69"/>
        <v>1.2107719804198862</v>
      </c>
      <c r="DN7">
        <f t="shared" si="70"/>
        <v>1.1208822218944721</v>
      </c>
      <c r="DO7">
        <f t="shared" si="71"/>
        <v>3.0801132993413822</v>
      </c>
      <c r="DP7">
        <f t="shared" si="72"/>
        <v>0.85077013150334779</v>
      </c>
      <c r="DQ7">
        <f t="shared" si="73"/>
        <v>0.97523153956381892</v>
      </c>
      <c r="DR7">
        <f t="shared" si="74"/>
        <v>1.0024074114122092</v>
      </c>
      <c r="DS7">
        <f t="shared" si="75"/>
        <v>1.646638575779285</v>
      </c>
      <c r="DT7" s="15"/>
    </row>
    <row r="8" spans="1:124" x14ac:dyDescent="0.25">
      <c r="A8" t="s">
        <v>117</v>
      </c>
      <c r="B8" s="26">
        <f t="shared" si="76"/>
        <v>37408</v>
      </c>
      <c r="D8">
        <v>7.310487229122792</v>
      </c>
      <c r="E8">
        <v>111.19762915051071</v>
      </c>
      <c r="F8">
        <v>149.93691003369148</v>
      </c>
      <c r="G8">
        <v>94.429016919457069</v>
      </c>
      <c r="H8">
        <v>114.98520728584197</v>
      </c>
      <c r="I8">
        <v>322.44416220030598</v>
      </c>
      <c r="J8">
        <v>101.17598956000815</v>
      </c>
      <c r="K8">
        <v>76.739317064691789</v>
      </c>
      <c r="L8">
        <v>163.66044233477544</v>
      </c>
      <c r="M8">
        <v>53.724470711130067</v>
      </c>
      <c r="N8">
        <v>570.76466762454504</v>
      </c>
      <c r="O8">
        <v>66.69875477017743</v>
      </c>
      <c r="P8">
        <v>627.49519666356139</v>
      </c>
      <c r="Q8">
        <v>51.750895354909893</v>
      </c>
      <c r="R8">
        <v>331.3418632823961</v>
      </c>
      <c r="S8">
        <v>137.05493356712685</v>
      </c>
      <c r="T8">
        <v>399.1216675622764</v>
      </c>
      <c r="U8">
        <f t="shared" si="37"/>
        <v>3379.8316113145283</v>
      </c>
      <c r="W8">
        <v>29.859770367574281</v>
      </c>
      <c r="X8">
        <v>721.14631857079348</v>
      </c>
      <c r="Y8">
        <v>807.28042930658046</v>
      </c>
      <c r="Z8">
        <v>440.60508420257571</v>
      </c>
      <c r="AA8">
        <v>206.55666868606966</v>
      </c>
      <c r="AB8">
        <v>1004.6550885812876</v>
      </c>
      <c r="AC8">
        <v>270.891261178511</v>
      </c>
      <c r="AD8">
        <v>260.53990070416779</v>
      </c>
      <c r="AE8">
        <v>215.42266945685901</v>
      </c>
      <c r="AF8">
        <v>114.85284228346967</v>
      </c>
      <c r="AG8">
        <v>1038.1375349668863</v>
      </c>
      <c r="AH8">
        <v>122.07077190246223</v>
      </c>
      <c r="AI8">
        <v>430.79216366935901</v>
      </c>
      <c r="AJ8">
        <v>184.78466472888815</v>
      </c>
      <c r="AK8">
        <v>823.79205785500278</v>
      </c>
      <c r="AL8">
        <v>293.08478620731353</v>
      </c>
      <c r="AM8">
        <v>518.92508821021488</v>
      </c>
      <c r="AN8">
        <f t="shared" si="38"/>
        <v>7483.3971008780154</v>
      </c>
      <c r="AP8">
        <f t="shared" si="39"/>
        <v>0.24482730908947289</v>
      </c>
      <c r="AQ8">
        <f t="shared" si="40"/>
        <v>0.15419565528794232</v>
      </c>
      <c r="AR8">
        <f t="shared" si="41"/>
        <v>0.18573088680284358</v>
      </c>
      <c r="AS8">
        <f t="shared" si="42"/>
        <v>0.21431667564698759</v>
      </c>
      <c r="AT8">
        <f t="shared" si="43"/>
        <v>0.55667632527807442</v>
      </c>
      <c r="AU8">
        <f t="shared" si="44"/>
        <v>0.32095011100341103</v>
      </c>
      <c r="AV8">
        <f t="shared" si="45"/>
        <v>0.3734929990721832</v>
      </c>
      <c r="AW8">
        <f t="shared" si="46"/>
        <v>0.29453959588257494</v>
      </c>
      <c r="AX8">
        <f t="shared" si="47"/>
        <v>0.75971782703932378</v>
      </c>
      <c r="AY8">
        <f t="shared" si="48"/>
        <v>0.46776788142980441</v>
      </c>
      <c r="AZ8">
        <f t="shared" si="49"/>
        <v>0.54979677393395743</v>
      </c>
      <c r="BA8">
        <f t="shared" si="50"/>
        <v>0.54639414276393283</v>
      </c>
      <c r="BB8">
        <f t="shared" si="51"/>
        <v>1.4566077324126434</v>
      </c>
      <c r="BC8">
        <f t="shared" si="52"/>
        <v>0.28006055281068715</v>
      </c>
      <c r="BD8">
        <f t="shared" si="53"/>
        <v>0.40221541361438595</v>
      </c>
      <c r="BE8">
        <f t="shared" si="54"/>
        <v>0.46762895932162457</v>
      </c>
      <c r="BF8">
        <f t="shared" si="55"/>
        <v>0.76913156952741801</v>
      </c>
      <c r="BG8">
        <f t="shared" si="56"/>
        <v>0.45164402820718652</v>
      </c>
      <c r="BI8">
        <f t="shared" si="2"/>
        <v>3.9901357585408479E-3</v>
      </c>
      <c r="BJ8">
        <f t="shared" si="3"/>
        <v>9.6366170183082023E-2</v>
      </c>
      <c r="BK8">
        <f t="shared" si="4"/>
        <v>0.10787619825919213</v>
      </c>
      <c r="BL8">
        <f t="shared" si="5"/>
        <v>5.8877683258433552E-2</v>
      </c>
      <c r="BM8">
        <f t="shared" si="6"/>
        <v>2.7601992237166553E-2</v>
      </c>
      <c r="BN8">
        <f t="shared" si="7"/>
        <v>0.13425120637569973</v>
      </c>
      <c r="BO8">
        <f t="shared" si="8"/>
        <v>3.6198969201664807E-2</v>
      </c>
      <c r="BP8">
        <f t="shared" si="9"/>
        <v>3.481572569142416E-2</v>
      </c>
      <c r="BQ8">
        <f t="shared" si="10"/>
        <v>2.8786748391527131E-2</v>
      </c>
      <c r="BR8">
        <f t="shared" si="11"/>
        <v>1.5347687786071672E-2</v>
      </c>
      <c r="BS8">
        <f t="shared" si="12"/>
        <v>0.13872543725430303</v>
      </c>
      <c r="BT8">
        <f t="shared" si="13"/>
        <v>1.6312213591891288E-2</v>
      </c>
      <c r="BU8">
        <f t="shared" si="14"/>
        <v>5.756639102030478E-2</v>
      </c>
      <c r="BV8">
        <f t="shared" si="15"/>
        <v>2.4692617836250819E-2</v>
      </c>
      <c r="BW8">
        <f t="shared" si="16"/>
        <v>0.11008263316112793</v>
      </c>
      <c r="BX8">
        <f t="shared" si="17"/>
        <v>3.9164671105443055E-2</v>
      </c>
      <c r="BY8">
        <f t="shared" si="18"/>
        <v>6.9343518887876501E-2</v>
      </c>
      <c r="BZ8" s="24" t="s">
        <v>242</v>
      </c>
      <c r="CA8">
        <f t="shared" si="19"/>
        <v>2.9377813245009508E-3</v>
      </c>
      <c r="CB8">
        <f t="shared" si="20"/>
        <v>5.6307018511334926E-2</v>
      </c>
      <c r="CC8">
        <f t="shared" si="21"/>
        <v>6.9178248623256125E-2</v>
      </c>
      <c r="CD8">
        <f t="shared" si="22"/>
        <v>4.0558376165679269E-2</v>
      </c>
      <c r="CE8">
        <f t="shared" si="23"/>
        <v>3.0643874083926926E-2</v>
      </c>
      <c r="CF8">
        <f t="shared" si="24"/>
        <v>0.11317195701460916</v>
      </c>
      <c r="CG8">
        <f t="shared" si="25"/>
        <v>3.2918444138667E-2</v>
      </c>
      <c r="CH8">
        <f t="shared" si="26"/>
        <v>2.811571673400334E-2</v>
      </c>
      <c r="CI8">
        <f t="shared" si="27"/>
        <v>3.733538503276642E-2</v>
      </c>
      <c r="CJ8">
        <f t="shared" si="28"/>
        <v>1.5619244342840293E-2</v>
      </c>
      <c r="CK8">
        <f t="shared" si="29"/>
        <v>0.15305906635349872</v>
      </c>
      <c r="CL8">
        <f t="shared" si="30"/>
        <v>1.7941873110926043E-2</v>
      </c>
      <c r="CM8">
        <f t="shared" si="31"/>
        <v>0.10338134373060974</v>
      </c>
      <c r="CN8">
        <f t="shared" si="32"/>
        <v>1.9444418944874555E-2</v>
      </c>
      <c r="CO8">
        <f t="shared" si="33"/>
        <v>0.10388432635944227</v>
      </c>
      <c r="CP8">
        <f t="shared" si="34"/>
        <v>3.9851717849616435E-2</v>
      </c>
      <c r="CQ8" s="25">
        <f t="shared" si="35"/>
        <v>9.049155667120598E-2</v>
      </c>
      <c r="CR8">
        <f t="shared" si="57"/>
        <v>0.95484034899175807</v>
      </c>
      <c r="CS8">
        <f t="shared" si="58"/>
        <v>4.515965100824193E-2</v>
      </c>
      <c r="DC8">
        <f t="shared" si="59"/>
        <v>0.54208025302874407</v>
      </c>
      <c r="DD8">
        <f t="shared" si="60"/>
        <v>0.34140970688802474</v>
      </c>
      <c r="DE8">
        <f t="shared" si="61"/>
        <v>0.41123290734100365</v>
      </c>
      <c r="DF8">
        <f t="shared" si="62"/>
        <v>0.4745256490996318</v>
      </c>
      <c r="DG8">
        <f t="shared" si="63"/>
        <v>1.2325554873111386</v>
      </c>
      <c r="DH8">
        <f t="shared" si="64"/>
        <v>0.71062626971385268</v>
      </c>
      <c r="DI8">
        <f t="shared" si="65"/>
        <v>0.82696321825570018</v>
      </c>
      <c r="DJ8">
        <f t="shared" si="66"/>
        <v>0.65214987354478704</v>
      </c>
      <c r="DK8">
        <f t="shared" si="67"/>
        <v>1.682116400509146</v>
      </c>
      <c r="DL8">
        <f t="shared" si="68"/>
        <v>1.0357003573956729</v>
      </c>
      <c r="DM8">
        <f t="shared" si="69"/>
        <v>1.2173232448492477</v>
      </c>
      <c r="DN8">
        <f t="shared" si="70"/>
        <v>1.2097893664903741</v>
      </c>
      <c r="DO8">
        <f t="shared" si="71"/>
        <v>3.2251234189781899</v>
      </c>
      <c r="DP8">
        <f t="shared" si="72"/>
        <v>0.62009134477521</v>
      </c>
      <c r="DQ8">
        <f t="shared" si="73"/>
        <v>0.89055846749704892</v>
      </c>
      <c r="DR8">
        <f t="shared" si="74"/>
        <v>1.0353927653552526</v>
      </c>
      <c r="DS8">
        <f t="shared" si="75"/>
        <v>1.7029596795080122</v>
      </c>
    </row>
    <row r="9" spans="1:124" x14ac:dyDescent="0.25">
      <c r="A9" t="s">
        <v>118</v>
      </c>
      <c r="B9" s="26">
        <f t="shared" si="76"/>
        <v>37500</v>
      </c>
      <c r="D9">
        <v>7.3007643776383624</v>
      </c>
      <c r="E9">
        <v>108.50910810295966</v>
      </c>
      <c r="F9">
        <v>146.57428605534474</v>
      </c>
      <c r="G9">
        <v>89.523661297732701</v>
      </c>
      <c r="H9">
        <v>98.976673170375577</v>
      </c>
      <c r="I9">
        <v>326.83196649547739</v>
      </c>
      <c r="J9">
        <v>77.347947452750589</v>
      </c>
      <c r="K9">
        <v>79.682395237249338</v>
      </c>
      <c r="L9">
        <v>152.78652820247342</v>
      </c>
      <c r="M9">
        <v>35.629189412680233</v>
      </c>
      <c r="N9">
        <v>576.00154502254293</v>
      </c>
      <c r="O9">
        <v>46.066377826451806</v>
      </c>
      <c r="P9">
        <v>630.03784662768317</v>
      </c>
      <c r="Q9">
        <v>43.642314191221963</v>
      </c>
      <c r="R9">
        <v>353.08079787327762</v>
      </c>
      <c r="S9">
        <v>149.46380194870792</v>
      </c>
      <c r="T9">
        <v>405.2048790296094</v>
      </c>
      <c r="U9">
        <f t="shared" si="37"/>
        <v>3326.660082324177</v>
      </c>
      <c r="W9">
        <v>34.016819183531474</v>
      </c>
      <c r="X9">
        <v>747.17607196684276</v>
      </c>
      <c r="Y9">
        <v>741.26612104902233</v>
      </c>
      <c r="Z9">
        <v>409.76858586921117</v>
      </c>
      <c r="AA9">
        <v>211.43991498788475</v>
      </c>
      <c r="AB9">
        <v>948.08175799390528</v>
      </c>
      <c r="AC9">
        <v>247.36192714170929</v>
      </c>
      <c r="AD9">
        <v>249.65359376092565</v>
      </c>
      <c r="AE9">
        <v>225.38738893375719</v>
      </c>
      <c r="AF9">
        <v>102.0819492936955</v>
      </c>
      <c r="AG9">
        <v>1029.1846325606896</v>
      </c>
      <c r="AH9">
        <v>128.78806630768054</v>
      </c>
      <c r="AI9">
        <v>443.97599242568805</v>
      </c>
      <c r="AJ9">
        <v>161.83096104313196</v>
      </c>
      <c r="AK9">
        <v>781.76297413088457</v>
      </c>
      <c r="AL9">
        <v>321.57232905917505</v>
      </c>
      <c r="AM9">
        <v>485.98063908998739</v>
      </c>
      <c r="AN9">
        <f t="shared" si="38"/>
        <v>7269.3297247977216</v>
      </c>
      <c r="AP9">
        <f t="shared" si="39"/>
        <v>0.21462219434005381</v>
      </c>
      <c r="AQ9">
        <f t="shared" si="40"/>
        <v>0.14522561973555134</v>
      </c>
      <c r="AR9">
        <f t="shared" si="41"/>
        <v>0.19773503994478564</v>
      </c>
      <c r="AS9">
        <f t="shared" si="42"/>
        <v>0.21847370536673258</v>
      </c>
      <c r="AT9">
        <f t="shared" si="43"/>
        <v>0.46810779873822228</v>
      </c>
      <c r="AU9">
        <f t="shared" si="44"/>
        <v>0.34472972793721701</v>
      </c>
      <c r="AV9">
        <f t="shared" si="45"/>
        <v>0.31269140059876438</v>
      </c>
      <c r="AW9">
        <f t="shared" si="46"/>
        <v>0.3191718334067129</v>
      </c>
      <c r="AX9">
        <f t="shared" si="47"/>
        <v>0.67788410400982269</v>
      </c>
      <c r="AY9">
        <f t="shared" si="48"/>
        <v>0.34902536304604698</v>
      </c>
      <c r="AZ9">
        <f t="shared" si="49"/>
        <v>0.55966784462123897</v>
      </c>
      <c r="BA9">
        <f t="shared" si="50"/>
        <v>0.35769135407621649</v>
      </c>
      <c r="BB9">
        <f t="shared" si="51"/>
        <v>1.4190808903549843</v>
      </c>
      <c r="BC9">
        <f t="shared" si="52"/>
        <v>0.26967839719860653</v>
      </c>
      <c r="BD9">
        <f t="shared" si="53"/>
        <v>0.45164686683429961</v>
      </c>
      <c r="BE9">
        <f t="shared" si="54"/>
        <v>0.46479061922396908</v>
      </c>
      <c r="BF9">
        <f t="shared" si="55"/>
        <v>0.83378811095924954</v>
      </c>
      <c r="BG9">
        <f t="shared" si="56"/>
        <v>0.45762954883942142</v>
      </c>
      <c r="BI9">
        <f t="shared" si="2"/>
        <v>4.6794987256514953E-3</v>
      </c>
      <c r="BJ9">
        <f t="shared" si="3"/>
        <v>0.10278472710049397</v>
      </c>
      <c r="BK9">
        <f t="shared" si="4"/>
        <v>0.10197172904681373</v>
      </c>
      <c r="BL9">
        <f t="shared" si="5"/>
        <v>5.6369514299423731E-2</v>
      </c>
      <c r="BM9">
        <f t="shared" si="6"/>
        <v>2.9086576478516847E-2</v>
      </c>
      <c r="BN9">
        <f t="shared" si="7"/>
        <v>0.13042217011559301</v>
      </c>
      <c r="BO9">
        <f t="shared" si="8"/>
        <v>3.4028161674643592E-2</v>
      </c>
      <c r="BP9">
        <f t="shared" si="9"/>
        <v>3.4343413108541117E-2</v>
      </c>
      <c r="BQ9">
        <f t="shared" si="10"/>
        <v>3.1005250479270136E-2</v>
      </c>
      <c r="BR9">
        <f t="shared" si="11"/>
        <v>1.4042828315445007E-2</v>
      </c>
      <c r="BS9">
        <f t="shared" si="12"/>
        <v>0.14157902743768139</v>
      </c>
      <c r="BT9">
        <f t="shared" si="13"/>
        <v>1.7716635671147004E-2</v>
      </c>
      <c r="BU9">
        <f t="shared" si="14"/>
        <v>6.1075231036936115E-2</v>
      </c>
      <c r="BV9">
        <f t="shared" si="15"/>
        <v>2.2262157196017839E-2</v>
      </c>
      <c r="BW9">
        <f t="shared" si="16"/>
        <v>0.10754264887229863</v>
      </c>
      <c r="BX9">
        <f t="shared" si="17"/>
        <v>4.4236861063297446E-2</v>
      </c>
      <c r="BY9">
        <f t="shared" si="18"/>
        <v>6.6853569378229075E-2</v>
      </c>
      <c r="CA9">
        <f t="shared" si="19"/>
        <v>3.2046427314664379E-3</v>
      </c>
      <c r="CB9">
        <f t="shared" si="20"/>
        <v>5.7901948265844293E-2</v>
      </c>
      <c r="CC9">
        <f t="shared" si="21"/>
        <v>6.7029282699613932E-2</v>
      </c>
      <c r="CD9">
        <f t="shared" si="22"/>
        <v>3.894815149863233E-2</v>
      </c>
      <c r="CE9">
        <f t="shared" si="23"/>
        <v>2.9417686552813471E-2</v>
      </c>
      <c r="CF9">
        <f t="shared" si="24"/>
        <v>0.11319669869640517</v>
      </c>
      <c r="CG9">
        <f t="shared" si="25"/>
        <v>2.8128037153670401E-2</v>
      </c>
      <c r="CH9">
        <f t="shared" si="26"/>
        <v>2.8681291515827899E-2</v>
      </c>
      <c r="CI9">
        <f t="shared" si="27"/>
        <v>3.7736006655085114E-2</v>
      </c>
      <c r="CJ9">
        <f t="shared" si="28"/>
        <v>1.2263827992300037E-2</v>
      </c>
      <c r="CK9">
        <f t="shared" si="29"/>
        <v>0.1565694669550893</v>
      </c>
      <c r="CL9">
        <f t="shared" si="30"/>
        <v>1.5663126170821086E-2</v>
      </c>
      <c r="CM9">
        <f t="shared" si="31"/>
        <v>0.10755030962346607</v>
      </c>
      <c r="CN9">
        <f t="shared" si="32"/>
        <v>1.7089654975771241E-2</v>
      </c>
      <c r="CO9">
        <f t="shared" si="33"/>
        <v>0.10683737302962569</v>
      </c>
      <c r="CP9">
        <f t="shared" si="34"/>
        <v>4.458163076649433E-2</v>
      </c>
      <c r="CQ9" s="25">
        <f t="shared" si="35"/>
        <v>9.023923799021373E-2</v>
      </c>
      <c r="CR9">
        <f t="shared" si="57"/>
        <v>0.95503837327314056</v>
      </c>
      <c r="CS9">
        <f t="shared" si="58"/>
        <v>4.4961626726859438E-2</v>
      </c>
      <c r="DC9">
        <f t="shared" si="59"/>
        <v>0.4689867489639814</v>
      </c>
      <c r="DD9">
        <f t="shared" si="60"/>
        <v>0.3173431875276696</v>
      </c>
      <c r="DE9">
        <f t="shared" si="61"/>
        <v>0.43208538532150009</v>
      </c>
      <c r="DF9">
        <f t="shared" si="62"/>
        <v>0.47740296910633556</v>
      </c>
      <c r="DG9">
        <f t="shared" si="63"/>
        <v>1.0228967948537728</v>
      </c>
      <c r="DH9">
        <f t="shared" si="64"/>
        <v>0.75329429406705539</v>
      </c>
      <c r="DI9">
        <f t="shared" si="65"/>
        <v>0.68328498758825851</v>
      </c>
      <c r="DJ9">
        <f t="shared" si="66"/>
        <v>0.69744585815350779</v>
      </c>
      <c r="DK9">
        <f t="shared" si="67"/>
        <v>1.4812944350490069</v>
      </c>
      <c r="DL9">
        <f t="shared" si="68"/>
        <v>0.7626810024204036</v>
      </c>
      <c r="DM9">
        <f t="shared" si="69"/>
        <v>1.2229713881907176</v>
      </c>
      <c r="DN9">
        <f t="shared" si="70"/>
        <v>0.78161769707254536</v>
      </c>
      <c r="DO9">
        <f t="shared" si="71"/>
        <v>3.1009380708782173</v>
      </c>
      <c r="DP9">
        <f t="shared" si="72"/>
        <v>0.58929410891960243</v>
      </c>
      <c r="DQ9">
        <f t="shared" si="73"/>
        <v>0.98692680133899946</v>
      </c>
      <c r="DR9">
        <f t="shared" si="74"/>
        <v>1.0156481818158565</v>
      </c>
      <c r="DS9">
        <f t="shared" si="75"/>
        <v>1.8219717522039189</v>
      </c>
    </row>
    <row r="10" spans="1:124" x14ac:dyDescent="0.25">
      <c r="A10" t="s">
        <v>119</v>
      </c>
      <c r="B10" s="26">
        <f t="shared" si="76"/>
        <v>37591</v>
      </c>
      <c r="D10">
        <v>6.2020955386654393</v>
      </c>
      <c r="E10">
        <v>112.66554738772771</v>
      </c>
      <c r="F10">
        <v>138.21089405726423</v>
      </c>
      <c r="G10">
        <v>76.849127010466177</v>
      </c>
      <c r="H10">
        <v>92.459804347772945</v>
      </c>
      <c r="I10">
        <v>309.87460259030541</v>
      </c>
      <c r="J10">
        <v>100.87397889838955</v>
      </c>
      <c r="K10">
        <v>69.426663864318144</v>
      </c>
      <c r="L10">
        <v>173.4474911712808</v>
      </c>
      <c r="M10">
        <v>44.217700160508308</v>
      </c>
      <c r="N10">
        <v>647.0893810376291</v>
      </c>
      <c r="O10">
        <v>44.025209453815343</v>
      </c>
      <c r="P10">
        <v>607.92361974579251</v>
      </c>
      <c r="Q10">
        <v>41.646505921368366</v>
      </c>
      <c r="R10">
        <v>348.62189319303963</v>
      </c>
      <c r="S10">
        <v>150.13180447669845</v>
      </c>
      <c r="T10">
        <v>388.58112103561189</v>
      </c>
      <c r="U10">
        <f t="shared" si="37"/>
        <v>3352.2474398906538</v>
      </c>
      <c r="W10">
        <v>39.314001918671941</v>
      </c>
      <c r="X10">
        <v>825.54815285722009</v>
      </c>
      <c r="Y10">
        <v>764.3411985546544</v>
      </c>
      <c r="Z10">
        <v>385.69595332835343</v>
      </c>
      <c r="AA10">
        <v>215.56927160425843</v>
      </c>
      <c r="AB10">
        <v>1052.8531133641484</v>
      </c>
      <c r="AC10">
        <v>265.21643765183734</v>
      </c>
      <c r="AD10">
        <v>234.42641952899695</v>
      </c>
      <c r="AE10">
        <v>227.28009728962078</v>
      </c>
      <c r="AF10">
        <v>108.27814630245803</v>
      </c>
      <c r="AG10">
        <v>1038.9447548250007</v>
      </c>
      <c r="AH10">
        <v>118.07780883163615</v>
      </c>
      <c r="AI10">
        <v>431.79021347105783</v>
      </c>
      <c r="AJ10">
        <v>176.77950386087011</v>
      </c>
      <c r="AK10">
        <v>807.17808593041912</v>
      </c>
      <c r="AL10">
        <v>274.59262065930164</v>
      </c>
      <c r="AM10">
        <v>508.48191163371376</v>
      </c>
      <c r="AN10">
        <f t="shared" si="38"/>
        <v>7474.3676916122186</v>
      </c>
      <c r="AP10">
        <f t="shared" si="39"/>
        <v>0.15775792938850605</v>
      </c>
      <c r="AQ10">
        <f t="shared" si="40"/>
        <v>0.1364736230076859</v>
      </c>
      <c r="AR10">
        <f t="shared" si="41"/>
        <v>0.18082355670297082</v>
      </c>
      <c r="AS10">
        <f t="shared" si="42"/>
        <v>0.19924794737227236</v>
      </c>
      <c r="AT10">
        <f t="shared" si="43"/>
        <v>0.42890994463028309</v>
      </c>
      <c r="AU10">
        <f t="shared" si="44"/>
        <v>0.29431893077674703</v>
      </c>
      <c r="AV10">
        <f t="shared" si="45"/>
        <v>0.38034587822498311</v>
      </c>
      <c r="AW10">
        <f t="shared" si="46"/>
        <v>0.29615545894446654</v>
      </c>
      <c r="AX10">
        <f t="shared" si="47"/>
        <v>0.76314421385634301</v>
      </c>
      <c r="AY10">
        <f t="shared" si="48"/>
        <v>0.40837141815295852</v>
      </c>
      <c r="AZ10">
        <f t="shared" si="49"/>
        <v>0.62283329121443465</v>
      </c>
      <c r="BA10">
        <f t="shared" si="50"/>
        <v>0.37284913981245754</v>
      </c>
      <c r="BB10">
        <f t="shared" si="51"/>
        <v>1.4079143083370058</v>
      </c>
      <c r="BC10">
        <f t="shared" si="52"/>
        <v>0.23558447111688471</v>
      </c>
      <c r="BD10">
        <f t="shared" si="53"/>
        <v>0.43190207869827102</v>
      </c>
      <c r="BE10">
        <f t="shared" si="54"/>
        <v>0.54674376942916159</v>
      </c>
      <c r="BF10">
        <f t="shared" si="55"/>
        <v>0.76419851354619528</v>
      </c>
      <c r="BG10">
        <f t="shared" si="56"/>
        <v>0.44849913440203998</v>
      </c>
      <c r="BI10">
        <f t="shared" si="2"/>
        <v>5.259843178813688E-3</v>
      </c>
      <c r="BJ10">
        <f t="shared" si="3"/>
        <v>0.11045056744848869</v>
      </c>
      <c r="BK10">
        <f t="shared" si="4"/>
        <v>0.10226165343891268</v>
      </c>
      <c r="BL10">
        <f t="shared" si="5"/>
        <v>5.1602485888028203E-2</v>
      </c>
      <c r="BM10">
        <f t="shared" si="6"/>
        <v>2.8841138207071564E-2</v>
      </c>
      <c r="BN10">
        <f t="shared" si="7"/>
        <v>0.14086183029845678</v>
      </c>
      <c r="BO10">
        <f t="shared" si="8"/>
        <v>3.5483461423695392E-2</v>
      </c>
      <c r="BP10">
        <f t="shared" si="9"/>
        <v>3.136404699384427E-2</v>
      </c>
      <c r="BQ10">
        <f t="shared" si="10"/>
        <v>3.0407936385665895E-2</v>
      </c>
      <c r="BR10">
        <f t="shared" si="11"/>
        <v>1.4486596160363964E-2</v>
      </c>
      <c r="BS10">
        <f t="shared" si="12"/>
        <v>0.13900102292143199</v>
      </c>
      <c r="BT10">
        <f t="shared" si="13"/>
        <v>1.5797698708901329E-2</v>
      </c>
      <c r="BU10">
        <f t="shared" si="14"/>
        <v>5.7769463757531683E-2</v>
      </c>
      <c r="BV10">
        <f t="shared" si="15"/>
        <v>2.3651432623424874E-2</v>
      </c>
      <c r="BW10">
        <f t="shared" si="16"/>
        <v>0.10799282551168032</v>
      </c>
      <c r="BX10">
        <f t="shared" si="17"/>
        <v>3.6737906400758309E-2</v>
      </c>
      <c r="BY10">
        <f t="shared" si="18"/>
        <v>6.8030090652930447E-2</v>
      </c>
      <c r="CA10">
        <f t="shared" si="19"/>
        <v>3.1195186762342777E-3</v>
      </c>
      <c r="CB10">
        <f t="shared" si="20"/>
        <v>6.0927240323324562E-2</v>
      </c>
      <c r="CC10">
        <f t="shared" si="21"/>
        <v>6.4932109071007882E-2</v>
      </c>
      <c r="CD10">
        <f t="shared" si="22"/>
        <v>3.4394321552962827E-2</v>
      </c>
      <c r="CE10">
        <f t="shared" si="23"/>
        <v>2.8204256068015136E-2</v>
      </c>
      <c r="CF10">
        <f t="shared" si="24"/>
        <v>0.11410945235738534</v>
      </c>
      <c r="CG10">
        <f t="shared" si="25"/>
        <v>3.2676424646907502E-2</v>
      </c>
      <c r="CH10">
        <f t="shared" si="26"/>
        <v>2.5486556542691156E-2</v>
      </c>
      <c r="CI10">
        <f t="shared" si="27"/>
        <v>3.9665181997458117E-2</v>
      </c>
      <c r="CJ10">
        <f t="shared" si="28"/>
        <v>1.3823347257259443E-2</v>
      </c>
      <c r="CK10">
        <f t="shared" si="29"/>
        <v>0.16380347118673552</v>
      </c>
      <c r="CL10">
        <f t="shared" si="30"/>
        <v>1.4403883328211943E-2</v>
      </c>
      <c r="CM10">
        <f t="shared" si="31"/>
        <v>0.10235419404832412</v>
      </c>
      <c r="CN10">
        <f t="shared" si="32"/>
        <v>1.7141545566158992E-2</v>
      </c>
      <c r="CO10">
        <f t="shared" si="33"/>
        <v>0.10597581049041829</v>
      </c>
      <c r="CP10">
        <f t="shared" si="34"/>
        <v>4.0562575270749919E-2</v>
      </c>
      <c r="CQ10" s="25">
        <f t="shared" si="35"/>
        <v>8.8802121110570731E-2</v>
      </c>
      <c r="CR10">
        <f t="shared" si="57"/>
        <v>0.95038200949441576</v>
      </c>
      <c r="CS10">
        <f t="shared" si="58"/>
        <v>4.9617990505584242E-2</v>
      </c>
      <c r="DC10">
        <f t="shared" si="59"/>
        <v>0.35174634082368139</v>
      </c>
      <c r="DD10">
        <f t="shared" si="60"/>
        <v>0.30428960178404563</v>
      </c>
      <c r="DE10">
        <f t="shared" si="61"/>
        <v>0.40317481759257628</v>
      </c>
      <c r="DF10">
        <f t="shared" si="62"/>
        <v>0.44425492066538552</v>
      </c>
      <c r="DG10">
        <f t="shared" si="63"/>
        <v>0.95632279246675889</v>
      </c>
      <c r="DH10">
        <f t="shared" si="64"/>
        <v>0.65623076657471546</v>
      </c>
      <c r="DI10">
        <f t="shared" si="65"/>
        <v>0.84804149896984315</v>
      </c>
      <c r="DJ10">
        <f t="shared" si="66"/>
        <v>0.66032559759410647</v>
      </c>
      <c r="DK10">
        <f t="shared" si="67"/>
        <v>1.701551140948806</v>
      </c>
      <c r="DL10">
        <f t="shared" si="68"/>
        <v>0.91052888808228893</v>
      </c>
      <c r="DM10">
        <f t="shared" si="69"/>
        <v>1.3887056706248164</v>
      </c>
      <c r="DN10">
        <f t="shared" si="70"/>
        <v>0.83132633089595021</v>
      </c>
      <c r="DO10">
        <f t="shared" si="71"/>
        <v>3.1391683959749512</v>
      </c>
      <c r="DP10">
        <f t="shared" si="72"/>
        <v>0.52527296720645167</v>
      </c>
      <c r="DQ10">
        <f t="shared" si="73"/>
        <v>0.96299423024328257</v>
      </c>
      <c r="DR10">
        <f t="shared" si="74"/>
        <v>1.2190520058820313</v>
      </c>
      <c r="DS10">
        <f t="shared" si="75"/>
        <v>1.703901869431834</v>
      </c>
    </row>
    <row r="11" spans="1:124" x14ac:dyDescent="0.25">
      <c r="A11" t="s">
        <v>120</v>
      </c>
      <c r="B11" s="26">
        <f t="shared" si="76"/>
        <v>37681</v>
      </c>
      <c r="D11">
        <v>5.126478968257091</v>
      </c>
      <c r="E11">
        <v>95.618346734067813</v>
      </c>
      <c r="F11">
        <v>126.40344359715657</v>
      </c>
      <c r="G11">
        <v>77.052576925438544</v>
      </c>
      <c r="H11">
        <v>89.751784253605408</v>
      </c>
      <c r="I11">
        <v>317.26672982460701</v>
      </c>
      <c r="J11">
        <v>102.1861789038055</v>
      </c>
      <c r="K11">
        <v>84.869016193998235</v>
      </c>
      <c r="L11">
        <v>150.29254886549609</v>
      </c>
      <c r="M11">
        <v>52.903289761287844</v>
      </c>
      <c r="N11">
        <v>758.14472250969129</v>
      </c>
      <c r="O11">
        <v>40.349218418468581</v>
      </c>
      <c r="P11">
        <v>547.76402709600154</v>
      </c>
      <c r="Q11">
        <v>40.205545011749827</v>
      </c>
      <c r="R11">
        <v>333.82605378384568</v>
      </c>
      <c r="S11">
        <v>139.5822705809731</v>
      </c>
      <c r="T11">
        <v>375.97001391282771</v>
      </c>
      <c r="U11">
        <f t="shared" si="37"/>
        <v>3337.312245341278</v>
      </c>
      <c r="W11">
        <v>42.906814405933574</v>
      </c>
      <c r="X11">
        <v>837.46010613967792</v>
      </c>
      <c r="Y11">
        <v>758.42225099943937</v>
      </c>
      <c r="Z11">
        <v>409.80635624354926</v>
      </c>
      <c r="AA11">
        <v>213.25793700970246</v>
      </c>
      <c r="AB11">
        <v>959.24188447570702</v>
      </c>
      <c r="AC11">
        <v>290.4486450358782</v>
      </c>
      <c r="AD11">
        <v>272.82442772984973</v>
      </c>
      <c r="AE11">
        <v>233.51301995035234</v>
      </c>
      <c r="AF11">
        <v>90.609623528163993</v>
      </c>
      <c r="AG11">
        <v>1050.2554800440541</v>
      </c>
      <c r="AH11">
        <v>125.49746779625559</v>
      </c>
      <c r="AI11">
        <v>439.35899242815253</v>
      </c>
      <c r="AJ11">
        <v>170.98084907239544</v>
      </c>
      <c r="AK11">
        <v>840.07977224777096</v>
      </c>
      <c r="AL11">
        <v>326.81947580974662</v>
      </c>
      <c r="AM11">
        <v>563.86117775506443</v>
      </c>
      <c r="AN11">
        <f t="shared" si="38"/>
        <v>7625.344280671693</v>
      </c>
      <c r="AP11">
        <f t="shared" si="39"/>
        <v>0.11947936567269724</v>
      </c>
      <c r="AQ11">
        <f t="shared" si="40"/>
        <v>0.11417659902013275</v>
      </c>
      <c r="AR11">
        <f t="shared" si="41"/>
        <v>0.16666631738531365</v>
      </c>
      <c r="AS11">
        <f t="shared" si="42"/>
        <v>0.18802191755084918</v>
      </c>
      <c r="AT11">
        <f t="shared" si="43"/>
        <v>0.42086022922336547</v>
      </c>
      <c r="AU11">
        <f t="shared" si="44"/>
        <v>0.33074736931239773</v>
      </c>
      <c r="AV11">
        <f t="shared" si="45"/>
        <v>0.35182184751174433</v>
      </c>
      <c r="AW11">
        <f t="shared" si="46"/>
        <v>0.31107557670032165</v>
      </c>
      <c r="AX11">
        <f t="shared" si="47"/>
        <v>0.64361528490980968</v>
      </c>
      <c r="AY11">
        <f t="shared" si="48"/>
        <v>0.58385950301232659</v>
      </c>
      <c r="AZ11">
        <f t="shared" si="49"/>
        <v>0.72186695229420761</v>
      </c>
      <c r="BA11">
        <f t="shared" si="50"/>
        <v>0.32151420364891586</v>
      </c>
      <c r="BB11">
        <f t="shared" si="51"/>
        <v>1.2467345303865067</v>
      </c>
      <c r="BC11">
        <f t="shared" si="52"/>
        <v>0.23514648119875867</v>
      </c>
      <c r="BD11">
        <f t="shared" si="53"/>
        <v>0.39737423136690869</v>
      </c>
      <c r="BE11">
        <f t="shared" si="54"/>
        <v>0.42709287821705266</v>
      </c>
      <c r="BF11">
        <f t="shared" si="55"/>
        <v>0.66677761964336768</v>
      </c>
      <c r="BG11">
        <f t="shared" si="56"/>
        <v>0.4376605334136211</v>
      </c>
      <c r="BI11">
        <f t="shared" si="2"/>
        <v>5.6268691388389408E-3</v>
      </c>
      <c r="BJ11">
        <f t="shared" si="3"/>
        <v>0.10982587478212966</v>
      </c>
      <c r="BK11">
        <f t="shared" si="4"/>
        <v>9.9460722438703089E-2</v>
      </c>
      <c r="BL11">
        <f t="shared" si="5"/>
        <v>5.3742669335246157E-2</v>
      </c>
      <c r="BM11">
        <f t="shared" si="6"/>
        <v>2.7966991280676604E-2</v>
      </c>
      <c r="BN11">
        <f t="shared" si="7"/>
        <v>0.1257965344472565</v>
      </c>
      <c r="BO11">
        <f t="shared" si="8"/>
        <v>3.8089905759677183E-2</v>
      </c>
      <c r="BP11">
        <f t="shared" si="9"/>
        <v>3.5778637355612944E-2</v>
      </c>
      <c r="BQ11">
        <f t="shared" si="10"/>
        <v>3.0623275665368765E-2</v>
      </c>
      <c r="BR11">
        <f t="shared" si="11"/>
        <v>1.1882692793010845E-2</v>
      </c>
      <c r="BS11">
        <f t="shared" si="12"/>
        <v>0.1377322047879444</v>
      </c>
      <c r="BT11">
        <f t="shared" si="13"/>
        <v>1.6457941199371121E-2</v>
      </c>
      <c r="BU11">
        <f t="shared" si="14"/>
        <v>5.7618249911917517E-2</v>
      </c>
      <c r="BV11">
        <f t="shared" si="15"/>
        <v>2.2422705490922998E-2</v>
      </c>
      <c r="BW11">
        <f t="shared" si="16"/>
        <v>0.11016942203870839</v>
      </c>
      <c r="BX11">
        <f t="shared" si="17"/>
        <v>4.2859635418449345E-2</v>
      </c>
      <c r="BY11">
        <f t="shared" si="18"/>
        <v>7.3945668156165614E-2</v>
      </c>
      <c r="CA11">
        <f t="shared" si="19"/>
        <v>2.9399813575795471E-3</v>
      </c>
      <c r="CB11">
        <f t="shared" si="20"/>
        <v>5.6095048749256561E-2</v>
      </c>
      <c r="CC11">
        <f t="shared" si="21"/>
        <v>6.1377166685144681E-2</v>
      </c>
      <c r="CD11">
        <f t="shared" si="22"/>
        <v>3.522530641768444E-2</v>
      </c>
      <c r="CE11">
        <f t="shared" si="23"/>
        <v>2.7424959698416729E-2</v>
      </c>
      <c r="CF11">
        <f t="shared" si="24"/>
        <v>0.10935740185395415</v>
      </c>
      <c r="CG11">
        <f t="shared" si="25"/>
        <v>3.4150935741402461E-2</v>
      </c>
      <c r="CH11">
        <f t="shared" si="26"/>
        <v>3.0163939500685955E-2</v>
      </c>
      <c r="CI11">
        <f t="shared" si="27"/>
        <v>3.7136085743317115E-2</v>
      </c>
      <c r="CJ11">
        <f t="shared" si="28"/>
        <v>1.3724620774603123E-2</v>
      </c>
      <c r="CK11">
        <f t="shared" si="29"/>
        <v>0.17688678435300714</v>
      </c>
      <c r="CL11">
        <f t="shared" si="30"/>
        <v>1.4106097961206022E-2</v>
      </c>
      <c r="CM11">
        <f t="shared" si="31"/>
        <v>9.7247481837457364E-2</v>
      </c>
      <c r="CN11">
        <f t="shared" si="32"/>
        <v>1.6435713499054989E-2</v>
      </c>
      <c r="CO11">
        <f t="shared" si="33"/>
        <v>0.10497653381697934</v>
      </c>
      <c r="CP11">
        <f t="shared" si="34"/>
        <v>4.2339033958030722E-2</v>
      </c>
      <c r="CQ11" s="25">
        <f t="shared" si="35"/>
        <v>9.1271366335131512E-2</v>
      </c>
      <c r="CR11">
        <f t="shared" si="57"/>
        <v>0.95085845828291193</v>
      </c>
      <c r="CS11">
        <f t="shared" si="58"/>
        <v>4.9141541717088066E-2</v>
      </c>
      <c r="DC11">
        <f t="shared" si="59"/>
        <v>0.27299552175928216</v>
      </c>
      <c r="DD11">
        <f t="shared" si="60"/>
        <v>0.2608793580942505</v>
      </c>
      <c r="DE11">
        <f t="shared" si="61"/>
        <v>0.38081184996363798</v>
      </c>
      <c r="DF11">
        <f t="shared" si="62"/>
        <v>0.42960674585924968</v>
      </c>
      <c r="DG11">
        <f t="shared" si="63"/>
        <v>0.96161339004177893</v>
      </c>
      <c r="DH11">
        <f t="shared" si="64"/>
        <v>0.75571668921725088</v>
      </c>
      <c r="DI11">
        <f t="shared" si="65"/>
        <v>0.80386925631068284</v>
      </c>
      <c r="DJ11">
        <f t="shared" si="66"/>
        <v>0.71076908460085564</v>
      </c>
      <c r="DK11">
        <f t="shared" si="67"/>
        <v>1.4705810457474957</v>
      </c>
      <c r="DL11">
        <f t="shared" si="68"/>
        <v>1.3340465005112463</v>
      </c>
      <c r="DM11">
        <f t="shared" si="69"/>
        <v>1.6493763937631332</v>
      </c>
      <c r="DN11">
        <f t="shared" si="70"/>
        <v>0.73462005162129052</v>
      </c>
      <c r="DO11">
        <f t="shared" si="71"/>
        <v>2.848633667427928</v>
      </c>
      <c r="DP11">
        <f t="shared" si="72"/>
        <v>0.53728052507884716</v>
      </c>
      <c r="DQ11">
        <f t="shared" si="73"/>
        <v>0.90795079982997029</v>
      </c>
      <c r="DR11">
        <f t="shared" si="74"/>
        <v>0.97585421944687611</v>
      </c>
      <c r="DS11">
        <f t="shared" si="75"/>
        <v>1.5235041058939034</v>
      </c>
      <c r="DT11" s="15"/>
    </row>
    <row r="12" spans="1:124" x14ac:dyDescent="0.25">
      <c r="A12" t="s">
        <v>121</v>
      </c>
      <c r="B12" s="26">
        <f t="shared" si="76"/>
        <v>37773</v>
      </c>
      <c r="D12">
        <v>4.9485447452614117</v>
      </c>
      <c r="E12">
        <v>117.75312355029678</v>
      </c>
      <c r="F12">
        <v>105.33118442330908</v>
      </c>
      <c r="G12">
        <v>89.977828195581296</v>
      </c>
      <c r="H12">
        <v>89.416627561022253</v>
      </c>
      <c r="I12">
        <v>312.07942021917103</v>
      </c>
      <c r="J12">
        <v>75.545084185541896</v>
      </c>
      <c r="K12">
        <v>50.687243494762612</v>
      </c>
      <c r="L12">
        <v>161.56276536321451</v>
      </c>
      <c r="M12">
        <v>37.788204326866065</v>
      </c>
      <c r="N12">
        <v>572.40494775337368</v>
      </c>
      <c r="O12">
        <v>50.1040751122828</v>
      </c>
      <c r="P12">
        <v>570.3884747324031</v>
      </c>
      <c r="Q12">
        <v>60.252425817466396</v>
      </c>
      <c r="R12">
        <v>350.10731634572858</v>
      </c>
      <c r="S12">
        <v>143.96694660399496</v>
      </c>
      <c r="T12">
        <v>353.60527158584551</v>
      </c>
      <c r="U12">
        <f t="shared" si="37"/>
        <v>3145.9194840161217</v>
      </c>
      <c r="W12">
        <v>37.990305003994628</v>
      </c>
      <c r="X12">
        <v>772.63971569167859</v>
      </c>
      <c r="Y12">
        <v>800.43377562181729</v>
      </c>
      <c r="Z12">
        <v>408.15373446285821</v>
      </c>
      <c r="AA12">
        <v>246.44147388537644</v>
      </c>
      <c r="AB12">
        <v>1058.6797837730085</v>
      </c>
      <c r="AC12">
        <v>278.48642305880207</v>
      </c>
      <c r="AD12">
        <v>255.96262507961308</v>
      </c>
      <c r="AE12">
        <v>231.15430681622908</v>
      </c>
      <c r="AF12">
        <v>97.898273344943746</v>
      </c>
      <c r="AG12">
        <v>1128.5907554203523</v>
      </c>
      <c r="AH12">
        <v>164.30687355084603</v>
      </c>
      <c r="AI12">
        <v>503.70188608019527</v>
      </c>
      <c r="AJ12">
        <v>142.80603873178185</v>
      </c>
      <c r="AK12">
        <v>854.39806607541232</v>
      </c>
      <c r="AL12">
        <v>348.90144429458991</v>
      </c>
      <c r="AM12">
        <v>553.82583819085119</v>
      </c>
      <c r="AN12">
        <f t="shared" si="38"/>
        <v>7884.3713190823501</v>
      </c>
      <c r="AP12">
        <f t="shared" si="39"/>
        <v>0.13025809465707314</v>
      </c>
      <c r="AQ12">
        <f t="shared" si="40"/>
        <v>0.15240366390547555</v>
      </c>
      <c r="AR12">
        <f t="shared" si="41"/>
        <v>0.13159262843635317</v>
      </c>
      <c r="AS12">
        <f t="shared" si="42"/>
        <v>0.22045082673075292</v>
      </c>
      <c r="AT12">
        <f t="shared" si="43"/>
        <v>0.36283108582044615</v>
      </c>
      <c r="AU12">
        <f t="shared" si="44"/>
        <v>0.29478169414641808</v>
      </c>
      <c r="AV12">
        <f t="shared" si="45"/>
        <v>0.27127025926714798</v>
      </c>
      <c r="AW12">
        <f t="shared" si="46"/>
        <v>0.1980259558558487</v>
      </c>
      <c r="AX12">
        <f t="shared" si="47"/>
        <v>0.69893902297766475</v>
      </c>
      <c r="AY12">
        <f t="shared" si="48"/>
        <v>0.38599459454938129</v>
      </c>
      <c r="AZ12">
        <f t="shared" si="49"/>
        <v>0.50718557192166358</v>
      </c>
      <c r="BA12">
        <f t="shared" si="50"/>
        <v>0.30494205159821086</v>
      </c>
      <c r="BB12">
        <f t="shared" si="51"/>
        <v>1.1323929699194943</v>
      </c>
      <c r="BC12">
        <f t="shared" si="52"/>
        <v>0.42191791294367065</v>
      </c>
      <c r="BD12">
        <f t="shared" si="53"/>
        <v>0.40977072660511715</v>
      </c>
      <c r="BE12">
        <f t="shared" si="54"/>
        <v>0.41262926525015625</v>
      </c>
      <c r="BF12">
        <f t="shared" si="55"/>
        <v>0.63847738260270792</v>
      </c>
      <c r="BG12">
        <f t="shared" si="56"/>
        <v>0.39900701738921529</v>
      </c>
      <c r="BI12">
        <f t="shared" si="2"/>
        <v>4.8184317387548236E-3</v>
      </c>
      <c r="BJ12">
        <f t="shared" si="3"/>
        <v>9.7996363238458548E-2</v>
      </c>
      <c r="BK12">
        <f t="shared" si="4"/>
        <v>0.10152157264391481</v>
      </c>
      <c r="BL12">
        <f t="shared" si="5"/>
        <v>5.1767441936050596E-2</v>
      </c>
      <c r="BM12">
        <f t="shared" si="6"/>
        <v>3.1256959358182457E-2</v>
      </c>
      <c r="BN12">
        <f t="shared" si="7"/>
        <v>0.13427573879108304</v>
      </c>
      <c r="BO12">
        <f t="shared" si="8"/>
        <v>3.5321322625278727E-2</v>
      </c>
      <c r="BP12">
        <f t="shared" si="9"/>
        <v>3.2464557378229134E-2</v>
      </c>
      <c r="BQ12">
        <f t="shared" si="10"/>
        <v>2.9318039125931575E-2</v>
      </c>
      <c r="BR12">
        <f t="shared" si="11"/>
        <v>1.2416750731666197E-2</v>
      </c>
      <c r="BS12">
        <f t="shared" si="12"/>
        <v>0.14314277064664011</v>
      </c>
      <c r="BT12">
        <f t="shared" si="13"/>
        <v>2.083956562943429E-2</v>
      </c>
      <c r="BU12">
        <f t="shared" si="14"/>
        <v>6.388611922184563E-2</v>
      </c>
      <c r="BV12">
        <f t="shared" si="15"/>
        <v>1.8112546067706365E-2</v>
      </c>
      <c r="BW12">
        <f t="shared" si="16"/>
        <v>0.10836603598406555</v>
      </c>
      <c r="BX12">
        <f t="shared" si="17"/>
        <v>4.4252284700259145E-2</v>
      </c>
      <c r="BY12">
        <f t="shared" si="18"/>
        <v>7.024350018249903E-2</v>
      </c>
      <c r="CA12">
        <f t="shared" si="19"/>
        <v>2.7530734905486958E-3</v>
      </c>
      <c r="CB12">
        <f t="shared" si="20"/>
        <v>6.0564396762412084E-2</v>
      </c>
      <c r="CC12">
        <f t="shared" si="21"/>
        <v>5.830205336321375E-2</v>
      </c>
      <c r="CD12">
        <f t="shared" si="22"/>
        <v>3.8478869501629598E-2</v>
      </c>
      <c r="CE12">
        <f t="shared" si="23"/>
        <v>2.9806343726539349E-2</v>
      </c>
      <c r="CF12">
        <f t="shared" si="24"/>
        <v>0.11541374645452891</v>
      </c>
      <c r="CG12">
        <f t="shared" si="25"/>
        <v>2.9123782696151079E-2</v>
      </c>
      <c r="CH12">
        <f t="shared" si="26"/>
        <v>2.2870743242993291E-2</v>
      </c>
      <c r="CI12">
        <f t="shared" si="27"/>
        <v>3.8802910092573438E-2</v>
      </c>
      <c r="CJ12">
        <f t="shared" si="28"/>
        <v>1.2212604903591839E-2</v>
      </c>
      <c r="CK12">
        <f t="shared" si="29"/>
        <v>0.16138478852410357</v>
      </c>
      <c r="CL12">
        <f t="shared" si="30"/>
        <v>1.8218266659502994E-2</v>
      </c>
      <c r="CM12">
        <f t="shared" si="31"/>
        <v>0.10762541101223484</v>
      </c>
      <c r="CN12">
        <f t="shared" si="32"/>
        <v>1.8625297494325115E-2</v>
      </c>
      <c r="CO12">
        <f t="shared" si="33"/>
        <v>0.10981796337762822</v>
      </c>
      <c r="CP12">
        <f t="shared" si="34"/>
        <v>4.5001339822970859E-2</v>
      </c>
      <c r="CQ12" s="25">
        <f t="shared" si="35"/>
        <v>8.8856384032679633E-2</v>
      </c>
      <c r="CR12">
        <f t="shared" si="57"/>
        <v>0.95785797515762727</v>
      </c>
      <c r="CS12">
        <f t="shared" si="58"/>
        <v>4.2142024842372727E-2</v>
      </c>
      <c r="DC12">
        <f t="shared" si="59"/>
        <v>0.32645564859830928</v>
      </c>
      <c r="DD12">
        <f t="shared" si="60"/>
        <v>0.381957352285892</v>
      </c>
      <c r="DE12">
        <f t="shared" si="61"/>
        <v>0.32980028596336652</v>
      </c>
      <c r="DF12">
        <f t="shared" si="62"/>
        <v>0.55249862063381205</v>
      </c>
      <c r="DG12">
        <f t="shared" si="63"/>
        <v>0.90933509940382584</v>
      </c>
      <c r="DH12">
        <f t="shared" si="64"/>
        <v>0.73878824506705454</v>
      </c>
      <c r="DI12">
        <f t="shared" si="65"/>
        <v>0.679863379451632</v>
      </c>
      <c r="DJ12">
        <f t="shared" si="66"/>
        <v>0.496296925180848</v>
      </c>
      <c r="DK12">
        <f t="shared" si="67"/>
        <v>1.7516960667783892</v>
      </c>
      <c r="DL12">
        <f t="shared" si="68"/>
        <v>0.96738798499089829</v>
      </c>
      <c r="DM12">
        <f t="shared" si="69"/>
        <v>1.2711194285260514</v>
      </c>
      <c r="DN12">
        <f t="shared" si="70"/>
        <v>0.7642523522355803</v>
      </c>
      <c r="DO12">
        <f t="shared" si="71"/>
        <v>2.838027705199206</v>
      </c>
      <c r="DP12">
        <f t="shared" si="72"/>
        <v>1.0574197809962493</v>
      </c>
      <c r="DQ12">
        <f t="shared" si="73"/>
        <v>1.0269762403837683</v>
      </c>
      <c r="DR12">
        <f t="shared" si="74"/>
        <v>1.0341403716407649</v>
      </c>
      <c r="DS12">
        <f t="shared" si="75"/>
        <v>1.6001657985375703</v>
      </c>
    </row>
    <row r="13" spans="1:124" x14ac:dyDescent="0.25">
      <c r="A13" t="s">
        <v>122</v>
      </c>
      <c r="B13" s="26">
        <f t="shared" si="76"/>
        <v>37865</v>
      </c>
      <c r="D13">
        <v>7.9066835381490144</v>
      </c>
      <c r="E13">
        <v>91.811742513819425</v>
      </c>
      <c r="F13">
        <v>117.18117288149591</v>
      </c>
      <c r="G13">
        <v>77.689992416800095</v>
      </c>
      <c r="H13">
        <v>112.33011015385758</v>
      </c>
      <c r="I13">
        <v>325.72829893866327</v>
      </c>
      <c r="J13">
        <v>80.0259058824942</v>
      </c>
      <c r="K13">
        <v>64.865353526444707</v>
      </c>
      <c r="L13">
        <v>158.47737927207618</v>
      </c>
      <c r="M13">
        <v>48.186095560238762</v>
      </c>
      <c r="N13">
        <v>687.09675242169658</v>
      </c>
      <c r="O13">
        <v>42.738515386494761</v>
      </c>
      <c r="P13">
        <v>483.12797968802414</v>
      </c>
      <c r="Q13">
        <v>45.502403304152928</v>
      </c>
      <c r="R13">
        <v>308.09443671821822</v>
      </c>
      <c r="S13">
        <v>114.5950643734415</v>
      </c>
      <c r="T13">
        <v>302.98521804533186</v>
      </c>
      <c r="U13">
        <f t="shared" si="37"/>
        <v>3068.3431046213987</v>
      </c>
      <c r="W13">
        <v>30.956937347191225</v>
      </c>
      <c r="X13">
        <v>805.33157667178432</v>
      </c>
      <c r="Y13">
        <v>791.86713760043767</v>
      </c>
      <c r="Z13">
        <v>423.34841307228106</v>
      </c>
      <c r="AA13">
        <v>224.90839854329397</v>
      </c>
      <c r="AB13">
        <v>1033.8512906924441</v>
      </c>
      <c r="AC13">
        <v>272.48713883021367</v>
      </c>
      <c r="AD13">
        <v>226.72731006661763</v>
      </c>
      <c r="AE13">
        <v>204.5552989877915</v>
      </c>
      <c r="AF13">
        <v>105.33197937122536</v>
      </c>
      <c r="AG13">
        <v>984.40818567025588</v>
      </c>
      <c r="AH13">
        <v>137.18721403470371</v>
      </c>
      <c r="AI13">
        <v>499.95458608827329</v>
      </c>
      <c r="AJ13">
        <v>155.45273868595075</v>
      </c>
      <c r="AK13">
        <v>881.64343460229668</v>
      </c>
      <c r="AL13">
        <v>362.83887011934104</v>
      </c>
      <c r="AM13">
        <v>558.70152475057478</v>
      </c>
      <c r="AN13">
        <f t="shared" si="38"/>
        <v>7699.5520351346777</v>
      </c>
      <c r="AP13">
        <f t="shared" si="39"/>
        <v>0.25540910101904513</v>
      </c>
      <c r="AQ13">
        <f t="shared" si="40"/>
        <v>0.11400489583837295</v>
      </c>
      <c r="AR13">
        <f t="shared" si="41"/>
        <v>0.1479808509753103</v>
      </c>
      <c r="AS13">
        <f t="shared" si="42"/>
        <v>0.18351313012607318</v>
      </c>
      <c r="AT13">
        <f t="shared" si="43"/>
        <v>0.49944826819010263</v>
      </c>
      <c r="AU13">
        <f t="shared" si="44"/>
        <v>0.3150630094203391</v>
      </c>
      <c r="AV13">
        <f t="shared" si="45"/>
        <v>0.29368691023747079</v>
      </c>
      <c r="AW13">
        <f t="shared" si="46"/>
        <v>0.28609413443570514</v>
      </c>
      <c r="AX13">
        <f t="shared" si="47"/>
        <v>0.77474101162998765</v>
      </c>
      <c r="AY13">
        <f t="shared" si="48"/>
        <v>0.45746881287035096</v>
      </c>
      <c r="AZ13">
        <f t="shared" si="49"/>
        <v>0.69797951949563652</v>
      </c>
      <c r="BA13">
        <f t="shared" si="50"/>
        <v>0.31153424673879132</v>
      </c>
      <c r="BB13">
        <f t="shared" si="51"/>
        <v>0.96634373027377696</v>
      </c>
      <c r="BC13">
        <f t="shared" si="52"/>
        <v>0.29270892033673301</v>
      </c>
      <c r="BD13">
        <f t="shared" si="53"/>
        <v>0.34945469407050878</v>
      </c>
      <c r="BE13">
        <f t="shared" si="54"/>
        <v>0.31582907403429555</v>
      </c>
      <c r="BF13">
        <f t="shared" si="55"/>
        <v>0.54230247211262894</v>
      </c>
      <c r="BG13">
        <f t="shared" si="56"/>
        <v>0.3985093016606554</v>
      </c>
      <c r="BI13">
        <f t="shared" si="2"/>
        <v>4.0206153820284869E-3</v>
      </c>
      <c r="BJ13">
        <f t="shared" si="3"/>
        <v>0.10459460147770763</v>
      </c>
      <c r="BK13">
        <f t="shared" si="4"/>
        <v>0.10284587129056096</v>
      </c>
      <c r="BL13">
        <f t="shared" si="5"/>
        <v>5.4983512175832187E-2</v>
      </c>
      <c r="BM13">
        <f t="shared" si="6"/>
        <v>2.9210582319203711E-2</v>
      </c>
      <c r="BN13">
        <f t="shared" si="7"/>
        <v>0.13427421309379597</v>
      </c>
      <c r="BO13">
        <f t="shared" si="8"/>
        <v>3.5389999000824651E-2</v>
      </c>
      <c r="BP13">
        <f t="shared" si="9"/>
        <v>2.9446818338523223E-2</v>
      </c>
      <c r="BQ13">
        <f t="shared" si="10"/>
        <v>2.6567168850130836E-2</v>
      </c>
      <c r="BR13">
        <f t="shared" si="11"/>
        <v>1.3680273721194864E-2</v>
      </c>
      <c r="BS13">
        <f t="shared" si="12"/>
        <v>0.12785265703487605</v>
      </c>
      <c r="BT13">
        <f t="shared" si="13"/>
        <v>1.7817557879820742E-2</v>
      </c>
      <c r="BU13">
        <f t="shared" si="14"/>
        <v>6.4932944644944951E-2</v>
      </c>
      <c r="BV13">
        <f t="shared" si="15"/>
        <v>2.0189841951400181E-2</v>
      </c>
      <c r="BW13">
        <f t="shared" si="16"/>
        <v>0.11450580898462299</v>
      </c>
      <c r="BX13">
        <f t="shared" si="17"/>
        <v>4.7124672768445598E-2</v>
      </c>
      <c r="BY13">
        <f t="shared" si="18"/>
        <v>7.2562861086086838E-2</v>
      </c>
      <c r="CA13">
        <f t="shared" si="19"/>
        <v>3.2187813972577536E-3</v>
      </c>
      <c r="CB13">
        <f t="shared" si="20"/>
        <v>5.5943777660897157E-2</v>
      </c>
      <c r="CC13">
        <f t="shared" si="21"/>
        <v>6.2671543472276103E-2</v>
      </c>
      <c r="CD13">
        <f t="shared" si="22"/>
        <v>3.7311853009586504E-2</v>
      </c>
      <c r="CE13">
        <f t="shared" si="23"/>
        <v>3.2701391965870213E-2</v>
      </c>
      <c r="CF13">
        <f t="shared" si="24"/>
        <v>0.1193911383357484</v>
      </c>
      <c r="CG13">
        <f t="shared" si="25"/>
        <v>3.0381108389004687E-2</v>
      </c>
      <c r="CH13">
        <f t="shared" si="26"/>
        <v>2.4950176527466887E-2</v>
      </c>
      <c r="CI13">
        <f t="shared" si="27"/>
        <v>3.7042843580937103E-2</v>
      </c>
      <c r="CJ13">
        <f t="shared" si="28"/>
        <v>1.4657378461659595E-2</v>
      </c>
      <c r="CK13">
        <f t="shared" si="29"/>
        <v>0.16920448340013208</v>
      </c>
      <c r="CL13">
        <f t="shared" si="30"/>
        <v>1.5753673652167302E-2</v>
      </c>
      <c r="CM13">
        <f t="shared" si="31"/>
        <v>0.10111409132891432</v>
      </c>
      <c r="CN13">
        <f t="shared" si="32"/>
        <v>1.7303408739273766E-2</v>
      </c>
      <c r="CO13">
        <f t="shared" si="33"/>
        <v>0.10722689428145779</v>
      </c>
      <c r="CP13">
        <f t="shared" si="34"/>
        <v>4.1952241458864885E-2</v>
      </c>
      <c r="CQ13" s="25">
        <f t="shared" si="35"/>
        <v>8.4647855288848772E-2</v>
      </c>
      <c r="CR13">
        <f t="shared" si="57"/>
        <v>0.95547264095036333</v>
      </c>
      <c r="CS13">
        <f t="shared" si="58"/>
        <v>4.4527359049636672E-2</v>
      </c>
      <c r="DC13">
        <f t="shared" si="59"/>
        <v>0.64091126594714942</v>
      </c>
      <c r="DD13">
        <f t="shared" si="60"/>
        <v>0.2860783810146848</v>
      </c>
      <c r="DE13">
        <f t="shared" si="61"/>
        <v>0.37133600234335601</v>
      </c>
      <c r="DF13">
        <f t="shared" si="62"/>
        <v>0.46049898800691236</v>
      </c>
      <c r="DG13">
        <f t="shared" si="63"/>
        <v>1.2532913688810212</v>
      </c>
      <c r="DH13">
        <f t="shared" si="64"/>
        <v>0.7906039033654132</v>
      </c>
      <c r="DI13">
        <f t="shared" si="65"/>
        <v>0.73696375219757215</v>
      </c>
      <c r="DJ13">
        <f t="shared" si="66"/>
        <v>0.71791080720952483</v>
      </c>
      <c r="DK13">
        <f t="shared" si="67"/>
        <v>1.9440976870590256</v>
      </c>
      <c r="DL13">
        <f t="shared" si="68"/>
        <v>1.1479501506338781</v>
      </c>
      <c r="DM13">
        <f t="shared" si="69"/>
        <v>1.7514761050420611</v>
      </c>
      <c r="DN13">
        <f t="shared" si="70"/>
        <v>0.78174899667479691</v>
      </c>
      <c r="DO13">
        <f t="shared" si="71"/>
        <v>2.424896297895331</v>
      </c>
      <c r="DP13">
        <f t="shared" si="72"/>
        <v>0.73450963156183713</v>
      </c>
      <c r="DQ13">
        <f t="shared" si="73"/>
        <v>0.87690473626154319</v>
      </c>
      <c r="DR13">
        <f t="shared" si="74"/>
        <v>0.79252622891908064</v>
      </c>
      <c r="DS13">
        <f t="shared" si="75"/>
        <v>1.3608276390356842</v>
      </c>
    </row>
    <row r="14" spans="1:124" x14ac:dyDescent="0.25">
      <c r="A14" t="s">
        <v>123</v>
      </c>
      <c r="B14" s="26">
        <f t="shared" si="76"/>
        <v>37956</v>
      </c>
      <c r="D14">
        <v>7.0476410904135385</v>
      </c>
      <c r="E14">
        <v>97.055194718787604</v>
      </c>
      <c r="F14">
        <v>138.38632821589599</v>
      </c>
      <c r="G14">
        <v>80.069157724537646</v>
      </c>
      <c r="H14">
        <v>122.08130362533178</v>
      </c>
      <c r="I14">
        <v>355.6483280573122</v>
      </c>
      <c r="J14">
        <v>91.619020804293726</v>
      </c>
      <c r="K14">
        <v>81.594676667529725</v>
      </c>
      <c r="L14">
        <v>160.52870715403256</v>
      </c>
      <c r="M14">
        <v>33.240130981366541</v>
      </c>
      <c r="N14">
        <v>620.85295740926392</v>
      </c>
      <c r="O14">
        <v>48.377001854905529</v>
      </c>
      <c r="P14">
        <v>506.70256586607826</v>
      </c>
      <c r="Q14">
        <v>47.88630807614333</v>
      </c>
      <c r="R14">
        <v>383.11690526851334</v>
      </c>
      <c r="S14">
        <v>131.89215059733181</v>
      </c>
      <c r="T14">
        <v>305.88890444661303</v>
      </c>
      <c r="U14">
        <f t="shared" si="37"/>
        <v>3211.9872825583507</v>
      </c>
      <c r="W14">
        <v>34.040011845759288</v>
      </c>
      <c r="X14">
        <v>751.20430011621647</v>
      </c>
      <c r="Y14">
        <v>694.03145034507759</v>
      </c>
      <c r="Z14">
        <v>371.20753234298883</v>
      </c>
      <c r="AA14">
        <v>221.56941806352197</v>
      </c>
      <c r="AB14">
        <v>983.47852715769056</v>
      </c>
      <c r="AC14">
        <v>288.51533274332115</v>
      </c>
      <c r="AD14">
        <v>226.18773656200418</v>
      </c>
      <c r="AE14">
        <v>200.03519427004881</v>
      </c>
      <c r="AF14">
        <v>110.35050949882388</v>
      </c>
      <c r="AG14">
        <v>998.37570018318831</v>
      </c>
      <c r="AH14">
        <v>138.38689564683989</v>
      </c>
      <c r="AI14">
        <v>533.91720065573361</v>
      </c>
      <c r="AJ14">
        <v>145.32116185284823</v>
      </c>
      <c r="AK14">
        <v>822.73211244548168</v>
      </c>
      <c r="AL14">
        <v>348.6887302991492</v>
      </c>
      <c r="AM14">
        <v>561.57938500122407</v>
      </c>
      <c r="AN14">
        <f t="shared" si="38"/>
        <v>7429.6211990299189</v>
      </c>
      <c r="AP14">
        <f t="shared" si="39"/>
        <v>0.20703991298086269</v>
      </c>
      <c r="AQ14">
        <f t="shared" si="40"/>
        <v>0.1291994663818784</v>
      </c>
      <c r="AR14">
        <f t="shared" si="41"/>
        <v>0.19939489506864463</v>
      </c>
      <c r="AS14">
        <f t="shared" si="42"/>
        <v>0.21569917296439783</v>
      </c>
      <c r="AT14">
        <f t="shared" si="43"/>
        <v>0.55098444854123396</v>
      </c>
      <c r="AU14">
        <f t="shared" si="44"/>
        <v>0.36162287049129205</v>
      </c>
      <c r="AV14">
        <f t="shared" si="45"/>
        <v>0.31755338592629656</v>
      </c>
      <c r="AW14">
        <f t="shared" si="46"/>
        <v>0.36073872928633521</v>
      </c>
      <c r="AX14">
        <f t="shared" si="47"/>
        <v>0.80250231835362817</v>
      </c>
      <c r="AY14">
        <f t="shared" si="48"/>
        <v>0.30122317633450357</v>
      </c>
      <c r="AZ14">
        <f t="shared" si="49"/>
        <v>0.6218630494465619</v>
      </c>
      <c r="BA14">
        <f t="shared" si="50"/>
        <v>0.34957791074642286</v>
      </c>
      <c r="BB14">
        <f t="shared" si="51"/>
        <v>0.94902836103382415</v>
      </c>
      <c r="BC14">
        <f t="shared" si="52"/>
        <v>0.32952054240133904</v>
      </c>
      <c r="BD14">
        <f t="shared" si="53"/>
        <v>0.46566421739603675</v>
      </c>
      <c r="BE14">
        <f t="shared" si="54"/>
        <v>0.37825183074938518</v>
      </c>
      <c r="BF14">
        <f t="shared" si="55"/>
        <v>0.5446939695728793</v>
      </c>
      <c r="BG14">
        <f t="shared" si="56"/>
        <v>0.43232180975494927</v>
      </c>
      <c r="BI14">
        <f t="shared" si="2"/>
        <v>4.581661828224011E-3</v>
      </c>
      <c r="BJ14">
        <f t="shared" si="3"/>
        <v>0.10110936748892403</v>
      </c>
      <c r="BK14">
        <f t="shared" si="4"/>
        <v>9.3414109784721838E-2</v>
      </c>
      <c r="BL14">
        <f t="shared" si="5"/>
        <v>4.9963184178415068E-2</v>
      </c>
      <c r="BM14">
        <f t="shared" si="6"/>
        <v>2.982243806621691E-2</v>
      </c>
      <c r="BN14">
        <f t="shared" si="7"/>
        <v>0.13237263392191553</v>
      </c>
      <c r="BO14">
        <f t="shared" si="8"/>
        <v>3.8833114773198993E-2</v>
      </c>
      <c r="BP14">
        <f t="shared" si="9"/>
        <v>3.0444046944349917E-2</v>
      </c>
      <c r="BQ14">
        <f t="shared" si="10"/>
        <v>2.6924009839985823E-2</v>
      </c>
      <c r="BR14">
        <f t="shared" si="11"/>
        <v>1.4852777354682939E-2</v>
      </c>
      <c r="BS14">
        <f t="shared" si="12"/>
        <v>0.13437773924645655</v>
      </c>
      <c r="BT14">
        <f t="shared" si="13"/>
        <v>1.8626372992597385E-2</v>
      </c>
      <c r="BU14">
        <f t="shared" si="14"/>
        <v>7.1863313936576856E-2</v>
      </c>
      <c r="BV14">
        <f t="shared" si="15"/>
        <v>1.9559700011599884E-2</v>
      </c>
      <c r="BW14">
        <f t="shared" si="16"/>
        <v>0.11073675096018426</v>
      </c>
      <c r="BX14">
        <f t="shared" si="17"/>
        <v>4.693223529951665E-2</v>
      </c>
      <c r="BY14">
        <f t="shared" si="18"/>
        <v>7.5586543372433188E-2</v>
      </c>
      <c r="CA14">
        <f t="shared" si="19"/>
        <v>3.1706368030422019E-3</v>
      </c>
      <c r="CB14">
        <f t="shared" si="20"/>
        <v>5.5273654666921995E-2</v>
      </c>
      <c r="CC14">
        <f t="shared" si="21"/>
        <v>6.3440401720605499E-2</v>
      </c>
      <c r="CD14">
        <f t="shared" si="22"/>
        <v>3.5291553473074354E-2</v>
      </c>
      <c r="CE14">
        <f t="shared" si="23"/>
        <v>3.366737398189968E-2</v>
      </c>
      <c r="CF14">
        <f t="shared" si="24"/>
        <v>0.12106610836557148</v>
      </c>
      <c r="CG14">
        <f t="shared" si="25"/>
        <v>3.3281816943901393E-2</v>
      </c>
      <c r="CH14">
        <f t="shared" si="26"/>
        <v>2.7809629046319017E-2</v>
      </c>
      <c r="CI14">
        <f t="shared" si="27"/>
        <v>3.6682532905089021E-2</v>
      </c>
      <c r="CJ14">
        <f t="shared" si="28"/>
        <v>1.2397904598893245E-2</v>
      </c>
      <c r="CK14">
        <f t="shared" si="29"/>
        <v>0.16116514888074401</v>
      </c>
      <c r="CL14">
        <f t="shared" si="30"/>
        <v>1.6749302029591913E-2</v>
      </c>
      <c r="CM14">
        <f t="shared" si="31"/>
        <v>0.10647392488439082</v>
      </c>
      <c r="CN14">
        <f t="shared" si="32"/>
        <v>1.7076539377692584E-2</v>
      </c>
      <c r="CO14">
        <f t="shared" si="33"/>
        <v>0.11492767949600664</v>
      </c>
      <c r="CP14">
        <f t="shared" si="34"/>
        <v>4.3899359722872532E-2</v>
      </c>
      <c r="CQ14" s="25">
        <f t="shared" si="35"/>
        <v>8.4843230436690786E-2</v>
      </c>
      <c r="CR14">
        <f t="shared" si="57"/>
        <v>0.96721679733330723</v>
      </c>
      <c r="CS14">
        <f t="shared" si="58"/>
        <v>3.2783202666692768E-2</v>
      </c>
      <c r="DC14">
        <f t="shared" si="59"/>
        <v>0.47890230913452653</v>
      </c>
      <c r="DD14">
        <f t="shared" si="60"/>
        <v>0.29885021635876263</v>
      </c>
      <c r="DE14">
        <f t="shared" si="61"/>
        <v>0.46121868147634421</v>
      </c>
      <c r="DF14">
        <f t="shared" si="62"/>
        <v>0.49893197173342119</v>
      </c>
      <c r="DG14">
        <f t="shared" si="63"/>
        <v>1.2744775676562456</v>
      </c>
      <c r="DH14">
        <f t="shared" si="64"/>
        <v>0.83646686873435527</v>
      </c>
      <c r="DI14">
        <f t="shared" si="65"/>
        <v>0.73453010873148805</v>
      </c>
      <c r="DJ14">
        <f t="shared" si="66"/>
        <v>0.83442176903083121</v>
      </c>
      <c r="DK14">
        <f t="shared" si="67"/>
        <v>1.8562614706126124</v>
      </c>
      <c r="DL14">
        <f t="shared" si="68"/>
        <v>0.69675683608292704</v>
      </c>
      <c r="DM14">
        <f t="shared" si="69"/>
        <v>1.438426272778256</v>
      </c>
      <c r="DN14">
        <f t="shared" si="70"/>
        <v>0.80860577203951911</v>
      </c>
      <c r="DO14">
        <f t="shared" si="71"/>
        <v>2.1951896472022936</v>
      </c>
      <c r="DP14">
        <f t="shared" si="72"/>
        <v>0.76221123932683266</v>
      </c>
      <c r="DQ14">
        <f t="shared" si="73"/>
        <v>1.0771240471536394</v>
      </c>
      <c r="DR14">
        <f t="shared" si="74"/>
        <v>0.87493117907650253</v>
      </c>
      <c r="DS14">
        <f t="shared" si="75"/>
        <v>1.2599271128181697</v>
      </c>
    </row>
    <row r="15" spans="1:124" x14ac:dyDescent="0.25">
      <c r="A15" t="s">
        <v>124</v>
      </c>
      <c r="B15" s="26">
        <f t="shared" si="76"/>
        <v>38047</v>
      </c>
      <c r="D15">
        <v>9.0225351996920526</v>
      </c>
      <c r="E15">
        <v>120.34235981021395</v>
      </c>
      <c r="F15">
        <v>149.6373732031507</v>
      </c>
      <c r="G15">
        <v>87.761983287935323</v>
      </c>
      <c r="H15">
        <v>100.39852515228741</v>
      </c>
      <c r="I15">
        <v>356.38624396343374</v>
      </c>
      <c r="J15">
        <v>97.74164335284199</v>
      </c>
      <c r="K15">
        <v>71.825323027849691</v>
      </c>
      <c r="L15">
        <v>204.01859010215856</v>
      </c>
      <c r="M15">
        <v>42.700303444289212</v>
      </c>
      <c r="N15">
        <v>596.35927954316219</v>
      </c>
      <c r="O15">
        <v>49.431424539958321</v>
      </c>
      <c r="P15">
        <v>549.32798530904608</v>
      </c>
      <c r="Q15">
        <v>58.629990499104515</v>
      </c>
      <c r="R15">
        <v>376.31260953466818</v>
      </c>
      <c r="S15">
        <v>155.80465125231692</v>
      </c>
      <c r="T15">
        <v>330.96423449033591</v>
      </c>
      <c r="U15">
        <f t="shared" si="37"/>
        <v>3356.6650557124449</v>
      </c>
      <c r="W15">
        <v>23.372437152600039</v>
      </c>
      <c r="X15">
        <v>761.68165778428818</v>
      </c>
      <c r="Y15">
        <v>649.04729095027699</v>
      </c>
      <c r="Z15">
        <v>374.70190235126717</v>
      </c>
      <c r="AA15">
        <v>228.25587229104167</v>
      </c>
      <c r="AB15">
        <v>1064.7683913292151</v>
      </c>
      <c r="AC15">
        <v>246.15638415717589</v>
      </c>
      <c r="AD15">
        <v>211.77278614101729</v>
      </c>
      <c r="AE15">
        <v>262.43382910901863</v>
      </c>
      <c r="AF15">
        <v>100.84003855578156</v>
      </c>
      <c r="AG15">
        <v>924.4654213220233</v>
      </c>
      <c r="AH15">
        <v>129.38432258033299</v>
      </c>
      <c r="AI15">
        <v>502.48863052005601</v>
      </c>
      <c r="AJ15">
        <v>149.06455136632593</v>
      </c>
      <c r="AK15">
        <v>830.24354783994352</v>
      </c>
      <c r="AL15">
        <v>342.18895830765194</v>
      </c>
      <c r="AM15">
        <v>548.18798594779912</v>
      </c>
      <c r="AN15">
        <f t="shared" si="38"/>
        <v>7349.0540077058149</v>
      </c>
      <c r="AP15">
        <f t="shared" si="39"/>
        <v>0.38603313555977842</v>
      </c>
      <c r="AQ15">
        <f t="shared" si="40"/>
        <v>0.15799561218303024</v>
      </c>
      <c r="AR15">
        <f t="shared" si="41"/>
        <v>0.2305492608775318</v>
      </c>
      <c r="AS15">
        <f t="shared" si="42"/>
        <v>0.23421814177410336</v>
      </c>
      <c r="AT15">
        <f t="shared" si="43"/>
        <v>0.43985078738422334</v>
      </c>
      <c r="AU15">
        <f t="shared" si="44"/>
        <v>0.33470776073521036</v>
      </c>
      <c r="AV15">
        <f t="shared" si="45"/>
        <v>0.39707133206194622</v>
      </c>
      <c r="AW15">
        <f t="shared" si="46"/>
        <v>0.33916219518414398</v>
      </c>
      <c r="AX15">
        <f t="shared" si="47"/>
        <v>0.77740964568026949</v>
      </c>
      <c r="AY15">
        <f t="shared" si="48"/>
        <v>0.42344592540659071</v>
      </c>
      <c r="AZ15">
        <f t="shared" si="49"/>
        <v>0.64508554434663878</v>
      </c>
      <c r="BA15">
        <f t="shared" si="50"/>
        <v>0.38205111372181133</v>
      </c>
      <c r="BB15">
        <f t="shared" si="51"/>
        <v>1.0932147554075267</v>
      </c>
      <c r="BC15">
        <f t="shared" si="52"/>
        <v>0.3933194710727797</v>
      </c>
      <c r="BD15">
        <f t="shared" si="53"/>
        <v>0.45325568685685791</v>
      </c>
      <c r="BE15">
        <f t="shared" si="54"/>
        <v>0.45531758833736996</v>
      </c>
      <c r="BF15">
        <f t="shared" si="55"/>
        <v>0.60374222524798593</v>
      </c>
      <c r="BG15">
        <f t="shared" si="56"/>
        <v>0.45674790962113354</v>
      </c>
      <c r="BI15">
        <f t="shared" si="2"/>
        <v>3.1803327514116761E-3</v>
      </c>
      <c r="BJ15">
        <f t="shared" si="3"/>
        <v>0.10364349710665217</v>
      </c>
      <c r="BK15">
        <f t="shared" si="4"/>
        <v>8.8317120852523551E-2</v>
      </c>
      <c r="BL15">
        <f t="shared" si="5"/>
        <v>5.0986412939457965E-2</v>
      </c>
      <c r="BM15">
        <f t="shared" si="6"/>
        <v>3.1059218241110364E-2</v>
      </c>
      <c r="BN15">
        <f t="shared" si="7"/>
        <v>0.14488509544395201</v>
      </c>
      <c r="BO15">
        <f t="shared" si="8"/>
        <v>3.3494975530057314E-2</v>
      </c>
      <c r="BP15">
        <f t="shared" si="9"/>
        <v>2.8816332812218275E-2</v>
      </c>
      <c r="BQ15">
        <f t="shared" si="10"/>
        <v>3.5709878963176067E-2</v>
      </c>
      <c r="BR15">
        <f t="shared" si="11"/>
        <v>1.3721499182077887E-2</v>
      </c>
      <c r="BS15">
        <f t="shared" si="12"/>
        <v>0.12579379881447048</v>
      </c>
      <c r="BT15">
        <f t="shared" si="13"/>
        <v>1.7605575145408878E-2</v>
      </c>
      <c r="BU15">
        <f t="shared" si="14"/>
        <v>6.8374600321779375E-2</v>
      </c>
      <c r="BV15">
        <f t="shared" si="15"/>
        <v>2.0283501959575345E-2</v>
      </c>
      <c r="BW15">
        <f t="shared" si="16"/>
        <v>0.11297284616079779</v>
      </c>
      <c r="BX15">
        <f t="shared" si="17"/>
        <v>4.6562313727569749E-2</v>
      </c>
      <c r="BY15">
        <f t="shared" si="18"/>
        <v>7.4593000047761149E-2</v>
      </c>
      <c r="CA15">
        <f t="shared" si="19"/>
        <v>2.9237926476040712E-3</v>
      </c>
      <c r="CB15">
        <f t="shared" si="20"/>
        <v>6.0957379269645735E-2</v>
      </c>
      <c r="CC15">
        <f t="shared" si="21"/>
        <v>6.2746352574392567E-2</v>
      </c>
      <c r="CD15">
        <f t="shared" si="22"/>
        <v>3.6511228025664415E-2</v>
      </c>
      <c r="CE15">
        <f t="shared" si="23"/>
        <v>3.0479295398159197E-2</v>
      </c>
      <c r="CF15">
        <f t="shared" si="24"/>
        <v>0.12402759377517462</v>
      </c>
      <c r="CG15">
        <f t="shared" si="25"/>
        <v>3.1230263393274438E-2</v>
      </c>
      <c r="CH15">
        <f t="shared" si="26"/>
        <v>2.4831568101743511E-2</v>
      </c>
      <c r="CI15">
        <f t="shared" si="27"/>
        <v>4.6588106155318942E-2</v>
      </c>
      <c r="CJ15">
        <f t="shared" si="28"/>
        <v>1.3211808160506319E-2</v>
      </c>
      <c r="CK15">
        <f t="shared" si="29"/>
        <v>0.14949601055010847</v>
      </c>
      <c r="CL15">
        <f t="shared" si="30"/>
        <v>1.610173475281881E-2</v>
      </c>
      <c r="CM15">
        <f t="shared" si="31"/>
        <v>0.1057813874302323</v>
      </c>
      <c r="CN15">
        <f t="shared" si="32"/>
        <v>1.8822503101721098E-2</v>
      </c>
      <c r="CO15">
        <f t="shared" si="33"/>
        <v>0.11254013113879772</v>
      </c>
      <c r="CP15">
        <f t="shared" si="34"/>
        <v>4.648935084362453E-2</v>
      </c>
      <c r="CQ15" s="25">
        <f t="shared" si="35"/>
        <v>8.5760156663353806E-2</v>
      </c>
      <c r="CR15">
        <f t="shared" si="57"/>
        <v>0.96849866198214052</v>
      </c>
      <c r="CS15">
        <f t="shared" si="58"/>
        <v>3.1501338017859482E-2</v>
      </c>
      <c r="DC15">
        <f t="shared" si="59"/>
        <v>0.84517767334718152</v>
      </c>
      <c r="DD15">
        <f t="shared" si="60"/>
        <v>0.34591425347537014</v>
      </c>
      <c r="DE15">
        <f t="shared" si="61"/>
        <v>0.50476259665593093</v>
      </c>
      <c r="DF15">
        <f t="shared" si="62"/>
        <v>0.51279521337795342</v>
      </c>
      <c r="DG15">
        <f t="shared" si="63"/>
        <v>0.96300558386588753</v>
      </c>
      <c r="DH15">
        <f t="shared" si="64"/>
        <v>0.7328063329569392</v>
      </c>
      <c r="DI15">
        <f t="shared" si="65"/>
        <v>0.86934460716265072</v>
      </c>
      <c r="DJ15">
        <f t="shared" si="66"/>
        <v>0.74255883396483324</v>
      </c>
      <c r="DK15">
        <f t="shared" si="67"/>
        <v>1.7020540856445752</v>
      </c>
      <c r="DL15">
        <f t="shared" si="68"/>
        <v>0.92708891816896022</v>
      </c>
      <c r="DM15">
        <f t="shared" si="69"/>
        <v>1.4123448203227222</v>
      </c>
      <c r="DN15">
        <f t="shared" si="70"/>
        <v>0.83645946850357289</v>
      </c>
      <c r="DO15">
        <f t="shared" si="71"/>
        <v>2.3934751147834135</v>
      </c>
      <c r="DP15">
        <f t="shared" si="72"/>
        <v>0.86113031452959055</v>
      </c>
      <c r="DQ15">
        <f t="shared" si="73"/>
        <v>0.99235415709472563</v>
      </c>
      <c r="DR15">
        <f t="shared" si="74"/>
        <v>0.99686846671077267</v>
      </c>
      <c r="DS15">
        <f t="shared" si="75"/>
        <v>1.3218281080887315</v>
      </c>
    </row>
    <row r="16" spans="1:124" x14ac:dyDescent="0.25">
      <c r="A16" t="s">
        <v>125</v>
      </c>
      <c r="B16" s="26">
        <f t="shared" si="76"/>
        <v>38139</v>
      </c>
      <c r="D16">
        <v>8.4428960863803528</v>
      </c>
      <c r="E16">
        <v>126.17355997843856</v>
      </c>
      <c r="F16">
        <v>176.21978294131478</v>
      </c>
      <c r="G16">
        <v>101.6253249139682</v>
      </c>
      <c r="H16">
        <v>137.4630221670034</v>
      </c>
      <c r="I16">
        <v>390.56776970360187</v>
      </c>
      <c r="J16">
        <v>90.329971021796396</v>
      </c>
      <c r="K16">
        <v>87.681024809520082</v>
      </c>
      <c r="L16">
        <v>191.37884075152124</v>
      </c>
      <c r="M16">
        <v>36.911242975861647</v>
      </c>
      <c r="N16">
        <v>693.87146974618861</v>
      </c>
      <c r="O16">
        <v>43.864574027719819</v>
      </c>
      <c r="P16">
        <v>538.82473490953123</v>
      </c>
      <c r="Q16">
        <v>47.770363037417191</v>
      </c>
      <c r="R16">
        <v>376.71361069518753</v>
      </c>
      <c r="S16">
        <v>129.27816140011996</v>
      </c>
      <c r="T16">
        <v>348.27935950169694</v>
      </c>
      <c r="U16">
        <f t="shared" si="37"/>
        <v>3525.3957086672681</v>
      </c>
      <c r="W16">
        <v>26.759016113754523</v>
      </c>
      <c r="X16">
        <v>762.28407460080746</v>
      </c>
      <c r="Y16">
        <v>574.58512096596883</v>
      </c>
      <c r="Z16">
        <v>411.16111581501127</v>
      </c>
      <c r="AA16">
        <v>216.11493259787713</v>
      </c>
      <c r="AB16">
        <v>1000.8018401857765</v>
      </c>
      <c r="AC16">
        <v>232.66420597444164</v>
      </c>
      <c r="AD16">
        <v>178.66257052248389</v>
      </c>
      <c r="AE16">
        <v>203.52351587391084</v>
      </c>
      <c r="AF16">
        <v>107.79008097479623</v>
      </c>
      <c r="AG16">
        <v>821.90880188406811</v>
      </c>
      <c r="AH16">
        <v>127.99141766341137</v>
      </c>
      <c r="AI16">
        <v>515.34405738815519</v>
      </c>
      <c r="AJ16">
        <v>176.20013515962228</v>
      </c>
      <c r="AK16">
        <v>854.31264594620586</v>
      </c>
      <c r="AL16">
        <v>333.70897736732763</v>
      </c>
      <c r="AM16">
        <v>512.5794807690171</v>
      </c>
      <c r="AN16">
        <f t="shared" si="38"/>
        <v>7056.3919898026361</v>
      </c>
      <c r="AP16">
        <f t="shared" si="39"/>
        <v>0.31551593864621136</v>
      </c>
      <c r="AQ16">
        <f t="shared" si="40"/>
        <v>0.16552039348915043</v>
      </c>
      <c r="AR16">
        <f t="shared" si="41"/>
        <v>0.30669047371964897</v>
      </c>
      <c r="AS16">
        <f t="shared" si="42"/>
        <v>0.24716667263762182</v>
      </c>
      <c r="AT16">
        <f t="shared" si="43"/>
        <v>0.63606443346873887</v>
      </c>
      <c r="AU16">
        <f t="shared" si="44"/>
        <v>0.39025484768403473</v>
      </c>
      <c r="AV16">
        <f t="shared" si="45"/>
        <v>0.38824180386268448</v>
      </c>
      <c r="AW16">
        <f t="shared" si="46"/>
        <v>0.4907632558576997</v>
      </c>
      <c r="AX16">
        <f t="shared" si="47"/>
        <v>0.94032790230533558</v>
      </c>
      <c r="AY16">
        <f t="shared" si="48"/>
        <v>0.34243636002548633</v>
      </c>
      <c r="AZ16">
        <f t="shared" si="49"/>
        <v>0.84421953890215251</v>
      </c>
      <c r="BA16">
        <f t="shared" si="50"/>
        <v>0.34271496346007962</v>
      </c>
      <c r="BB16">
        <f t="shared" si="51"/>
        <v>1.0455631091204967</v>
      </c>
      <c r="BC16">
        <f t="shared" si="52"/>
        <v>0.27111422470897267</v>
      </c>
      <c r="BD16">
        <f t="shared" si="53"/>
        <v>0.44095520823989809</v>
      </c>
      <c r="BE16">
        <f t="shared" si="54"/>
        <v>0.38739791305589599</v>
      </c>
      <c r="BF16">
        <f t="shared" si="55"/>
        <v>0.67946410765249021</v>
      </c>
      <c r="BG16">
        <f t="shared" si="56"/>
        <v>0.4996031560834352</v>
      </c>
      <c r="BI16">
        <f t="shared" si="2"/>
        <v>3.7921668966838335E-3</v>
      </c>
      <c r="BJ16">
        <f t="shared" si="3"/>
        <v>0.10802745591548808</v>
      </c>
      <c r="BK16">
        <f t="shared" si="4"/>
        <v>8.1427608017853287E-2</v>
      </c>
      <c r="BL16">
        <f t="shared" si="5"/>
        <v>5.8267896172603535E-2</v>
      </c>
      <c r="BM16">
        <f t="shared" si="6"/>
        <v>3.0626832085035822E-2</v>
      </c>
      <c r="BN16">
        <f t="shared" si="7"/>
        <v>0.14182911630080353</v>
      </c>
      <c r="BO16">
        <f t="shared" si="8"/>
        <v>3.2972120357070631E-2</v>
      </c>
      <c r="BP16">
        <f t="shared" si="9"/>
        <v>2.5319252499106274E-2</v>
      </c>
      <c r="BQ16">
        <f t="shared" si="10"/>
        <v>2.8842433380689116E-2</v>
      </c>
      <c r="BR16">
        <f t="shared" si="11"/>
        <v>1.527552340212481E-2</v>
      </c>
      <c r="BS16">
        <f t="shared" si="12"/>
        <v>0.11647720294901821</v>
      </c>
      <c r="BT16">
        <f t="shared" si="13"/>
        <v>1.8138365590853637E-2</v>
      </c>
      <c r="BU16">
        <f t="shared" si="14"/>
        <v>7.3032232071700592E-2</v>
      </c>
      <c r="BV16">
        <f t="shared" si="15"/>
        <v>2.4970287281978296E-2</v>
      </c>
      <c r="BW16">
        <f t="shared" si="16"/>
        <v>0.12106932936560127</v>
      </c>
      <c r="BX16">
        <f t="shared" si="17"/>
        <v>4.729172895292362E-2</v>
      </c>
      <c r="BY16">
        <f t="shared" si="18"/>
        <v>7.2640448760465437E-2</v>
      </c>
      <c r="CA16">
        <f t="shared" si="19"/>
        <v>3.0135993093971889E-3</v>
      </c>
      <c r="CB16">
        <f t="shared" si="20"/>
        <v>6.2179513086557038E-2</v>
      </c>
      <c r="CC16">
        <f t="shared" si="21"/>
        <v>6.3798318719570576E-2</v>
      </c>
      <c r="CD16">
        <f t="shared" si="22"/>
        <v>4.0983751222217223E-2</v>
      </c>
      <c r="CE16">
        <f t="shared" si="23"/>
        <v>3.4557319386560988E-2</v>
      </c>
      <c r="CF16">
        <f t="shared" si="24"/>
        <v>0.12535075773313803</v>
      </c>
      <c r="CG16">
        <f t="shared" si="25"/>
        <v>2.9066011291179972E-2</v>
      </c>
      <c r="CH16">
        <f t="shared" si="26"/>
        <v>2.5094255341123032E-2</v>
      </c>
      <c r="CI16">
        <f t="shared" si="27"/>
        <v>3.9569355183186508E-2</v>
      </c>
      <c r="CJ16">
        <f t="shared" si="28"/>
        <v>1.2646590297856426E-2</v>
      </c>
      <c r="CK16">
        <f t="shared" si="29"/>
        <v>0.15141051831471283</v>
      </c>
      <c r="CL16">
        <f t="shared" si="30"/>
        <v>1.5022841940415418E-2</v>
      </c>
      <c r="CM16">
        <f t="shared" si="31"/>
        <v>0.10565185174115031</v>
      </c>
      <c r="CN16">
        <f t="shared" si="32"/>
        <v>1.8394462611934653E-2</v>
      </c>
      <c r="CO16">
        <f t="shared" si="33"/>
        <v>0.11374145732660274</v>
      </c>
      <c r="CP16">
        <f t="shared" si="34"/>
        <v>4.1643885489457633E-2</v>
      </c>
      <c r="CQ16" s="25">
        <f t="shared" si="35"/>
        <v>8.4712830311777662E-2</v>
      </c>
      <c r="CR16">
        <f t="shared" si="57"/>
        <v>0.96683731930683825</v>
      </c>
      <c r="CS16">
        <f t="shared" si="58"/>
        <v>3.316268069316175E-2</v>
      </c>
      <c r="DC16">
        <f t="shared" si="59"/>
        <v>0.63153311744395635</v>
      </c>
      <c r="DD16">
        <f t="shared" si="60"/>
        <v>0.33130373872479707</v>
      </c>
      <c r="DE16">
        <f t="shared" si="61"/>
        <v>0.61386816713469827</v>
      </c>
      <c r="DF16">
        <f t="shared" si="62"/>
        <v>0.49472600328478361</v>
      </c>
      <c r="DG16">
        <f t="shared" si="63"/>
        <v>1.2731393421432153</v>
      </c>
      <c r="DH16">
        <f t="shared" si="64"/>
        <v>0.78112966848204024</v>
      </c>
      <c r="DI16">
        <f t="shared" si="65"/>
        <v>0.7771003828443529</v>
      </c>
      <c r="DJ16">
        <f t="shared" si="66"/>
        <v>0.98230615615995187</v>
      </c>
      <c r="DK16">
        <f t="shared" si="67"/>
        <v>1.8821496438831504</v>
      </c>
      <c r="DL16">
        <f t="shared" si="68"/>
        <v>0.68541672696779055</v>
      </c>
      <c r="DM16">
        <f t="shared" si="69"/>
        <v>1.6897802358181369</v>
      </c>
      <c r="DN16">
        <f t="shared" si="70"/>
        <v>0.68597437643657566</v>
      </c>
      <c r="DO16">
        <f t="shared" si="71"/>
        <v>2.0927872380091301</v>
      </c>
      <c r="DP16">
        <f t="shared" si="72"/>
        <v>0.54265915138393517</v>
      </c>
      <c r="DQ16">
        <f t="shared" si="73"/>
        <v>0.8826109340395305</v>
      </c>
      <c r="DR16">
        <f t="shared" si="74"/>
        <v>0.77541126059499788</v>
      </c>
      <c r="DS16">
        <f t="shared" si="75"/>
        <v>1.3600076368192873</v>
      </c>
    </row>
    <row r="17" spans="1:124" x14ac:dyDescent="0.25">
      <c r="A17" t="s">
        <v>126</v>
      </c>
      <c r="B17" s="26">
        <f t="shared" si="76"/>
        <v>38231</v>
      </c>
      <c r="D17">
        <v>9.5442250078486985</v>
      </c>
      <c r="E17">
        <v>115.19338884282598</v>
      </c>
      <c r="F17">
        <v>162.96388334446047</v>
      </c>
      <c r="G17">
        <v>103.98320450464125</v>
      </c>
      <c r="H17">
        <v>139.25920477660563</v>
      </c>
      <c r="I17">
        <v>440.62398292598363</v>
      </c>
      <c r="J17">
        <v>85.400894951680527</v>
      </c>
      <c r="K17">
        <v>96.317476332346232</v>
      </c>
      <c r="L17">
        <v>241.16350496343765</v>
      </c>
      <c r="M17">
        <v>48.361534161527459</v>
      </c>
      <c r="N17">
        <v>703.58397792144922</v>
      </c>
      <c r="O17">
        <v>48.658810767655503</v>
      </c>
      <c r="P17">
        <v>538.27693080488132</v>
      </c>
      <c r="Q17">
        <v>48.912363329973289</v>
      </c>
      <c r="R17">
        <v>398.87261093526718</v>
      </c>
      <c r="S17">
        <v>164.08033704168102</v>
      </c>
      <c r="T17">
        <v>338.86041097070682</v>
      </c>
      <c r="U17">
        <f t="shared" si="37"/>
        <v>3684.0567415829723</v>
      </c>
      <c r="W17">
        <v>15.848050581277784</v>
      </c>
      <c r="X17">
        <v>722.69156373366638</v>
      </c>
      <c r="Y17">
        <v>575.84855556646187</v>
      </c>
      <c r="Z17">
        <v>349.68466491059962</v>
      </c>
      <c r="AA17">
        <v>195.32133367789001</v>
      </c>
      <c r="AB17">
        <v>927.39603184786165</v>
      </c>
      <c r="AC17">
        <v>230.59565697070957</v>
      </c>
      <c r="AD17">
        <v>176.98161913609943</v>
      </c>
      <c r="AE17">
        <v>219.45816778807466</v>
      </c>
      <c r="AF17">
        <v>111.66562834516246</v>
      </c>
      <c r="AG17">
        <v>816.74878959706848</v>
      </c>
      <c r="AH17">
        <v>119.24739837311598</v>
      </c>
      <c r="AI17">
        <v>475.66719309523722</v>
      </c>
      <c r="AJ17">
        <v>150.80101807479681</v>
      </c>
      <c r="AK17">
        <v>812.6722231700345</v>
      </c>
      <c r="AL17">
        <v>321.10979319057543</v>
      </c>
      <c r="AM17">
        <v>542.80738571333472</v>
      </c>
      <c r="AN17">
        <f t="shared" si="38"/>
        <v>6764.5450737719657</v>
      </c>
      <c r="AP17">
        <f t="shared" si="39"/>
        <v>0.60223337620614625</v>
      </c>
      <c r="AQ17">
        <f t="shared" si="40"/>
        <v>0.15939495439478829</v>
      </c>
      <c r="AR17">
        <f t="shared" si="41"/>
        <v>0.28299781560475218</v>
      </c>
      <c r="AS17">
        <f t="shared" si="42"/>
        <v>0.29736278121096787</v>
      </c>
      <c r="AT17">
        <f t="shared" si="43"/>
        <v>0.712974881721123</v>
      </c>
      <c r="AU17">
        <f t="shared" si="44"/>
        <v>0.4751195474149576</v>
      </c>
      <c r="AV17">
        <f t="shared" si="45"/>
        <v>0.37034910402726368</v>
      </c>
      <c r="AW17">
        <f t="shared" si="46"/>
        <v>0.54422304871263372</v>
      </c>
      <c r="AX17">
        <f t="shared" si="47"/>
        <v>1.0989042121062602</v>
      </c>
      <c r="AY17">
        <f t="shared" si="48"/>
        <v>0.43309239269258598</v>
      </c>
      <c r="AZ17">
        <f t="shared" si="49"/>
        <v>0.86144477577806078</v>
      </c>
      <c r="BA17">
        <f t="shared" si="50"/>
        <v>0.40804924410514859</v>
      </c>
      <c r="BB17">
        <f t="shared" si="51"/>
        <v>1.1316250912791215</v>
      </c>
      <c r="BC17">
        <f t="shared" si="52"/>
        <v>0.32435035223510833</v>
      </c>
      <c r="BD17">
        <f t="shared" si="53"/>
        <v>0.49081609973005252</v>
      </c>
      <c r="BE17">
        <f t="shared" si="54"/>
        <v>0.51097892534314893</v>
      </c>
      <c r="BF17">
        <f t="shared" si="55"/>
        <v>0.62427376614522423</v>
      </c>
      <c r="BG17">
        <f t="shared" si="56"/>
        <v>0.54461263860404907</v>
      </c>
      <c r="BI17">
        <f t="shared" si="2"/>
        <v>2.3428109959271483E-3</v>
      </c>
      <c r="BJ17">
        <f t="shared" si="3"/>
        <v>0.10683520559804439</v>
      </c>
      <c r="BK17">
        <f t="shared" si="4"/>
        <v>8.5127462273728929E-2</v>
      </c>
      <c r="BL17">
        <f t="shared" si="5"/>
        <v>5.1693744530792604E-2</v>
      </c>
      <c r="BM17">
        <f t="shared" si="6"/>
        <v>2.887427484742551E-2</v>
      </c>
      <c r="BN17">
        <f t="shared" si="7"/>
        <v>0.13709658546642486</v>
      </c>
      <c r="BO17">
        <f t="shared" si="8"/>
        <v>3.4088863989508097E-2</v>
      </c>
      <c r="BP17">
        <f t="shared" si="9"/>
        <v>2.616312216209582E-2</v>
      </c>
      <c r="BQ17">
        <f t="shared" si="10"/>
        <v>3.2442413406183868E-2</v>
      </c>
      <c r="BR17">
        <f t="shared" si="11"/>
        <v>1.6507485296848912E-2</v>
      </c>
      <c r="BS17">
        <f t="shared" si="12"/>
        <v>0.12073964777969062</v>
      </c>
      <c r="BT17">
        <f t="shared" si="13"/>
        <v>1.7628295335849194E-2</v>
      </c>
      <c r="BU17">
        <f t="shared" si="14"/>
        <v>7.031769142015655E-2</v>
      </c>
      <c r="BV17">
        <f t="shared" si="15"/>
        <v>2.2292854350175677E-2</v>
      </c>
      <c r="BW17">
        <f t="shared" si="16"/>
        <v>0.12013701059085143</v>
      </c>
      <c r="BX17">
        <f t="shared" si="17"/>
        <v>4.7469532642425274E-2</v>
      </c>
      <c r="BY17">
        <f t="shared" si="18"/>
        <v>8.0242999313871216E-2</v>
      </c>
      <c r="CA17">
        <f t="shared" si="19"/>
        <v>2.4636318286594978E-3</v>
      </c>
      <c r="CB17">
        <f t="shared" si="20"/>
        <v>5.7797335450715123E-2</v>
      </c>
      <c r="CC17">
        <f t="shared" si="21"/>
        <v>6.136452413411312E-2</v>
      </c>
      <c r="CD17">
        <f t="shared" si="22"/>
        <v>3.819771987077155E-2</v>
      </c>
      <c r="CE17">
        <f t="shared" si="23"/>
        <v>3.3037284494828199E-2</v>
      </c>
      <c r="CF17">
        <f t="shared" si="24"/>
        <v>0.128051370168764</v>
      </c>
      <c r="CG17">
        <f t="shared" si="25"/>
        <v>2.811087215046431E-2</v>
      </c>
      <c r="CH17">
        <f t="shared" si="26"/>
        <v>2.6153762563430393E-2</v>
      </c>
      <c r="CI17">
        <f t="shared" si="27"/>
        <v>4.6083898914133663E-2</v>
      </c>
      <c r="CJ17">
        <f t="shared" si="28"/>
        <v>1.4720661931785083E-2</v>
      </c>
      <c r="CK17">
        <f t="shared" si="29"/>
        <v>0.15185173822099921</v>
      </c>
      <c r="CL17">
        <f t="shared" si="30"/>
        <v>1.5258883206526045E-2</v>
      </c>
      <c r="CM17">
        <f t="shared" si="31"/>
        <v>0.10136126699464557</v>
      </c>
      <c r="CN17">
        <f t="shared" si="32"/>
        <v>1.7203983118268817E-2</v>
      </c>
      <c r="CO17">
        <f t="shared" si="33"/>
        <v>0.11404923150918771</v>
      </c>
      <c r="CP17">
        <f t="shared" si="34"/>
        <v>4.5980383841965719E-2</v>
      </c>
      <c r="CQ17" s="25">
        <f t="shared" si="35"/>
        <v>8.591140824965264E-2</v>
      </c>
      <c r="CR17">
        <f t="shared" si="57"/>
        <v>0.96759795664891035</v>
      </c>
      <c r="CS17">
        <f t="shared" si="58"/>
        <v>3.2402043351089649E-2</v>
      </c>
      <c r="DC17">
        <f t="shared" si="59"/>
        <v>1.1058013228444177</v>
      </c>
      <c r="DD17">
        <f t="shared" si="60"/>
        <v>0.29267582699393352</v>
      </c>
      <c r="DE17">
        <f t="shared" si="61"/>
        <v>0.51963137750554611</v>
      </c>
      <c r="DF17">
        <f t="shared" si="62"/>
        <v>0.5460078597756528</v>
      </c>
      <c r="DG17">
        <f t="shared" si="63"/>
        <v>1.3091412706627961</v>
      </c>
      <c r="DH17">
        <f t="shared" si="64"/>
        <v>0.8723990479412741</v>
      </c>
      <c r="DI17">
        <f t="shared" si="65"/>
        <v>0.68002297004443812</v>
      </c>
      <c r="DJ17">
        <f t="shared" si="66"/>
        <v>0.9992846477224363</v>
      </c>
      <c r="DK17">
        <f t="shared" si="67"/>
        <v>2.0177721452131023</v>
      </c>
      <c r="DL17">
        <f t="shared" si="68"/>
        <v>0.79523015441339784</v>
      </c>
      <c r="DM17">
        <f t="shared" si="69"/>
        <v>1.5817568574723417</v>
      </c>
      <c r="DN17">
        <f t="shared" si="70"/>
        <v>0.74924674012534909</v>
      </c>
      <c r="DO17">
        <f t="shared" si="71"/>
        <v>2.0778531584939022</v>
      </c>
      <c r="DP17">
        <f t="shared" si="72"/>
        <v>0.59556155925151322</v>
      </c>
      <c r="DQ17">
        <f t="shared" si="73"/>
        <v>0.90122054638341154</v>
      </c>
      <c r="DR17">
        <f t="shared" si="74"/>
        <v>0.9382428704792638</v>
      </c>
      <c r="DS17">
        <f t="shared" si="75"/>
        <v>1.1462711694413896</v>
      </c>
    </row>
    <row r="18" spans="1:124" x14ac:dyDescent="0.25">
      <c r="A18" t="s">
        <v>127</v>
      </c>
      <c r="B18" s="26">
        <f t="shared" si="76"/>
        <v>38322</v>
      </c>
      <c r="D18">
        <v>10.196582732983591</v>
      </c>
      <c r="E18">
        <v>146.66151203425338</v>
      </c>
      <c r="F18">
        <v>174.61081763643639</v>
      </c>
      <c r="G18">
        <v>89.144613774554884</v>
      </c>
      <c r="H18">
        <v>132.29939745306905</v>
      </c>
      <c r="I18">
        <v>374.02560602288457</v>
      </c>
      <c r="J18">
        <v>91.381203411769832</v>
      </c>
      <c r="K18">
        <v>95.647184407732269</v>
      </c>
      <c r="L18">
        <v>220.9300927764024</v>
      </c>
      <c r="M18">
        <v>49.209907408176527</v>
      </c>
      <c r="N18">
        <v>690.61311816963678</v>
      </c>
      <c r="O18">
        <v>66.393409848003756</v>
      </c>
      <c r="P18">
        <v>553.95767320396033</v>
      </c>
      <c r="Q18">
        <v>61.909416669970717</v>
      </c>
      <c r="R18">
        <v>379.44816883581962</v>
      </c>
      <c r="S18">
        <v>151.25673579863829</v>
      </c>
      <c r="T18">
        <v>383.95478488862744</v>
      </c>
      <c r="U18">
        <f t="shared" si="37"/>
        <v>3671.6402250729193</v>
      </c>
      <c r="W18">
        <v>17.931283533450213</v>
      </c>
      <c r="X18">
        <v>763.66379213541211</v>
      </c>
      <c r="Y18">
        <v>552.93213828295893</v>
      </c>
      <c r="Z18">
        <v>361.99667960590654</v>
      </c>
      <c r="AA18">
        <v>200.52777588154541</v>
      </c>
      <c r="AB18">
        <v>939.84661966936574</v>
      </c>
      <c r="AC18">
        <v>230.14781652133237</v>
      </c>
      <c r="AD18">
        <v>186.67793314608014</v>
      </c>
      <c r="AE18">
        <v>227.78640155957785</v>
      </c>
      <c r="AF18">
        <v>95.980806148188506</v>
      </c>
      <c r="AG18">
        <v>867.09536010481213</v>
      </c>
      <c r="AH18">
        <v>117.73486935070606</v>
      </c>
      <c r="AI18">
        <v>462.39031350596196</v>
      </c>
      <c r="AJ18">
        <v>117.77791440464175</v>
      </c>
      <c r="AK18">
        <v>786.53791075444826</v>
      </c>
      <c r="AL18">
        <v>300.10384666548907</v>
      </c>
      <c r="AM18">
        <v>566.39428888691157</v>
      </c>
      <c r="AN18">
        <f t="shared" si="38"/>
        <v>6795.5257501567894</v>
      </c>
      <c r="AP18">
        <f t="shared" si="39"/>
        <v>0.56864767733788857</v>
      </c>
      <c r="AQ18">
        <f t="shared" si="40"/>
        <v>0.19204984385098031</v>
      </c>
      <c r="AR18">
        <f t="shared" si="41"/>
        <v>0.31579068306404101</v>
      </c>
      <c r="AS18">
        <f t="shared" si="42"/>
        <v>0.24625809792400194</v>
      </c>
      <c r="AT18">
        <f t="shared" si="43"/>
        <v>0.65975597081982384</v>
      </c>
      <c r="AU18">
        <f t="shared" si="44"/>
        <v>0.39796451697029595</v>
      </c>
      <c r="AV18">
        <f t="shared" si="45"/>
        <v>0.39705440091933142</v>
      </c>
      <c r="AW18">
        <f t="shared" si="46"/>
        <v>0.51236470639990406</v>
      </c>
      <c r="AX18">
        <f t="shared" si="47"/>
        <v>0.96990027176235027</v>
      </c>
      <c r="AY18">
        <f t="shared" si="48"/>
        <v>0.51270571047506552</v>
      </c>
      <c r="AZ18">
        <f t="shared" si="49"/>
        <v>0.79646732060261205</v>
      </c>
      <c r="BA18">
        <f t="shared" si="50"/>
        <v>0.56392307745492554</v>
      </c>
      <c r="BB18">
        <f t="shared" si="51"/>
        <v>1.1980304453259654</v>
      </c>
      <c r="BC18">
        <f t="shared" si="52"/>
        <v>0.525645380824733</v>
      </c>
      <c r="BD18">
        <f t="shared" si="53"/>
        <v>0.48242832754476184</v>
      </c>
      <c r="BE18">
        <f t="shared" si="54"/>
        <v>0.50401465185895034</v>
      </c>
      <c r="BF18">
        <f t="shared" si="55"/>
        <v>0.67789310807349845</v>
      </c>
      <c r="BG18">
        <f t="shared" si="56"/>
        <v>0.54030259910179956</v>
      </c>
      <c r="BI18">
        <f t="shared" si="2"/>
        <v>2.6386896603307688E-3</v>
      </c>
      <c r="BJ18">
        <f t="shared" si="3"/>
        <v>0.1123774407179301</v>
      </c>
      <c r="BK18">
        <f t="shared" si="4"/>
        <v>8.1367087494326903E-2</v>
      </c>
      <c r="BL18">
        <f t="shared" si="5"/>
        <v>5.3269856213487878E-2</v>
      </c>
      <c r="BM18">
        <f t="shared" si="6"/>
        <v>2.9508794941571482E-2</v>
      </c>
      <c r="BN18">
        <f t="shared" si="7"/>
        <v>0.13830373899292209</v>
      </c>
      <c r="BO18">
        <f t="shared" si="8"/>
        <v>3.3867551236344343E-2</v>
      </c>
      <c r="BP18">
        <f t="shared" si="9"/>
        <v>2.7470712349485692E-2</v>
      </c>
      <c r="BQ18">
        <f t="shared" si="10"/>
        <v>3.3520055685805072E-2</v>
      </c>
      <c r="BR18">
        <f t="shared" si="11"/>
        <v>1.4124117791176642E-2</v>
      </c>
      <c r="BS18">
        <f t="shared" si="12"/>
        <v>0.12759798019819232</v>
      </c>
      <c r="BT18">
        <f t="shared" si="13"/>
        <v>1.732535107353388E-2</v>
      </c>
      <c r="BU18">
        <f t="shared" si="14"/>
        <v>6.8043346535077653E-2</v>
      </c>
      <c r="BV18">
        <f t="shared" si="15"/>
        <v>1.7331685396368975E-2</v>
      </c>
      <c r="BW18">
        <f t="shared" si="16"/>
        <v>0.11574349648168149</v>
      </c>
      <c r="BX18">
        <f t="shared" si="17"/>
        <v>4.4161976232459266E-2</v>
      </c>
      <c r="BY18">
        <f t="shared" si="18"/>
        <v>8.3348118999305304E-2</v>
      </c>
      <c r="CA18">
        <f t="shared" si="19"/>
        <v>2.7070197338769754E-3</v>
      </c>
      <c r="CB18">
        <f t="shared" si="20"/>
        <v>6.6998886990034576E-2</v>
      </c>
      <c r="CC18">
        <f t="shared" si="21"/>
        <v>6.2205659504188618E-2</v>
      </c>
      <c r="CD18">
        <f t="shared" si="22"/>
        <v>3.5963194062359143E-2</v>
      </c>
      <c r="CE18">
        <f t="shared" si="23"/>
        <v>3.2608033669732812E-2</v>
      </c>
      <c r="CF18">
        <f t="shared" si="24"/>
        <v>0.11869640586524248</v>
      </c>
      <c r="CG18">
        <f t="shared" si="25"/>
        <v>2.9032890437013969E-2</v>
      </c>
      <c r="CH18">
        <f t="shared" si="26"/>
        <v>2.6751060043304027E-2</v>
      </c>
      <c r="CI18">
        <f t="shared" si="27"/>
        <v>4.4910691660779226E-2</v>
      </c>
      <c r="CJ18">
        <f t="shared" si="28"/>
        <v>1.3758683479241769E-2</v>
      </c>
      <c r="CK18">
        <f t="shared" si="29"/>
        <v>0.15492062916126781</v>
      </c>
      <c r="CL18">
        <f t="shared" si="30"/>
        <v>1.770000745115953E-2</v>
      </c>
      <c r="CM18">
        <f t="shared" si="31"/>
        <v>0.10132137251549171</v>
      </c>
      <c r="CN18">
        <f t="shared" si="32"/>
        <v>1.7094983855047916E-2</v>
      </c>
      <c r="CO18">
        <f t="shared" si="33"/>
        <v>0.10936905760399268</v>
      </c>
      <c r="CP18">
        <f t="shared" si="34"/>
        <v>4.2653193427864756E-2</v>
      </c>
      <c r="CQ18" s="25">
        <f t="shared" si="35"/>
        <v>9.3359363913552415E-2</v>
      </c>
      <c r="CR18">
        <f t="shared" si="57"/>
        <v>0.97005113337415028</v>
      </c>
      <c r="CS18">
        <f t="shared" si="58"/>
        <v>2.9948866625849724E-2</v>
      </c>
      <c r="DC18">
        <f t="shared" si="59"/>
        <v>1.0524614878462735</v>
      </c>
      <c r="DD18">
        <f t="shared" si="60"/>
        <v>0.35544867666793473</v>
      </c>
      <c r="DE18">
        <f t="shared" si="61"/>
        <v>0.58447004250768408</v>
      </c>
      <c r="DF18">
        <f t="shared" si="62"/>
        <v>0.45577811088338654</v>
      </c>
      <c r="DG18">
        <f t="shared" si="63"/>
        <v>1.221086057917552</v>
      </c>
      <c r="DH18">
        <f t="shared" si="64"/>
        <v>0.7365585833417666</v>
      </c>
      <c r="DI18">
        <f t="shared" si="65"/>
        <v>0.73487412716391831</v>
      </c>
      <c r="DJ18">
        <f t="shared" si="66"/>
        <v>0.94829213713141569</v>
      </c>
      <c r="DK18">
        <f t="shared" si="67"/>
        <v>1.7951056933183644</v>
      </c>
      <c r="DL18">
        <f t="shared" si="68"/>
        <v>0.94892327249098718</v>
      </c>
      <c r="DM18">
        <f t="shared" si="69"/>
        <v>1.4741134355575216</v>
      </c>
      <c r="DN18">
        <f t="shared" si="70"/>
        <v>1.0437171288688833</v>
      </c>
      <c r="DO18">
        <f t="shared" si="71"/>
        <v>2.217332375075697</v>
      </c>
      <c r="DP18">
        <f t="shared" si="72"/>
        <v>0.97287220475816194</v>
      </c>
      <c r="DQ18">
        <f t="shared" si="73"/>
        <v>0.8928854466862679</v>
      </c>
      <c r="DR18">
        <f t="shared" si="74"/>
        <v>0.93283773333096232</v>
      </c>
      <c r="DS18">
        <f t="shared" si="75"/>
        <v>1.2546545384020542</v>
      </c>
    </row>
    <row r="19" spans="1:124" x14ac:dyDescent="0.25">
      <c r="A19" t="s">
        <v>128</v>
      </c>
      <c r="B19" s="26">
        <f t="shared" si="76"/>
        <v>38412</v>
      </c>
      <c r="D19">
        <v>11.922496863933899</v>
      </c>
      <c r="E19">
        <v>146.09532578196502</v>
      </c>
      <c r="F19">
        <v>184.92293723223818</v>
      </c>
      <c r="G19">
        <v>97.124391654122292</v>
      </c>
      <c r="H19">
        <v>130.08052238228927</v>
      </c>
      <c r="I19">
        <v>421.965842241085</v>
      </c>
      <c r="J19">
        <v>102.10666903589986</v>
      </c>
      <c r="K19">
        <v>88.404785236052291</v>
      </c>
      <c r="L19">
        <v>205.14635584956218</v>
      </c>
      <c r="M19">
        <v>43.180038484295459</v>
      </c>
      <c r="N19">
        <v>684.84624851660135</v>
      </c>
      <c r="O19">
        <v>58.950361369926668</v>
      </c>
      <c r="P19">
        <v>566.19256239955882</v>
      </c>
      <c r="Q19">
        <v>64.177088521474545</v>
      </c>
      <c r="R19">
        <v>460.57403850080522</v>
      </c>
      <c r="S19">
        <v>143.50106193901379</v>
      </c>
      <c r="T19">
        <v>337.00487665210443</v>
      </c>
      <c r="U19">
        <f t="shared" si="37"/>
        <v>3746.1956026609282</v>
      </c>
      <c r="W19">
        <v>26.321115143337732</v>
      </c>
      <c r="X19">
        <v>796.28828089825572</v>
      </c>
      <c r="Y19">
        <v>495.43235633745644</v>
      </c>
      <c r="Z19">
        <v>331.43539575290453</v>
      </c>
      <c r="AA19">
        <v>191.71720407892607</v>
      </c>
      <c r="AB19">
        <v>985.84985715271432</v>
      </c>
      <c r="AC19">
        <v>236.92674530896602</v>
      </c>
      <c r="AD19">
        <v>180.18505969754349</v>
      </c>
      <c r="AE19">
        <v>184.68422549704451</v>
      </c>
      <c r="AF19">
        <v>80.916197176691696</v>
      </c>
      <c r="AG19">
        <v>816.53556603888683</v>
      </c>
      <c r="AH19">
        <v>148.99432732275025</v>
      </c>
      <c r="AI19">
        <v>483.31107686319979</v>
      </c>
      <c r="AJ19">
        <v>138.01494629792617</v>
      </c>
      <c r="AK19">
        <v>793.36608245607692</v>
      </c>
      <c r="AL19">
        <v>299.39462510472134</v>
      </c>
      <c r="AM19">
        <v>533.0265345426568</v>
      </c>
      <c r="AN19">
        <f t="shared" si="38"/>
        <v>6722.3995956700574</v>
      </c>
      <c r="AP19">
        <f t="shared" si="39"/>
        <v>0.45296321219702051</v>
      </c>
      <c r="AQ19">
        <f t="shared" si="40"/>
        <v>0.18347039544166302</v>
      </c>
      <c r="AR19">
        <f t="shared" si="41"/>
        <v>0.37325567227644019</v>
      </c>
      <c r="AS19">
        <f t="shared" si="42"/>
        <v>0.29304169952484971</v>
      </c>
      <c r="AT19">
        <f t="shared" si="43"/>
        <v>0.67850208335365547</v>
      </c>
      <c r="AU19">
        <f t="shared" si="44"/>
        <v>0.42802242063490997</v>
      </c>
      <c r="AV19">
        <f t="shared" si="45"/>
        <v>0.43096303417643678</v>
      </c>
      <c r="AW19">
        <f t="shared" si="46"/>
        <v>0.49063327106280352</v>
      </c>
      <c r="AX19">
        <f t="shared" si="47"/>
        <v>1.1107952251874653</v>
      </c>
      <c r="AY19">
        <f t="shared" si="48"/>
        <v>0.53363899924765223</v>
      </c>
      <c r="AZ19">
        <f t="shared" si="49"/>
        <v>0.83872188426387062</v>
      </c>
      <c r="BA19">
        <f t="shared" si="50"/>
        <v>0.39565507243929426</v>
      </c>
      <c r="BB19">
        <f t="shared" si="51"/>
        <v>1.1714868321956926</v>
      </c>
      <c r="BC19">
        <f t="shared" si="52"/>
        <v>0.46500100346333922</v>
      </c>
      <c r="BD19">
        <f t="shared" si="53"/>
        <v>0.5805315461369045</v>
      </c>
      <c r="BE19">
        <f t="shared" si="54"/>
        <v>0.47930406863122688</v>
      </c>
      <c r="BF19">
        <f t="shared" si="55"/>
        <v>0.63224784286069113</v>
      </c>
      <c r="BG19">
        <f t="shared" si="56"/>
        <v>0.55727059204779761</v>
      </c>
      <c r="BI19">
        <f t="shared" si="2"/>
        <v>3.9154344767441882E-3</v>
      </c>
      <c r="BJ19">
        <f t="shared" si="3"/>
        <v>0.11845298238610366</v>
      </c>
      <c r="BK19">
        <f t="shared" si="4"/>
        <v>7.3698736483408064E-2</v>
      </c>
      <c r="BL19">
        <f t="shared" si="5"/>
        <v>4.9303138118475476E-2</v>
      </c>
      <c r="BM19">
        <f t="shared" si="6"/>
        <v>2.851916214597127E-2</v>
      </c>
      <c r="BN19">
        <f t="shared" si="7"/>
        <v>0.14665148108537118</v>
      </c>
      <c r="BO19">
        <f t="shared" si="8"/>
        <v>3.5244370992401602E-2</v>
      </c>
      <c r="BP19">
        <f t="shared" si="9"/>
        <v>2.6803681800409766E-2</v>
      </c>
      <c r="BQ19">
        <f t="shared" si="10"/>
        <v>2.7472961532367231E-2</v>
      </c>
      <c r="BR19">
        <f t="shared" si="11"/>
        <v>1.2036802636488667E-2</v>
      </c>
      <c r="BS19">
        <f t="shared" si="12"/>
        <v>0.12146489574419569</v>
      </c>
      <c r="BT19">
        <f t="shared" si="13"/>
        <v>2.2163860568288517E-2</v>
      </c>
      <c r="BU19">
        <f t="shared" si="14"/>
        <v>7.1895618519093041E-2</v>
      </c>
      <c r="BV19">
        <f t="shared" si="15"/>
        <v>2.0530607312725432E-2</v>
      </c>
      <c r="BW19">
        <f t="shared" si="16"/>
        <v>0.11801828664976853</v>
      </c>
      <c r="BX19">
        <f t="shared" si="17"/>
        <v>4.4536868248290895E-2</v>
      </c>
      <c r="BY19">
        <f t="shared" si="18"/>
        <v>7.9291111299896952E-2</v>
      </c>
      <c r="CA19">
        <f t="shared" si="19"/>
        <v>3.5300297367369744E-3</v>
      </c>
      <c r="CB19">
        <f t="shared" si="20"/>
        <v>6.7966661120673566E-2</v>
      </c>
      <c r="CC19">
        <f t="shared" si="21"/>
        <v>6.0315674346278422E-2</v>
      </c>
      <c r="CD19">
        <f t="shared" si="22"/>
        <v>3.5752483287117671E-2</v>
      </c>
      <c r="CE19">
        <f t="shared" si="23"/>
        <v>3.1468735525725038E-2</v>
      </c>
      <c r="CF19">
        <f t="shared" si="24"/>
        <v>0.1285247151943075</v>
      </c>
      <c r="CG19">
        <f t="shared" si="25"/>
        <v>3.0993934544713789E-2</v>
      </c>
      <c r="CH19">
        <f t="shared" si="26"/>
        <v>2.5150109985517581E-2</v>
      </c>
      <c r="CI19">
        <f t="shared" si="27"/>
        <v>3.8787288235614718E-2</v>
      </c>
      <c r="CJ19">
        <f t="shared" si="28"/>
        <v>1.177882196281759E-2</v>
      </c>
      <c r="CK19">
        <f t="shared" si="29"/>
        <v>0.14901387437188471</v>
      </c>
      <c r="CL19">
        <f t="shared" si="30"/>
        <v>1.8675434535386903E-2</v>
      </c>
      <c r="CM19">
        <f t="shared" si="31"/>
        <v>0.10424087959278183</v>
      </c>
      <c r="CN19">
        <f t="shared" si="32"/>
        <v>1.8754076306816074E-2</v>
      </c>
      <c r="CO19">
        <f t="shared" si="33"/>
        <v>0.12045619900763238</v>
      </c>
      <c r="CP19">
        <f t="shared" si="34"/>
        <v>4.1304005521123864E-2</v>
      </c>
      <c r="CQ19" s="25">
        <f t="shared" si="35"/>
        <v>8.4456896818046218E-2</v>
      </c>
      <c r="CR19">
        <f t="shared" si="57"/>
        <v>0.97116982009317487</v>
      </c>
      <c r="CS19">
        <f t="shared" si="58"/>
        <v>2.8830179906825126E-2</v>
      </c>
      <c r="DC19">
        <f t="shared" si="59"/>
        <v>0.81282453921087128</v>
      </c>
      <c r="DD19">
        <f t="shared" si="60"/>
        <v>0.32923035605999929</v>
      </c>
      <c r="DE19">
        <f t="shared" si="61"/>
        <v>0.66979251660282424</v>
      </c>
      <c r="DF19">
        <f t="shared" si="62"/>
        <v>0.52585172034291605</v>
      </c>
      <c r="DG19">
        <f t="shared" si="63"/>
        <v>1.2175451083115107</v>
      </c>
      <c r="DH19">
        <f t="shared" si="64"/>
        <v>0.76806927683382598</v>
      </c>
      <c r="DI19">
        <f t="shared" si="65"/>
        <v>0.77334609133559429</v>
      </c>
      <c r="DJ19">
        <f t="shared" si="66"/>
        <v>0.88042196746804369</v>
      </c>
      <c r="DK19">
        <f t="shared" si="67"/>
        <v>1.9932780251432887</v>
      </c>
      <c r="DL19">
        <f t="shared" si="68"/>
        <v>0.9575940429346782</v>
      </c>
      <c r="DM19">
        <f t="shared" si="69"/>
        <v>1.5050531936053297</v>
      </c>
      <c r="DN19">
        <f t="shared" si="70"/>
        <v>0.70998735279639258</v>
      </c>
      <c r="DO19">
        <f t="shared" si="71"/>
        <v>2.1021867094957223</v>
      </c>
      <c r="DP19">
        <f t="shared" si="72"/>
        <v>0.83442587873622387</v>
      </c>
      <c r="DQ19">
        <f t="shared" si="73"/>
        <v>1.0417408605819842</v>
      </c>
      <c r="DR19">
        <f t="shared" si="74"/>
        <v>0.86009216253442011</v>
      </c>
      <c r="DS19">
        <f t="shared" si="75"/>
        <v>1.1345437062045123</v>
      </c>
    </row>
    <row r="20" spans="1:124" x14ac:dyDescent="0.25">
      <c r="A20" t="s">
        <v>129</v>
      </c>
      <c r="B20" s="26">
        <f t="shared" si="76"/>
        <v>38504</v>
      </c>
      <c r="D20">
        <v>12.638696242447509</v>
      </c>
      <c r="E20">
        <v>139.24763826024295</v>
      </c>
      <c r="F20">
        <v>186.26112994199255</v>
      </c>
      <c r="G20">
        <v>88.973943229102815</v>
      </c>
      <c r="H20">
        <v>136.80490620879712</v>
      </c>
      <c r="I20">
        <v>436.66230857386375</v>
      </c>
      <c r="J20">
        <v>123.28308705454181</v>
      </c>
      <c r="K20">
        <v>98.894565120932057</v>
      </c>
      <c r="L20">
        <v>213.06578741954527</v>
      </c>
      <c r="M20">
        <v>64.690636820371054</v>
      </c>
      <c r="N20">
        <v>823.56949711674451</v>
      </c>
      <c r="O20">
        <v>71.511703934034998</v>
      </c>
      <c r="P20">
        <v>584.93360084144456</v>
      </c>
      <c r="Q20">
        <v>66.109203154640426</v>
      </c>
      <c r="R20">
        <v>437.03464299047505</v>
      </c>
      <c r="S20">
        <v>143.38933007153429</v>
      </c>
      <c r="T20">
        <v>359.13467224857487</v>
      </c>
      <c r="U20">
        <f t="shared" si="37"/>
        <v>3986.2053492292862</v>
      </c>
      <c r="W20">
        <v>19.194298190487963</v>
      </c>
      <c r="X20">
        <v>636.28198159252872</v>
      </c>
      <c r="Y20">
        <v>451.21265208803464</v>
      </c>
      <c r="Z20">
        <v>316.06158795922329</v>
      </c>
      <c r="AA20">
        <v>190.9062790719166</v>
      </c>
      <c r="AB20">
        <v>977.21714554605853</v>
      </c>
      <c r="AC20">
        <v>242.68963251021378</v>
      </c>
      <c r="AD20">
        <v>163.34592085507148</v>
      </c>
      <c r="AE20">
        <v>184.35421645543047</v>
      </c>
      <c r="AF20">
        <v>95.80663756963861</v>
      </c>
      <c r="AG20">
        <v>754.00095422991853</v>
      </c>
      <c r="AH20">
        <v>126.32133030306586</v>
      </c>
      <c r="AI20">
        <v>510.96925245612937</v>
      </c>
      <c r="AJ20">
        <v>151.51945342808114</v>
      </c>
      <c r="AK20">
        <v>776.70922420430634</v>
      </c>
      <c r="AL20">
        <v>309.61454195446311</v>
      </c>
      <c r="AM20">
        <v>553.28994912285873</v>
      </c>
      <c r="AN20">
        <f t="shared" si="38"/>
        <v>6459.4950575374278</v>
      </c>
      <c r="AP20">
        <f t="shared" si="39"/>
        <v>0.65846097195211928</v>
      </c>
      <c r="AQ20">
        <f t="shared" si="40"/>
        <v>0.21884579838599977</v>
      </c>
      <c r="AR20">
        <f t="shared" si="41"/>
        <v>0.41280121264341618</v>
      </c>
      <c r="AS20">
        <f t="shared" si="42"/>
        <v>0.2815082459200382</v>
      </c>
      <c r="AT20">
        <f t="shared" si="43"/>
        <v>0.71660768243909423</v>
      </c>
      <c r="AU20">
        <f t="shared" si="44"/>
        <v>0.44684265985720245</v>
      </c>
      <c r="AV20">
        <f t="shared" si="45"/>
        <v>0.50798662381819437</v>
      </c>
      <c r="AW20">
        <f t="shared" si="46"/>
        <v>0.60543027094429969</v>
      </c>
      <c r="AX20">
        <f t="shared" si="47"/>
        <v>1.1557413305545747</v>
      </c>
      <c r="AY20">
        <f t="shared" si="48"/>
        <v>0.6752208245837833</v>
      </c>
      <c r="AZ20">
        <f t="shared" si="49"/>
        <v>1.0922658552307514</v>
      </c>
      <c r="BA20">
        <f t="shared" si="50"/>
        <v>0.5661094904753341</v>
      </c>
      <c r="BB20">
        <f t="shared" si="51"/>
        <v>1.1447530316741821</v>
      </c>
      <c r="BC20">
        <f t="shared" si="52"/>
        <v>0.4363083528810327</v>
      </c>
      <c r="BD20">
        <f t="shared" si="53"/>
        <v>0.56267471709015915</v>
      </c>
      <c r="BE20">
        <f t="shared" si="54"/>
        <v>0.46312207807288142</v>
      </c>
      <c r="BF20">
        <f t="shared" si="55"/>
        <v>0.64908945629306658</v>
      </c>
      <c r="BG20">
        <f t="shared" si="56"/>
        <v>0.61710788749313772</v>
      </c>
      <c r="BI20">
        <f t="shared" si="2"/>
        <v>2.9714858544694763E-3</v>
      </c>
      <c r="BJ20">
        <f t="shared" si="3"/>
        <v>9.8503362248116705E-2</v>
      </c>
      <c r="BK20">
        <f t="shared" si="4"/>
        <v>6.985261975880383E-2</v>
      </c>
      <c r="BL20">
        <f t="shared" si="5"/>
        <v>4.8929766977748312E-2</v>
      </c>
      <c r="BM20">
        <f t="shared" si="6"/>
        <v>2.955436568515564E-2</v>
      </c>
      <c r="BN20">
        <f t="shared" si="7"/>
        <v>0.15128382897449044</v>
      </c>
      <c r="BO20">
        <f t="shared" si="8"/>
        <v>3.7570991284686432E-2</v>
      </c>
      <c r="BP20">
        <f t="shared" si="9"/>
        <v>2.5287722863796776E-2</v>
      </c>
      <c r="BQ20">
        <f t="shared" si="10"/>
        <v>2.8540035221532065E-2</v>
      </c>
      <c r="BR20">
        <f t="shared" si="11"/>
        <v>1.4831908177999792E-2</v>
      </c>
      <c r="BS20">
        <f t="shared" si="12"/>
        <v>0.1167275379133688</v>
      </c>
      <c r="BT20">
        <f t="shared" si="13"/>
        <v>1.955591407344829E-2</v>
      </c>
      <c r="BU20">
        <f t="shared" si="14"/>
        <v>7.9103590591015585E-2</v>
      </c>
      <c r="BV20">
        <f t="shared" si="15"/>
        <v>2.3456857243241754E-2</v>
      </c>
      <c r="BW20">
        <f t="shared" si="16"/>
        <v>0.12024302476986699</v>
      </c>
      <c r="BX20">
        <f t="shared" si="17"/>
        <v>4.7931694226343809E-2</v>
      </c>
      <c r="BY20">
        <f t="shared" si="18"/>
        <v>8.5655294135915175E-2</v>
      </c>
      <c r="CA20">
        <f t="shared" si="19"/>
        <v>3.0694328578498805E-3</v>
      </c>
      <c r="CB20">
        <f t="shared" si="20"/>
        <v>5.8659669602801834E-2</v>
      </c>
      <c r="CC20">
        <f t="shared" si="21"/>
        <v>5.713110606153321E-2</v>
      </c>
      <c r="CD20">
        <f t="shared" si="22"/>
        <v>3.3047465598625599E-2</v>
      </c>
      <c r="CE20">
        <f t="shared" si="23"/>
        <v>3.1847975015703668E-2</v>
      </c>
      <c r="CF20">
        <f t="shared" si="24"/>
        <v>0.12873281717293961</v>
      </c>
      <c r="CG20">
        <f t="shared" si="25"/>
        <v>3.4087742729718144E-2</v>
      </c>
      <c r="CH20">
        <f t="shared" si="26"/>
        <v>2.5047318620586741E-2</v>
      </c>
      <c r="CI20">
        <f t="shared" si="27"/>
        <v>3.9057485326390987E-2</v>
      </c>
      <c r="CJ20">
        <f t="shared" si="28"/>
        <v>1.5514557505403698E-2</v>
      </c>
      <c r="CK20">
        <f t="shared" si="29"/>
        <v>0.15529481487794139</v>
      </c>
      <c r="CL20">
        <f t="shared" si="30"/>
        <v>1.8730431801993026E-2</v>
      </c>
      <c r="CM20">
        <f t="shared" si="31"/>
        <v>0.1077386549914147</v>
      </c>
      <c r="CN20">
        <f t="shared" si="32"/>
        <v>1.9723593345028718E-2</v>
      </c>
      <c r="CO20">
        <f t="shared" si="33"/>
        <v>0.11481748892561799</v>
      </c>
      <c r="CP20">
        <f t="shared" si="34"/>
        <v>4.1523119583789937E-2</v>
      </c>
      <c r="CQ20" s="25">
        <f t="shared" si="35"/>
        <v>8.7846798652534738E-2</v>
      </c>
      <c r="CR20">
        <f t="shared" si="57"/>
        <v>0.97187047266987403</v>
      </c>
      <c r="CS20">
        <f t="shared" si="58"/>
        <v>2.812952733012597E-2</v>
      </c>
      <c r="DC20">
        <f t="shared" si="59"/>
        <v>1.0670111098838311</v>
      </c>
      <c r="DD20">
        <f t="shared" si="60"/>
        <v>0.35463134213858732</v>
      </c>
      <c r="DE20">
        <f t="shared" si="61"/>
        <v>0.6689287578551758</v>
      </c>
      <c r="DF20">
        <f t="shared" si="62"/>
        <v>0.45617346921881402</v>
      </c>
      <c r="DG20">
        <f t="shared" si="63"/>
        <v>1.1612356558107726</v>
      </c>
      <c r="DH20">
        <f t="shared" si="64"/>
        <v>0.72409163602235005</v>
      </c>
      <c r="DI20">
        <f t="shared" si="65"/>
        <v>0.82317311788344827</v>
      </c>
      <c r="DJ20">
        <f t="shared" si="66"/>
        <v>0.98107686389121407</v>
      </c>
      <c r="DK20">
        <f t="shared" si="67"/>
        <v>1.8728351297688228</v>
      </c>
      <c r="DL20">
        <f t="shared" si="68"/>
        <v>1.094169817415098</v>
      </c>
      <c r="DM20">
        <f t="shared" si="69"/>
        <v>1.7699755218942934</v>
      </c>
      <c r="DN20">
        <f t="shared" si="70"/>
        <v>0.91735902578563178</v>
      </c>
      <c r="DO20">
        <f t="shared" si="71"/>
        <v>1.8550290068799546</v>
      </c>
      <c r="DP20">
        <f t="shared" si="72"/>
        <v>0.70702118984969942</v>
      </c>
      <c r="DQ20">
        <f t="shared" si="73"/>
        <v>0.91179310537724434</v>
      </c>
      <c r="DR20">
        <f t="shared" si="74"/>
        <v>0.75047181774683014</v>
      </c>
      <c r="DS20">
        <f t="shared" si="75"/>
        <v>1.0518249230776271</v>
      </c>
    </row>
    <row r="21" spans="1:124" x14ac:dyDescent="0.25">
      <c r="A21" t="s">
        <v>130</v>
      </c>
      <c r="B21" s="26">
        <f t="shared" si="76"/>
        <v>38596</v>
      </c>
      <c r="D21">
        <v>16.426436921693835</v>
      </c>
      <c r="E21">
        <v>149.06132886014112</v>
      </c>
      <c r="F21">
        <v>212.0576288189869</v>
      </c>
      <c r="G21">
        <v>101.98386145461951</v>
      </c>
      <c r="H21">
        <v>138.58872334805247</v>
      </c>
      <c r="I21">
        <v>423.47648474853668</v>
      </c>
      <c r="J21">
        <v>121.08406937914731</v>
      </c>
      <c r="K21">
        <v>116.12670914423317</v>
      </c>
      <c r="L21">
        <v>249.94127257216937</v>
      </c>
      <c r="M21">
        <v>62.090664778177903</v>
      </c>
      <c r="N21">
        <v>838.12739552781022</v>
      </c>
      <c r="O21">
        <v>67.691849530250565</v>
      </c>
      <c r="P21">
        <v>595.98036903408183</v>
      </c>
      <c r="Q21">
        <v>64.642693769369274</v>
      </c>
      <c r="R21">
        <v>423.71311492559443</v>
      </c>
      <c r="S21">
        <v>158.24004047332036</v>
      </c>
      <c r="T21">
        <v>400.0713984765768</v>
      </c>
      <c r="U21">
        <f t="shared" si="37"/>
        <v>4139.3040417627617</v>
      </c>
      <c r="W21">
        <v>16.159201207802347</v>
      </c>
      <c r="X21">
        <v>658.49317136000877</v>
      </c>
      <c r="Y21">
        <v>497.56013621236366</v>
      </c>
      <c r="Z21">
        <v>331.07021452179464</v>
      </c>
      <c r="AA21">
        <v>178.998828576807</v>
      </c>
      <c r="AB21">
        <v>942.24549725772192</v>
      </c>
      <c r="AC21">
        <v>211.61019050846292</v>
      </c>
      <c r="AD21">
        <v>151.71237558836233</v>
      </c>
      <c r="AE21">
        <v>200.60994345068755</v>
      </c>
      <c r="AF21">
        <v>87.877549171969619</v>
      </c>
      <c r="AG21">
        <v>819.48259159206316</v>
      </c>
      <c r="AH21">
        <v>111.8365074108691</v>
      </c>
      <c r="AI21">
        <v>479.65368621412034</v>
      </c>
      <c r="AJ21">
        <v>148.95740596229766</v>
      </c>
      <c r="AK21">
        <v>741.79947986690752</v>
      </c>
      <c r="AL21">
        <v>288.39794319419252</v>
      </c>
      <c r="AM21">
        <v>525.29180576467729</v>
      </c>
      <c r="AN21">
        <f t="shared" si="38"/>
        <v>6391.7565278611082</v>
      </c>
      <c r="AP21">
        <f t="shared" si="39"/>
        <v>1.0165376809444302</v>
      </c>
      <c r="AQ21">
        <f t="shared" si="40"/>
        <v>0.22636731152774081</v>
      </c>
      <c r="AR21">
        <f t="shared" si="41"/>
        <v>0.42619497300016529</v>
      </c>
      <c r="AS21">
        <f t="shared" si="42"/>
        <v>0.30804299807497731</v>
      </c>
      <c r="AT21">
        <f t="shared" si="43"/>
        <v>0.77424374477727453</v>
      </c>
      <c r="AU21">
        <f t="shared" si="44"/>
        <v>0.44943328037226787</v>
      </c>
      <c r="AV21">
        <f t="shared" si="45"/>
        <v>0.57220339478076698</v>
      </c>
      <c r="AW21">
        <f t="shared" si="46"/>
        <v>0.76543992336734001</v>
      </c>
      <c r="AX21">
        <f t="shared" si="47"/>
        <v>1.24590669970259</v>
      </c>
      <c r="AY21">
        <f t="shared" si="48"/>
        <v>0.70655890341993077</v>
      </c>
      <c r="AZ21">
        <f t="shared" si="49"/>
        <v>1.0227519219163943</v>
      </c>
      <c r="BA21">
        <f t="shared" si="50"/>
        <v>0.60527506712599444</v>
      </c>
      <c r="BB21">
        <f t="shared" si="51"/>
        <v>1.2425222325259742</v>
      </c>
      <c r="BC21">
        <f t="shared" si="52"/>
        <v>0.43396763894861912</v>
      </c>
      <c r="BD21">
        <f t="shared" si="53"/>
        <v>0.57119629552937456</v>
      </c>
      <c r="BE21">
        <f t="shared" si="54"/>
        <v>0.54868643902487735</v>
      </c>
      <c r="BF21">
        <f t="shared" si="55"/>
        <v>0.76161743641552759</v>
      </c>
      <c r="BG21">
        <f t="shared" si="56"/>
        <v>0.64760039336916186</v>
      </c>
      <c r="BI21">
        <f t="shared" si="2"/>
        <v>2.5281315296297349E-3</v>
      </c>
      <c r="BJ21">
        <f t="shared" si="3"/>
        <v>0.10302225507021343</v>
      </c>
      <c r="BK21">
        <f t="shared" si="4"/>
        <v>7.7844037713818176E-2</v>
      </c>
      <c r="BL21">
        <f t="shared" si="5"/>
        <v>5.1796437032400798E-2</v>
      </c>
      <c r="BM21">
        <f t="shared" si="6"/>
        <v>2.8004638129842205E-2</v>
      </c>
      <c r="BN21">
        <f t="shared" si="7"/>
        <v>0.1474157366837357</v>
      </c>
      <c r="BO21">
        <f t="shared" si="8"/>
        <v>3.3106735149574705E-2</v>
      </c>
      <c r="BP21">
        <f t="shared" si="9"/>
        <v>2.3735631187931101E-2</v>
      </c>
      <c r="BQ21">
        <f t="shared" si="10"/>
        <v>3.1385729818751124E-2</v>
      </c>
      <c r="BR21">
        <f t="shared" si="11"/>
        <v>1.374857580837428E-2</v>
      </c>
      <c r="BS21">
        <f t="shared" si="12"/>
        <v>0.12820929395855585</v>
      </c>
      <c r="BT21">
        <f t="shared" si="13"/>
        <v>1.7496991151553339E-2</v>
      </c>
      <c r="BU21">
        <f t="shared" si="14"/>
        <v>7.5042546461735804E-2</v>
      </c>
      <c r="BV21">
        <f t="shared" si="15"/>
        <v>2.3304612012833303E-2</v>
      </c>
      <c r="BW21">
        <f t="shared" si="16"/>
        <v>0.11605565334559732</v>
      </c>
      <c r="BX21">
        <f t="shared" si="17"/>
        <v>4.5120295483266779E-2</v>
      </c>
      <c r="BY21">
        <f t="shared" si="18"/>
        <v>8.218269946218637E-2</v>
      </c>
      <c r="CA21">
        <f t="shared" si="19"/>
        <v>3.1674360395403732E-3</v>
      </c>
      <c r="CB21">
        <f t="shared" si="20"/>
        <v>6.0909404922352278E-2</v>
      </c>
      <c r="CC21">
        <f t="shared" si="21"/>
        <v>6.3150379369632317E-2</v>
      </c>
      <c r="CD21">
        <f t="shared" si="22"/>
        <v>3.5723335753755463E-2</v>
      </c>
      <c r="CE21">
        <f t="shared" si="23"/>
        <v>3.0620710667239932E-2</v>
      </c>
      <c r="CF21">
        <f t="shared" si="24"/>
        <v>0.12280693981529957</v>
      </c>
      <c r="CG21">
        <f t="shared" si="25"/>
        <v>3.1119887449306011E-2</v>
      </c>
      <c r="CH21">
        <f t="shared" si="26"/>
        <v>2.5804936118435221E-2</v>
      </c>
      <c r="CI21">
        <f t="shared" si="27"/>
        <v>4.3533285046152441E-2</v>
      </c>
      <c r="CJ21">
        <f t="shared" si="28"/>
        <v>1.4360790526043912E-2</v>
      </c>
      <c r="CK21">
        <f t="shared" si="29"/>
        <v>0.16112061419657883</v>
      </c>
      <c r="CL21">
        <f t="shared" si="30"/>
        <v>1.69155534790024E-2</v>
      </c>
      <c r="CM21">
        <f t="shared" si="31"/>
        <v>0.10394559630599759</v>
      </c>
      <c r="CN21">
        <f t="shared" si="32"/>
        <v>1.9077303884222446E-2</v>
      </c>
      <c r="CO21">
        <f t="shared" si="33"/>
        <v>0.10899471496049587</v>
      </c>
      <c r="CP21">
        <f t="shared" si="34"/>
        <v>4.1531775372955514E-2</v>
      </c>
      <c r="CQ21" s="25">
        <f t="shared" si="35"/>
        <v>8.9124127164429662E-2</v>
      </c>
      <c r="CR21">
        <f t="shared" si="57"/>
        <v>0.97190679107143962</v>
      </c>
      <c r="CS21">
        <f t="shared" si="58"/>
        <v>2.8093208928560376E-2</v>
      </c>
      <c r="DC21">
        <f t="shared" si="59"/>
        <v>1.569698986215651</v>
      </c>
      <c r="DD21">
        <f t="shared" si="60"/>
        <v>0.34954782894750508</v>
      </c>
      <c r="DE21">
        <f t="shared" si="61"/>
        <v>0.65811413545145059</v>
      </c>
      <c r="DF21">
        <f t="shared" si="62"/>
        <v>0.47566833070062498</v>
      </c>
      <c r="DG21">
        <f t="shared" si="63"/>
        <v>1.1955578667104363</v>
      </c>
      <c r="DH21">
        <f t="shared" si="64"/>
        <v>0.69399784955978294</v>
      </c>
      <c r="DI21">
        <f t="shared" si="65"/>
        <v>0.88357481039173003</v>
      </c>
      <c r="DJ21">
        <f t="shared" si="66"/>
        <v>1.1819633391281841</v>
      </c>
      <c r="DK21">
        <f t="shared" si="67"/>
        <v>1.9238819377806742</v>
      </c>
      <c r="DL21">
        <f t="shared" si="68"/>
        <v>1.0910414982054526</v>
      </c>
      <c r="DM21">
        <f t="shared" si="69"/>
        <v>1.5792947817642522</v>
      </c>
      <c r="DN21">
        <f t="shared" si="70"/>
        <v>0.93464283425930528</v>
      </c>
      <c r="DO21">
        <f t="shared" si="71"/>
        <v>1.9186557717510211</v>
      </c>
      <c r="DP21">
        <f t="shared" si="72"/>
        <v>0.67011639182442206</v>
      </c>
      <c r="DQ21">
        <f t="shared" si="73"/>
        <v>0.88201968587095425</v>
      </c>
      <c r="DR21">
        <f t="shared" si="74"/>
        <v>0.84726081800277875</v>
      </c>
      <c r="DS21">
        <f t="shared" si="75"/>
        <v>1.1760607995513845</v>
      </c>
    </row>
    <row r="22" spans="1:124" x14ac:dyDescent="0.25">
      <c r="A22" t="s">
        <v>131</v>
      </c>
      <c r="B22" s="26">
        <f t="shared" si="76"/>
        <v>38687</v>
      </c>
      <c r="D22">
        <v>12.277138648938987</v>
      </c>
      <c r="E22">
        <v>183.65501930776713</v>
      </c>
      <c r="F22">
        <v>231.15771599778327</v>
      </c>
      <c r="G22">
        <v>101.65314849214762</v>
      </c>
      <c r="H22">
        <v>145.52537972034574</v>
      </c>
      <c r="I22">
        <v>488.10554982942358</v>
      </c>
      <c r="J22">
        <v>124.41331911520297</v>
      </c>
      <c r="K22">
        <v>106.61415996222495</v>
      </c>
      <c r="L22">
        <v>285.78450750075422</v>
      </c>
      <c r="M22">
        <v>65.876662975190627</v>
      </c>
      <c r="N22">
        <v>852.76228274378343</v>
      </c>
      <c r="O22">
        <v>74.348580352229419</v>
      </c>
      <c r="P22">
        <v>575.69561251126368</v>
      </c>
      <c r="Q22">
        <v>66.087923282785937</v>
      </c>
      <c r="R22">
        <v>471.48974472579147</v>
      </c>
      <c r="S22">
        <v>144.07321075587367</v>
      </c>
      <c r="T22">
        <v>390.72888603471057</v>
      </c>
      <c r="U22">
        <f t="shared" si="37"/>
        <v>4320.2488419562178</v>
      </c>
      <c r="W22">
        <v>14.679114869452471</v>
      </c>
      <c r="X22">
        <v>653.11456077135347</v>
      </c>
      <c r="Y22">
        <v>492.7350419346792</v>
      </c>
      <c r="Z22">
        <v>325.24182511151656</v>
      </c>
      <c r="AA22">
        <v>167.84245007394642</v>
      </c>
      <c r="AB22">
        <v>900.23705974735196</v>
      </c>
      <c r="AC22">
        <v>234.14214203295697</v>
      </c>
      <c r="AD22">
        <v>158.40586587939436</v>
      </c>
      <c r="AE22">
        <v>161.94002800991217</v>
      </c>
      <c r="AF22">
        <v>89.797449581464903</v>
      </c>
      <c r="AG22">
        <v>770.21743268407533</v>
      </c>
      <c r="AH22">
        <v>121.02164921189156</v>
      </c>
      <c r="AI22">
        <v>517.9512619478985</v>
      </c>
      <c r="AJ22">
        <v>142.71006100096062</v>
      </c>
      <c r="AK22">
        <v>784.98697876654251</v>
      </c>
      <c r="AL22">
        <v>306.14762349537858</v>
      </c>
      <c r="AM22">
        <v>499.04574490999153</v>
      </c>
      <c r="AN22">
        <f t="shared" si="38"/>
        <v>6340.2162900287667</v>
      </c>
      <c r="AP22">
        <f t="shared" si="39"/>
        <v>0.83636777545000041</v>
      </c>
      <c r="AQ22">
        <f t="shared" si="40"/>
        <v>0.2811987824783197</v>
      </c>
      <c r="AR22">
        <f t="shared" si="41"/>
        <v>0.4691318788494595</v>
      </c>
      <c r="AS22">
        <f t="shared" si="42"/>
        <v>0.31254635979641771</v>
      </c>
      <c r="AT22">
        <f t="shared" si="43"/>
        <v>0.86703560187682893</v>
      </c>
      <c r="AU22">
        <f t="shared" si="44"/>
        <v>0.54219668535575338</v>
      </c>
      <c r="AV22">
        <f t="shared" si="45"/>
        <v>0.53135808033092569</v>
      </c>
      <c r="AW22">
        <f t="shared" si="46"/>
        <v>0.67304426746038482</v>
      </c>
      <c r="AX22">
        <f t="shared" si="47"/>
        <v>1.7647552060646901</v>
      </c>
      <c r="AY22">
        <f t="shared" si="48"/>
        <v>0.73361396434123483</v>
      </c>
      <c r="AZ22">
        <f t="shared" si="49"/>
        <v>1.1071708410598466</v>
      </c>
      <c r="BA22">
        <f t="shared" si="50"/>
        <v>0.6143411599197075</v>
      </c>
      <c r="BB22">
        <f t="shared" si="51"/>
        <v>1.1114860698402425</v>
      </c>
      <c r="BC22">
        <f t="shared" si="52"/>
        <v>0.46309225025375805</v>
      </c>
      <c r="BD22">
        <f t="shared" si="53"/>
        <v>0.60063384168059419</v>
      </c>
      <c r="BE22">
        <f t="shared" si="54"/>
        <v>0.47060045448318993</v>
      </c>
      <c r="BF22">
        <f t="shared" si="55"/>
        <v>0.78295204401589058</v>
      </c>
      <c r="BG22">
        <f t="shared" si="56"/>
        <v>0.68140401594037991</v>
      </c>
      <c r="BI22">
        <f t="shared" si="2"/>
        <v>2.3152388180413116E-3</v>
      </c>
      <c r="BJ22">
        <f t="shared" si="3"/>
        <v>0.1030114006991377</v>
      </c>
      <c r="BK22">
        <f t="shared" si="4"/>
        <v>7.771580958674891E-2</v>
      </c>
      <c r="BL22">
        <f t="shared" si="5"/>
        <v>5.129822236869476E-2</v>
      </c>
      <c r="BM22">
        <f t="shared" si="6"/>
        <v>2.647266944787224E-2</v>
      </c>
      <c r="BN22">
        <f t="shared" si="7"/>
        <v>0.1419883831349967</v>
      </c>
      <c r="BO22">
        <f t="shared" si="8"/>
        <v>3.6929677367819672E-2</v>
      </c>
      <c r="BP22">
        <f t="shared" si="9"/>
        <v>2.4984300003852968E-2</v>
      </c>
      <c r="BQ22">
        <f t="shared" si="10"/>
        <v>2.5541719809242882E-2</v>
      </c>
      <c r="BR22">
        <f t="shared" si="11"/>
        <v>1.4163152402653676E-2</v>
      </c>
      <c r="BS22">
        <f t="shared" si="12"/>
        <v>0.12148125512616868</v>
      </c>
      <c r="BT22">
        <f t="shared" si="13"/>
        <v>1.9087937016000832E-2</v>
      </c>
      <c r="BU22">
        <f t="shared" si="14"/>
        <v>8.1692995673109517E-2</v>
      </c>
      <c r="BV22">
        <f t="shared" si="15"/>
        <v>2.2508705456216086E-2</v>
      </c>
      <c r="BW22">
        <f t="shared" si="16"/>
        <v>0.12381075705588916</v>
      </c>
      <c r="BX22">
        <f t="shared" si="17"/>
        <v>4.82866213849606E-2</v>
      </c>
      <c r="BY22">
        <f t="shared" si="18"/>
        <v>7.8711154648594378E-2</v>
      </c>
      <c r="CA22">
        <f t="shared" si="19"/>
        <v>2.5650279198374832E-3</v>
      </c>
      <c r="CB22">
        <f t="shared" si="20"/>
        <v>6.6174347256408153E-2</v>
      </c>
      <c r="CC22">
        <f t="shared" si="21"/>
        <v>6.4484376333627982E-2</v>
      </c>
      <c r="CD22">
        <f t="shared" si="22"/>
        <v>3.4742190231737448E-2</v>
      </c>
      <c r="CE22">
        <f t="shared" si="23"/>
        <v>2.9861653909801139E-2</v>
      </c>
      <c r="CF22">
        <f t="shared" si="24"/>
        <v>0.12665691291339798</v>
      </c>
      <c r="CG22">
        <f t="shared" si="25"/>
        <v>3.2611202539100992E-2</v>
      </c>
      <c r="CH22">
        <f t="shared" si="26"/>
        <v>2.483056813406288E-2</v>
      </c>
      <c r="CI22">
        <f t="shared" si="27"/>
        <v>4.1104562288347704E-2</v>
      </c>
      <c r="CJ22">
        <f t="shared" si="28"/>
        <v>1.4695737260019296E-2</v>
      </c>
      <c r="CK22">
        <f t="shared" si="29"/>
        <v>0.15485108249996904</v>
      </c>
      <c r="CL22">
        <f t="shared" si="30"/>
        <v>1.8124308906081025E-2</v>
      </c>
      <c r="CM22">
        <f t="shared" si="31"/>
        <v>0.10433607367310746</v>
      </c>
      <c r="CN22">
        <f t="shared" si="32"/>
        <v>1.8555896024436087E-2</v>
      </c>
      <c r="CO22">
        <f t="shared" si="33"/>
        <v>0.11624142727132473</v>
      </c>
      <c r="CP22">
        <f t="shared" si="34"/>
        <v>4.0128289280082489E-2</v>
      </c>
      <c r="CQ22" s="25">
        <f t="shared" si="35"/>
        <v>8.4372617021954338E-2</v>
      </c>
      <c r="CR22">
        <f t="shared" si="57"/>
        <v>0.97433627346329621</v>
      </c>
      <c r="CS22">
        <f t="shared" si="58"/>
        <v>2.566372653670379E-2</v>
      </c>
      <c r="DC22">
        <f t="shared" si="59"/>
        <v>1.2274183243486771</v>
      </c>
      <c r="DD22">
        <f t="shared" si="60"/>
        <v>0.41267555796578026</v>
      </c>
      <c r="DE22">
        <f t="shared" si="61"/>
        <v>0.68847830050139691</v>
      </c>
      <c r="DF22">
        <f t="shared" si="62"/>
        <v>0.45867994975797771</v>
      </c>
      <c r="DG22">
        <f t="shared" si="63"/>
        <v>1.2724251421974171</v>
      </c>
      <c r="DH22">
        <f t="shared" si="64"/>
        <v>0.79570515094116112</v>
      </c>
      <c r="DI22">
        <f t="shared" si="65"/>
        <v>0.77979886807332432</v>
      </c>
      <c r="DJ22">
        <f t="shared" si="66"/>
        <v>0.98773158319523824</v>
      </c>
      <c r="DK22">
        <f t="shared" si="67"/>
        <v>2.5898808412938661</v>
      </c>
      <c r="DL22">
        <f t="shared" si="68"/>
        <v>1.0766211339814338</v>
      </c>
      <c r="DM22">
        <f t="shared" si="69"/>
        <v>1.6248375635589438</v>
      </c>
      <c r="DN22">
        <f t="shared" si="70"/>
        <v>0.90158136076124895</v>
      </c>
      <c r="DO22">
        <f t="shared" si="71"/>
        <v>1.6311704126168416</v>
      </c>
      <c r="DP22">
        <f t="shared" si="72"/>
        <v>0.67961479448380113</v>
      </c>
      <c r="DQ22">
        <f t="shared" si="73"/>
        <v>0.88146507450749634</v>
      </c>
      <c r="DR22">
        <f t="shared" si="74"/>
        <v>0.69063352060485295</v>
      </c>
      <c r="DS22">
        <f t="shared" si="75"/>
        <v>1.1490276336798046</v>
      </c>
    </row>
    <row r="23" spans="1:124" x14ac:dyDescent="0.25">
      <c r="A23" t="s">
        <v>132</v>
      </c>
      <c r="B23" s="26">
        <f t="shared" si="76"/>
        <v>38777</v>
      </c>
      <c r="D23">
        <v>15.902241727379222</v>
      </c>
      <c r="E23">
        <v>155.98937287206601</v>
      </c>
      <c r="F23">
        <v>249.63668708278905</v>
      </c>
      <c r="G23">
        <v>105.90234944382779</v>
      </c>
      <c r="H23">
        <v>176.13698192085383</v>
      </c>
      <c r="I23">
        <v>410.2349294729886</v>
      </c>
      <c r="J23">
        <v>106.75436441217546</v>
      </c>
      <c r="K23">
        <v>116.78991724146367</v>
      </c>
      <c r="L23">
        <v>284.67039746110322</v>
      </c>
      <c r="M23">
        <v>77.6840281563736</v>
      </c>
      <c r="N23">
        <v>815.57684424109993</v>
      </c>
      <c r="O23">
        <v>79.897894546715222</v>
      </c>
      <c r="P23">
        <v>635.80068866371869</v>
      </c>
      <c r="Q23">
        <v>57.034896426430585</v>
      </c>
      <c r="R23">
        <v>513.09406972516467</v>
      </c>
      <c r="S23">
        <v>120.74425521724068</v>
      </c>
      <c r="T23">
        <v>394.4077101986768</v>
      </c>
      <c r="U23">
        <f t="shared" si="37"/>
        <v>4316.2576288100672</v>
      </c>
      <c r="W23">
        <v>19.733530591814315</v>
      </c>
      <c r="X23">
        <v>631.35308209824018</v>
      </c>
      <c r="Y23">
        <v>417.15175464200155</v>
      </c>
      <c r="Z23">
        <v>298.67217836370537</v>
      </c>
      <c r="AA23">
        <v>144.95023824349025</v>
      </c>
      <c r="AB23">
        <v>904.15212471065945</v>
      </c>
      <c r="AC23">
        <v>243.48806799336171</v>
      </c>
      <c r="AD23">
        <v>111.63897277984283</v>
      </c>
      <c r="AE23">
        <v>173.40096706123737</v>
      </c>
      <c r="AF23">
        <v>86.94607375978687</v>
      </c>
      <c r="AG23">
        <v>759.35976828141929</v>
      </c>
      <c r="AH23">
        <v>105.89516291803709</v>
      </c>
      <c r="AI23">
        <v>467.02444534591154</v>
      </c>
      <c r="AJ23">
        <v>160.50330789545743</v>
      </c>
      <c r="AK23">
        <v>737.5114876053193</v>
      </c>
      <c r="AL23">
        <v>286.00108458039421</v>
      </c>
      <c r="AM23">
        <v>498.13523075471102</v>
      </c>
      <c r="AN23">
        <f t="shared" si="38"/>
        <v>6045.9174776253903</v>
      </c>
      <c r="AP23">
        <f t="shared" si="39"/>
        <v>0.80584878886171774</v>
      </c>
      <c r="AQ23">
        <f t="shared" si="40"/>
        <v>0.24707153143792471</v>
      </c>
      <c r="AR23">
        <f t="shared" si="41"/>
        <v>0.59843134855569902</v>
      </c>
      <c r="AS23">
        <f t="shared" si="42"/>
        <v>0.35457721580905388</v>
      </c>
      <c r="AT23">
        <f t="shared" si="43"/>
        <v>1.2151548286866247</v>
      </c>
      <c r="AU23">
        <f t="shared" si="44"/>
        <v>0.45372334838484085</v>
      </c>
      <c r="AV23">
        <f t="shared" si="45"/>
        <v>0.43843776531622874</v>
      </c>
      <c r="AW23">
        <f t="shared" si="46"/>
        <v>1.0461393036263307</v>
      </c>
      <c r="AX23">
        <f t="shared" si="47"/>
        <v>1.6416886381064446</v>
      </c>
      <c r="AY23">
        <f t="shared" si="48"/>
        <v>0.89347367623519958</v>
      </c>
      <c r="AZ23">
        <f t="shared" si="49"/>
        <v>1.0740322022681172</v>
      </c>
      <c r="BA23">
        <f t="shared" si="50"/>
        <v>0.754499944521132</v>
      </c>
      <c r="BB23">
        <f t="shared" si="51"/>
        <v>1.3613863149985639</v>
      </c>
      <c r="BC23">
        <f t="shared" si="52"/>
        <v>0.35535028638524896</v>
      </c>
      <c r="BD23">
        <f t="shared" si="53"/>
        <v>0.69570993584271867</v>
      </c>
      <c r="BE23">
        <f t="shared" si="54"/>
        <v>0.42218110953806459</v>
      </c>
      <c r="BF23">
        <f t="shared" si="55"/>
        <v>0.79176835093779752</v>
      </c>
      <c r="BG23">
        <f t="shared" si="56"/>
        <v>0.71391275927658404</v>
      </c>
      <c r="BI23">
        <f t="shared" si="2"/>
        <v>3.2639430929786535E-3</v>
      </c>
      <c r="BJ23">
        <f t="shared" si="3"/>
        <v>0.10442634793391391</v>
      </c>
      <c r="BK23">
        <f t="shared" si="4"/>
        <v>6.899726239826931E-2</v>
      </c>
      <c r="BL23">
        <f t="shared" si="5"/>
        <v>4.9400637615221406E-2</v>
      </c>
      <c r="BM23">
        <f t="shared" si="6"/>
        <v>2.3974895254511689E-2</v>
      </c>
      <c r="BN23">
        <f t="shared" si="7"/>
        <v>0.14954754643223753</v>
      </c>
      <c r="BO23">
        <f t="shared" si="8"/>
        <v>4.0273137847887844E-2</v>
      </c>
      <c r="BP23">
        <f t="shared" si="9"/>
        <v>1.8465183025238783E-2</v>
      </c>
      <c r="BQ23">
        <f t="shared" si="10"/>
        <v>2.8680670502526071E-2</v>
      </c>
      <c r="BR23">
        <f t="shared" si="11"/>
        <v>1.4380956088394384E-2</v>
      </c>
      <c r="BS23">
        <f t="shared" si="12"/>
        <v>0.12559876496687933</v>
      </c>
      <c r="BT23">
        <f t="shared" si="13"/>
        <v>1.7515151887191941E-2</v>
      </c>
      <c r="BU23">
        <f t="shared" si="14"/>
        <v>7.7246248741281401E-2</v>
      </c>
      <c r="BV23">
        <f t="shared" si="15"/>
        <v>2.6547386478469947E-2</v>
      </c>
      <c r="BW23">
        <f t="shared" si="16"/>
        <v>0.12198504037388651</v>
      </c>
      <c r="BX23">
        <f t="shared" si="17"/>
        <v>4.7304827702134747E-2</v>
      </c>
      <c r="BY23">
        <f t="shared" si="18"/>
        <v>8.2391999658976464E-2</v>
      </c>
      <c r="CA23">
        <f t="shared" si="19"/>
        <v>3.4677420521456938E-3</v>
      </c>
      <c r="CB23">
        <f t="shared" si="20"/>
        <v>6.143259649311511E-2</v>
      </c>
      <c r="CC23">
        <f t="shared" si="21"/>
        <v>6.31708114433671E-2</v>
      </c>
      <c r="CD23">
        <f t="shared" si="22"/>
        <v>3.4814919493619916E-2</v>
      </c>
      <c r="CE23">
        <f t="shared" si="23"/>
        <v>3.1278790769223574E-2</v>
      </c>
      <c r="CF23">
        <f t="shared" si="24"/>
        <v>0.11922086936430633</v>
      </c>
      <c r="CG23">
        <f t="shared" si="25"/>
        <v>3.1560717976408623E-2</v>
      </c>
      <c r="CH23">
        <f t="shared" si="26"/>
        <v>2.2352484593620197E-2</v>
      </c>
      <c r="CI23">
        <f t="shared" si="27"/>
        <v>4.3492274905605227E-2</v>
      </c>
      <c r="CJ23">
        <f t="shared" si="28"/>
        <v>1.6088148603455865E-2</v>
      </c>
      <c r="CK23">
        <f t="shared" si="29"/>
        <v>0.1540534569882385</v>
      </c>
      <c r="CL23">
        <f t="shared" si="30"/>
        <v>1.8006153242618922E-2</v>
      </c>
      <c r="CM23">
        <f t="shared" si="31"/>
        <v>0.10667079126920172</v>
      </c>
      <c r="CN23">
        <f t="shared" si="32"/>
        <v>1.8729558291294929E-2</v>
      </c>
      <c r="CO23">
        <f t="shared" si="33"/>
        <v>0.12041985647252282</v>
      </c>
      <c r="CP23">
        <f t="shared" si="34"/>
        <v>3.6377453272157155E-2</v>
      </c>
      <c r="CQ23" s="25">
        <f t="shared" si="35"/>
        <v>8.6768390241116877E-2</v>
      </c>
      <c r="CR23">
        <f t="shared" si="57"/>
        <v>0.96790501547201857</v>
      </c>
      <c r="CS23">
        <f t="shared" si="58"/>
        <v>3.2094984527981429E-2</v>
      </c>
      <c r="DC23">
        <f t="shared" si="59"/>
        <v>1.1287776810128642</v>
      </c>
      <c r="DD23">
        <f t="shared" si="60"/>
        <v>0.34608084563201408</v>
      </c>
      <c r="DE23">
        <f t="shared" si="61"/>
        <v>0.83824156492467838</v>
      </c>
      <c r="DF23">
        <f t="shared" si="62"/>
        <v>0.49666743058122542</v>
      </c>
      <c r="DG23">
        <f t="shared" si="63"/>
        <v>1.7021054924385368</v>
      </c>
      <c r="DH23">
        <f t="shared" si="64"/>
        <v>0.63554452906067105</v>
      </c>
      <c r="DI23">
        <f t="shared" si="65"/>
        <v>0.61413353329124243</v>
      </c>
      <c r="DJ23">
        <f t="shared" si="66"/>
        <v>1.4653601438450206</v>
      </c>
      <c r="DK23">
        <f t="shared" si="67"/>
        <v>2.2995647812345958</v>
      </c>
      <c r="DL23">
        <f t="shared" si="68"/>
        <v>1.2515166098734063</v>
      </c>
      <c r="DM23">
        <f t="shared" si="69"/>
        <v>1.5044306020758704</v>
      </c>
      <c r="DN23">
        <f t="shared" si="70"/>
        <v>1.0568517437420162</v>
      </c>
      <c r="DO23">
        <f t="shared" si="71"/>
        <v>1.9069365231377462</v>
      </c>
      <c r="DP23">
        <f t="shared" si="72"/>
        <v>0.49775029479138244</v>
      </c>
      <c r="DQ23">
        <f t="shared" si="73"/>
        <v>0.97450273412635113</v>
      </c>
      <c r="DR23">
        <f t="shared" si="74"/>
        <v>0.591362325511405</v>
      </c>
      <c r="DS23">
        <f t="shared" si="75"/>
        <v>1.109054769857462</v>
      </c>
    </row>
    <row r="24" spans="1:124" x14ac:dyDescent="0.25">
      <c r="A24" t="s">
        <v>133</v>
      </c>
      <c r="B24" s="26">
        <f t="shared" si="76"/>
        <v>38869</v>
      </c>
      <c r="D24">
        <v>17.188375199333674</v>
      </c>
      <c r="E24">
        <v>178.65991396980795</v>
      </c>
      <c r="F24">
        <v>225.74883113262365</v>
      </c>
      <c r="G24">
        <v>112.71335701888366</v>
      </c>
      <c r="H24">
        <v>163.55744708667012</v>
      </c>
      <c r="I24">
        <v>425.28722412866722</v>
      </c>
      <c r="J24">
        <v>150.4344579393252</v>
      </c>
      <c r="K24">
        <v>166.53837844143811</v>
      </c>
      <c r="L24">
        <v>290.42472125709565</v>
      </c>
      <c r="M24">
        <v>68.632081924484837</v>
      </c>
      <c r="N24">
        <v>772.89894556686738</v>
      </c>
      <c r="O24">
        <v>63.736180294895924</v>
      </c>
      <c r="P24">
        <v>644.05483629525918</v>
      </c>
      <c r="Q24">
        <v>58.393816524030164</v>
      </c>
      <c r="R24">
        <v>472.29647509408801</v>
      </c>
      <c r="S24">
        <v>167.87284766730718</v>
      </c>
      <c r="T24">
        <v>418.69528504221154</v>
      </c>
      <c r="U24">
        <f t="shared" si="37"/>
        <v>4397.1331745829893</v>
      </c>
      <c r="W24">
        <v>21.723844823886242</v>
      </c>
      <c r="X24">
        <v>663.2488779769418</v>
      </c>
      <c r="Y24">
        <v>396.40277298584641</v>
      </c>
      <c r="Z24">
        <v>295.85584111436077</v>
      </c>
      <c r="AA24">
        <v>145.48463873795345</v>
      </c>
      <c r="AB24">
        <v>889.91640299836217</v>
      </c>
      <c r="AC24">
        <v>241.44098832699686</v>
      </c>
      <c r="AD24">
        <v>136.02992331800874</v>
      </c>
      <c r="AE24">
        <v>205.40341098205229</v>
      </c>
      <c r="AF24">
        <v>84.369981992521801</v>
      </c>
      <c r="AG24">
        <v>720.58065644938927</v>
      </c>
      <c r="AH24">
        <v>111.37318495134582</v>
      </c>
      <c r="AI24">
        <v>464.82651626561682</v>
      </c>
      <c r="AJ24">
        <v>145.51096045504588</v>
      </c>
      <c r="AK24">
        <v>742.27543829576177</v>
      </c>
      <c r="AL24">
        <v>270.2322670632991</v>
      </c>
      <c r="AM24">
        <v>489.69590390984666</v>
      </c>
      <c r="AN24">
        <f t="shared" si="38"/>
        <v>6024.3716106472366</v>
      </c>
      <c r="AP24">
        <f t="shared" si="39"/>
        <v>0.79122159722087326</v>
      </c>
      <c r="AQ24">
        <f t="shared" si="40"/>
        <v>0.26937084992101434</v>
      </c>
      <c r="AR24">
        <f t="shared" si="41"/>
        <v>0.56949357198539075</v>
      </c>
      <c r="AS24">
        <f t="shared" si="42"/>
        <v>0.38097391146424986</v>
      </c>
      <c r="AT24">
        <f t="shared" si="43"/>
        <v>1.1242248563524935</v>
      </c>
      <c r="AU24">
        <f t="shared" si="44"/>
        <v>0.47789570199601089</v>
      </c>
      <c r="AV24">
        <f t="shared" si="45"/>
        <v>0.62306926003625995</v>
      </c>
      <c r="AW24">
        <f t="shared" si="46"/>
        <v>1.2242775293793791</v>
      </c>
      <c r="AX24">
        <f t="shared" si="47"/>
        <v>1.4139235559358474</v>
      </c>
      <c r="AY24">
        <f t="shared" si="48"/>
        <v>0.8134656462362182</v>
      </c>
      <c r="AZ24">
        <f t="shared" si="49"/>
        <v>1.0726057362894985</v>
      </c>
      <c r="BA24">
        <f t="shared" si="50"/>
        <v>0.57227581596718757</v>
      </c>
      <c r="BB24">
        <f t="shared" si="51"/>
        <v>1.3855811012451482</v>
      </c>
      <c r="BC24">
        <f t="shared" si="52"/>
        <v>0.40130184242767292</v>
      </c>
      <c r="BD24">
        <f t="shared" si="53"/>
        <v>0.63628196586763541</v>
      </c>
      <c r="BE24">
        <f t="shared" si="54"/>
        <v>0.62121688683455667</v>
      </c>
      <c r="BF24">
        <f t="shared" si="55"/>
        <v>0.85501079690324222</v>
      </c>
      <c r="BG24">
        <f t="shared" si="56"/>
        <v>0.72989076019342325</v>
      </c>
      <c r="BI24">
        <f t="shared" si="2"/>
        <v>3.6059934924154375E-3</v>
      </c>
      <c r="BJ24">
        <f t="shared" si="3"/>
        <v>0.11009428382617399</v>
      </c>
      <c r="BK24">
        <f t="shared" si="4"/>
        <v>6.5799854093538945E-2</v>
      </c>
      <c r="BL24">
        <f t="shared" si="5"/>
        <v>4.9109825926321814E-2</v>
      </c>
      <c r="BM24">
        <f t="shared" si="6"/>
        <v>2.4149346710423646E-2</v>
      </c>
      <c r="BN24">
        <f t="shared" si="7"/>
        <v>0.14771937398841051</v>
      </c>
      <c r="BO24">
        <f t="shared" si="8"/>
        <v>4.0077373032613654E-2</v>
      </c>
      <c r="BP24">
        <f t="shared" si="9"/>
        <v>2.2579935652972474E-2</v>
      </c>
      <c r="BQ24">
        <f t="shared" si="10"/>
        <v>3.4095408493564773E-2</v>
      </c>
      <c r="BR24">
        <f t="shared" si="11"/>
        <v>1.4004777169358149E-2</v>
      </c>
      <c r="BS24">
        <f t="shared" si="12"/>
        <v>0.11961092426235186</v>
      </c>
      <c r="BT24">
        <f t="shared" si="13"/>
        <v>1.8487104074806616E-2</v>
      </c>
      <c r="BU24">
        <f t="shared" si="14"/>
        <v>7.7157676568972072E-2</v>
      </c>
      <c r="BV24">
        <f t="shared" si="15"/>
        <v>2.4153715915843497E-2</v>
      </c>
      <c r="BW24">
        <f t="shared" si="16"/>
        <v>0.12321209352090656</v>
      </c>
      <c r="BX24">
        <f t="shared" si="17"/>
        <v>4.4856506956792185E-2</v>
      </c>
      <c r="BY24">
        <f t="shared" si="18"/>
        <v>8.1285806314533693E-2</v>
      </c>
      <c r="CA24">
        <f t="shared" si="19"/>
        <v>3.7544391709976605E-3</v>
      </c>
      <c r="CB24">
        <f t="shared" si="20"/>
        <v>6.6882290218126583E-2</v>
      </c>
      <c r="CC24">
        <f t="shared" si="21"/>
        <v>5.8121981365975121E-2</v>
      </c>
      <c r="CD24">
        <f t="shared" si="22"/>
        <v>3.5480283408885399E-2</v>
      </c>
      <c r="CE24">
        <f t="shared" si="23"/>
        <v>2.9971125025380158E-2</v>
      </c>
      <c r="CF24">
        <f t="shared" si="24"/>
        <v>0.11952949589332049</v>
      </c>
      <c r="CG24">
        <f t="shared" si="25"/>
        <v>3.7028700978007E-2</v>
      </c>
      <c r="CH24">
        <f t="shared" si="26"/>
        <v>2.9243793344896393E-2</v>
      </c>
      <c r="CI24">
        <f t="shared" si="27"/>
        <v>4.7454776251578588E-2</v>
      </c>
      <c r="CJ24">
        <f t="shared" si="28"/>
        <v>1.4784848497335445E-2</v>
      </c>
      <c r="CK24">
        <f t="shared" si="29"/>
        <v>0.14499798632687044</v>
      </c>
      <c r="CL24">
        <f t="shared" si="30"/>
        <v>1.6369772726380533E-2</v>
      </c>
      <c r="CM24">
        <f t="shared" si="31"/>
        <v>0.10630805782914056</v>
      </c>
      <c r="CN24">
        <f t="shared" si="32"/>
        <v>1.7909794302296056E-2</v>
      </c>
      <c r="CO24">
        <f t="shared" si="33"/>
        <v>0.115040089517696</v>
      </c>
      <c r="CP24">
        <f t="shared" si="34"/>
        <v>4.138263541828506E-2</v>
      </c>
      <c r="CQ24" s="25">
        <f t="shared" si="35"/>
        <v>8.7977493488542946E-2</v>
      </c>
      <c r="CR24">
        <f t="shared" si="57"/>
        <v>0.9722375637637144</v>
      </c>
      <c r="CS24">
        <f t="shared" si="58"/>
        <v>2.7762436236285604E-2</v>
      </c>
      <c r="DC24">
        <f t="shared" si="59"/>
        <v>1.084027419406155</v>
      </c>
      <c r="DD24">
        <f t="shared" si="60"/>
        <v>0.36905639119151235</v>
      </c>
      <c r="DE24">
        <f t="shared" si="61"/>
        <v>0.78024493944062701</v>
      </c>
      <c r="DF24">
        <f t="shared" si="62"/>
        <v>0.52196017848381948</v>
      </c>
      <c r="DG24">
        <f t="shared" si="63"/>
        <v>1.5402645404835245</v>
      </c>
      <c r="DH24">
        <f t="shared" si="64"/>
        <v>0.65474962564174277</v>
      </c>
      <c r="DI24">
        <f t="shared" si="65"/>
        <v>0.85364727712287347</v>
      </c>
      <c r="DJ24">
        <f t="shared" si="66"/>
        <v>1.6773435096711484</v>
      </c>
      <c r="DK24">
        <f t="shared" si="67"/>
        <v>1.9371714687293116</v>
      </c>
      <c r="DL24">
        <f t="shared" si="68"/>
        <v>1.1145032799437649</v>
      </c>
      <c r="DM24">
        <f t="shared" si="69"/>
        <v>1.4695428340608871</v>
      </c>
      <c r="DN24">
        <f t="shared" si="70"/>
        <v>0.78405680298724811</v>
      </c>
      <c r="DO24">
        <f t="shared" si="71"/>
        <v>1.8983403775079508</v>
      </c>
      <c r="DP24">
        <f t="shared" si="72"/>
        <v>0.54981082692610972</v>
      </c>
      <c r="DQ24">
        <f t="shared" si="73"/>
        <v>0.87174958304585026</v>
      </c>
      <c r="DR24">
        <f t="shared" si="74"/>
        <v>0.85110939980927058</v>
      </c>
      <c r="DS24">
        <f t="shared" si="75"/>
        <v>1.171422962905657</v>
      </c>
    </row>
    <row r="25" spans="1:124" x14ac:dyDescent="0.25">
      <c r="A25" t="s">
        <v>134</v>
      </c>
      <c r="B25" s="26">
        <f t="shared" si="76"/>
        <v>38961</v>
      </c>
      <c r="D25">
        <v>16.170305898254501</v>
      </c>
      <c r="E25">
        <v>196.52259957059542</v>
      </c>
      <c r="F25">
        <v>210.75082933406568</v>
      </c>
      <c r="G25">
        <v>117.97364146055105</v>
      </c>
      <c r="H25">
        <v>185.98310514555669</v>
      </c>
      <c r="I25">
        <v>420.62124242715703</v>
      </c>
      <c r="J25">
        <v>151.13378975538592</v>
      </c>
      <c r="K25">
        <v>160.58272850579337</v>
      </c>
      <c r="L25">
        <v>208.52261325694647</v>
      </c>
      <c r="M25">
        <v>56.847630042367193</v>
      </c>
      <c r="N25">
        <v>677.43178168625661</v>
      </c>
      <c r="O25">
        <v>72.470838239456498</v>
      </c>
      <c r="P25">
        <v>652.82270108036755</v>
      </c>
      <c r="Q25">
        <v>72.677064208567728</v>
      </c>
      <c r="R25">
        <v>468.90549843900226</v>
      </c>
      <c r="S25">
        <v>198.81735563251496</v>
      </c>
      <c r="T25">
        <v>488.30579379148645</v>
      </c>
      <c r="U25">
        <f t="shared" si="37"/>
        <v>4356.5395184743256</v>
      </c>
      <c r="W25">
        <v>25.045699053374147</v>
      </c>
      <c r="X25">
        <v>736.80702027235736</v>
      </c>
      <c r="Y25">
        <v>415.78633835440354</v>
      </c>
      <c r="Z25">
        <v>284.83538406262647</v>
      </c>
      <c r="AA25">
        <v>144.60791456904164</v>
      </c>
      <c r="AB25">
        <v>878.54785408154532</v>
      </c>
      <c r="AC25">
        <v>216.87307030329126</v>
      </c>
      <c r="AD25">
        <v>131.49512092176192</v>
      </c>
      <c r="AE25">
        <v>180.78404240231961</v>
      </c>
      <c r="AF25">
        <v>94.467830909985295</v>
      </c>
      <c r="AG25">
        <v>736.60807032948696</v>
      </c>
      <c r="AH25">
        <v>117.86292443734659</v>
      </c>
      <c r="AI25">
        <v>441.94307030106188</v>
      </c>
      <c r="AJ25">
        <v>137.58871712420969</v>
      </c>
      <c r="AK25">
        <v>726.21380810722405</v>
      </c>
      <c r="AL25">
        <v>310.64543779194071</v>
      </c>
      <c r="AM25">
        <v>445.74436490684025</v>
      </c>
      <c r="AN25">
        <f t="shared" si="38"/>
        <v>6025.8566679288169</v>
      </c>
      <c r="AP25">
        <f t="shared" si="39"/>
        <v>0.64563204499880167</v>
      </c>
      <c r="AQ25">
        <f t="shared" si="40"/>
        <v>0.26672194233159141</v>
      </c>
      <c r="AR25">
        <f t="shared" si="41"/>
        <v>0.50687290536811269</v>
      </c>
      <c r="AS25">
        <f t="shared" si="42"/>
        <v>0.41418183295166833</v>
      </c>
      <c r="AT25">
        <f t="shared" si="43"/>
        <v>1.286119820618538</v>
      </c>
      <c r="AU25">
        <f t="shared" si="44"/>
        <v>0.47876873237244932</v>
      </c>
      <c r="AV25">
        <f t="shared" si="45"/>
        <v>0.69687670093861498</v>
      </c>
      <c r="AW25">
        <f t="shared" si="46"/>
        <v>1.2212067442512808</v>
      </c>
      <c r="AX25">
        <f t="shared" si="47"/>
        <v>1.1534348412947699</v>
      </c>
      <c r="AY25">
        <f t="shared" si="48"/>
        <v>0.60176707239668792</v>
      </c>
      <c r="AZ25">
        <f t="shared" si="49"/>
        <v>0.91966380626706867</v>
      </c>
      <c r="BA25">
        <f t="shared" si="50"/>
        <v>0.61487391888006682</v>
      </c>
      <c r="BB25">
        <f t="shared" si="51"/>
        <v>1.477164695976904</v>
      </c>
      <c r="BC25">
        <f t="shared" si="52"/>
        <v>0.52821965149190053</v>
      </c>
      <c r="BD25">
        <f t="shared" si="53"/>
        <v>0.64568518693019572</v>
      </c>
      <c r="BE25">
        <f t="shared" si="54"/>
        <v>0.6400137631046614</v>
      </c>
      <c r="BF25">
        <f t="shared" si="55"/>
        <v>1.0954839415491915</v>
      </c>
      <c r="BG25">
        <f t="shared" si="56"/>
        <v>0.72297430200438828</v>
      </c>
      <c r="BI25">
        <f t="shared" si="2"/>
        <v>4.1563715225212535E-3</v>
      </c>
      <c r="BJ25">
        <f t="shared" si="3"/>
        <v>0.12227423599267416</v>
      </c>
      <c r="BK25">
        <f t="shared" si="4"/>
        <v>6.9000369784320795E-2</v>
      </c>
      <c r="BL25">
        <f t="shared" si="5"/>
        <v>4.726886146804566E-2</v>
      </c>
      <c r="BM25">
        <f t="shared" si="6"/>
        <v>2.3997901466638383E-2</v>
      </c>
      <c r="BN25">
        <f t="shared" si="7"/>
        <v>0.14579634108414932</v>
      </c>
      <c r="BO25">
        <f t="shared" si="8"/>
        <v>3.5990413024183994E-2</v>
      </c>
      <c r="BP25">
        <f t="shared" si="9"/>
        <v>2.1821813589030969E-2</v>
      </c>
      <c r="BQ25">
        <f t="shared" si="10"/>
        <v>3.0001384427960177E-2</v>
      </c>
      <c r="BR25">
        <f t="shared" si="11"/>
        <v>1.5677078980780901E-2</v>
      </c>
      <c r="BS25">
        <f t="shared" si="12"/>
        <v>0.12224121994967246</v>
      </c>
      <c r="BT25">
        <f t="shared" si="13"/>
        <v>1.9559530027430598E-2</v>
      </c>
      <c r="BU25">
        <f t="shared" si="14"/>
        <v>7.3341118890729404E-2</v>
      </c>
      <c r="BV25">
        <f t="shared" si="15"/>
        <v>2.2833055066923975E-2</v>
      </c>
      <c r="BW25">
        <f t="shared" si="16"/>
        <v>0.12051627646112521</v>
      </c>
      <c r="BX25">
        <f t="shared" si="17"/>
        <v>5.1552078801554782E-2</v>
      </c>
      <c r="BY25">
        <f t="shared" si="18"/>
        <v>7.3971949462257908E-2</v>
      </c>
      <c r="CA25">
        <f t="shared" si="19"/>
        <v>3.927764758657637E-3</v>
      </c>
      <c r="CB25">
        <f t="shared" si="20"/>
        <v>7.426820031880961E-2</v>
      </c>
      <c r="CC25">
        <f t="shared" si="21"/>
        <v>5.7774943082547353E-2</v>
      </c>
      <c r="CD25">
        <f t="shared" si="22"/>
        <v>3.5777437723053813E-2</v>
      </c>
      <c r="CE25">
        <f t="shared" si="23"/>
        <v>3.200755873693998E-2</v>
      </c>
      <c r="CF25">
        <f t="shared" si="24"/>
        <v>0.11864462950652692</v>
      </c>
      <c r="CG25">
        <f t="shared" si="25"/>
        <v>3.5334859816046039E-2</v>
      </c>
      <c r="CH25">
        <f t="shared" si="26"/>
        <v>2.836116119428099E-2</v>
      </c>
      <c r="CI25">
        <f t="shared" si="27"/>
        <v>3.7894518965695678E-2</v>
      </c>
      <c r="CJ25">
        <f t="shared" si="28"/>
        <v>1.4302696599042193E-2</v>
      </c>
      <c r="CK25">
        <f t="shared" si="29"/>
        <v>0.13787032286448633</v>
      </c>
      <c r="CL25">
        <f t="shared" si="30"/>
        <v>1.8038068053600361E-2</v>
      </c>
      <c r="CM25">
        <f t="shared" si="31"/>
        <v>0.10483361470534523</v>
      </c>
      <c r="CN25">
        <f t="shared" si="32"/>
        <v>1.9516856588651314E-2</v>
      </c>
      <c r="CO25">
        <f t="shared" si="33"/>
        <v>0.11389238465834277</v>
      </c>
      <c r="CP25">
        <f t="shared" si="34"/>
        <v>4.850420703065874E-2</v>
      </c>
      <c r="CQ25" s="25">
        <f t="shared" si="35"/>
        <v>9.1056015421529843E-2</v>
      </c>
      <c r="CR25">
        <f t="shared" si="57"/>
        <v>0.97200524002421473</v>
      </c>
      <c r="CS25">
        <f t="shared" si="58"/>
        <v>2.7994759975785266E-2</v>
      </c>
      <c r="DC25">
        <f t="shared" si="59"/>
        <v>0.89302212154545269</v>
      </c>
      <c r="DD25">
        <f t="shared" si="60"/>
        <v>0.36892312989842962</v>
      </c>
      <c r="DE25">
        <f t="shared" si="61"/>
        <v>0.701093944781783</v>
      </c>
      <c r="DF25">
        <f t="shared" si="62"/>
        <v>0.57288596815043413</v>
      </c>
      <c r="DG25">
        <f t="shared" si="63"/>
        <v>1.7789288181514529</v>
      </c>
      <c r="DH25">
        <f t="shared" si="64"/>
        <v>0.66222095452784613</v>
      </c>
      <c r="DI25">
        <f t="shared" si="65"/>
        <v>0.96390244993021224</v>
      </c>
      <c r="DJ25">
        <f t="shared" si="66"/>
        <v>1.6891426719671543</v>
      </c>
      <c r="DK25">
        <f t="shared" si="67"/>
        <v>1.5954022682368714</v>
      </c>
      <c r="DL25">
        <f t="shared" si="68"/>
        <v>0.8323491868636782</v>
      </c>
      <c r="DM25">
        <f t="shared" si="69"/>
        <v>1.2720560104520653</v>
      </c>
      <c r="DN25">
        <f t="shared" si="70"/>
        <v>0.85047824960773599</v>
      </c>
      <c r="DO25">
        <f t="shared" si="71"/>
        <v>2.0431773188640086</v>
      </c>
      <c r="DP25">
        <f t="shared" si="72"/>
        <v>0.73062023093691419</v>
      </c>
      <c r="DQ25">
        <f t="shared" si="73"/>
        <v>0.89309562613786586</v>
      </c>
      <c r="DR25">
        <f t="shared" si="74"/>
        <v>0.88525105433246321</v>
      </c>
      <c r="DS25">
        <f t="shared" si="75"/>
        <v>1.5152460308921771</v>
      </c>
    </row>
    <row r="26" spans="1:124" x14ac:dyDescent="0.25">
      <c r="A26" t="s">
        <v>135</v>
      </c>
      <c r="B26" s="26">
        <f t="shared" si="76"/>
        <v>39052</v>
      </c>
      <c r="D26">
        <v>16.477822690050527</v>
      </c>
      <c r="E26">
        <v>147.71826041637348</v>
      </c>
      <c r="F26">
        <v>226.54506854252062</v>
      </c>
      <c r="G26">
        <v>130.23935442650404</v>
      </c>
      <c r="H26">
        <v>173.44440072444775</v>
      </c>
      <c r="I26">
        <v>469.52377458513632</v>
      </c>
      <c r="J26">
        <v>169.47118760702895</v>
      </c>
      <c r="K26">
        <v>164.29073898773629</v>
      </c>
      <c r="L26">
        <v>234.63188354959618</v>
      </c>
      <c r="M26">
        <v>70.271894134641158</v>
      </c>
      <c r="N26">
        <v>750.21230655949023</v>
      </c>
      <c r="O26">
        <v>70.54499781474405</v>
      </c>
      <c r="P26">
        <v>703.45288978221708</v>
      </c>
      <c r="Q26">
        <v>80.305893747167161</v>
      </c>
      <c r="R26">
        <v>559.29459642310883</v>
      </c>
      <c r="S26">
        <v>192.29500167862423</v>
      </c>
      <c r="T26">
        <v>427.78221489579556</v>
      </c>
      <c r="U26">
        <f t="shared" si="37"/>
        <v>4586.5022865651827</v>
      </c>
      <c r="W26">
        <v>21.547973676920851</v>
      </c>
      <c r="X26">
        <v>621.36046579902722</v>
      </c>
      <c r="Y26">
        <v>406.04896449521885</v>
      </c>
      <c r="Z26">
        <v>273.92559205586679</v>
      </c>
      <c r="AA26">
        <v>143.63816516224577</v>
      </c>
      <c r="AB26">
        <v>897.84676783522912</v>
      </c>
      <c r="AC26">
        <v>208.07479118198589</v>
      </c>
      <c r="AD26">
        <v>123.53938019632439</v>
      </c>
      <c r="AE26">
        <v>148.21216698678998</v>
      </c>
      <c r="AF26">
        <v>81.6538259079109</v>
      </c>
      <c r="AG26">
        <v>759.53134673206796</v>
      </c>
      <c r="AH26">
        <v>112.14419503405846</v>
      </c>
      <c r="AI26">
        <v>435.98373625124822</v>
      </c>
      <c r="AJ26">
        <v>146.15841899659247</v>
      </c>
      <c r="AK26">
        <v>656.6034539177947</v>
      </c>
      <c r="AL26">
        <v>303.80126567407723</v>
      </c>
      <c r="AM26">
        <v>438.89274584451886</v>
      </c>
      <c r="AN26">
        <f t="shared" si="38"/>
        <v>5778.9632557478781</v>
      </c>
      <c r="AP26">
        <f t="shared" si="39"/>
        <v>0.76470404768032763</v>
      </c>
      <c r="AQ26">
        <f t="shared" si="40"/>
        <v>0.23773359997472299</v>
      </c>
      <c r="AR26">
        <f t="shared" si="41"/>
        <v>0.55792549261676083</v>
      </c>
      <c r="AS26">
        <f t="shared" si="42"/>
        <v>0.47545522654174599</v>
      </c>
      <c r="AT26">
        <f t="shared" si="43"/>
        <v>1.2075091639365798</v>
      </c>
      <c r="AU26">
        <f t="shared" si="44"/>
        <v>0.52294421654731882</v>
      </c>
      <c r="AV26">
        <f t="shared" si="45"/>
        <v>0.81447246273483687</v>
      </c>
      <c r="AW26">
        <f t="shared" si="46"/>
        <v>1.3298653330351122</v>
      </c>
      <c r="AX26">
        <f t="shared" si="47"/>
        <v>1.5830811216093259</v>
      </c>
      <c r="AY26">
        <f t="shared" si="48"/>
        <v>0.86060748964651979</v>
      </c>
      <c r="AZ26">
        <f t="shared" si="49"/>
        <v>0.98773053908482711</v>
      </c>
      <c r="BA26">
        <f t="shared" si="50"/>
        <v>0.6290561699900683</v>
      </c>
      <c r="BB26">
        <f t="shared" si="51"/>
        <v>1.6134842456068867</v>
      </c>
      <c r="BC26">
        <f t="shared" si="52"/>
        <v>0.5494441873310042</v>
      </c>
      <c r="BD26">
        <f t="shared" si="53"/>
        <v>0.85179965637696942</v>
      </c>
      <c r="BE26">
        <f t="shared" si="54"/>
        <v>0.6329631354627776</v>
      </c>
      <c r="BF26">
        <f t="shared" si="55"/>
        <v>0.97468508866022752</v>
      </c>
      <c r="BG26">
        <f t="shared" si="56"/>
        <v>0.79365486222867943</v>
      </c>
      <c r="BI26">
        <f t="shared" si="2"/>
        <v>3.728691933711256E-3</v>
      </c>
      <c r="BJ26">
        <f t="shared" si="3"/>
        <v>0.10752109648404652</v>
      </c>
      <c r="BK26">
        <f t="shared" si="4"/>
        <v>7.0263288850531111E-2</v>
      </c>
      <c r="BL26">
        <f t="shared" si="5"/>
        <v>4.7400473049108702E-2</v>
      </c>
      <c r="BM26">
        <f t="shared" si="6"/>
        <v>2.485535186945171E-2</v>
      </c>
      <c r="BN26">
        <f t="shared" si="7"/>
        <v>0.15536467842085894</v>
      </c>
      <c r="BO26">
        <f t="shared" si="8"/>
        <v>3.6005557047802707E-2</v>
      </c>
      <c r="BP26">
        <f t="shared" si="9"/>
        <v>2.1377429606158082E-2</v>
      </c>
      <c r="BQ26">
        <f t="shared" si="10"/>
        <v>2.5646843633998721E-2</v>
      </c>
      <c r="BR26">
        <f t="shared" si="11"/>
        <v>1.4129493871880271E-2</v>
      </c>
      <c r="BS26">
        <f t="shared" si="12"/>
        <v>0.13143038173440921</v>
      </c>
      <c r="BT26">
        <f t="shared" si="13"/>
        <v>1.9405590600098985E-2</v>
      </c>
      <c r="BU26">
        <f t="shared" si="14"/>
        <v>7.5443244221636063E-2</v>
      </c>
      <c r="BV26">
        <f t="shared" si="15"/>
        <v>2.5291460168261191E-2</v>
      </c>
      <c r="BW26">
        <f t="shared" si="16"/>
        <v>0.1136195931449682</v>
      </c>
      <c r="BX26">
        <f t="shared" si="17"/>
        <v>5.2570201994606922E-2</v>
      </c>
      <c r="BY26">
        <f t="shared" si="18"/>
        <v>7.5946623368471314E-2</v>
      </c>
      <c r="CA26">
        <f t="shared" si="19"/>
        <v>3.6600528548652663E-3</v>
      </c>
      <c r="CB26">
        <f t="shared" si="20"/>
        <v>5.8846837381432572E-2</v>
      </c>
      <c r="CC26">
        <f t="shared" si="21"/>
        <v>5.891158891607453E-2</v>
      </c>
      <c r="CD26">
        <f t="shared" si="22"/>
        <v>3.6687798166882848E-2</v>
      </c>
      <c r="CE26">
        <f t="shared" si="23"/>
        <v>3.0658386346068444E-2</v>
      </c>
      <c r="CF26">
        <f t="shared" si="24"/>
        <v>0.12611424143587818</v>
      </c>
      <c r="CG26">
        <f t="shared" si="25"/>
        <v>3.6474714099254804E-2</v>
      </c>
      <c r="CH26">
        <f t="shared" si="26"/>
        <v>2.7672186556202096E-2</v>
      </c>
      <c r="CI26">
        <f t="shared" si="27"/>
        <v>3.622176997724786E-2</v>
      </c>
      <c r="CJ26">
        <f t="shared" si="28"/>
        <v>1.4713409605697367E-2</v>
      </c>
      <c r="CK26">
        <f t="shared" si="29"/>
        <v>0.14662201022844695</v>
      </c>
      <c r="CL26">
        <f t="shared" si="30"/>
        <v>1.7276498922527972E-2</v>
      </c>
      <c r="CM26">
        <f t="shared" si="31"/>
        <v>0.10756893768854504</v>
      </c>
      <c r="CN26">
        <f t="shared" si="32"/>
        <v>2.1043591104439589E-2</v>
      </c>
      <c r="CO26">
        <f t="shared" si="33"/>
        <v>0.11770803763667477</v>
      </c>
      <c r="CP26">
        <f t="shared" si="34"/>
        <v>4.6947558695040338E-2</v>
      </c>
      <c r="CQ26" s="25">
        <f t="shared" si="35"/>
        <v>8.4163694256038882E-2</v>
      </c>
      <c r="CR26">
        <f t="shared" si="57"/>
        <v>0.9712913138713174</v>
      </c>
      <c r="CS26">
        <f t="shared" si="58"/>
        <v>2.8708686128682603E-2</v>
      </c>
      <c r="DC26">
        <f t="shared" si="59"/>
        <v>0.96352216066936902</v>
      </c>
      <c r="DD26">
        <f t="shared" si="60"/>
        <v>0.29954280038950193</v>
      </c>
      <c r="DE26">
        <f t="shared" si="61"/>
        <v>0.70298251692182434</v>
      </c>
      <c r="DF26">
        <f t="shared" si="62"/>
        <v>0.59907051436264103</v>
      </c>
      <c r="DG26">
        <f t="shared" si="63"/>
        <v>1.5214537469672234</v>
      </c>
      <c r="DH26">
        <f t="shared" si="64"/>
        <v>0.65890633502682494</v>
      </c>
      <c r="DI26">
        <f t="shared" si="65"/>
        <v>1.0262300421718569</v>
      </c>
      <c r="DJ26">
        <f t="shared" si="66"/>
        <v>1.6756217297033733</v>
      </c>
      <c r="DK26">
        <f t="shared" si="67"/>
        <v>1.9946719877250441</v>
      </c>
      <c r="DL26">
        <f t="shared" si="68"/>
        <v>1.0843598780833135</v>
      </c>
      <c r="DM26">
        <f t="shared" si="69"/>
        <v>1.2445340992571501</v>
      </c>
      <c r="DN26">
        <f t="shared" si="70"/>
        <v>0.79260671096199431</v>
      </c>
      <c r="DO26">
        <f t="shared" si="71"/>
        <v>2.0329797275808614</v>
      </c>
      <c r="DP26">
        <f t="shared" si="72"/>
        <v>0.692296127044567</v>
      </c>
      <c r="DQ26">
        <f t="shared" si="73"/>
        <v>1.0732620650555991</v>
      </c>
      <c r="DR26">
        <f t="shared" si="74"/>
        <v>0.79752946222157584</v>
      </c>
      <c r="DS26">
        <f t="shared" si="75"/>
        <v>1.2280969159858646</v>
      </c>
    </row>
    <row r="27" spans="1:124" x14ac:dyDescent="0.25">
      <c r="A27" t="s">
        <v>136</v>
      </c>
      <c r="B27" s="26">
        <f t="shared" si="76"/>
        <v>39142</v>
      </c>
      <c r="D27">
        <v>13.702739426613546</v>
      </c>
      <c r="E27">
        <v>246.95132065322483</v>
      </c>
      <c r="F27">
        <v>233.12033475234477</v>
      </c>
      <c r="G27">
        <v>131.98982459632751</v>
      </c>
      <c r="H27">
        <v>199.69665504961745</v>
      </c>
      <c r="I27">
        <v>437.11478250933311</v>
      </c>
      <c r="J27">
        <v>174.94691628856572</v>
      </c>
      <c r="K27">
        <v>169.15116409602749</v>
      </c>
      <c r="L27">
        <v>218.42274062783508</v>
      </c>
      <c r="M27">
        <v>53.68579110039493</v>
      </c>
      <c r="N27">
        <v>761.38705343383754</v>
      </c>
      <c r="O27">
        <v>59.775903145031556</v>
      </c>
      <c r="P27">
        <v>639.56884885331567</v>
      </c>
      <c r="Q27">
        <v>82.61076098522507</v>
      </c>
      <c r="R27">
        <v>498.77403727870978</v>
      </c>
      <c r="S27">
        <v>210.48959929867328</v>
      </c>
      <c r="T27">
        <v>433.63382241810399</v>
      </c>
      <c r="U27">
        <f t="shared" si="37"/>
        <v>4565.0222945131809</v>
      </c>
      <c r="W27">
        <v>28.001057785205788</v>
      </c>
      <c r="X27">
        <v>732.46822656986853</v>
      </c>
      <c r="Y27">
        <v>458.03960820315689</v>
      </c>
      <c r="Z27">
        <v>248.20509643805531</v>
      </c>
      <c r="AA27">
        <v>147.2452307971611</v>
      </c>
      <c r="AB27">
        <v>819.70920873202874</v>
      </c>
      <c r="AC27">
        <v>224.94460804150935</v>
      </c>
      <c r="AD27">
        <v>127.98328463776575</v>
      </c>
      <c r="AE27">
        <v>144.16677074446872</v>
      </c>
      <c r="AF27">
        <v>109.25446293003098</v>
      </c>
      <c r="AG27">
        <v>757.05851266434695</v>
      </c>
      <c r="AH27">
        <v>126.11628900053864</v>
      </c>
      <c r="AI27">
        <v>403.22758883246485</v>
      </c>
      <c r="AJ27">
        <v>163.99421760549748</v>
      </c>
      <c r="AK27">
        <v>659.4517526788137</v>
      </c>
      <c r="AL27">
        <v>244.12440607763293</v>
      </c>
      <c r="AM27">
        <v>463.73346839339837</v>
      </c>
      <c r="AN27">
        <f t="shared" si="38"/>
        <v>5857.723790131944</v>
      </c>
      <c r="AP27">
        <f t="shared" si="39"/>
        <v>0.4893650636960335</v>
      </c>
      <c r="AQ27">
        <f t="shared" si="40"/>
        <v>0.33714953317455426</v>
      </c>
      <c r="AR27">
        <f t="shared" si="41"/>
        <v>0.50895234948534751</v>
      </c>
      <c r="AS27">
        <f t="shared" si="42"/>
        <v>0.53177725393430142</v>
      </c>
      <c r="AT27">
        <f t="shared" si="43"/>
        <v>1.3562181536780042</v>
      </c>
      <c r="AU27">
        <f t="shared" si="44"/>
        <v>0.53325591301516095</v>
      </c>
      <c r="AV27">
        <f t="shared" si="45"/>
        <v>0.777733317600938</v>
      </c>
      <c r="AW27">
        <f t="shared" si="46"/>
        <v>1.3216660642425313</v>
      </c>
      <c r="AX27">
        <f t="shared" si="47"/>
        <v>1.5150699394868381</v>
      </c>
      <c r="AY27">
        <f t="shared" si="48"/>
        <v>0.49138304889912388</v>
      </c>
      <c r="AZ27">
        <f t="shared" si="49"/>
        <v>1.0057175775677589</v>
      </c>
      <c r="BA27">
        <f t="shared" si="50"/>
        <v>0.47397448512599555</v>
      </c>
      <c r="BB27">
        <f t="shared" si="51"/>
        <v>1.5861237340063234</v>
      </c>
      <c r="BC27">
        <f t="shared" si="52"/>
        <v>0.5037419135347353</v>
      </c>
      <c r="BD27">
        <f t="shared" si="53"/>
        <v>0.75634651853239965</v>
      </c>
      <c r="BE27">
        <f t="shared" si="54"/>
        <v>0.86222267851308732</v>
      </c>
      <c r="BF27">
        <f t="shared" si="55"/>
        <v>0.93509278922745342</v>
      </c>
      <c r="BG27">
        <f t="shared" si="56"/>
        <v>0.77931675477828477</v>
      </c>
      <c r="BI27">
        <f t="shared" si="2"/>
        <v>4.7801942850868133E-3</v>
      </c>
      <c r="BJ27">
        <f t="shared" si="3"/>
        <v>0.12504314863800872</v>
      </c>
      <c r="BK27">
        <f t="shared" si="4"/>
        <v>7.8194128745841668E-2</v>
      </c>
      <c r="BL27">
        <f t="shared" si="5"/>
        <v>4.2372277241236142E-2</v>
      </c>
      <c r="BM27">
        <f t="shared" si="6"/>
        <v>2.5136936474405604E-2</v>
      </c>
      <c r="BN27">
        <f t="shared" si="7"/>
        <v>0.13993647329580983</v>
      </c>
      <c r="BO27">
        <f t="shared" si="8"/>
        <v>3.8401368193641393E-2</v>
      </c>
      <c r="BP27">
        <f t="shared" si="9"/>
        <v>2.1848637665942756E-2</v>
      </c>
      <c r="BQ27">
        <f t="shared" si="10"/>
        <v>2.4611397858556486E-2</v>
      </c>
      <c r="BR27">
        <f t="shared" si="11"/>
        <v>1.8651351078397306E-2</v>
      </c>
      <c r="BS27">
        <f t="shared" si="12"/>
        <v>0.12924107380066385</v>
      </c>
      <c r="BT27">
        <f t="shared" si="13"/>
        <v>2.1529913925439272E-2</v>
      </c>
      <c r="BU27">
        <f t="shared" si="14"/>
        <v>6.8836907180866283E-2</v>
      </c>
      <c r="BV27">
        <f t="shared" si="15"/>
        <v>2.7996235992172575E-2</v>
      </c>
      <c r="BW27">
        <f t="shared" si="16"/>
        <v>0.11257815771200091</v>
      </c>
      <c r="BX27">
        <f t="shared" si="17"/>
        <v>4.1675643103707027E-2</v>
      </c>
      <c r="BY27">
        <f t="shared" si="18"/>
        <v>7.9166154808223366E-2</v>
      </c>
      <c r="CA27">
        <f t="shared" si="19"/>
        <v>3.787956842822886E-3</v>
      </c>
      <c r="CB27">
        <f t="shared" si="20"/>
        <v>8.2245884500201705E-2</v>
      </c>
      <c r="CC27">
        <f t="shared" si="21"/>
        <v>6.3191068671033968E-2</v>
      </c>
      <c r="CD27">
        <f t="shared" si="22"/>
        <v>3.5001743431208328E-2</v>
      </c>
      <c r="CE27">
        <f t="shared" si="23"/>
        <v>3.3160427255494646E-2</v>
      </c>
      <c r="CF27">
        <f t="shared" si="24"/>
        <v>0.11575553266425015</v>
      </c>
      <c r="CG27">
        <f t="shared" si="25"/>
        <v>3.8362335879754003E-2</v>
      </c>
      <c r="CH27">
        <f t="shared" si="26"/>
        <v>2.8453010574372488E-2</v>
      </c>
      <c r="CI27">
        <f t="shared" si="27"/>
        <v>3.4315917507418393E-2</v>
      </c>
      <c r="CJ27">
        <f t="shared" si="28"/>
        <v>1.4810283626844483E-2</v>
      </c>
      <c r="CK27">
        <f t="shared" si="29"/>
        <v>0.14681876660545698</v>
      </c>
      <c r="CL27">
        <f t="shared" si="30"/>
        <v>1.6790466733049833E-2</v>
      </c>
      <c r="CM27">
        <f t="shared" si="31"/>
        <v>9.8204835968587492E-2</v>
      </c>
      <c r="CN27">
        <f t="shared" si="32"/>
        <v>2.25085066791397E-2</v>
      </c>
      <c r="CO27">
        <f t="shared" si="33"/>
        <v>0.11090663707524891</v>
      </c>
      <c r="CP27">
        <f t="shared" si="34"/>
        <v>4.3836414455664587E-2</v>
      </c>
      <c r="CQ27" s="25">
        <f t="shared" si="35"/>
        <v>8.6718128897875099E-2</v>
      </c>
      <c r="CR27">
        <f t="shared" si="57"/>
        <v>0.97486791736842382</v>
      </c>
      <c r="CS27">
        <f t="shared" si="58"/>
        <v>2.513208263157618E-2</v>
      </c>
      <c r="DC27">
        <f t="shared" si="59"/>
        <v>0.62794115575669562</v>
      </c>
      <c r="DD27">
        <f t="shared" si="60"/>
        <v>0.43262194878701554</v>
      </c>
      <c r="DE27">
        <f t="shared" si="61"/>
        <v>0.65307507680897248</v>
      </c>
      <c r="DF27">
        <f t="shared" si="62"/>
        <v>0.68236343011204958</v>
      </c>
      <c r="DG27">
        <f t="shared" si="63"/>
        <v>1.7402656177510871</v>
      </c>
      <c r="DH27">
        <f t="shared" si="64"/>
        <v>0.68426080890160257</v>
      </c>
      <c r="DI27">
        <f t="shared" si="65"/>
        <v>0.99796817254647985</v>
      </c>
      <c r="DJ27">
        <f t="shared" si="66"/>
        <v>1.6959292304944023</v>
      </c>
      <c r="DK27">
        <f t="shared" si="67"/>
        <v>1.9441003034996658</v>
      </c>
      <c r="DL27">
        <f t="shared" si="68"/>
        <v>0.63053058449759891</v>
      </c>
      <c r="DM27">
        <f t="shared" si="69"/>
        <v>1.2905119406214807</v>
      </c>
      <c r="DN27">
        <f t="shared" si="70"/>
        <v>0.6081923456924021</v>
      </c>
      <c r="DO27">
        <f t="shared" si="71"/>
        <v>2.0352747766311978</v>
      </c>
      <c r="DP27">
        <f t="shared" si="72"/>
        <v>0.64638917416583663</v>
      </c>
      <c r="DQ27">
        <f t="shared" si="73"/>
        <v>0.97052516052677429</v>
      </c>
      <c r="DR27">
        <f t="shared" si="74"/>
        <v>1.1063828324317102</v>
      </c>
      <c r="DS27">
        <f t="shared" si="75"/>
        <v>1.1998879576167805</v>
      </c>
    </row>
    <row r="28" spans="1:124" x14ac:dyDescent="0.25">
      <c r="A28" t="s">
        <v>137</v>
      </c>
      <c r="B28" s="26">
        <f t="shared" si="76"/>
        <v>39234</v>
      </c>
      <c r="D28">
        <v>15.011428531034445</v>
      </c>
      <c r="E28">
        <v>160.85663562397772</v>
      </c>
      <c r="F28">
        <v>219.68110240455471</v>
      </c>
      <c r="G28">
        <v>129.81815811771506</v>
      </c>
      <c r="H28">
        <v>219.52046222144963</v>
      </c>
      <c r="I28">
        <v>408.18717526833115</v>
      </c>
      <c r="J28">
        <v>144.42394961744921</v>
      </c>
      <c r="K28">
        <v>174.90776504408916</v>
      </c>
      <c r="L28">
        <v>197.25203222605919</v>
      </c>
      <c r="M28">
        <v>67.895767271367788</v>
      </c>
      <c r="N28">
        <v>790.50910584808787</v>
      </c>
      <c r="O28">
        <v>71.800842743497455</v>
      </c>
      <c r="P28">
        <v>702.79096663829739</v>
      </c>
      <c r="Q28">
        <v>67.671177063665823</v>
      </c>
      <c r="R28">
        <v>503.98095318138365</v>
      </c>
      <c r="S28">
        <v>217.99611343446387</v>
      </c>
      <c r="T28">
        <v>431.17840413912199</v>
      </c>
      <c r="U28">
        <f t="shared" si="37"/>
        <v>4523.4820393745458</v>
      </c>
      <c r="W28">
        <v>23.016318213159746</v>
      </c>
      <c r="X28">
        <v>741.35992910176117</v>
      </c>
      <c r="Y28">
        <v>447.46614191879229</v>
      </c>
      <c r="Z28">
        <v>244.64220722592742</v>
      </c>
      <c r="AA28">
        <v>124.30120769629029</v>
      </c>
      <c r="AB28">
        <v>763.37181736314869</v>
      </c>
      <c r="AC28">
        <v>215.99214787831383</v>
      </c>
      <c r="AD28">
        <v>101.33373748429376</v>
      </c>
      <c r="AE28">
        <v>194.55047442218293</v>
      </c>
      <c r="AF28">
        <v>73.886372489832127</v>
      </c>
      <c r="AG28">
        <v>742.48095023193162</v>
      </c>
      <c r="AH28">
        <v>166.93088003852856</v>
      </c>
      <c r="AI28">
        <v>442.48604418885139</v>
      </c>
      <c r="AJ28">
        <v>149.17729936441083</v>
      </c>
      <c r="AK28">
        <v>709.43522975735652</v>
      </c>
      <c r="AL28">
        <v>244.71119635759109</v>
      </c>
      <c r="AM28">
        <v>485.22642441997522</v>
      </c>
      <c r="AN28">
        <f t="shared" si="38"/>
        <v>5870.3683781523478</v>
      </c>
      <c r="AP28">
        <f t="shared" si="39"/>
        <v>0.65220807220381372</v>
      </c>
      <c r="AQ28">
        <f t="shared" si="40"/>
        <v>0.21697508768631882</v>
      </c>
      <c r="AR28">
        <f t="shared" si="41"/>
        <v>0.49094463653168019</v>
      </c>
      <c r="AS28">
        <f t="shared" si="42"/>
        <v>0.53064497573727254</v>
      </c>
      <c r="AT28">
        <f t="shared" si="43"/>
        <v>1.7660364391455636</v>
      </c>
      <c r="AU28">
        <f t="shared" si="44"/>
        <v>0.53471606625235113</v>
      </c>
      <c r="AV28">
        <f t="shared" si="45"/>
        <v>0.66865370355414544</v>
      </c>
      <c r="AW28">
        <f t="shared" si="46"/>
        <v>1.7260565867433737</v>
      </c>
      <c r="AX28">
        <f t="shared" si="47"/>
        <v>1.01388615377012</v>
      </c>
      <c r="AY28">
        <f t="shared" si="48"/>
        <v>0.91892137864409662</v>
      </c>
      <c r="AZ28">
        <f t="shared" si="49"/>
        <v>1.0646860442697601</v>
      </c>
      <c r="BA28">
        <f t="shared" si="50"/>
        <v>0.4301231906698475</v>
      </c>
      <c r="BB28">
        <f t="shared" si="51"/>
        <v>1.5882782651973286</v>
      </c>
      <c r="BC28">
        <f t="shared" si="52"/>
        <v>0.45362918722880508</v>
      </c>
      <c r="BD28">
        <f t="shared" si="53"/>
        <v>0.71039741479113883</v>
      </c>
      <c r="BE28">
        <f t="shared" si="54"/>
        <v>0.89083015685114353</v>
      </c>
      <c r="BF28">
        <f t="shared" si="55"/>
        <v>0.88861278454597648</v>
      </c>
      <c r="BG28">
        <f t="shared" si="56"/>
        <v>0.77056187073532112</v>
      </c>
      <c r="BI28">
        <f t="shared" si="2"/>
        <v>3.9207621618464689E-3</v>
      </c>
      <c r="BJ28">
        <f t="shared" si="3"/>
        <v>0.12628848503968987</v>
      </c>
      <c r="BK28">
        <f t="shared" si="4"/>
        <v>7.6224542157204242E-2</v>
      </c>
      <c r="BL28">
        <f t="shared" si="5"/>
        <v>4.1674080988921967E-2</v>
      </c>
      <c r="BM28">
        <f t="shared" si="6"/>
        <v>2.1174345405460419E-2</v>
      </c>
      <c r="BN28">
        <f t="shared" si="7"/>
        <v>0.13003814551130674</v>
      </c>
      <c r="BO28">
        <f t="shared" si="8"/>
        <v>3.6793627582583782E-2</v>
      </c>
      <c r="BP28">
        <f t="shared" si="9"/>
        <v>1.7261904357046116E-2</v>
      </c>
      <c r="BQ28">
        <f t="shared" si="10"/>
        <v>3.3141101527161085E-2</v>
      </c>
      <c r="BR28">
        <f t="shared" si="11"/>
        <v>1.2586326399006545E-2</v>
      </c>
      <c r="BS28">
        <f t="shared" si="12"/>
        <v>0.12647944769449404</v>
      </c>
      <c r="BT28">
        <f t="shared" si="13"/>
        <v>2.8436184798860738E-2</v>
      </c>
      <c r="BU28">
        <f t="shared" si="14"/>
        <v>7.5376197145590448E-2</v>
      </c>
      <c r="BV28">
        <f t="shared" si="15"/>
        <v>2.5411914509420142E-2</v>
      </c>
      <c r="BW28">
        <f t="shared" si="16"/>
        <v>0.12085020633417995</v>
      </c>
      <c r="BX28">
        <f t="shared" si="17"/>
        <v>4.1685833084739395E-2</v>
      </c>
      <c r="BY28">
        <f t="shared" si="18"/>
        <v>8.2656895302488056E-2</v>
      </c>
      <c r="CA28">
        <f t="shared" si="19"/>
        <v>3.6071136461212055E-3</v>
      </c>
      <c r="CB28">
        <f t="shared" si="20"/>
        <v>6.7013905995906925E-2</v>
      </c>
      <c r="CC28">
        <f t="shared" si="21"/>
        <v>6.0842538659293087E-2</v>
      </c>
      <c r="CD28">
        <f t="shared" si="22"/>
        <v>3.4583130385557999E-2</v>
      </c>
      <c r="CE28">
        <f t="shared" si="23"/>
        <v>3.2055759100263148E-2</v>
      </c>
      <c r="CF28">
        <f t="shared" si="24"/>
        <v>0.10832498219835951</v>
      </c>
      <c r="CG28">
        <f t="shared" si="25"/>
        <v>3.4274369767186702E-2</v>
      </c>
      <c r="CH28">
        <f t="shared" si="26"/>
        <v>2.5835237783435216E-2</v>
      </c>
      <c r="CI28">
        <f t="shared" si="27"/>
        <v>3.8015243585503622E-2</v>
      </c>
      <c r="CJ28">
        <f t="shared" si="28"/>
        <v>1.3744672941690014E-2</v>
      </c>
      <c r="CK28">
        <f t="shared" si="29"/>
        <v>0.14867124679803595</v>
      </c>
      <c r="CL28">
        <f t="shared" si="30"/>
        <v>2.1245355358273484E-2</v>
      </c>
      <c r="CM28">
        <f t="shared" si="31"/>
        <v>0.1082165692586101</v>
      </c>
      <c r="CN28">
        <f t="shared" si="32"/>
        <v>1.9497733182496958E-2</v>
      </c>
      <c r="CO28">
        <f t="shared" si="33"/>
        <v>0.11603642092261419</v>
      </c>
      <c r="CP28">
        <f t="shared" si="34"/>
        <v>4.4821066158230567E-2</v>
      </c>
      <c r="CQ28" s="25">
        <f t="shared" si="35"/>
        <v>8.8762925915571417E-2</v>
      </c>
      <c r="CR28">
        <f t="shared" si="57"/>
        <v>0.96554827165715007</v>
      </c>
      <c r="CS28">
        <f t="shared" si="58"/>
        <v>3.445172834284993E-2</v>
      </c>
      <c r="DC28">
        <f t="shared" si="59"/>
        <v>0.84640584614111991</v>
      </c>
      <c r="DD28">
        <f t="shared" si="60"/>
        <v>0.28158035834198081</v>
      </c>
      <c r="DE28">
        <f t="shared" si="61"/>
        <v>0.63712552512258147</v>
      </c>
      <c r="DF28">
        <f t="shared" si="62"/>
        <v>0.68864681200861388</v>
      </c>
      <c r="DG28">
        <f t="shared" si="63"/>
        <v>2.2918814260304559</v>
      </c>
      <c r="DH28">
        <f t="shared" si="64"/>
        <v>0.69393008732976846</v>
      </c>
      <c r="DI28">
        <f t="shared" si="65"/>
        <v>0.86774823534425838</v>
      </c>
      <c r="DJ28">
        <f t="shared" si="66"/>
        <v>2.2399973996847993</v>
      </c>
      <c r="DK28">
        <f t="shared" si="67"/>
        <v>1.3157751405511446</v>
      </c>
      <c r="DL28">
        <f t="shared" si="68"/>
        <v>1.1925341929613011</v>
      </c>
      <c r="DM28">
        <f t="shared" si="69"/>
        <v>1.3817009181284381</v>
      </c>
      <c r="DN28">
        <f t="shared" si="70"/>
        <v>0.5581942307363269</v>
      </c>
      <c r="DO28">
        <f t="shared" si="71"/>
        <v>2.0611949870835011</v>
      </c>
      <c r="DP28">
        <f t="shared" si="72"/>
        <v>0.58869923942112801</v>
      </c>
      <c r="DQ28">
        <f t="shared" si="73"/>
        <v>0.92192131712049363</v>
      </c>
      <c r="DR28">
        <f t="shared" si="74"/>
        <v>1.1560786884005232</v>
      </c>
      <c r="DS28">
        <f t="shared" si="75"/>
        <v>1.1532010839025857</v>
      </c>
    </row>
    <row r="29" spans="1:124" x14ac:dyDescent="0.25">
      <c r="A29" t="s">
        <v>138</v>
      </c>
      <c r="B29" s="26">
        <f t="shared" si="76"/>
        <v>39326</v>
      </c>
      <c r="D29">
        <v>12.175431280933884</v>
      </c>
      <c r="E29">
        <v>147.18469082886097</v>
      </c>
      <c r="F29">
        <v>208.57259164399761</v>
      </c>
      <c r="G29">
        <v>122.46699131842358</v>
      </c>
      <c r="H29">
        <v>208.42358751632119</v>
      </c>
      <c r="I29">
        <v>407.05332825068967</v>
      </c>
      <c r="J29">
        <v>167.53813180290544</v>
      </c>
      <c r="K29">
        <v>123.30395497950695</v>
      </c>
      <c r="L29">
        <v>235.0277512895467</v>
      </c>
      <c r="M29">
        <v>57.183251800031201</v>
      </c>
      <c r="N29">
        <v>739.33919438684427</v>
      </c>
      <c r="O29">
        <v>66.7724555389578</v>
      </c>
      <c r="P29">
        <v>710.02855643857254</v>
      </c>
      <c r="Q29">
        <v>64.361843342430404</v>
      </c>
      <c r="R29">
        <v>549.07932911930936</v>
      </c>
      <c r="S29">
        <v>182.3729683276888</v>
      </c>
      <c r="T29">
        <v>464.06128996377493</v>
      </c>
      <c r="U29">
        <f t="shared" si="37"/>
        <v>4464.945347828796</v>
      </c>
      <c r="W29">
        <v>32.315271944945707</v>
      </c>
      <c r="X29">
        <v>710.29951148649309</v>
      </c>
      <c r="Y29">
        <v>380.28136724663074</v>
      </c>
      <c r="Z29">
        <v>267.89754233208038</v>
      </c>
      <c r="AA29">
        <v>153.22381556652093</v>
      </c>
      <c r="AB29">
        <v>894.36551192363765</v>
      </c>
      <c r="AC29">
        <v>250.16863135822678</v>
      </c>
      <c r="AD29">
        <v>122.46318675915659</v>
      </c>
      <c r="AE29">
        <v>212.49369882693563</v>
      </c>
      <c r="AF29">
        <v>118.42436161251675</v>
      </c>
      <c r="AG29">
        <v>712.11069105398235</v>
      </c>
      <c r="AH29">
        <v>124.69196479550912</v>
      </c>
      <c r="AI29">
        <v>460.47340369594991</v>
      </c>
      <c r="AJ29">
        <v>169.1380633624392</v>
      </c>
      <c r="AK29">
        <v>747.4098338522972</v>
      </c>
      <c r="AL29">
        <v>240.45649545020413</v>
      </c>
      <c r="AM29">
        <v>524.56290144060165</v>
      </c>
      <c r="AN29">
        <f t="shared" si="38"/>
        <v>6120.7762527081277</v>
      </c>
      <c r="AP29">
        <f t="shared" si="39"/>
        <v>0.37677019403323297</v>
      </c>
      <c r="AQ29">
        <f t="shared" si="40"/>
        <v>0.20721496840232559</v>
      </c>
      <c r="AR29">
        <f t="shared" si="41"/>
        <v>0.54846913261655617</v>
      </c>
      <c r="AS29">
        <f t="shared" si="42"/>
        <v>0.45714115274195377</v>
      </c>
      <c r="AT29">
        <f t="shared" si="43"/>
        <v>1.3602558241074196</v>
      </c>
      <c r="AU29">
        <f t="shared" si="44"/>
        <v>0.45513084172396456</v>
      </c>
      <c r="AV29">
        <f t="shared" si="45"/>
        <v>0.66970079699161278</v>
      </c>
      <c r="AW29">
        <f t="shared" si="46"/>
        <v>1.0068654772311607</v>
      </c>
      <c r="AX29">
        <f t="shared" si="47"/>
        <v>1.1060457443538776</v>
      </c>
      <c r="AY29">
        <f t="shared" si="48"/>
        <v>0.48286730045574738</v>
      </c>
      <c r="AZ29">
        <f t="shared" si="49"/>
        <v>1.0382363355513755</v>
      </c>
      <c r="BA29">
        <f t="shared" si="50"/>
        <v>0.53549926531723613</v>
      </c>
      <c r="BB29">
        <f t="shared" si="51"/>
        <v>1.5419534564636954</v>
      </c>
      <c r="BC29">
        <f t="shared" si="52"/>
        <v>0.38052843968369193</v>
      </c>
      <c r="BD29">
        <f t="shared" si="53"/>
        <v>0.73464290172534463</v>
      </c>
      <c r="BE29">
        <f t="shared" si="54"/>
        <v>0.75844475727816718</v>
      </c>
      <c r="BF29">
        <f t="shared" si="55"/>
        <v>0.88466280914896611</v>
      </c>
      <c r="BG29">
        <f t="shared" si="56"/>
        <v>0.7294737078247695</v>
      </c>
      <c r="BI29">
        <f t="shared" si="2"/>
        <v>5.2796035356868116E-3</v>
      </c>
      <c r="BJ29">
        <f t="shared" si="3"/>
        <v>0.11604729239566995</v>
      </c>
      <c r="BK29">
        <f t="shared" si="4"/>
        <v>6.2129597872226723E-2</v>
      </c>
      <c r="BL29">
        <f t="shared" si="5"/>
        <v>4.3768556678337907E-2</v>
      </c>
      <c r="BM29">
        <f t="shared" si="6"/>
        <v>2.503339596815474E-2</v>
      </c>
      <c r="BN29">
        <f t="shared" si="7"/>
        <v>0.14611962192343284</v>
      </c>
      <c r="BO29">
        <f t="shared" si="8"/>
        <v>4.0872043190198312E-2</v>
      </c>
      <c r="BP29">
        <f t="shared" si="9"/>
        <v>2.0007786872616517E-2</v>
      </c>
      <c r="BQ29">
        <f t="shared" si="10"/>
        <v>3.4716789187142418E-2</v>
      </c>
      <c r="BR29">
        <f t="shared" si="11"/>
        <v>1.9347931818308187E-2</v>
      </c>
      <c r="BS29">
        <f t="shared" si="12"/>
        <v>0.1163431992370102</v>
      </c>
      <c r="BT29">
        <f t="shared" si="13"/>
        <v>2.037192010414355E-2</v>
      </c>
      <c r="BU29">
        <f t="shared" si="14"/>
        <v>7.523121001069337E-2</v>
      </c>
      <c r="BV29">
        <f t="shared" si="15"/>
        <v>2.763343346975056E-2</v>
      </c>
      <c r="BW29">
        <f t="shared" si="16"/>
        <v>0.12211030153595419</v>
      </c>
      <c r="BX29">
        <f t="shared" si="17"/>
        <v>3.9285294139581484E-2</v>
      </c>
      <c r="BY29">
        <f t="shared" si="18"/>
        <v>8.5702022061092273E-2</v>
      </c>
      <c r="CA29">
        <f t="shared" si="19"/>
        <v>3.7943270220567133E-3</v>
      </c>
      <c r="CB29">
        <f t="shared" si="20"/>
        <v>6.1850149295270211E-2</v>
      </c>
      <c r="CC29">
        <f t="shared" si="21"/>
        <v>5.38728332645389E-2</v>
      </c>
      <c r="CD29">
        <f t="shared" si="22"/>
        <v>3.4648350442435999E-2</v>
      </c>
      <c r="CE29">
        <f t="shared" si="23"/>
        <v>3.4184186109833196E-2</v>
      </c>
      <c r="CF29">
        <f t="shared" si="24"/>
        <v>0.11541755002273336</v>
      </c>
      <c r="CG29">
        <f t="shared" si="25"/>
        <v>3.9161735946590018E-2</v>
      </c>
      <c r="CH29">
        <f t="shared" si="26"/>
        <v>2.3506066258686238E-2</v>
      </c>
      <c r="CI29">
        <f t="shared" si="27"/>
        <v>4.274853885266415E-2</v>
      </c>
      <c r="CJ29">
        <f t="shared" si="28"/>
        <v>1.5741409782366631E-2</v>
      </c>
      <c r="CK29">
        <f t="shared" si="29"/>
        <v>0.13879834645474218</v>
      </c>
      <c r="CL29">
        <f t="shared" si="30"/>
        <v>1.7454466628763363E-2</v>
      </c>
      <c r="CM29">
        <f t="shared" si="31"/>
        <v>0.10937771787538839</v>
      </c>
      <c r="CN29">
        <f t="shared" si="32"/>
        <v>1.9958301916973196E-2</v>
      </c>
      <c r="CO29">
        <f t="shared" si="33"/>
        <v>0.12254218656547745</v>
      </c>
      <c r="CP29">
        <f t="shared" si="34"/>
        <v>4.0057806495115207E-2</v>
      </c>
      <c r="CQ29" s="25">
        <f t="shared" si="35"/>
        <v>9.4378948008192839E-2</v>
      </c>
      <c r="CR29">
        <f t="shared" si="57"/>
        <v>0.96749292094182815</v>
      </c>
      <c r="CS29">
        <f t="shared" si="58"/>
        <v>3.2507079058171851E-2</v>
      </c>
      <c r="DC29">
        <f t="shared" si="59"/>
        <v>0.51649592026658597</v>
      </c>
      <c r="DD29">
        <f t="shared" si="60"/>
        <v>0.28406091429974023</v>
      </c>
      <c r="DE29">
        <f t="shared" si="61"/>
        <v>0.75186963797783191</v>
      </c>
      <c r="DF29">
        <f t="shared" si="62"/>
        <v>0.62667255562247892</v>
      </c>
      <c r="DG29">
        <f t="shared" si="63"/>
        <v>1.8647085008225868</v>
      </c>
      <c r="DH29">
        <f t="shared" si="64"/>
        <v>0.62391671809684168</v>
      </c>
      <c r="DI29">
        <f t="shared" si="65"/>
        <v>0.91806022589711334</v>
      </c>
      <c r="DJ29">
        <f t="shared" si="66"/>
        <v>1.3802628750439143</v>
      </c>
      <c r="DK29">
        <f t="shared" si="67"/>
        <v>1.5162242757892055</v>
      </c>
      <c r="DL29">
        <f t="shared" si="68"/>
        <v>0.66193927934101682</v>
      </c>
      <c r="DM29">
        <f t="shared" si="69"/>
        <v>1.4232676577848307</v>
      </c>
      <c r="DN29">
        <f t="shared" si="70"/>
        <v>0.73408987818635829</v>
      </c>
      <c r="DO29">
        <f t="shared" si="71"/>
        <v>2.1137889411554989</v>
      </c>
      <c r="DP29">
        <f t="shared" si="72"/>
        <v>0.52164791630173535</v>
      </c>
      <c r="DQ29">
        <f t="shared" si="73"/>
        <v>1.0070861963154083</v>
      </c>
      <c r="DR29">
        <f t="shared" si="74"/>
        <v>1.0397150015725543</v>
      </c>
      <c r="DS29">
        <f t="shared" si="75"/>
        <v>1.212741185404691</v>
      </c>
    </row>
    <row r="30" spans="1:124" x14ac:dyDescent="0.25">
      <c r="A30" t="s">
        <v>139</v>
      </c>
      <c r="B30" s="26">
        <f t="shared" si="76"/>
        <v>39417</v>
      </c>
      <c r="D30">
        <v>16.981811439329825</v>
      </c>
      <c r="E30">
        <v>131.32231704595813</v>
      </c>
      <c r="F30">
        <v>178.4268486628981</v>
      </c>
      <c r="G30">
        <v>137.19488077179628</v>
      </c>
      <c r="H30">
        <v>188.55025095939354</v>
      </c>
      <c r="I30">
        <v>377.9615277534852</v>
      </c>
      <c r="J30">
        <v>152.03543915749651</v>
      </c>
      <c r="K30">
        <v>101.74640812040275</v>
      </c>
      <c r="L30">
        <v>196.49097541923081</v>
      </c>
      <c r="M30">
        <v>70.292951068308511</v>
      </c>
      <c r="N30">
        <v>773.59804421060562</v>
      </c>
      <c r="O30">
        <v>69.518890122587123</v>
      </c>
      <c r="P30">
        <v>666.95901954739486</v>
      </c>
      <c r="Q30">
        <v>70.889642044842688</v>
      </c>
      <c r="R30">
        <v>545.86934823168974</v>
      </c>
      <c r="S30">
        <v>195.59372570685801</v>
      </c>
      <c r="T30">
        <v>444.95776084183626</v>
      </c>
      <c r="U30">
        <f t="shared" si="37"/>
        <v>4318.3898411041137</v>
      </c>
      <c r="W30">
        <v>16.837382044286684</v>
      </c>
      <c r="X30">
        <v>777.19152448662089</v>
      </c>
      <c r="Y30">
        <v>456.38933224572048</v>
      </c>
      <c r="Z30">
        <v>321.06308244279234</v>
      </c>
      <c r="AA30">
        <v>137.54569381772708</v>
      </c>
      <c r="AB30">
        <v>854.66641524188947</v>
      </c>
      <c r="AC30">
        <v>241.1043980891038</v>
      </c>
      <c r="AD30">
        <v>128.95689133426956</v>
      </c>
      <c r="AE30">
        <v>207.6172322521081</v>
      </c>
      <c r="AF30">
        <v>98.589295550469657</v>
      </c>
      <c r="AG30">
        <v>738.87648429650335</v>
      </c>
      <c r="AH30">
        <v>131.10144887465665</v>
      </c>
      <c r="AI30">
        <v>424.31819764735138</v>
      </c>
      <c r="AJ30">
        <v>151.59906395549535</v>
      </c>
      <c r="AK30">
        <v>833.50346248906078</v>
      </c>
      <c r="AL30">
        <v>231.75631893282636</v>
      </c>
      <c r="AM30">
        <v>512.94338913072215</v>
      </c>
      <c r="AN30">
        <f t="shared" si="38"/>
        <v>6264.0596128316047</v>
      </c>
      <c r="AP30">
        <f t="shared" si="39"/>
        <v>1.0085779009268336</v>
      </c>
      <c r="AQ30">
        <f t="shared" si="40"/>
        <v>0.16897034116874082</v>
      </c>
      <c r="AR30">
        <f t="shared" si="41"/>
        <v>0.39095315349490445</v>
      </c>
      <c r="AS30">
        <f t="shared" si="42"/>
        <v>0.42731440727459513</v>
      </c>
      <c r="AT30">
        <f t="shared" si="43"/>
        <v>1.3708190036778376</v>
      </c>
      <c r="AU30">
        <f t="shared" si="44"/>
        <v>0.44223280687414601</v>
      </c>
      <c r="AV30">
        <f t="shared" si="45"/>
        <v>0.63057928582998934</v>
      </c>
      <c r="AW30">
        <f t="shared" si="46"/>
        <v>0.78899550902375248</v>
      </c>
      <c r="AX30">
        <f t="shared" si="47"/>
        <v>0.94640976227172335</v>
      </c>
      <c r="AY30">
        <f t="shared" si="48"/>
        <v>0.71298765931768193</v>
      </c>
      <c r="AZ30">
        <f t="shared" si="49"/>
        <v>1.0469923737621196</v>
      </c>
      <c r="BA30">
        <f t="shared" si="50"/>
        <v>0.53026790107447763</v>
      </c>
      <c r="BB30">
        <f t="shared" si="51"/>
        <v>1.5718369451166008</v>
      </c>
      <c r="BC30">
        <f t="shared" si="52"/>
        <v>0.46761266326587364</v>
      </c>
      <c r="BD30">
        <f t="shared" si="53"/>
        <v>0.65490951483462367</v>
      </c>
      <c r="BE30">
        <f t="shared" si="54"/>
        <v>0.84396285981548602</v>
      </c>
      <c r="BF30">
        <f t="shared" si="55"/>
        <v>0.86745978263975643</v>
      </c>
      <c r="BG30">
        <f t="shared" si="56"/>
        <v>0.68939156202442797</v>
      </c>
      <c r="BI30">
        <f t="shared" si="2"/>
        <v>2.6879345161077606E-3</v>
      </c>
      <c r="BJ30">
        <f t="shared" si="3"/>
        <v>0.12407154026672798</v>
      </c>
      <c r="BK30">
        <f t="shared" si="4"/>
        <v>7.2858395426319111E-2</v>
      </c>
      <c r="BL30">
        <f t="shared" si="5"/>
        <v>5.1254793582281861E-2</v>
      </c>
      <c r="BM30">
        <f t="shared" si="6"/>
        <v>2.1957915843580381E-2</v>
      </c>
      <c r="BN30">
        <f t="shared" si="7"/>
        <v>0.13643970014128684</v>
      </c>
      <c r="BO30">
        <f t="shared" si="8"/>
        <v>3.8490118707557287E-2</v>
      </c>
      <c r="BP30">
        <f t="shared" si="9"/>
        <v>2.0586791841844542E-2</v>
      </c>
      <c r="BQ30">
        <f t="shared" si="10"/>
        <v>3.3144198025640566E-2</v>
      </c>
      <c r="BR30">
        <f t="shared" si="11"/>
        <v>1.5738882073937251E-2</v>
      </c>
      <c r="BS30">
        <f t="shared" si="12"/>
        <v>0.11795489346604442</v>
      </c>
      <c r="BT30">
        <f t="shared" si="13"/>
        <v>2.092915089858054E-2</v>
      </c>
      <c r="BU30">
        <f t="shared" si="14"/>
        <v>6.7738531219938794E-2</v>
      </c>
      <c r="BV30">
        <f t="shared" si="15"/>
        <v>2.4201408244096601E-2</v>
      </c>
      <c r="BW30">
        <f t="shared" si="16"/>
        <v>0.13306122770314505</v>
      </c>
      <c r="BX30">
        <f t="shared" si="17"/>
        <v>3.6997783108271419E-2</v>
      </c>
      <c r="BY30">
        <f t="shared" si="18"/>
        <v>8.1886734934639507E-2</v>
      </c>
      <c r="CA30">
        <f t="shared" si="19"/>
        <v>3.2511755966113144E-3</v>
      </c>
      <c r="CB30">
        <f t="shared" si="20"/>
        <v>6.1424896376130377E-2</v>
      </c>
      <c r="CC30">
        <f t="shared" si="21"/>
        <v>5.4866717815919251E-2</v>
      </c>
      <c r="CD30">
        <f t="shared" si="22"/>
        <v>4.0352948666854772E-2</v>
      </c>
      <c r="CE30">
        <f t="shared" si="23"/>
        <v>3.0963367882590982E-2</v>
      </c>
      <c r="CF30">
        <f t="shared" si="24"/>
        <v>0.10927812965430071</v>
      </c>
      <c r="CG30">
        <f t="shared" si="25"/>
        <v>3.6811720757431825E-2</v>
      </c>
      <c r="CH30">
        <f t="shared" si="26"/>
        <v>2.2023835631208181E-2</v>
      </c>
      <c r="CI30">
        <f t="shared" si="27"/>
        <v>3.8834179979346441E-2</v>
      </c>
      <c r="CJ30">
        <f t="shared" si="28"/>
        <v>1.6005966593345092E-2</v>
      </c>
      <c r="CK30">
        <f t="shared" si="29"/>
        <v>0.14536328877859492</v>
      </c>
      <c r="CL30">
        <f t="shared" si="30"/>
        <v>1.835550328504135E-2</v>
      </c>
      <c r="CM30">
        <f t="shared" si="31"/>
        <v>0.10228372597257482</v>
      </c>
      <c r="CN30">
        <f t="shared" si="32"/>
        <v>1.9931995835547261E-2</v>
      </c>
      <c r="CO30">
        <f t="shared" si="33"/>
        <v>0.12969080755689871</v>
      </c>
      <c r="CP30">
        <f t="shared" si="34"/>
        <v>4.0935904229574382E-2</v>
      </c>
      <c r="CQ30" s="25">
        <f t="shared" si="35"/>
        <v>9.1855517374858045E-2</v>
      </c>
      <c r="CR30">
        <f t="shared" si="57"/>
        <v>0.96222968198682846</v>
      </c>
      <c r="CS30">
        <f t="shared" si="58"/>
        <v>3.7770318013171544E-2</v>
      </c>
      <c r="DC30">
        <f t="shared" si="59"/>
        <v>1.4629971651598133</v>
      </c>
      <c r="DD30">
        <f t="shared" si="60"/>
        <v>0.24510068076921648</v>
      </c>
      <c r="DE30">
        <f t="shared" si="61"/>
        <v>0.56709883762843527</v>
      </c>
      <c r="DF30">
        <f t="shared" si="62"/>
        <v>0.61984281620704496</v>
      </c>
      <c r="DG30">
        <f t="shared" si="63"/>
        <v>1.9884476097333839</v>
      </c>
      <c r="DH30">
        <f t="shared" si="64"/>
        <v>0.64148276717444919</v>
      </c>
      <c r="DI30">
        <f t="shared" si="65"/>
        <v>0.91468959088832791</v>
      </c>
      <c r="DJ30">
        <f t="shared" si="66"/>
        <v>1.1444809488338286</v>
      </c>
      <c r="DK30">
        <f t="shared" si="67"/>
        <v>1.3728188948129136</v>
      </c>
      <c r="DL30">
        <f t="shared" si="68"/>
        <v>1.0342274239968401</v>
      </c>
      <c r="DM30">
        <f t="shared" si="69"/>
        <v>1.5187194497820389</v>
      </c>
      <c r="DN30">
        <f t="shared" si="70"/>
        <v>0.76918246506720089</v>
      </c>
      <c r="DO30">
        <f t="shared" si="71"/>
        <v>2.2800350797750322</v>
      </c>
      <c r="DP30">
        <f t="shared" si="72"/>
        <v>0.6782976308742581</v>
      </c>
      <c r="DQ30">
        <f t="shared" si="73"/>
        <v>0.94998191290803402</v>
      </c>
      <c r="DR30">
        <f t="shared" si="74"/>
        <v>1.2242140842820193</v>
      </c>
      <c r="DS30">
        <f t="shared" si="75"/>
        <v>1.2582976503112737</v>
      </c>
    </row>
    <row r="31" spans="1:124" x14ac:dyDescent="0.25">
      <c r="A31" t="s">
        <v>140</v>
      </c>
      <c r="B31" s="26">
        <f t="shared" si="76"/>
        <v>39508</v>
      </c>
      <c r="C31">
        <v>1</v>
      </c>
      <c r="D31">
        <v>17.03119853041909</v>
      </c>
      <c r="E31">
        <v>118.70889636969834</v>
      </c>
      <c r="F31">
        <v>158.66659968424986</v>
      </c>
      <c r="G31">
        <v>111.61259713262298</v>
      </c>
      <c r="H31">
        <v>157.48168327651885</v>
      </c>
      <c r="I31">
        <v>341.28662891056587</v>
      </c>
      <c r="J31">
        <v>136.69784867989566</v>
      </c>
      <c r="K31">
        <v>77.180437245844232</v>
      </c>
      <c r="L31">
        <v>194.70208311166775</v>
      </c>
      <c r="M31">
        <v>84.597408731907336</v>
      </c>
      <c r="N31">
        <v>767.20703784398336</v>
      </c>
      <c r="O31">
        <v>60.714054827296088</v>
      </c>
      <c r="P31">
        <v>685.63015376902206</v>
      </c>
      <c r="Q31">
        <v>64.329654042295104</v>
      </c>
      <c r="R31">
        <v>508.41732090836581</v>
      </c>
      <c r="S31">
        <v>167.39437239197363</v>
      </c>
      <c r="T31">
        <v>404.36392665311286</v>
      </c>
      <c r="U31">
        <f t="shared" si="37"/>
        <v>4056.021902109439</v>
      </c>
      <c r="W31">
        <v>21.896585002085228</v>
      </c>
      <c r="X31">
        <v>848.42984545619072</v>
      </c>
      <c r="Y31">
        <v>451.20428244945998</v>
      </c>
      <c r="Z31">
        <v>323.90219894553479</v>
      </c>
      <c r="AA31">
        <v>113.40147964123672</v>
      </c>
      <c r="AB31">
        <v>858.93317830190517</v>
      </c>
      <c r="AC31">
        <v>248.68732258319827</v>
      </c>
      <c r="AD31">
        <v>169.48906144302526</v>
      </c>
      <c r="AE31">
        <v>214.83396101404745</v>
      </c>
      <c r="AF31">
        <v>90.604298853585647</v>
      </c>
      <c r="AG31">
        <v>803.46911711852124</v>
      </c>
      <c r="AH31">
        <v>154.2673521989019</v>
      </c>
      <c r="AI31">
        <v>446.5370470413215</v>
      </c>
      <c r="AJ31">
        <v>162.75676092853436</v>
      </c>
      <c r="AK31">
        <v>830.42013924593027</v>
      </c>
      <c r="AL31">
        <v>278.79566465777975</v>
      </c>
      <c r="AM31">
        <v>451.91748140108325</v>
      </c>
      <c r="AN31">
        <f t="shared" si="38"/>
        <v>6469.5457762823398</v>
      </c>
      <c r="AP31">
        <f t="shared" si="39"/>
        <v>0.7778015854434468</v>
      </c>
      <c r="AQ31">
        <f t="shared" si="40"/>
        <v>0.13991598363194069</v>
      </c>
      <c r="AR31">
        <f t="shared" si="41"/>
        <v>0.35165136027276589</v>
      </c>
      <c r="AS31">
        <f t="shared" si="42"/>
        <v>0.34458733993155449</v>
      </c>
      <c r="AT31">
        <f t="shared" si="43"/>
        <v>1.3887092458999366</v>
      </c>
      <c r="AU31">
        <f t="shared" si="44"/>
        <v>0.39733781105683114</v>
      </c>
      <c r="AV31">
        <f t="shared" si="45"/>
        <v>0.54967759216661893</v>
      </c>
      <c r="AW31">
        <f t="shared" si="46"/>
        <v>0.45537119970299017</v>
      </c>
      <c r="AX31">
        <f t="shared" si="47"/>
        <v>0.90629098952812526</v>
      </c>
      <c r="AY31">
        <f t="shared" si="48"/>
        <v>0.93370193028715665</v>
      </c>
      <c r="AZ31">
        <f t="shared" si="49"/>
        <v>0.95486811066916366</v>
      </c>
      <c r="BA31">
        <f t="shared" si="50"/>
        <v>0.39356386145148514</v>
      </c>
      <c r="BB31">
        <f t="shared" si="51"/>
        <v>1.5354384553574911</v>
      </c>
      <c r="BC31">
        <f t="shared" si="52"/>
        <v>0.3952502720949449</v>
      </c>
      <c r="BD31">
        <f t="shared" si="53"/>
        <v>0.61224107759481639</v>
      </c>
      <c r="BE31">
        <f t="shared" si="54"/>
        <v>0.60041956749022396</v>
      </c>
      <c r="BF31">
        <f t="shared" si="55"/>
        <v>0.89477381003155765</v>
      </c>
      <c r="BG31">
        <f t="shared" si="56"/>
        <v>0.6269407532409782</v>
      </c>
      <c r="BI31">
        <f t="shared" si="2"/>
        <v>3.3845629599467621E-3</v>
      </c>
      <c r="BJ31">
        <f t="shared" si="3"/>
        <v>0.13114210406649793</v>
      </c>
      <c r="BK31">
        <f t="shared" si="4"/>
        <v>6.9742806999464502E-2</v>
      </c>
      <c r="BL31">
        <f t="shared" si="5"/>
        <v>5.0065678510688577E-2</v>
      </c>
      <c r="BM31">
        <f t="shared" si="6"/>
        <v>1.7528507187779999E-2</v>
      </c>
      <c r="BN31">
        <f t="shared" si="7"/>
        <v>0.13276560797371506</v>
      </c>
      <c r="BO31">
        <f t="shared" si="8"/>
        <v>3.8439688222764841E-2</v>
      </c>
      <c r="BP31">
        <f t="shared" si="9"/>
        <v>2.6197984727827441E-2</v>
      </c>
      <c r="BQ31">
        <f t="shared" si="10"/>
        <v>3.3206962040772461E-2</v>
      </c>
      <c r="BR31">
        <f t="shared" si="11"/>
        <v>1.4004738815782907E-2</v>
      </c>
      <c r="BS31">
        <f t="shared" si="12"/>
        <v>0.12419250823822546</v>
      </c>
      <c r="BT31">
        <f t="shared" si="13"/>
        <v>2.3845159696443189E-2</v>
      </c>
      <c r="BU31">
        <f t="shared" si="14"/>
        <v>6.9021390756418693E-2</v>
      </c>
      <c r="BV31">
        <f t="shared" si="15"/>
        <v>2.5157370634149977E-2</v>
      </c>
      <c r="BW31">
        <f t="shared" si="16"/>
        <v>0.12835833734885835</v>
      </c>
      <c r="BX31">
        <f t="shared" si="17"/>
        <v>4.3093545404664702E-2</v>
      </c>
      <c r="BY31">
        <f t="shared" si="18"/>
        <v>6.9853046415999417E-2</v>
      </c>
      <c r="CA31">
        <f t="shared" si="19"/>
        <v>3.769847295283197E-3</v>
      </c>
      <c r="CB31">
        <f t="shared" si="20"/>
        <v>6.1953031409868173E-2</v>
      </c>
      <c r="CC31">
        <f t="shared" si="21"/>
        <v>5.2232681615379556E-2</v>
      </c>
      <c r="CD31">
        <f t="shared" si="22"/>
        <v>3.7117311732094038E-2</v>
      </c>
      <c r="CE31">
        <f t="shared" si="23"/>
        <v>2.6087793245658027E-2</v>
      </c>
      <c r="CF31">
        <f t="shared" si="24"/>
        <v>0.10569447486988659</v>
      </c>
      <c r="CG31">
        <f t="shared" si="25"/>
        <v>3.5993213492833444E-2</v>
      </c>
      <c r="CH31">
        <f t="shared" si="26"/>
        <v>2.2327362005718481E-2</v>
      </c>
      <c r="CI31">
        <f t="shared" si="27"/>
        <v>3.9925441392516858E-2</v>
      </c>
      <c r="CJ31">
        <f t="shared" si="28"/>
        <v>1.7090937713197467E-2</v>
      </c>
      <c r="CK31">
        <f t="shared" si="29"/>
        <v>0.15326883011408005</v>
      </c>
      <c r="CL31">
        <f t="shared" si="30"/>
        <v>1.8892724481911306E-2</v>
      </c>
      <c r="CM31">
        <f t="shared" si="31"/>
        <v>0.1080156446607731</v>
      </c>
      <c r="CN31">
        <f t="shared" si="32"/>
        <v>1.9975059711514385E-2</v>
      </c>
      <c r="CO31">
        <f t="shared" si="33"/>
        <v>0.12684462376808625</v>
      </c>
      <c r="CP31">
        <f t="shared" si="34"/>
        <v>4.2172213252331905E-2</v>
      </c>
      <c r="CQ31" s="25">
        <f t="shared" si="35"/>
        <v>8.3450459520524489E-2</v>
      </c>
      <c r="CR31">
        <f t="shared" si="57"/>
        <v>0.95481165028165726</v>
      </c>
      <c r="CS31">
        <f t="shared" si="58"/>
        <v>4.5188349718342735E-2</v>
      </c>
      <c r="DC31">
        <f t="shared" si="59"/>
        <v>1.240630125610102</v>
      </c>
      <c r="DD31">
        <f t="shared" si="60"/>
        <v>0.22317257716720956</v>
      </c>
      <c r="DE31">
        <f t="shared" si="61"/>
        <v>0.56090046540267113</v>
      </c>
      <c r="DF31">
        <f t="shared" si="62"/>
        <v>0.54963302058480945</v>
      </c>
      <c r="DG31">
        <f t="shared" si="63"/>
        <v>2.2150565882357887</v>
      </c>
      <c r="DH31">
        <f t="shared" si="64"/>
        <v>0.63377250402496288</v>
      </c>
      <c r="DI31">
        <f t="shared" si="65"/>
        <v>0.87676162272918712</v>
      </c>
      <c r="DJ31">
        <f t="shared" si="66"/>
        <v>0.72633848948077306</v>
      </c>
      <c r="DK31">
        <f t="shared" si="67"/>
        <v>1.4455767707603031</v>
      </c>
      <c r="DL31">
        <f t="shared" si="68"/>
        <v>1.4892985110002384</v>
      </c>
      <c r="DM31">
        <f t="shared" si="69"/>
        <v>1.5230595646127019</v>
      </c>
      <c r="DN31">
        <f t="shared" si="70"/>
        <v>0.62775287683397796</v>
      </c>
      <c r="DO31">
        <f t="shared" si="71"/>
        <v>2.4490965811681926</v>
      </c>
      <c r="DP31">
        <f t="shared" si="72"/>
        <v>0.63044278115865593</v>
      </c>
      <c r="DQ31">
        <f t="shared" si="73"/>
        <v>0.97655332570075937</v>
      </c>
      <c r="DR31">
        <f t="shared" si="74"/>
        <v>0.95769746086268492</v>
      </c>
      <c r="DS31">
        <f t="shared" si="75"/>
        <v>1.4272063275612776</v>
      </c>
      <c r="DT31">
        <v>3.25</v>
      </c>
    </row>
    <row r="32" spans="1:124" x14ac:dyDescent="0.25">
      <c r="A32" t="s">
        <v>141</v>
      </c>
      <c r="B32" s="26">
        <f t="shared" si="76"/>
        <v>39600</v>
      </c>
      <c r="C32">
        <v>1</v>
      </c>
      <c r="D32">
        <v>20.665627949037269</v>
      </c>
      <c r="E32">
        <v>113.35641115074235</v>
      </c>
      <c r="F32">
        <v>160.66945009213362</v>
      </c>
      <c r="G32">
        <v>105.4057446559122</v>
      </c>
      <c r="H32">
        <v>125.9041660430745</v>
      </c>
      <c r="I32">
        <v>350.47935255965581</v>
      </c>
      <c r="J32">
        <v>111.65674816806961</v>
      </c>
      <c r="K32">
        <v>96.220657055636522</v>
      </c>
      <c r="L32">
        <v>151.97328790348183</v>
      </c>
      <c r="M32">
        <v>57.482301265728779</v>
      </c>
      <c r="N32">
        <v>719.3397600775146</v>
      </c>
      <c r="O32">
        <v>57.982192057002315</v>
      </c>
      <c r="P32">
        <v>661.4416799827909</v>
      </c>
      <c r="Q32">
        <v>56.434317300572808</v>
      </c>
      <c r="R32">
        <v>458.9393205738981</v>
      </c>
      <c r="S32">
        <v>189.76656251911405</v>
      </c>
      <c r="T32">
        <v>403.16858169978497</v>
      </c>
      <c r="U32">
        <f t="shared" si="37"/>
        <v>3840.8861610541503</v>
      </c>
      <c r="W32">
        <v>27.198439179298219</v>
      </c>
      <c r="X32">
        <v>924.22516242626705</v>
      </c>
      <c r="Y32">
        <v>549.10784783057011</v>
      </c>
      <c r="Z32">
        <v>307.0087514643381</v>
      </c>
      <c r="AA32">
        <v>160.46328405819659</v>
      </c>
      <c r="AB32">
        <v>889.12879977712657</v>
      </c>
      <c r="AC32">
        <v>281.60658828501141</v>
      </c>
      <c r="AD32">
        <v>158.38201171617357</v>
      </c>
      <c r="AE32">
        <v>216.11565900141491</v>
      </c>
      <c r="AF32">
        <v>119.95784690555853</v>
      </c>
      <c r="AG32">
        <v>845.33662771518482</v>
      </c>
      <c r="AH32">
        <v>141.48432900855718</v>
      </c>
      <c r="AI32">
        <v>473.8293407860246</v>
      </c>
      <c r="AJ32">
        <v>173.37803651910167</v>
      </c>
      <c r="AK32">
        <v>860.73741538292018</v>
      </c>
      <c r="AL32">
        <v>286.8464397696066</v>
      </c>
      <c r="AM32">
        <v>506.47428054805499</v>
      </c>
      <c r="AN32">
        <f t="shared" si="38"/>
        <v>6921.2808603734047</v>
      </c>
      <c r="AP32">
        <f t="shared" si="39"/>
        <v>0.75980933364612613</v>
      </c>
      <c r="AQ32">
        <f t="shared" si="40"/>
        <v>0.12265021096499924</v>
      </c>
      <c r="AR32">
        <f t="shared" si="41"/>
        <v>0.29260089930768746</v>
      </c>
      <c r="AS32">
        <f t="shared" si="42"/>
        <v>0.34333140066255097</v>
      </c>
      <c r="AT32">
        <f t="shared" si="43"/>
        <v>0.78462912423886177</v>
      </c>
      <c r="AU32">
        <f t="shared" si="44"/>
        <v>0.3941828817686579</v>
      </c>
      <c r="AV32">
        <f t="shared" si="45"/>
        <v>0.39649906221321374</v>
      </c>
      <c r="AW32">
        <f t="shared" si="46"/>
        <v>0.60752263475518609</v>
      </c>
      <c r="AX32">
        <f t="shared" si="47"/>
        <v>0.70320350041126289</v>
      </c>
      <c r="AY32">
        <f t="shared" si="48"/>
        <v>0.47918750418206452</v>
      </c>
      <c r="AZ32">
        <f t="shared" si="49"/>
        <v>0.85095065858175289</v>
      </c>
      <c r="BA32">
        <f t="shared" si="50"/>
        <v>0.40981352820703887</v>
      </c>
      <c r="BB32">
        <f t="shared" si="51"/>
        <v>1.3959491805331019</v>
      </c>
      <c r="BC32">
        <f t="shared" si="52"/>
        <v>0.32549865273364798</v>
      </c>
      <c r="BD32">
        <f t="shared" si="53"/>
        <v>0.53319318106989422</v>
      </c>
      <c r="BE32">
        <f t="shared" si="54"/>
        <v>0.66156150542266956</v>
      </c>
      <c r="BF32">
        <f t="shared" si="55"/>
        <v>0.79602972388551874</v>
      </c>
      <c r="BG32">
        <f t="shared" si="56"/>
        <v>0.55493863614818451</v>
      </c>
      <c r="BI32">
        <f t="shared" si="2"/>
        <v>3.9296829196772192E-3</v>
      </c>
      <c r="BJ32">
        <f t="shared" si="3"/>
        <v>0.13353383298137173</v>
      </c>
      <c r="BK32">
        <f t="shared" si="4"/>
        <v>7.9336160301540726E-2</v>
      </c>
      <c r="BL32">
        <f t="shared" si="5"/>
        <v>4.4357216194196594E-2</v>
      </c>
      <c r="BM32">
        <f t="shared" si="6"/>
        <v>2.3184044585865798E-2</v>
      </c>
      <c r="BN32">
        <f t="shared" si="7"/>
        <v>0.12846304285492582</v>
      </c>
      <c r="BO32">
        <f t="shared" si="8"/>
        <v>4.0687062693453346E-2</v>
      </c>
      <c r="BP32">
        <f t="shared" si="9"/>
        <v>2.2883338346080181E-2</v>
      </c>
      <c r="BQ32">
        <f t="shared" si="10"/>
        <v>3.1224806991831194E-2</v>
      </c>
      <c r="BR32">
        <f t="shared" si="11"/>
        <v>1.7331740948753633E-2</v>
      </c>
      <c r="BS32">
        <f t="shared" si="12"/>
        <v>0.12213586542268691</v>
      </c>
      <c r="BT32">
        <f t="shared" si="13"/>
        <v>2.0441928576920093E-2</v>
      </c>
      <c r="BU32">
        <f t="shared" si="14"/>
        <v>6.8459776498718969E-2</v>
      </c>
      <c r="BV32">
        <f t="shared" si="15"/>
        <v>2.5049992915581219E-2</v>
      </c>
      <c r="BW32">
        <f t="shared" si="16"/>
        <v>0.12436100091110638</v>
      </c>
      <c r="BX32">
        <f t="shared" si="17"/>
        <v>4.1444126536158393E-2</v>
      </c>
      <c r="BY32">
        <f t="shared" si="18"/>
        <v>7.3176380321131856E-2</v>
      </c>
      <c r="CA32">
        <f t="shared" si="19"/>
        <v>4.5981945257871212E-3</v>
      </c>
      <c r="CB32">
        <f t="shared" si="20"/>
        <v>6.2777350689871475E-2</v>
      </c>
      <c r="CC32">
        <f t="shared" si="21"/>
        <v>5.7608494362344193E-2</v>
      </c>
      <c r="CD32">
        <f t="shared" si="22"/>
        <v>3.4889806747715219E-2</v>
      </c>
      <c r="CE32">
        <f t="shared" si="23"/>
        <v>2.7567598456409742E-2</v>
      </c>
      <c r="CF32">
        <f t="shared" si="24"/>
        <v>0.10826911918413307</v>
      </c>
      <c r="CG32">
        <f t="shared" si="25"/>
        <v>3.4391802579173354E-2</v>
      </c>
      <c r="CH32">
        <f t="shared" si="26"/>
        <v>2.3942976120737456E-2</v>
      </c>
      <c r="CI32">
        <f t="shared" si="27"/>
        <v>3.5149390066928132E-2</v>
      </c>
      <c r="CJ32">
        <f t="shared" si="28"/>
        <v>1.6105434656055604E-2</v>
      </c>
      <c r="CK32">
        <f t="shared" si="29"/>
        <v>0.15124217774889975</v>
      </c>
      <c r="CL32">
        <f t="shared" si="30"/>
        <v>1.7566794895215572E-2</v>
      </c>
      <c r="CM32">
        <f t="shared" si="31"/>
        <v>0.10857949058381576</v>
      </c>
      <c r="CN32">
        <f t="shared" si="32"/>
        <v>1.9184908127856018E-2</v>
      </c>
      <c r="CO32">
        <f t="shared" si="33"/>
        <v>0.12190008848315807</v>
      </c>
      <c r="CP32">
        <f t="shared" si="34"/>
        <v>4.5250733478191196E-2</v>
      </c>
      <c r="CQ32" s="25">
        <f t="shared" si="35"/>
        <v>8.7642162390284967E-2</v>
      </c>
      <c r="CR32">
        <f t="shared" si="57"/>
        <v>0.95666652309657674</v>
      </c>
      <c r="CS32">
        <f t="shared" si="58"/>
        <v>4.3333476903423263E-2</v>
      </c>
      <c r="DC32">
        <f t="shared" si="59"/>
        <v>1.3691772101505566</v>
      </c>
      <c r="DD32">
        <f t="shared" si="60"/>
        <v>0.22101580783113492</v>
      </c>
      <c r="DE32">
        <f t="shared" si="61"/>
        <v>0.52726712513409257</v>
      </c>
      <c r="DF32">
        <f t="shared" si="62"/>
        <v>0.61868354138325243</v>
      </c>
      <c r="DG32">
        <f t="shared" si="63"/>
        <v>1.41390249863472</v>
      </c>
      <c r="DH32">
        <f t="shared" si="64"/>
        <v>0.71031796327008634</v>
      </c>
      <c r="DI32">
        <f t="shared" si="65"/>
        <v>0.71449172284219387</v>
      </c>
      <c r="DJ32">
        <f t="shared" si="66"/>
        <v>1.0947564202269027</v>
      </c>
      <c r="DK32">
        <f t="shared" si="67"/>
        <v>1.2671734397377361</v>
      </c>
      <c r="DL32">
        <f t="shared" si="68"/>
        <v>0.86349638134423878</v>
      </c>
      <c r="DM32">
        <f t="shared" si="69"/>
        <v>1.5334139725577238</v>
      </c>
      <c r="DN32">
        <f t="shared" si="70"/>
        <v>0.73848440442270258</v>
      </c>
      <c r="DO32">
        <f t="shared" si="71"/>
        <v>2.5155018764279076</v>
      </c>
      <c r="DP32">
        <f t="shared" si="72"/>
        <v>0.58654891105244744</v>
      </c>
      <c r="DQ32">
        <f t="shared" si="73"/>
        <v>0.96081466731308351</v>
      </c>
      <c r="DR32">
        <f t="shared" si="74"/>
        <v>1.1921345214212364</v>
      </c>
      <c r="DS32">
        <f t="shared" si="75"/>
        <v>1.4344463910654006</v>
      </c>
      <c r="DT32">
        <v>3.25</v>
      </c>
    </row>
    <row r="33" spans="1:124" x14ac:dyDescent="0.25">
      <c r="A33" t="s">
        <v>142</v>
      </c>
      <c r="B33" s="26">
        <f t="shared" si="76"/>
        <v>39692</v>
      </c>
      <c r="C33">
        <v>1</v>
      </c>
      <c r="D33">
        <v>22.211166747178719</v>
      </c>
      <c r="E33">
        <v>108.41082011959797</v>
      </c>
      <c r="F33">
        <v>140.06806909411367</v>
      </c>
      <c r="G33">
        <v>99.41352372478984</v>
      </c>
      <c r="H33">
        <v>97.017354919031234</v>
      </c>
      <c r="I33">
        <v>352.95353386418151</v>
      </c>
      <c r="J33">
        <v>119.96404661125796</v>
      </c>
      <c r="K33">
        <v>68.705556487416374</v>
      </c>
      <c r="L33">
        <v>149.29808375946183</v>
      </c>
      <c r="M33">
        <v>49.754351021738323</v>
      </c>
      <c r="N33">
        <v>645.28333173460749</v>
      </c>
      <c r="O33">
        <v>63.349781198651165</v>
      </c>
      <c r="P33">
        <v>615.92144223642742</v>
      </c>
      <c r="Q33">
        <v>51.394883184540902</v>
      </c>
      <c r="R33">
        <v>351.42374429580906</v>
      </c>
      <c r="S33">
        <v>190.7238805913714</v>
      </c>
      <c r="T33">
        <v>422.16474557294509</v>
      </c>
      <c r="U33">
        <f t="shared" si="37"/>
        <v>3548.0583151631199</v>
      </c>
      <c r="W33">
        <v>20.071912102379557</v>
      </c>
      <c r="X33">
        <v>1029.3407273407565</v>
      </c>
      <c r="Y33">
        <v>653.71567348603992</v>
      </c>
      <c r="Z33">
        <v>322.91976545524238</v>
      </c>
      <c r="AA33">
        <v>200.14536461095557</v>
      </c>
      <c r="AB33">
        <v>1124.2868793684017</v>
      </c>
      <c r="AC33">
        <v>343.00747123696374</v>
      </c>
      <c r="AD33">
        <v>146.84113820496282</v>
      </c>
      <c r="AE33">
        <v>261.36950666356557</v>
      </c>
      <c r="AF33">
        <v>116.36522172271822</v>
      </c>
      <c r="AG33">
        <v>951.69893067576152</v>
      </c>
      <c r="AH33">
        <v>185.69594028853757</v>
      </c>
      <c r="AI33">
        <v>554.0821995353989</v>
      </c>
      <c r="AJ33">
        <v>202.59758222158632</v>
      </c>
      <c r="AK33">
        <v>930.04357525488001</v>
      </c>
      <c r="AL33">
        <v>369.73343299933578</v>
      </c>
      <c r="AM33">
        <v>563.24594526526982</v>
      </c>
      <c r="AN33">
        <f t="shared" si="38"/>
        <v>7975.1612664327558</v>
      </c>
      <c r="AP33">
        <f t="shared" si="39"/>
        <v>1.1065795143924306</v>
      </c>
      <c r="AQ33">
        <f t="shared" si="40"/>
        <v>0.1053206360537887</v>
      </c>
      <c r="AR33">
        <f t="shared" si="41"/>
        <v>0.21426451097184046</v>
      </c>
      <c r="AS33">
        <f t="shared" si="42"/>
        <v>0.30785828047607955</v>
      </c>
      <c r="AT33">
        <f t="shared" si="43"/>
        <v>0.48473445841533463</v>
      </c>
      <c r="AU33">
        <f t="shared" si="44"/>
        <v>0.31393547353542239</v>
      </c>
      <c r="AV33">
        <f t="shared" si="45"/>
        <v>0.34974178894308061</v>
      </c>
      <c r="AW33">
        <f t="shared" si="46"/>
        <v>0.46789038363020752</v>
      </c>
      <c r="AX33">
        <f t="shared" si="47"/>
        <v>0.5712146212665814</v>
      </c>
      <c r="AY33">
        <f t="shared" si="48"/>
        <v>0.42757062879402119</v>
      </c>
      <c r="AZ33">
        <f t="shared" si="49"/>
        <v>0.67803305324344421</v>
      </c>
      <c r="BA33">
        <f t="shared" si="50"/>
        <v>0.34114790608893858</v>
      </c>
      <c r="BB33">
        <f t="shared" si="51"/>
        <v>1.1116066221814762</v>
      </c>
      <c r="BC33">
        <f t="shared" si="52"/>
        <v>0.25367964721478742</v>
      </c>
      <c r="BD33">
        <f t="shared" si="53"/>
        <v>0.37785728932055768</v>
      </c>
      <c r="BE33">
        <f t="shared" si="54"/>
        <v>0.51584158631311561</v>
      </c>
      <c r="BF33">
        <f t="shared" si="55"/>
        <v>0.74952114457587393</v>
      </c>
      <c r="BG33">
        <f t="shared" si="56"/>
        <v>0.44488859806469422</v>
      </c>
      <c r="BI33">
        <f t="shared" si="2"/>
        <v>2.5168032885882455E-3</v>
      </c>
      <c r="BJ33">
        <f t="shared" si="3"/>
        <v>0.12906832764288098</v>
      </c>
      <c r="BK33">
        <f t="shared" si="4"/>
        <v>8.1968959830005197E-2</v>
      </c>
      <c r="BL33">
        <f t="shared" si="5"/>
        <v>4.0490687857862286E-2</v>
      </c>
      <c r="BM33">
        <f t="shared" si="6"/>
        <v>2.5096089962890426E-2</v>
      </c>
      <c r="BN33">
        <f t="shared" si="7"/>
        <v>0.14097356050974111</v>
      </c>
      <c r="BO33">
        <f t="shared" si="8"/>
        <v>4.3009471505068265E-2</v>
      </c>
      <c r="BP33">
        <f t="shared" si="9"/>
        <v>1.8412309582128868E-2</v>
      </c>
      <c r="BQ33">
        <f t="shared" si="10"/>
        <v>3.2772943133283453E-2</v>
      </c>
      <c r="BR33">
        <f t="shared" si="11"/>
        <v>1.4590955321806015E-2</v>
      </c>
      <c r="BS33">
        <f t="shared" si="12"/>
        <v>0.11933287602364072</v>
      </c>
      <c r="BT33">
        <f t="shared" si="13"/>
        <v>2.3284286559837594E-2</v>
      </c>
      <c r="BU33">
        <f t="shared" si="14"/>
        <v>6.9475986882862967E-2</v>
      </c>
      <c r="BV33">
        <f t="shared" si="15"/>
        <v>2.5403571846793146E-2</v>
      </c>
      <c r="BW33">
        <f t="shared" si="16"/>
        <v>0.11661752586363476</v>
      </c>
      <c r="BX33">
        <f t="shared" si="17"/>
        <v>4.6360621515646849E-2</v>
      </c>
      <c r="BY33">
        <f t="shared" si="18"/>
        <v>7.0625022673329152E-2</v>
      </c>
      <c r="CA33">
        <f t="shared" si="19"/>
        <v>3.9693093579749048E-3</v>
      </c>
      <c r="CB33">
        <f t="shared" si="20"/>
        <v>6.2798718550318794E-2</v>
      </c>
      <c r="CC33">
        <f t="shared" si="21"/>
        <v>5.6885150086825709E-2</v>
      </c>
      <c r="CD33">
        <f t="shared" si="22"/>
        <v>3.3682547939364656E-2</v>
      </c>
      <c r="CE33">
        <f t="shared" si="23"/>
        <v>2.6195842559012385E-2</v>
      </c>
      <c r="CF33">
        <f t="shared" si="24"/>
        <v>0.1184219551451616</v>
      </c>
      <c r="CG33">
        <f t="shared" si="25"/>
        <v>3.8133988553158721E-2</v>
      </c>
      <c r="CH33">
        <f t="shared" si="26"/>
        <v>1.8882291175707611E-2</v>
      </c>
      <c r="CI33">
        <f t="shared" si="27"/>
        <v>3.7135516133761537E-2</v>
      </c>
      <c r="CJ33">
        <f t="shared" si="28"/>
        <v>1.4304148894703396E-2</v>
      </c>
      <c r="CK33">
        <f t="shared" si="29"/>
        <v>0.14731938688042087</v>
      </c>
      <c r="CL33">
        <f t="shared" si="30"/>
        <v>2.0389597503855571E-2</v>
      </c>
      <c r="CM33">
        <f t="shared" si="31"/>
        <v>0.10982081173065741</v>
      </c>
      <c r="CN33">
        <f t="shared" si="32"/>
        <v>1.9182798252561171E-2</v>
      </c>
      <c r="CO33">
        <f t="shared" si="33"/>
        <v>0.10747367210565509</v>
      </c>
      <c r="CP33">
        <f t="shared" si="34"/>
        <v>4.9920828851159213E-2</v>
      </c>
      <c r="CQ33" s="25">
        <f t="shared" si="35"/>
        <v>9.1669509401102661E-2</v>
      </c>
      <c r="CR33">
        <f t="shared" si="57"/>
        <v>0.95618607312140125</v>
      </c>
      <c r="CS33">
        <f t="shared" si="58"/>
        <v>4.3813926878598752E-2</v>
      </c>
      <c r="DC33">
        <f t="shared" si="59"/>
        <v>2.4873182167539287</v>
      </c>
      <c r="DD33">
        <f t="shared" si="60"/>
        <v>0.23673485117834675</v>
      </c>
      <c r="DE33">
        <f t="shared" si="61"/>
        <v>0.48161385098182002</v>
      </c>
      <c r="DF33">
        <f t="shared" si="62"/>
        <v>0.69198959428335771</v>
      </c>
      <c r="DG33">
        <f t="shared" si="63"/>
        <v>1.0895636807146183</v>
      </c>
      <c r="DH33">
        <f t="shared" si="64"/>
        <v>0.70564962757209382</v>
      </c>
      <c r="DI33">
        <f t="shared" si="65"/>
        <v>0.78613340612568883</v>
      </c>
      <c r="DJ33">
        <f t="shared" si="66"/>
        <v>1.0517023490050614</v>
      </c>
      <c r="DK33">
        <f t="shared" si="67"/>
        <v>1.2839497882198305</v>
      </c>
      <c r="DL33">
        <f t="shared" si="68"/>
        <v>0.9610734701990391</v>
      </c>
      <c r="DM33">
        <f t="shared" si="69"/>
        <v>1.5240513157517399</v>
      </c>
      <c r="DN33">
        <f t="shared" si="70"/>
        <v>0.76681647399587882</v>
      </c>
      <c r="DO33">
        <f t="shared" si="71"/>
        <v>2.4986179169730711</v>
      </c>
      <c r="DP33">
        <f t="shared" si="72"/>
        <v>0.57020936998232119</v>
      </c>
      <c r="DQ33">
        <f t="shared" si="73"/>
        <v>0.84933012660758489</v>
      </c>
      <c r="DR33">
        <f t="shared" si="74"/>
        <v>1.1594848430754876</v>
      </c>
      <c r="DS33">
        <f t="shared" si="75"/>
        <v>1.6847389387733445</v>
      </c>
      <c r="DT33">
        <v>3.25</v>
      </c>
    </row>
    <row r="34" spans="1:124" x14ac:dyDescent="0.25">
      <c r="A34" t="s">
        <v>143</v>
      </c>
      <c r="B34" s="26">
        <f t="shared" si="76"/>
        <v>39783</v>
      </c>
      <c r="C34">
        <v>1</v>
      </c>
      <c r="D34">
        <v>15.807209303178588</v>
      </c>
      <c r="E34">
        <v>73.954974472565468</v>
      </c>
      <c r="F34">
        <v>102.51904218475522</v>
      </c>
      <c r="G34">
        <v>84.962389654221496</v>
      </c>
      <c r="H34">
        <v>83.776590183522117</v>
      </c>
      <c r="I34">
        <v>375.97456253594754</v>
      </c>
      <c r="J34">
        <v>81.85543317482508</v>
      </c>
      <c r="K34">
        <v>76.565303813128452</v>
      </c>
      <c r="L34">
        <v>130.69971107366953</v>
      </c>
      <c r="M34">
        <v>50.781577991519327</v>
      </c>
      <c r="N34">
        <v>591.96778306220847</v>
      </c>
      <c r="O34">
        <v>70.812081205355796</v>
      </c>
      <c r="P34">
        <v>552.03092832685252</v>
      </c>
      <c r="Q34">
        <v>42.51443647842175</v>
      </c>
      <c r="R34">
        <v>291.45524856267002</v>
      </c>
      <c r="S34">
        <v>200.55817623942366</v>
      </c>
      <c r="T34">
        <v>362.33937816512099</v>
      </c>
      <c r="U34">
        <f t="shared" si="37"/>
        <v>3188.5748264273861</v>
      </c>
      <c r="W34">
        <v>31.932968642775876</v>
      </c>
      <c r="X34">
        <v>1305.4903957636709</v>
      </c>
      <c r="Y34">
        <v>747.95198466799638</v>
      </c>
      <c r="Z34">
        <v>441.00831246837242</v>
      </c>
      <c r="AA34">
        <v>246.09778736419506</v>
      </c>
      <c r="AB34">
        <v>1250.7511136649575</v>
      </c>
      <c r="AC34">
        <v>384.16766247739042</v>
      </c>
      <c r="AD34">
        <v>191.25181090737661</v>
      </c>
      <c r="AE34">
        <v>337.9375294167819</v>
      </c>
      <c r="AF34">
        <v>169.08749250981353</v>
      </c>
      <c r="AG34">
        <v>1093.4076130436399</v>
      </c>
      <c r="AH34">
        <v>251.30571907959077</v>
      </c>
      <c r="AI34">
        <v>576.32843254995794</v>
      </c>
      <c r="AJ34">
        <v>236.60987918508252</v>
      </c>
      <c r="AK34">
        <v>1008.7700396221641</v>
      </c>
      <c r="AL34">
        <v>391.00288757774382</v>
      </c>
      <c r="AM34">
        <v>572.41806932234874</v>
      </c>
      <c r="AN34">
        <f t="shared" si="38"/>
        <v>9235.5196982638572</v>
      </c>
      <c r="AP34">
        <f t="shared" si="39"/>
        <v>0.49501220760302278</v>
      </c>
      <c r="AQ34">
        <f t="shared" si="40"/>
        <v>5.6649190765822623E-2</v>
      </c>
      <c r="AR34">
        <f t="shared" si="41"/>
        <v>0.13706634153830308</v>
      </c>
      <c r="AS34">
        <f t="shared" si="42"/>
        <v>0.19265484856436738</v>
      </c>
      <c r="AT34">
        <f t="shared" si="43"/>
        <v>0.34041992445686992</v>
      </c>
      <c r="AU34">
        <f t="shared" si="44"/>
        <v>0.30059902280179857</v>
      </c>
      <c r="AV34">
        <f t="shared" si="45"/>
        <v>0.2130721587729747</v>
      </c>
      <c r="AW34">
        <f t="shared" si="46"/>
        <v>0.40033766713042568</v>
      </c>
      <c r="AX34">
        <f t="shared" si="47"/>
        <v>0.38675701778146165</v>
      </c>
      <c r="AY34">
        <f t="shared" si="48"/>
        <v>0.30032722845287957</v>
      </c>
      <c r="AZ34">
        <f t="shared" si="49"/>
        <v>0.54139716607093158</v>
      </c>
      <c r="BA34">
        <f t="shared" si="50"/>
        <v>0.28177664027983768</v>
      </c>
      <c r="BB34">
        <f t="shared" si="51"/>
        <v>0.95784087188688327</v>
      </c>
      <c r="BC34">
        <f t="shared" si="52"/>
        <v>0.17968157806786178</v>
      </c>
      <c r="BD34">
        <f t="shared" si="53"/>
        <v>0.28892139646795506</v>
      </c>
      <c r="BE34">
        <f t="shared" si="54"/>
        <v>0.5129327240570476</v>
      </c>
      <c r="BF34">
        <f t="shared" si="55"/>
        <v>0.63299779930789524</v>
      </c>
      <c r="BG34">
        <f t="shared" si="56"/>
        <v>0.34525126149931679</v>
      </c>
      <c r="BI34">
        <f t="shared" si="2"/>
        <v>3.4576255247204778E-3</v>
      </c>
      <c r="BJ34">
        <f t="shared" si="3"/>
        <v>0.14135537992616529</v>
      </c>
      <c r="BK34">
        <f t="shared" si="4"/>
        <v>8.0986453291697319E-2</v>
      </c>
      <c r="BL34">
        <f t="shared" si="5"/>
        <v>4.7751326062492785E-2</v>
      </c>
      <c r="BM34">
        <f t="shared" si="6"/>
        <v>2.6646880241125773E-2</v>
      </c>
      <c r="BN34">
        <f t="shared" si="7"/>
        <v>0.13542834128761377</v>
      </c>
      <c r="BO34">
        <f t="shared" si="8"/>
        <v>4.1596756330843879E-2</v>
      </c>
      <c r="BP34">
        <f t="shared" si="9"/>
        <v>2.0708288992478587E-2</v>
      </c>
      <c r="BQ34">
        <f t="shared" si="10"/>
        <v>3.659106801323906E-2</v>
      </c>
      <c r="BR34">
        <f t="shared" si="11"/>
        <v>1.8308389569197659E-2</v>
      </c>
      <c r="BS34">
        <f t="shared" si="12"/>
        <v>0.11839156309191616</v>
      </c>
      <c r="BT34">
        <f t="shared" si="13"/>
        <v>2.721078264029176E-2</v>
      </c>
      <c r="BU34">
        <f t="shared" si="14"/>
        <v>6.2403465249313395E-2</v>
      </c>
      <c r="BV34">
        <f t="shared" si="15"/>
        <v>2.561955221962893E-2</v>
      </c>
      <c r="BW34">
        <f t="shared" si="16"/>
        <v>0.10922720892596852</v>
      </c>
      <c r="BX34">
        <f t="shared" si="17"/>
        <v>4.2336858168495556E-2</v>
      </c>
      <c r="BY34">
        <f t="shared" si="18"/>
        <v>6.19800604648112E-2</v>
      </c>
      <c r="CA34">
        <f t="shared" si="19"/>
        <v>4.1401709444625146E-3</v>
      </c>
      <c r="CB34">
        <f t="shared" si="20"/>
        <v>5.7258710117287046E-2</v>
      </c>
      <c r="CC34">
        <f t="shared" si="21"/>
        <v>5.1028188769873042E-2</v>
      </c>
      <c r="CD34">
        <f t="shared" si="22"/>
        <v>3.5670382893858932E-2</v>
      </c>
      <c r="CE34">
        <f t="shared" si="23"/>
        <v>2.6459779367025062E-2</v>
      </c>
      <c r="CF34">
        <f t="shared" si="24"/>
        <v>0.12636759043029158</v>
      </c>
      <c r="CG34">
        <f t="shared" si="25"/>
        <v>3.267797845491955E-2</v>
      </c>
      <c r="CH34">
        <f t="shared" si="26"/>
        <v>2.2299226926077737E-2</v>
      </c>
      <c r="CI34">
        <f t="shared" si="27"/>
        <v>3.8728132022480065E-2</v>
      </c>
      <c r="CJ34">
        <f t="shared" si="28"/>
        <v>1.7075752913483736E-2</v>
      </c>
      <c r="CK34">
        <f t="shared" si="29"/>
        <v>0.14825559990058462</v>
      </c>
      <c r="CL34">
        <f t="shared" si="30"/>
        <v>2.4582491034099284E-2</v>
      </c>
      <c r="CM34">
        <f t="shared" si="31"/>
        <v>0.10394120611150615</v>
      </c>
      <c r="CN34">
        <f t="shared" si="32"/>
        <v>1.8482285490162405E-2</v>
      </c>
      <c r="CO34">
        <f t="shared" si="33"/>
        <v>9.9920144150404441E-2</v>
      </c>
      <c r="CP34">
        <f t="shared" si="34"/>
        <v>5.160374163993911E-2</v>
      </c>
      <c r="CQ34" s="25">
        <f t="shared" si="35"/>
        <v>8.3923861542848491E-2</v>
      </c>
      <c r="CR34">
        <f t="shared" si="57"/>
        <v>0.94241524270930366</v>
      </c>
      <c r="CS34">
        <f t="shared" si="58"/>
        <v>5.7584757290696342E-2</v>
      </c>
      <c r="DC34">
        <f t="shared" si="59"/>
        <v>1.4337737839199824</v>
      </c>
      <c r="DD34">
        <f t="shared" si="60"/>
        <v>0.16408105366454895</v>
      </c>
      <c r="DE34">
        <f t="shared" si="61"/>
        <v>0.39700460743595084</v>
      </c>
      <c r="DF34">
        <f t="shared" si="62"/>
        <v>0.55801345294939242</v>
      </c>
      <c r="DG34">
        <f t="shared" si="63"/>
        <v>0.98600631603352906</v>
      </c>
      <c r="DH34">
        <f t="shared" si="64"/>
        <v>0.87066741333946851</v>
      </c>
      <c r="DI34">
        <f t="shared" si="65"/>
        <v>0.61715099272243024</v>
      </c>
      <c r="DJ34">
        <f t="shared" si="66"/>
        <v>1.1595545383147512</v>
      </c>
      <c r="DK34">
        <f t="shared" si="67"/>
        <v>1.1202189851585147</v>
      </c>
      <c r="DL34">
        <f t="shared" si="68"/>
        <v>0.86988017697213793</v>
      </c>
      <c r="DM34">
        <f t="shared" si="69"/>
        <v>1.5681250916211438</v>
      </c>
      <c r="DN34">
        <f t="shared" si="70"/>
        <v>0.8161494879299529</v>
      </c>
      <c r="DO34">
        <f t="shared" si="71"/>
        <v>2.774329824972352</v>
      </c>
      <c r="DP34">
        <f t="shared" si="72"/>
        <v>0.52043713696384963</v>
      </c>
      <c r="DQ34">
        <f t="shared" si="73"/>
        <v>0.8368438545691651</v>
      </c>
      <c r="DR34">
        <f t="shared" si="74"/>
        <v>1.4856795072363917</v>
      </c>
      <c r="DS34">
        <f t="shared" si="75"/>
        <v>1.8334409454696456</v>
      </c>
      <c r="DT34">
        <v>3.25</v>
      </c>
    </row>
    <row r="35" spans="1:124" x14ac:dyDescent="0.25">
      <c r="A35" t="s">
        <v>144</v>
      </c>
      <c r="B35" s="26">
        <f t="shared" si="76"/>
        <v>39873</v>
      </c>
      <c r="C35">
        <v>1</v>
      </c>
      <c r="D35">
        <v>10.032248767177755</v>
      </c>
      <c r="E35">
        <v>49.800537669197574</v>
      </c>
      <c r="F35">
        <v>57.876808729588589</v>
      </c>
      <c r="G35">
        <v>64.623286735178326</v>
      </c>
      <c r="H35">
        <v>66.592015729856769</v>
      </c>
      <c r="I35">
        <v>316.02969262041887</v>
      </c>
      <c r="J35">
        <v>57.868487868235945</v>
      </c>
      <c r="K35">
        <v>63.055890843209433</v>
      </c>
      <c r="L35">
        <v>129.40056671850252</v>
      </c>
      <c r="M35">
        <v>42.271934941129359</v>
      </c>
      <c r="N35">
        <v>492.86876292998886</v>
      </c>
      <c r="O35">
        <v>50.568941982289694</v>
      </c>
      <c r="P35">
        <v>515.32945340971526</v>
      </c>
      <c r="Q35">
        <v>27.670485016744848</v>
      </c>
      <c r="R35">
        <v>240.69792890572384</v>
      </c>
      <c r="S35">
        <v>150.65811604845547</v>
      </c>
      <c r="T35">
        <v>374.42744178956247</v>
      </c>
      <c r="U35">
        <f t="shared" si="37"/>
        <v>2709.772600704976</v>
      </c>
      <c r="W35">
        <v>70.150454674840574</v>
      </c>
      <c r="X35">
        <v>1439.2341076657385</v>
      </c>
      <c r="Y35">
        <v>1152.5799657119121</v>
      </c>
      <c r="Z35">
        <v>545.8567236993897</v>
      </c>
      <c r="AA35">
        <v>261.15030846978738</v>
      </c>
      <c r="AB35">
        <v>1454.9059554316611</v>
      </c>
      <c r="AC35">
        <v>494.23148071885083</v>
      </c>
      <c r="AD35">
        <v>232.45432276597668</v>
      </c>
      <c r="AE35">
        <v>388.61724325007702</v>
      </c>
      <c r="AF35">
        <v>213.76374655056478</v>
      </c>
      <c r="AG35">
        <v>1389.907405148914</v>
      </c>
      <c r="AH35">
        <v>200.6279284598119</v>
      </c>
      <c r="AI35">
        <v>680.66715889999614</v>
      </c>
      <c r="AJ35">
        <v>219.46485966525609</v>
      </c>
      <c r="AK35">
        <v>1176.4759346592639</v>
      </c>
      <c r="AL35">
        <v>408.16847638040548</v>
      </c>
      <c r="AM35">
        <v>647.19136475435835</v>
      </c>
      <c r="AN35">
        <f t="shared" si="38"/>
        <v>10975.447436906807</v>
      </c>
      <c r="AP35">
        <f t="shared" si="39"/>
        <v>0.1430104596424778</v>
      </c>
      <c r="AQ35">
        <f t="shared" si="40"/>
        <v>3.460211052805575E-2</v>
      </c>
      <c r="AR35">
        <f t="shared" si="41"/>
        <v>5.0215004989992096E-2</v>
      </c>
      <c r="AS35">
        <f t="shared" si="42"/>
        <v>0.11838873449650351</v>
      </c>
      <c r="AT35">
        <f t="shared" si="43"/>
        <v>0.25499497251239445</v>
      </c>
      <c r="AU35">
        <f t="shared" si="44"/>
        <v>0.21721657777299766</v>
      </c>
      <c r="AV35">
        <f t="shared" si="45"/>
        <v>0.11708782245936109</v>
      </c>
      <c r="AW35">
        <f t="shared" si="46"/>
        <v>0.27126142500989725</v>
      </c>
      <c r="AX35">
        <f t="shared" si="47"/>
        <v>0.3329769045663078</v>
      </c>
      <c r="AY35">
        <f t="shared" si="48"/>
        <v>0.19775072070572144</v>
      </c>
      <c r="AZ35">
        <f t="shared" si="49"/>
        <v>0.35460546587791086</v>
      </c>
      <c r="BA35">
        <f t="shared" si="50"/>
        <v>0.25205335254418099</v>
      </c>
      <c r="BB35">
        <f t="shared" si="51"/>
        <v>0.7570946338038731</v>
      </c>
      <c r="BC35">
        <f t="shared" si="52"/>
        <v>0.12608161989554911</v>
      </c>
      <c r="BD35">
        <f t="shared" si="53"/>
        <v>0.20459230980822046</v>
      </c>
      <c r="BE35">
        <f t="shared" si="54"/>
        <v>0.36910767187234933</v>
      </c>
      <c r="BF35">
        <f t="shared" si="55"/>
        <v>0.57854208535627871</v>
      </c>
      <c r="BG35">
        <f t="shared" si="56"/>
        <v>0.24689404384489194</v>
      </c>
      <c r="BI35">
        <f t="shared" ref="BI35:BI52" si="77">W35/$AN35</f>
        <v>6.3915803959798262E-3</v>
      </c>
      <c r="BJ35">
        <f t="shared" ref="BJ35:BJ52" si="78">X35/$AN35</f>
        <v>0.13113215802264874</v>
      </c>
      <c r="BK35">
        <f t="shared" ref="BK35:BK52" si="79">Y35/$AN35</f>
        <v>0.10501439438688998</v>
      </c>
      <c r="BL35">
        <f t="shared" ref="BL35:BL52" si="80">Z35/$AN35</f>
        <v>4.973434812906613E-2</v>
      </c>
      <c r="BM35">
        <f t="shared" ref="BM35:BM52" si="81">AA35/$AN35</f>
        <v>2.3794046663794779E-2</v>
      </c>
      <c r="BN35">
        <f t="shared" ref="BN35:BN52" si="82">AB35/$AN35</f>
        <v>0.13256005860310466</v>
      </c>
      <c r="BO35">
        <f t="shared" ref="BO35:BO52" si="83">AC35/$AN35</f>
        <v>4.5030645316282369E-2</v>
      </c>
      <c r="BP35">
        <f t="shared" ref="BP35:BP52" si="84">AD35/$AN35</f>
        <v>2.1179484854923502E-2</v>
      </c>
      <c r="BQ35">
        <f t="shared" ref="BQ35:BQ52" si="85">AE35/$AN35</f>
        <v>3.5407872479374783E-2</v>
      </c>
      <c r="BR35">
        <f t="shared" ref="BR35:BR52" si="86">AF35/$AN35</f>
        <v>1.9476540503647066E-2</v>
      </c>
      <c r="BS35">
        <f t="shared" ref="BS35:BS52" si="87">AG35/$AN35</f>
        <v>0.12663788088266126</v>
      </c>
      <c r="BT35">
        <f t="shared" ref="BT35:BT52" si="88">AH35/$AN35</f>
        <v>1.8279703821929519E-2</v>
      </c>
      <c r="BU35">
        <f t="shared" ref="BU35:BU52" si="89">AI35/$AN35</f>
        <v>6.2017258322529717E-2</v>
      </c>
      <c r="BV35">
        <f t="shared" ref="BV35:BV52" si="90">AJ35/$AN35</f>
        <v>1.9995982936173353E-2</v>
      </c>
      <c r="BW35">
        <f t="shared" ref="BW35:BW52" si="91">AK35/$AN35</f>
        <v>0.10719161486785164</v>
      </c>
      <c r="BX35">
        <f t="shared" ref="BX35:BX52" si="92">AL35/$AN35</f>
        <v>3.7189233398163761E-2</v>
      </c>
      <c r="BY35">
        <f t="shared" ref="BY35:BY52" si="93">AM35/$AN35</f>
        <v>5.8967196414978711E-2</v>
      </c>
      <c r="CA35">
        <f t="shared" ref="CA35:CA52" si="94">BI35*( (AP35/$BG35)^(1-$CB$1) )</f>
        <v>4.8644848009307944E-3</v>
      </c>
      <c r="CB35">
        <f t="shared" ref="CB35:CB52" si="95">BJ35*( (AQ35/$BG35)^(1-$CB$1) )</f>
        <v>4.9091374999290852E-2</v>
      </c>
      <c r="CC35">
        <f t="shared" ref="CC35:CC52" si="96">BK35*( (AR35/$BG35)^(1-$CB$1) )</f>
        <v>4.7359845916440581E-2</v>
      </c>
      <c r="CD35">
        <f t="shared" ref="CD35:CD52" si="97">BL35*( (AS35/$BG35)^(1-$CB$1) )</f>
        <v>3.4439458365206239E-2</v>
      </c>
      <c r="CE35">
        <f t="shared" ref="CE35:CE52" si="98">BM35*( (AT35/$BG35)^(1-$CB$1) )</f>
        <v>2.4181253584977053E-2</v>
      </c>
      <c r="CF35">
        <f t="shared" ref="CF35:CF52" si="99">BN35*( (AU35/$BG35)^(1-$CB$1) )</f>
        <v>0.12433799630766731</v>
      </c>
      <c r="CG35">
        <f t="shared" ref="CG35:CG52" si="100">BO35*( (AV35/$BG35)^(1-$CB$1) )</f>
        <v>3.1010497156962448E-2</v>
      </c>
      <c r="CH35">
        <f t="shared" ref="CH35:CH52" si="101">BP35*( (AW35/$BG35)^(1-$CB$1) )</f>
        <v>2.220005782030807E-2</v>
      </c>
      <c r="CI35">
        <f t="shared" ref="CI35:CI52" si="102">BQ35*( (AX35/$BG35)^(1-$CB$1) )</f>
        <v>4.1119855689543724E-2</v>
      </c>
      <c r="CJ35">
        <f t="shared" ref="CJ35:CJ52" si="103">BR35*( (AY35/$BG35)^(1-$CB$1) )</f>
        <v>1.7430728940083864E-2</v>
      </c>
      <c r="CK35">
        <f t="shared" ref="CK35:CK52" si="104">BS35*( (AZ35/$BG35)^(1-$CB$1) )</f>
        <v>0.15176828998304404</v>
      </c>
      <c r="CL35">
        <f t="shared" ref="CL35:CL52" si="105">BT35*( (BA35/$BG35)^(1-$CB$1) )</f>
        <v>1.8469710466613654E-2</v>
      </c>
      <c r="CM35">
        <f t="shared" ref="CM35:CM52" si="106">BU35*( (BB35/$BG35)^(1-$CB$1) )</f>
        <v>0.10860062893977705</v>
      </c>
      <c r="CN35">
        <f t="shared" ref="CN35:CN52" si="107">BV35*( (BC35/$BG35)^(1-$CB$1) )</f>
        <v>1.4289378529786128E-2</v>
      </c>
      <c r="CO35">
        <f t="shared" ref="CO35:CO52" si="108">BW35*( (BD35/$BG35)^(1-$CB$1) )</f>
        <v>9.757760626426204E-2</v>
      </c>
      <c r="CP35">
        <f t="shared" ref="CP35:CP52" si="109">BX35*( (BE35/$BG35)^(1-$CB$1) )</f>
        <v>4.5471413602524352E-2</v>
      </c>
      <c r="CQ35" s="25">
        <f t="shared" ref="CQ35:CQ52" si="110">BY35*( (BF35/$BG35)^(1-$CB$1) )</f>
        <v>9.0265678643899228E-2</v>
      </c>
      <c r="CR35">
        <f t="shared" si="57"/>
        <v>0.9224782600113175</v>
      </c>
      <c r="CS35">
        <f t="shared" si="58"/>
        <v>7.7521739988682503E-2</v>
      </c>
      <c r="DC35">
        <f t="shared" si="59"/>
        <v>0.57923819228430762</v>
      </c>
      <c r="DD35">
        <f t="shared" si="60"/>
        <v>0.14014963661818464</v>
      </c>
      <c r="DE35">
        <f t="shared" si="61"/>
        <v>0.20338686267190406</v>
      </c>
      <c r="DF35">
        <f t="shared" si="62"/>
        <v>0.47951231488953916</v>
      </c>
      <c r="DG35">
        <f t="shared" si="63"/>
        <v>1.0328113572176403</v>
      </c>
      <c r="DH35">
        <f t="shared" si="64"/>
        <v>0.87979675163594151</v>
      </c>
      <c r="DI35">
        <f t="shared" si="65"/>
        <v>0.4742432042342829</v>
      </c>
      <c r="DJ35">
        <f t="shared" si="66"/>
        <v>1.0986957027619257</v>
      </c>
      <c r="DK35">
        <f t="shared" si="67"/>
        <v>1.3486631729986014</v>
      </c>
      <c r="DL35">
        <f t="shared" si="68"/>
        <v>0.80095379226708208</v>
      </c>
      <c r="DM35">
        <f t="shared" si="69"/>
        <v>1.4362657776413887</v>
      </c>
      <c r="DN35">
        <f t="shared" si="70"/>
        <v>1.0208968536419223</v>
      </c>
      <c r="DO35">
        <f t="shared" si="71"/>
        <v>3.0664758939243923</v>
      </c>
      <c r="DP35">
        <f t="shared" si="72"/>
        <v>0.51067096610381701</v>
      </c>
      <c r="DQ35">
        <f t="shared" si="73"/>
        <v>0.8286644206644086</v>
      </c>
      <c r="DR35">
        <f t="shared" si="74"/>
        <v>1.4950043594580862</v>
      </c>
      <c r="DS35">
        <f t="shared" si="75"/>
        <v>2.3432808517638462</v>
      </c>
      <c r="DT35">
        <v>3.25</v>
      </c>
    </row>
    <row r="36" spans="1:124" x14ac:dyDescent="0.25">
      <c r="A36" t="s">
        <v>145</v>
      </c>
      <c r="B36" s="26">
        <f t="shared" si="76"/>
        <v>39965</v>
      </c>
      <c r="C36">
        <v>1</v>
      </c>
      <c r="D36">
        <v>7.3704698791977847</v>
      </c>
      <c r="E36">
        <v>37.819707401902697</v>
      </c>
      <c r="F36">
        <v>49.35436658677208</v>
      </c>
      <c r="G36">
        <v>45.266603177041908</v>
      </c>
      <c r="H36">
        <v>70.731385116204947</v>
      </c>
      <c r="I36">
        <v>266.97970115495173</v>
      </c>
      <c r="J36">
        <v>66.529646313228554</v>
      </c>
      <c r="K36">
        <v>40.75912726028875</v>
      </c>
      <c r="L36">
        <v>116.63181449530066</v>
      </c>
      <c r="M36">
        <v>33.751190638210979</v>
      </c>
      <c r="N36">
        <v>387.56540891490414</v>
      </c>
      <c r="O36">
        <v>49.541032040685224</v>
      </c>
      <c r="P36">
        <v>454.59479042038197</v>
      </c>
      <c r="Q36">
        <v>20.506601071536537</v>
      </c>
      <c r="R36">
        <v>253.80987044098069</v>
      </c>
      <c r="S36">
        <v>131.81006464258715</v>
      </c>
      <c r="T36">
        <v>305.74898389809027</v>
      </c>
      <c r="U36">
        <f t="shared" si="37"/>
        <v>2338.7707634522658</v>
      </c>
      <c r="W36">
        <v>104.56808484505957</v>
      </c>
      <c r="X36">
        <v>1797.5701771962986</v>
      </c>
      <c r="Y36">
        <v>1352.02121950316</v>
      </c>
      <c r="Z36">
        <v>667.89937714351606</v>
      </c>
      <c r="AA36">
        <v>270.85424980798319</v>
      </c>
      <c r="AB36">
        <v>1589.7860374568154</v>
      </c>
      <c r="AC36">
        <v>516.71472108229148</v>
      </c>
      <c r="AD36">
        <v>327.67036938351197</v>
      </c>
      <c r="AE36">
        <v>347.1254161754876</v>
      </c>
      <c r="AF36">
        <v>184.59055580110922</v>
      </c>
      <c r="AG36">
        <v>1565.3290998062637</v>
      </c>
      <c r="AH36">
        <v>265.31550147302715</v>
      </c>
      <c r="AI36">
        <v>812.76836173210711</v>
      </c>
      <c r="AJ36">
        <v>304.66256768405265</v>
      </c>
      <c r="AK36">
        <v>1237.0230383902556</v>
      </c>
      <c r="AL36">
        <v>485.46643715783716</v>
      </c>
      <c r="AM36">
        <v>772.6987451951253</v>
      </c>
      <c r="AN36">
        <f t="shared" si="38"/>
        <v>12602.0639598339</v>
      </c>
      <c r="AP36">
        <f t="shared" si="39"/>
        <v>7.0484889248174948E-2</v>
      </c>
      <c r="AQ36">
        <f t="shared" si="40"/>
        <v>2.1039349607418805E-2</v>
      </c>
      <c r="AR36">
        <f t="shared" si="41"/>
        <v>3.6504136085163515E-2</v>
      </c>
      <c r="AS36">
        <f t="shared" si="42"/>
        <v>6.7774585103880347E-2</v>
      </c>
      <c r="AT36">
        <f t="shared" si="43"/>
        <v>0.2611418693498388</v>
      </c>
      <c r="AU36">
        <f t="shared" si="44"/>
        <v>0.16793436026274317</v>
      </c>
      <c r="AV36">
        <f t="shared" si="45"/>
        <v>0.12875508205742237</v>
      </c>
      <c r="AW36">
        <f t="shared" si="46"/>
        <v>0.12439064092665471</v>
      </c>
      <c r="AX36">
        <f t="shared" si="47"/>
        <v>0.33599330115412235</v>
      </c>
      <c r="AY36">
        <f t="shared" si="48"/>
        <v>0.18284353981022125</v>
      </c>
      <c r="AZ36">
        <f t="shared" si="49"/>
        <v>0.2475935628890257</v>
      </c>
      <c r="BA36">
        <f t="shared" si="50"/>
        <v>0.18672498126055304</v>
      </c>
      <c r="BB36">
        <f t="shared" si="51"/>
        <v>0.5593165430942536</v>
      </c>
      <c r="BC36">
        <f t="shared" si="52"/>
        <v>6.7309224193248141E-2</v>
      </c>
      <c r="BD36">
        <f t="shared" si="53"/>
        <v>0.20517796561918911</v>
      </c>
      <c r="BE36">
        <f t="shared" si="54"/>
        <v>0.27151220878268961</v>
      </c>
      <c r="BF36">
        <f t="shared" si="55"/>
        <v>0.39568976370070486</v>
      </c>
      <c r="BG36">
        <f t="shared" si="56"/>
        <v>0.18558632704186748</v>
      </c>
      <c r="BI36">
        <f t="shared" si="77"/>
        <v>8.2976951377445492E-3</v>
      </c>
      <c r="BJ36">
        <f t="shared" si="78"/>
        <v>0.14264093428867117</v>
      </c>
      <c r="BK36">
        <f t="shared" si="79"/>
        <v>0.10728569731215522</v>
      </c>
      <c r="BL36">
        <f t="shared" si="80"/>
        <v>5.2999205469222141E-2</v>
      </c>
      <c r="BM36">
        <f t="shared" si="81"/>
        <v>2.1492848367637801E-2</v>
      </c>
      <c r="BN36">
        <f t="shared" si="82"/>
        <v>0.12615283040332778</v>
      </c>
      <c r="BO36">
        <f t="shared" si="83"/>
        <v>4.1002388396789408E-2</v>
      </c>
      <c r="BP36">
        <f t="shared" si="84"/>
        <v>2.6001325689814288E-2</v>
      </c>
      <c r="BQ36">
        <f t="shared" si="85"/>
        <v>2.754512413854332E-2</v>
      </c>
      <c r="BR36">
        <f t="shared" si="86"/>
        <v>1.4647644734183859E-2</v>
      </c>
      <c r="BS36">
        <f t="shared" si="87"/>
        <v>0.1242121215060787</v>
      </c>
      <c r="BT36">
        <f t="shared" si="88"/>
        <v>2.1053337161171186E-2</v>
      </c>
      <c r="BU36">
        <f t="shared" si="89"/>
        <v>6.4494860867443146E-2</v>
      </c>
      <c r="BV36">
        <f t="shared" si="90"/>
        <v>2.4175608745923886E-2</v>
      </c>
      <c r="BW36">
        <f t="shared" si="91"/>
        <v>9.8160352330616166E-2</v>
      </c>
      <c r="BX36">
        <f t="shared" si="92"/>
        <v>3.8522772039972709E-2</v>
      </c>
      <c r="BY36">
        <f t="shared" si="93"/>
        <v>6.1315253410704776E-2</v>
      </c>
      <c r="CA36">
        <f t="shared" si="94"/>
        <v>5.1136676302065845E-3</v>
      </c>
      <c r="CB36">
        <f t="shared" si="95"/>
        <v>4.8027208149610714E-2</v>
      </c>
      <c r="CC36">
        <f t="shared" si="96"/>
        <v>4.7581691549917149E-2</v>
      </c>
      <c r="CD36">
        <f t="shared" si="97"/>
        <v>3.2027998865876033E-2</v>
      </c>
      <c r="CE36">
        <f t="shared" si="98"/>
        <v>2.5495247992955043E-2</v>
      </c>
      <c r="CF36">
        <f t="shared" si="99"/>
        <v>0.12000346681246039</v>
      </c>
      <c r="CG36">
        <f t="shared" si="100"/>
        <v>3.4152174186520681E-2</v>
      </c>
      <c r="CH36">
        <f t="shared" si="101"/>
        <v>2.1287092909071628E-2</v>
      </c>
      <c r="CI36">
        <f t="shared" si="102"/>
        <v>3.7062700061351747E-2</v>
      </c>
      <c r="CJ36">
        <f t="shared" si="103"/>
        <v>1.4539002790965611E-2</v>
      </c>
      <c r="CK36">
        <f t="shared" si="104"/>
        <v>0.14346985712926399</v>
      </c>
      <c r="CL36">
        <f t="shared" si="105"/>
        <v>2.1117824167027795E-2</v>
      </c>
      <c r="CM36">
        <f t="shared" si="106"/>
        <v>0.11196465706927246</v>
      </c>
      <c r="CN36">
        <f t="shared" si="107"/>
        <v>1.4559341156788308E-2</v>
      </c>
      <c r="CO36">
        <f t="shared" si="108"/>
        <v>0.1032115927057497</v>
      </c>
      <c r="CP36">
        <f t="shared" si="109"/>
        <v>4.65949901005955E-2</v>
      </c>
      <c r="CQ36" s="25">
        <f t="shared" si="110"/>
        <v>8.9530899311774784E-2</v>
      </c>
      <c r="CR36">
        <f t="shared" si="57"/>
        <v>0.91573941258940816</v>
      </c>
      <c r="CS36">
        <f t="shared" si="58"/>
        <v>8.4260587410591836E-2</v>
      </c>
      <c r="DC36">
        <f t="shared" si="59"/>
        <v>0.37979570139493013</v>
      </c>
      <c r="DD36">
        <f t="shared" si="60"/>
        <v>0.11336691631745273</v>
      </c>
      <c r="DE36">
        <f t="shared" si="61"/>
        <v>0.19669625810811125</v>
      </c>
      <c r="DF36">
        <f t="shared" si="62"/>
        <v>0.36519169372100724</v>
      </c>
      <c r="DG36">
        <f t="shared" si="63"/>
        <v>1.4071180431892825</v>
      </c>
      <c r="DH36">
        <f t="shared" si="64"/>
        <v>0.90488541337885253</v>
      </c>
      <c r="DI36">
        <f t="shared" si="65"/>
        <v>0.69377461211555624</v>
      </c>
      <c r="DJ36">
        <f t="shared" si="66"/>
        <v>0.6702575718231264</v>
      </c>
      <c r="DK36">
        <f t="shared" si="67"/>
        <v>1.8104421080456197</v>
      </c>
      <c r="DL36">
        <f t="shared" si="68"/>
        <v>0.9852209627973969</v>
      </c>
      <c r="DM36">
        <f t="shared" si="69"/>
        <v>1.3341153243103392</v>
      </c>
      <c r="DN36">
        <f t="shared" si="70"/>
        <v>1.006135442394033</v>
      </c>
      <c r="DO36">
        <f t="shared" si="71"/>
        <v>3.0137809827341115</v>
      </c>
      <c r="DP36">
        <f t="shared" si="72"/>
        <v>0.36268417650220247</v>
      </c>
      <c r="DQ36">
        <f t="shared" si="73"/>
        <v>1.1055661744569245</v>
      </c>
      <c r="DR36">
        <f t="shared" si="74"/>
        <v>1.462996833389766</v>
      </c>
      <c r="DS36">
        <f t="shared" si="75"/>
        <v>2.1321062279089071</v>
      </c>
      <c r="DT36">
        <v>3.25</v>
      </c>
    </row>
    <row r="37" spans="1:124" x14ac:dyDescent="0.25">
      <c r="A37" t="s">
        <v>146</v>
      </c>
      <c r="B37" s="26">
        <f t="shared" si="76"/>
        <v>40057</v>
      </c>
      <c r="D37">
        <v>4.9256891279925128</v>
      </c>
      <c r="E37">
        <v>57.208578559976651</v>
      </c>
      <c r="F37">
        <v>59.80440778350161</v>
      </c>
      <c r="G37">
        <v>54.704204663191739</v>
      </c>
      <c r="H37">
        <v>73.344848262984172</v>
      </c>
      <c r="I37">
        <v>239.01161095809803</v>
      </c>
      <c r="J37">
        <v>59.107015277681541</v>
      </c>
      <c r="K37">
        <v>46.325979845298633</v>
      </c>
      <c r="L37">
        <v>98.687013709557505</v>
      </c>
      <c r="M37">
        <v>39.261709500463006</v>
      </c>
      <c r="N37">
        <v>404.76342621103009</v>
      </c>
      <c r="O37">
        <v>48.916369975200951</v>
      </c>
      <c r="P37">
        <v>485.76462272770738</v>
      </c>
      <c r="Q37">
        <v>20.233125789807744</v>
      </c>
      <c r="R37">
        <v>228.29749268654936</v>
      </c>
      <c r="S37">
        <v>102.59354292523263</v>
      </c>
      <c r="T37">
        <v>288.46282971169109</v>
      </c>
      <c r="U37">
        <f t="shared" si="37"/>
        <v>2311.4124677159643</v>
      </c>
      <c r="W37">
        <v>93.890323257068005</v>
      </c>
      <c r="X37">
        <v>1934.4150297044944</v>
      </c>
      <c r="Y37">
        <v>1338.2156669091992</v>
      </c>
      <c r="Z37">
        <v>618.60768920883675</v>
      </c>
      <c r="AA37">
        <v>298.80362063329312</v>
      </c>
      <c r="AB37">
        <v>1522.971208601409</v>
      </c>
      <c r="AC37">
        <v>546.75273212149693</v>
      </c>
      <c r="AD37">
        <v>356.44195563123122</v>
      </c>
      <c r="AE37">
        <v>408.68682478591722</v>
      </c>
      <c r="AF37">
        <v>188.70506006206924</v>
      </c>
      <c r="AG37">
        <v>1605.019252830667</v>
      </c>
      <c r="AH37">
        <v>282.02560593889001</v>
      </c>
      <c r="AI37">
        <v>853.00219743829109</v>
      </c>
      <c r="AJ37">
        <v>281.39121657485481</v>
      </c>
      <c r="AK37">
        <v>1323.8036334781889</v>
      </c>
      <c r="AL37">
        <v>480.85965269630469</v>
      </c>
      <c r="AM37">
        <v>870.03497430594814</v>
      </c>
      <c r="AN37">
        <f t="shared" si="38"/>
        <v>13003.626644178161</v>
      </c>
      <c r="AP37">
        <f t="shared" si="39"/>
        <v>5.2462159646699376E-2</v>
      </c>
      <c r="AQ37">
        <f t="shared" si="40"/>
        <v>2.9574097430744198E-2</v>
      </c>
      <c r="AR37">
        <f t="shared" si="41"/>
        <v>4.4689663454343241E-2</v>
      </c>
      <c r="AS37">
        <f t="shared" si="42"/>
        <v>8.8431174745265836E-2</v>
      </c>
      <c r="AT37">
        <f t="shared" si="43"/>
        <v>0.24546171196833211</v>
      </c>
      <c r="AU37">
        <f t="shared" si="44"/>
        <v>0.15693770808549276</v>
      </c>
      <c r="AV37">
        <f t="shared" si="45"/>
        <v>0.1081055691268993</v>
      </c>
      <c r="AW37">
        <f t="shared" si="46"/>
        <v>0.12996780854054876</v>
      </c>
      <c r="AX37">
        <f t="shared" si="47"/>
        <v>0.24147344060149922</v>
      </c>
      <c r="AY37">
        <f t="shared" si="48"/>
        <v>0.20805859412327876</v>
      </c>
      <c r="AZ37">
        <f t="shared" si="49"/>
        <v>0.25218602549294994</v>
      </c>
      <c r="BA37">
        <f t="shared" si="50"/>
        <v>0.1734465557209024</v>
      </c>
      <c r="BB37">
        <f t="shared" si="51"/>
        <v>0.56947640250698084</v>
      </c>
      <c r="BC37">
        <f t="shared" si="52"/>
        <v>7.1903899617369149E-2</v>
      </c>
      <c r="BD37">
        <f t="shared" si="53"/>
        <v>0.17245570786561135</v>
      </c>
      <c r="BE37">
        <f t="shared" si="54"/>
        <v>0.2133544420912922</v>
      </c>
      <c r="BF37">
        <f t="shared" si="55"/>
        <v>0.33155314238005912</v>
      </c>
      <c r="BG37">
        <f t="shared" si="56"/>
        <v>0.17775137128770183</v>
      </c>
      <c r="BI37">
        <f t="shared" si="77"/>
        <v>7.2203182870605974E-3</v>
      </c>
      <c r="BJ37">
        <f t="shared" si="78"/>
        <v>0.14875965625870605</v>
      </c>
      <c r="BK37">
        <f t="shared" si="79"/>
        <v>0.10291095734499038</v>
      </c>
      <c r="BL37">
        <f t="shared" si="80"/>
        <v>4.7571935594274611E-2</v>
      </c>
      <c r="BM37">
        <f t="shared" si="81"/>
        <v>2.2978483526906717E-2</v>
      </c>
      <c r="BN37">
        <f t="shared" si="82"/>
        <v>0.11711895844712342</v>
      </c>
      <c r="BO37">
        <f t="shared" si="83"/>
        <v>4.2046172739532088E-2</v>
      </c>
      <c r="BP37">
        <f t="shared" si="84"/>
        <v>2.7410965062643771E-2</v>
      </c>
      <c r="BQ37">
        <f t="shared" si="85"/>
        <v>3.1428680318877807E-2</v>
      </c>
      <c r="BR37">
        <f t="shared" si="86"/>
        <v>1.451172547671954E-2</v>
      </c>
      <c r="BS37">
        <f t="shared" si="87"/>
        <v>0.12342858625130154</v>
      </c>
      <c r="BT37">
        <f t="shared" si="88"/>
        <v>2.1688226958219797E-2</v>
      </c>
      <c r="BU37">
        <f t="shared" si="89"/>
        <v>6.5597253810742689E-2</v>
      </c>
      <c r="BV37">
        <f t="shared" si="90"/>
        <v>2.1639441386210219E-2</v>
      </c>
      <c r="BW37">
        <f t="shared" si="91"/>
        <v>0.10180264857656979</v>
      </c>
      <c r="BX37">
        <f t="shared" si="92"/>
        <v>3.6978887955968022E-2</v>
      </c>
      <c r="BY37">
        <f t="shared" si="93"/>
        <v>6.6907102004152855E-2</v>
      </c>
      <c r="CA37">
        <f t="shared" si="94"/>
        <v>3.9225902548395116E-3</v>
      </c>
      <c r="CB37">
        <f t="shared" si="95"/>
        <v>6.0678444057116379E-2</v>
      </c>
      <c r="CC37">
        <f t="shared" si="96"/>
        <v>5.1601066815462698E-2</v>
      </c>
      <c r="CD37">
        <f t="shared" si="97"/>
        <v>3.3554211641321566E-2</v>
      </c>
      <c r="CE37">
        <f t="shared" si="98"/>
        <v>2.7002673386259331E-2</v>
      </c>
      <c r="CF37">
        <f t="shared" si="99"/>
        <v>0.11004856263528537</v>
      </c>
      <c r="CG37">
        <f t="shared" si="100"/>
        <v>3.2790196860309519E-2</v>
      </c>
      <c r="CH37">
        <f t="shared" si="101"/>
        <v>2.3438820020591829E-2</v>
      </c>
      <c r="CI37">
        <f t="shared" si="102"/>
        <v>3.663147030772243E-2</v>
      </c>
      <c r="CJ37">
        <f t="shared" si="103"/>
        <v>1.5700207923573434E-2</v>
      </c>
      <c r="CK37">
        <f t="shared" si="104"/>
        <v>0.14701775384673399</v>
      </c>
      <c r="CL37">
        <f t="shared" si="105"/>
        <v>2.142399258899658E-2</v>
      </c>
      <c r="CM37">
        <f t="shared" si="106"/>
        <v>0.11741323250617482</v>
      </c>
      <c r="CN37">
        <f t="shared" si="107"/>
        <v>1.3763084862840733E-2</v>
      </c>
      <c r="CO37">
        <f t="shared" si="108"/>
        <v>0.10027470285049117</v>
      </c>
      <c r="CP37">
        <f t="shared" si="109"/>
        <v>4.0513355183774975E-2</v>
      </c>
      <c r="CQ37" s="25">
        <f t="shared" si="110"/>
        <v>9.1378139979423303E-2</v>
      </c>
      <c r="CR37">
        <f t="shared" si="57"/>
        <v>0.92715250572091767</v>
      </c>
      <c r="CS37">
        <f t="shared" si="58"/>
        <v>7.2847494279082325E-2</v>
      </c>
      <c r="DC37">
        <f t="shared" si="59"/>
        <v>0.2951434875952999</v>
      </c>
      <c r="DD37">
        <f t="shared" si="60"/>
        <v>0.16637901140507463</v>
      </c>
      <c r="DE37">
        <f t="shared" si="61"/>
        <v>0.25141670148924028</v>
      </c>
      <c r="DF37">
        <f t="shared" si="62"/>
        <v>0.49749925474349443</v>
      </c>
      <c r="DG37">
        <f t="shared" si="63"/>
        <v>1.3809272479312513</v>
      </c>
      <c r="DH37">
        <f t="shared" si="64"/>
        <v>0.88290575171698205</v>
      </c>
      <c r="DI37">
        <f t="shared" si="65"/>
        <v>0.60818416388992913</v>
      </c>
      <c r="DJ37">
        <f t="shared" si="66"/>
        <v>0.73117752959659399</v>
      </c>
      <c r="DK37">
        <f t="shared" si="67"/>
        <v>1.3584898887258607</v>
      </c>
      <c r="DL37">
        <f t="shared" si="68"/>
        <v>1.1705034544376187</v>
      </c>
      <c r="DM37">
        <f t="shared" si="69"/>
        <v>1.41875713062585</v>
      </c>
      <c r="DN37">
        <f t="shared" si="70"/>
        <v>0.97578181515217788</v>
      </c>
      <c r="DO37">
        <f t="shared" si="71"/>
        <v>3.2037806424865622</v>
      </c>
      <c r="DP37">
        <f t="shared" si="72"/>
        <v>0.40451952126427282</v>
      </c>
      <c r="DQ37">
        <f t="shared" si="73"/>
        <v>0.97020746797210855</v>
      </c>
      <c r="DR37">
        <f t="shared" si="74"/>
        <v>1.2002970246905413</v>
      </c>
      <c r="DS37">
        <f t="shared" si="75"/>
        <v>1.8652634856100176</v>
      </c>
    </row>
    <row r="38" spans="1:124" x14ac:dyDescent="0.25">
      <c r="A38" t="s">
        <v>147</v>
      </c>
      <c r="B38" s="26">
        <f t="shared" si="76"/>
        <v>40148</v>
      </c>
      <c r="D38">
        <v>5.939683154598133</v>
      </c>
      <c r="E38">
        <v>64.771417342250402</v>
      </c>
      <c r="F38">
        <v>74.323214439459989</v>
      </c>
      <c r="G38">
        <v>75.531429699529014</v>
      </c>
      <c r="H38">
        <v>69.585918420739063</v>
      </c>
      <c r="I38">
        <v>204.6159042183285</v>
      </c>
      <c r="J38">
        <v>47.364205476476577</v>
      </c>
      <c r="K38">
        <v>60.326029640517049</v>
      </c>
      <c r="L38">
        <v>107.43872415047731</v>
      </c>
      <c r="M38">
        <v>42.158942258243542</v>
      </c>
      <c r="N38">
        <v>434.23158709535818</v>
      </c>
      <c r="O38">
        <v>42.069650685849695</v>
      </c>
      <c r="P38">
        <v>486.04928646970808</v>
      </c>
      <c r="Q38">
        <v>19.473143361051946</v>
      </c>
      <c r="R38">
        <v>202.83872073718393</v>
      </c>
      <c r="S38">
        <v>125.42605206852124</v>
      </c>
      <c r="T38">
        <v>363.50179876239901</v>
      </c>
      <c r="U38">
        <f t="shared" si="37"/>
        <v>2425.6457079806919</v>
      </c>
      <c r="W38">
        <v>94.384572500263175</v>
      </c>
      <c r="X38">
        <v>1947.6658487340956</v>
      </c>
      <c r="Y38">
        <v>1280.4923047834527</v>
      </c>
      <c r="Z38">
        <v>613.85713567535242</v>
      </c>
      <c r="AA38">
        <v>291.97424967739448</v>
      </c>
      <c r="AB38">
        <v>1699.5811816092548</v>
      </c>
      <c r="AC38">
        <v>543.83155695027938</v>
      </c>
      <c r="AD38">
        <v>260.34039681023728</v>
      </c>
      <c r="AE38">
        <v>437.78698123793856</v>
      </c>
      <c r="AF38">
        <v>229.54788723998158</v>
      </c>
      <c r="AG38">
        <v>1539.8396649292736</v>
      </c>
      <c r="AH38">
        <v>321.00424603303799</v>
      </c>
      <c r="AI38">
        <v>956.2300952626756</v>
      </c>
      <c r="AJ38">
        <v>318.81376784146318</v>
      </c>
      <c r="AK38">
        <v>1318.0865488830966</v>
      </c>
      <c r="AL38">
        <v>533.61358795949855</v>
      </c>
      <c r="AM38">
        <v>839.80521481337473</v>
      </c>
      <c r="AN38">
        <f t="shared" si="38"/>
        <v>13226.855240940669</v>
      </c>
      <c r="AP38">
        <f t="shared" si="39"/>
        <v>6.2930656962837561E-2</v>
      </c>
      <c r="AQ38">
        <f t="shared" si="40"/>
        <v>3.3255918813973773E-2</v>
      </c>
      <c r="AR38">
        <f t="shared" si="41"/>
        <v>5.8042687302231756E-2</v>
      </c>
      <c r="AS38">
        <f t="shared" si="42"/>
        <v>0.1230439874522774</v>
      </c>
      <c r="AT38">
        <f t="shared" si="43"/>
        <v>0.23832895708311708</v>
      </c>
      <c r="AU38">
        <f t="shared" si="44"/>
        <v>0.12039195681408237</v>
      </c>
      <c r="AV38">
        <f t="shared" si="45"/>
        <v>8.7093521644987806E-2</v>
      </c>
      <c r="AW38">
        <f t="shared" si="46"/>
        <v>0.23171981905093597</v>
      </c>
      <c r="AX38">
        <f t="shared" si="47"/>
        <v>0.24541324606472031</v>
      </c>
      <c r="AY38">
        <f t="shared" si="48"/>
        <v>0.18366077233448175</v>
      </c>
      <c r="AZ38">
        <f t="shared" si="49"/>
        <v>0.28199792289108416</v>
      </c>
      <c r="BA38">
        <f t="shared" si="50"/>
        <v>0.13105636827470454</v>
      </c>
      <c r="BB38">
        <f t="shared" si="51"/>
        <v>0.50829741594379618</v>
      </c>
      <c r="BC38">
        <f t="shared" si="52"/>
        <v>6.1079995048191817E-2</v>
      </c>
      <c r="BD38">
        <f t="shared" si="53"/>
        <v>0.15388877225783301</v>
      </c>
      <c r="BE38">
        <f t="shared" si="54"/>
        <v>0.2350503339844508</v>
      </c>
      <c r="BF38">
        <f t="shared" si="55"/>
        <v>0.43284060678663205</v>
      </c>
      <c r="BG38">
        <f t="shared" si="56"/>
        <v>0.18338793793347544</v>
      </c>
      <c r="BI38">
        <f t="shared" si="77"/>
        <v>7.1358286441449495E-3</v>
      </c>
      <c r="BJ38">
        <f t="shared" si="78"/>
        <v>0.14725086297954987</v>
      </c>
      <c r="BK38">
        <f t="shared" si="79"/>
        <v>9.681003393913204E-2</v>
      </c>
      <c r="BL38">
        <f t="shared" si="80"/>
        <v>4.6409908061539808E-2</v>
      </c>
      <c r="BM38">
        <f t="shared" si="81"/>
        <v>2.2074351337395434E-2</v>
      </c>
      <c r="BN38">
        <f t="shared" si="82"/>
        <v>0.12849472914382509</v>
      </c>
      <c r="BO38">
        <f t="shared" si="83"/>
        <v>4.1115710956522354E-2</v>
      </c>
      <c r="BP38">
        <f t="shared" si="84"/>
        <v>1.9682713091499923E-2</v>
      </c>
      <c r="BQ38">
        <f t="shared" si="85"/>
        <v>3.3098342218403534E-2</v>
      </c>
      <c r="BR38">
        <f t="shared" si="86"/>
        <v>1.735468356298852E-2</v>
      </c>
      <c r="BS38">
        <f t="shared" si="87"/>
        <v>0.1164176697241727</v>
      </c>
      <c r="BT38">
        <f t="shared" si="88"/>
        <v>2.4269128238392119E-2</v>
      </c>
      <c r="BU38">
        <f t="shared" si="89"/>
        <v>7.2294591408461673E-2</v>
      </c>
      <c r="BV38">
        <f t="shared" si="90"/>
        <v>2.4103519849120972E-2</v>
      </c>
      <c r="BW38">
        <f t="shared" si="91"/>
        <v>9.9652300178145498E-2</v>
      </c>
      <c r="BX38">
        <f t="shared" si="92"/>
        <v>4.0343194072905646E-2</v>
      </c>
      <c r="BY38">
        <f t="shared" si="93"/>
        <v>6.3492432593799927E-2</v>
      </c>
      <c r="CA38">
        <f t="shared" si="94"/>
        <v>4.1801335943942551E-3</v>
      </c>
      <c r="CB38">
        <f t="shared" si="95"/>
        <v>6.2705688504012175E-2</v>
      </c>
      <c r="CC38">
        <f t="shared" si="96"/>
        <v>5.4463900985505256E-2</v>
      </c>
      <c r="CD38">
        <f t="shared" si="97"/>
        <v>3.801504621960701E-2</v>
      </c>
      <c r="CE38">
        <f t="shared" si="98"/>
        <v>2.5164654564478535E-2</v>
      </c>
      <c r="CF38">
        <f t="shared" si="99"/>
        <v>0.1041114910548776</v>
      </c>
      <c r="CG38">
        <f t="shared" si="100"/>
        <v>2.8334486508639983E-2</v>
      </c>
      <c r="CH38">
        <f t="shared" si="101"/>
        <v>2.2124892472592896E-2</v>
      </c>
      <c r="CI38">
        <f t="shared" si="102"/>
        <v>3.8288632745666205E-2</v>
      </c>
      <c r="CJ38">
        <f t="shared" si="103"/>
        <v>1.7367588432730726E-2</v>
      </c>
      <c r="CK38">
        <f t="shared" si="104"/>
        <v>0.14436319099059966</v>
      </c>
      <c r="CL38">
        <f t="shared" si="105"/>
        <v>2.0516244089089548E-2</v>
      </c>
      <c r="CM38">
        <f t="shared" si="106"/>
        <v>0.12035922284907812</v>
      </c>
      <c r="CN38">
        <f t="shared" si="107"/>
        <v>1.3910558930671698E-2</v>
      </c>
      <c r="CO38">
        <f t="shared" si="108"/>
        <v>9.1286259362989064E-2</v>
      </c>
      <c r="CP38">
        <f t="shared" si="109"/>
        <v>4.5673609257446367E-2</v>
      </c>
      <c r="CQ38" s="25">
        <f t="shared" si="110"/>
        <v>9.7544004665814726E-2</v>
      </c>
      <c r="CR38">
        <f t="shared" si="57"/>
        <v>0.92840960522819382</v>
      </c>
      <c r="CS38">
        <f t="shared" si="58"/>
        <v>7.1590394771806176E-2</v>
      </c>
      <c r="DC38">
        <f t="shared" si="59"/>
        <v>0.34315592220501362</v>
      </c>
      <c r="DD38">
        <f t="shared" si="60"/>
        <v>0.18134190933559363</v>
      </c>
      <c r="DE38">
        <f t="shared" si="61"/>
        <v>0.31650220814024815</v>
      </c>
      <c r="DF38">
        <f t="shared" si="62"/>
        <v>0.67094918476542331</v>
      </c>
      <c r="DG38">
        <f t="shared" si="63"/>
        <v>1.2995890556857217</v>
      </c>
      <c r="DH38">
        <f t="shared" si="64"/>
        <v>0.65648787030777855</v>
      </c>
      <c r="DI38">
        <f t="shared" si="65"/>
        <v>0.47491412263210714</v>
      </c>
      <c r="DJ38">
        <f t="shared" si="66"/>
        <v>1.2635499458802633</v>
      </c>
      <c r="DK38">
        <f t="shared" si="67"/>
        <v>1.3382191262423417</v>
      </c>
      <c r="DL38">
        <f t="shared" si="68"/>
        <v>1.0014877445271526</v>
      </c>
      <c r="DM38">
        <f t="shared" si="69"/>
        <v>1.5377124911747457</v>
      </c>
      <c r="DN38">
        <f t="shared" si="70"/>
        <v>0.71464006712505634</v>
      </c>
      <c r="DO38">
        <f t="shared" si="71"/>
        <v>2.7717058257571048</v>
      </c>
      <c r="DP38">
        <f t="shared" si="72"/>
        <v>0.33306440836010043</v>
      </c>
      <c r="DQ38">
        <f t="shared" si="73"/>
        <v>0.83914337001628025</v>
      </c>
      <c r="DR38">
        <f t="shared" si="74"/>
        <v>1.281710981829765</v>
      </c>
      <c r="DS38">
        <f t="shared" si="75"/>
        <v>2.3602457809610486</v>
      </c>
    </row>
    <row r="39" spans="1:124" x14ac:dyDescent="0.25">
      <c r="A39" t="s">
        <v>148</v>
      </c>
      <c r="B39" s="26">
        <f t="shared" si="76"/>
        <v>40238</v>
      </c>
      <c r="D39">
        <v>10.65547994819814</v>
      </c>
      <c r="E39">
        <v>66.030416625128609</v>
      </c>
      <c r="F39">
        <v>92.887199391782431</v>
      </c>
      <c r="G39">
        <v>60.246529718658678</v>
      </c>
      <c r="H39">
        <v>74.789565594034755</v>
      </c>
      <c r="I39">
        <v>279.49762990166204</v>
      </c>
      <c r="J39">
        <v>56.932160894428222</v>
      </c>
      <c r="K39">
        <v>73.62968476027747</v>
      </c>
      <c r="L39">
        <v>129.07298598387558</v>
      </c>
      <c r="M39">
        <v>25.258293909043406</v>
      </c>
      <c r="N39">
        <v>405.86290681073001</v>
      </c>
      <c r="O39">
        <v>59.048698492899831</v>
      </c>
      <c r="P39">
        <v>477.44566404210667</v>
      </c>
      <c r="Q39">
        <v>21.627189812275272</v>
      </c>
      <c r="R39">
        <v>217.96520778291691</v>
      </c>
      <c r="S39">
        <v>182.56187320057651</v>
      </c>
      <c r="T39">
        <v>388.89790756723596</v>
      </c>
      <c r="U39">
        <f t="shared" si="37"/>
        <v>2622.4093944358306</v>
      </c>
      <c r="W39">
        <v>67.561104813070301</v>
      </c>
      <c r="X39">
        <v>1721.825817687977</v>
      </c>
      <c r="Y39">
        <v>1213.6537284637159</v>
      </c>
      <c r="Z39">
        <v>540.5902312133519</v>
      </c>
      <c r="AA39">
        <v>295.71104205134185</v>
      </c>
      <c r="AB39">
        <v>1677.543991019058</v>
      </c>
      <c r="AC39">
        <v>546.06646202486627</v>
      </c>
      <c r="AD39">
        <v>306.83322233396342</v>
      </c>
      <c r="AE39">
        <v>486.39337807366945</v>
      </c>
      <c r="AF39">
        <v>182.40839098616343</v>
      </c>
      <c r="AG39">
        <v>1568.4441930435889</v>
      </c>
      <c r="AH39">
        <v>265.36288188037361</v>
      </c>
      <c r="AI39">
        <v>923.41285827358024</v>
      </c>
      <c r="AJ39">
        <v>272.80889930828772</v>
      </c>
      <c r="AK39">
        <v>1282.4729342606763</v>
      </c>
      <c r="AL39">
        <v>559.81987872345337</v>
      </c>
      <c r="AM39">
        <v>968.30871100350487</v>
      </c>
      <c r="AN39">
        <f t="shared" si="38"/>
        <v>12879.217725160643</v>
      </c>
      <c r="AP39">
        <f t="shared" si="39"/>
        <v>0.15771618859223779</v>
      </c>
      <c r="AQ39">
        <f t="shared" si="40"/>
        <v>3.8349068730885068E-2</v>
      </c>
      <c r="AR39">
        <f t="shared" si="41"/>
        <v>7.6535174089039551E-2</v>
      </c>
      <c r="AS39">
        <f t="shared" si="42"/>
        <v>0.11144583501524928</v>
      </c>
      <c r="AT39">
        <f t="shared" si="43"/>
        <v>0.25291434866693163</v>
      </c>
      <c r="AU39">
        <f t="shared" si="44"/>
        <v>0.16661120745446178</v>
      </c>
      <c r="AV39">
        <f t="shared" si="45"/>
        <v>0.10425866602998904</v>
      </c>
      <c r="AW39">
        <f t="shared" si="46"/>
        <v>0.2399664684293458</v>
      </c>
      <c r="AX39">
        <f t="shared" si="47"/>
        <v>0.26536748196503224</v>
      </c>
      <c r="AY39">
        <f t="shared" si="48"/>
        <v>0.13847111841998197</v>
      </c>
      <c r="AZ39">
        <f t="shared" si="49"/>
        <v>0.25876783414470561</v>
      </c>
      <c r="BA39">
        <f t="shared" si="50"/>
        <v>0.22252056532729081</v>
      </c>
      <c r="BB39">
        <f t="shared" si="51"/>
        <v>0.51704463476363405</v>
      </c>
      <c r="BC39">
        <f t="shared" si="52"/>
        <v>7.9275968881922232E-2</v>
      </c>
      <c r="BD39">
        <f t="shared" si="53"/>
        <v>0.16995696514138922</v>
      </c>
      <c r="BE39">
        <f t="shared" si="54"/>
        <v>0.32610823612921513</v>
      </c>
      <c r="BF39">
        <f t="shared" si="55"/>
        <v>0.40162595167010567</v>
      </c>
      <c r="BG39">
        <f t="shared" si="56"/>
        <v>0.20361558057309115</v>
      </c>
      <c r="BI39">
        <f t="shared" si="77"/>
        <v>5.245745995976445E-3</v>
      </c>
      <c r="BJ39">
        <f t="shared" si="78"/>
        <v>0.13369024846316904</v>
      </c>
      <c r="BK39">
        <f t="shared" si="79"/>
        <v>9.4233497279321593E-2</v>
      </c>
      <c r="BL39">
        <f t="shared" si="80"/>
        <v>4.1973840550677474E-2</v>
      </c>
      <c r="BM39">
        <f t="shared" si="81"/>
        <v>2.2960326346036165E-2</v>
      </c>
      <c r="BN39">
        <f t="shared" si="82"/>
        <v>0.13025200961870795</v>
      </c>
      <c r="BO39">
        <f t="shared" si="83"/>
        <v>4.2399039575057355E-2</v>
      </c>
      <c r="BP39">
        <f t="shared" si="84"/>
        <v>2.3823902109717326E-2</v>
      </c>
      <c r="BQ39">
        <f t="shared" si="85"/>
        <v>3.7765754757251968E-2</v>
      </c>
      <c r="BR39">
        <f t="shared" si="86"/>
        <v>1.4163002356099096E-2</v>
      </c>
      <c r="BS39">
        <f t="shared" si="87"/>
        <v>0.12178101391822116</v>
      </c>
      <c r="BT39">
        <f t="shared" si="88"/>
        <v>2.060395961487356E-2</v>
      </c>
      <c r="BU39">
        <f t="shared" si="89"/>
        <v>7.1697899513696012E-2</v>
      </c>
      <c r="BV39">
        <f t="shared" si="90"/>
        <v>2.1182101671853287E-2</v>
      </c>
      <c r="BW39">
        <f t="shared" si="91"/>
        <v>9.9576927856049574E-2</v>
      </c>
      <c r="BX39">
        <f t="shared" si="92"/>
        <v>4.3466916288696464E-2</v>
      </c>
      <c r="BY39">
        <f t="shared" si="93"/>
        <v>7.5183814084595513E-2</v>
      </c>
      <c r="CA39">
        <f t="shared" si="94"/>
        <v>4.6167875586620973E-3</v>
      </c>
      <c r="CB39">
        <f t="shared" si="95"/>
        <v>5.8019186871283726E-2</v>
      </c>
      <c r="CC39">
        <f t="shared" si="96"/>
        <v>5.7773721434094691E-2</v>
      </c>
      <c r="CD39">
        <f t="shared" si="97"/>
        <v>3.105311175007186E-2</v>
      </c>
      <c r="CE39">
        <f t="shared" si="98"/>
        <v>2.5589351956123E-2</v>
      </c>
      <c r="CF39">
        <f t="shared" si="99"/>
        <v>0.11782326004554029</v>
      </c>
      <c r="CG39">
        <f t="shared" si="100"/>
        <v>3.0339372734752387E-2</v>
      </c>
      <c r="CH39">
        <f t="shared" si="101"/>
        <v>2.586322467070987E-2</v>
      </c>
      <c r="CI39">
        <f t="shared" si="102"/>
        <v>4.3113821256132896E-2</v>
      </c>
      <c r="CJ39">
        <f t="shared" si="103"/>
        <v>1.1679639115987494E-2</v>
      </c>
      <c r="CK39">
        <f t="shared" si="104"/>
        <v>0.13728694075906192</v>
      </c>
      <c r="CL39">
        <f t="shared" si="105"/>
        <v>2.1539234465172922E-2</v>
      </c>
      <c r="CM39">
        <f t="shared" si="106"/>
        <v>0.11425229882592002</v>
      </c>
      <c r="CN39">
        <f t="shared" si="107"/>
        <v>1.3217043643139789E-2</v>
      </c>
      <c r="CO39">
        <f t="shared" si="108"/>
        <v>9.0975133918572065E-2</v>
      </c>
      <c r="CP39">
        <f t="shared" si="109"/>
        <v>5.5009058382355938E-2</v>
      </c>
      <c r="CQ39" s="25">
        <f t="shared" si="110"/>
        <v>0.10559168836025622</v>
      </c>
      <c r="CR39">
        <f t="shared" si="57"/>
        <v>0.94374287574783722</v>
      </c>
      <c r="CS39">
        <f t="shared" si="58"/>
        <v>5.6257124252162782E-2</v>
      </c>
      <c r="DC39">
        <f t="shared" si="59"/>
        <v>0.77457819361531122</v>
      </c>
      <c r="DD39">
        <f t="shared" si="60"/>
        <v>0.18834054163708283</v>
      </c>
      <c r="DE39">
        <f t="shared" si="61"/>
        <v>0.37588073502835895</v>
      </c>
      <c r="DF39">
        <f t="shared" si="62"/>
        <v>0.54733451488131069</v>
      </c>
      <c r="DG39">
        <f t="shared" si="63"/>
        <v>1.2421168751187186</v>
      </c>
      <c r="DH39">
        <f t="shared" si="64"/>
        <v>0.81826354832730475</v>
      </c>
      <c r="DI39">
        <f t="shared" si="65"/>
        <v>0.51203677899571975</v>
      </c>
      <c r="DJ39">
        <f t="shared" si="66"/>
        <v>1.1785270447081819</v>
      </c>
      <c r="DK39">
        <f t="shared" si="67"/>
        <v>1.3032768966801842</v>
      </c>
      <c r="DL39">
        <f t="shared" si="68"/>
        <v>0.68006150624743322</v>
      </c>
      <c r="DM39">
        <f t="shared" si="69"/>
        <v>1.2708646038598046</v>
      </c>
      <c r="DN39">
        <f t="shared" si="70"/>
        <v>1.0928464545836334</v>
      </c>
      <c r="DO39">
        <f t="shared" si="71"/>
        <v>2.5393176362455838</v>
      </c>
      <c r="DP39">
        <f t="shared" si="72"/>
        <v>0.38934136896004784</v>
      </c>
      <c r="DQ39">
        <f t="shared" si="73"/>
        <v>0.83469528541496063</v>
      </c>
      <c r="DR39">
        <f t="shared" si="74"/>
        <v>1.6015878313995389</v>
      </c>
      <c r="DS39">
        <f t="shared" si="75"/>
        <v>1.9724716082123954</v>
      </c>
    </row>
    <row r="40" spans="1:124" x14ac:dyDescent="0.25">
      <c r="A40" t="s">
        <v>149</v>
      </c>
      <c r="B40" s="26">
        <f t="shared" si="76"/>
        <v>40330</v>
      </c>
      <c r="D40">
        <v>16.433527681242822</v>
      </c>
      <c r="E40">
        <v>75.864249054702427</v>
      </c>
      <c r="F40">
        <v>120.54037898587029</v>
      </c>
      <c r="G40">
        <v>64.896885896019128</v>
      </c>
      <c r="H40">
        <v>82.033740018567528</v>
      </c>
      <c r="I40">
        <v>267.39271295745675</v>
      </c>
      <c r="J40">
        <v>74.466052178888688</v>
      </c>
      <c r="K40">
        <v>75.794342352383282</v>
      </c>
      <c r="L40">
        <v>175.59696051544771</v>
      </c>
      <c r="M40">
        <v>36.441882300593555</v>
      </c>
      <c r="N40">
        <v>512.14065634085659</v>
      </c>
      <c r="O40">
        <v>56.647954193873886</v>
      </c>
      <c r="P40">
        <v>432.43162666865646</v>
      </c>
      <c r="Q40">
        <v>38.839860830096235</v>
      </c>
      <c r="R40">
        <v>250.86089912891939</v>
      </c>
      <c r="S40">
        <v>143.7922973195424</v>
      </c>
      <c r="T40">
        <v>417.07030014744834</v>
      </c>
      <c r="U40">
        <f t="shared" si="37"/>
        <v>2841.2443265705656</v>
      </c>
      <c r="W40">
        <v>57.515130234945616</v>
      </c>
      <c r="X40">
        <v>1920.2329152360398</v>
      </c>
      <c r="Y40">
        <v>1064.22775184632</v>
      </c>
      <c r="Z40">
        <v>551.16577817834116</v>
      </c>
      <c r="AA40">
        <v>297.58186011905826</v>
      </c>
      <c r="AB40">
        <v>1676.4761009241508</v>
      </c>
      <c r="AC40">
        <v>476.17389618244187</v>
      </c>
      <c r="AD40">
        <v>307.61655945449957</v>
      </c>
      <c r="AE40">
        <v>456.63089382613504</v>
      </c>
      <c r="AF40">
        <v>187.31307536198904</v>
      </c>
      <c r="AG40">
        <v>1613.0330409035912</v>
      </c>
      <c r="AH40">
        <v>244.96072292493864</v>
      </c>
      <c r="AI40">
        <v>939.86616905236053</v>
      </c>
      <c r="AJ40">
        <v>293.09436390458927</v>
      </c>
      <c r="AK40">
        <v>1331.2804051767237</v>
      </c>
      <c r="AL40">
        <v>524.01630080012126</v>
      </c>
      <c r="AM40">
        <v>869.78492001674556</v>
      </c>
      <c r="AN40">
        <f t="shared" si="38"/>
        <v>12810.969884142991</v>
      </c>
      <c r="AP40">
        <f t="shared" si="39"/>
        <v>0.28572529722375511</v>
      </c>
      <c r="AQ40">
        <f t="shared" si="40"/>
        <v>3.9507837019540415E-2</v>
      </c>
      <c r="AR40">
        <f t="shared" si="41"/>
        <v>0.11326558509374124</v>
      </c>
      <c r="AS40">
        <f t="shared" si="42"/>
        <v>0.11774476657551186</v>
      </c>
      <c r="AT40">
        <f t="shared" si="43"/>
        <v>0.27566781115538092</v>
      </c>
      <c r="AU40">
        <f t="shared" si="44"/>
        <v>0.15949688326010586</v>
      </c>
      <c r="AV40">
        <f t="shared" si="45"/>
        <v>0.1563841545617983</v>
      </c>
      <c r="AW40">
        <f t="shared" si="46"/>
        <v>0.24639226993108035</v>
      </c>
      <c r="AX40">
        <f t="shared" si="47"/>
        <v>0.3845490151665194</v>
      </c>
      <c r="AY40">
        <f t="shared" si="48"/>
        <v>0.19455065926480758</v>
      </c>
      <c r="AZ40">
        <f t="shared" si="49"/>
        <v>0.31750165269644132</v>
      </c>
      <c r="BA40">
        <f t="shared" si="50"/>
        <v>0.23125321283131609</v>
      </c>
      <c r="BB40">
        <f t="shared" si="51"/>
        <v>0.46009915124901729</v>
      </c>
      <c r="BC40">
        <f t="shared" si="52"/>
        <v>0.132516573545371</v>
      </c>
      <c r="BD40">
        <f t="shared" si="53"/>
        <v>0.18843580822900965</v>
      </c>
      <c r="BE40">
        <f t="shared" si="54"/>
        <v>0.27440424486792819</v>
      </c>
      <c r="BF40">
        <f t="shared" si="55"/>
        <v>0.47950969320026687</v>
      </c>
      <c r="BG40">
        <f t="shared" si="56"/>
        <v>0.22178214079539496</v>
      </c>
      <c r="BI40">
        <f t="shared" si="77"/>
        <v>4.4895219296499948E-3</v>
      </c>
      <c r="BJ40">
        <f t="shared" si="78"/>
        <v>0.14988973767027919</v>
      </c>
      <c r="BK40">
        <f t="shared" si="79"/>
        <v>8.307159890864993E-2</v>
      </c>
      <c r="BL40">
        <f t="shared" si="80"/>
        <v>4.3022954792872985E-2</v>
      </c>
      <c r="BM40">
        <f t="shared" si="81"/>
        <v>2.3228675331396696E-2</v>
      </c>
      <c r="BN40">
        <f t="shared" si="82"/>
        <v>0.13086254328013364</v>
      </c>
      <c r="BO40">
        <f t="shared" si="83"/>
        <v>3.7169230783364399E-2</v>
      </c>
      <c r="BP40">
        <f t="shared" si="84"/>
        <v>2.4011964920412271E-2</v>
      </c>
      <c r="BQ40">
        <f t="shared" si="85"/>
        <v>3.5643741102798013E-2</v>
      </c>
      <c r="BR40">
        <f t="shared" si="86"/>
        <v>1.4621303231212742E-2</v>
      </c>
      <c r="BS40">
        <f t="shared" si="87"/>
        <v>0.1259102983998231</v>
      </c>
      <c r="BT40">
        <f t="shared" si="88"/>
        <v>1.9121169212031573E-2</v>
      </c>
      <c r="BU40">
        <f t="shared" si="89"/>
        <v>7.3364169735165546E-2</v>
      </c>
      <c r="BV40">
        <f t="shared" si="90"/>
        <v>2.2878389892038706E-2</v>
      </c>
      <c r="BW40">
        <f t="shared" si="91"/>
        <v>0.10391722228810639</v>
      </c>
      <c r="BX40">
        <f t="shared" si="92"/>
        <v>4.0903718105584796E-2</v>
      </c>
      <c r="BY40">
        <f t="shared" si="93"/>
        <v>6.7893760416480056E-2</v>
      </c>
      <c r="CA40">
        <f t="shared" si="94"/>
        <v>5.0957857290701188E-3</v>
      </c>
      <c r="CB40">
        <f t="shared" si="95"/>
        <v>6.3263066696105014E-2</v>
      </c>
      <c r="CC40">
        <f t="shared" si="96"/>
        <v>5.9366065964512521E-2</v>
      </c>
      <c r="CD40">
        <f t="shared" si="97"/>
        <v>3.1347849644983487E-2</v>
      </c>
      <c r="CE40">
        <f t="shared" si="98"/>
        <v>2.589728207490212E-2</v>
      </c>
      <c r="CF40">
        <f t="shared" si="99"/>
        <v>0.11097577107853551</v>
      </c>
      <c r="CG40">
        <f t="shared" si="100"/>
        <v>3.1211645179911408E-2</v>
      </c>
      <c r="CH40">
        <f t="shared" si="101"/>
        <v>2.5309172967405057E-2</v>
      </c>
      <c r="CI40">
        <f t="shared" si="102"/>
        <v>4.693489456694705E-2</v>
      </c>
      <c r="CJ40">
        <f t="shared" si="103"/>
        <v>1.3694278372590997E-2</v>
      </c>
      <c r="CK40">
        <f t="shared" si="104"/>
        <v>0.15065063364692746</v>
      </c>
      <c r="CL40">
        <f t="shared" si="105"/>
        <v>1.9525180020580866E-2</v>
      </c>
      <c r="CM40">
        <f t="shared" si="106"/>
        <v>0.1056687177369533</v>
      </c>
      <c r="CN40">
        <f t="shared" si="107"/>
        <v>1.7684682625640064E-2</v>
      </c>
      <c r="CO40">
        <f t="shared" si="108"/>
        <v>9.5786865385198608E-2</v>
      </c>
      <c r="CP40">
        <f t="shared" si="109"/>
        <v>4.5498273159318779E-2</v>
      </c>
      <c r="CQ40" s="25">
        <f t="shared" si="110"/>
        <v>9.983096594112352E-2</v>
      </c>
      <c r="CR40">
        <f t="shared" si="57"/>
        <v>0.94774113079070588</v>
      </c>
      <c r="CS40">
        <f t="shared" si="58"/>
        <v>5.2258869209294123E-2</v>
      </c>
      <c r="DC40">
        <f t="shared" si="59"/>
        <v>1.2883151736160348</v>
      </c>
      <c r="DD40">
        <f t="shared" si="60"/>
        <v>0.17813804519088106</v>
      </c>
      <c r="DE40">
        <f t="shared" si="61"/>
        <v>0.5107065189628337</v>
      </c>
      <c r="DF40">
        <f t="shared" si="62"/>
        <v>0.53090283173042885</v>
      </c>
      <c r="DG40">
        <f t="shared" si="63"/>
        <v>1.2429666796737171</v>
      </c>
      <c r="DH40">
        <f t="shared" si="64"/>
        <v>0.7191601753328265</v>
      </c>
      <c r="DI40">
        <f t="shared" si="65"/>
        <v>0.70512510160171304</v>
      </c>
      <c r="DJ40">
        <f t="shared" si="66"/>
        <v>1.1109653331301796</v>
      </c>
      <c r="DK40">
        <f t="shared" si="67"/>
        <v>1.733904334169472</v>
      </c>
      <c r="DL40">
        <f t="shared" si="68"/>
        <v>0.87721517416630146</v>
      </c>
      <c r="DM40">
        <f t="shared" si="69"/>
        <v>1.4315925148786095</v>
      </c>
      <c r="DN40">
        <f t="shared" si="70"/>
        <v>1.042704394510551</v>
      </c>
      <c r="DO40">
        <f t="shared" si="71"/>
        <v>2.074554558806796</v>
      </c>
      <c r="DP40">
        <f t="shared" si="72"/>
        <v>0.59750786546705814</v>
      </c>
      <c r="DQ40">
        <f t="shared" si="73"/>
        <v>0.84964374296869583</v>
      </c>
      <c r="DR40">
        <f t="shared" si="74"/>
        <v>1.2372693485769881</v>
      </c>
      <c r="DS40">
        <f t="shared" si="75"/>
        <v>2.1620753207655183</v>
      </c>
    </row>
    <row r="41" spans="1:124" x14ac:dyDescent="0.25">
      <c r="A41" t="s">
        <v>150</v>
      </c>
      <c r="B41" s="26">
        <f t="shared" si="76"/>
        <v>40422</v>
      </c>
      <c r="D41">
        <v>15.49857942802609</v>
      </c>
      <c r="E41">
        <v>74.267568490290486</v>
      </c>
      <c r="F41">
        <v>138.41533582970499</v>
      </c>
      <c r="G41">
        <v>57.786508314757441</v>
      </c>
      <c r="H41">
        <v>80.661535336525048</v>
      </c>
      <c r="I41">
        <v>255.6514959518305</v>
      </c>
      <c r="J41">
        <v>87.425121965522806</v>
      </c>
      <c r="K41">
        <v>83.605288911069309</v>
      </c>
      <c r="L41">
        <v>190.08879652735791</v>
      </c>
      <c r="M41">
        <v>36.711923719735175</v>
      </c>
      <c r="N41">
        <v>560.36505867201856</v>
      </c>
      <c r="O41">
        <v>51.600842519807344</v>
      </c>
      <c r="P41">
        <v>452.07759093532223</v>
      </c>
      <c r="Q41">
        <v>36.992404127628895</v>
      </c>
      <c r="R41">
        <v>292.2100577540217</v>
      </c>
      <c r="S41">
        <v>142.9431431824012</v>
      </c>
      <c r="T41">
        <v>314.57162988341253</v>
      </c>
      <c r="U41">
        <f t="shared" si="37"/>
        <v>2870.8728815494328</v>
      </c>
      <c r="W41">
        <v>84.749735728460934</v>
      </c>
      <c r="X41">
        <v>1794.8326390969203</v>
      </c>
      <c r="Y41">
        <v>997.47408136949161</v>
      </c>
      <c r="Z41">
        <v>537.41524031912832</v>
      </c>
      <c r="AA41">
        <v>275.23087690207285</v>
      </c>
      <c r="AB41">
        <v>1690.8878936669996</v>
      </c>
      <c r="AC41">
        <v>474.44839995173203</v>
      </c>
      <c r="AD41">
        <v>318.34842743443573</v>
      </c>
      <c r="AE41">
        <v>405.50989977241835</v>
      </c>
      <c r="AF41">
        <v>177.35185993404244</v>
      </c>
      <c r="AG41">
        <v>1505.761468099018</v>
      </c>
      <c r="AH41">
        <v>270.52134048576409</v>
      </c>
      <c r="AI41">
        <v>1006.4135797433578</v>
      </c>
      <c r="AJ41">
        <v>277.02857689646214</v>
      </c>
      <c r="AK41">
        <v>1296.0761524635752</v>
      </c>
      <c r="AL41">
        <v>498.43538663487442</v>
      </c>
      <c r="AM41">
        <v>981.55059572583923</v>
      </c>
      <c r="AN41">
        <f t="shared" si="38"/>
        <v>12592.036154224592</v>
      </c>
      <c r="AP41">
        <f t="shared" si="39"/>
        <v>0.18287466379463066</v>
      </c>
      <c r="AQ41">
        <f t="shared" si="40"/>
        <v>4.137854798966583E-2</v>
      </c>
      <c r="AR41">
        <f t="shared" si="41"/>
        <v>0.13876584706809256</v>
      </c>
      <c r="AS41">
        <f t="shared" si="42"/>
        <v>0.10752673906389892</v>
      </c>
      <c r="AT41">
        <f t="shared" si="43"/>
        <v>0.29306862748987433</v>
      </c>
      <c r="AU41">
        <f t="shared" si="44"/>
        <v>0.15119364028173593</v>
      </c>
      <c r="AV41">
        <f t="shared" si="45"/>
        <v>0.18426687069535275</v>
      </c>
      <c r="AW41">
        <f t="shared" si="46"/>
        <v>0.2626219629380388</v>
      </c>
      <c r="AX41">
        <f t="shared" si="47"/>
        <v>0.46876487265548927</v>
      </c>
      <c r="AY41">
        <f t="shared" si="48"/>
        <v>0.20700050021120964</v>
      </c>
      <c r="AZ41">
        <f t="shared" si="49"/>
        <v>0.3721472959322461</v>
      </c>
      <c r="BA41">
        <f t="shared" si="50"/>
        <v>0.19074592203021701</v>
      </c>
      <c r="BB41">
        <f t="shared" si="51"/>
        <v>0.44919663251225711</v>
      </c>
      <c r="BC41">
        <f t="shared" si="52"/>
        <v>0.13353280929373071</v>
      </c>
      <c r="BD41">
        <f t="shared" si="53"/>
        <v>0.22545747578071726</v>
      </c>
      <c r="BE41">
        <f t="shared" si="54"/>
        <v>0.28678369757706079</v>
      </c>
      <c r="BF41">
        <f t="shared" si="55"/>
        <v>0.32048437569414584</v>
      </c>
      <c r="BG41">
        <f t="shared" si="56"/>
        <v>0.22799115618694146</v>
      </c>
      <c r="BI41">
        <f t="shared" si="77"/>
        <v>6.7304234748426801E-3</v>
      </c>
      <c r="BJ41">
        <f t="shared" si="78"/>
        <v>0.1425371256176674</v>
      </c>
      <c r="BK41">
        <f t="shared" si="79"/>
        <v>7.921467736850818E-2</v>
      </c>
      <c r="BL41">
        <f t="shared" si="80"/>
        <v>4.2678978501727624E-2</v>
      </c>
      <c r="BM41">
        <f t="shared" si="81"/>
        <v>2.1857535471714293E-2</v>
      </c>
      <c r="BN41">
        <f t="shared" si="82"/>
        <v>0.13428232519009339</v>
      </c>
      <c r="BO41">
        <f t="shared" si="83"/>
        <v>3.7678449628065588E-2</v>
      </c>
      <c r="BP41">
        <f t="shared" si="84"/>
        <v>2.5281727556637514E-2</v>
      </c>
      <c r="BQ41">
        <f t="shared" si="85"/>
        <v>3.2203679754871969E-2</v>
      </c>
      <c r="BR41">
        <f t="shared" si="86"/>
        <v>1.4084446531273768E-2</v>
      </c>
      <c r="BS41">
        <f t="shared" si="87"/>
        <v>0.11958045939963724</v>
      </c>
      <c r="BT41">
        <f t="shared" si="88"/>
        <v>2.1483526347325883E-2</v>
      </c>
      <c r="BU41">
        <f t="shared" si="89"/>
        <v>7.9924610080293404E-2</v>
      </c>
      <c r="BV41">
        <f t="shared" si="90"/>
        <v>2.2000300309137841E-2</v>
      </c>
      <c r="BW41">
        <f t="shared" si="91"/>
        <v>0.10292824262807929</v>
      </c>
      <c r="BX41">
        <f t="shared" si="92"/>
        <v>3.9583382745264017E-2</v>
      </c>
      <c r="BY41">
        <f t="shared" si="93"/>
        <v>7.7950109394860009E-2</v>
      </c>
      <c r="CA41">
        <f t="shared" si="94"/>
        <v>6.0278184094745592E-3</v>
      </c>
      <c r="CB41">
        <f t="shared" si="95"/>
        <v>6.0723475383373533E-2</v>
      </c>
      <c r="CC41">
        <f t="shared" si="96"/>
        <v>6.1799925674813329E-2</v>
      </c>
      <c r="CD41">
        <f t="shared" si="97"/>
        <v>2.9309826890430442E-2</v>
      </c>
      <c r="CE41">
        <f t="shared" si="98"/>
        <v>2.478145813556033E-2</v>
      </c>
      <c r="CF41">
        <f t="shared" si="99"/>
        <v>0.10935197068663052</v>
      </c>
      <c r="CG41">
        <f t="shared" si="100"/>
        <v>3.3873311361531745E-2</v>
      </c>
      <c r="CH41">
        <f t="shared" si="101"/>
        <v>2.7133965469874673E-2</v>
      </c>
      <c r="CI41">
        <f t="shared" si="102"/>
        <v>4.6176820753998135E-2</v>
      </c>
      <c r="CJ41">
        <f t="shared" si="103"/>
        <v>1.3420431583473006E-2</v>
      </c>
      <c r="CK41">
        <f t="shared" si="104"/>
        <v>0.15277723679847457</v>
      </c>
      <c r="CL41">
        <f t="shared" si="105"/>
        <v>1.9650526874852019E-2</v>
      </c>
      <c r="CM41">
        <f t="shared" si="106"/>
        <v>0.11218628625096803</v>
      </c>
      <c r="CN41">
        <f t="shared" si="107"/>
        <v>1.6836956952954497E-2</v>
      </c>
      <c r="CO41">
        <f t="shared" si="108"/>
        <v>0.10235472068429645</v>
      </c>
      <c r="CP41">
        <f t="shared" si="109"/>
        <v>4.439470098311453E-2</v>
      </c>
      <c r="CQ41" s="25">
        <f t="shared" si="110"/>
        <v>9.241897750574718E-2</v>
      </c>
      <c r="CR41">
        <f t="shared" si="57"/>
        <v>0.95321841039956756</v>
      </c>
      <c r="CS41">
        <f t="shared" si="58"/>
        <v>4.6781589600432438E-2</v>
      </c>
      <c r="DC41">
        <f t="shared" si="59"/>
        <v>0.80211297163071749</v>
      </c>
      <c r="DD41">
        <f t="shared" si="60"/>
        <v>0.18149189943024574</v>
      </c>
      <c r="DE41">
        <f t="shared" si="61"/>
        <v>0.60864574481262523</v>
      </c>
      <c r="DF41">
        <f t="shared" si="62"/>
        <v>0.47162679843481436</v>
      </c>
      <c r="DG41">
        <f t="shared" si="63"/>
        <v>1.2854385774927715</v>
      </c>
      <c r="DH41">
        <f t="shared" si="64"/>
        <v>0.66315572415346069</v>
      </c>
      <c r="DI41">
        <f t="shared" si="65"/>
        <v>0.80821937910724495</v>
      </c>
      <c r="DJ41">
        <f t="shared" si="66"/>
        <v>1.1518953951121762</v>
      </c>
      <c r="DK41">
        <f t="shared" si="67"/>
        <v>2.0560660356102818</v>
      </c>
      <c r="DL41">
        <f t="shared" si="68"/>
        <v>0.90793214821665924</v>
      </c>
      <c r="DM41">
        <f t="shared" si="69"/>
        <v>1.6322882964245498</v>
      </c>
      <c r="DN41">
        <f t="shared" si="70"/>
        <v>0.83663737322255949</v>
      </c>
      <c r="DO41">
        <f t="shared" si="71"/>
        <v>1.9702370917577965</v>
      </c>
      <c r="DP41">
        <f t="shared" si="72"/>
        <v>0.58569293444102022</v>
      </c>
      <c r="DQ41">
        <f t="shared" si="73"/>
        <v>0.98888693557855945</v>
      </c>
      <c r="DR41">
        <f t="shared" si="74"/>
        <v>1.2578720261496124</v>
      </c>
      <c r="DS41">
        <f t="shared" si="75"/>
        <v>1.4056877514642039</v>
      </c>
    </row>
    <row r="42" spans="1:124" x14ac:dyDescent="0.25">
      <c r="A42" t="s">
        <v>151</v>
      </c>
      <c r="B42" s="26">
        <f t="shared" si="76"/>
        <v>40513</v>
      </c>
      <c r="D42">
        <v>23.263051396396758</v>
      </c>
      <c r="E42">
        <v>68.575093584951745</v>
      </c>
      <c r="F42">
        <v>143.94128981539748</v>
      </c>
      <c r="G42">
        <v>63.876606776409709</v>
      </c>
      <c r="H42">
        <v>90.740527022608191</v>
      </c>
      <c r="I42">
        <v>253.92446204270232</v>
      </c>
      <c r="J42">
        <v>89.627667788218446</v>
      </c>
      <c r="K42">
        <v>75.70716856526974</v>
      </c>
      <c r="L42">
        <v>203.66652309147685</v>
      </c>
      <c r="M42">
        <v>34.872876883363602</v>
      </c>
      <c r="N42">
        <v>638.98284770234807</v>
      </c>
      <c r="O42">
        <v>57.145398667480869</v>
      </c>
      <c r="P42">
        <v>497.42010548096238</v>
      </c>
      <c r="Q42">
        <v>34.21882600404237</v>
      </c>
      <c r="R42">
        <v>248.36465966960543</v>
      </c>
      <c r="S42">
        <v>128.37420596928033</v>
      </c>
      <c r="T42">
        <v>353.18354599625974</v>
      </c>
      <c r="U42">
        <f t="shared" si="37"/>
        <v>3005.8848564567743</v>
      </c>
      <c r="W42">
        <v>84.076951693341755</v>
      </c>
      <c r="X42">
        <v>1674.1596318300974</v>
      </c>
      <c r="Y42">
        <v>1004.2760045993531</v>
      </c>
      <c r="Z42">
        <v>558.43621335103455</v>
      </c>
      <c r="AA42">
        <v>279.65291220188925</v>
      </c>
      <c r="AB42">
        <v>1649.1558742432037</v>
      </c>
      <c r="AC42">
        <v>455.47684416305702</v>
      </c>
      <c r="AD42">
        <v>278.66456134337255</v>
      </c>
      <c r="AE42">
        <v>416.06893383793044</v>
      </c>
      <c r="AF42">
        <v>187.00316207117831</v>
      </c>
      <c r="AG42">
        <v>1552.0264005535382</v>
      </c>
      <c r="AH42">
        <v>316.57187512237601</v>
      </c>
      <c r="AI42">
        <v>982.63786586931894</v>
      </c>
      <c r="AJ42">
        <v>314.20074231842455</v>
      </c>
      <c r="AK42">
        <v>1292.8161784768456</v>
      </c>
      <c r="AL42">
        <v>548.19834624576731</v>
      </c>
      <c r="AM42">
        <v>1026.6162738895684</v>
      </c>
      <c r="AN42">
        <f t="shared" si="38"/>
        <v>12620.038771810297</v>
      </c>
      <c r="AP42">
        <f t="shared" si="39"/>
        <v>0.27668761685420395</v>
      </c>
      <c r="AQ42">
        <f t="shared" si="40"/>
        <v>4.0960904970566814E-2</v>
      </c>
      <c r="AR42">
        <f t="shared" si="41"/>
        <v>0.14332841684574707</v>
      </c>
      <c r="AS42">
        <f t="shared" si="42"/>
        <v>0.11438478603151887</v>
      </c>
      <c r="AT42">
        <f t="shared" si="43"/>
        <v>0.32447553042859095</v>
      </c>
      <c r="AU42">
        <f t="shared" si="44"/>
        <v>0.15397238430189508</v>
      </c>
      <c r="AV42">
        <f t="shared" si="45"/>
        <v>0.19677766046023729</v>
      </c>
      <c r="AW42">
        <f t="shared" si="46"/>
        <v>0.2716784947476073</v>
      </c>
      <c r="AX42">
        <f t="shared" si="47"/>
        <v>0.48950187463601935</v>
      </c>
      <c r="AY42">
        <f t="shared" si="48"/>
        <v>0.18648281931238184</v>
      </c>
      <c r="AZ42">
        <f t="shared" si="49"/>
        <v>0.41170874894554083</v>
      </c>
      <c r="BA42">
        <f t="shared" si="50"/>
        <v>0.1805131888149899</v>
      </c>
      <c r="BB42">
        <f t="shared" si="51"/>
        <v>0.50620897357838468</v>
      </c>
      <c r="BC42">
        <f t="shared" si="52"/>
        <v>0.10890752756199265</v>
      </c>
      <c r="BD42">
        <f t="shared" si="53"/>
        <v>0.19211134870095814</v>
      </c>
      <c r="BE42">
        <f t="shared" si="54"/>
        <v>0.23417474140231687</v>
      </c>
      <c r="BF42">
        <f t="shared" si="55"/>
        <v>0.34402683356863595</v>
      </c>
      <c r="BG42">
        <f t="shared" si="56"/>
        <v>0.23818348824498828</v>
      </c>
      <c r="BI42">
        <f t="shared" si="77"/>
        <v>6.6621785569428351E-3</v>
      </c>
      <c r="BJ42">
        <f t="shared" si="78"/>
        <v>0.13265883426362449</v>
      </c>
      <c r="BK42">
        <f t="shared" si="79"/>
        <v>7.9577885833649734E-2</v>
      </c>
      <c r="BL42">
        <f t="shared" si="80"/>
        <v>4.4249960198096044E-2</v>
      </c>
      <c r="BM42">
        <f t="shared" si="81"/>
        <v>2.2159433679915238E-2</v>
      </c>
      <c r="BN42">
        <f t="shared" si="82"/>
        <v>0.13067756003467795</v>
      </c>
      <c r="BO42">
        <f t="shared" si="83"/>
        <v>3.6091556642477776E-2</v>
      </c>
      <c r="BP42">
        <f t="shared" si="84"/>
        <v>2.2081117687675626E-2</v>
      </c>
      <c r="BQ42">
        <f t="shared" si="85"/>
        <v>3.2968910901233855E-2</v>
      </c>
      <c r="BR42">
        <f t="shared" si="86"/>
        <v>1.4817954639639622E-2</v>
      </c>
      <c r="BS42">
        <f t="shared" si="87"/>
        <v>0.12298111191388249</v>
      </c>
      <c r="BT42">
        <f t="shared" si="88"/>
        <v>2.508485757028819E-2</v>
      </c>
      <c r="BU42">
        <f t="shared" si="89"/>
        <v>7.7863300076721015E-2</v>
      </c>
      <c r="BV42">
        <f t="shared" si="90"/>
        <v>2.4896971237541896E-2</v>
      </c>
      <c r="BW42">
        <f t="shared" si="91"/>
        <v>0.10244153776806471</v>
      </c>
      <c r="BX42">
        <f t="shared" si="92"/>
        <v>4.3438721239929305E-2</v>
      </c>
      <c r="BY42">
        <f t="shared" si="93"/>
        <v>8.1348107755639179E-2</v>
      </c>
      <c r="CA42">
        <f t="shared" si="94"/>
        <v>7.180510209137677E-3</v>
      </c>
      <c r="CB42">
        <f t="shared" si="95"/>
        <v>5.5012973876750505E-2</v>
      </c>
      <c r="CC42">
        <f t="shared" si="96"/>
        <v>6.1730916267653743E-2</v>
      </c>
      <c r="CD42">
        <f t="shared" si="97"/>
        <v>3.0664874442631402E-2</v>
      </c>
      <c r="CE42">
        <f t="shared" si="98"/>
        <v>2.5863887763301219E-2</v>
      </c>
      <c r="CF42">
        <f t="shared" si="99"/>
        <v>0.10506706696402197</v>
      </c>
      <c r="CG42">
        <f t="shared" si="100"/>
        <v>3.2804821917514909E-2</v>
      </c>
      <c r="CH42">
        <f t="shared" si="101"/>
        <v>2.3582663709373737E-2</v>
      </c>
      <c r="CI42">
        <f t="shared" si="102"/>
        <v>4.726350822875261E-2</v>
      </c>
      <c r="CJ42">
        <f t="shared" si="103"/>
        <v>1.3111483976297304E-2</v>
      </c>
      <c r="CK42">
        <f t="shared" si="104"/>
        <v>0.16168794363861635</v>
      </c>
      <c r="CL42">
        <f t="shared" si="105"/>
        <v>2.1837870332586558E-2</v>
      </c>
      <c r="CM42">
        <f t="shared" si="106"/>
        <v>0.11351203265197415</v>
      </c>
      <c r="CN42">
        <f t="shared" si="107"/>
        <v>1.6835252765496495E-2</v>
      </c>
      <c r="CO42">
        <f t="shared" si="108"/>
        <v>9.2001895245926141E-2</v>
      </c>
      <c r="CP42">
        <f t="shared" si="109"/>
        <v>4.3071622404970561E-2</v>
      </c>
      <c r="CQ42" s="25">
        <f t="shared" si="110"/>
        <v>9.7765986913811928E-2</v>
      </c>
      <c r="CR42">
        <f t="shared" si="57"/>
        <v>0.9489953113088172</v>
      </c>
      <c r="CS42">
        <f t="shared" si="58"/>
        <v>5.1004688691182798E-2</v>
      </c>
      <c r="DC42">
        <f t="shared" si="59"/>
        <v>1.1616574217336657</v>
      </c>
      <c r="DD42">
        <f t="shared" si="60"/>
        <v>0.17197205932443005</v>
      </c>
      <c r="DE42">
        <f t="shared" si="61"/>
        <v>0.6017563093975844</v>
      </c>
      <c r="DF42">
        <f t="shared" si="62"/>
        <v>0.48023810077827966</v>
      </c>
      <c r="DG42">
        <f t="shared" si="63"/>
        <v>1.3622922933047539</v>
      </c>
      <c r="DH42">
        <f t="shared" si="64"/>
        <v>0.64644440904116651</v>
      </c>
      <c r="DI42">
        <f t="shared" si="65"/>
        <v>0.82615995722523716</v>
      </c>
      <c r="DJ42">
        <f t="shared" si="66"/>
        <v>1.1406269038606365</v>
      </c>
      <c r="DK42">
        <f t="shared" si="67"/>
        <v>2.0551461322647717</v>
      </c>
      <c r="DL42">
        <f t="shared" si="68"/>
        <v>0.78293764478153616</v>
      </c>
      <c r="DM42">
        <f t="shared" si="69"/>
        <v>1.7285360625925075</v>
      </c>
      <c r="DN42">
        <f t="shared" si="70"/>
        <v>0.75787448636791954</v>
      </c>
      <c r="DO42">
        <f t="shared" si="71"/>
        <v>2.125289948972926</v>
      </c>
      <c r="DP42">
        <f t="shared" si="72"/>
        <v>0.45724213867408681</v>
      </c>
      <c r="DQ42">
        <f t="shared" si="73"/>
        <v>0.80656870934461355</v>
      </c>
      <c r="DR42">
        <f t="shared" si="74"/>
        <v>0.98316950149563631</v>
      </c>
      <c r="DS42">
        <f t="shared" si="75"/>
        <v>1.444377341618158</v>
      </c>
    </row>
    <row r="43" spans="1:124" x14ac:dyDescent="0.25">
      <c r="A43" t="s">
        <v>152</v>
      </c>
      <c r="B43" s="26">
        <f t="shared" si="76"/>
        <v>40603</v>
      </c>
      <c r="D43">
        <v>27.477286161498128</v>
      </c>
      <c r="E43">
        <v>57.530716761853</v>
      </c>
      <c r="F43">
        <v>146.32876232720434</v>
      </c>
      <c r="G43">
        <v>72.942367225511092</v>
      </c>
      <c r="H43">
        <v>114.65592719541739</v>
      </c>
      <c r="I43">
        <v>264.78381234834507</v>
      </c>
      <c r="J43">
        <v>117.41804011579848</v>
      </c>
      <c r="K43">
        <v>92.40925939404876</v>
      </c>
      <c r="L43">
        <v>172.04963191589795</v>
      </c>
      <c r="M43">
        <v>32.677919059318846</v>
      </c>
      <c r="N43">
        <v>554.80957747982359</v>
      </c>
      <c r="O43">
        <v>61.464364730984443</v>
      </c>
      <c r="P43">
        <v>480.17458967609491</v>
      </c>
      <c r="Q43">
        <v>41.287616607353989</v>
      </c>
      <c r="R43">
        <v>298.70992657336188</v>
      </c>
      <c r="S43">
        <v>131.47640031837994</v>
      </c>
      <c r="T43">
        <v>308.32187012209806</v>
      </c>
      <c r="U43">
        <f t="shared" si="37"/>
        <v>2974.5180680129897</v>
      </c>
      <c r="W43">
        <v>46.27657399541463</v>
      </c>
      <c r="X43">
        <v>1363.3831543649621</v>
      </c>
      <c r="Y43">
        <v>906.76579468528791</v>
      </c>
      <c r="Z43">
        <v>490.78148736028294</v>
      </c>
      <c r="AA43">
        <v>294.83292501293096</v>
      </c>
      <c r="AB43">
        <v>1436.71479661852</v>
      </c>
      <c r="AC43">
        <v>469.06348159468615</v>
      </c>
      <c r="AD43">
        <v>219.55810177868992</v>
      </c>
      <c r="AE43">
        <v>431.17035582298223</v>
      </c>
      <c r="AF43">
        <v>200.23346813077012</v>
      </c>
      <c r="AG43">
        <v>1362.4324224518241</v>
      </c>
      <c r="AH43">
        <v>298.5884122420361</v>
      </c>
      <c r="AI43">
        <v>939.91802762238888</v>
      </c>
      <c r="AJ43">
        <v>315.34174236365192</v>
      </c>
      <c r="AK43">
        <v>1331.1392610125106</v>
      </c>
      <c r="AL43">
        <v>503.66287183852978</v>
      </c>
      <c r="AM43">
        <v>1034.6839795192529</v>
      </c>
      <c r="AN43">
        <f t="shared" si="38"/>
        <v>11644.546856414721</v>
      </c>
      <c r="AP43">
        <f t="shared" si="39"/>
        <v>0.59376232484757296</v>
      </c>
      <c r="AQ43">
        <f t="shared" si="40"/>
        <v>4.219702772303191E-2</v>
      </c>
      <c r="AR43">
        <f t="shared" si="41"/>
        <v>0.16137437382934236</v>
      </c>
      <c r="AS43">
        <f t="shared" si="42"/>
        <v>0.14862493615608624</v>
      </c>
      <c r="AT43">
        <f t="shared" si="43"/>
        <v>0.38888440695824167</v>
      </c>
      <c r="AU43">
        <f t="shared" si="44"/>
        <v>0.18429810354257184</v>
      </c>
      <c r="AV43">
        <f t="shared" si="45"/>
        <v>0.25032441177601295</v>
      </c>
      <c r="AW43">
        <f t="shared" si="46"/>
        <v>0.4208874946787225</v>
      </c>
      <c r="AX43">
        <f t="shared" si="47"/>
        <v>0.39902936181107318</v>
      </c>
      <c r="AY43">
        <f t="shared" si="48"/>
        <v>0.16319908636840511</v>
      </c>
      <c r="AZ43">
        <f t="shared" si="49"/>
        <v>0.40721988726706315</v>
      </c>
      <c r="BA43">
        <f t="shared" si="50"/>
        <v>0.20584979929214856</v>
      </c>
      <c r="BB43">
        <f t="shared" si="51"/>
        <v>0.51086858168976901</v>
      </c>
      <c r="BC43">
        <f t="shared" si="52"/>
        <v>0.13092975353621639</v>
      </c>
      <c r="BD43">
        <f t="shared" si="53"/>
        <v>0.22440171011570403</v>
      </c>
      <c r="BE43">
        <f t="shared" si="54"/>
        <v>0.26104048495464682</v>
      </c>
      <c r="BF43">
        <f t="shared" si="55"/>
        <v>0.29798651204143917</v>
      </c>
      <c r="BG43">
        <f t="shared" si="56"/>
        <v>0.25544300733131525</v>
      </c>
      <c r="BI43">
        <f t="shared" si="77"/>
        <v>3.9740983110838615E-3</v>
      </c>
      <c r="BJ43">
        <f t="shared" si="78"/>
        <v>0.11708340145618502</v>
      </c>
      <c r="BK43">
        <f t="shared" si="79"/>
        <v>7.7870423457978608E-2</v>
      </c>
      <c r="BL43">
        <f t="shared" si="80"/>
        <v>4.2146894457290314E-2</v>
      </c>
      <c r="BM43">
        <f t="shared" si="81"/>
        <v>2.5319398740751693E-2</v>
      </c>
      <c r="BN43">
        <f t="shared" si="82"/>
        <v>0.12338091076743496</v>
      </c>
      <c r="BO43">
        <f t="shared" si="83"/>
        <v>4.0281814945533026E-2</v>
      </c>
      <c r="BP43">
        <f t="shared" si="84"/>
        <v>1.8855014667894979E-2</v>
      </c>
      <c r="BQ43">
        <f t="shared" si="85"/>
        <v>3.7027662917210047E-2</v>
      </c>
      <c r="BR43">
        <f t="shared" si="86"/>
        <v>1.7195471030327467E-2</v>
      </c>
      <c r="BS43">
        <f t="shared" si="87"/>
        <v>0.11700175534965454</v>
      </c>
      <c r="BT43">
        <f t="shared" si="88"/>
        <v>2.5641909120538289E-2</v>
      </c>
      <c r="BU43">
        <f t="shared" si="89"/>
        <v>8.0717441323584785E-2</v>
      </c>
      <c r="BV43">
        <f t="shared" si="90"/>
        <v>2.7080636649243005E-2</v>
      </c>
      <c r="BW43">
        <f t="shared" si="91"/>
        <v>0.11431438916656646</v>
      </c>
      <c r="BX43">
        <f t="shared" si="92"/>
        <v>4.3253110494469185E-2</v>
      </c>
      <c r="BY43">
        <f t="shared" si="93"/>
        <v>8.8855667144253761E-2</v>
      </c>
      <c r="CA43">
        <f t="shared" si="94"/>
        <v>6.0589576360970442E-3</v>
      </c>
      <c r="CB43">
        <f t="shared" si="95"/>
        <v>4.7587101413183008E-2</v>
      </c>
      <c r="CC43">
        <f t="shared" si="96"/>
        <v>6.1893182191082953E-2</v>
      </c>
      <c r="CD43">
        <f t="shared" si="97"/>
        <v>3.2148773651282353E-2</v>
      </c>
      <c r="CE43">
        <f t="shared" si="98"/>
        <v>3.124040416769161E-2</v>
      </c>
      <c r="CF43">
        <f t="shared" si="99"/>
        <v>0.10480002727092103</v>
      </c>
      <c r="CG43">
        <f t="shared" si="100"/>
        <v>3.9876186900886429E-2</v>
      </c>
      <c r="CH43">
        <f t="shared" si="101"/>
        <v>2.4202647551069413E-2</v>
      </c>
      <c r="CI43">
        <f t="shared" si="102"/>
        <v>4.6278760544835408E-2</v>
      </c>
      <c r="CJ43">
        <f t="shared" si="103"/>
        <v>1.3744404534696945E-2</v>
      </c>
      <c r="CK43">
        <f t="shared" si="104"/>
        <v>0.14772699300932893</v>
      </c>
      <c r="CL43">
        <f t="shared" si="105"/>
        <v>2.3018582253932624E-2</v>
      </c>
      <c r="CM43">
        <f t="shared" si="106"/>
        <v>0.1141497526229714</v>
      </c>
      <c r="CN43">
        <f t="shared" si="107"/>
        <v>1.938791183137396E-2</v>
      </c>
      <c r="CO43">
        <f t="shared" si="108"/>
        <v>0.10714378193564535</v>
      </c>
      <c r="CP43">
        <f t="shared" si="109"/>
        <v>4.3724441334761416E-2</v>
      </c>
      <c r="CQ43" s="25">
        <f t="shared" si="110"/>
        <v>9.5970205799556868E-2</v>
      </c>
      <c r="CR43">
        <f t="shared" si="57"/>
        <v>0.95895211464931673</v>
      </c>
      <c r="CS43">
        <f t="shared" si="58"/>
        <v>4.1047885350683266E-2</v>
      </c>
      <c r="DC43">
        <f t="shared" si="59"/>
        <v>2.3244414910816098</v>
      </c>
      <c r="DD43">
        <f t="shared" si="60"/>
        <v>0.16519155550146428</v>
      </c>
      <c r="DE43">
        <f t="shared" si="61"/>
        <v>0.63174316461141644</v>
      </c>
      <c r="DF43">
        <f t="shared" si="62"/>
        <v>0.58183207952651605</v>
      </c>
      <c r="DG43">
        <f t="shared" si="63"/>
        <v>1.5223920631886783</v>
      </c>
      <c r="DH43">
        <f t="shared" si="64"/>
        <v>0.72148423817894181</v>
      </c>
      <c r="DI43">
        <f t="shared" si="65"/>
        <v>0.97996188813787577</v>
      </c>
      <c r="DJ43">
        <f t="shared" si="66"/>
        <v>1.6476767130008851</v>
      </c>
      <c r="DK43">
        <f t="shared" si="67"/>
        <v>1.5621072034026096</v>
      </c>
      <c r="DL43">
        <f t="shared" si="68"/>
        <v>0.63888649007616904</v>
      </c>
      <c r="DM43">
        <f t="shared" si="69"/>
        <v>1.5941712068042242</v>
      </c>
      <c r="DN43">
        <f t="shared" si="70"/>
        <v>0.80585411768644266</v>
      </c>
      <c r="DO43">
        <f t="shared" si="71"/>
        <v>1.9999317539632671</v>
      </c>
      <c r="DP43">
        <f t="shared" si="72"/>
        <v>0.51255955253610674</v>
      </c>
      <c r="DQ43">
        <f t="shared" si="73"/>
        <v>0.87848053646130952</v>
      </c>
      <c r="DR43">
        <f t="shared" si="74"/>
        <v>1.0219128238498676</v>
      </c>
      <c r="DS43">
        <f t="shared" si="75"/>
        <v>1.1665479323728132</v>
      </c>
    </row>
    <row r="44" spans="1:124" x14ac:dyDescent="0.25">
      <c r="A44" t="s">
        <v>153</v>
      </c>
      <c r="B44" s="26">
        <f t="shared" si="76"/>
        <v>40695</v>
      </c>
      <c r="D44">
        <v>22.35401001409133</v>
      </c>
      <c r="E44">
        <v>79.395762398490746</v>
      </c>
      <c r="F44">
        <v>146.72870369428927</v>
      </c>
      <c r="G44">
        <v>66.5160562146405</v>
      </c>
      <c r="H44">
        <v>86.727101606539804</v>
      </c>
      <c r="I44">
        <v>323.07934123395233</v>
      </c>
      <c r="J44">
        <v>109.84980759160727</v>
      </c>
      <c r="K44">
        <v>103.08576201057561</v>
      </c>
      <c r="L44">
        <v>166.41698716554257</v>
      </c>
      <c r="M44">
        <v>45.882595964367759</v>
      </c>
      <c r="N44">
        <v>567.2998164686403</v>
      </c>
      <c r="O44">
        <v>55.957669049810441</v>
      </c>
      <c r="P44">
        <v>498.0506462485825</v>
      </c>
      <c r="Q44">
        <v>37.836394834081496</v>
      </c>
      <c r="R44">
        <v>285.28711664303944</v>
      </c>
      <c r="S44">
        <v>113.17376995083602</v>
      </c>
      <c r="T44">
        <v>317.45393407796831</v>
      </c>
      <c r="U44">
        <f t="shared" si="37"/>
        <v>3025.0954751670561</v>
      </c>
      <c r="W44">
        <v>33.947490806538774</v>
      </c>
      <c r="X44">
        <v>1469.4244078255153</v>
      </c>
      <c r="Y44">
        <v>959.97762327589737</v>
      </c>
      <c r="Z44">
        <v>490.91245500475469</v>
      </c>
      <c r="AA44">
        <v>265.17292494981552</v>
      </c>
      <c r="AB44">
        <v>1620.6617054534463</v>
      </c>
      <c r="AC44">
        <v>496.918406263279</v>
      </c>
      <c r="AD44">
        <v>232.87338737841969</v>
      </c>
      <c r="AE44">
        <v>396.05535487537128</v>
      </c>
      <c r="AF44">
        <v>209.83605244080385</v>
      </c>
      <c r="AG44">
        <v>1419.8856530376459</v>
      </c>
      <c r="AH44">
        <v>247.92323120848039</v>
      </c>
      <c r="AI44">
        <v>942.46028419036872</v>
      </c>
      <c r="AJ44">
        <v>281.41496668155997</v>
      </c>
      <c r="AK44">
        <v>1183.7028418908885</v>
      </c>
      <c r="AL44">
        <v>561.07091354887973</v>
      </c>
      <c r="AM44">
        <v>972.22824323234329</v>
      </c>
      <c r="AN44">
        <f t="shared" si="38"/>
        <v>11784.465942064007</v>
      </c>
      <c r="AP44">
        <f t="shared" si="39"/>
        <v>0.65848784351936918</v>
      </c>
      <c r="AQ44">
        <f t="shared" si="40"/>
        <v>5.4031879405067346E-2</v>
      </c>
      <c r="AR44">
        <f t="shared" si="41"/>
        <v>0.15284596238147882</v>
      </c>
      <c r="AS44">
        <f t="shared" si="42"/>
        <v>0.13549474155019403</v>
      </c>
      <c r="AT44">
        <f t="shared" si="43"/>
        <v>0.3270586603928477</v>
      </c>
      <c r="AU44">
        <f t="shared" si="44"/>
        <v>0.19935026547909807</v>
      </c>
      <c r="AV44">
        <f t="shared" si="45"/>
        <v>0.2210620621152968</v>
      </c>
      <c r="AW44">
        <f t="shared" si="46"/>
        <v>0.44266871011353931</v>
      </c>
      <c r="AX44">
        <f t="shared" si="47"/>
        <v>0.42018618134303432</v>
      </c>
      <c r="AY44">
        <f t="shared" si="48"/>
        <v>0.2186592600778722</v>
      </c>
      <c r="AZ44">
        <f t="shared" si="49"/>
        <v>0.39953908630246532</v>
      </c>
      <c r="BA44">
        <f t="shared" si="50"/>
        <v>0.22570562983166045</v>
      </c>
      <c r="BB44">
        <f t="shared" si="51"/>
        <v>0.5284579675168366</v>
      </c>
      <c r="BC44">
        <f t="shared" si="52"/>
        <v>0.13445054213088792</v>
      </c>
      <c r="BD44">
        <f t="shared" si="53"/>
        <v>0.24101244547771108</v>
      </c>
      <c r="BE44">
        <f t="shared" si="54"/>
        <v>0.2017102780020987</v>
      </c>
      <c r="BF44">
        <f t="shared" si="55"/>
        <v>0.32652202431657101</v>
      </c>
      <c r="BG44">
        <f t="shared" si="56"/>
        <v>0.25670195747854324</v>
      </c>
      <c r="BI44">
        <f t="shared" si="77"/>
        <v>2.88069828309869E-3</v>
      </c>
      <c r="BJ44">
        <f t="shared" si="78"/>
        <v>0.12469164195048375</v>
      </c>
      <c r="BK44">
        <f t="shared" si="79"/>
        <v>8.1461275207161468E-2</v>
      </c>
      <c r="BL44">
        <f t="shared" si="80"/>
        <v>4.1657590375179368E-2</v>
      </c>
      <c r="BM44">
        <f t="shared" si="81"/>
        <v>2.2501904308051438E-2</v>
      </c>
      <c r="BN44">
        <f t="shared" si="82"/>
        <v>0.13752525684414624</v>
      </c>
      <c r="BO44">
        <f t="shared" si="83"/>
        <v>4.2167240221685047E-2</v>
      </c>
      <c r="BP44">
        <f t="shared" si="84"/>
        <v>1.9761047172039494E-2</v>
      </c>
      <c r="BQ44">
        <f t="shared" si="85"/>
        <v>3.3608256566101426E-2</v>
      </c>
      <c r="BR44">
        <f t="shared" si="86"/>
        <v>1.7806157145552563E-2</v>
      </c>
      <c r="BS44">
        <f t="shared" si="87"/>
        <v>0.12048790840571244</v>
      </c>
      <c r="BT44">
        <f t="shared" si="88"/>
        <v>2.1038138887866948E-2</v>
      </c>
      <c r="BU44">
        <f t="shared" si="89"/>
        <v>7.9974798079419804E-2</v>
      </c>
      <c r="BV44">
        <f t="shared" si="90"/>
        <v>2.3880162925081282E-2</v>
      </c>
      <c r="BW44">
        <f t="shared" si="91"/>
        <v>0.10044603189574557</v>
      </c>
      <c r="BX44">
        <f t="shared" si="92"/>
        <v>4.7611059873843564E-2</v>
      </c>
      <c r="BY44">
        <f t="shared" si="93"/>
        <v>8.2500831858831017E-2</v>
      </c>
      <c r="CA44">
        <f t="shared" si="94"/>
        <v>4.6137819373229848E-3</v>
      </c>
      <c r="CB44">
        <f t="shared" si="95"/>
        <v>5.7206817843221715E-2</v>
      </c>
      <c r="CC44">
        <f t="shared" si="96"/>
        <v>6.2858440125809781E-2</v>
      </c>
      <c r="CD44">
        <f t="shared" si="97"/>
        <v>3.0265006772612551E-2</v>
      </c>
      <c r="CE44">
        <f t="shared" si="98"/>
        <v>2.5399052166237054E-2</v>
      </c>
      <c r="CF44">
        <f t="shared" si="99"/>
        <v>0.1211926505116725</v>
      </c>
      <c r="CG44">
        <f t="shared" si="100"/>
        <v>3.91307071502024E-2</v>
      </c>
      <c r="CH44">
        <f t="shared" si="101"/>
        <v>2.5949845544251487E-2</v>
      </c>
      <c r="CI44">
        <f t="shared" si="102"/>
        <v>4.2998398129631583E-2</v>
      </c>
      <c r="CJ44">
        <f t="shared" si="103"/>
        <v>1.6433858707408815E-2</v>
      </c>
      <c r="CK44">
        <f t="shared" si="104"/>
        <v>0.1503171424662316</v>
      </c>
      <c r="CL44">
        <f t="shared" si="105"/>
        <v>1.9727130776405234E-2</v>
      </c>
      <c r="CM44">
        <f t="shared" si="106"/>
        <v>0.11474764657503791</v>
      </c>
      <c r="CN44">
        <f t="shared" si="107"/>
        <v>1.7282396877060634E-2</v>
      </c>
      <c r="CO44">
        <f t="shared" si="108"/>
        <v>9.7328029149508694E-2</v>
      </c>
      <c r="CP44">
        <f t="shared" si="109"/>
        <v>4.2204355563021032E-2</v>
      </c>
      <c r="CQ44" s="25">
        <f t="shared" si="110"/>
        <v>9.3046486289689312E-2</v>
      </c>
      <c r="CR44">
        <f t="shared" si="57"/>
        <v>0.96070174658532514</v>
      </c>
      <c r="CS44">
        <f t="shared" si="58"/>
        <v>3.9298253414674855E-2</v>
      </c>
      <c r="DC44">
        <f t="shared" si="59"/>
        <v>2.5651843483679304</v>
      </c>
      <c r="DD44">
        <f t="shared" si="60"/>
        <v>0.21048487489458925</v>
      </c>
      <c r="DE44">
        <f t="shared" si="61"/>
        <v>0.59542188101255378</v>
      </c>
      <c r="DF44">
        <f t="shared" si="62"/>
        <v>0.52782901572349539</v>
      </c>
      <c r="DG44">
        <f t="shared" si="63"/>
        <v>1.2740793393450665</v>
      </c>
      <c r="DH44">
        <f t="shared" si="64"/>
        <v>0.77658256850558305</v>
      </c>
      <c r="DI44">
        <f t="shared" si="65"/>
        <v>0.86116235453239409</v>
      </c>
      <c r="DJ44">
        <f t="shared" si="66"/>
        <v>1.7244461805498321</v>
      </c>
      <c r="DK44">
        <f t="shared" si="67"/>
        <v>1.6368639548771502</v>
      </c>
      <c r="DL44">
        <f t="shared" si="68"/>
        <v>0.85180207516005835</v>
      </c>
      <c r="DM44">
        <f t="shared" si="69"/>
        <v>1.5564317866016324</v>
      </c>
      <c r="DN44">
        <f t="shared" si="70"/>
        <v>0.8792516895806155</v>
      </c>
      <c r="DO44">
        <f t="shared" si="71"/>
        <v>2.0586440894631997</v>
      </c>
      <c r="DP44">
        <f t="shared" si="72"/>
        <v>0.52376126559972236</v>
      </c>
      <c r="DQ44">
        <f t="shared" si="73"/>
        <v>0.93888043490224038</v>
      </c>
      <c r="DR44">
        <f t="shared" si="74"/>
        <v>0.78577615840330672</v>
      </c>
      <c r="DS44">
        <f t="shared" si="75"/>
        <v>1.2719888368746224</v>
      </c>
    </row>
    <row r="45" spans="1:124" x14ac:dyDescent="0.25">
      <c r="A45" t="s">
        <v>154</v>
      </c>
      <c r="B45" s="26">
        <f t="shared" si="76"/>
        <v>40787</v>
      </c>
      <c r="D45">
        <v>23.341176022584651</v>
      </c>
      <c r="E45">
        <v>83.986352279836424</v>
      </c>
      <c r="F45">
        <v>163.85224786447344</v>
      </c>
      <c r="G45">
        <v>71.834863457312323</v>
      </c>
      <c r="H45">
        <v>106.34158768265206</v>
      </c>
      <c r="I45">
        <v>342.47576416323091</v>
      </c>
      <c r="J45">
        <v>104.69006840242503</v>
      </c>
      <c r="K45">
        <v>111.54899125555362</v>
      </c>
      <c r="L45">
        <v>149.51375744039578</v>
      </c>
      <c r="M45">
        <v>43.471454021295607</v>
      </c>
      <c r="N45">
        <v>661.13531489352488</v>
      </c>
      <c r="O45">
        <v>69.512464217274626</v>
      </c>
      <c r="P45">
        <v>529.47953944724497</v>
      </c>
      <c r="Q45">
        <v>54.708513485723557</v>
      </c>
      <c r="R45">
        <v>322.29126811896265</v>
      </c>
      <c r="S45">
        <v>114.88949259504848</v>
      </c>
      <c r="T45">
        <v>349.14427628180562</v>
      </c>
      <c r="U45">
        <f t="shared" si="37"/>
        <v>3302.2171316293443</v>
      </c>
      <c r="W45">
        <v>57.698836256278717</v>
      </c>
      <c r="X45">
        <v>1364.0596578851212</v>
      </c>
      <c r="Y45">
        <v>889.34931399629511</v>
      </c>
      <c r="Z45">
        <v>508.11189038597445</v>
      </c>
      <c r="AA45">
        <v>258.56078971803265</v>
      </c>
      <c r="AB45">
        <v>1625.2824034531766</v>
      </c>
      <c r="AC45">
        <v>506.66599936123475</v>
      </c>
      <c r="AD45">
        <v>212.16324110775085</v>
      </c>
      <c r="AE45">
        <v>369.71423834983347</v>
      </c>
      <c r="AF45">
        <v>166.66306739283101</v>
      </c>
      <c r="AG45">
        <v>1485.7147313434541</v>
      </c>
      <c r="AH45">
        <v>256.2247975241653</v>
      </c>
      <c r="AI45">
        <v>915.74711886328566</v>
      </c>
      <c r="AJ45">
        <v>254.5042491224892</v>
      </c>
      <c r="AK45">
        <v>1248.4079881977789</v>
      </c>
      <c r="AL45">
        <v>569.87654481344669</v>
      </c>
      <c r="AM45">
        <v>991.76347367803544</v>
      </c>
      <c r="AN45">
        <f t="shared" si="38"/>
        <v>11680.508341449184</v>
      </c>
      <c r="AP45">
        <f t="shared" si="39"/>
        <v>0.40453460653714124</v>
      </c>
      <c r="AQ45">
        <f t="shared" si="40"/>
        <v>6.1570879099270025E-2</v>
      </c>
      <c r="AR45">
        <f t="shared" si="41"/>
        <v>0.18423834739153577</v>
      </c>
      <c r="AS45">
        <f t="shared" si="42"/>
        <v>0.141376072507858</v>
      </c>
      <c r="AT45">
        <f t="shared" si="43"/>
        <v>0.41128273083718675</v>
      </c>
      <c r="AU45">
        <f t="shared" si="44"/>
        <v>0.21071769646652513</v>
      </c>
      <c r="AV45">
        <f t="shared" si="45"/>
        <v>0.20662540714081892</v>
      </c>
      <c r="AW45">
        <f t="shared" si="46"/>
        <v>0.52576964168312967</v>
      </c>
      <c r="AX45">
        <f t="shared" si="47"/>
        <v>0.40440356884205764</v>
      </c>
      <c r="AY45">
        <f t="shared" si="48"/>
        <v>0.26083435701343349</v>
      </c>
      <c r="AZ45">
        <f t="shared" si="49"/>
        <v>0.44499479001308334</v>
      </c>
      <c r="BA45">
        <f t="shared" si="50"/>
        <v>0.27129483519532765</v>
      </c>
      <c r="BB45">
        <f t="shared" si="51"/>
        <v>0.57819405438532689</v>
      </c>
      <c r="BC45">
        <f t="shared" si="52"/>
        <v>0.21496110054882872</v>
      </c>
      <c r="BD45">
        <f t="shared" si="53"/>
        <v>0.25816181181620546</v>
      </c>
      <c r="BE45">
        <f t="shared" si="54"/>
        <v>0.20160417837982508</v>
      </c>
      <c r="BF45">
        <f t="shared" si="55"/>
        <v>0.35204389509020301</v>
      </c>
      <c r="BG45">
        <f t="shared" si="56"/>
        <v>0.28271176519870905</v>
      </c>
      <c r="BI45">
        <f t="shared" si="77"/>
        <v>4.9397538676916953E-3</v>
      </c>
      <c r="BJ45">
        <f t="shared" si="78"/>
        <v>0.11678084703254313</v>
      </c>
      <c r="BK45">
        <f t="shared" si="79"/>
        <v>7.6139606941623472E-2</v>
      </c>
      <c r="BL45">
        <f t="shared" si="80"/>
        <v>4.3500837081114033E-2</v>
      </c>
      <c r="BM45">
        <f t="shared" si="81"/>
        <v>2.2136090498776476E-2</v>
      </c>
      <c r="BN45">
        <f t="shared" si="82"/>
        <v>0.13914483479162776</v>
      </c>
      <c r="BO45">
        <f t="shared" si="83"/>
        <v>4.3377050428814935E-2</v>
      </c>
      <c r="BP45">
        <f t="shared" si="84"/>
        <v>1.8163870518791828E-2</v>
      </c>
      <c r="BQ45">
        <f t="shared" si="85"/>
        <v>3.1652238716175903E-2</v>
      </c>
      <c r="BR45">
        <f t="shared" si="86"/>
        <v>1.4268477237537195E-2</v>
      </c>
      <c r="BS45">
        <f t="shared" si="87"/>
        <v>0.12719606783476031</v>
      </c>
      <c r="BT45">
        <f t="shared" si="88"/>
        <v>2.193609987117871E-2</v>
      </c>
      <c r="BU45">
        <f t="shared" si="89"/>
        <v>7.8399594614704096E-2</v>
      </c>
      <c r="BV45">
        <f t="shared" si="90"/>
        <v>2.1788799055890509E-2</v>
      </c>
      <c r="BW45">
        <f t="shared" si="91"/>
        <v>0.10687959391011323</v>
      </c>
      <c r="BX45">
        <f t="shared" si="92"/>
        <v>4.8788676670106543E-2</v>
      </c>
      <c r="BY45">
        <f t="shared" si="93"/>
        <v>8.4907560928550202E-2</v>
      </c>
      <c r="CA45">
        <f t="shared" si="94"/>
        <v>5.9089621591570775E-3</v>
      </c>
      <c r="CB45">
        <f t="shared" si="95"/>
        <v>5.4498852366380711E-2</v>
      </c>
      <c r="CC45">
        <f t="shared" si="96"/>
        <v>6.1465115785852828E-2</v>
      </c>
      <c r="CD45">
        <f t="shared" si="97"/>
        <v>3.076193352072296E-2</v>
      </c>
      <c r="CE45">
        <f t="shared" si="98"/>
        <v>2.6699259582401519E-2</v>
      </c>
      <c r="CF45">
        <f t="shared" si="99"/>
        <v>0.12012838911472237</v>
      </c>
      <c r="CG45">
        <f t="shared" si="100"/>
        <v>3.7083433445354301E-2</v>
      </c>
      <c r="CH45">
        <f t="shared" si="101"/>
        <v>2.4770467843662703E-2</v>
      </c>
      <c r="CI45">
        <f t="shared" si="102"/>
        <v>3.7856458338397105E-2</v>
      </c>
      <c r="CJ45">
        <f t="shared" si="103"/>
        <v>1.3705285395007977E-2</v>
      </c>
      <c r="CK45">
        <f t="shared" si="104"/>
        <v>0.15958027445944134</v>
      </c>
      <c r="CL45">
        <f t="shared" si="105"/>
        <v>2.1488605678886882E-2</v>
      </c>
      <c r="CM45">
        <f t="shared" si="106"/>
        <v>0.11211886345075753</v>
      </c>
      <c r="CN45">
        <f t="shared" si="107"/>
        <v>1.8999461458402311E-2</v>
      </c>
      <c r="CO45">
        <f t="shared" si="108"/>
        <v>0.10213365030448245</v>
      </c>
      <c r="CP45">
        <f t="shared" si="109"/>
        <v>4.1199966406417501E-2</v>
      </c>
      <c r="CQ45" s="25">
        <f t="shared" si="110"/>
        <v>9.4748606863981635E-2</v>
      </c>
      <c r="CR45">
        <f t="shared" si="57"/>
        <v>0.96314758617402929</v>
      </c>
      <c r="CS45">
        <f t="shared" si="58"/>
        <v>3.6852413825970709E-2</v>
      </c>
      <c r="DC45">
        <f t="shared" si="59"/>
        <v>1.4309082830451247</v>
      </c>
      <c r="DD45">
        <f t="shared" si="60"/>
        <v>0.21778675909010659</v>
      </c>
      <c r="DE45">
        <f t="shared" si="61"/>
        <v>0.65168263252871894</v>
      </c>
      <c r="DF45">
        <f t="shared" si="62"/>
        <v>0.50007141516904785</v>
      </c>
      <c r="DG45">
        <f t="shared" si="63"/>
        <v>1.4547775560317036</v>
      </c>
      <c r="DH45">
        <f t="shared" si="64"/>
        <v>0.74534463154873798</v>
      </c>
      <c r="DI45">
        <f t="shared" si="65"/>
        <v>0.73086950235547687</v>
      </c>
      <c r="DJ45">
        <f t="shared" si="66"/>
        <v>1.8597373947758524</v>
      </c>
      <c r="DK45">
        <f t="shared" si="67"/>
        <v>1.4304447802439892</v>
      </c>
      <c r="DL45">
        <f t="shared" si="68"/>
        <v>0.92261585516294797</v>
      </c>
      <c r="DM45">
        <f t="shared" si="69"/>
        <v>1.5740228911248555</v>
      </c>
      <c r="DN45">
        <f t="shared" si="70"/>
        <v>0.95961636051702059</v>
      </c>
      <c r="DO45">
        <f t="shared" si="71"/>
        <v>2.0451715335544414</v>
      </c>
      <c r="DP45">
        <f t="shared" si="72"/>
        <v>0.76035427955302615</v>
      </c>
      <c r="DQ45">
        <f t="shared" si="73"/>
        <v>0.91316260444538544</v>
      </c>
      <c r="DR45">
        <f t="shared" si="74"/>
        <v>0.71310855506180992</v>
      </c>
      <c r="DS45">
        <f t="shared" si="75"/>
        <v>1.2452396342358183</v>
      </c>
    </row>
    <row r="46" spans="1:124" x14ac:dyDescent="0.25">
      <c r="A46" t="s">
        <v>155</v>
      </c>
      <c r="B46" s="26">
        <f t="shared" si="76"/>
        <v>40878</v>
      </c>
      <c r="D46">
        <v>31.01252097482482</v>
      </c>
      <c r="E46">
        <v>73.041552694380684</v>
      </c>
      <c r="F46">
        <v>169.66006078857939</v>
      </c>
      <c r="G46">
        <v>72.041628896604223</v>
      </c>
      <c r="H46">
        <v>144.2316862255561</v>
      </c>
      <c r="I46">
        <v>314.95471398574978</v>
      </c>
      <c r="J46">
        <v>116.69125499724238</v>
      </c>
      <c r="K46">
        <v>109.3912328748894</v>
      </c>
      <c r="L46">
        <v>154.42223713436158</v>
      </c>
      <c r="M46">
        <v>39.252100688819375</v>
      </c>
      <c r="N46">
        <v>570.69852050966688</v>
      </c>
      <c r="O46">
        <v>57.984669238798148</v>
      </c>
      <c r="P46">
        <v>544.88686866559794</v>
      </c>
      <c r="Q46">
        <v>50.302878965234925</v>
      </c>
      <c r="R46">
        <v>358.09681842550771</v>
      </c>
      <c r="S46">
        <v>114.98621683927807</v>
      </c>
      <c r="T46">
        <v>344.75552673149849</v>
      </c>
      <c r="U46">
        <f t="shared" si="37"/>
        <v>3266.4104886365894</v>
      </c>
      <c r="W46">
        <v>71.962523111772356</v>
      </c>
      <c r="X46">
        <v>1243.0404652933319</v>
      </c>
      <c r="Y46">
        <v>786.40270959738098</v>
      </c>
      <c r="Z46">
        <v>447.99824973710338</v>
      </c>
      <c r="AA46">
        <v>249.46338107358793</v>
      </c>
      <c r="AB46">
        <v>1582.3391759775504</v>
      </c>
      <c r="AC46">
        <v>461.51004109136164</v>
      </c>
      <c r="AD46">
        <v>223.72638179161427</v>
      </c>
      <c r="AE46">
        <v>377.6157298584414</v>
      </c>
      <c r="AF46">
        <v>172.29311339058282</v>
      </c>
      <c r="AG46">
        <v>1453.5173885728273</v>
      </c>
      <c r="AH46">
        <v>316.6319361104147</v>
      </c>
      <c r="AI46">
        <v>934.3514699937881</v>
      </c>
      <c r="AJ46">
        <v>267.7874943736818</v>
      </c>
      <c r="AK46">
        <v>1211.2687299791439</v>
      </c>
      <c r="AL46">
        <v>571.94959828139702</v>
      </c>
      <c r="AM46">
        <v>1001.2685824238397</v>
      </c>
      <c r="AN46">
        <f t="shared" si="38"/>
        <v>11373.12697065782</v>
      </c>
      <c r="AP46">
        <f t="shared" si="39"/>
        <v>0.43095377473988927</v>
      </c>
      <c r="AQ46">
        <f t="shared" si="40"/>
        <v>5.8760398179913145E-2</v>
      </c>
      <c r="AR46">
        <f t="shared" si="41"/>
        <v>0.21574195856400497</v>
      </c>
      <c r="AS46">
        <f t="shared" si="42"/>
        <v>0.16080783560846512</v>
      </c>
      <c r="AT46">
        <f t="shared" si="43"/>
        <v>0.57816776796996083</v>
      </c>
      <c r="AU46">
        <f t="shared" si="44"/>
        <v>0.19904374407666073</v>
      </c>
      <c r="AV46">
        <f t="shared" si="45"/>
        <v>0.2528466221911343</v>
      </c>
      <c r="AW46">
        <f t="shared" si="46"/>
        <v>0.48895097662992559</v>
      </c>
      <c r="AX46">
        <f t="shared" si="47"/>
        <v>0.40894016039069819</v>
      </c>
      <c r="AY46">
        <f t="shared" si="48"/>
        <v>0.22782164600993746</v>
      </c>
      <c r="AZ46">
        <f t="shared" si="49"/>
        <v>0.39263274385043417</v>
      </c>
      <c r="BA46">
        <f t="shared" si="50"/>
        <v>0.18312956662267305</v>
      </c>
      <c r="BB46">
        <f t="shared" si="51"/>
        <v>0.58317120073586504</v>
      </c>
      <c r="BC46">
        <f t="shared" si="52"/>
        <v>0.1878462587765215</v>
      </c>
      <c r="BD46">
        <f t="shared" si="53"/>
        <v>0.29563779660329675</v>
      </c>
      <c r="BE46">
        <f t="shared" si="54"/>
        <v>0.20104256945855095</v>
      </c>
      <c r="BF46">
        <f t="shared" si="55"/>
        <v>0.34431873004236796</v>
      </c>
      <c r="BG46">
        <f t="shared" si="56"/>
        <v>0.28720425763853585</v>
      </c>
      <c r="BI46">
        <f t="shared" si="77"/>
        <v>6.3274175429002578E-3</v>
      </c>
      <c r="BJ46">
        <f t="shared" si="78"/>
        <v>0.10929627959841853</v>
      </c>
      <c r="BK46">
        <f t="shared" si="79"/>
        <v>6.914568980248495E-2</v>
      </c>
      <c r="BL46">
        <f t="shared" si="80"/>
        <v>3.9390947704436928E-2</v>
      </c>
      <c r="BM46">
        <f t="shared" si="81"/>
        <v>2.1934458457835981E-2</v>
      </c>
      <c r="BN46">
        <f t="shared" si="82"/>
        <v>0.13912965010062031</v>
      </c>
      <c r="BO46">
        <f t="shared" si="83"/>
        <v>4.0578993119661615E-2</v>
      </c>
      <c r="BP46">
        <f t="shared" si="84"/>
        <v>1.9671492490044185E-2</v>
      </c>
      <c r="BQ46">
        <f t="shared" si="85"/>
        <v>3.3202454420202449E-2</v>
      </c>
      <c r="BR46">
        <f t="shared" si="86"/>
        <v>1.5149141817821225E-2</v>
      </c>
      <c r="BS46">
        <f t="shared" si="87"/>
        <v>0.12780279269921455</v>
      </c>
      <c r="BT46">
        <f t="shared" si="88"/>
        <v>2.7840358850060455E-2</v>
      </c>
      <c r="BU46">
        <f t="shared" si="89"/>
        <v>8.2154316258349597E-2</v>
      </c>
      <c r="BV46">
        <f t="shared" si="90"/>
        <v>2.3545634816577888E-2</v>
      </c>
      <c r="BW46">
        <f t="shared" si="91"/>
        <v>0.1065027000141795</v>
      </c>
      <c r="BX46">
        <f t="shared" si="92"/>
        <v>5.0289564141594696E-2</v>
      </c>
      <c r="BY46">
        <f t="shared" si="93"/>
        <v>8.8038108165596818E-2</v>
      </c>
      <c r="CA46">
        <f t="shared" si="94"/>
        <v>7.7507977033753391E-3</v>
      </c>
      <c r="CB46">
        <f t="shared" si="95"/>
        <v>4.9437022614469701E-2</v>
      </c>
      <c r="CC46">
        <f t="shared" si="96"/>
        <v>5.9928993684516457E-2</v>
      </c>
      <c r="CD46">
        <f t="shared" si="97"/>
        <v>2.9475053089418467E-2</v>
      </c>
      <c r="CE46">
        <f t="shared" si="98"/>
        <v>3.1121349296955658E-2</v>
      </c>
      <c r="CF46">
        <f t="shared" si="99"/>
        <v>0.11582399010387702</v>
      </c>
      <c r="CG46">
        <f t="shared" si="100"/>
        <v>3.8074517458352906E-2</v>
      </c>
      <c r="CH46">
        <f t="shared" si="101"/>
        <v>2.5666965891044856E-2</v>
      </c>
      <c r="CI46">
        <f t="shared" si="102"/>
        <v>3.9619102557584038E-2</v>
      </c>
      <c r="CJ46">
        <f t="shared" si="103"/>
        <v>1.3492427309921616E-2</v>
      </c>
      <c r="CK46">
        <f t="shared" si="104"/>
        <v>0.14943012666761926</v>
      </c>
      <c r="CL46">
        <f t="shared" si="105"/>
        <v>2.2230980911617002E-2</v>
      </c>
      <c r="CM46">
        <f t="shared" si="106"/>
        <v>0.11706659400928504</v>
      </c>
      <c r="CN46">
        <f t="shared" si="107"/>
        <v>1.9042161407504709E-2</v>
      </c>
      <c r="CO46">
        <f t="shared" si="108"/>
        <v>0.10805507260453966</v>
      </c>
      <c r="CP46">
        <f t="shared" si="109"/>
        <v>4.2075225072692159E-2</v>
      </c>
      <c r="CQ46" s="25">
        <f t="shared" si="110"/>
        <v>9.6395239906231014E-2</v>
      </c>
      <c r="CR46">
        <f t="shared" si="57"/>
        <v>0.96468562028900484</v>
      </c>
      <c r="CS46">
        <f t="shared" si="58"/>
        <v>3.5314379710995158E-2</v>
      </c>
      <c r="DC46">
        <f t="shared" si="59"/>
        <v>1.50051318278948</v>
      </c>
      <c r="DD46">
        <f t="shared" si="60"/>
        <v>0.20459445365836709</v>
      </c>
      <c r="DE46">
        <f t="shared" si="61"/>
        <v>0.75117952755258044</v>
      </c>
      <c r="DF46">
        <f t="shared" si="62"/>
        <v>0.55990756171467215</v>
      </c>
      <c r="DG46">
        <f t="shared" si="63"/>
        <v>2.0130891259196457</v>
      </c>
      <c r="DH46">
        <f t="shared" si="64"/>
        <v>0.69303897411983872</v>
      </c>
      <c r="DI46">
        <f t="shared" si="65"/>
        <v>0.88037212355450956</v>
      </c>
      <c r="DJ46">
        <f t="shared" si="66"/>
        <v>1.7024503071444725</v>
      </c>
      <c r="DK46">
        <f t="shared" si="67"/>
        <v>1.423865244036091</v>
      </c>
      <c r="DL46">
        <f t="shared" si="68"/>
        <v>0.79323909709118923</v>
      </c>
      <c r="DM46">
        <f t="shared" si="69"/>
        <v>1.367085387517432</v>
      </c>
      <c r="DN46">
        <f t="shared" si="70"/>
        <v>0.6376283141775454</v>
      </c>
      <c r="DO46">
        <f t="shared" si="71"/>
        <v>2.0305102909366397</v>
      </c>
      <c r="DP46">
        <f t="shared" si="72"/>
        <v>0.65405109353544999</v>
      </c>
      <c r="DQ46">
        <f t="shared" si="73"/>
        <v>1.0293642546740203</v>
      </c>
      <c r="DR46">
        <f t="shared" si="74"/>
        <v>0.6999985693512083</v>
      </c>
      <c r="DS46">
        <f t="shared" si="75"/>
        <v>1.1988635992845</v>
      </c>
    </row>
    <row r="47" spans="1:124" x14ac:dyDescent="0.25">
      <c r="A47" t="s">
        <v>156</v>
      </c>
      <c r="B47" s="26">
        <f t="shared" si="76"/>
        <v>40969</v>
      </c>
      <c r="D47">
        <v>19.736426453204249</v>
      </c>
      <c r="E47">
        <v>78.659368092194356</v>
      </c>
      <c r="F47">
        <v>188.69939587181378</v>
      </c>
      <c r="G47">
        <v>88.089908642728417</v>
      </c>
      <c r="H47">
        <v>122.10071064448304</v>
      </c>
      <c r="I47">
        <v>358.56471010848327</v>
      </c>
      <c r="J47">
        <v>121.81252229228612</v>
      </c>
      <c r="K47">
        <v>90.575449190332961</v>
      </c>
      <c r="L47">
        <v>152.57493701953248</v>
      </c>
      <c r="M47">
        <v>53.442596875403559</v>
      </c>
      <c r="N47">
        <v>712.4537731730112</v>
      </c>
      <c r="O47">
        <v>59.85415697782738</v>
      </c>
      <c r="P47">
        <v>595.43278398103109</v>
      </c>
      <c r="Q47">
        <v>55.035838991848578</v>
      </c>
      <c r="R47">
        <v>361.57295037783291</v>
      </c>
      <c r="S47">
        <v>135.73722375137604</v>
      </c>
      <c r="T47">
        <v>377.22215544559475</v>
      </c>
      <c r="U47">
        <f t="shared" si="37"/>
        <v>3571.5649078889842</v>
      </c>
      <c r="W47">
        <v>62.717067805518063</v>
      </c>
      <c r="X47">
        <v>1079.705666857164</v>
      </c>
      <c r="Y47">
        <v>707.59118122307552</v>
      </c>
      <c r="Z47">
        <v>456.30696247455353</v>
      </c>
      <c r="AA47">
        <v>249.53845610011203</v>
      </c>
      <c r="AB47">
        <v>1463.8267521069611</v>
      </c>
      <c r="AC47">
        <v>367.73118419766223</v>
      </c>
      <c r="AD47">
        <v>231.66177030313807</v>
      </c>
      <c r="AE47">
        <v>291.63924232124691</v>
      </c>
      <c r="AF47">
        <v>195.23960960379645</v>
      </c>
      <c r="AG47">
        <v>1388.7718831993898</v>
      </c>
      <c r="AH47">
        <v>256.77488636148513</v>
      </c>
      <c r="AI47">
        <v>964.41825075055783</v>
      </c>
      <c r="AJ47">
        <v>233.57637098590249</v>
      </c>
      <c r="AK47">
        <v>1185.9883940864026</v>
      </c>
      <c r="AL47">
        <v>489.10570017359879</v>
      </c>
      <c r="AM47">
        <v>902.44521757774748</v>
      </c>
      <c r="AN47">
        <f t="shared" si="38"/>
        <v>10527.038596128312</v>
      </c>
      <c r="AP47">
        <f t="shared" si="39"/>
        <v>0.31468987858944147</v>
      </c>
      <c r="AQ47">
        <f t="shared" si="40"/>
        <v>7.2852602803464145E-2</v>
      </c>
      <c r="AR47">
        <f t="shared" si="41"/>
        <v>0.26667855801374707</v>
      </c>
      <c r="AS47">
        <f t="shared" si="42"/>
        <v>0.19304967025928482</v>
      </c>
      <c r="AT47">
        <f t="shared" si="43"/>
        <v>0.48930618772241508</v>
      </c>
      <c r="AU47">
        <f t="shared" si="44"/>
        <v>0.24495023717279565</v>
      </c>
      <c r="AV47">
        <f t="shared" si="45"/>
        <v>0.33125426269752978</v>
      </c>
      <c r="AW47">
        <f t="shared" si="46"/>
        <v>0.39098142551449733</v>
      </c>
      <c r="AX47">
        <f t="shared" si="47"/>
        <v>0.52316326090117837</v>
      </c>
      <c r="AY47">
        <f t="shared" si="48"/>
        <v>0.27372825106470794</v>
      </c>
      <c r="AZ47">
        <f t="shared" si="49"/>
        <v>0.51300993474298495</v>
      </c>
      <c r="BA47">
        <f t="shared" si="50"/>
        <v>0.23309973115347929</v>
      </c>
      <c r="BB47">
        <f t="shared" si="51"/>
        <v>0.61740099123760461</v>
      </c>
      <c r="BC47">
        <f t="shared" si="52"/>
        <v>0.23562245941037532</v>
      </c>
      <c r="BD47">
        <f t="shared" si="53"/>
        <v>0.30487056381050159</v>
      </c>
      <c r="BE47">
        <f t="shared" si="54"/>
        <v>0.27752124684541335</v>
      </c>
      <c r="BF47">
        <f t="shared" si="55"/>
        <v>0.41800006038936793</v>
      </c>
      <c r="BG47">
        <f t="shared" si="56"/>
        <v>0.33927536935245517</v>
      </c>
      <c r="BI47">
        <f t="shared" si="77"/>
        <v>5.957712345481897E-3</v>
      </c>
      <c r="BJ47">
        <f t="shared" si="78"/>
        <v>0.10256499555860503</v>
      </c>
      <c r="BK47">
        <f t="shared" si="79"/>
        <v>6.721654668230409E-2</v>
      </c>
      <c r="BL47">
        <f t="shared" si="80"/>
        <v>4.3346184998540468E-2</v>
      </c>
      <c r="BM47">
        <f t="shared" si="81"/>
        <v>2.3704525619568696E-2</v>
      </c>
      <c r="BN47">
        <f t="shared" si="82"/>
        <v>0.13905399308076394</v>
      </c>
      <c r="BO47">
        <f t="shared" si="83"/>
        <v>3.4932063831599164E-2</v>
      </c>
      <c r="BP47">
        <f t="shared" si="84"/>
        <v>2.2006357076370921E-2</v>
      </c>
      <c r="BQ47">
        <f t="shared" si="85"/>
        <v>2.7703825692109409E-2</v>
      </c>
      <c r="BR47">
        <f t="shared" si="86"/>
        <v>1.854648938739549E-2</v>
      </c>
      <c r="BS47">
        <f t="shared" si="87"/>
        <v>0.1319242701086096</v>
      </c>
      <c r="BT47">
        <f t="shared" si="88"/>
        <v>2.4391939292017332E-2</v>
      </c>
      <c r="BU47">
        <f t="shared" si="89"/>
        <v>9.1613443034706504E-2</v>
      </c>
      <c r="BV47">
        <f t="shared" si="90"/>
        <v>2.2188231652518913E-2</v>
      </c>
      <c r="BW47">
        <f t="shared" si="91"/>
        <v>0.11266116137567801</v>
      </c>
      <c r="BX47">
        <f t="shared" si="92"/>
        <v>4.6461851137648967E-2</v>
      </c>
      <c r="BY47">
        <f t="shared" si="93"/>
        <v>8.5726409126081607E-2</v>
      </c>
      <c r="CA47">
        <f t="shared" si="94"/>
        <v>5.7377913563696299E-3</v>
      </c>
      <c r="CB47">
        <f t="shared" si="95"/>
        <v>4.7527561860281453E-2</v>
      </c>
      <c r="CC47">
        <f t="shared" si="96"/>
        <v>5.9592839520484338E-2</v>
      </c>
      <c r="CD47">
        <f t="shared" si="97"/>
        <v>3.2697100809811142E-2</v>
      </c>
      <c r="CE47">
        <f t="shared" si="98"/>
        <v>2.8467246140908502E-2</v>
      </c>
      <c r="CF47">
        <f t="shared" si="99"/>
        <v>0.11815340198471477</v>
      </c>
      <c r="CG47">
        <f t="shared" si="100"/>
        <v>3.4516664155450155E-2</v>
      </c>
      <c r="CH47">
        <f t="shared" si="101"/>
        <v>2.3623816058894458E-2</v>
      </c>
      <c r="CI47">
        <f t="shared" si="102"/>
        <v>3.4401881781006623E-2</v>
      </c>
      <c r="CJ47">
        <f t="shared" si="103"/>
        <v>1.6658863154494833E-2</v>
      </c>
      <c r="CK47">
        <f t="shared" si="104"/>
        <v>0.16222262395859027</v>
      </c>
      <c r="CL47">
        <f t="shared" si="105"/>
        <v>2.0218133078095286E-2</v>
      </c>
      <c r="CM47">
        <f t="shared" si="106"/>
        <v>0.12358526706410786</v>
      </c>
      <c r="CN47">
        <f t="shared" si="107"/>
        <v>1.8490764517620238E-2</v>
      </c>
      <c r="CO47">
        <f t="shared" si="108"/>
        <v>0.10679620119664092</v>
      </c>
      <c r="CP47">
        <f t="shared" si="109"/>
        <v>4.2021201126941153E-2</v>
      </c>
      <c r="CQ47" s="25">
        <f t="shared" si="110"/>
        <v>9.5153910023171973E-2</v>
      </c>
      <c r="CR47">
        <f t="shared" si="57"/>
        <v>0.96986526778758364</v>
      </c>
      <c r="CS47">
        <f t="shared" si="58"/>
        <v>3.013473221241636E-2</v>
      </c>
      <c r="DC47">
        <f t="shared" si="59"/>
        <v>0.92753529143616331</v>
      </c>
      <c r="DD47">
        <f t="shared" si="60"/>
        <v>0.21473000808314335</v>
      </c>
      <c r="DE47">
        <f t="shared" si="61"/>
        <v>0.78602392659017006</v>
      </c>
      <c r="DF47">
        <f t="shared" si="62"/>
        <v>0.56900585099278389</v>
      </c>
      <c r="DG47">
        <f t="shared" si="63"/>
        <v>1.4422095793641325</v>
      </c>
      <c r="DH47">
        <f t="shared" si="64"/>
        <v>0.72198060719913282</v>
      </c>
      <c r="DI47">
        <f t="shared" si="65"/>
        <v>0.9763581226947462</v>
      </c>
      <c r="DJ47">
        <f t="shared" si="66"/>
        <v>1.1524014438794332</v>
      </c>
      <c r="DK47">
        <f t="shared" si="67"/>
        <v>1.5420018903809425</v>
      </c>
      <c r="DL47">
        <f t="shared" si="68"/>
        <v>0.80680260281537319</v>
      </c>
      <c r="DM47">
        <f t="shared" si="69"/>
        <v>1.5120753850246234</v>
      </c>
      <c r="DN47">
        <f t="shared" si="70"/>
        <v>0.68705173499147931</v>
      </c>
      <c r="DO47">
        <f t="shared" si="71"/>
        <v>1.8197636698944082</v>
      </c>
      <c r="DP47">
        <f t="shared" si="72"/>
        <v>0.69448737130575389</v>
      </c>
      <c r="DQ47">
        <f t="shared" si="73"/>
        <v>0.89859327068858852</v>
      </c>
      <c r="DR47">
        <f t="shared" si="74"/>
        <v>0.81798229967325231</v>
      </c>
      <c r="DS47">
        <f t="shared" si="75"/>
        <v>1.2320377432265939</v>
      </c>
    </row>
    <row r="48" spans="1:124" x14ac:dyDescent="0.25">
      <c r="A48" t="s">
        <v>157</v>
      </c>
      <c r="B48" s="26">
        <f t="shared" si="76"/>
        <v>41061</v>
      </c>
      <c r="D48">
        <v>19.037228534058201</v>
      </c>
      <c r="E48">
        <v>70.586726438332335</v>
      </c>
      <c r="F48">
        <v>187.60438141315367</v>
      </c>
      <c r="G48">
        <v>101.827595963852</v>
      </c>
      <c r="H48">
        <v>126.7865138950404</v>
      </c>
      <c r="I48">
        <v>343.17667416451781</v>
      </c>
      <c r="J48">
        <v>106.02896556699898</v>
      </c>
      <c r="K48">
        <v>100.87390907786586</v>
      </c>
      <c r="L48">
        <v>179.62267438737351</v>
      </c>
      <c r="M48">
        <v>52.063649388267343</v>
      </c>
      <c r="N48">
        <v>713.78211329626163</v>
      </c>
      <c r="O48">
        <v>56.481639577793146</v>
      </c>
      <c r="P48">
        <v>633.1557658667856</v>
      </c>
      <c r="Q48">
        <v>55.538667139606247</v>
      </c>
      <c r="R48">
        <v>393.22907886073523</v>
      </c>
      <c r="S48">
        <v>160.71944074897644</v>
      </c>
      <c r="T48">
        <v>368.93508326428059</v>
      </c>
      <c r="U48">
        <f t="shared" si="37"/>
        <v>3669.4501075838989</v>
      </c>
      <c r="W48">
        <v>45.841158678431249</v>
      </c>
      <c r="X48">
        <v>1176.4566497658964</v>
      </c>
      <c r="Y48">
        <v>665.76709830768687</v>
      </c>
      <c r="Z48">
        <v>413.44549770035655</v>
      </c>
      <c r="AA48">
        <v>230.16180435095075</v>
      </c>
      <c r="AB48">
        <v>1438.4851206294418</v>
      </c>
      <c r="AC48">
        <v>458.50654033697464</v>
      </c>
      <c r="AD48">
        <v>227.53062067171922</v>
      </c>
      <c r="AE48">
        <v>320.71364163021548</v>
      </c>
      <c r="AF48">
        <v>164.83445122891249</v>
      </c>
      <c r="AG48">
        <v>1370.3867903888968</v>
      </c>
      <c r="AH48">
        <v>269.639213972498</v>
      </c>
      <c r="AI48">
        <v>932.45528978862637</v>
      </c>
      <c r="AJ48">
        <v>254.66511246393983</v>
      </c>
      <c r="AK48">
        <v>1093.8300575902238</v>
      </c>
      <c r="AL48">
        <v>499.35376009457804</v>
      </c>
      <c r="AM48">
        <v>956.3814799000744</v>
      </c>
      <c r="AN48">
        <f t="shared" si="38"/>
        <v>10518.454287499422</v>
      </c>
      <c r="AP48">
        <f t="shared" si="39"/>
        <v>0.41528680955910086</v>
      </c>
      <c r="AQ48">
        <f t="shared" si="40"/>
        <v>5.9999428327748766E-2</v>
      </c>
      <c r="AR48">
        <f t="shared" si="41"/>
        <v>0.28178680185612232</v>
      </c>
      <c r="AS48">
        <f t="shared" si="42"/>
        <v>0.24629025235546589</v>
      </c>
      <c r="AT48">
        <f t="shared" si="43"/>
        <v>0.55085818540819353</v>
      </c>
      <c r="AU48">
        <f t="shared" si="44"/>
        <v>0.23856810838220771</v>
      </c>
      <c r="AV48">
        <f t="shared" si="45"/>
        <v>0.23124853462084552</v>
      </c>
      <c r="AW48">
        <f t="shared" si="46"/>
        <v>0.44334212590843569</v>
      </c>
      <c r="AX48">
        <f t="shared" si="47"/>
        <v>0.5600718244298426</v>
      </c>
      <c r="AY48">
        <f t="shared" si="48"/>
        <v>0.31585417368826846</v>
      </c>
      <c r="AZ48">
        <f t="shared" si="49"/>
        <v>0.52086178756415202</v>
      </c>
      <c r="BA48">
        <f t="shared" si="50"/>
        <v>0.20947116239388691</v>
      </c>
      <c r="BB48">
        <f t="shared" si="51"/>
        <v>0.67901997318317808</v>
      </c>
      <c r="BC48">
        <f t="shared" si="52"/>
        <v>0.21808510244005422</v>
      </c>
      <c r="BD48">
        <f t="shared" si="53"/>
        <v>0.35949741564703713</v>
      </c>
      <c r="BE48">
        <f t="shared" si="54"/>
        <v>0.32185487242258082</v>
      </c>
      <c r="BF48">
        <f t="shared" si="55"/>
        <v>0.38576142576791433</v>
      </c>
      <c r="BG48">
        <f t="shared" si="56"/>
        <v>0.34885830249267985</v>
      </c>
      <c r="BI48">
        <f t="shared" si="77"/>
        <v>4.3581649380661216E-3</v>
      </c>
      <c r="BJ48">
        <f t="shared" si="78"/>
        <v>0.11184691377744042</v>
      </c>
      <c r="BK48">
        <f t="shared" si="79"/>
        <v>6.3295145856070573E-2</v>
      </c>
      <c r="BL48">
        <f t="shared" si="80"/>
        <v>3.9306678186709687E-2</v>
      </c>
      <c r="BM48">
        <f t="shared" si="81"/>
        <v>2.1881713611141971E-2</v>
      </c>
      <c r="BN48">
        <f t="shared" si="82"/>
        <v>0.13675822333886059</v>
      </c>
      <c r="BO48">
        <f t="shared" si="83"/>
        <v>4.3590676710159142E-2</v>
      </c>
      <c r="BP48">
        <f t="shared" si="84"/>
        <v>2.1631564339460625E-2</v>
      </c>
      <c r="BQ48">
        <f t="shared" si="85"/>
        <v>3.0490567612331137E-2</v>
      </c>
      <c r="BR48">
        <f t="shared" si="86"/>
        <v>1.5670976621042956E-2</v>
      </c>
      <c r="BS48">
        <f t="shared" si="87"/>
        <v>0.13028404677458386</v>
      </c>
      <c r="BT48">
        <f t="shared" si="88"/>
        <v>2.5634870542998765E-2</v>
      </c>
      <c r="BU48">
        <f t="shared" si="89"/>
        <v>8.8649459730675048E-2</v>
      </c>
      <c r="BV48">
        <f t="shared" si="90"/>
        <v>2.4211267692306717E-2</v>
      </c>
      <c r="BW48">
        <f t="shared" si="91"/>
        <v>0.10399152077793197</v>
      </c>
      <c r="BX48">
        <f t="shared" si="92"/>
        <v>4.7474062865684674E-2</v>
      </c>
      <c r="BY48">
        <f t="shared" si="93"/>
        <v>9.0924146624535768E-2</v>
      </c>
      <c r="CA48">
        <f t="shared" si="94"/>
        <v>4.7550293222549276E-3</v>
      </c>
      <c r="CB48">
        <f t="shared" si="95"/>
        <v>4.6384516032387434E-2</v>
      </c>
      <c r="CC48">
        <f t="shared" si="96"/>
        <v>5.6886104844678903E-2</v>
      </c>
      <c r="CD48">
        <f t="shared" si="97"/>
        <v>3.3026718388603771E-2</v>
      </c>
      <c r="CE48">
        <f t="shared" si="98"/>
        <v>2.7496454741650442E-2</v>
      </c>
      <c r="CF48">
        <f t="shared" si="99"/>
        <v>0.11309284046185532</v>
      </c>
      <c r="CG48">
        <f t="shared" si="100"/>
        <v>3.5490210415578385E-2</v>
      </c>
      <c r="CH48">
        <f t="shared" si="101"/>
        <v>2.438556911894366E-2</v>
      </c>
      <c r="CI48">
        <f t="shared" si="102"/>
        <v>3.8633391953542935E-2</v>
      </c>
      <c r="CJ48">
        <f t="shared" si="103"/>
        <v>1.491127710737448E-2</v>
      </c>
      <c r="CK48">
        <f t="shared" si="104"/>
        <v>0.15919446241664839</v>
      </c>
      <c r="CL48">
        <f t="shared" si="105"/>
        <v>1.986409201545072E-2</v>
      </c>
      <c r="CM48">
        <f t="shared" si="106"/>
        <v>0.12367810891707301</v>
      </c>
      <c r="CN48">
        <f t="shared" si="107"/>
        <v>1.9142823615320121E-2</v>
      </c>
      <c r="CO48">
        <f t="shared" si="108"/>
        <v>0.10556532379349759</v>
      </c>
      <c r="CP48">
        <f t="shared" si="109"/>
        <v>4.5599692392009429E-2</v>
      </c>
      <c r="CQ48" s="25">
        <f t="shared" si="110"/>
        <v>9.5612373892056304E-2</v>
      </c>
      <c r="CR48">
        <f t="shared" si="57"/>
        <v>0.96371898942892587</v>
      </c>
      <c r="CS48">
        <f t="shared" si="58"/>
        <v>3.6281010571074135E-2</v>
      </c>
      <c r="DC48">
        <f t="shared" si="59"/>
        <v>1.1904168729589426</v>
      </c>
      <c r="DD48">
        <f t="shared" si="60"/>
        <v>0.17198796158508436</v>
      </c>
      <c r="DE48">
        <f t="shared" si="61"/>
        <v>0.8077399902558865</v>
      </c>
      <c r="DF48">
        <f t="shared" si="62"/>
        <v>0.70598936759039532</v>
      </c>
      <c r="DG48">
        <f t="shared" si="63"/>
        <v>1.5790313186533729</v>
      </c>
      <c r="DH48">
        <f t="shared" si="64"/>
        <v>0.68385389333600177</v>
      </c>
      <c r="DI48">
        <f t="shared" si="65"/>
        <v>0.6628723839120837</v>
      </c>
      <c r="DJ48">
        <f t="shared" si="66"/>
        <v>1.2708372503696925</v>
      </c>
      <c r="DK48">
        <f t="shared" si="67"/>
        <v>1.6054421535276338</v>
      </c>
      <c r="DL48">
        <f t="shared" si="68"/>
        <v>0.90539388465577963</v>
      </c>
      <c r="DM48">
        <f t="shared" si="69"/>
        <v>1.4930468440695384</v>
      </c>
      <c r="DN48">
        <f t="shared" si="70"/>
        <v>0.600447691504439</v>
      </c>
      <c r="DO48">
        <f t="shared" si="71"/>
        <v>1.9464062294960747</v>
      </c>
      <c r="DP48">
        <f t="shared" si="72"/>
        <v>0.62513949326067808</v>
      </c>
      <c r="DQ48">
        <f t="shared" si="73"/>
        <v>1.0304969469791549</v>
      </c>
      <c r="DR48">
        <f t="shared" si="74"/>
        <v>0.9225948476010094</v>
      </c>
      <c r="DS48">
        <f t="shared" si="75"/>
        <v>1.1057825570197195</v>
      </c>
    </row>
    <row r="49" spans="1:123" x14ac:dyDescent="0.25">
      <c r="A49" t="s">
        <v>158</v>
      </c>
      <c r="B49" s="26">
        <f t="shared" si="76"/>
        <v>41153</v>
      </c>
      <c r="D49">
        <v>14.85765977871606</v>
      </c>
      <c r="E49">
        <v>76.855964771509321</v>
      </c>
      <c r="F49">
        <v>157.58778406073546</v>
      </c>
      <c r="G49">
        <v>96.60264269272767</v>
      </c>
      <c r="H49">
        <v>138.02878172405403</v>
      </c>
      <c r="I49">
        <v>356.81143756132678</v>
      </c>
      <c r="J49">
        <v>111.73837448224974</v>
      </c>
      <c r="K49">
        <v>102.62186098740631</v>
      </c>
      <c r="L49">
        <v>201.13232375303792</v>
      </c>
      <c r="M49">
        <v>61.663770814963023</v>
      </c>
      <c r="N49">
        <v>653.81167045011398</v>
      </c>
      <c r="O49">
        <v>70.80594994882091</v>
      </c>
      <c r="P49">
        <v>604.10968089192841</v>
      </c>
      <c r="Q49">
        <v>52.123968887993954</v>
      </c>
      <c r="R49">
        <v>365.27630152456021</v>
      </c>
      <c r="S49">
        <v>113.99467998491464</v>
      </c>
      <c r="T49">
        <v>398.29456471722455</v>
      </c>
      <c r="U49">
        <f t="shared" si="37"/>
        <v>3576.3174170322827</v>
      </c>
      <c r="W49">
        <v>67.631214719312524</v>
      </c>
      <c r="X49">
        <v>1151.4907816634734</v>
      </c>
      <c r="Y49">
        <v>700.4000853547177</v>
      </c>
      <c r="Z49">
        <v>427.69034097952255</v>
      </c>
      <c r="AA49">
        <v>218.65478042292725</v>
      </c>
      <c r="AB49">
        <v>1499.1624967960881</v>
      </c>
      <c r="AC49">
        <v>406.38631134446587</v>
      </c>
      <c r="AD49">
        <v>197.43251701320594</v>
      </c>
      <c r="AE49">
        <v>306.20798059596933</v>
      </c>
      <c r="AF49">
        <v>145.39998010851713</v>
      </c>
      <c r="AG49">
        <v>1372.0663804990181</v>
      </c>
      <c r="AH49">
        <v>295.50933509628612</v>
      </c>
      <c r="AI49">
        <v>911.12403094281979</v>
      </c>
      <c r="AJ49">
        <v>250.38572859276584</v>
      </c>
      <c r="AK49">
        <v>1164.1111065098412</v>
      </c>
      <c r="AL49">
        <v>438.87678249542188</v>
      </c>
      <c r="AM49">
        <v>872.85941238384885</v>
      </c>
      <c r="AN49">
        <f t="shared" si="38"/>
        <v>10425.389265518201</v>
      </c>
      <c r="AP49">
        <f t="shared" si="39"/>
        <v>0.21968642497963831</v>
      </c>
      <c r="AQ49">
        <f t="shared" si="40"/>
        <v>6.6744750366547617E-2</v>
      </c>
      <c r="AR49">
        <f t="shared" si="41"/>
        <v>0.22499680876098851</v>
      </c>
      <c r="AS49">
        <f t="shared" si="42"/>
        <v>0.22587052695995519</v>
      </c>
      <c r="AT49">
        <f t="shared" si="43"/>
        <v>0.63126349882255262</v>
      </c>
      <c r="AU49">
        <f t="shared" si="44"/>
        <v>0.23800717955784034</v>
      </c>
      <c r="AV49">
        <f t="shared" si="45"/>
        <v>0.27495604887029956</v>
      </c>
      <c r="AW49">
        <f t="shared" si="46"/>
        <v>0.51978196165397672</v>
      </c>
      <c r="AX49">
        <f t="shared" si="47"/>
        <v>0.65684873190299031</v>
      </c>
      <c r="AY49">
        <f t="shared" si="48"/>
        <v>0.42409751891947428</v>
      </c>
      <c r="AZ49">
        <f t="shared" si="49"/>
        <v>0.47651606346649483</v>
      </c>
      <c r="BA49">
        <f t="shared" si="50"/>
        <v>0.23960647444775351</v>
      </c>
      <c r="BB49">
        <f t="shared" si="51"/>
        <v>0.66303780865795325</v>
      </c>
      <c r="BC49">
        <f t="shared" si="52"/>
        <v>0.20817467984674876</v>
      </c>
      <c r="BD49">
        <f t="shared" si="53"/>
        <v>0.31378130444928648</v>
      </c>
      <c r="BE49">
        <f t="shared" si="54"/>
        <v>0.25974187865839948</v>
      </c>
      <c r="BF49">
        <f t="shared" si="55"/>
        <v>0.45631009881585655</v>
      </c>
      <c r="BG49">
        <f t="shared" si="56"/>
        <v>0.34303922145726418</v>
      </c>
      <c r="BI49">
        <f t="shared" si="77"/>
        <v>6.4871644594606771E-3</v>
      </c>
      <c r="BJ49">
        <f t="shared" si="78"/>
        <v>0.11045062705447457</v>
      </c>
      <c r="BK49">
        <f t="shared" si="79"/>
        <v>6.7182151909788074E-2</v>
      </c>
      <c r="BL49">
        <f t="shared" si="80"/>
        <v>4.1023920554611917E-2</v>
      </c>
      <c r="BM49">
        <f t="shared" si="81"/>
        <v>2.0973296521994075E-2</v>
      </c>
      <c r="BN49">
        <f t="shared" si="82"/>
        <v>0.14379918664088093</v>
      </c>
      <c r="BO49">
        <f t="shared" si="83"/>
        <v>3.8980444853851333E-2</v>
      </c>
      <c r="BP49">
        <f t="shared" si="84"/>
        <v>1.8937663811385026E-2</v>
      </c>
      <c r="BQ49">
        <f t="shared" si="85"/>
        <v>2.9371371446891396E-2</v>
      </c>
      <c r="BR49">
        <f t="shared" si="86"/>
        <v>1.3946719532998648E-2</v>
      </c>
      <c r="BS49">
        <f t="shared" si="87"/>
        <v>0.13160816786353527</v>
      </c>
      <c r="BT49">
        <f t="shared" si="88"/>
        <v>2.8345160796410574E-2</v>
      </c>
      <c r="BU49">
        <f t="shared" si="89"/>
        <v>8.7394725293984676E-2</v>
      </c>
      <c r="BV49">
        <f t="shared" si="90"/>
        <v>2.4016918909772741E-2</v>
      </c>
      <c r="BW49">
        <f t="shared" si="91"/>
        <v>0.11166116457254206</v>
      </c>
      <c r="BX49">
        <f t="shared" si="92"/>
        <v>4.2096920442769407E-2</v>
      </c>
      <c r="BY49">
        <f t="shared" si="93"/>
        <v>8.3724395334648719E-2</v>
      </c>
      <c r="CA49">
        <f t="shared" si="94"/>
        <v>5.1914016383635972E-3</v>
      </c>
      <c r="CB49">
        <f t="shared" si="95"/>
        <v>4.87197278150251E-2</v>
      </c>
      <c r="CC49">
        <f t="shared" si="96"/>
        <v>5.4408931949424665E-2</v>
      </c>
      <c r="CD49">
        <f t="shared" si="97"/>
        <v>3.3288563616612823E-2</v>
      </c>
      <c r="CE49">
        <f t="shared" si="98"/>
        <v>2.8451171073478086E-2</v>
      </c>
      <c r="CF49">
        <f t="shared" si="99"/>
        <v>0.11977869290959056</v>
      </c>
      <c r="CG49">
        <f t="shared" si="100"/>
        <v>3.489848237226207E-2</v>
      </c>
      <c r="CH49">
        <f t="shared" si="101"/>
        <v>2.3311226031154104E-2</v>
      </c>
      <c r="CI49">
        <f t="shared" si="102"/>
        <v>4.064293096380997E-2</v>
      </c>
      <c r="CJ49">
        <f t="shared" si="103"/>
        <v>1.550718772073926E-2</v>
      </c>
      <c r="CK49">
        <f t="shared" si="104"/>
        <v>0.15511354626730339</v>
      </c>
      <c r="CL49">
        <f t="shared" si="105"/>
        <v>2.3689522695370113E-2</v>
      </c>
      <c r="CM49">
        <f t="shared" si="106"/>
        <v>0.12150173501764197</v>
      </c>
      <c r="CN49">
        <f t="shared" si="107"/>
        <v>1.8709378257009177E-2</v>
      </c>
      <c r="CO49">
        <f t="shared" si="108"/>
        <v>0.10679324818766076</v>
      </c>
      <c r="CP49">
        <f t="shared" si="109"/>
        <v>3.6631054955270151E-2</v>
      </c>
      <c r="CQ49" s="25">
        <f t="shared" si="110"/>
        <v>9.6562871273694478E-2</v>
      </c>
      <c r="CR49">
        <f t="shared" si="57"/>
        <v>0.96319967274441021</v>
      </c>
      <c r="CS49">
        <f t="shared" si="58"/>
        <v>3.6800327255589793E-2</v>
      </c>
      <c r="DC49">
        <f t="shared" si="59"/>
        <v>0.64041197401973127</v>
      </c>
      <c r="DD49">
        <f t="shared" si="60"/>
        <v>0.19456886032742665</v>
      </c>
      <c r="DE49">
        <f t="shared" si="61"/>
        <v>0.65589237232168396</v>
      </c>
      <c r="DF49">
        <f t="shared" si="62"/>
        <v>0.65843936445644635</v>
      </c>
      <c r="DG49">
        <f t="shared" si="63"/>
        <v>1.8402079393163369</v>
      </c>
      <c r="DH49">
        <f t="shared" si="64"/>
        <v>0.69381914565559755</v>
      </c>
      <c r="DI49">
        <f t="shared" si="65"/>
        <v>0.80152948022170578</v>
      </c>
      <c r="DJ49">
        <f t="shared" si="66"/>
        <v>1.5152260416342251</v>
      </c>
      <c r="DK49">
        <f t="shared" si="67"/>
        <v>1.9147919270357268</v>
      </c>
      <c r="DL49">
        <f t="shared" si="68"/>
        <v>1.2362945470721001</v>
      </c>
      <c r="DM49">
        <f t="shared" si="69"/>
        <v>1.389100818974017</v>
      </c>
      <c r="DN49">
        <f t="shared" si="70"/>
        <v>0.69848127986613828</v>
      </c>
      <c r="DO49">
        <f t="shared" si="71"/>
        <v>1.9328338195303258</v>
      </c>
      <c r="DP49">
        <f t="shared" si="72"/>
        <v>0.60685387216774322</v>
      </c>
      <c r="DQ49">
        <f t="shared" si="73"/>
        <v>0.91470970321210732</v>
      </c>
      <c r="DR49">
        <f t="shared" si="74"/>
        <v>0.7571783703186783</v>
      </c>
      <c r="DS49">
        <f t="shared" si="75"/>
        <v>1.3301980364735164</v>
      </c>
    </row>
    <row r="50" spans="1:123" x14ac:dyDescent="0.25">
      <c r="A50" t="s">
        <v>159</v>
      </c>
      <c r="B50" s="26">
        <f t="shared" si="76"/>
        <v>41244</v>
      </c>
      <c r="D50">
        <v>16.915167238993995</v>
      </c>
      <c r="E50">
        <v>98.385029806221397</v>
      </c>
      <c r="F50">
        <v>168.10940573807173</v>
      </c>
      <c r="G50">
        <v>92.785809778526229</v>
      </c>
      <c r="H50">
        <v>134.83587065898018</v>
      </c>
      <c r="I50">
        <v>417.67601140753942</v>
      </c>
      <c r="J50">
        <v>116.00990894599495</v>
      </c>
      <c r="K50">
        <v>96.804064873987897</v>
      </c>
      <c r="L50">
        <v>199.03878371881683</v>
      </c>
      <c r="M50">
        <v>59.91849820871176</v>
      </c>
      <c r="N50">
        <v>619.16370407836575</v>
      </c>
      <c r="O50">
        <v>59.952529505677944</v>
      </c>
      <c r="P50">
        <v>619.92767317600419</v>
      </c>
      <c r="Q50">
        <v>54.035789504265288</v>
      </c>
      <c r="R50">
        <v>401.34262293345319</v>
      </c>
      <c r="S50">
        <v>143.66230525300477</v>
      </c>
      <c r="T50">
        <v>376.72989332430296</v>
      </c>
      <c r="U50">
        <f t="shared" si="37"/>
        <v>3675.2930681509183</v>
      </c>
      <c r="W50">
        <v>60.315387989867553</v>
      </c>
      <c r="X50">
        <v>1057.1374231599043</v>
      </c>
      <c r="Y50">
        <v>692.69291864293211</v>
      </c>
      <c r="Z50">
        <v>416.14819937929718</v>
      </c>
      <c r="AA50">
        <v>198.64394508759418</v>
      </c>
      <c r="AB50">
        <v>1334.7649664071657</v>
      </c>
      <c r="AC50">
        <v>411.19368301002743</v>
      </c>
      <c r="AD50">
        <v>216.06975938060339</v>
      </c>
      <c r="AE50">
        <v>289.3704444811753</v>
      </c>
      <c r="AF50">
        <v>145.77450700229602</v>
      </c>
      <c r="AG50">
        <v>1287.6212016127731</v>
      </c>
      <c r="AH50">
        <v>326.47152658158029</v>
      </c>
      <c r="AI50">
        <v>940.14274014061664</v>
      </c>
      <c r="AJ50">
        <v>230.46961734201076</v>
      </c>
      <c r="AK50">
        <v>1194.6418826004531</v>
      </c>
      <c r="AL50">
        <v>454.38975262865711</v>
      </c>
      <c r="AM50">
        <v>938.7035638210092</v>
      </c>
      <c r="AN50">
        <f t="shared" si="38"/>
        <v>10194.551519267963</v>
      </c>
      <c r="AP50">
        <f t="shared" si="39"/>
        <v>0.28044530264541434</v>
      </c>
      <c r="AQ50">
        <f t="shared" si="40"/>
        <v>9.3067398477046939E-2</v>
      </c>
      <c r="AR50">
        <f t="shared" si="41"/>
        <v>0.24268965542107471</v>
      </c>
      <c r="AS50">
        <f t="shared" si="42"/>
        <v>0.22296338159559559</v>
      </c>
      <c r="AT50">
        <f t="shared" si="43"/>
        <v>0.67878167944924206</v>
      </c>
      <c r="AU50">
        <f t="shared" si="44"/>
        <v>0.31292101749704504</v>
      </c>
      <c r="AV50">
        <f t="shared" si="45"/>
        <v>0.28212959911440544</v>
      </c>
      <c r="AW50">
        <f t="shared" si="46"/>
        <v>0.44802227369295627</v>
      </c>
      <c r="AX50">
        <f t="shared" si="47"/>
        <v>0.68783383899375772</v>
      </c>
      <c r="AY50">
        <f t="shared" si="48"/>
        <v>0.41103550573330366</v>
      </c>
      <c r="AZ50">
        <f t="shared" si="49"/>
        <v>0.48085858115946672</v>
      </c>
      <c r="BA50">
        <f t="shared" si="50"/>
        <v>0.18363785085158632</v>
      </c>
      <c r="BB50">
        <f t="shared" si="51"/>
        <v>0.65939739436086264</v>
      </c>
      <c r="BC50">
        <f t="shared" si="52"/>
        <v>0.23445949243746789</v>
      </c>
      <c r="BD50">
        <f t="shared" si="53"/>
        <v>0.33595224542088309</v>
      </c>
      <c r="BE50">
        <f t="shared" si="54"/>
        <v>0.3161653721764508</v>
      </c>
      <c r="BF50">
        <f t="shared" si="55"/>
        <v>0.40132999153728294</v>
      </c>
      <c r="BG50">
        <f t="shared" si="56"/>
        <v>0.36051542446026391</v>
      </c>
      <c r="BI50">
        <f t="shared" si="77"/>
        <v>5.9164336828226262E-3</v>
      </c>
      <c r="BJ50">
        <f t="shared" si="78"/>
        <v>0.10369631475812227</v>
      </c>
      <c r="BK50">
        <f t="shared" si="79"/>
        <v>6.7947365544597502E-2</v>
      </c>
      <c r="BL50">
        <f t="shared" si="80"/>
        <v>4.0820648028779535E-2</v>
      </c>
      <c r="BM50">
        <f t="shared" si="81"/>
        <v>1.9485304940796273E-2</v>
      </c>
      <c r="BN50">
        <f t="shared" si="82"/>
        <v>0.13092924822484106</v>
      </c>
      <c r="BO50">
        <f t="shared" si="83"/>
        <v>4.0334651527618538E-2</v>
      </c>
      <c r="BP50">
        <f t="shared" si="84"/>
        <v>2.1194631168641995E-2</v>
      </c>
      <c r="BQ50">
        <f t="shared" si="85"/>
        <v>2.8384813587361616E-2</v>
      </c>
      <c r="BR50">
        <f t="shared" si="86"/>
        <v>1.4299256492723438E-2</v>
      </c>
      <c r="BS50">
        <f t="shared" si="87"/>
        <v>0.12630484030407185</v>
      </c>
      <c r="BT50">
        <f t="shared" si="88"/>
        <v>3.2024118566132187E-2</v>
      </c>
      <c r="BU50">
        <f t="shared" si="89"/>
        <v>9.2220117615151864E-2</v>
      </c>
      <c r="BV50">
        <f t="shared" si="90"/>
        <v>2.2607136459746886E-2</v>
      </c>
      <c r="BW50">
        <f t="shared" si="91"/>
        <v>0.1171843489478227</v>
      </c>
      <c r="BX50">
        <f t="shared" si="92"/>
        <v>4.457182366186966E-2</v>
      </c>
      <c r="BY50">
        <f t="shared" si="93"/>
        <v>9.2078946488900026E-2</v>
      </c>
      <c r="CA50">
        <f t="shared" si="94"/>
        <v>5.2182173049615827E-3</v>
      </c>
      <c r="CB50">
        <f t="shared" si="95"/>
        <v>5.268660131691244E-2</v>
      </c>
      <c r="CC50">
        <f t="shared" si="96"/>
        <v>5.5748903542785243E-2</v>
      </c>
      <c r="CD50">
        <f t="shared" si="97"/>
        <v>3.2102195916852316E-2</v>
      </c>
      <c r="CE50">
        <f t="shared" si="98"/>
        <v>2.6736856033047679E-2</v>
      </c>
      <c r="CF50">
        <f t="shared" si="99"/>
        <v>0.12198097934566182</v>
      </c>
      <c r="CG50">
        <f t="shared" si="100"/>
        <v>3.5681303359960351E-2</v>
      </c>
      <c r="CH50">
        <f t="shared" si="101"/>
        <v>2.3627280702957359E-2</v>
      </c>
      <c r="CI50">
        <f t="shared" si="102"/>
        <v>3.9207205594499965E-2</v>
      </c>
      <c r="CJ50">
        <f t="shared" si="103"/>
        <v>1.5268318129911057E-2</v>
      </c>
      <c r="CK50">
        <f t="shared" si="104"/>
        <v>0.14587025902759507</v>
      </c>
      <c r="CL50">
        <f t="shared" si="105"/>
        <v>2.2855796496717547E-2</v>
      </c>
      <c r="CM50">
        <f t="shared" si="106"/>
        <v>0.12472036117718047</v>
      </c>
      <c r="CN50">
        <f t="shared" si="107"/>
        <v>1.8231295937582655E-2</v>
      </c>
      <c r="CO50">
        <f t="shared" si="108"/>
        <v>0.11312183993349313</v>
      </c>
      <c r="CP50">
        <f t="shared" si="109"/>
        <v>4.1740306097481576E-2</v>
      </c>
      <c r="CQ50" s="25">
        <f t="shared" si="110"/>
        <v>9.7151436026366916E-2</v>
      </c>
      <c r="CR50">
        <f t="shared" si="57"/>
        <v>0.97194915594396714</v>
      </c>
      <c r="CS50">
        <f t="shared" si="58"/>
        <v>2.8050844056032864E-2</v>
      </c>
      <c r="DC50">
        <f t="shared" si="59"/>
        <v>0.77790098181034995</v>
      </c>
      <c r="DD50">
        <f t="shared" si="60"/>
        <v>0.25815094767825902</v>
      </c>
      <c r="DE50">
        <f t="shared" si="61"/>
        <v>0.67317412503060325</v>
      </c>
      <c r="DF50">
        <f t="shared" si="62"/>
        <v>0.61845725998935908</v>
      </c>
      <c r="DG50">
        <f t="shared" si="63"/>
        <v>1.8828089823492629</v>
      </c>
      <c r="DH50">
        <f t="shared" si="64"/>
        <v>0.86798232826106236</v>
      </c>
      <c r="DI50">
        <f t="shared" si="65"/>
        <v>0.78257289417446774</v>
      </c>
      <c r="DJ50">
        <f t="shared" si="66"/>
        <v>1.2427270604682197</v>
      </c>
      <c r="DK50">
        <f t="shared" si="67"/>
        <v>1.9079179206369044</v>
      </c>
      <c r="DL50">
        <f t="shared" si="68"/>
        <v>1.1401329259314621</v>
      </c>
      <c r="DM50">
        <f t="shared" si="69"/>
        <v>1.3338086210302136</v>
      </c>
      <c r="DN50">
        <f t="shared" si="70"/>
        <v>0.50937585021921006</v>
      </c>
      <c r="DO50">
        <f t="shared" si="71"/>
        <v>1.8290407278636189</v>
      </c>
      <c r="DP50">
        <f t="shared" si="72"/>
        <v>0.65034524608338928</v>
      </c>
      <c r="DQ50">
        <f t="shared" si="73"/>
        <v>0.93186649620843565</v>
      </c>
      <c r="DR50">
        <f t="shared" si="74"/>
        <v>0.87698154010966212</v>
      </c>
      <c r="DS50">
        <f t="shared" si="75"/>
        <v>1.1132117083149036</v>
      </c>
    </row>
    <row r="51" spans="1:123" x14ac:dyDescent="0.25">
      <c r="A51" t="s">
        <v>160</v>
      </c>
      <c r="B51" s="26">
        <f t="shared" si="76"/>
        <v>41334</v>
      </c>
      <c r="D51">
        <v>17.74839562029733</v>
      </c>
      <c r="E51">
        <v>107.73636624233627</v>
      </c>
      <c r="F51">
        <v>177.65730527336052</v>
      </c>
      <c r="G51">
        <v>90.320365059265569</v>
      </c>
      <c r="H51">
        <v>121.75258338122791</v>
      </c>
      <c r="I51">
        <v>397.5198117004561</v>
      </c>
      <c r="J51">
        <v>132.43985287470426</v>
      </c>
      <c r="K51">
        <v>88.630712868499856</v>
      </c>
      <c r="L51">
        <v>205.653099430612</v>
      </c>
      <c r="M51">
        <v>59.943830124706629</v>
      </c>
      <c r="N51">
        <v>708.52463227798216</v>
      </c>
      <c r="O51">
        <v>60.180735876499121</v>
      </c>
      <c r="P51">
        <v>590.26885823111445</v>
      </c>
      <c r="Q51">
        <v>54.649033316455508</v>
      </c>
      <c r="R51">
        <v>418.84299208853935</v>
      </c>
      <c r="S51">
        <v>154.42585654399861</v>
      </c>
      <c r="T51">
        <v>406.97920801584149</v>
      </c>
      <c r="U51">
        <f t="shared" si="37"/>
        <v>3793.2736389258966</v>
      </c>
      <c r="W51">
        <v>67.103019253255312</v>
      </c>
      <c r="X51">
        <v>951.69450012989864</v>
      </c>
      <c r="Y51">
        <v>611.05098391070044</v>
      </c>
      <c r="Z51">
        <v>409.88376896212986</v>
      </c>
      <c r="AA51">
        <v>202.78168182535146</v>
      </c>
      <c r="AB51">
        <v>1311.5828278248057</v>
      </c>
      <c r="AC51">
        <v>422.47185544341937</v>
      </c>
      <c r="AD51">
        <v>171.14055891123215</v>
      </c>
      <c r="AE51">
        <v>272.65774765575344</v>
      </c>
      <c r="AF51">
        <v>167.5574574134566</v>
      </c>
      <c r="AG51">
        <v>1350.5125711362143</v>
      </c>
      <c r="AH51">
        <v>271.51347005958024</v>
      </c>
      <c r="AI51">
        <v>924.3069675283067</v>
      </c>
      <c r="AJ51">
        <v>255.37682590343806</v>
      </c>
      <c r="AK51">
        <v>1179.1346070958346</v>
      </c>
      <c r="AL51">
        <v>469.61634072702617</v>
      </c>
      <c r="AM51">
        <v>901.82176452695637</v>
      </c>
      <c r="AN51">
        <f t="shared" si="38"/>
        <v>9940.2069483073592</v>
      </c>
      <c r="AP51">
        <f t="shared" si="39"/>
        <v>0.26449473984639399</v>
      </c>
      <c r="AQ51">
        <f t="shared" si="40"/>
        <v>0.11320477971411112</v>
      </c>
      <c r="AR51">
        <f t="shared" si="41"/>
        <v>0.29074056003700588</v>
      </c>
      <c r="AS51">
        <f t="shared" si="42"/>
        <v>0.22035604212376236</v>
      </c>
      <c r="AT51">
        <f t="shared" si="43"/>
        <v>0.60041213922907011</v>
      </c>
      <c r="AU51">
        <f t="shared" si="44"/>
        <v>0.30308403195528472</v>
      </c>
      <c r="AV51">
        <f t="shared" si="45"/>
        <v>0.31348799018977869</v>
      </c>
      <c r="AW51">
        <f t="shared" si="46"/>
        <v>0.51788257226898027</v>
      </c>
      <c r="AX51">
        <f t="shared" si="47"/>
        <v>0.754253642886617</v>
      </c>
      <c r="AY51">
        <f t="shared" si="48"/>
        <v>0.35775089363400975</v>
      </c>
      <c r="AZ51">
        <f t="shared" si="49"/>
        <v>0.52463386674134083</v>
      </c>
      <c r="BA51">
        <f t="shared" si="50"/>
        <v>0.22164917218763847</v>
      </c>
      <c r="BB51">
        <f t="shared" si="51"/>
        <v>0.63860695522998701</v>
      </c>
      <c r="BC51">
        <f t="shared" si="52"/>
        <v>0.21399370566661816</v>
      </c>
      <c r="BD51">
        <f t="shared" si="53"/>
        <v>0.35521219508613555</v>
      </c>
      <c r="BE51">
        <f t="shared" si="54"/>
        <v>0.32883407827105765</v>
      </c>
      <c r="BF51">
        <f t="shared" si="55"/>
        <v>0.45128563539306382</v>
      </c>
      <c r="BG51">
        <f t="shared" si="56"/>
        <v>0.38160912128412217</v>
      </c>
      <c r="BI51">
        <f t="shared" si="77"/>
        <v>6.7506662187432386E-3</v>
      </c>
      <c r="BJ51">
        <f t="shared" si="78"/>
        <v>9.57419201711847E-2</v>
      </c>
      <c r="BK51">
        <f t="shared" si="79"/>
        <v>6.1472662197918485E-2</v>
      </c>
      <c r="BL51">
        <f t="shared" si="80"/>
        <v>4.1234933145121874E-2</v>
      </c>
      <c r="BM51">
        <f t="shared" si="81"/>
        <v>2.0400146886265944E-2</v>
      </c>
      <c r="BN51">
        <f t="shared" si="82"/>
        <v>0.13194723557019555</v>
      </c>
      <c r="BO51">
        <f t="shared" si="83"/>
        <v>4.2501313870065734E-2</v>
      </c>
      <c r="BP51">
        <f t="shared" si="84"/>
        <v>1.7217001597776026E-2</v>
      </c>
      <c r="BQ51">
        <f t="shared" si="85"/>
        <v>2.7429785825755088E-2</v>
      </c>
      <c r="BR51">
        <f t="shared" si="86"/>
        <v>1.685653611487321E-2</v>
      </c>
      <c r="BS51">
        <f t="shared" si="87"/>
        <v>0.13586362720206571</v>
      </c>
      <c r="BT51">
        <f t="shared" si="88"/>
        <v>2.7314669752002918E-2</v>
      </c>
      <c r="BU51">
        <f t="shared" si="89"/>
        <v>9.2986692564353476E-2</v>
      </c>
      <c r="BV51">
        <f t="shared" si="90"/>
        <v>2.5691298705498702E-2</v>
      </c>
      <c r="BW51">
        <f t="shared" si="91"/>
        <v>0.11862274228572477</v>
      </c>
      <c r="BX51">
        <f t="shared" si="92"/>
        <v>4.7244121090154315E-2</v>
      </c>
      <c r="BY51">
        <f t="shared" si="93"/>
        <v>9.0724646802300288E-2</v>
      </c>
      <c r="CA51">
        <f t="shared" si="94"/>
        <v>5.6201224956410091E-3</v>
      </c>
      <c r="CB51">
        <f t="shared" si="95"/>
        <v>5.2146497288508661E-2</v>
      </c>
      <c r="CC51">
        <f t="shared" si="96"/>
        <v>5.3656885368341498E-2</v>
      </c>
      <c r="CD51">
        <f t="shared" si="97"/>
        <v>3.1334184988027293E-2</v>
      </c>
      <c r="CE51">
        <f t="shared" si="98"/>
        <v>2.55887253684999E-2</v>
      </c>
      <c r="CF51">
        <f t="shared" si="99"/>
        <v>0.11759055777996981</v>
      </c>
      <c r="CG51">
        <f t="shared" si="100"/>
        <v>3.8521521853853699E-2</v>
      </c>
      <c r="CH51">
        <f t="shared" si="101"/>
        <v>2.0056899326745085E-2</v>
      </c>
      <c r="CI51">
        <f t="shared" si="102"/>
        <v>3.8563083383007672E-2</v>
      </c>
      <c r="CJ51">
        <f t="shared" si="103"/>
        <v>1.6321096238322046E-2</v>
      </c>
      <c r="CK51">
        <f t="shared" si="104"/>
        <v>0.15930228037548447</v>
      </c>
      <c r="CL51">
        <f t="shared" si="105"/>
        <v>2.0817071673664016E-2</v>
      </c>
      <c r="CM51">
        <f t="shared" si="106"/>
        <v>0.12028964670724665</v>
      </c>
      <c r="CN51">
        <f t="shared" si="107"/>
        <v>1.9238764782796201E-2</v>
      </c>
      <c r="CO51">
        <f t="shared" si="108"/>
        <v>0.11444650117323099</v>
      </c>
      <c r="CP51">
        <f t="shared" si="109"/>
        <v>4.3855777008052779E-2</v>
      </c>
      <c r="CQ51" s="25">
        <f t="shared" si="110"/>
        <v>9.866012645064208E-2</v>
      </c>
      <c r="CR51">
        <f t="shared" si="57"/>
        <v>0.97600974226203374</v>
      </c>
      <c r="CS51">
        <f t="shared" si="58"/>
        <v>2.3990257737966258E-2</v>
      </c>
      <c r="DC51">
        <f t="shared" si="59"/>
        <v>0.69310382036038343</v>
      </c>
      <c r="DD51">
        <f t="shared" si="60"/>
        <v>0.296651136988484</v>
      </c>
      <c r="DE51">
        <f t="shared" si="61"/>
        <v>0.76188053120601051</v>
      </c>
      <c r="DF51">
        <f t="shared" si="62"/>
        <v>0.57743913820052295</v>
      </c>
      <c r="DG51">
        <f t="shared" si="63"/>
        <v>1.5733694656162083</v>
      </c>
      <c r="DH51">
        <f t="shared" si="64"/>
        <v>0.79422638257545053</v>
      </c>
      <c r="DI51">
        <f t="shared" si="65"/>
        <v>0.82148977240084164</v>
      </c>
      <c r="DJ51">
        <f t="shared" si="66"/>
        <v>1.3571021848909042</v>
      </c>
      <c r="DK51">
        <f t="shared" si="67"/>
        <v>1.9765084239824737</v>
      </c>
      <c r="DL51">
        <f t="shared" si="68"/>
        <v>0.93747993347268788</v>
      </c>
      <c r="DM51">
        <f t="shared" si="69"/>
        <v>1.3747938334805456</v>
      </c>
      <c r="DN51">
        <f t="shared" si="70"/>
        <v>0.58082776282124671</v>
      </c>
      <c r="DO51">
        <f t="shared" si="71"/>
        <v>1.673458310118642</v>
      </c>
      <c r="DP51">
        <f t="shared" si="72"/>
        <v>0.56076674725835995</v>
      </c>
      <c r="DQ51">
        <f t="shared" si="73"/>
        <v>0.93082731851597145</v>
      </c>
      <c r="DR51">
        <f t="shared" si="74"/>
        <v>0.8617039266894998</v>
      </c>
      <c r="DS51">
        <f t="shared" si="75"/>
        <v>1.1825860814712155</v>
      </c>
    </row>
    <row r="52" spans="1:123" x14ac:dyDescent="0.25">
      <c r="A52" t="s">
        <v>161</v>
      </c>
      <c r="B52" s="26">
        <f t="shared" si="76"/>
        <v>41426</v>
      </c>
      <c r="D52">
        <v>23.874494854998584</v>
      </c>
      <c r="E52">
        <v>106.00373452246419</v>
      </c>
      <c r="F52">
        <v>145.06051577133175</v>
      </c>
      <c r="G52">
        <v>81.34422652080228</v>
      </c>
      <c r="H52">
        <v>109.9844807095227</v>
      </c>
      <c r="I52">
        <v>489.87804635189627</v>
      </c>
      <c r="J52">
        <v>139.63242055520882</v>
      </c>
      <c r="K52">
        <v>94.708019386589058</v>
      </c>
      <c r="L52">
        <v>230.27189382379936</v>
      </c>
      <c r="M52">
        <v>73.816359706520487</v>
      </c>
      <c r="N52">
        <v>686.25263777206771</v>
      </c>
      <c r="O52">
        <v>59.836255919387476</v>
      </c>
      <c r="P52">
        <v>600.23516339503465</v>
      </c>
      <c r="Q52">
        <v>53.856873146693452</v>
      </c>
      <c r="R52">
        <v>424.764857159972</v>
      </c>
      <c r="S52">
        <v>139.13746062020232</v>
      </c>
      <c r="T52">
        <v>399.79610840479523</v>
      </c>
      <c r="U52">
        <f t="shared" si="37"/>
        <v>3858.4535486212867</v>
      </c>
      <c r="W52">
        <v>67.576303811768398</v>
      </c>
      <c r="X52">
        <v>975.58630079655052</v>
      </c>
      <c r="Y52">
        <v>609.61980581780483</v>
      </c>
      <c r="Z52">
        <v>404.18681478739808</v>
      </c>
      <c r="AA52">
        <v>236.88078477912714</v>
      </c>
      <c r="AB52">
        <v>1232.8042317357999</v>
      </c>
      <c r="AC52">
        <v>371.13604122240207</v>
      </c>
      <c r="AD52">
        <v>169.42715060734687</v>
      </c>
      <c r="AE52">
        <v>316.42934112199464</v>
      </c>
      <c r="AF52">
        <v>134.97577368197034</v>
      </c>
      <c r="AG52">
        <v>1315.0933233578571</v>
      </c>
      <c r="AH52">
        <v>299.76478087363768</v>
      </c>
      <c r="AI52">
        <v>794.82177973701391</v>
      </c>
      <c r="AJ52">
        <v>258.94569059909435</v>
      </c>
      <c r="AK52">
        <v>1191.745603668445</v>
      </c>
      <c r="AL52">
        <v>429.39323395579413</v>
      </c>
      <c r="AM52">
        <v>896.63957492031511</v>
      </c>
      <c r="AN52">
        <f t="shared" si="38"/>
        <v>9705.0265354743187</v>
      </c>
      <c r="AP52">
        <f t="shared" si="39"/>
        <v>0.35329684383893228</v>
      </c>
      <c r="AQ52">
        <f t="shared" si="40"/>
        <v>0.10865644016927446</v>
      </c>
      <c r="AR52">
        <f t="shared" si="41"/>
        <v>0.23795243262599236</v>
      </c>
      <c r="AS52">
        <f t="shared" si="42"/>
        <v>0.20125403289958699</v>
      </c>
      <c r="AT52">
        <f t="shared" si="43"/>
        <v>0.46430309158285948</v>
      </c>
      <c r="AU52">
        <f t="shared" si="44"/>
        <v>0.3973688877285434</v>
      </c>
      <c r="AV52">
        <f t="shared" si="45"/>
        <v>0.37622975148224569</v>
      </c>
      <c r="AW52">
        <f t="shared" si="46"/>
        <v>0.55898962502224969</v>
      </c>
      <c r="AX52">
        <f t="shared" si="47"/>
        <v>0.72771979048245539</v>
      </c>
      <c r="AY52">
        <f t="shared" si="48"/>
        <v>0.54688599067004762</v>
      </c>
      <c r="AZ52">
        <f t="shared" si="49"/>
        <v>0.52182809051135892</v>
      </c>
      <c r="BA52">
        <f t="shared" si="50"/>
        <v>0.19961069390807037</v>
      </c>
      <c r="BB52">
        <f t="shared" si="51"/>
        <v>0.7551820781680606</v>
      </c>
      <c r="BC52">
        <f t="shared" si="52"/>
        <v>0.20798520733089124</v>
      </c>
      <c r="BD52">
        <f t="shared" si="53"/>
        <v>0.35642242425938547</v>
      </c>
      <c r="BE52">
        <f t="shared" si="54"/>
        <v>0.32403272715407172</v>
      </c>
      <c r="BF52">
        <f t="shared" si="55"/>
        <v>0.44588273771021691</v>
      </c>
      <c r="BG52">
        <f t="shared" si="56"/>
        <v>0.39757269436798204</v>
      </c>
      <c r="BI52">
        <f t="shared" si="77"/>
        <v>6.963021024698899E-3</v>
      </c>
      <c r="BJ52">
        <f t="shared" si="78"/>
        <v>0.10052381590411284</v>
      </c>
      <c r="BK52">
        <f t="shared" si="79"/>
        <v>6.2814852034612248E-2</v>
      </c>
      <c r="BL52">
        <f t="shared" si="80"/>
        <v>4.1647162252467146E-2</v>
      </c>
      <c r="BM52">
        <f t="shared" si="81"/>
        <v>2.4408051221010901E-2</v>
      </c>
      <c r="BN52">
        <f t="shared" si="82"/>
        <v>0.1270273942301538</v>
      </c>
      <c r="BO52">
        <f t="shared" si="83"/>
        <v>3.8241630753486994E-2</v>
      </c>
      <c r="BP52">
        <f t="shared" si="84"/>
        <v>1.7457670001009055E-2</v>
      </c>
      <c r="BQ52">
        <f t="shared" si="85"/>
        <v>3.2604685825985705E-2</v>
      </c>
      <c r="BR52">
        <f t="shared" si="86"/>
        <v>1.3907821188185303E-2</v>
      </c>
      <c r="BS52">
        <f t="shared" si="87"/>
        <v>0.13550641191457433</v>
      </c>
      <c r="BT52">
        <f t="shared" si="88"/>
        <v>3.0887579727672237E-2</v>
      </c>
      <c r="BU52">
        <f t="shared" si="89"/>
        <v>8.1897950184035034E-2</v>
      </c>
      <c r="BV52">
        <f t="shared" si="90"/>
        <v>2.6681605624939052E-2</v>
      </c>
      <c r="BW52">
        <f t="shared" si="91"/>
        <v>0.12279673829971659</v>
      </c>
      <c r="BX52">
        <f t="shared" si="92"/>
        <v>4.4244416270914209E-2</v>
      </c>
      <c r="BY52">
        <f t="shared" si="93"/>
        <v>9.2389193542425821E-2</v>
      </c>
      <c r="CA52">
        <f t="shared" si="94"/>
        <v>6.5638600212289538E-3</v>
      </c>
      <c r="CB52">
        <f t="shared" si="95"/>
        <v>5.2551900653736161E-2</v>
      </c>
      <c r="CC52">
        <f t="shared" si="96"/>
        <v>4.8595845325665334E-2</v>
      </c>
      <c r="CD52">
        <f t="shared" si="97"/>
        <v>2.9631213404271779E-2</v>
      </c>
      <c r="CE52">
        <f t="shared" si="98"/>
        <v>2.6377013354504038E-2</v>
      </c>
      <c r="CF52">
        <f t="shared" si="99"/>
        <v>0.12699483119777261</v>
      </c>
      <c r="CG52">
        <f t="shared" si="100"/>
        <v>3.7201007094136977E-2</v>
      </c>
      <c r="CH52">
        <f t="shared" si="101"/>
        <v>2.0700454407570287E-2</v>
      </c>
      <c r="CI52">
        <f t="shared" si="102"/>
        <v>4.411170436551437E-2</v>
      </c>
      <c r="CJ52">
        <f t="shared" si="103"/>
        <v>1.6311699910162628E-2</v>
      </c>
      <c r="CK52">
        <f t="shared" si="104"/>
        <v>0.15524416941716393</v>
      </c>
      <c r="CL52">
        <f t="shared" si="105"/>
        <v>2.1886056049400818E-2</v>
      </c>
      <c r="CM52">
        <f t="shared" si="106"/>
        <v>0.11287313690539719</v>
      </c>
      <c r="CN52">
        <f t="shared" si="107"/>
        <v>1.9298338058088269E-2</v>
      </c>
      <c r="CO52">
        <f t="shared" si="108"/>
        <v>0.11626823150794942</v>
      </c>
      <c r="CP52">
        <f t="shared" si="109"/>
        <v>3.9943363553145983E-2</v>
      </c>
      <c r="CQ52" s="25">
        <f t="shared" si="110"/>
        <v>9.7841529059447402E-2</v>
      </c>
      <c r="CR52">
        <f t="shared" si="57"/>
        <v>0.97239435428515608</v>
      </c>
      <c r="CS52">
        <f t="shared" si="58"/>
        <v>2.7605645714843918E-2</v>
      </c>
      <c r="DC52">
        <f t="shared" si="59"/>
        <v>0.88863457889271114</v>
      </c>
      <c r="DD52">
        <f t="shared" si="60"/>
        <v>0.27329955429158609</v>
      </c>
      <c r="DE52">
        <f t="shared" si="61"/>
        <v>0.59851301660508482</v>
      </c>
      <c r="DF52">
        <f t="shared" si="62"/>
        <v>0.50620687927152253</v>
      </c>
      <c r="DG52">
        <f t="shared" si="63"/>
        <v>1.1678445178961754</v>
      </c>
      <c r="DH52">
        <f t="shared" si="64"/>
        <v>0.99948737264322784</v>
      </c>
      <c r="DI52">
        <f t="shared" si="65"/>
        <v>0.94631687943342024</v>
      </c>
      <c r="DJ52">
        <f t="shared" si="66"/>
        <v>1.4060060787395643</v>
      </c>
      <c r="DK52">
        <f t="shared" si="67"/>
        <v>1.8304068684578689</v>
      </c>
      <c r="DL52">
        <f t="shared" si="68"/>
        <v>1.3755622516768353</v>
      </c>
      <c r="DM52">
        <f t="shared" si="69"/>
        <v>1.3125350354880498</v>
      </c>
      <c r="DN52">
        <f t="shared" si="70"/>
        <v>0.50207344904656948</v>
      </c>
      <c r="DO52">
        <f t="shared" si="71"/>
        <v>1.8994817523083851</v>
      </c>
      <c r="DP52">
        <f t="shared" si="72"/>
        <v>0.523137555162141</v>
      </c>
      <c r="DQ52">
        <f t="shared" si="73"/>
        <v>0.89649623655866806</v>
      </c>
      <c r="DR52">
        <f t="shared" si="74"/>
        <v>0.81502762072024038</v>
      </c>
      <c r="DS52">
        <f t="shared" si="75"/>
        <v>1.1215124781620955</v>
      </c>
    </row>
    <row r="53" spans="1:123" x14ac:dyDescent="0.25">
      <c r="A53" t="s">
        <v>189</v>
      </c>
      <c r="B53" s="26">
        <f t="shared" si="76"/>
        <v>41518</v>
      </c>
      <c r="W53">
        <v>59.973299514149552</v>
      </c>
      <c r="X53">
        <v>891.24377958460354</v>
      </c>
      <c r="Y53">
        <v>606.28959124436437</v>
      </c>
      <c r="Z53">
        <v>471.83463178183115</v>
      </c>
      <c r="AA53">
        <v>199.99582855572399</v>
      </c>
      <c r="AB53">
        <v>1236.8889664714923</v>
      </c>
      <c r="AC53">
        <v>401.5857472758608</v>
      </c>
      <c r="AD53">
        <v>180.13905666289926</v>
      </c>
      <c r="AE53">
        <v>224.61549424613261</v>
      </c>
      <c r="AF53">
        <v>151.28861522240709</v>
      </c>
      <c r="AG53">
        <v>1251.433477128616</v>
      </c>
      <c r="AH53">
        <v>257.27866109678467</v>
      </c>
      <c r="AI53">
        <v>851.18954165165121</v>
      </c>
      <c r="AJ53">
        <v>239.12505700351605</v>
      </c>
      <c r="AK53">
        <v>1133.0580543353115</v>
      </c>
      <c r="AL53">
        <v>404.03753750331083</v>
      </c>
      <c r="AM53">
        <v>782.86069102114163</v>
      </c>
      <c r="AN53">
        <f t="shared" si="38"/>
        <v>9342.8380302997975</v>
      </c>
      <c r="BI53" s="15">
        <f>AVERAGE(BI3:BI52)</f>
        <v>4.5508315144991264E-3</v>
      </c>
      <c r="BJ53" s="15">
        <f t="shared" ref="BJ53:BY53" si="111">AVERAGE(BJ3:BJ52)</f>
        <v>0.11563205112651852</v>
      </c>
      <c r="BK53" s="15">
        <f t="shared" si="111"/>
        <v>8.3962362861396314E-2</v>
      </c>
      <c r="BL53" s="15">
        <f t="shared" si="111"/>
        <v>4.8648834387982974E-2</v>
      </c>
      <c r="BM53" s="15">
        <f t="shared" si="111"/>
        <v>2.5187065833826971E-2</v>
      </c>
      <c r="BN53" s="15">
        <f t="shared" si="111"/>
        <v>0.1361674546234308</v>
      </c>
      <c r="BO53" s="15">
        <f t="shared" si="111"/>
        <v>3.8565749138194348E-2</v>
      </c>
      <c r="BP53" s="15">
        <f t="shared" si="111"/>
        <v>2.4709622853909218E-2</v>
      </c>
      <c r="BQ53" s="15">
        <f t="shared" si="111"/>
        <v>3.0985343493004348E-2</v>
      </c>
      <c r="BR53" s="15">
        <f t="shared" si="111"/>
        <v>1.483893507143094E-2</v>
      </c>
      <c r="BS53" s="15">
        <f t="shared" si="111"/>
        <v>0.12639514338156987</v>
      </c>
      <c r="BT53" s="15">
        <f t="shared" si="111"/>
        <v>2.0913676763985891E-2</v>
      </c>
      <c r="BU53" s="15">
        <f t="shared" si="111"/>
        <v>7.2349948708196207E-2</v>
      </c>
      <c r="BV53" s="15">
        <f t="shared" si="111"/>
        <v>2.3234950553123371E-2</v>
      </c>
      <c r="BW53" s="15">
        <f t="shared" si="111"/>
        <v>0.11338947477620583</v>
      </c>
      <c r="BX53" s="15">
        <f t="shared" si="111"/>
        <v>4.3599642109957426E-2</v>
      </c>
      <c r="BY53" s="15">
        <f t="shared" si="111"/>
        <v>7.6868912802767864E-2</v>
      </c>
    </row>
    <row r="54" spans="1:123" x14ac:dyDescent="0.25">
      <c r="BJ54" t="s">
        <v>224</v>
      </c>
      <c r="BK54" t="s">
        <v>227</v>
      </c>
      <c r="BL54" t="s">
        <v>230</v>
      </c>
      <c r="BN54" t="s">
        <v>223</v>
      </c>
      <c r="BO54" t="s">
        <v>232</v>
      </c>
      <c r="BS54" t="s">
        <v>225</v>
      </c>
      <c r="BU54" t="s">
        <v>229</v>
      </c>
      <c r="BW54" t="s">
        <v>226</v>
      </c>
      <c r="BX54" t="s">
        <v>231</v>
      </c>
      <c r="BY54" t="s">
        <v>228</v>
      </c>
      <c r="DD54" t="s">
        <v>224</v>
      </c>
      <c r="DE54" t="s">
        <v>227</v>
      </c>
      <c r="DF54" t="s">
        <v>230</v>
      </c>
      <c r="DH54" t="s">
        <v>223</v>
      </c>
      <c r="DI54" t="s">
        <v>232</v>
      </c>
      <c r="DM54" t="s">
        <v>225</v>
      </c>
      <c r="DO54" t="s">
        <v>229</v>
      </c>
      <c r="DQ54" t="s">
        <v>226</v>
      </c>
      <c r="DR54" t="s">
        <v>231</v>
      </c>
      <c r="DS54" t="s">
        <v>228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x14ac:dyDescent="0.25"/>
  <cols>
    <col min="2" max="4" width="14.7109375" customWidth="1"/>
    <col min="5" max="5" width="26.85546875" customWidth="1"/>
    <col min="6" max="6" width="17.7109375" customWidth="1"/>
    <col min="7" max="7" width="8.85546875" style="16"/>
  </cols>
  <sheetData>
    <row r="1" spans="1:12" ht="14.45" x14ac:dyDescent="0.3">
      <c r="B1" t="s">
        <v>219</v>
      </c>
      <c r="C1" t="s">
        <v>246</v>
      </c>
      <c r="D1" t="s">
        <v>247</v>
      </c>
      <c r="E1" t="s">
        <v>248</v>
      </c>
      <c r="F1" t="s">
        <v>249</v>
      </c>
      <c r="H1" t="s">
        <v>211</v>
      </c>
      <c r="I1" t="s">
        <v>233</v>
      </c>
      <c r="J1" t="s">
        <v>234</v>
      </c>
      <c r="K1" t="s">
        <v>254</v>
      </c>
      <c r="L1" t="s">
        <v>255</v>
      </c>
    </row>
    <row r="2" spans="1:12" ht="14.45" x14ac:dyDescent="0.3">
      <c r="A2" t="s">
        <v>112</v>
      </c>
      <c r="B2">
        <v>0.9688860434102875</v>
      </c>
      <c r="E2">
        <v>0</v>
      </c>
      <c r="F2">
        <f>L2*EXP(-E2)</f>
        <v>3.3985049545112125E-2</v>
      </c>
      <c r="H2">
        <v>6084.333333333333</v>
      </c>
      <c r="I2">
        <v>4887.333333333333</v>
      </c>
      <c r="J2" s="12">
        <v>143808.33333333334</v>
      </c>
      <c r="K2">
        <f>H2/J2</f>
        <v>4.230862838268528E-2</v>
      </c>
      <c r="L2">
        <f>I2/J2</f>
        <v>3.3985049545112125E-2</v>
      </c>
    </row>
    <row r="3" spans="1:12" ht="14.45" x14ac:dyDescent="0.3">
      <c r="A3" t="s">
        <v>113</v>
      </c>
      <c r="B3">
        <v>0.96582546380689871</v>
      </c>
      <c r="C3">
        <f>LN(B3/B2)</f>
        <v>-3.1638641161889163E-3</v>
      </c>
      <c r="D3">
        <f>-(1/(1-0.5))*C3</f>
        <v>6.3277282323778326E-3</v>
      </c>
      <c r="E3">
        <f>D3+E2</f>
        <v>6.3277282323778326E-3</v>
      </c>
      <c r="F3">
        <f t="shared" ref="F3:F51" si="0">L3*EXP(-E3)</f>
        <v>3.1045665297345228E-2</v>
      </c>
      <c r="H3">
        <v>6327</v>
      </c>
      <c r="I3">
        <v>4480.666666666667</v>
      </c>
      <c r="J3" s="12">
        <v>143414.66666666666</v>
      </c>
      <c r="K3">
        <f t="shared" ref="K3:K51" si="1">H3/J3</f>
        <v>4.4116826730878293E-2</v>
      </c>
      <c r="L3">
        <f t="shared" ref="L3:L51" si="2">I3/J3</f>
        <v>3.124273667965155E-2</v>
      </c>
    </row>
    <row r="4" spans="1:12" ht="14.45" x14ac:dyDescent="0.3">
      <c r="A4" t="s">
        <v>114</v>
      </c>
      <c r="B4">
        <v>0.95686261570928299</v>
      </c>
      <c r="C4">
        <f t="shared" ref="C4:C51" si="3">LN(B4/B3)</f>
        <v>-9.3233147040764699E-3</v>
      </c>
      <c r="D4">
        <f t="shared" ref="D4:D51" si="4">-(1/(1-0.5))*C4</f>
        <v>1.864662940815294E-2</v>
      </c>
      <c r="E4">
        <f t="shared" ref="E4:E51" si="5">D4+E3</f>
        <v>2.4974357640530773E-2</v>
      </c>
      <c r="F4">
        <f t="shared" si="0"/>
        <v>2.8011113227243416E-2</v>
      </c>
      <c r="H4">
        <v>6922.333333333333</v>
      </c>
      <c r="I4">
        <v>4125.333333333333</v>
      </c>
      <c r="J4" s="12">
        <v>143642.33333333334</v>
      </c>
      <c r="K4">
        <f t="shared" si="1"/>
        <v>4.8191457021722929E-2</v>
      </c>
      <c r="L4">
        <f t="shared" si="2"/>
        <v>2.871948148990432E-2</v>
      </c>
    </row>
    <row r="5" spans="1:12" ht="14.45" x14ac:dyDescent="0.3">
      <c r="A5" t="s">
        <v>115</v>
      </c>
      <c r="B5">
        <v>0.95398627160987637</v>
      </c>
      <c r="C5">
        <f t="shared" si="3"/>
        <v>-3.0105428963447291E-3</v>
      </c>
      <c r="D5">
        <f t="shared" si="4"/>
        <v>6.0210857926894581E-3</v>
      </c>
      <c r="E5">
        <f t="shared" si="5"/>
        <v>3.0995443433220232E-2</v>
      </c>
      <c r="F5">
        <f t="shared" si="0"/>
        <v>2.3932742450836562E-2</v>
      </c>
      <c r="H5">
        <v>7985</v>
      </c>
      <c r="I5">
        <v>3560</v>
      </c>
      <c r="J5" s="12">
        <v>144210.33333333334</v>
      </c>
      <c r="K5">
        <f t="shared" si="1"/>
        <v>5.5370512052996659E-2</v>
      </c>
      <c r="L5">
        <f t="shared" si="2"/>
        <v>2.4686164421874528E-2</v>
      </c>
    </row>
    <row r="6" spans="1:12" ht="14.45" x14ac:dyDescent="0.3">
      <c r="A6" t="s">
        <v>116</v>
      </c>
      <c r="B6">
        <v>0.94937807391569207</v>
      </c>
      <c r="C6">
        <f t="shared" si="3"/>
        <v>-4.8421698230269889E-3</v>
      </c>
      <c r="D6">
        <f t="shared" si="4"/>
        <v>9.6843396460539778E-3</v>
      </c>
      <c r="E6">
        <f t="shared" si="5"/>
        <v>4.0679783079274209E-2</v>
      </c>
      <c r="F6">
        <f t="shared" si="0"/>
        <v>2.32862771353659E-2</v>
      </c>
      <c r="H6">
        <v>8233.6666666666661</v>
      </c>
      <c r="I6">
        <v>3500.6666666666665</v>
      </c>
      <c r="J6" s="12">
        <v>144339</v>
      </c>
      <c r="K6">
        <f t="shared" si="1"/>
        <v>5.7043949775643907E-2</v>
      </c>
      <c r="L6">
        <f t="shared" si="2"/>
        <v>2.4253089370625171E-2</v>
      </c>
    </row>
    <row r="7" spans="1:12" ht="14.45" x14ac:dyDescent="0.3">
      <c r="A7" t="s">
        <v>117</v>
      </c>
      <c r="B7">
        <v>0.95484034899175807</v>
      </c>
      <c r="C7">
        <f t="shared" si="3"/>
        <v>5.7370414993320332E-3</v>
      </c>
      <c r="D7">
        <f t="shared" si="4"/>
        <v>-1.1474082998664066E-2</v>
      </c>
      <c r="E7">
        <f t="shared" si="5"/>
        <v>2.9205700080610145E-2</v>
      </c>
      <c r="F7">
        <f t="shared" si="0"/>
        <v>2.2590956846743504E-2</v>
      </c>
      <c r="H7">
        <v>8463.6666666666661</v>
      </c>
      <c r="I7">
        <v>3368.6666666666665</v>
      </c>
      <c r="J7" s="12">
        <v>144823.66666666666</v>
      </c>
      <c r="K7">
        <f t="shared" si="1"/>
        <v>5.8441184797144115E-2</v>
      </c>
      <c r="L7">
        <f t="shared" si="2"/>
        <v>2.3260470779407603E-2</v>
      </c>
    </row>
    <row r="8" spans="1:12" ht="14.45" x14ac:dyDescent="0.3">
      <c r="A8" t="s">
        <v>118</v>
      </c>
      <c r="B8">
        <v>0.95503837327314056</v>
      </c>
      <c r="C8">
        <f t="shared" si="3"/>
        <v>2.0736843631343038E-4</v>
      </c>
      <c r="D8">
        <f t="shared" si="4"/>
        <v>-4.1473687262686077E-4</v>
      </c>
      <c r="E8">
        <f t="shared" si="5"/>
        <v>2.8790963207983283E-2</v>
      </c>
      <c r="F8">
        <f t="shared" si="0"/>
        <v>2.2558434748530667E-2</v>
      </c>
      <c r="H8">
        <v>8315</v>
      </c>
      <c r="I8">
        <v>3369.3333333333335</v>
      </c>
      <c r="J8" s="12">
        <v>145121.33333333334</v>
      </c>
      <c r="K8">
        <f t="shared" si="1"/>
        <v>5.7296882608575808E-2</v>
      </c>
      <c r="L8">
        <f t="shared" si="2"/>
        <v>2.3217353754559404E-2</v>
      </c>
    </row>
    <row r="9" spans="1:12" ht="14.45" x14ac:dyDescent="0.3">
      <c r="A9" t="s">
        <v>119</v>
      </c>
      <c r="B9">
        <v>0.95038200949441576</v>
      </c>
      <c r="C9">
        <f t="shared" si="3"/>
        <v>-4.8875020861282306E-3</v>
      </c>
      <c r="D9">
        <f t="shared" si="4"/>
        <v>9.7750041722564612E-3</v>
      </c>
      <c r="E9">
        <f t="shared" si="5"/>
        <v>3.8565967380239742E-2</v>
      </c>
      <c r="F9">
        <f t="shared" si="0"/>
        <v>2.2382480429461966E-2</v>
      </c>
      <c r="H9">
        <v>8489</v>
      </c>
      <c r="I9">
        <v>3376.3333333333335</v>
      </c>
      <c r="J9" s="12">
        <v>145140.33333333334</v>
      </c>
      <c r="K9">
        <f t="shared" si="1"/>
        <v>5.8488221744013261E-2</v>
      </c>
      <c r="L9">
        <f t="shared" si="2"/>
        <v>2.3262543607221516E-2</v>
      </c>
    </row>
    <row r="10" spans="1:12" ht="14.45" x14ac:dyDescent="0.3">
      <c r="A10" t="s">
        <v>120</v>
      </c>
      <c r="B10">
        <v>0.95085845828291193</v>
      </c>
      <c r="C10">
        <f t="shared" si="3"/>
        <v>5.0119783009535638E-4</v>
      </c>
      <c r="D10">
        <f t="shared" si="4"/>
        <v>-1.0023956601907128E-3</v>
      </c>
      <c r="E10">
        <f t="shared" si="5"/>
        <v>3.7563571720049031E-2</v>
      </c>
      <c r="F10">
        <f t="shared" si="0"/>
        <v>2.2100709728996967E-2</v>
      </c>
      <c r="H10">
        <v>8575.3333333333339</v>
      </c>
      <c r="I10">
        <v>3350.6666666666665</v>
      </c>
      <c r="J10" s="12">
        <v>146019.66666666666</v>
      </c>
      <c r="K10">
        <f t="shared" si="1"/>
        <v>5.8727249069189316E-2</v>
      </c>
      <c r="L10">
        <f t="shared" si="2"/>
        <v>2.2946680698262108E-2</v>
      </c>
    </row>
    <row r="11" spans="1:12" ht="14.45" x14ac:dyDescent="0.3">
      <c r="A11" t="s">
        <v>121</v>
      </c>
      <c r="B11">
        <v>0.95785797515762727</v>
      </c>
      <c r="C11">
        <f t="shared" si="3"/>
        <v>7.3342987240225003E-3</v>
      </c>
      <c r="D11">
        <f t="shared" si="4"/>
        <v>-1.4668597448045001E-2</v>
      </c>
      <c r="E11">
        <f t="shared" si="5"/>
        <v>2.2894974272004029E-2</v>
      </c>
      <c r="F11">
        <f t="shared" si="0"/>
        <v>2.0903082082917003E-2</v>
      </c>
      <c r="H11">
        <v>9021.6666666666661</v>
      </c>
      <c r="I11">
        <v>3137</v>
      </c>
      <c r="J11" s="12">
        <v>146676.66666666666</v>
      </c>
      <c r="K11">
        <f t="shared" si="1"/>
        <v>6.1507169965684158E-2</v>
      </c>
      <c r="L11">
        <f t="shared" si="2"/>
        <v>2.1387178146944529E-2</v>
      </c>
    </row>
    <row r="12" spans="1:12" ht="14.45" x14ac:dyDescent="0.3">
      <c r="A12" t="s">
        <v>122</v>
      </c>
      <c r="B12">
        <v>0.95547264095036333</v>
      </c>
      <c r="C12">
        <f t="shared" si="3"/>
        <v>-2.4933855372179766E-3</v>
      </c>
      <c r="D12">
        <f t="shared" si="4"/>
        <v>4.9867710744359531E-3</v>
      </c>
      <c r="E12">
        <f t="shared" si="5"/>
        <v>2.788174534643998E-2</v>
      </c>
      <c r="F12">
        <f t="shared" si="0"/>
        <v>2.0666747616446823E-2</v>
      </c>
      <c r="H12">
        <v>8942.6666666666661</v>
      </c>
      <c r="I12">
        <v>3113</v>
      </c>
      <c r="J12" s="12">
        <v>146486.66666666666</v>
      </c>
      <c r="K12">
        <f t="shared" si="1"/>
        <v>6.1047649387885129E-2</v>
      </c>
      <c r="L12">
        <f t="shared" si="2"/>
        <v>2.1251080871979248E-2</v>
      </c>
    </row>
    <row r="13" spans="1:12" ht="14.45" x14ac:dyDescent="0.3">
      <c r="A13" t="s">
        <v>123</v>
      </c>
      <c r="B13">
        <v>0.96721679733330723</v>
      </c>
      <c r="C13">
        <f t="shared" si="3"/>
        <v>1.2216536077606203E-2</v>
      </c>
      <c r="D13">
        <f t="shared" si="4"/>
        <v>-2.4433072155212406E-2</v>
      </c>
      <c r="E13">
        <f t="shared" si="5"/>
        <v>3.4486731912275748E-3</v>
      </c>
      <c r="F13">
        <f t="shared" si="0"/>
        <v>2.1904371484426175E-2</v>
      </c>
      <c r="H13">
        <v>8541.6666666666661</v>
      </c>
      <c r="I13">
        <v>3227</v>
      </c>
      <c r="J13" s="12">
        <v>146815</v>
      </c>
      <c r="K13">
        <f t="shared" si="1"/>
        <v>5.817979543416317E-2</v>
      </c>
      <c r="L13">
        <f t="shared" si="2"/>
        <v>2.1980042911146681E-2</v>
      </c>
    </row>
    <row r="14" spans="1:12" ht="14.45" x14ac:dyDescent="0.3">
      <c r="A14" t="s">
        <v>124</v>
      </c>
      <c r="B14">
        <v>0.96849866198214052</v>
      </c>
      <c r="C14">
        <f t="shared" si="3"/>
        <v>1.3244351901453184E-3</v>
      </c>
      <c r="D14">
        <f t="shared" si="4"/>
        <v>-2.6488703802906369E-3</v>
      </c>
      <c r="E14">
        <f t="shared" si="5"/>
        <v>7.9980281093693789E-4</v>
      </c>
      <c r="F14">
        <f t="shared" si="0"/>
        <v>2.2980738571790182E-2</v>
      </c>
      <c r="H14">
        <v>8342.6666666666661</v>
      </c>
      <c r="I14">
        <v>3377</v>
      </c>
      <c r="J14" s="12">
        <v>146831.66666666666</v>
      </c>
      <c r="K14">
        <f t="shared" si="1"/>
        <v>5.6817898046515852E-2</v>
      </c>
      <c r="L14">
        <f t="shared" si="2"/>
        <v>2.2999125983268823E-2</v>
      </c>
    </row>
    <row r="15" spans="1:12" ht="14.45" x14ac:dyDescent="0.3">
      <c r="A15" t="s">
        <v>125</v>
      </c>
      <c r="B15">
        <v>0.96683731930683825</v>
      </c>
      <c r="C15">
        <f t="shared" si="3"/>
        <v>-1.7168523702788224E-3</v>
      </c>
      <c r="D15">
        <f t="shared" si="4"/>
        <v>3.4337047405576448E-3</v>
      </c>
      <c r="E15">
        <f t="shared" si="5"/>
        <v>4.2335075514945827E-3</v>
      </c>
      <c r="F15">
        <f t="shared" si="0"/>
        <v>2.3839952616708158E-2</v>
      </c>
      <c r="H15">
        <v>8222.6666666666661</v>
      </c>
      <c r="I15">
        <v>3522.3333333333335</v>
      </c>
      <c r="J15" s="12">
        <v>147125</v>
      </c>
      <c r="K15">
        <f t="shared" si="1"/>
        <v>5.5888983290852443E-2</v>
      </c>
      <c r="L15">
        <f t="shared" si="2"/>
        <v>2.3941093174738037E-2</v>
      </c>
    </row>
    <row r="16" spans="1:12" ht="14.45" x14ac:dyDescent="0.3">
      <c r="A16" t="s">
        <v>126</v>
      </c>
      <c r="B16">
        <v>0.96759795664891035</v>
      </c>
      <c r="C16">
        <f t="shared" si="3"/>
        <v>7.8641802155713844E-4</v>
      </c>
      <c r="D16">
        <f t="shared" si="4"/>
        <v>-1.5728360431142769E-3</v>
      </c>
      <c r="E16">
        <f t="shared" si="5"/>
        <v>2.6606715083803056E-3</v>
      </c>
      <c r="F16">
        <f t="shared" si="0"/>
        <v>2.5197680899582842E-2</v>
      </c>
      <c r="H16">
        <v>8017.666666666667</v>
      </c>
      <c r="I16">
        <v>3728</v>
      </c>
      <c r="J16" s="12">
        <v>147557</v>
      </c>
      <c r="K16">
        <f t="shared" si="1"/>
        <v>5.4336064481296492E-2</v>
      </c>
      <c r="L16">
        <f t="shared" si="2"/>
        <v>2.5264812919753046E-2</v>
      </c>
    </row>
    <row r="17" spans="1:12" ht="14.45" x14ac:dyDescent="0.3">
      <c r="A17" t="s">
        <v>127</v>
      </c>
      <c r="B17">
        <v>0.97005113337415028</v>
      </c>
      <c r="C17">
        <f t="shared" si="3"/>
        <v>2.5321179656396815E-3</v>
      </c>
      <c r="D17">
        <f t="shared" si="4"/>
        <v>-5.0642359312793629E-3</v>
      </c>
      <c r="E17">
        <f t="shared" si="5"/>
        <v>-2.4035644228990573E-3</v>
      </c>
      <c r="F17">
        <f t="shared" si="0"/>
        <v>2.4894566348331388E-2</v>
      </c>
      <c r="H17">
        <v>7975.666666666667</v>
      </c>
      <c r="I17">
        <v>3675.6666666666665</v>
      </c>
      <c r="J17" s="12">
        <v>148004.66666666666</v>
      </c>
      <c r="K17">
        <f t="shared" si="1"/>
        <v>5.3887940470345536E-2</v>
      </c>
      <c r="L17">
        <f t="shared" si="2"/>
        <v>2.4834802506227282E-2</v>
      </c>
    </row>
    <row r="18" spans="1:12" ht="14.45" x14ac:dyDescent="0.3">
      <c r="A18" t="s">
        <v>128</v>
      </c>
      <c r="B18">
        <v>0.97116982009317487</v>
      </c>
      <c r="C18">
        <f t="shared" si="3"/>
        <v>1.1525600327613149E-3</v>
      </c>
      <c r="D18">
        <f t="shared" si="4"/>
        <v>-2.3051200655226298E-3</v>
      </c>
      <c r="E18">
        <f t="shared" si="5"/>
        <v>-4.7086844884216871E-3</v>
      </c>
      <c r="F18">
        <f t="shared" si="0"/>
        <v>2.555034695356569E-2</v>
      </c>
      <c r="H18">
        <v>7833.666666666667</v>
      </c>
      <c r="I18">
        <v>3770.3333333333335</v>
      </c>
      <c r="J18" s="12">
        <v>148261.33333333334</v>
      </c>
      <c r="K18">
        <f t="shared" si="1"/>
        <v>5.2836882621677038E-2</v>
      </c>
      <c r="L18">
        <f t="shared" si="2"/>
        <v>2.5430321234576784E-2</v>
      </c>
    </row>
    <row r="19" spans="1:12" ht="14.45" x14ac:dyDescent="0.3">
      <c r="A19" t="s">
        <v>129</v>
      </c>
      <c r="B19">
        <v>0.97187047266987403</v>
      </c>
      <c r="C19">
        <f t="shared" si="3"/>
        <v>7.2119205111413924E-4</v>
      </c>
      <c r="D19">
        <f t="shared" si="4"/>
        <v>-1.4423841022282785E-3</v>
      </c>
      <c r="E19">
        <f t="shared" si="5"/>
        <v>-6.1510685906499656E-3</v>
      </c>
      <c r="F19">
        <f t="shared" si="0"/>
        <v>2.6981120775732382E-2</v>
      </c>
      <c r="H19">
        <v>7615.666666666667</v>
      </c>
      <c r="I19">
        <v>3999.3333333333335</v>
      </c>
      <c r="J19" s="12">
        <v>149141.66666666666</v>
      </c>
      <c r="K19">
        <f t="shared" si="1"/>
        <v>5.1063306699446843E-2</v>
      </c>
      <c r="L19">
        <f t="shared" si="2"/>
        <v>2.6815667430295582E-2</v>
      </c>
    </row>
    <row r="20" spans="1:12" ht="14.45" x14ac:dyDescent="0.3">
      <c r="A20" t="s">
        <v>130</v>
      </c>
      <c r="B20">
        <v>0.97190679107143962</v>
      </c>
      <c r="C20">
        <f t="shared" si="3"/>
        <v>3.7368892256531977E-5</v>
      </c>
      <c r="D20">
        <f t="shared" si="4"/>
        <v>-7.4737784513063954E-5</v>
      </c>
      <c r="E20">
        <f t="shared" si="5"/>
        <v>-6.2258063751630295E-3</v>
      </c>
      <c r="F20">
        <f t="shared" si="0"/>
        <v>2.8074906069341005E-2</v>
      </c>
      <c r="H20">
        <v>7434.666666666667</v>
      </c>
      <c r="I20">
        <v>4177.333333333333</v>
      </c>
      <c r="J20" s="12">
        <v>149721.66666666666</v>
      </c>
      <c r="K20">
        <f t="shared" si="1"/>
        <v>4.9656584996604816E-2</v>
      </c>
      <c r="L20">
        <f t="shared" si="2"/>
        <v>2.7900660113766657E-2</v>
      </c>
    </row>
    <row r="21" spans="1:12" ht="14.45" x14ac:dyDescent="0.3">
      <c r="A21" t="s">
        <v>131</v>
      </c>
      <c r="B21">
        <v>0.97433627346329621</v>
      </c>
      <c r="C21">
        <f t="shared" si="3"/>
        <v>2.4965881169022701E-3</v>
      </c>
      <c r="D21">
        <f t="shared" si="4"/>
        <v>-4.9931762338045402E-3</v>
      </c>
      <c r="E21">
        <f t="shared" si="5"/>
        <v>-1.121898260896757E-2</v>
      </c>
      <c r="F21">
        <f t="shared" si="0"/>
        <v>2.9064790423713766E-2</v>
      </c>
      <c r="H21">
        <v>7432.666666666667</v>
      </c>
      <c r="I21">
        <v>4312</v>
      </c>
      <c r="J21" s="12">
        <v>150032</v>
      </c>
      <c r="K21">
        <f t="shared" si="1"/>
        <v>4.9540542462052542E-2</v>
      </c>
      <c r="L21">
        <f t="shared" si="2"/>
        <v>2.8740535352458144E-2</v>
      </c>
    </row>
    <row r="22" spans="1:12" ht="14.45" x14ac:dyDescent="0.3">
      <c r="A22" t="s">
        <v>132</v>
      </c>
      <c r="B22">
        <v>0.96790501547201857</v>
      </c>
      <c r="C22">
        <f t="shared" si="3"/>
        <v>-6.6225360701227722E-3</v>
      </c>
      <c r="D22">
        <f t="shared" si="4"/>
        <v>1.3245072140245544E-2</v>
      </c>
      <c r="E22">
        <f t="shared" si="5"/>
        <v>2.0260895312779748E-3</v>
      </c>
      <c r="F22">
        <f t="shared" si="0"/>
        <v>2.8834423290811435E-2</v>
      </c>
      <c r="H22">
        <v>7106.666666666667</v>
      </c>
      <c r="I22">
        <v>4350</v>
      </c>
      <c r="J22" s="12">
        <v>150556</v>
      </c>
      <c r="K22">
        <f t="shared" si="1"/>
        <v>4.7202812685423812E-2</v>
      </c>
      <c r="L22">
        <f t="shared" si="2"/>
        <v>2.8892903637184834E-2</v>
      </c>
    </row>
    <row r="23" spans="1:12" ht="14.45" x14ac:dyDescent="0.3">
      <c r="A23" t="s">
        <v>133</v>
      </c>
      <c r="B23">
        <v>0.9722375637637144</v>
      </c>
      <c r="C23">
        <f t="shared" si="3"/>
        <v>4.4662238125143276E-3</v>
      </c>
      <c r="D23">
        <f t="shared" si="4"/>
        <v>-8.9324476250286552E-3</v>
      </c>
      <c r="E23">
        <f t="shared" si="5"/>
        <v>-6.9063580937506804E-3</v>
      </c>
      <c r="F23">
        <f t="shared" si="0"/>
        <v>2.9450173423060541E-2</v>
      </c>
      <c r="H23">
        <v>7033.666666666667</v>
      </c>
      <c r="I23">
        <v>4419.333333333333</v>
      </c>
      <c r="J23" s="12">
        <v>151101.33333333334</v>
      </c>
      <c r="K23">
        <f t="shared" si="1"/>
        <v>4.6549335545241162E-2</v>
      </c>
      <c r="L23">
        <f t="shared" si="2"/>
        <v>2.9247480719340659E-2</v>
      </c>
    </row>
    <row r="24" spans="1:12" ht="14.45" x14ac:dyDescent="0.3">
      <c r="A24" t="s">
        <v>134</v>
      </c>
      <c r="B24">
        <v>0.97200524002421473</v>
      </c>
      <c r="C24">
        <f t="shared" si="3"/>
        <v>-2.3898634486673682E-4</v>
      </c>
      <c r="D24">
        <f t="shared" si="4"/>
        <v>4.7797268973347363E-4</v>
      </c>
      <c r="E24">
        <f t="shared" si="5"/>
        <v>-6.4283854040172068E-3</v>
      </c>
      <c r="F24">
        <f t="shared" si="0"/>
        <v>2.9074384491055809E-2</v>
      </c>
      <c r="H24">
        <v>7037.666666666667</v>
      </c>
      <c r="I24">
        <v>4379</v>
      </c>
      <c r="J24" s="12">
        <v>151585</v>
      </c>
      <c r="K24">
        <f t="shared" si="1"/>
        <v>4.6427197062154348E-2</v>
      </c>
      <c r="L24">
        <f t="shared" si="2"/>
        <v>2.88880825939242E-2</v>
      </c>
    </row>
    <row r="25" spans="1:12" ht="14.45" x14ac:dyDescent="0.3">
      <c r="A25" t="s">
        <v>135</v>
      </c>
      <c r="B25">
        <v>0.9712913138713174</v>
      </c>
      <c r="C25">
        <f t="shared" si="3"/>
        <v>-7.3475783568403125E-4</v>
      </c>
      <c r="D25">
        <f t="shared" si="4"/>
        <v>1.4695156713680625E-3</v>
      </c>
      <c r="E25">
        <f t="shared" si="5"/>
        <v>-4.9588697326491439E-3</v>
      </c>
      <c r="F25">
        <f t="shared" si="0"/>
        <v>3.0163709628733149E-2</v>
      </c>
      <c r="H25">
        <v>6787</v>
      </c>
      <c r="I25">
        <v>4574</v>
      </c>
      <c r="J25" s="12">
        <v>152393</v>
      </c>
      <c r="K25">
        <f t="shared" si="1"/>
        <v>4.4536166359347214E-2</v>
      </c>
      <c r="L25">
        <f t="shared" si="2"/>
        <v>3.001450197843733E-2</v>
      </c>
    </row>
    <row r="26" spans="1:12" ht="14.45" x14ac:dyDescent="0.3">
      <c r="A26" t="s">
        <v>136</v>
      </c>
      <c r="B26">
        <v>0.97486791736842382</v>
      </c>
      <c r="C26">
        <f t="shared" si="3"/>
        <v>3.6755548736865451E-3</v>
      </c>
      <c r="D26">
        <f t="shared" si="4"/>
        <v>-7.3511097473730903E-3</v>
      </c>
      <c r="E26">
        <f t="shared" si="5"/>
        <v>-1.2309979480022234E-2</v>
      </c>
      <c r="F26">
        <f t="shared" si="0"/>
        <v>3.0408313393960048E-2</v>
      </c>
      <c r="H26">
        <v>6924.666666666667</v>
      </c>
      <c r="I26">
        <v>4597.333333333333</v>
      </c>
      <c r="J26" s="12">
        <v>153059.33333333334</v>
      </c>
      <c r="K26">
        <f t="shared" si="1"/>
        <v>4.5241714542073007E-2</v>
      </c>
      <c r="L26">
        <f t="shared" si="2"/>
        <v>3.0036282226064834E-2</v>
      </c>
    </row>
    <row r="27" spans="1:12" ht="14.45" x14ac:dyDescent="0.3">
      <c r="A27" t="s">
        <v>137</v>
      </c>
      <c r="B27">
        <v>0.96554827165715007</v>
      </c>
      <c r="C27">
        <f t="shared" si="3"/>
        <v>-9.6058952988400132E-3</v>
      </c>
      <c r="D27">
        <f t="shared" si="4"/>
        <v>1.9211790597680026E-2</v>
      </c>
      <c r="E27">
        <f t="shared" si="5"/>
        <v>6.9018111176577922E-3</v>
      </c>
      <c r="F27">
        <f t="shared" si="0"/>
        <v>2.9625922115694953E-2</v>
      </c>
      <c r="H27">
        <v>6865</v>
      </c>
      <c r="I27">
        <v>4555.666666666667</v>
      </c>
      <c r="J27" s="12">
        <v>152715.33333333334</v>
      </c>
      <c r="K27">
        <f t="shared" si="1"/>
        <v>4.4952918938504317E-2</v>
      </c>
      <c r="L27">
        <f t="shared" si="2"/>
        <v>2.9831101875821244E-2</v>
      </c>
    </row>
    <row r="28" spans="1:12" ht="14.45" x14ac:dyDescent="0.3">
      <c r="A28" t="s">
        <v>138</v>
      </c>
      <c r="B28">
        <v>0.96749292094182815</v>
      </c>
      <c r="C28">
        <f t="shared" si="3"/>
        <v>2.0120108646923796E-3</v>
      </c>
      <c r="D28">
        <f t="shared" si="4"/>
        <v>-4.0240217293847592E-3</v>
      </c>
      <c r="E28">
        <f t="shared" si="5"/>
        <v>2.877789388273033E-3</v>
      </c>
      <c r="F28">
        <f t="shared" si="0"/>
        <v>2.9163563136776795E-2</v>
      </c>
      <c r="H28">
        <v>7128.666666666667</v>
      </c>
      <c r="I28">
        <v>4477</v>
      </c>
      <c r="J28" s="12">
        <v>153072.33333333334</v>
      </c>
      <c r="K28">
        <f t="shared" si="1"/>
        <v>4.6570575566671095E-2</v>
      </c>
      <c r="L28">
        <f t="shared" si="2"/>
        <v>2.9247610606750185E-2</v>
      </c>
    </row>
    <row r="29" spans="1:12" x14ac:dyDescent="0.25">
      <c r="A29" t="s">
        <v>139</v>
      </c>
      <c r="B29">
        <v>0.96222968198682846</v>
      </c>
      <c r="C29">
        <f t="shared" si="3"/>
        <v>-5.4549311887666227E-3</v>
      </c>
      <c r="D29">
        <f t="shared" si="4"/>
        <v>1.0909862377533245E-2</v>
      </c>
      <c r="E29">
        <f t="shared" si="5"/>
        <v>1.3787651765806277E-2</v>
      </c>
      <c r="F29">
        <f t="shared" si="0"/>
        <v>2.7661085498054711E-2</v>
      </c>
      <c r="H29">
        <v>7374</v>
      </c>
      <c r="I29">
        <v>4309</v>
      </c>
      <c r="J29" s="12">
        <v>153645.33333333334</v>
      </c>
      <c r="K29">
        <f t="shared" si="1"/>
        <v>4.7993647708141692E-2</v>
      </c>
      <c r="L29">
        <f t="shared" si="2"/>
        <v>2.8045108214589443E-2</v>
      </c>
    </row>
    <row r="30" spans="1:12" x14ac:dyDescent="0.25">
      <c r="A30" t="s">
        <v>140</v>
      </c>
      <c r="B30">
        <v>0.95481165028165726</v>
      </c>
      <c r="C30">
        <f t="shared" si="3"/>
        <v>-7.7390806390166128E-3</v>
      </c>
      <c r="D30">
        <f t="shared" si="4"/>
        <v>1.5478161278033226E-2</v>
      </c>
      <c r="E30">
        <f t="shared" si="5"/>
        <v>2.9265813043839503E-2</v>
      </c>
      <c r="F30">
        <f t="shared" si="0"/>
        <v>2.5777694507070698E-2</v>
      </c>
      <c r="H30">
        <v>7668</v>
      </c>
      <c r="I30">
        <v>4084.3333333333335</v>
      </c>
      <c r="J30" s="12">
        <v>153874.66666666666</v>
      </c>
      <c r="K30">
        <f t="shared" si="1"/>
        <v>4.9832764327677942E-2</v>
      </c>
      <c r="L30">
        <f t="shared" si="2"/>
        <v>2.6543247318163703E-2</v>
      </c>
    </row>
    <row r="31" spans="1:12" x14ac:dyDescent="0.25">
      <c r="A31" t="s">
        <v>141</v>
      </c>
      <c r="B31">
        <v>0.95666652309657674</v>
      </c>
      <c r="C31">
        <f t="shared" si="3"/>
        <v>1.9407738188874373E-3</v>
      </c>
      <c r="D31">
        <f t="shared" si="4"/>
        <v>-3.8815476377748745E-3</v>
      </c>
      <c r="E31">
        <f t="shared" si="5"/>
        <v>2.5384265406064629E-2</v>
      </c>
      <c r="F31">
        <f t="shared" si="0"/>
        <v>2.4521765298874291E-2</v>
      </c>
      <c r="H31">
        <v>8202.3333333333339</v>
      </c>
      <c r="I31">
        <v>3876.6666666666665</v>
      </c>
      <c r="J31" s="12">
        <v>154128.33333333334</v>
      </c>
      <c r="K31">
        <f t="shared" si="1"/>
        <v>5.3217556797906504E-2</v>
      </c>
      <c r="L31">
        <f t="shared" si="2"/>
        <v>2.5152200006488098E-2</v>
      </c>
    </row>
    <row r="32" spans="1:12" x14ac:dyDescent="0.25">
      <c r="A32" t="s">
        <v>142</v>
      </c>
      <c r="B32">
        <v>0.95618607312140125</v>
      </c>
      <c r="C32">
        <f t="shared" si="3"/>
        <v>-5.0233874395611878E-4</v>
      </c>
      <c r="D32">
        <f t="shared" si="4"/>
        <v>1.0046774879122376E-3</v>
      </c>
      <c r="E32">
        <f t="shared" si="5"/>
        <v>2.6388942893976867E-2</v>
      </c>
      <c r="F32">
        <f t="shared" si="0"/>
        <v>2.2391246375895117E-2</v>
      </c>
      <c r="H32">
        <v>9289.6666666666661</v>
      </c>
      <c r="I32">
        <v>3553.3333333333335</v>
      </c>
      <c r="J32" s="12">
        <v>154560</v>
      </c>
      <c r="K32">
        <f t="shared" si="1"/>
        <v>6.0103951000690124E-2</v>
      </c>
      <c r="L32">
        <f t="shared" si="2"/>
        <v>2.2989993098688752E-2</v>
      </c>
    </row>
    <row r="33" spans="1:12" x14ac:dyDescent="0.25">
      <c r="A33" t="s">
        <v>143</v>
      </c>
      <c r="B33">
        <v>0.94241524270930366</v>
      </c>
      <c r="C33">
        <f t="shared" si="3"/>
        <v>-1.4506544149828505E-2</v>
      </c>
      <c r="D33">
        <f t="shared" si="4"/>
        <v>2.901308829965701E-2</v>
      </c>
      <c r="E33">
        <f t="shared" si="5"/>
        <v>5.5402031193633877E-2</v>
      </c>
      <c r="F33">
        <f t="shared" si="0"/>
        <v>1.9465497469130788E-2</v>
      </c>
      <c r="H33">
        <v>10632.666666666666</v>
      </c>
      <c r="I33">
        <v>3183.3333333333335</v>
      </c>
      <c r="J33" s="12">
        <v>154723.33333333334</v>
      </c>
      <c r="K33">
        <f t="shared" si="1"/>
        <v>6.8720511881422752E-2</v>
      </c>
      <c r="L33">
        <f t="shared" si="2"/>
        <v>2.0574358532434237E-2</v>
      </c>
    </row>
    <row r="34" spans="1:12" x14ac:dyDescent="0.25">
      <c r="A34" t="s">
        <v>144</v>
      </c>
      <c r="B34">
        <v>0.9224782600113175</v>
      </c>
      <c r="C34">
        <f t="shared" si="3"/>
        <v>-2.1382177864901368E-2</v>
      </c>
      <c r="D34">
        <f t="shared" si="4"/>
        <v>4.2764355729802736E-2</v>
      </c>
      <c r="E34">
        <f t="shared" si="5"/>
        <v>9.8166386923436613E-2</v>
      </c>
      <c r="F34">
        <f t="shared" si="0"/>
        <v>1.6077660590250491E-2</v>
      </c>
      <c r="H34">
        <v>12793.666666666666</v>
      </c>
      <c r="I34">
        <v>2736.6666666666665</v>
      </c>
      <c r="J34" s="12">
        <v>154300</v>
      </c>
      <c r="K34">
        <f t="shared" si="1"/>
        <v>8.2914236336141714E-2</v>
      </c>
      <c r="L34">
        <f t="shared" si="2"/>
        <v>1.773601209764528E-2</v>
      </c>
    </row>
    <row r="35" spans="1:12" x14ac:dyDescent="0.25">
      <c r="A35" t="s">
        <v>145</v>
      </c>
      <c r="B35">
        <v>0.91573941258940816</v>
      </c>
      <c r="C35">
        <f t="shared" si="3"/>
        <v>-7.3319691254332383E-3</v>
      </c>
      <c r="D35">
        <f t="shared" si="4"/>
        <v>1.4663938250866477E-2</v>
      </c>
      <c r="E35">
        <f t="shared" si="5"/>
        <v>0.11283032517430309</v>
      </c>
      <c r="F35">
        <f t="shared" si="0"/>
        <v>1.3640288994305722E-2</v>
      </c>
      <c r="H35">
        <v>14341</v>
      </c>
      <c r="I35">
        <v>2361.3333333333335</v>
      </c>
      <c r="J35" s="12">
        <v>154643.66666666666</v>
      </c>
      <c r="K35">
        <f t="shared" si="1"/>
        <v>9.2735773207653735E-2</v>
      </c>
      <c r="L35">
        <f t="shared" si="2"/>
        <v>1.5269512061060806E-2</v>
      </c>
    </row>
    <row r="36" spans="1:12" x14ac:dyDescent="0.25">
      <c r="A36" t="s">
        <v>146</v>
      </c>
      <c r="B36">
        <v>0.92715250572091767</v>
      </c>
      <c r="C36">
        <f t="shared" si="3"/>
        <v>1.2386227247324567E-2</v>
      </c>
      <c r="D36">
        <f t="shared" si="4"/>
        <v>-2.4772454494649133E-2</v>
      </c>
      <c r="E36">
        <f t="shared" si="5"/>
        <v>8.8057870679653955E-2</v>
      </c>
      <c r="F36">
        <f t="shared" si="0"/>
        <v>1.3733045024315008E-2</v>
      </c>
      <c r="H36">
        <v>14810.333333333334</v>
      </c>
      <c r="I36">
        <v>2312.6666666666665</v>
      </c>
      <c r="J36" s="12">
        <v>154206.66666666666</v>
      </c>
      <c r="K36">
        <f t="shared" si="1"/>
        <v>9.6042107993601675E-2</v>
      </c>
      <c r="L36">
        <f t="shared" si="2"/>
        <v>1.499718991829147E-2</v>
      </c>
    </row>
    <row r="37" spans="1:12" x14ac:dyDescent="0.25">
      <c r="A37" t="s">
        <v>147</v>
      </c>
      <c r="B37">
        <v>0.92840960522819382</v>
      </c>
      <c r="C37">
        <f t="shared" si="3"/>
        <v>1.3549529732084591E-3</v>
      </c>
      <c r="D37">
        <f t="shared" si="4"/>
        <v>-2.7099059464169182E-3</v>
      </c>
      <c r="E37">
        <f t="shared" si="5"/>
        <v>8.5347964733237039E-2</v>
      </c>
      <c r="F37">
        <f t="shared" si="0"/>
        <v>1.4446046846464593E-2</v>
      </c>
      <c r="H37">
        <v>15233.333333333334</v>
      </c>
      <c r="I37">
        <v>2416.6666666666665</v>
      </c>
      <c r="J37" s="12">
        <v>153603.66666666666</v>
      </c>
      <c r="K37">
        <f t="shared" si="1"/>
        <v>9.9172979811679857E-2</v>
      </c>
      <c r="L37">
        <f t="shared" si="2"/>
        <v>1.5733131370561902E-2</v>
      </c>
    </row>
    <row r="38" spans="1:12" x14ac:dyDescent="0.25">
      <c r="A38" t="s">
        <v>148</v>
      </c>
      <c r="B38">
        <v>0.94374287574783722</v>
      </c>
      <c r="C38">
        <f t="shared" si="3"/>
        <v>1.6380731309583001E-2</v>
      </c>
      <c r="D38">
        <f t="shared" si="4"/>
        <v>-3.2761462619166001E-2</v>
      </c>
      <c r="E38">
        <f t="shared" si="5"/>
        <v>5.2586502114071038E-2</v>
      </c>
      <c r="F38">
        <f t="shared" si="0"/>
        <v>1.6341078692173248E-2</v>
      </c>
      <c r="H38">
        <v>15095.333333333334</v>
      </c>
      <c r="I38">
        <v>2647.3333333333335</v>
      </c>
      <c r="J38" s="12">
        <v>153705.66666666666</v>
      </c>
      <c r="K38">
        <f t="shared" si="1"/>
        <v>9.8209348169770366E-2</v>
      </c>
      <c r="L38">
        <f t="shared" si="2"/>
        <v>1.7223394496407637E-2</v>
      </c>
    </row>
    <row r="39" spans="1:12" x14ac:dyDescent="0.25">
      <c r="A39" t="s">
        <v>149</v>
      </c>
      <c r="B39">
        <v>0.94774113079070588</v>
      </c>
      <c r="C39">
        <f t="shared" si="3"/>
        <v>4.2276445204992297E-3</v>
      </c>
      <c r="D39">
        <f t="shared" si="4"/>
        <v>-8.4552890409984593E-3</v>
      </c>
      <c r="E39">
        <f t="shared" si="5"/>
        <v>4.4131213073072578E-2</v>
      </c>
      <c r="F39">
        <f t="shared" si="0"/>
        <v>1.7873656355395715E-2</v>
      </c>
      <c r="H39">
        <v>14870.666666666666</v>
      </c>
      <c r="I39">
        <v>2878.6666666666665</v>
      </c>
      <c r="J39" s="12">
        <v>154103.33333333334</v>
      </c>
      <c r="K39">
        <f t="shared" si="1"/>
        <v>9.6498020808548371E-2</v>
      </c>
      <c r="L39">
        <f t="shared" si="2"/>
        <v>1.8680106422097723E-2</v>
      </c>
    </row>
    <row r="40" spans="1:12" x14ac:dyDescent="0.25">
      <c r="A40" t="s">
        <v>150</v>
      </c>
      <c r="B40">
        <v>0.95321841039956756</v>
      </c>
      <c r="C40">
        <f t="shared" si="3"/>
        <v>5.7626631685312128E-3</v>
      </c>
      <c r="D40">
        <f t="shared" si="4"/>
        <v>-1.1525326337062426E-2</v>
      </c>
      <c r="E40">
        <f t="shared" si="5"/>
        <v>3.2605886736010156E-2</v>
      </c>
      <c r="F40">
        <f t="shared" si="0"/>
        <v>1.8050253551950692E-2</v>
      </c>
      <c r="H40">
        <v>14597.333333333334</v>
      </c>
      <c r="I40">
        <v>2870.3333333333335</v>
      </c>
      <c r="J40" s="12">
        <v>153917.66666666666</v>
      </c>
      <c r="K40">
        <f t="shared" si="1"/>
        <v>9.483858253221962E-2</v>
      </c>
      <c r="L40">
        <f t="shared" si="2"/>
        <v>1.8648498223075977E-2</v>
      </c>
    </row>
    <row r="41" spans="1:12" x14ac:dyDescent="0.25">
      <c r="A41" t="s">
        <v>151</v>
      </c>
      <c r="B41">
        <v>0.9489953113088172</v>
      </c>
      <c r="C41">
        <f t="shared" si="3"/>
        <v>-4.4402014146885122E-3</v>
      </c>
      <c r="D41">
        <f t="shared" si="4"/>
        <v>8.8804028293770244E-3</v>
      </c>
      <c r="E41">
        <f t="shared" si="5"/>
        <v>4.1486289565387177E-2</v>
      </c>
      <c r="F41">
        <f t="shared" si="0"/>
        <v>1.8739448873363707E-2</v>
      </c>
      <c r="H41">
        <v>14677.333333333334</v>
      </c>
      <c r="I41">
        <v>3004.6666666666665</v>
      </c>
      <c r="J41" s="12">
        <v>153823.33333333334</v>
      </c>
      <c r="K41">
        <f t="shared" si="1"/>
        <v>9.5416820161657312E-2</v>
      </c>
      <c r="L41">
        <f t="shared" si="2"/>
        <v>1.9533230762563112E-2</v>
      </c>
    </row>
    <row r="42" spans="1:12" x14ac:dyDescent="0.25">
      <c r="A42" t="s">
        <v>152</v>
      </c>
      <c r="B42">
        <v>0.95895211464931673</v>
      </c>
      <c r="C42">
        <f t="shared" si="3"/>
        <v>1.0437283117405865E-2</v>
      </c>
      <c r="D42">
        <f t="shared" si="4"/>
        <v>-2.087456623481173E-2</v>
      </c>
      <c r="E42">
        <f t="shared" si="5"/>
        <v>2.0611723330575447E-2</v>
      </c>
      <c r="F42">
        <f t="shared" si="0"/>
        <v>1.9148016780188955E-2</v>
      </c>
      <c r="H42">
        <v>13835.333333333334</v>
      </c>
      <c r="I42">
        <v>2996.3333333333335</v>
      </c>
      <c r="J42" s="12">
        <v>153290.33333333334</v>
      </c>
      <c r="K42">
        <f t="shared" si="1"/>
        <v>9.0255745633014473E-2</v>
      </c>
      <c r="L42">
        <f t="shared" si="2"/>
        <v>1.954678594649369E-2</v>
      </c>
    </row>
    <row r="43" spans="1:12" x14ac:dyDescent="0.25">
      <c r="A43" t="s">
        <v>153</v>
      </c>
      <c r="B43">
        <v>0.96070174658532514</v>
      </c>
      <c r="C43">
        <f t="shared" si="3"/>
        <v>1.8228623980785939E-3</v>
      </c>
      <c r="D43">
        <f t="shared" si="4"/>
        <v>-3.6457247961571878E-3</v>
      </c>
      <c r="E43">
        <f t="shared" si="5"/>
        <v>1.6965998534418259E-2</v>
      </c>
      <c r="F43">
        <f t="shared" si="0"/>
        <v>1.9522642690113501E-2</v>
      </c>
      <c r="H43">
        <v>13902.333333333334</v>
      </c>
      <c r="I43">
        <v>3047.3333333333335</v>
      </c>
      <c r="J43" s="12">
        <v>153466.33333333334</v>
      </c>
      <c r="K43">
        <f t="shared" si="1"/>
        <v>9.0588815353638913E-2</v>
      </c>
      <c r="L43">
        <f t="shared" si="2"/>
        <v>1.9856689523652309E-2</v>
      </c>
    </row>
    <row r="44" spans="1:12" x14ac:dyDescent="0.25">
      <c r="A44" t="s">
        <v>154</v>
      </c>
      <c r="B44">
        <v>0.96314758617402929</v>
      </c>
      <c r="C44">
        <f t="shared" si="3"/>
        <v>2.542653278268441E-3</v>
      </c>
      <c r="D44">
        <f t="shared" si="4"/>
        <v>-5.0853065565368821E-3</v>
      </c>
      <c r="E44">
        <f t="shared" si="5"/>
        <v>1.1880691977881377E-2</v>
      </c>
      <c r="F44">
        <f t="shared" si="0"/>
        <v>2.1265837894529925E-2</v>
      </c>
      <c r="H44">
        <v>13854.666666666666</v>
      </c>
      <c r="I44">
        <v>3307.6666666666665</v>
      </c>
      <c r="J44" s="12">
        <v>153702</v>
      </c>
      <c r="K44">
        <f t="shared" si="1"/>
        <v>9.0139794320611741E-2</v>
      </c>
      <c r="L44">
        <f t="shared" si="2"/>
        <v>2.1519997571057412E-2</v>
      </c>
    </row>
    <row r="45" spans="1:12" x14ac:dyDescent="0.25">
      <c r="A45" t="s">
        <v>155</v>
      </c>
      <c r="B45">
        <v>0.96468562028900484</v>
      </c>
      <c r="C45">
        <f t="shared" si="3"/>
        <v>1.5956094501692881E-3</v>
      </c>
      <c r="D45">
        <f t="shared" si="4"/>
        <v>-3.1912189003385763E-3</v>
      </c>
      <c r="E45">
        <f t="shared" si="5"/>
        <v>8.6894730775428017E-3</v>
      </c>
      <c r="F45">
        <f t="shared" si="0"/>
        <v>2.1047731874271575E-2</v>
      </c>
      <c r="H45">
        <v>13356.666666666666</v>
      </c>
      <c r="I45">
        <v>3270</v>
      </c>
      <c r="J45" s="12">
        <v>154017</v>
      </c>
      <c r="K45">
        <f t="shared" si="1"/>
        <v>8.6722028520661132E-2</v>
      </c>
      <c r="L45">
        <f t="shared" si="2"/>
        <v>2.1231422505307854E-2</v>
      </c>
    </row>
    <row r="46" spans="1:12" x14ac:dyDescent="0.25">
      <c r="A46" t="s">
        <v>156</v>
      </c>
      <c r="B46">
        <v>0.96986526778758364</v>
      </c>
      <c r="C46">
        <f t="shared" si="3"/>
        <v>5.3548964854431644E-3</v>
      </c>
      <c r="D46">
        <f t="shared" si="4"/>
        <v>-1.0709792970886329E-2</v>
      </c>
      <c r="E46">
        <f t="shared" si="5"/>
        <v>-2.0203198933435272E-3</v>
      </c>
      <c r="F46">
        <f t="shared" si="0"/>
        <v>2.3304804747816453E-2</v>
      </c>
      <c r="H46">
        <v>12746.666666666666</v>
      </c>
      <c r="I46">
        <v>3596.3333333333335</v>
      </c>
      <c r="J46" s="12">
        <v>154629.33333333334</v>
      </c>
      <c r="K46">
        <f t="shared" si="1"/>
        <v>8.2433690890904687E-2</v>
      </c>
      <c r="L46">
        <f t="shared" si="2"/>
        <v>2.3257769116683338E-2</v>
      </c>
    </row>
    <row r="47" spans="1:12" x14ac:dyDescent="0.25">
      <c r="A47" t="s">
        <v>157</v>
      </c>
      <c r="B47">
        <v>0.96371898942892587</v>
      </c>
      <c r="C47">
        <f t="shared" si="3"/>
        <v>-6.3574152889833164E-3</v>
      </c>
      <c r="D47">
        <f t="shared" si="4"/>
        <v>1.2714830577966633E-2</v>
      </c>
      <c r="E47">
        <f t="shared" si="5"/>
        <v>1.0694510684623106E-2</v>
      </c>
      <c r="F47">
        <f t="shared" si="0"/>
        <v>2.3614050114508945E-2</v>
      </c>
      <c r="H47">
        <v>12638</v>
      </c>
      <c r="I47">
        <v>3696.3333333333335</v>
      </c>
      <c r="J47" s="12">
        <v>154866</v>
      </c>
      <c r="K47">
        <f t="shared" si="1"/>
        <v>8.1606033603244088E-2</v>
      </c>
      <c r="L47">
        <f t="shared" si="2"/>
        <v>2.3867946052286062E-2</v>
      </c>
    </row>
    <row r="48" spans="1:12" x14ac:dyDescent="0.25">
      <c r="A48" t="s">
        <v>158</v>
      </c>
      <c r="B48">
        <v>0.96319967274441021</v>
      </c>
      <c r="C48">
        <f t="shared" si="3"/>
        <v>-5.3901257721300749E-4</v>
      </c>
      <c r="D48">
        <f t="shared" si="4"/>
        <v>1.078025154426015E-3</v>
      </c>
      <c r="E48">
        <f t="shared" si="5"/>
        <v>1.1772535839049121E-2</v>
      </c>
      <c r="F48">
        <f t="shared" si="0"/>
        <v>2.2828534911815527E-2</v>
      </c>
      <c r="H48">
        <v>12436.666666666666</v>
      </c>
      <c r="I48">
        <v>3578</v>
      </c>
      <c r="J48" s="12">
        <v>154899.33333333334</v>
      </c>
      <c r="K48">
        <f t="shared" si="1"/>
        <v>8.0288703631175504E-2</v>
      </c>
      <c r="L48">
        <f t="shared" si="2"/>
        <v>2.309887281632372E-2</v>
      </c>
    </row>
    <row r="49" spans="1:12" x14ac:dyDescent="0.25">
      <c r="A49" t="s">
        <v>159</v>
      </c>
      <c r="B49">
        <v>0.97194915594396714</v>
      </c>
      <c r="C49">
        <f t="shared" si="3"/>
        <v>9.0427595968806083E-3</v>
      </c>
      <c r="D49">
        <f t="shared" si="4"/>
        <v>-1.8085519193761217E-2</v>
      </c>
      <c r="E49">
        <f t="shared" si="5"/>
        <v>-6.3129833547120959E-3</v>
      </c>
      <c r="F49">
        <f t="shared" si="0"/>
        <v>2.3835371164433648E-2</v>
      </c>
      <c r="H49">
        <v>12165.333333333334</v>
      </c>
      <c r="I49">
        <v>3682.3333333333335</v>
      </c>
      <c r="J49" s="12">
        <v>155468.66666666666</v>
      </c>
      <c r="K49">
        <f t="shared" si="1"/>
        <v>7.8249422177244732E-2</v>
      </c>
      <c r="L49">
        <f t="shared" si="2"/>
        <v>2.3685372829680581E-2</v>
      </c>
    </row>
    <row r="50" spans="1:12" x14ac:dyDescent="0.25">
      <c r="A50" t="s">
        <v>160</v>
      </c>
      <c r="B50">
        <v>0.97600974226203374</v>
      </c>
      <c r="C50">
        <f t="shared" si="3"/>
        <v>4.1690737964595439E-3</v>
      </c>
      <c r="D50">
        <f t="shared" si="4"/>
        <v>-8.3381475929190877E-3</v>
      </c>
      <c r="E50">
        <f t="shared" si="5"/>
        <v>-1.4651130947631184E-2</v>
      </c>
      <c r="F50">
        <f t="shared" si="0"/>
        <v>2.4780957436238312E-2</v>
      </c>
      <c r="H50">
        <v>12035.333333333334</v>
      </c>
      <c r="I50">
        <v>3795</v>
      </c>
      <c r="J50" s="12">
        <v>155402</v>
      </c>
      <c r="K50">
        <f t="shared" si="1"/>
        <v>7.7446450710630069E-2</v>
      </c>
      <c r="L50">
        <f t="shared" si="2"/>
        <v>2.4420535128248027E-2</v>
      </c>
    </row>
    <row r="51" spans="1:12" x14ac:dyDescent="0.25">
      <c r="A51" t="s">
        <v>161</v>
      </c>
      <c r="B51">
        <v>0.97239435428515608</v>
      </c>
      <c r="C51">
        <f t="shared" si="3"/>
        <v>-3.7111317233361578E-3</v>
      </c>
      <c r="D51">
        <f t="shared" si="4"/>
        <v>7.4222634466723156E-3</v>
      </c>
      <c r="E51">
        <f t="shared" si="5"/>
        <v>-7.2288675009588681E-3</v>
      </c>
      <c r="F51">
        <f t="shared" si="0"/>
        <v>2.4982237222500998E-2</v>
      </c>
      <c r="H51">
        <v>11732</v>
      </c>
      <c r="I51">
        <v>3858.6666666666665</v>
      </c>
      <c r="J51" s="12">
        <v>155577</v>
      </c>
      <c r="K51">
        <f t="shared" si="1"/>
        <v>7.5409604247414469E-2</v>
      </c>
      <c r="L51">
        <f t="shared" si="2"/>
        <v>2.4802295112173821E-2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68"/>
  <sheetViews>
    <sheetView workbookViewId="0"/>
  </sheetViews>
  <sheetFormatPr defaultRowHeight="15" x14ac:dyDescent="0.25"/>
  <cols>
    <col min="2" max="5" width="17.85546875" customWidth="1"/>
    <col min="6" max="6" width="8.7109375" style="16" customWidth="1"/>
    <col min="7" max="8" width="17.85546875" customWidth="1"/>
    <col min="9" max="9" width="8.7109375" style="16" customWidth="1"/>
    <col min="10" max="10" width="18" customWidth="1"/>
    <col min="28" max="28" width="8.85546875" style="16"/>
    <col min="29" max="29" width="15.28515625" customWidth="1"/>
    <col min="30" max="30" width="15.28515625" style="9" customWidth="1"/>
    <col min="31" max="31" width="13" customWidth="1"/>
    <col min="32" max="32" width="13.42578125" customWidth="1"/>
    <col min="33" max="33" width="13.28515625" customWidth="1"/>
  </cols>
  <sheetData>
    <row r="1" spans="1:36" ht="14.45" x14ac:dyDescent="0.3">
      <c r="B1" s="15" t="s">
        <v>195</v>
      </c>
      <c r="G1" s="15" t="s">
        <v>193</v>
      </c>
      <c r="AC1" s="15" t="s">
        <v>212</v>
      </c>
      <c r="AD1" s="20"/>
    </row>
    <row r="2" spans="1:36" ht="14.45" x14ac:dyDescent="0.3">
      <c r="B2" t="s">
        <v>191</v>
      </c>
      <c r="C2" t="s">
        <v>196</v>
      </c>
      <c r="D2" t="s">
        <v>192</v>
      </c>
      <c r="E2" t="s">
        <v>218</v>
      </c>
      <c r="G2" t="s">
        <v>194</v>
      </c>
      <c r="H2" t="s">
        <v>197</v>
      </c>
      <c r="J2" t="s">
        <v>217</v>
      </c>
      <c r="AE2" t="s">
        <v>213</v>
      </c>
      <c r="AF2" t="s">
        <v>214</v>
      </c>
      <c r="AG2" t="s">
        <v>215</v>
      </c>
    </row>
    <row r="3" spans="1:36" ht="14.45" x14ac:dyDescent="0.3">
      <c r="A3" t="s">
        <v>112</v>
      </c>
      <c r="B3">
        <v>4889.0390901006676</v>
      </c>
      <c r="C3">
        <v>5370.8597380357996</v>
      </c>
      <c r="D3">
        <v>6188.0829743052709</v>
      </c>
      <c r="E3">
        <f>C3/D3</f>
        <v>0.86793596018947694</v>
      </c>
      <c r="G3">
        <v>4887.333333333333</v>
      </c>
      <c r="H3">
        <v>6084.333333333333</v>
      </c>
      <c r="J3">
        <f>B3/G3</f>
        <v>1.0003490158438142</v>
      </c>
      <c r="AC3" s="8">
        <v>36861</v>
      </c>
      <c r="AD3" s="9">
        <v>12</v>
      </c>
      <c r="AE3">
        <v>5473.4076394509211</v>
      </c>
      <c r="AF3" s="5">
        <v>5634</v>
      </c>
      <c r="AG3" s="5">
        <v>5191</v>
      </c>
    </row>
    <row r="4" spans="1:36" ht="14.45" x14ac:dyDescent="0.3">
      <c r="A4" t="s">
        <v>113</v>
      </c>
      <c r="B4">
        <v>4493.9479086650081</v>
      </c>
      <c r="C4">
        <v>5463.8042823615042</v>
      </c>
      <c r="D4">
        <v>6319.8755271546243</v>
      </c>
      <c r="E4">
        <f t="shared" ref="E4:E52" si="0">C4/D4</f>
        <v>0.86454302128027105</v>
      </c>
      <c r="G4">
        <v>4480.666666666667</v>
      </c>
      <c r="H4">
        <v>6327</v>
      </c>
      <c r="J4">
        <f t="shared" ref="J4:J52" si="1">B4/G4</f>
        <v>1.0029641218564962</v>
      </c>
      <c r="AC4" s="8">
        <v>36892</v>
      </c>
      <c r="AD4" s="9">
        <f>IF(AD3=12,1,AD3+1)</f>
        <v>1</v>
      </c>
      <c r="AE4">
        <v>6128.0764677941761</v>
      </c>
      <c r="AF4" s="5">
        <v>6023</v>
      </c>
      <c r="AG4" s="5">
        <v>5186</v>
      </c>
    </row>
    <row r="5" spans="1:36" ht="14.45" x14ac:dyDescent="0.3">
      <c r="A5" t="s">
        <v>114</v>
      </c>
      <c r="B5">
        <v>4068.8294081206627</v>
      </c>
      <c r="C5">
        <v>6024.7865293676678</v>
      </c>
      <c r="D5">
        <v>6858.6636779187911</v>
      </c>
      <c r="E5">
        <f t="shared" si="0"/>
        <v>0.87841988064879761</v>
      </c>
      <c r="G5">
        <v>4125.333333333333</v>
      </c>
      <c r="H5">
        <v>6922.333333333333</v>
      </c>
      <c r="J5">
        <f t="shared" si="1"/>
        <v>0.98630318554961127</v>
      </c>
      <c r="AC5" s="8">
        <v>36923</v>
      </c>
      <c r="AD5" s="9">
        <f t="shared" ref="AD5:AD68" si="2">IF(AD4=12,1,AD4+1)</f>
        <v>2</v>
      </c>
      <c r="AE5">
        <v>6128.8090398984286</v>
      </c>
      <c r="AF5" s="5">
        <v>6089</v>
      </c>
      <c r="AG5" s="5">
        <v>4702</v>
      </c>
    </row>
    <row r="6" spans="1:36" ht="14.45" x14ac:dyDescent="0.3">
      <c r="A6" t="s">
        <v>115</v>
      </c>
      <c r="B6">
        <v>3524.6267427542025</v>
      </c>
      <c r="C6">
        <v>6981.23759997254</v>
      </c>
      <c r="D6">
        <v>7885.669081764474</v>
      </c>
      <c r="E6">
        <f t="shared" si="0"/>
        <v>0.88530694448193092</v>
      </c>
      <c r="G6">
        <v>3560</v>
      </c>
      <c r="H6">
        <v>7985</v>
      </c>
      <c r="J6">
        <f t="shared" si="1"/>
        <v>0.99006369178488829</v>
      </c>
      <c r="AC6" s="8">
        <v>36951</v>
      </c>
      <c r="AD6" s="9">
        <f t="shared" si="2"/>
        <v>3</v>
      </c>
      <c r="AE6">
        <v>6307.363415223208</v>
      </c>
      <c r="AF6" s="5">
        <v>6141</v>
      </c>
      <c r="AG6" s="5">
        <v>4774</v>
      </c>
      <c r="AH6">
        <f>IF( OR($AD3=3,$AD3=6,$AD3=9,$AD3=12),   AVERAGE(AE4:AE6), "")</f>
        <v>6188.0829743052709</v>
      </c>
      <c r="AI6">
        <f>IF( OR($AD3=3,$AD3=6,$AD3=9,$AD3=12),   AVERAGE(AF4:AF6), "")</f>
        <v>6084.333333333333</v>
      </c>
      <c r="AJ6">
        <f>IF( OR($AD3=3,$AD3=6,$AD3=9,$AD3=12),   AVERAGE(AG4:AG6), "")</f>
        <v>4887.333333333333</v>
      </c>
    </row>
    <row r="7" spans="1:36" ht="14.45" x14ac:dyDescent="0.3">
      <c r="A7" t="s">
        <v>116</v>
      </c>
      <c r="B7">
        <v>3483.4201618233101</v>
      </c>
      <c r="C7">
        <v>7390.4917606250192</v>
      </c>
      <c r="D7">
        <v>8379.450969904552</v>
      </c>
      <c r="E7">
        <f t="shared" si="0"/>
        <v>0.88197804213767028</v>
      </c>
      <c r="G7">
        <v>3500.6666666666665</v>
      </c>
      <c r="H7">
        <v>8233.6666666666661</v>
      </c>
      <c r="J7">
        <f t="shared" si="1"/>
        <v>0.99507336559416593</v>
      </c>
      <c r="AC7" s="8">
        <v>36982</v>
      </c>
      <c r="AD7" s="9">
        <f t="shared" si="2"/>
        <v>4</v>
      </c>
      <c r="AE7">
        <v>6286.6581856709408</v>
      </c>
      <c r="AF7" s="5">
        <v>6271</v>
      </c>
      <c r="AG7" s="5">
        <v>4653</v>
      </c>
      <c r="AH7" t="str">
        <f t="shared" ref="AH7:AJ7" si="3">IF( OR($AD4=3,$AD4=6,$AD4=9,$AD4=12),   AVERAGE(AE5:AE7), "")</f>
        <v/>
      </c>
      <c r="AI7" t="str">
        <f t="shared" si="3"/>
        <v/>
      </c>
      <c r="AJ7" t="str">
        <f t="shared" si="3"/>
        <v/>
      </c>
    </row>
    <row r="8" spans="1:36" ht="14.45" x14ac:dyDescent="0.3">
      <c r="A8" t="s">
        <v>117</v>
      </c>
      <c r="B8">
        <v>3379.8316113145283</v>
      </c>
      <c r="C8">
        <v>7483.3971008780154</v>
      </c>
      <c r="D8">
        <v>8443.6170123453212</v>
      </c>
      <c r="E8">
        <f t="shared" si="0"/>
        <v>0.88627860429204941</v>
      </c>
      <c r="G8">
        <v>3368.6666666666665</v>
      </c>
      <c r="H8">
        <v>8463.6666666666661</v>
      </c>
      <c r="J8">
        <f t="shared" si="1"/>
        <v>1.0033143512708871</v>
      </c>
      <c r="AC8" s="8">
        <v>37012</v>
      </c>
      <c r="AD8" s="9">
        <f t="shared" si="2"/>
        <v>5</v>
      </c>
      <c r="AE8">
        <v>6157.3138694210957</v>
      </c>
      <c r="AF8" s="5">
        <v>6226</v>
      </c>
      <c r="AG8" s="5">
        <v>4452</v>
      </c>
      <c r="AH8" t="str">
        <f t="shared" ref="AH8:AJ8" si="4">IF( OR($AD5=3,$AD5=6,$AD5=9,$AD5=12),   AVERAGE(AE6:AE8), "")</f>
        <v/>
      </c>
      <c r="AI8" t="str">
        <f t="shared" si="4"/>
        <v/>
      </c>
      <c r="AJ8" t="str">
        <f t="shared" si="4"/>
        <v/>
      </c>
    </row>
    <row r="9" spans="1:36" ht="14.45" x14ac:dyDescent="0.3">
      <c r="A9" t="s">
        <v>118</v>
      </c>
      <c r="B9">
        <v>3326.660082324177</v>
      </c>
      <c r="C9">
        <v>7269.3297247977216</v>
      </c>
      <c r="D9">
        <v>8213.1447159681684</v>
      </c>
      <c r="E9">
        <f t="shared" si="0"/>
        <v>0.88508482148920842</v>
      </c>
      <c r="G9">
        <v>3369.3333333333335</v>
      </c>
      <c r="H9">
        <v>8315</v>
      </c>
      <c r="J9">
        <f t="shared" si="1"/>
        <v>0.98733480876261681</v>
      </c>
      <c r="AC9" s="8">
        <v>37043</v>
      </c>
      <c r="AD9" s="9">
        <f t="shared" si="2"/>
        <v>6</v>
      </c>
      <c r="AE9">
        <v>6515.6545263718372</v>
      </c>
      <c r="AF9" s="5">
        <v>6484</v>
      </c>
      <c r="AG9" s="5">
        <v>4337</v>
      </c>
      <c r="AH9">
        <f t="shared" ref="AH9:AJ9" si="5">IF( OR($AD6=3,$AD6=6,$AD6=9,$AD6=12),   AVERAGE(AE7:AE9), "")</f>
        <v>6319.8755271546243</v>
      </c>
      <c r="AI9">
        <f t="shared" si="5"/>
        <v>6327</v>
      </c>
      <c r="AJ9">
        <f t="shared" si="5"/>
        <v>4480.666666666667</v>
      </c>
    </row>
    <row r="10" spans="1:36" ht="14.45" x14ac:dyDescent="0.3">
      <c r="A10" t="s">
        <v>119</v>
      </c>
      <c r="B10">
        <v>3352.2474398906538</v>
      </c>
      <c r="C10">
        <v>7474.3676916122186</v>
      </c>
      <c r="D10">
        <v>8439.5875974292358</v>
      </c>
      <c r="E10">
        <f t="shared" si="0"/>
        <v>0.88563186356273726</v>
      </c>
      <c r="G10">
        <v>3376.3333333333335</v>
      </c>
      <c r="H10">
        <v>8489</v>
      </c>
      <c r="J10">
        <f t="shared" si="1"/>
        <v>0.99286625724868804</v>
      </c>
      <c r="AC10" s="8">
        <v>37073</v>
      </c>
      <c r="AD10" s="9">
        <f t="shared" si="2"/>
        <v>7</v>
      </c>
      <c r="AE10">
        <v>6525.0794469541579</v>
      </c>
      <c r="AF10" s="5">
        <v>6583</v>
      </c>
      <c r="AG10" s="5">
        <v>4231</v>
      </c>
      <c r="AH10" t="str">
        <f t="shared" ref="AH10:AJ10" si="6">IF( OR($AD7=3,$AD7=6,$AD7=9,$AD7=12),   AVERAGE(AE8:AE10), "")</f>
        <v/>
      </c>
      <c r="AI10" t="str">
        <f t="shared" si="6"/>
        <v/>
      </c>
      <c r="AJ10" t="str">
        <f t="shared" si="6"/>
        <v/>
      </c>
    </row>
    <row r="11" spans="1:36" ht="14.45" x14ac:dyDescent="0.3">
      <c r="A11" t="s">
        <v>120</v>
      </c>
      <c r="B11">
        <v>3337.312245341278</v>
      </c>
      <c r="C11">
        <v>7625.344280671693</v>
      </c>
      <c r="D11">
        <v>8700.1974031461596</v>
      </c>
      <c r="E11">
        <f t="shared" si="0"/>
        <v>0.87645646728822746</v>
      </c>
      <c r="G11">
        <v>3350.6666666666665</v>
      </c>
      <c r="H11">
        <v>8575.3333333333339</v>
      </c>
      <c r="J11">
        <f t="shared" si="1"/>
        <v>0.99601439872899267</v>
      </c>
      <c r="AC11" s="8">
        <v>37104</v>
      </c>
      <c r="AD11" s="9">
        <f t="shared" si="2"/>
        <v>8</v>
      </c>
      <c r="AE11">
        <v>6979.5724967737005</v>
      </c>
      <c r="AF11" s="5">
        <v>7042</v>
      </c>
      <c r="AG11" s="5">
        <v>4139</v>
      </c>
      <c r="AH11" t="str">
        <f t="shared" ref="AH11:AJ11" si="7">IF( OR($AD8=3,$AD8=6,$AD8=9,$AD8=12),   AVERAGE(AE9:AE11), "")</f>
        <v/>
      </c>
      <c r="AI11" t="str">
        <f t="shared" si="7"/>
        <v/>
      </c>
      <c r="AJ11" t="str">
        <f t="shared" si="7"/>
        <v/>
      </c>
    </row>
    <row r="12" spans="1:36" ht="14.45" x14ac:dyDescent="0.3">
      <c r="A12" t="s">
        <v>121</v>
      </c>
      <c r="B12">
        <v>3145.9194840161217</v>
      </c>
      <c r="C12">
        <v>7884.3713190823501</v>
      </c>
      <c r="D12">
        <v>8998.0783102007263</v>
      </c>
      <c r="E12">
        <f t="shared" si="0"/>
        <v>0.87622835090734696</v>
      </c>
      <c r="G12">
        <v>3137</v>
      </c>
      <c r="H12">
        <v>9021.6666666666661</v>
      </c>
      <c r="J12">
        <f t="shared" si="1"/>
        <v>1.0028433165496085</v>
      </c>
      <c r="AC12" s="8">
        <v>37135</v>
      </c>
      <c r="AD12" s="9">
        <f t="shared" si="2"/>
        <v>9</v>
      </c>
      <c r="AE12">
        <v>7071.3390900285158</v>
      </c>
      <c r="AF12" s="5">
        <v>7142</v>
      </c>
      <c r="AG12" s="5">
        <v>4006</v>
      </c>
      <c r="AH12">
        <f t="shared" ref="AH12:AJ12" si="8">IF( OR($AD9=3,$AD9=6,$AD9=9,$AD9=12),   AVERAGE(AE10:AE12), "")</f>
        <v>6858.6636779187911</v>
      </c>
      <c r="AI12">
        <f t="shared" si="8"/>
        <v>6922.333333333333</v>
      </c>
      <c r="AJ12">
        <f t="shared" si="8"/>
        <v>4125.333333333333</v>
      </c>
    </row>
    <row r="13" spans="1:36" ht="14.45" x14ac:dyDescent="0.3">
      <c r="A13" t="s">
        <v>122</v>
      </c>
      <c r="B13">
        <v>3068.3431046213987</v>
      </c>
      <c r="C13">
        <v>7699.5520351346777</v>
      </c>
      <c r="D13">
        <v>8822.0721468050906</v>
      </c>
      <c r="E13">
        <f t="shared" si="0"/>
        <v>0.87276003947928116</v>
      </c>
      <c r="G13">
        <v>3113</v>
      </c>
      <c r="H13">
        <v>8942.6666666666661</v>
      </c>
      <c r="J13">
        <f t="shared" si="1"/>
        <v>0.98565470755586204</v>
      </c>
      <c r="AC13" s="8">
        <v>37165</v>
      </c>
      <c r="AD13" s="9">
        <f t="shared" si="2"/>
        <v>10</v>
      </c>
      <c r="AE13">
        <v>7624.5988147210128</v>
      </c>
      <c r="AF13" s="5">
        <v>7694</v>
      </c>
      <c r="AG13" s="5">
        <v>3583</v>
      </c>
      <c r="AH13" t="str">
        <f t="shared" ref="AH13:AJ13" si="9">IF( OR($AD10=3,$AD10=6,$AD10=9,$AD10=12),   AVERAGE(AE11:AE13), "")</f>
        <v/>
      </c>
      <c r="AI13" t="str">
        <f t="shared" si="9"/>
        <v/>
      </c>
      <c r="AJ13" t="str">
        <f t="shared" si="9"/>
        <v/>
      </c>
    </row>
    <row r="14" spans="1:36" ht="14.45" x14ac:dyDescent="0.3">
      <c r="A14" t="s">
        <v>123</v>
      </c>
      <c r="B14">
        <v>3211.9872825583507</v>
      </c>
      <c r="C14">
        <v>7429.6211990299189</v>
      </c>
      <c r="D14">
        <v>8524.2186265711989</v>
      </c>
      <c r="E14">
        <f t="shared" si="0"/>
        <v>0.87158970511041745</v>
      </c>
      <c r="G14">
        <v>3227</v>
      </c>
      <c r="H14">
        <v>8541.6666666666661</v>
      </c>
      <c r="J14">
        <f t="shared" si="1"/>
        <v>0.99534777891489024</v>
      </c>
      <c r="AC14" s="8">
        <v>37196</v>
      </c>
      <c r="AD14" s="9">
        <f t="shared" si="2"/>
        <v>11</v>
      </c>
      <c r="AE14">
        <v>7950.1900450382109</v>
      </c>
      <c r="AF14" s="5">
        <v>8003</v>
      </c>
      <c r="AG14" s="5">
        <v>3538</v>
      </c>
      <c r="AH14" t="str">
        <f t="shared" ref="AH14:AJ14" si="10">IF( OR($AD11=3,$AD11=6,$AD11=9,$AD11=12),   AVERAGE(AE12:AE14), "")</f>
        <v/>
      </c>
      <c r="AI14" t="str">
        <f t="shared" si="10"/>
        <v/>
      </c>
      <c r="AJ14" t="str">
        <f t="shared" si="10"/>
        <v/>
      </c>
    </row>
    <row r="15" spans="1:36" ht="14.45" x14ac:dyDescent="0.3">
      <c r="A15" t="s">
        <v>124</v>
      </c>
      <c r="B15">
        <v>3356.6650557124449</v>
      </c>
      <c r="C15">
        <v>7349.0540077058149</v>
      </c>
      <c r="D15">
        <v>8410.1662055333727</v>
      </c>
      <c r="E15">
        <f t="shared" si="0"/>
        <v>0.8738298183537192</v>
      </c>
      <c r="G15">
        <v>3377</v>
      </c>
      <c r="H15">
        <v>8342.6666666666661</v>
      </c>
      <c r="J15">
        <f t="shared" si="1"/>
        <v>0.99397839967795232</v>
      </c>
      <c r="AC15" s="8">
        <v>37226</v>
      </c>
      <c r="AD15" s="9">
        <f t="shared" si="2"/>
        <v>12</v>
      </c>
      <c r="AE15">
        <v>8082.2183855341964</v>
      </c>
      <c r="AF15" s="5">
        <v>8258</v>
      </c>
      <c r="AG15" s="5">
        <v>3559</v>
      </c>
      <c r="AH15">
        <f t="shared" ref="AH15:AJ15" si="11">IF( OR($AD12=3,$AD12=6,$AD12=9,$AD12=12),   AVERAGE(AE13:AE15), "")</f>
        <v>7885.669081764474</v>
      </c>
      <c r="AI15">
        <f t="shared" si="11"/>
        <v>7985</v>
      </c>
      <c r="AJ15">
        <f t="shared" si="11"/>
        <v>3560</v>
      </c>
    </row>
    <row r="16" spans="1:36" ht="14.45" x14ac:dyDescent="0.3">
      <c r="A16" t="s">
        <v>125</v>
      </c>
      <c r="B16">
        <v>3525.3957086672681</v>
      </c>
      <c r="C16">
        <v>7056.3919898026361</v>
      </c>
      <c r="D16">
        <v>8190.9137956483801</v>
      </c>
      <c r="E16">
        <f t="shared" si="0"/>
        <v>0.86149020315065628</v>
      </c>
      <c r="G16">
        <v>3522.3333333333335</v>
      </c>
      <c r="H16">
        <v>8222.6666666666661</v>
      </c>
      <c r="J16">
        <f t="shared" si="1"/>
        <v>1.0008694166747236</v>
      </c>
      <c r="AC16" s="8">
        <v>37257</v>
      </c>
      <c r="AD16" s="9">
        <f t="shared" si="2"/>
        <v>1</v>
      </c>
      <c r="AE16">
        <v>8344.3989935316822</v>
      </c>
      <c r="AF16" s="5">
        <v>8182</v>
      </c>
      <c r="AG16" s="5">
        <v>3572</v>
      </c>
      <c r="AH16" t="str">
        <f t="shared" ref="AH16:AJ16" si="12">IF( OR($AD13=3,$AD13=6,$AD13=9,$AD13=12),   AVERAGE(AE14:AE16), "")</f>
        <v/>
      </c>
      <c r="AI16" t="str">
        <f t="shared" si="12"/>
        <v/>
      </c>
      <c r="AJ16" t="str">
        <f t="shared" si="12"/>
        <v/>
      </c>
    </row>
    <row r="17" spans="1:36" ht="14.45" x14ac:dyDescent="0.3">
      <c r="A17" t="s">
        <v>126</v>
      </c>
      <c r="B17">
        <v>3684.0567415829723</v>
      </c>
      <c r="C17">
        <v>6764.5450737719657</v>
      </c>
      <c r="D17">
        <v>7962.5461747882737</v>
      </c>
      <c r="E17">
        <f t="shared" si="0"/>
        <v>0.84954547518863677</v>
      </c>
      <c r="G17">
        <v>3728</v>
      </c>
      <c r="H17">
        <v>8017.666666666667</v>
      </c>
      <c r="J17">
        <f t="shared" si="1"/>
        <v>0.98821264527440245</v>
      </c>
      <c r="AC17" s="8">
        <v>37288</v>
      </c>
      <c r="AD17" s="9">
        <f t="shared" si="2"/>
        <v>2</v>
      </c>
      <c r="AE17">
        <v>8289.8178995897342</v>
      </c>
      <c r="AF17" s="5">
        <v>8215</v>
      </c>
      <c r="AG17" s="5">
        <v>3370</v>
      </c>
      <c r="AH17" t="str">
        <f t="shared" ref="AH17:AJ17" si="13">IF( OR($AD14=3,$AD14=6,$AD14=9,$AD14=12),   AVERAGE(AE15:AE17), "")</f>
        <v/>
      </c>
      <c r="AI17" t="str">
        <f t="shared" si="13"/>
        <v/>
      </c>
      <c r="AJ17" t="str">
        <f t="shared" si="13"/>
        <v/>
      </c>
    </row>
    <row r="18" spans="1:36" ht="14.45" x14ac:dyDescent="0.3">
      <c r="A18" t="s">
        <v>127</v>
      </c>
      <c r="B18">
        <v>3671.6402250729193</v>
      </c>
      <c r="C18">
        <v>6795.5257501567894</v>
      </c>
      <c r="D18">
        <v>7968.1642061464181</v>
      </c>
      <c r="E18">
        <f t="shared" si="0"/>
        <v>0.85283455189275736</v>
      </c>
      <c r="G18">
        <v>3675.6666666666665</v>
      </c>
      <c r="H18">
        <v>7975.666666666667</v>
      </c>
      <c r="J18">
        <f t="shared" si="1"/>
        <v>0.99890456835211372</v>
      </c>
      <c r="AC18" s="8">
        <v>37316</v>
      </c>
      <c r="AD18" s="9">
        <f t="shared" si="2"/>
        <v>3</v>
      </c>
      <c r="AE18">
        <v>8504.1360165922379</v>
      </c>
      <c r="AF18" s="5">
        <v>8304</v>
      </c>
      <c r="AG18" s="5">
        <v>3560</v>
      </c>
      <c r="AH18">
        <f t="shared" ref="AH18:AJ18" si="14">IF( OR($AD15=3,$AD15=6,$AD15=9,$AD15=12),   AVERAGE(AE16:AE18), "")</f>
        <v>8379.450969904552</v>
      </c>
      <c r="AI18">
        <f t="shared" si="14"/>
        <v>8233.6666666666661</v>
      </c>
      <c r="AJ18">
        <f t="shared" si="14"/>
        <v>3500.6666666666665</v>
      </c>
    </row>
    <row r="19" spans="1:36" ht="14.45" x14ac:dyDescent="0.3">
      <c r="A19" t="s">
        <v>128</v>
      </c>
      <c r="B19">
        <v>3746.1956026609282</v>
      </c>
      <c r="C19">
        <v>6722.3995956700574</v>
      </c>
      <c r="D19">
        <v>7851.9238270861497</v>
      </c>
      <c r="E19">
        <f t="shared" si="0"/>
        <v>0.85614681748189359</v>
      </c>
      <c r="G19">
        <v>3770.3333333333335</v>
      </c>
      <c r="H19">
        <v>7833.666666666667</v>
      </c>
      <c r="J19">
        <f t="shared" si="1"/>
        <v>0.99359798496886076</v>
      </c>
      <c r="AC19" s="8">
        <v>37347</v>
      </c>
      <c r="AD19" s="9">
        <f t="shared" si="2"/>
        <v>4</v>
      </c>
      <c r="AE19">
        <v>8643.631466141509</v>
      </c>
      <c r="AF19" s="5">
        <v>8599</v>
      </c>
      <c r="AG19" s="5">
        <v>3373</v>
      </c>
      <c r="AH19" t="str">
        <f t="shared" ref="AH19:AJ19" si="15">IF( OR($AD16=3,$AD16=6,$AD16=9,$AD16=12),   AVERAGE(AE17:AE19), "")</f>
        <v/>
      </c>
      <c r="AI19" t="str">
        <f t="shared" si="15"/>
        <v/>
      </c>
      <c r="AJ19" t="str">
        <f t="shared" si="15"/>
        <v/>
      </c>
    </row>
    <row r="20" spans="1:36" ht="14.45" x14ac:dyDescent="0.3">
      <c r="A20" t="s">
        <v>129</v>
      </c>
      <c r="B20">
        <v>3986.2053492292862</v>
      </c>
      <c r="C20">
        <v>6459.4950575374278</v>
      </c>
      <c r="D20">
        <v>7602.3484603820834</v>
      </c>
      <c r="E20">
        <f t="shared" si="0"/>
        <v>0.8496710051110683</v>
      </c>
      <c r="G20">
        <v>3999.3333333333335</v>
      </c>
      <c r="H20">
        <v>7615.666666666667</v>
      </c>
      <c r="J20">
        <f t="shared" si="1"/>
        <v>0.9967174568834688</v>
      </c>
      <c r="AC20" s="8">
        <v>37377</v>
      </c>
      <c r="AD20" s="9">
        <f t="shared" si="2"/>
        <v>5</v>
      </c>
      <c r="AE20">
        <v>8315.1388282353346</v>
      </c>
      <c r="AF20" s="5">
        <v>8399</v>
      </c>
      <c r="AG20" s="5">
        <v>3482</v>
      </c>
      <c r="AH20" t="str">
        <f t="shared" ref="AH20:AJ20" si="16">IF( OR($AD17=3,$AD17=6,$AD17=9,$AD17=12),   AVERAGE(AE18:AE20), "")</f>
        <v/>
      </c>
      <c r="AI20" t="str">
        <f t="shared" si="16"/>
        <v/>
      </c>
      <c r="AJ20" t="str">
        <f t="shared" si="16"/>
        <v/>
      </c>
    </row>
    <row r="21" spans="1:36" ht="14.45" x14ac:dyDescent="0.3">
      <c r="A21" t="s">
        <v>130</v>
      </c>
      <c r="B21">
        <v>4139.3040417627617</v>
      </c>
      <c r="C21">
        <v>6391.7565278611082</v>
      </c>
      <c r="D21">
        <v>7444.3211258343244</v>
      </c>
      <c r="E21">
        <f t="shared" si="0"/>
        <v>0.85860838346690083</v>
      </c>
      <c r="G21">
        <v>4177.333333333333</v>
      </c>
      <c r="H21">
        <v>7434.666666666667</v>
      </c>
      <c r="J21">
        <f t="shared" si="1"/>
        <v>0.99089627555763538</v>
      </c>
      <c r="AC21" s="8">
        <v>37408</v>
      </c>
      <c r="AD21" s="9">
        <f t="shared" si="2"/>
        <v>6</v>
      </c>
      <c r="AE21">
        <v>8372.0807426591182</v>
      </c>
      <c r="AF21" s="5">
        <v>8393</v>
      </c>
      <c r="AG21" s="5">
        <v>3251</v>
      </c>
      <c r="AH21">
        <f t="shared" ref="AH21:AJ21" si="17">IF( OR($AD18=3,$AD18=6,$AD18=9,$AD18=12),   AVERAGE(AE19:AE21), "")</f>
        <v>8443.6170123453212</v>
      </c>
      <c r="AI21">
        <f t="shared" si="17"/>
        <v>8463.6666666666661</v>
      </c>
      <c r="AJ21">
        <f t="shared" si="17"/>
        <v>3368.6666666666665</v>
      </c>
    </row>
    <row r="22" spans="1:36" ht="14.45" x14ac:dyDescent="0.3">
      <c r="A22" t="s">
        <v>131</v>
      </c>
      <c r="B22">
        <v>4320.2488419562178</v>
      </c>
      <c r="C22">
        <v>6340.2162900287667</v>
      </c>
      <c r="D22">
        <v>7407.3831285274746</v>
      </c>
      <c r="E22">
        <f t="shared" si="0"/>
        <v>0.85593200459838348</v>
      </c>
      <c r="G22">
        <v>4312</v>
      </c>
      <c r="H22">
        <v>7432.666666666667</v>
      </c>
      <c r="J22">
        <f t="shared" si="1"/>
        <v>1.0019129967430931</v>
      </c>
      <c r="AC22" s="8">
        <v>37438</v>
      </c>
      <c r="AD22" s="9">
        <f t="shared" si="2"/>
        <v>7</v>
      </c>
      <c r="AE22">
        <v>8270.999654764144</v>
      </c>
      <c r="AF22" s="5">
        <v>8390</v>
      </c>
      <c r="AG22" s="5">
        <v>3403</v>
      </c>
      <c r="AH22" t="str">
        <f t="shared" ref="AH22:AJ22" si="18">IF( OR($AD19=3,$AD19=6,$AD19=9,$AD19=12),   AVERAGE(AE20:AE22), "")</f>
        <v/>
      </c>
      <c r="AI22" t="str">
        <f t="shared" si="18"/>
        <v/>
      </c>
      <c r="AJ22" t="str">
        <f t="shared" si="18"/>
        <v/>
      </c>
    </row>
    <row r="23" spans="1:36" ht="14.45" x14ac:dyDescent="0.3">
      <c r="A23" t="s">
        <v>132</v>
      </c>
      <c r="B23">
        <v>4316.2576288100672</v>
      </c>
      <c r="C23">
        <v>6045.9174776253903</v>
      </c>
      <c r="D23">
        <v>7090.4904463203065</v>
      </c>
      <c r="E23">
        <f t="shared" si="0"/>
        <v>0.85267972975874895</v>
      </c>
      <c r="G23">
        <v>4350</v>
      </c>
      <c r="H23">
        <v>7106.666666666667</v>
      </c>
      <c r="J23">
        <f t="shared" si="1"/>
        <v>0.99224313305978562</v>
      </c>
      <c r="AC23" s="8">
        <v>37469</v>
      </c>
      <c r="AD23" s="9">
        <f t="shared" si="2"/>
        <v>8</v>
      </c>
      <c r="AE23">
        <v>8226.8838707161576</v>
      </c>
      <c r="AF23" s="5">
        <v>8304</v>
      </c>
      <c r="AG23" s="5">
        <v>3415</v>
      </c>
      <c r="AH23" t="str">
        <f t="shared" ref="AH23:AJ23" si="19">IF( OR($AD20=3,$AD20=6,$AD20=9,$AD20=12),   AVERAGE(AE21:AE23), "")</f>
        <v/>
      </c>
      <c r="AI23" t="str">
        <f t="shared" si="19"/>
        <v/>
      </c>
      <c r="AJ23" t="str">
        <f t="shared" si="19"/>
        <v/>
      </c>
    </row>
    <row r="24" spans="1:36" ht="14.45" x14ac:dyDescent="0.3">
      <c r="A24" t="s">
        <v>133</v>
      </c>
      <c r="B24">
        <v>4397.1331745829893</v>
      </c>
      <c r="C24">
        <v>6024.3716106472366</v>
      </c>
      <c r="D24">
        <v>7028.6352398299787</v>
      </c>
      <c r="E24">
        <f t="shared" si="0"/>
        <v>0.85711826052776707</v>
      </c>
      <c r="G24">
        <v>4419.333333333333</v>
      </c>
      <c r="H24">
        <v>7033.666666666667</v>
      </c>
      <c r="J24">
        <f t="shared" si="1"/>
        <v>0.99497658196929917</v>
      </c>
      <c r="AC24" s="8">
        <v>37500</v>
      </c>
      <c r="AD24" s="9">
        <f t="shared" si="2"/>
        <v>9</v>
      </c>
      <c r="AE24">
        <v>8141.5506224241999</v>
      </c>
      <c r="AF24" s="5">
        <v>8251</v>
      </c>
      <c r="AG24" s="5">
        <v>3290</v>
      </c>
      <c r="AH24">
        <f t="shared" ref="AH24:AJ24" si="20">IF( OR($AD21=3,$AD21=6,$AD21=9,$AD21=12),   AVERAGE(AE22:AE24), "")</f>
        <v>8213.1447159681684</v>
      </c>
      <c r="AI24">
        <f t="shared" si="20"/>
        <v>8315</v>
      </c>
      <c r="AJ24">
        <f t="shared" si="20"/>
        <v>3369.3333333333335</v>
      </c>
    </row>
    <row r="25" spans="1:36" ht="14.45" x14ac:dyDescent="0.3">
      <c r="A25" t="s">
        <v>134</v>
      </c>
      <c r="B25">
        <v>4356.5395184743256</v>
      </c>
      <c r="C25">
        <v>6025.8566679288169</v>
      </c>
      <c r="D25">
        <v>7068.3808408596988</v>
      </c>
      <c r="E25">
        <f t="shared" si="0"/>
        <v>0.85250877161224325</v>
      </c>
      <c r="G25">
        <v>4379</v>
      </c>
      <c r="H25">
        <v>7037.666666666667</v>
      </c>
      <c r="J25">
        <f t="shared" si="1"/>
        <v>0.9948708651459981</v>
      </c>
      <c r="AC25" s="8">
        <v>37530</v>
      </c>
      <c r="AD25" s="9">
        <f t="shared" si="2"/>
        <v>10</v>
      </c>
      <c r="AE25">
        <v>8255.8199570128982</v>
      </c>
      <c r="AF25" s="5">
        <v>8307</v>
      </c>
      <c r="AG25" s="5">
        <v>3560</v>
      </c>
      <c r="AH25" t="str">
        <f t="shared" ref="AH25:AJ25" si="21">IF( OR($AD22=3,$AD22=6,$AD22=9,$AD22=12),   AVERAGE(AE23:AE25), "")</f>
        <v/>
      </c>
      <c r="AI25" t="str">
        <f t="shared" si="21"/>
        <v/>
      </c>
      <c r="AJ25" t="str">
        <f t="shared" si="21"/>
        <v/>
      </c>
    </row>
    <row r="26" spans="1:36" ht="14.45" x14ac:dyDescent="0.3">
      <c r="A26" t="s">
        <v>135</v>
      </c>
      <c r="B26">
        <v>4586.5022865651827</v>
      </c>
      <c r="C26">
        <v>5778.9632557478781</v>
      </c>
      <c r="D26">
        <v>6759.2959421382329</v>
      </c>
      <c r="E26">
        <f t="shared" si="0"/>
        <v>0.85496526638538672</v>
      </c>
      <c r="G26">
        <v>4574</v>
      </c>
      <c r="H26">
        <v>6787</v>
      </c>
      <c r="J26">
        <f t="shared" si="1"/>
        <v>1.0027333376836867</v>
      </c>
      <c r="AC26" s="8">
        <v>37561</v>
      </c>
      <c r="AD26" s="9">
        <f t="shared" si="2"/>
        <v>11</v>
      </c>
      <c r="AE26">
        <v>8527.3798960170898</v>
      </c>
      <c r="AF26" s="5">
        <v>8520</v>
      </c>
      <c r="AG26" s="5">
        <v>3513</v>
      </c>
      <c r="AH26" t="str">
        <f t="shared" ref="AH26:AJ26" si="22">IF( OR($AD23=3,$AD23=6,$AD23=9,$AD23=12),   AVERAGE(AE24:AE26), "")</f>
        <v/>
      </c>
      <c r="AI26" t="str">
        <f t="shared" si="22"/>
        <v/>
      </c>
      <c r="AJ26" t="str">
        <f t="shared" si="22"/>
        <v/>
      </c>
    </row>
    <row r="27" spans="1:36" ht="14.45" x14ac:dyDescent="0.3">
      <c r="A27" t="s">
        <v>136</v>
      </c>
      <c r="B27">
        <v>4565.0222945131809</v>
      </c>
      <c r="C27">
        <v>5857.723790131944</v>
      </c>
      <c r="D27">
        <v>6901.1702885559389</v>
      </c>
      <c r="E27">
        <f t="shared" si="0"/>
        <v>0.84880151412082683</v>
      </c>
      <c r="G27">
        <v>4597.333333333333</v>
      </c>
      <c r="H27">
        <v>6924.666666666667</v>
      </c>
      <c r="J27">
        <f t="shared" si="1"/>
        <v>0.99297178679956088</v>
      </c>
      <c r="AC27" s="8">
        <v>37591</v>
      </c>
      <c r="AD27" s="9">
        <f t="shared" si="2"/>
        <v>12</v>
      </c>
      <c r="AE27">
        <v>8535.5629392577157</v>
      </c>
      <c r="AF27" s="5">
        <v>8640</v>
      </c>
      <c r="AG27" s="5">
        <v>3056</v>
      </c>
      <c r="AH27">
        <f t="shared" ref="AH27:AJ27" si="23">IF( OR($AD24=3,$AD24=6,$AD24=9,$AD24=12),   AVERAGE(AE25:AE27), "")</f>
        <v>8439.5875974292358</v>
      </c>
      <c r="AI27">
        <f t="shared" si="23"/>
        <v>8489</v>
      </c>
      <c r="AJ27">
        <f t="shared" si="23"/>
        <v>3376.3333333333335</v>
      </c>
    </row>
    <row r="28" spans="1:36" ht="14.45" x14ac:dyDescent="0.3">
      <c r="A28" t="s">
        <v>137</v>
      </c>
      <c r="B28">
        <v>4523.4820393745458</v>
      </c>
      <c r="C28">
        <v>5870.3683781523478</v>
      </c>
      <c r="D28">
        <v>6860.2622567856261</v>
      </c>
      <c r="E28">
        <f t="shared" si="0"/>
        <v>0.85570611711612721</v>
      </c>
      <c r="G28">
        <v>4555.666666666667</v>
      </c>
      <c r="H28">
        <v>6865</v>
      </c>
      <c r="J28">
        <f t="shared" si="1"/>
        <v>0.99293525412479966</v>
      </c>
      <c r="AC28" s="8">
        <v>37622</v>
      </c>
      <c r="AD28" s="9">
        <f t="shared" si="2"/>
        <v>1</v>
      </c>
      <c r="AE28">
        <v>8661.5433150182471</v>
      </c>
      <c r="AF28" s="5">
        <v>8520</v>
      </c>
      <c r="AG28" s="5">
        <v>3618</v>
      </c>
      <c r="AH28" t="str">
        <f t="shared" ref="AH28:AJ28" si="24">IF( OR($AD25=3,$AD25=6,$AD25=9,$AD25=12),   AVERAGE(AE26:AE28), "")</f>
        <v/>
      </c>
      <c r="AI28" t="str">
        <f t="shared" si="24"/>
        <v/>
      </c>
      <c r="AJ28" t="str">
        <f t="shared" si="24"/>
        <v/>
      </c>
    </row>
    <row r="29" spans="1:36" x14ac:dyDescent="0.25">
      <c r="A29" t="s">
        <v>138</v>
      </c>
      <c r="B29">
        <v>4464.945347828796</v>
      </c>
      <c r="C29">
        <v>6120.7762527081277</v>
      </c>
      <c r="D29">
        <v>7168.373973615101</v>
      </c>
      <c r="E29">
        <f t="shared" si="0"/>
        <v>0.85385838897874122</v>
      </c>
      <c r="G29">
        <v>4477</v>
      </c>
      <c r="H29">
        <v>7128.666666666667</v>
      </c>
      <c r="J29">
        <f t="shared" si="1"/>
        <v>0.99730742636336744</v>
      </c>
      <c r="AC29" s="8">
        <v>37653</v>
      </c>
      <c r="AD29" s="9">
        <f t="shared" si="2"/>
        <v>2</v>
      </c>
      <c r="AE29">
        <v>8700.4095829310827</v>
      </c>
      <c r="AF29" s="5">
        <v>8618</v>
      </c>
      <c r="AG29" s="5">
        <v>3378</v>
      </c>
      <c r="AH29" t="str">
        <f t="shared" ref="AH29:AJ29" si="25">IF( OR($AD26=3,$AD26=6,$AD26=9,$AD26=12),   AVERAGE(AE27:AE29), "")</f>
        <v/>
      </c>
      <c r="AI29" t="str">
        <f t="shared" si="25"/>
        <v/>
      </c>
      <c r="AJ29" t="str">
        <f t="shared" si="25"/>
        <v/>
      </c>
    </row>
    <row r="30" spans="1:36" x14ac:dyDescent="0.25">
      <c r="A30" t="s">
        <v>139</v>
      </c>
      <c r="B30">
        <v>4318.3898411041137</v>
      </c>
      <c r="C30">
        <v>6264.0596128316047</v>
      </c>
      <c r="D30">
        <v>7360.4017059952994</v>
      </c>
      <c r="E30">
        <f t="shared" si="0"/>
        <v>0.85104860618263722</v>
      </c>
      <c r="G30">
        <v>4309</v>
      </c>
      <c r="H30">
        <v>7374</v>
      </c>
      <c r="J30">
        <f t="shared" si="1"/>
        <v>1.0021791230225374</v>
      </c>
      <c r="AC30" s="8">
        <v>37681</v>
      </c>
      <c r="AD30" s="9">
        <f t="shared" si="2"/>
        <v>3</v>
      </c>
      <c r="AE30">
        <v>8738.6393114891525</v>
      </c>
      <c r="AF30" s="5">
        <v>8588</v>
      </c>
      <c r="AG30" s="5">
        <v>3056</v>
      </c>
      <c r="AH30">
        <f t="shared" ref="AH30:AJ30" si="26">IF( OR($AD27=3,$AD27=6,$AD27=9,$AD27=12),   AVERAGE(AE28:AE30), "")</f>
        <v>8700.1974031461596</v>
      </c>
      <c r="AI30">
        <f t="shared" si="26"/>
        <v>8575.3333333333339</v>
      </c>
      <c r="AJ30">
        <f t="shared" si="26"/>
        <v>3350.6666666666665</v>
      </c>
    </row>
    <row r="31" spans="1:36" x14ac:dyDescent="0.25">
      <c r="A31" t="s">
        <v>140</v>
      </c>
      <c r="B31">
        <v>4056.021902109439</v>
      </c>
      <c r="C31">
        <v>6469.5457762823398</v>
      </c>
      <c r="D31">
        <v>7609.9758542269619</v>
      </c>
      <c r="E31">
        <f t="shared" si="0"/>
        <v>0.85014011873491424</v>
      </c>
      <c r="G31">
        <v>4084.3333333333335</v>
      </c>
      <c r="H31">
        <v>7668</v>
      </c>
      <c r="J31">
        <f t="shared" si="1"/>
        <v>0.99306828583435214</v>
      </c>
      <c r="AC31" s="8">
        <v>37712</v>
      </c>
      <c r="AD31" s="9">
        <f t="shared" si="2"/>
        <v>4</v>
      </c>
      <c r="AE31">
        <v>8901.2127309108382</v>
      </c>
      <c r="AF31" s="5">
        <v>8842</v>
      </c>
      <c r="AG31" s="5">
        <v>3107</v>
      </c>
      <c r="AH31" t="str">
        <f t="shared" ref="AH31:AJ31" si="27">IF( OR($AD28=3,$AD28=6,$AD28=9,$AD28=12),   AVERAGE(AE29:AE31), "")</f>
        <v/>
      </c>
      <c r="AI31" t="str">
        <f t="shared" si="27"/>
        <v/>
      </c>
      <c r="AJ31" t="str">
        <f t="shared" si="27"/>
        <v/>
      </c>
    </row>
    <row r="32" spans="1:36" x14ac:dyDescent="0.25">
      <c r="A32" t="s">
        <v>141</v>
      </c>
      <c r="B32">
        <v>3840.8861610541503</v>
      </c>
      <c r="C32">
        <v>6921.2808603734047</v>
      </c>
      <c r="D32">
        <v>8198.738504169718</v>
      </c>
      <c r="E32">
        <f t="shared" si="0"/>
        <v>0.84418851227580638</v>
      </c>
      <c r="G32">
        <v>3876.6666666666665</v>
      </c>
      <c r="H32">
        <v>8202.3333333333339</v>
      </c>
      <c r="J32">
        <f t="shared" si="1"/>
        <v>0.99077029089960889</v>
      </c>
      <c r="AC32" s="8">
        <v>37742</v>
      </c>
      <c r="AD32" s="9">
        <f t="shared" si="2"/>
        <v>5</v>
      </c>
      <c r="AE32">
        <v>8869.2031672732264</v>
      </c>
      <c r="AF32" s="5">
        <v>8957</v>
      </c>
      <c r="AG32" s="5">
        <v>3108</v>
      </c>
      <c r="AH32" t="str">
        <f t="shared" ref="AH32:AJ32" si="28">IF( OR($AD29=3,$AD29=6,$AD29=9,$AD29=12),   AVERAGE(AE30:AE32), "")</f>
        <v/>
      </c>
      <c r="AI32" t="str">
        <f t="shared" si="28"/>
        <v/>
      </c>
      <c r="AJ32" t="str">
        <f t="shared" si="28"/>
        <v/>
      </c>
    </row>
    <row r="33" spans="1:36" x14ac:dyDescent="0.25">
      <c r="A33" t="s">
        <v>142</v>
      </c>
      <c r="B33">
        <v>3548.0583151631199</v>
      </c>
      <c r="C33">
        <v>7975.1612664327558</v>
      </c>
      <c r="D33">
        <v>9339.2178925627013</v>
      </c>
      <c r="E33">
        <f t="shared" si="0"/>
        <v>0.85394316292628591</v>
      </c>
      <c r="G33">
        <v>3553.3333333333335</v>
      </c>
      <c r="H33">
        <v>9289.6666666666661</v>
      </c>
      <c r="J33">
        <f t="shared" si="1"/>
        <v>0.99851547331044643</v>
      </c>
      <c r="AC33" s="8">
        <v>37773</v>
      </c>
      <c r="AD33" s="9">
        <f t="shared" si="2"/>
        <v>6</v>
      </c>
      <c r="AE33">
        <v>9223.8190324181123</v>
      </c>
      <c r="AF33" s="5">
        <v>9266</v>
      </c>
      <c r="AG33" s="5">
        <v>3196</v>
      </c>
      <c r="AH33">
        <f t="shared" ref="AH33:AJ33" si="29">IF( OR($AD30=3,$AD30=6,$AD30=9,$AD30=12),   AVERAGE(AE31:AE33), "")</f>
        <v>8998.0783102007263</v>
      </c>
      <c r="AI33">
        <f t="shared" si="29"/>
        <v>9021.6666666666661</v>
      </c>
      <c r="AJ33">
        <f t="shared" si="29"/>
        <v>3137</v>
      </c>
    </row>
    <row r="34" spans="1:36" x14ac:dyDescent="0.25">
      <c r="A34" t="s">
        <v>143</v>
      </c>
      <c r="B34">
        <v>3188.5748264273861</v>
      </c>
      <c r="C34">
        <v>9235.5196982638572</v>
      </c>
      <c r="D34">
        <v>10650.660973300948</v>
      </c>
      <c r="E34">
        <f t="shared" si="0"/>
        <v>0.86713113124297503</v>
      </c>
      <c r="G34">
        <v>3183.3333333333335</v>
      </c>
      <c r="H34">
        <v>10632.666666666666</v>
      </c>
      <c r="J34">
        <f t="shared" si="1"/>
        <v>1.0016465423332102</v>
      </c>
      <c r="AC34" s="8">
        <v>37803</v>
      </c>
      <c r="AD34" s="9">
        <f t="shared" si="2"/>
        <v>7</v>
      </c>
      <c r="AE34">
        <v>8866.6105812431906</v>
      </c>
      <c r="AF34" s="5">
        <v>9011</v>
      </c>
      <c r="AG34" s="5">
        <v>3106</v>
      </c>
      <c r="AH34" t="str">
        <f t="shared" ref="AH34:AJ34" si="30">IF( OR($AD31=3,$AD31=6,$AD31=9,$AD31=12),   AVERAGE(AE32:AE34), "")</f>
        <v/>
      </c>
      <c r="AI34" t="str">
        <f t="shared" si="30"/>
        <v/>
      </c>
      <c r="AJ34" t="str">
        <f t="shared" si="30"/>
        <v/>
      </c>
    </row>
    <row r="35" spans="1:36" x14ac:dyDescent="0.25">
      <c r="A35" t="s">
        <v>144</v>
      </c>
      <c r="B35">
        <v>2709.772600704976</v>
      </c>
      <c r="C35">
        <v>10975.447436906807</v>
      </c>
      <c r="D35">
        <v>12776.372751358167</v>
      </c>
      <c r="E35">
        <f t="shared" si="0"/>
        <v>0.85904251938329546</v>
      </c>
      <c r="G35">
        <v>2736.6666666666665</v>
      </c>
      <c r="H35">
        <v>12793.666666666666</v>
      </c>
      <c r="J35">
        <f t="shared" si="1"/>
        <v>0.99017269209682435</v>
      </c>
      <c r="AC35" s="8">
        <v>37834</v>
      </c>
      <c r="AD35" s="9">
        <f t="shared" si="2"/>
        <v>8</v>
      </c>
      <c r="AE35">
        <v>8782.9022583029473</v>
      </c>
      <c r="AF35" s="5">
        <v>8896</v>
      </c>
      <c r="AG35" s="5">
        <v>3182</v>
      </c>
      <c r="AH35" t="str">
        <f t="shared" ref="AH35:AJ35" si="31">IF( OR($AD32=3,$AD32=6,$AD32=9,$AD32=12),   AVERAGE(AE33:AE35), "")</f>
        <v/>
      </c>
      <c r="AI35" t="str">
        <f t="shared" si="31"/>
        <v/>
      </c>
      <c r="AJ35" t="str">
        <f t="shared" si="31"/>
        <v/>
      </c>
    </row>
    <row r="36" spans="1:36" x14ac:dyDescent="0.25">
      <c r="A36" t="s">
        <v>145</v>
      </c>
      <c r="B36">
        <v>2338.7707634522658</v>
      </c>
      <c r="C36">
        <v>12602.0639598339</v>
      </c>
      <c r="D36">
        <v>14293.820781197521</v>
      </c>
      <c r="E36">
        <f t="shared" si="0"/>
        <v>0.88164418406665601</v>
      </c>
      <c r="G36">
        <v>2361.3333333333335</v>
      </c>
      <c r="H36">
        <v>14341</v>
      </c>
      <c r="J36">
        <f t="shared" si="1"/>
        <v>0.99044498734567998</v>
      </c>
      <c r="AC36" s="8">
        <v>37865</v>
      </c>
      <c r="AD36" s="9">
        <f t="shared" si="2"/>
        <v>9</v>
      </c>
      <c r="AE36">
        <v>8816.7036008691339</v>
      </c>
      <c r="AF36" s="5">
        <v>8921</v>
      </c>
      <c r="AG36" s="5">
        <v>3051</v>
      </c>
      <c r="AH36">
        <f t="shared" ref="AH36:AJ36" si="32">IF( OR($AD33=3,$AD33=6,$AD33=9,$AD33=12),   AVERAGE(AE34:AE36), "")</f>
        <v>8822.0721468050906</v>
      </c>
      <c r="AI36">
        <f t="shared" si="32"/>
        <v>8942.6666666666661</v>
      </c>
      <c r="AJ36">
        <f t="shared" si="32"/>
        <v>3113</v>
      </c>
    </row>
    <row r="37" spans="1:36" x14ac:dyDescent="0.25">
      <c r="A37" t="s">
        <v>146</v>
      </c>
      <c r="B37">
        <v>2311.4124677159643</v>
      </c>
      <c r="C37">
        <v>13003.626644178161</v>
      </c>
      <c r="D37">
        <v>14800.361265925516</v>
      </c>
      <c r="E37">
        <f t="shared" si="0"/>
        <v>0.87860197535286322</v>
      </c>
      <c r="G37">
        <v>2312.6666666666665</v>
      </c>
      <c r="H37">
        <v>14810.333333333334</v>
      </c>
      <c r="J37">
        <f t="shared" si="1"/>
        <v>0.99945768278291924</v>
      </c>
      <c r="AC37" s="8">
        <v>37895</v>
      </c>
      <c r="AD37" s="9">
        <f t="shared" si="2"/>
        <v>10</v>
      </c>
      <c r="AE37">
        <v>8680.8846992969957</v>
      </c>
      <c r="AF37" s="5">
        <v>8732</v>
      </c>
      <c r="AG37" s="5">
        <v>3140</v>
      </c>
      <c r="AH37" t="str">
        <f t="shared" ref="AH37:AJ37" si="33">IF( OR($AD34=3,$AD34=6,$AD34=9,$AD34=12),   AVERAGE(AE35:AE37), "")</f>
        <v/>
      </c>
      <c r="AI37" t="str">
        <f t="shared" si="33"/>
        <v/>
      </c>
      <c r="AJ37" t="str">
        <f t="shared" si="33"/>
        <v/>
      </c>
    </row>
    <row r="38" spans="1:36" x14ac:dyDescent="0.25">
      <c r="A38" t="s">
        <v>147</v>
      </c>
      <c r="B38">
        <v>2425.6457079806919</v>
      </c>
      <c r="C38">
        <v>13226.855240940669</v>
      </c>
      <c r="D38">
        <v>15274.039967110055</v>
      </c>
      <c r="E38">
        <f t="shared" si="0"/>
        <v>0.86596966286734645</v>
      </c>
      <c r="G38">
        <v>2416.6666666666665</v>
      </c>
      <c r="H38">
        <v>15233.333333333334</v>
      </c>
      <c r="J38">
        <f t="shared" si="1"/>
        <v>1.0037154653713209</v>
      </c>
      <c r="AC38" s="8">
        <v>37926</v>
      </c>
      <c r="AD38" s="9">
        <f t="shared" si="2"/>
        <v>11</v>
      </c>
      <c r="AE38">
        <v>8630.710448000651</v>
      </c>
      <c r="AF38" s="5">
        <v>8576</v>
      </c>
      <c r="AG38" s="5">
        <v>3286</v>
      </c>
      <c r="AH38" t="str">
        <f t="shared" ref="AH38:AJ38" si="34">IF( OR($AD35=3,$AD35=6,$AD35=9,$AD35=12),   AVERAGE(AE36:AE38), "")</f>
        <v/>
      </c>
      <c r="AI38" t="str">
        <f t="shared" si="34"/>
        <v/>
      </c>
      <c r="AJ38" t="str">
        <f t="shared" si="34"/>
        <v/>
      </c>
    </row>
    <row r="39" spans="1:36" x14ac:dyDescent="0.25">
      <c r="A39" t="s">
        <v>148</v>
      </c>
      <c r="B39">
        <v>2622.4093944358306</v>
      </c>
      <c r="C39">
        <v>12879.217725160643</v>
      </c>
      <c r="D39">
        <v>15034.465525061116</v>
      </c>
      <c r="E39">
        <f t="shared" si="0"/>
        <v>0.85664619761122418</v>
      </c>
      <c r="G39">
        <v>2647.3333333333335</v>
      </c>
      <c r="H39">
        <v>15095.333333333334</v>
      </c>
      <c r="J39">
        <f t="shared" si="1"/>
        <v>0.99058526609260777</v>
      </c>
      <c r="AC39" s="8">
        <v>37956</v>
      </c>
      <c r="AD39" s="9">
        <f t="shared" si="2"/>
        <v>12</v>
      </c>
      <c r="AE39">
        <v>8261.0607324159519</v>
      </c>
      <c r="AF39" s="5">
        <v>8317</v>
      </c>
      <c r="AG39" s="5">
        <v>3255</v>
      </c>
      <c r="AH39">
        <f t="shared" ref="AH39:AJ39" si="35">IF( OR($AD36=3,$AD36=6,$AD36=9,$AD36=12),   AVERAGE(AE37:AE39), "")</f>
        <v>8524.2186265711989</v>
      </c>
      <c r="AI39">
        <f t="shared" si="35"/>
        <v>8541.6666666666661</v>
      </c>
      <c r="AJ39">
        <f t="shared" si="35"/>
        <v>3227</v>
      </c>
    </row>
    <row r="40" spans="1:36" x14ac:dyDescent="0.25">
      <c r="A40" t="s">
        <v>149</v>
      </c>
      <c r="B40">
        <v>2841.2443265705656</v>
      </c>
      <c r="C40">
        <v>12810.969884142991</v>
      </c>
      <c r="D40">
        <v>14839.663350696334</v>
      </c>
      <c r="E40">
        <f t="shared" si="0"/>
        <v>0.8632924872612997</v>
      </c>
      <c r="G40">
        <v>2878.6666666666665</v>
      </c>
      <c r="H40">
        <v>14870.666666666666</v>
      </c>
      <c r="J40">
        <f t="shared" si="1"/>
        <v>0.98700011344507843</v>
      </c>
      <c r="AC40" s="8">
        <v>37987</v>
      </c>
      <c r="AD40" s="9">
        <f t="shared" si="2"/>
        <v>1</v>
      </c>
      <c r="AE40">
        <v>8430.1385920731082</v>
      </c>
      <c r="AF40" s="5">
        <v>8370</v>
      </c>
      <c r="AG40" s="5">
        <v>3322</v>
      </c>
      <c r="AH40" t="str">
        <f t="shared" ref="AH40:AJ40" si="36">IF( OR($AD37=3,$AD37=6,$AD37=9,$AD37=12),   AVERAGE(AE38:AE40), "")</f>
        <v/>
      </c>
      <c r="AI40" t="str">
        <f t="shared" si="36"/>
        <v/>
      </c>
      <c r="AJ40" t="str">
        <f t="shared" si="36"/>
        <v/>
      </c>
    </row>
    <row r="41" spans="1:36" x14ac:dyDescent="0.25">
      <c r="A41" t="s">
        <v>150</v>
      </c>
      <c r="B41">
        <v>2870.8728815494328</v>
      </c>
      <c r="C41">
        <v>12592.036154224592</v>
      </c>
      <c r="D41">
        <v>14620.190303418416</v>
      </c>
      <c r="E41">
        <f t="shared" si="0"/>
        <v>0.86127717169867402</v>
      </c>
      <c r="G41">
        <v>2870.3333333333335</v>
      </c>
      <c r="H41">
        <v>14597.333333333334</v>
      </c>
      <c r="J41">
        <f t="shared" si="1"/>
        <v>1.0001879740620483</v>
      </c>
      <c r="AC41" s="8">
        <v>38018</v>
      </c>
      <c r="AD41" s="9">
        <f t="shared" si="2"/>
        <v>2</v>
      </c>
      <c r="AE41">
        <v>8240.0207389098905</v>
      </c>
      <c r="AF41" s="5">
        <v>8167</v>
      </c>
      <c r="AG41" s="5">
        <v>3415</v>
      </c>
      <c r="AH41" t="str">
        <f t="shared" ref="AH41:AJ41" si="37">IF( OR($AD38=3,$AD38=6,$AD38=9,$AD38=12),   AVERAGE(AE39:AE41), "")</f>
        <v/>
      </c>
      <c r="AI41" t="str">
        <f t="shared" si="37"/>
        <v/>
      </c>
      <c r="AJ41" t="str">
        <f t="shared" si="37"/>
        <v/>
      </c>
    </row>
    <row r="42" spans="1:36" x14ac:dyDescent="0.25">
      <c r="A42" t="s">
        <v>151</v>
      </c>
      <c r="B42">
        <v>3005.8848564567743</v>
      </c>
      <c r="C42">
        <v>12620.038771810297</v>
      </c>
      <c r="D42">
        <v>14744.913483433644</v>
      </c>
      <c r="E42">
        <f t="shared" si="0"/>
        <v>0.85589100173353294</v>
      </c>
      <c r="G42">
        <v>3004.6666666666665</v>
      </c>
      <c r="H42">
        <v>14677.333333333334</v>
      </c>
      <c r="J42">
        <f t="shared" si="1"/>
        <v>1.0004054325904508</v>
      </c>
      <c r="AC42" s="8">
        <v>38047</v>
      </c>
      <c r="AD42" s="9">
        <f t="shared" si="2"/>
        <v>3</v>
      </c>
      <c r="AE42">
        <v>8560.3392856171176</v>
      </c>
      <c r="AF42" s="5">
        <v>8491</v>
      </c>
      <c r="AG42" s="5">
        <v>3394</v>
      </c>
      <c r="AH42">
        <f t="shared" ref="AH42:AJ42" si="38">IF( OR($AD39=3,$AD39=6,$AD39=9,$AD39=12),   AVERAGE(AE40:AE42), "")</f>
        <v>8410.1662055333727</v>
      </c>
      <c r="AI42">
        <f t="shared" si="38"/>
        <v>8342.6666666666661</v>
      </c>
      <c r="AJ42">
        <f t="shared" si="38"/>
        <v>3377</v>
      </c>
    </row>
    <row r="43" spans="1:36" x14ac:dyDescent="0.25">
      <c r="A43" t="s">
        <v>152</v>
      </c>
      <c r="B43">
        <v>2974.5180680129897</v>
      </c>
      <c r="C43">
        <v>11644.546856414721</v>
      </c>
      <c r="D43">
        <v>13686.182293317988</v>
      </c>
      <c r="E43">
        <f t="shared" si="0"/>
        <v>0.85082505894283933</v>
      </c>
      <c r="G43">
        <v>2996.3333333333335</v>
      </c>
      <c r="H43">
        <v>13835.333333333334</v>
      </c>
      <c r="J43">
        <f t="shared" si="1"/>
        <v>0.9927193463164945</v>
      </c>
      <c r="AC43" s="8">
        <v>38078</v>
      </c>
      <c r="AD43" s="9">
        <f t="shared" si="2"/>
        <v>4</v>
      </c>
      <c r="AE43">
        <v>8205.952731696063</v>
      </c>
      <c r="AF43" s="5">
        <v>8170</v>
      </c>
      <c r="AG43" s="5">
        <v>3524</v>
      </c>
      <c r="AH43" t="str">
        <f t="shared" ref="AH43:AJ43" si="39">IF( OR($AD40=3,$AD40=6,$AD40=9,$AD40=12),   AVERAGE(AE41:AE43), "")</f>
        <v/>
      </c>
      <c r="AI43" t="str">
        <f t="shared" si="39"/>
        <v/>
      </c>
      <c r="AJ43" t="str">
        <f t="shared" si="39"/>
        <v/>
      </c>
    </row>
    <row r="44" spans="1:36" x14ac:dyDescent="0.25">
      <c r="A44" t="s">
        <v>153</v>
      </c>
      <c r="B44">
        <v>3025.0954751670561</v>
      </c>
      <c r="C44">
        <v>11784.465942064007</v>
      </c>
      <c r="D44">
        <v>13879.39880882402</v>
      </c>
      <c r="E44">
        <f t="shared" si="0"/>
        <v>0.84906169960127309</v>
      </c>
      <c r="G44">
        <v>3047.3333333333335</v>
      </c>
      <c r="H44">
        <v>13902.333333333334</v>
      </c>
      <c r="J44">
        <f t="shared" si="1"/>
        <v>0.99270251865031367</v>
      </c>
      <c r="AC44" s="8">
        <v>38108</v>
      </c>
      <c r="AD44" s="9">
        <f t="shared" si="2"/>
        <v>5</v>
      </c>
      <c r="AE44">
        <v>8130.4507152227043</v>
      </c>
      <c r="AF44" s="5">
        <v>8212</v>
      </c>
      <c r="AG44" s="5">
        <v>3620</v>
      </c>
      <c r="AH44" t="str">
        <f t="shared" ref="AH44:AJ44" si="40">IF( OR($AD41=3,$AD41=6,$AD41=9,$AD41=12),   AVERAGE(AE42:AE44), "")</f>
        <v/>
      </c>
      <c r="AI44" t="str">
        <f t="shared" si="40"/>
        <v/>
      </c>
      <c r="AJ44" t="str">
        <f t="shared" si="40"/>
        <v/>
      </c>
    </row>
    <row r="45" spans="1:36" x14ac:dyDescent="0.25">
      <c r="A45" t="s">
        <v>154</v>
      </c>
      <c r="B45">
        <v>3302.2171316293443</v>
      </c>
      <c r="C45">
        <v>11680.508341449184</v>
      </c>
      <c r="D45">
        <v>13930.338425165988</v>
      </c>
      <c r="E45">
        <f t="shared" si="0"/>
        <v>0.83849422641072724</v>
      </c>
      <c r="G45">
        <v>3307.6666666666665</v>
      </c>
      <c r="H45">
        <v>13854.666666666666</v>
      </c>
      <c r="J45">
        <f t="shared" si="1"/>
        <v>0.99835245337982803</v>
      </c>
      <c r="AC45" s="8">
        <v>38139</v>
      </c>
      <c r="AD45" s="9">
        <f t="shared" si="2"/>
        <v>6</v>
      </c>
      <c r="AE45">
        <v>8236.3379400263711</v>
      </c>
      <c r="AF45" s="5">
        <v>8286</v>
      </c>
      <c r="AG45" s="5">
        <v>3423</v>
      </c>
      <c r="AH45">
        <f t="shared" ref="AH45:AJ45" si="41">IF( OR($AD42=3,$AD42=6,$AD42=9,$AD42=12),   AVERAGE(AE43:AE45), "")</f>
        <v>8190.9137956483801</v>
      </c>
      <c r="AI45">
        <f t="shared" si="41"/>
        <v>8222.6666666666661</v>
      </c>
      <c r="AJ45">
        <f t="shared" si="41"/>
        <v>3522.3333333333335</v>
      </c>
    </row>
    <row r="46" spans="1:36" x14ac:dyDescent="0.25">
      <c r="A46" t="s">
        <v>155</v>
      </c>
      <c r="B46">
        <v>3266.4104886365894</v>
      </c>
      <c r="C46">
        <v>11373.12697065782</v>
      </c>
      <c r="D46">
        <v>13428.209001178702</v>
      </c>
      <c r="E46">
        <f t="shared" si="0"/>
        <v>0.84695784595395485</v>
      </c>
      <c r="G46">
        <v>3270</v>
      </c>
      <c r="H46">
        <v>13356.666666666666</v>
      </c>
      <c r="J46">
        <f t="shared" si="1"/>
        <v>0.99890229010293252</v>
      </c>
      <c r="AC46" s="8">
        <v>38169</v>
      </c>
      <c r="AD46" s="9">
        <f t="shared" si="2"/>
        <v>7</v>
      </c>
      <c r="AE46">
        <v>8104.4950027931636</v>
      </c>
      <c r="AF46" s="5">
        <v>8136</v>
      </c>
      <c r="AG46" s="5">
        <v>3807</v>
      </c>
      <c r="AH46" t="str">
        <f t="shared" ref="AH46:AJ46" si="42">IF( OR($AD43=3,$AD43=6,$AD43=9,$AD43=12),   AVERAGE(AE44:AE46), "")</f>
        <v/>
      </c>
      <c r="AI46" t="str">
        <f t="shared" si="42"/>
        <v/>
      </c>
      <c r="AJ46" t="str">
        <f t="shared" si="42"/>
        <v/>
      </c>
    </row>
    <row r="47" spans="1:36" x14ac:dyDescent="0.25">
      <c r="A47" t="s">
        <v>156</v>
      </c>
      <c r="B47">
        <v>3571.5649078889842</v>
      </c>
      <c r="C47">
        <v>10527.038596128312</v>
      </c>
      <c r="D47">
        <v>12535.513624159847</v>
      </c>
      <c r="E47">
        <f t="shared" si="0"/>
        <v>0.83977720512699405</v>
      </c>
      <c r="G47">
        <v>3596.3333333333335</v>
      </c>
      <c r="H47">
        <v>12746.666666666666</v>
      </c>
      <c r="J47">
        <f t="shared" si="1"/>
        <v>0.99311286714866553</v>
      </c>
      <c r="AC47" s="8">
        <v>38200</v>
      </c>
      <c r="AD47" s="9">
        <f t="shared" si="2"/>
        <v>8</v>
      </c>
      <c r="AE47">
        <v>7897.6493693007242</v>
      </c>
      <c r="AF47" s="5">
        <v>7990</v>
      </c>
      <c r="AG47" s="5">
        <v>3623</v>
      </c>
      <c r="AH47" t="str">
        <f t="shared" ref="AH47:AJ47" si="43">IF( OR($AD44=3,$AD44=6,$AD44=9,$AD44=12),   AVERAGE(AE45:AE47), "")</f>
        <v/>
      </c>
      <c r="AI47" t="str">
        <f t="shared" si="43"/>
        <v/>
      </c>
      <c r="AJ47" t="str">
        <f t="shared" si="43"/>
        <v/>
      </c>
    </row>
    <row r="48" spans="1:36" x14ac:dyDescent="0.25">
      <c r="A48" t="s">
        <v>157</v>
      </c>
      <c r="B48">
        <v>3669.4501075838989</v>
      </c>
      <c r="C48">
        <v>10518.454287499422</v>
      </c>
      <c r="D48">
        <v>12625.917277696988</v>
      </c>
      <c r="E48">
        <f t="shared" si="0"/>
        <v>0.83308436576562339</v>
      </c>
      <c r="G48">
        <v>3696.3333333333335</v>
      </c>
      <c r="H48">
        <v>12638</v>
      </c>
      <c r="J48">
        <f t="shared" si="1"/>
        <v>0.99272705588887156</v>
      </c>
      <c r="AC48" s="8">
        <v>38231</v>
      </c>
      <c r="AD48" s="9">
        <f t="shared" si="2"/>
        <v>9</v>
      </c>
      <c r="AE48">
        <v>7885.494152270935</v>
      </c>
      <c r="AF48" s="5">
        <v>7927</v>
      </c>
      <c r="AG48" s="5">
        <v>3754</v>
      </c>
      <c r="AH48">
        <f t="shared" ref="AH48:AJ48" si="44">IF( OR($AD45=3,$AD45=6,$AD45=9,$AD45=12),   AVERAGE(AE46:AE48), "")</f>
        <v>7962.5461747882737</v>
      </c>
      <c r="AI48">
        <f t="shared" si="44"/>
        <v>8017.666666666667</v>
      </c>
      <c r="AJ48">
        <f t="shared" si="44"/>
        <v>3728</v>
      </c>
    </row>
    <row r="49" spans="1:36" x14ac:dyDescent="0.25">
      <c r="A49" t="s">
        <v>158</v>
      </c>
      <c r="B49">
        <v>3576.3174170322827</v>
      </c>
      <c r="C49">
        <v>10425.389265518201</v>
      </c>
      <c r="D49">
        <v>12549.892994004013</v>
      </c>
      <c r="E49">
        <f t="shared" si="0"/>
        <v>0.83071539099968106</v>
      </c>
      <c r="G49">
        <v>3578</v>
      </c>
      <c r="H49">
        <v>12436.666666666666</v>
      </c>
      <c r="J49">
        <f t="shared" si="1"/>
        <v>0.99952974204367884</v>
      </c>
      <c r="AC49" s="8">
        <v>38261</v>
      </c>
      <c r="AD49" s="9">
        <f t="shared" si="2"/>
        <v>10</v>
      </c>
      <c r="AE49">
        <v>8002.9064353538597</v>
      </c>
      <c r="AF49" s="5">
        <v>8061</v>
      </c>
      <c r="AG49" s="5">
        <v>3836</v>
      </c>
      <c r="AH49" t="str">
        <f t="shared" ref="AH49:AJ49" si="45">IF( OR($AD46=3,$AD46=6,$AD46=9,$AD46=12),   AVERAGE(AE47:AE49), "")</f>
        <v/>
      </c>
      <c r="AI49" t="str">
        <f t="shared" si="45"/>
        <v/>
      </c>
      <c r="AJ49" t="str">
        <f t="shared" si="45"/>
        <v/>
      </c>
    </row>
    <row r="50" spans="1:36" x14ac:dyDescent="0.25">
      <c r="A50" t="s">
        <v>159</v>
      </c>
      <c r="B50">
        <v>3675.2930681509183</v>
      </c>
      <c r="C50">
        <v>10194.551519267963</v>
      </c>
      <c r="D50">
        <v>12231.574876935105</v>
      </c>
      <c r="E50">
        <f t="shared" si="0"/>
        <v>0.83346189038107221</v>
      </c>
      <c r="G50">
        <v>3682.3333333333335</v>
      </c>
      <c r="H50">
        <v>12165.333333333334</v>
      </c>
      <c r="J50">
        <f t="shared" si="1"/>
        <v>0.99808809671881549</v>
      </c>
      <c r="AC50" s="8">
        <v>38292</v>
      </c>
      <c r="AD50" s="9">
        <f t="shared" si="2"/>
        <v>11</v>
      </c>
      <c r="AE50">
        <v>8000.2897066059977</v>
      </c>
      <c r="AF50" s="5">
        <v>7932</v>
      </c>
      <c r="AG50" s="5">
        <v>3383</v>
      </c>
      <c r="AH50" t="str">
        <f t="shared" ref="AH50:AJ50" si="46">IF( OR($AD47=3,$AD47=6,$AD47=9,$AD47=12),   AVERAGE(AE48:AE50), "")</f>
        <v/>
      </c>
      <c r="AI50" t="str">
        <f t="shared" si="46"/>
        <v/>
      </c>
      <c r="AJ50" t="str">
        <f t="shared" si="46"/>
        <v/>
      </c>
    </row>
    <row r="51" spans="1:36" x14ac:dyDescent="0.25">
      <c r="A51" t="s">
        <v>160</v>
      </c>
      <c r="B51">
        <v>3793.2736389258966</v>
      </c>
      <c r="C51">
        <v>9940.2069483073592</v>
      </c>
      <c r="D51">
        <v>11781.860530237411</v>
      </c>
      <c r="E51">
        <f t="shared" si="0"/>
        <v>0.84368737202383592</v>
      </c>
      <c r="G51">
        <v>3795</v>
      </c>
      <c r="H51">
        <v>12035.333333333334</v>
      </c>
      <c r="J51">
        <f t="shared" si="1"/>
        <v>0.99954509589615192</v>
      </c>
      <c r="AC51" s="8">
        <v>38322</v>
      </c>
      <c r="AD51" s="9">
        <f t="shared" si="2"/>
        <v>12</v>
      </c>
      <c r="AE51">
        <v>7901.2964764793978</v>
      </c>
      <c r="AF51" s="5">
        <v>7934</v>
      </c>
      <c r="AG51" s="5">
        <v>3808</v>
      </c>
      <c r="AH51">
        <f t="shared" ref="AH51:AJ51" si="47">IF( OR($AD48=3,$AD48=6,$AD48=9,$AD48=12),   AVERAGE(AE49:AE51), "")</f>
        <v>7968.1642061464181</v>
      </c>
      <c r="AI51">
        <f t="shared" si="47"/>
        <v>7975.666666666667</v>
      </c>
      <c r="AJ51">
        <f t="shared" si="47"/>
        <v>3675.6666666666665</v>
      </c>
    </row>
    <row r="52" spans="1:36" x14ac:dyDescent="0.25">
      <c r="A52" t="s">
        <v>161</v>
      </c>
      <c r="B52">
        <v>3858.4535486212867</v>
      </c>
      <c r="C52">
        <v>9705.0265354743187</v>
      </c>
      <c r="D52">
        <v>11677.908376435445</v>
      </c>
      <c r="E52">
        <f t="shared" si="0"/>
        <v>0.83105862990480772</v>
      </c>
      <c r="G52">
        <v>3858.6666666666665</v>
      </c>
      <c r="H52">
        <v>11732</v>
      </c>
      <c r="J52">
        <f t="shared" si="1"/>
        <v>0.99994476899307705</v>
      </c>
      <c r="AC52" s="8">
        <v>38353</v>
      </c>
      <c r="AD52" s="9">
        <f t="shared" si="2"/>
        <v>1</v>
      </c>
      <c r="AE52">
        <v>7784.7867750946325</v>
      </c>
      <c r="AF52" s="5">
        <v>7784</v>
      </c>
      <c r="AG52" s="5">
        <v>3638</v>
      </c>
      <c r="AH52" t="str">
        <f t="shared" ref="AH52:AJ52" si="48">IF( OR($AD49=3,$AD49=6,$AD49=9,$AD49=12),   AVERAGE(AE50:AE52), "")</f>
        <v/>
      </c>
      <c r="AI52" t="str">
        <f t="shared" si="48"/>
        <v/>
      </c>
      <c r="AJ52" t="str">
        <f t="shared" si="48"/>
        <v/>
      </c>
    </row>
    <row r="53" spans="1:36" x14ac:dyDescent="0.25">
      <c r="AC53" s="8">
        <v>38384</v>
      </c>
      <c r="AD53" s="9">
        <f t="shared" si="2"/>
        <v>2</v>
      </c>
      <c r="AE53">
        <v>8032.3759745656398</v>
      </c>
      <c r="AF53" s="5">
        <v>7980</v>
      </c>
      <c r="AG53" s="5">
        <v>3757</v>
      </c>
      <c r="AH53" t="str">
        <f t="shared" ref="AH53:AJ53" si="49">IF( OR($AD50=3,$AD50=6,$AD50=9,$AD50=12),   AVERAGE(AE51:AE53), "")</f>
        <v/>
      </c>
      <c r="AI53" t="str">
        <f t="shared" si="49"/>
        <v/>
      </c>
      <c r="AJ53" t="str">
        <f t="shared" si="49"/>
        <v/>
      </c>
    </row>
    <row r="54" spans="1:36" x14ac:dyDescent="0.25">
      <c r="AC54" s="8">
        <v>38412</v>
      </c>
      <c r="AD54" s="9">
        <f t="shared" si="2"/>
        <v>3</v>
      </c>
      <c r="AE54">
        <v>7738.6087315981777</v>
      </c>
      <c r="AF54" s="5">
        <v>7737</v>
      </c>
      <c r="AG54" s="5">
        <v>3916</v>
      </c>
      <c r="AH54">
        <f t="shared" ref="AH54:AJ54" si="50">IF( OR($AD51=3,$AD51=6,$AD51=9,$AD51=12),   AVERAGE(AE52:AE54), "")</f>
        <v>7851.9238270861497</v>
      </c>
      <c r="AI54">
        <f t="shared" si="50"/>
        <v>7833.666666666667</v>
      </c>
      <c r="AJ54">
        <f t="shared" si="50"/>
        <v>3770.3333333333335</v>
      </c>
    </row>
    <row r="55" spans="1:36" x14ac:dyDescent="0.25">
      <c r="AC55" s="8">
        <v>38443</v>
      </c>
      <c r="AD55" s="9">
        <f t="shared" si="2"/>
        <v>4</v>
      </c>
      <c r="AE55">
        <v>7680.3194190367003</v>
      </c>
      <c r="AF55" s="5">
        <v>7672</v>
      </c>
      <c r="AG55" s="5">
        <v>4057</v>
      </c>
      <c r="AH55" t="str">
        <f t="shared" ref="AH55:AJ55" si="51">IF( OR($AD52=3,$AD52=6,$AD52=9,$AD52=12),   AVERAGE(AE53:AE55), "")</f>
        <v/>
      </c>
      <c r="AI55" t="str">
        <f t="shared" si="51"/>
        <v/>
      </c>
      <c r="AJ55" t="str">
        <f t="shared" si="51"/>
        <v/>
      </c>
    </row>
    <row r="56" spans="1:36" x14ac:dyDescent="0.25">
      <c r="AC56" s="8">
        <v>38473</v>
      </c>
      <c r="AD56" s="9">
        <f t="shared" si="2"/>
        <v>5</v>
      </c>
      <c r="AE56">
        <v>7603.5157035200009</v>
      </c>
      <c r="AF56" s="5">
        <v>7651</v>
      </c>
      <c r="AG56" s="5">
        <v>3877</v>
      </c>
      <c r="AH56" t="str">
        <f t="shared" ref="AH56:AJ56" si="52">IF( OR($AD53=3,$AD53=6,$AD53=9,$AD53=12),   AVERAGE(AE54:AE56), "")</f>
        <v/>
      </c>
      <c r="AI56" t="str">
        <f t="shared" si="52"/>
        <v/>
      </c>
      <c r="AJ56" t="str">
        <f t="shared" si="52"/>
        <v/>
      </c>
    </row>
    <row r="57" spans="1:36" x14ac:dyDescent="0.25">
      <c r="AC57" s="8">
        <v>38504</v>
      </c>
      <c r="AD57" s="9">
        <f t="shared" si="2"/>
        <v>6</v>
      </c>
      <c r="AE57">
        <v>7523.2102585895473</v>
      </c>
      <c r="AF57" s="5">
        <v>7524</v>
      </c>
      <c r="AG57" s="5">
        <v>4064</v>
      </c>
      <c r="AH57">
        <f t="shared" ref="AH57:AJ57" si="53">IF( OR($AD54=3,$AD54=6,$AD54=9,$AD54=12),   AVERAGE(AE55:AE57), "")</f>
        <v>7602.3484603820834</v>
      </c>
      <c r="AI57">
        <f t="shared" si="53"/>
        <v>7615.666666666667</v>
      </c>
      <c r="AJ57">
        <f t="shared" si="53"/>
        <v>3999.3333333333335</v>
      </c>
    </row>
    <row r="58" spans="1:36" x14ac:dyDescent="0.25">
      <c r="AC58" s="8">
        <v>38534</v>
      </c>
      <c r="AD58" s="9">
        <f t="shared" si="2"/>
        <v>7</v>
      </c>
      <c r="AE58">
        <v>7458.4569531457637</v>
      </c>
      <c r="AF58" s="5">
        <v>7406</v>
      </c>
      <c r="AG58" s="5">
        <v>4155</v>
      </c>
      <c r="AH58" t="str">
        <f t="shared" ref="AH58:AJ58" si="54">IF( OR($AD55=3,$AD55=6,$AD55=9,$AD55=12),   AVERAGE(AE56:AE58), "")</f>
        <v/>
      </c>
      <c r="AI58" t="str">
        <f t="shared" si="54"/>
        <v/>
      </c>
      <c r="AJ58" t="str">
        <f t="shared" si="54"/>
        <v/>
      </c>
    </row>
    <row r="59" spans="1:36" x14ac:dyDescent="0.25">
      <c r="AC59" s="8">
        <v>38565</v>
      </c>
      <c r="AD59" s="9">
        <f t="shared" si="2"/>
        <v>8</v>
      </c>
      <c r="AE59">
        <v>7287.9190086733506</v>
      </c>
      <c r="AF59" s="5">
        <v>7345</v>
      </c>
      <c r="AG59" s="5">
        <v>4102</v>
      </c>
      <c r="AH59" t="str">
        <f t="shared" ref="AH59:AJ59" si="55">IF( OR($AD56=3,$AD56=6,$AD56=9,$AD56=12),   AVERAGE(AE57:AE59), "")</f>
        <v/>
      </c>
      <c r="AI59" t="str">
        <f t="shared" si="55"/>
        <v/>
      </c>
      <c r="AJ59" t="str">
        <f t="shared" si="55"/>
        <v/>
      </c>
    </row>
    <row r="60" spans="1:36" x14ac:dyDescent="0.25">
      <c r="AC60" s="8">
        <v>38596</v>
      </c>
      <c r="AD60" s="9">
        <f t="shared" si="2"/>
        <v>9</v>
      </c>
      <c r="AE60">
        <v>7586.5874156838599</v>
      </c>
      <c r="AF60" s="5">
        <v>7553</v>
      </c>
      <c r="AG60" s="5">
        <v>4275</v>
      </c>
      <c r="AH60">
        <f t="shared" ref="AH60:AJ60" si="56">IF( OR($AD57=3,$AD57=6,$AD57=9,$AD57=12),   AVERAGE(AE58:AE60), "")</f>
        <v>7444.3211258343244</v>
      </c>
      <c r="AI60">
        <f t="shared" si="56"/>
        <v>7434.666666666667</v>
      </c>
      <c r="AJ60">
        <f t="shared" si="56"/>
        <v>4177.333333333333</v>
      </c>
    </row>
    <row r="61" spans="1:36" x14ac:dyDescent="0.25">
      <c r="AC61" s="8">
        <v>38626</v>
      </c>
      <c r="AD61" s="9">
        <f t="shared" si="2"/>
        <v>10</v>
      </c>
      <c r="AE61">
        <v>7400.3771631661502</v>
      </c>
      <c r="AF61" s="5">
        <v>7453</v>
      </c>
      <c r="AG61" s="5">
        <v>4221</v>
      </c>
      <c r="AH61" t="str">
        <f t="shared" ref="AH61:AJ61" si="57">IF( OR($AD58=3,$AD58=6,$AD58=9,$AD58=12),   AVERAGE(AE59:AE61), "")</f>
        <v/>
      </c>
      <c r="AI61" t="str">
        <f t="shared" si="57"/>
        <v/>
      </c>
      <c r="AJ61" t="str">
        <f t="shared" si="57"/>
        <v/>
      </c>
    </row>
    <row r="62" spans="1:36" x14ac:dyDescent="0.25">
      <c r="AC62" s="8">
        <v>38657</v>
      </c>
      <c r="AD62" s="9">
        <f t="shared" si="2"/>
        <v>11</v>
      </c>
      <c r="AE62">
        <v>7589.0549845704118</v>
      </c>
      <c r="AF62" s="5">
        <v>7566</v>
      </c>
      <c r="AG62" s="5">
        <v>4437</v>
      </c>
      <c r="AH62" t="str">
        <f t="shared" ref="AH62:AJ62" si="58">IF( OR($AD59=3,$AD59=6,$AD59=9,$AD59=12),   AVERAGE(AE60:AE62), "")</f>
        <v/>
      </c>
      <c r="AI62" t="str">
        <f t="shared" si="58"/>
        <v/>
      </c>
      <c r="AJ62" t="str">
        <f t="shared" si="58"/>
        <v/>
      </c>
    </row>
    <row r="63" spans="1:36" x14ac:dyDescent="0.25">
      <c r="AC63" s="8">
        <v>38687</v>
      </c>
      <c r="AD63" s="9">
        <f t="shared" si="2"/>
        <v>12</v>
      </c>
      <c r="AE63">
        <v>7232.7172378458599</v>
      </c>
      <c r="AF63" s="5">
        <v>7279</v>
      </c>
      <c r="AG63" s="5">
        <v>4278</v>
      </c>
      <c r="AH63">
        <f t="shared" ref="AH63:AJ63" si="59">IF( OR($AD60=3,$AD60=6,$AD60=9,$AD60=12),   AVERAGE(AE61:AE63), "")</f>
        <v>7407.3831285274746</v>
      </c>
      <c r="AI63">
        <f t="shared" si="59"/>
        <v>7432.666666666667</v>
      </c>
      <c r="AJ63">
        <f t="shared" si="59"/>
        <v>4312</v>
      </c>
    </row>
    <row r="64" spans="1:36" x14ac:dyDescent="0.25">
      <c r="AC64" s="8">
        <v>38718</v>
      </c>
      <c r="AD64" s="9">
        <f t="shared" si="2"/>
        <v>1</v>
      </c>
      <c r="AE64">
        <v>7014.0523193889112</v>
      </c>
      <c r="AF64" s="5">
        <v>7064</v>
      </c>
      <c r="AG64" s="5">
        <v>4296</v>
      </c>
      <c r="AH64" t="str">
        <f t="shared" ref="AH64:AJ64" si="60">IF( OR($AD61=3,$AD61=6,$AD61=9,$AD61=12),   AVERAGE(AE62:AE64), "")</f>
        <v/>
      </c>
      <c r="AI64" t="str">
        <f t="shared" si="60"/>
        <v/>
      </c>
      <c r="AJ64" t="str">
        <f t="shared" si="60"/>
        <v/>
      </c>
    </row>
    <row r="65" spans="29:36" x14ac:dyDescent="0.25">
      <c r="AC65" s="8">
        <v>38749</v>
      </c>
      <c r="AD65" s="9">
        <f t="shared" si="2"/>
        <v>2</v>
      </c>
      <c r="AE65">
        <v>7227.1652820632708</v>
      </c>
      <c r="AF65" s="5">
        <v>7184</v>
      </c>
      <c r="AG65" s="5">
        <v>4282</v>
      </c>
      <c r="AH65" t="str">
        <f t="shared" ref="AH65:AJ65" si="61">IF( OR($AD62=3,$AD62=6,$AD62=9,$AD62=12),   AVERAGE(AE63:AE65), "")</f>
        <v/>
      </c>
      <c r="AI65" t="str">
        <f t="shared" si="61"/>
        <v/>
      </c>
      <c r="AJ65" t="str">
        <f t="shared" si="61"/>
        <v/>
      </c>
    </row>
    <row r="66" spans="29:36" x14ac:dyDescent="0.25">
      <c r="AC66" s="8">
        <v>38777</v>
      </c>
      <c r="AD66" s="9">
        <f t="shared" si="2"/>
        <v>3</v>
      </c>
      <c r="AE66">
        <v>7030.2537375087377</v>
      </c>
      <c r="AF66" s="5">
        <v>7072</v>
      </c>
      <c r="AG66" s="5">
        <v>4472</v>
      </c>
      <c r="AH66">
        <f t="shared" ref="AH66:AJ66" si="62">IF( OR($AD63=3,$AD63=6,$AD63=9,$AD63=12),   AVERAGE(AE64:AE66), "")</f>
        <v>7090.4904463203065</v>
      </c>
      <c r="AI66">
        <f t="shared" si="62"/>
        <v>7106.666666666667</v>
      </c>
      <c r="AJ66">
        <f t="shared" si="62"/>
        <v>4350</v>
      </c>
    </row>
    <row r="67" spans="29:36" x14ac:dyDescent="0.25">
      <c r="AC67" s="8">
        <v>38808</v>
      </c>
      <c r="AD67" s="9">
        <f t="shared" si="2"/>
        <v>4</v>
      </c>
      <c r="AE67">
        <v>7124.3208353272958</v>
      </c>
      <c r="AF67" s="5">
        <v>7120</v>
      </c>
      <c r="AG67" s="5">
        <v>4438</v>
      </c>
      <c r="AH67" t="str">
        <f t="shared" ref="AH67:AJ67" si="63">IF( OR($AD64=3,$AD64=6,$AD64=9,$AD64=12),   AVERAGE(AE65:AE67), "")</f>
        <v/>
      </c>
      <c r="AI67" t="str">
        <f t="shared" si="63"/>
        <v/>
      </c>
      <c r="AJ67" t="str">
        <f t="shared" si="63"/>
        <v/>
      </c>
    </row>
    <row r="68" spans="29:36" x14ac:dyDescent="0.25">
      <c r="AC68" s="8">
        <v>38838</v>
      </c>
      <c r="AD68" s="9">
        <f t="shared" si="2"/>
        <v>5</v>
      </c>
      <c r="AE68">
        <v>6944.0643621415675</v>
      </c>
      <c r="AF68" s="5">
        <v>6980</v>
      </c>
      <c r="AG68" s="5">
        <v>4487</v>
      </c>
      <c r="AH68" t="str">
        <f t="shared" ref="AH68:AJ68" si="64">IF( OR($AD65=3,$AD65=6,$AD65=9,$AD65=12),   AVERAGE(AE66:AE68), "")</f>
        <v/>
      </c>
      <c r="AI68" t="str">
        <f t="shared" si="64"/>
        <v/>
      </c>
      <c r="AJ68" t="str">
        <f t="shared" si="64"/>
        <v/>
      </c>
    </row>
    <row r="69" spans="29:36" x14ac:dyDescent="0.25">
      <c r="AC69" s="8">
        <v>38869</v>
      </c>
      <c r="AD69" s="9">
        <f t="shared" ref="AD69:AD132" si="65">IF(AD68=12,1,AD68+1)</f>
        <v>6</v>
      </c>
      <c r="AE69">
        <v>7017.5205220210755</v>
      </c>
      <c r="AF69" s="5">
        <v>7001</v>
      </c>
      <c r="AG69" s="5">
        <v>4333</v>
      </c>
      <c r="AH69">
        <f t="shared" ref="AH69:AJ69" si="66">IF( OR($AD66=3,$AD66=6,$AD66=9,$AD66=12),   AVERAGE(AE67:AE69), "")</f>
        <v>7028.6352398299787</v>
      </c>
      <c r="AI69">
        <f t="shared" si="66"/>
        <v>7033.666666666667</v>
      </c>
      <c r="AJ69">
        <f t="shared" si="66"/>
        <v>4419.333333333333</v>
      </c>
    </row>
    <row r="70" spans="29:36" x14ac:dyDescent="0.25">
      <c r="AC70" s="8">
        <v>38899</v>
      </c>
      <c r="AD70" s="9">
        <f t="shared" si="65"/>
        <v>7</v>
      </c>
      <c r="AE70">
        <v>7232.962081619351</v>
      </c>
      <c r="AF70" s="5">
        <v>7175</v>
      </c>
      <c r="AG70" s="5">
        <v>4076</v>
      </c>
      <c r="AH70" t="str">
        <f t="shared" ref="AH70:AJ70" si="67">IF( OR($AD67=3,$AD67=6,$AD67=9,$AD67=12),   AVERAGE(AE68:AE70), "")</f>
        <v/>
      </c>
      <c r="AI70" t="str">
        <f t="shared" si="67"/>
        <v/>
      </c>
      <c r="AJ70" t="str">
        <f t="shared" si="67"/>
        <v/>
      </c>
    </row>
    <row r="71" spans="29:36" x14ac:dyDescent="0.25">
      <c r="AC71" s="8">
        <v>38930</v>
      </c>
      <c r="AD71" s="9">
        <f t="shared" si="65"/>
        <v>8</v>
      </c>
      <c r="AE71">
        <v>7048.2044623255579</v>
      </c>
      <c r="AF71" s="5">
        <v>7091</v>
      </c>
      <c r="AG71" s="5">
        <v>4498</v>
      </c>
      <c r="AH71" t="str">
        <f t="shared" ref="AH71:AJ71" si="68">IF( OR($AD68=3,$AD68=6,$AD68=9,$AD68=12),   AVERAGE(AE69:AE71), "")</f>
        <v/>
      </c>
      <c r="AI71" t="str">
        <f t="shared" si="68"/>
        <v/>
      </c>
      <c r="AJ71" t="str">
        <f t="shared" si="68"/>
        <v/>
      </c>
    </row>
    <row r="72" spans="29:36" x14ac:dyDescent="0.25">
      <c r="AC72" s="8">
        <v>38961</v>
      </c>
      <c r="AD72" s="9">
        <f t="shared" si="65"/>
        <v>9</v>
      </c>
      <c r="AE72">
        <v>6923.9759786341874</v>
      </c>
      <c r="AF72" s="5">
        <v>6847</v>
      </c>
      <c r="AG72" s="5">
        <v>4563</v>
      </c>
      <c r="AH72">
        <f t="shared" ref="AH72:AJ72" si="69">IF( OR($AD69=3,$AD69=6,$AD69=9,$AD69=12),   AVERAGE(AE70:AE72), "")</f>
        <v>7068.3808408596988</v>
      </c>
      <c r="AI72">
        <f t="shared" si="69"/>
        <v>7037.666666666667</v>
      </c>
      <c r="AJ72">
        <f t="shared" si="69"/>
        <v>4379</v>
      </c>
    </row>
    <row r="73" spans="29:36" x14ac:dyDescent="0.25">
      <c r="AC73" s="8">
        <v>38991</v>
      </c>
      <c r="AD73" s="9">
        <f t="shared" si="65"/>
        <v>10</v>
      </c>
      <c r="AE73">
        <v>6665.0151590146606</v>
      </c>
      <c r="AF73" s="5">
        <v>6727</v>
      </c>
      <c r="AG73" s="5">
        <v>4434</v>
      </c>
      <c r="AH73" t="str">
        <f t="shared" ref="AH73:AJ73" si="70">IF( OR($AD70=3,$AD70=6,$AD70=9,$AD70=12),   AVERAGE(AE71:AE73), "")</f>
        <v/>
      </c>
      <c r="AI73" t="str">
        <f t="shared" si="70"/>
        <v/>
      </c>
      <c r="AJ73" t="str">
        <f t="shared" si="70"/>
        <v/>
      </c>
    </row>
    <row r="74" spans="29:36" x14ac:dyDescent="0.25">
      <c r="AC74" s="8">
        <v>39022</v>
      </c>
      <c r="AD74" s="9">
        <f t="shared" si="65"/>
        <v>11</v>
      </c>
      <c r="AE74">
        <v>6863.6536347868287</v>
      </c>
      <c r="AF74" s="5">
        <v>6872</v>
      </c>
      <c r="AG74" s="5">
        <v>4705</v>
      </c>
      <c r="AH74" t="str">
        <f t="shared" ref="AH74:AJ74" si="71">IF( OR($AD71=3,$AD71=6,$AD71=9,$AD71=12),   AVERAGE(AE72:AE74), "")</f>
        <v/>
      </c>
      <c r="AI74" t="str">
        <f t="shared" si="71"/>
        <v/>
      </c>
      <c r="AJ74" t="str">
        <f t="shared" si="71"/>
        <v/>
      </c>
    </row>
    <row r="75" spans="29:36" x14ac:dyDescent="0.25">
      <c r="AC75" s="8">
        <v>39052</v>
      </c>
      <c r="AD75" s="9">
        <f t="shared" si="65"/>
        <v>12</v>
      </c>
      <c r="AE75">
        <v>6749.2190326132086</v>
      </c>
      <c r="AF75" s="5">
        <v>6762</v>
      </c>
      <c r="AG75" s="5">
        <v>4583</v>
      </c>
      <c r="AH75">
        <f t="shared" ref="AH75:AJ75" si="72">IF( OR($AD72=3,$AD72=6,$AD72=9,$AD72=12),   AVERAGE(AE73:AE75), "")</f>
        <v>6759.2959421382329</v>
      </c>
      <c r="AI75">
        <f t="shared" si="72"/>
        <v>6787</v>
      </c>
      <c r="AJ75">
        <f t="shared" si="72"/>
        <v>4574</v>
      </c>
    </row>
    <row r="76" spans="29:36" x14ac:dyDescent="0.25">
      <c r="AC76" s="8">
        <v>39083</v>
      </c>
      <c r="AD76" s="9">
        <f t="shared" si="65"/>
        <v>1</v>
      </c>
      <c r="AE76">
        <v>7051.8514972405073</v>
      </c>
      <c r="AF76" s="5">
        <v>7116</v>
      </c>
      <c r="AG76" s="5">
        <v>4602</v>
      </c>
      <c r="AH76" t="str">
        <f t="shared" ref="AH76:AJ76" si="73">IF( OR($AD73=3,$AD73=6,$AD73=9,$AD73=12),   AVERAGE(AE74:AE76), "")</f>
        <v/>
      </c>
      <c r="AI76" t="str">
        <f t="shared" si="73"/>
        <v/>
      </c>
      <c r="AJ76" t="str">
        <f t="shared" si="73"/>
        <v/>
      </c>
    </row>
    <row r="77" spans="29:36" x14ac:dyDescent="0.25">
      <c r="AC77" s="8">
        <v>39114</v>
      </c>
      <c r="AD77" s="9">
        <f t="shared" si="65"/>
        <v>2</v>
      </c>
      <c r="AE77">
        <v>6952.8111137894175</v>
      </c>
      <c r="AF77" s="5">
        <v>6927</v>
      </c>
      <c r="AG77" s="5">
        <v>4483</v>
      </c>
      <c r="AH77" t="str">
        <f t="shared" ref="AH77:AJ77" si="74">IF( OR($AD74=3,$AD74=6,$AD74=9,$AD74=12),   AVERAGE(AE75:AE77), "")</f>
        <v/>
      </c>
      <c r="AI77" t="str">
        <f t="shared" si="74"/>
        <v/>
      </c>
      <c r="AJ77" t="str">
        <f t="shared" si="74"/>
        <v/>
      </c>
    </row>
    <row r="78" spans="29:36" x14ac:dyDescent="0.25">
      <c r="AC78" s="8">
        <v>39142</v>
      </c>
      <c r="AD78" s="9">
        <f t="shared" si="65"/>
        <v>3</v>
      </c>
      <c r="AE78">
        <v>6698.8482546378918</v>
      </c>
      <c r="AF78" s="5">
        <v>6731</v>
      </c>
      <c r="AG78" s="5">
        <v>4707</v>
      </c>
      <c r="AH78">
        <f t="shared" ref="AH78:AJ78" si="75">IF( OR($AD75=3,$AD75=6,$AD75=9,$AD75=12),   AVERAGE(AE76:AE78), "")</f>
        <v>6901.1702885559389</v>
      </c>
      <c r="AI78">
        <f t="shared" si="75"/>
        <v>6924.666666666667</v>
      </c>
      <c r="AJ78">
        <f t="shared" si="75"/>
        <v>4597.333333333333</v>
      </c>
    </row>
    <row r="79" spans="29:36" x14ac:dyDescent="0.25">
      <c r="AC79" s="8">
        <v>39173</v>
      </c>
      <c r="AD79" s="9">
        <f t="shared" si="65"/>
        <v>4</v>
      </c>
      <c r="AE79">
        <v>6839.5155344441346</v>
      </c>
      <c r="AF79" s="5">
        <v>6850</v>
      </c>
      <c r="AG79" s="5">
        <v>4498</v>
      </c>
      <c r="AH79" t="str">
        <f t="shared" ref="AH79:AJ79" si="76">IF( OR($AD76=3,$AD76=6,$AD76=9,$AD76=12),   AVERAGE(AE77:AE79), "")</f>
        <v/>
      </c>
      <c r="AI79" t="str">
        <f t="shared" si="76"/>
        <v/>
      </c>
      <c r="AJ79" t="str">
        <f t="shared" si="76"/>
        <v/>
      </c>
    </row>
    <row r="80" spans="29:36" x14ac:dyDescent="0.25">
      <c r="AC80" s="8">
        <v>39203</v>
      </c>
      <c r="AD80" s="9">
        <f t="shared" si="65"/>
        <v>5</v>
      </c>
      <c r="AE80">
        <v>6767.7237344628411</v>
      </c>
      <c r="AF80" s="5">
        <v>6766</v>
      </c>
      <c r="AG80" s="5">
        <v>4479</v>
      </c>
      <c r="AH80" t="str">
        <f t="shared" ref="AH80:AJ80" si="77">IF( OR($AD77=3,$AD77=6,$AD77=9,$AD77=12),   AVERAGE(AE78:AE80), "")</f>
        <v/>
      </c>
      <c r="AI80" t="str">
        <f t="shared" si="77"/>
        <v/>
      </c>
      <c r="AJ80" t="str">
        <f t="shared" si="77"/>
        <v/>
      </c>
    </row>
    <row r="81" spans="29:36" x14ac:dyDescent="0.25">
      <c r="AC81" s="8">
        <v>39234</v>
      </c>
      <c r="AD81" s="9">
        <f t="shared" si="65"/>
        <v>6</v>
      </c>
      <c r="AE81">
        <v>6973.5475014499043</v>
      </c>
      <c r="AF81" s="5">
        <v>6979</v>
      </c>
      <c r="AG81" s="5">
        <v>4690</v>
      </c>
      <c r="AH81">
        <f t="shared" ref="AH81:AJ81" si="78">IF( OR($AD78=3,$AD78=6,$AD78=9,$AD78=12),   AVERAGE(AE79:AE81), "")</f>
        <v>6860.2622567856261</v>
      </c>
      <c r="AI81">
        <f t="shared" si="78"/>
        <v>6865</v>
      </c>
      <c r="AJ81">
        <f t="shared" si="78"/>
        <v>4555.666666666667</v>
      </c>
    </row>
    <row r="82" spans="29:36" x14ac:dyDescent="0.25">
      <c r="AC82" s="8">
        <v>39264</v>
      </c>
      <c r="AD82" s="9">
        <f t="shared" si="65"/>
        <v>7</v>
      </c>
      <c r="AE82">
        <v>7189.1951445298364</v>
      </c>
      <c r="AF82" s="5">
        <v>7149</v>
      </c>
      <c r="AG82" s="5">
        <v>4404</v>
      </c>
      <c r="AH82" t="str">
        <f t="shared" ref="AH82:AJ82" si="79">IF( OR($AD79=3,$AD79=6,$AD79=9,$AD79=12),   AVERAGE(AE80:AE82), "")</f>
        <v/>
      </c>
      <c r="AI82" t="str">
        <f t="shared" si="79"/>
        <v/>
      </c>
      <c r="AJ82" t="str">
        <f t="shared" si="79"/>
        <v/>
      </c>
    </row>
    <row r="83" spans="29:36" x14ac:dyDescent="0.25">
      <c r="AC83" s="8">
        <v>39295</v>
      </c>
      <c r="AD83" s="9">
        <f t="shared" si="65"/>
        <v>8</v>
      </c>
      <c r="AE83">
        <v>7050.1937946603948</v>
      </c>
      <c r="AF83" s="5">
        <v>7067</v>
      </c>
      <c r="AG83" s="5">
        <v>4491</v>
      </c>
      <c r="AH83" t="str">
        <f t="shared" ref="AH83:AJ83" si="80">IF( OR($AD80=3,$AD80=6,$AD80=9,$AD80=12),   AVERAGE(AE81:AE83), "")</f>
        <v/>
      </c>
      <c r="AI83" t="str">
        <f t="shared" si="80"/>
        <v/>
      </c>
      <c r="AJ83" t="str">
        <f t="shared" si="80"/>
        <v/>
      </c>
    </row>
    <row r="84" spans="29:36" x14ac:dyDescent="0.25">
      <c r="AC84" s="8">
        <v>39326</v>
      </c>
      <c r="AD84" s="9">
        <f t="shared" si="65"/>
        <v>9</v>
      </c>
      <c r="AE84">
        <v>7265.7329816550755</v>
      </c>
      <c r="AF84" s="5">
        <v>7170</v>
      </c>
      <c r="AG84" s="5">
        <v>4536</v>
      </c>
      <c r="AH84">
        <f t="shared" ref="AH84:AJ84" si="81">IF( OR($AD81=3,$AD81=6,$AD81=9,$AD81=12),   AVERAGE(AE82:AE84), "")</f>
        <v>7168.373973615101</v>
      </c>
      <c r="AI84">
        <f t="shared" si="81"/>
        <v>7128.666666666667</v>
      </c>
      <c r="AJ84">
        <f t="shared" si="81"/>
        <v>4477</v>
      </c>
    </row>
    <row r="85" spans="29:36" x14ac:dyDescent="0.25">
      <c r="AC85" s="8">
        <v>39356</v>
      </c>
      <c r="AD85" s="9">
        <f t="shared" si="65"/>
        <v>10</v>
      </c>
      <c r="AE85">
        <v>7197.4087487254938</v>
      </c>
      <c r="AF85" s="5">
        <v>7237</v>
      </c>
      <c r="AG85" s="5">
        <v>4275</v>
      </c>
      <c r="AH85" t="str">
        <f t="shared" ref="AH85:AJ85" si="82">IF( OR($AD82=3,$AD82=6,$AD82=9,$AD82=12),   AVERAGE(AE83:AE85), "")</f>
        <v/>
      </c>
      <c r="AI85" t="str">
        <f t="shared" si="82"/>
        <v/>
      </c>
      <c r="AJ85" t="str">
        <f t="shared" si="82"/>
        <v/>
      </c>
    </row>
    <row r="86" spans="29:36" x14ac:dyDescent="0.25">
      <c r="AC86" s="8">
        <v>39387</v>
      </c>
      <c r="AD86" s="9">
        <f t="shared" si="65"/>
        <v>11</v>
      </c>
      <c r="AE86">
        <v>7219.5699805079821</v>
      </c>
      <c r="AF86" s="5">
        <v>7240</v>
      </c>
      <c r="AG86" s="5">
        <v>4396</v>
      </c>
      <c r="AH86" t="str">
        <f t="shared" ref="AH86:AJ86" si="83">IF( OR($AD83=3,$AD83=6,$AD83=9,$AD83=12),   AVERAGE(AE84:AE86), "")</f>
        <v/>
      </c>
      <c r="AI86" t="str">
        <f t="shared" si="83"/>
        <v/>
      </c>
      <c r="AJ86" t="str">
        <f t="shared" si="83"/>
        <v/>
      </c>
    </row>
    <row r="87" spans="29:36" x14ac:dyDescent="0.25">
      <c r="AC87" s="8">
        <v>39417</v>
      </c>
      <c r="AD87" s="9">
        <f t="shared" si="65"/>
        <v>12</v>
      </c>
      <c r="AE87">
        <v>7664.2263887524205</v>
      </c>
      <c r="AF87" s="5">
        <v>7645</v>
      </c>
      <c r="AG87" s="5">
        <v>4256</v>
      </c>
      <c r="AH87">
        <f t="shared" ref="AH87:AJ87" si="84">IF( OR($AD84=3,$AD84=6,$AD84=9,$AD84=12),   AVERAGE(AE85:AE87), "")</f>
        <v>7360.4017059952994</v>
      </c>
      <c r="AI87">
        <f t="shared" si="84"/>
        <v>7374</v>
      </c>
      <c r="AJ87">
        <f t="shared" si="84"/>
        <v>4309</v>
      </c>
    </row>
    <row r="88" spans="29:36" x14ac:dyDescent="0.25">
      <c r="AC88" s="8">
        <v>39448</v>
      </c>
      <c r="AD88" s="9">
        <f t="shared" si="65"/>
        <v>1</v>
      </c>
      <c r="AE88">
        <v>7579.1961248286325</v>
      </c>
      <c r="AF88" s="5">
        <v>7685</v>
      </c>
      <c r="AG88" s="5">
        <v>4224</v>
      </c>
      <c r="AH88" t="str">
        <f t="shared" ref="AH88:AJ88" si="85">IF( OR($AD85=3,$AD85=6,$AD85=9,$AD85=12),   AVERAGE(AE86:AE88), "")</f>
        <v/>
      </c>
      <c r="AI88" t="str">
        <f t="shared" si="85"/>
        <v/>
      </c>
      <c r="AJ88" t="str">
        <f t="shared" si="85"/>
        <v/>
      </c>
    </row>
    <row r="89" spans="29:36" x14ac:dyDescent="0.25">
      <c r="AC89" s="8">
        <v>39479</v>
      </c>
      <c r="AD89" s="9">
        <f t="shared" si="65"/>
        <v>2</v>
      </c>
      <c r="AE89">
        <v>7472.392809184762</v>
      </c>
      <c r="AF89" s="5">
        <v>7497</v>
      </c>
      <c r="AG89" s="5">
        <v>4026</v>
      </c>
      <c r="AH89" t="str">
        <f t="shared" ref="AH89:AJ89" si="86">IF( OR($AD86=3,$AD86=6,$AD86=9,$AD86=12),   AVERAGE(AE87:AE89), "")</f>
        <v/>
      </c>
      <c r="AI89" t="str">
        <f t="shared" si="86"/>
        <v/>
      </c>
      <c r="AJ89" t="str">
        <f t="shared" si="86"/>
        <v/>
      </c>
    </row>
    <row r="90" spans="29:36" x14ac:dyDescent="0.25">
      <c r="AC90" s="8">
        <v>39508</v>
      </c>
      <c r="AD90" s="9">
        <f t="shared" si="65"/>
        <v>3</v>
      </c>
      <c r="AE90">
        <v>7778.3386286674895</v>
      </c>
      <c r="AF90" s="5">
        <v>7822</v>
      </c>
      <c r="AG90" s="5">
        <v>4003</v>
      </c>
      <c r="AH90">
        <f t="shared" ref="AH90:AJ90" si="87">IF( OR($AD87=3,$AD87=6,$AD87=9,$AD87=12),   AVERAGE(AE88:AE90), "")</f>
        <v>7609.9758542269619</v>
      </c>
      <c r="AI90">
        <f t="shared" si="87"/>
        <v>7668</v>
      </c>
      <c r="AJ90">
        <f t="shared" si="87"/>
        <v>4084.3333333333335</v>
      </c>
    </row>
    <row r="91" spans="29:36" x14ac:dyDescent="0.25">
      <c r="AC91" s="8">
        <v>39539</v>
      </c>
      <c r="AD91" s="9">
        <f t="shared" si="65"/>
        <v>4</v>
      </c>
      <c r="AE91">
        <v>7630.059660057319</v>
      </c>
      <c r="AF91" s="5">
        <v>7637</v>
      </c>
      <c r="AG91" s="5">
        <v>3906</v>
      </c>
      <c r="AH91" t="str">
        <f t="shared" ref="AH91:AJ91" si="88">IF( OR($AD88=3,$AD88=6,$AD88=9,$AD88=12),   AVERAGE(AE89:AE91), "")</f>
        <v/>
      </c>
      <c r="AI91" t="str">
        <f t="shared" si="88"/>
        <v/>
      </c>
      <c r="AJ91" t="str">
        <f t="shared" si="88"/>
        <v/>
      </c>
    </row>
    <row r="92" spans="29:36" x14ac:dyDescent="0.25">
      <c r="AC92" s="8">
        <v>39569</v>
      </c>
      <c r="AD92" s="9">
        <f t="shared" si="65"/>
        <v>5</v>
      </c>
      <c r="AE92">
        <v>8426.7864445763043</v>
      </c>
      <c r="AF92" s="5">
        <v>8395</v>
      </c>
      <c r="AG92" s="5">
        <v>3947</v>
      </c>
      <c r="AH92" t="str">
        <f t="shared" ref="AH92:AJ92" si="89">IF( OR($AD89=3,$AD89=6,$AD89=9,$AD89=12),   AVERAGE(AE90:AE92), "")</f>
        <v/>
      </c>
      <c r="AI92" t="str">
        <f t="shared" si="89"/>
        <v/>
      </c>
      <c r="AJ92" t="str">
        <f t="shared" si="89"/>
        <v/>
      </c>
    </row>
    <row r="93" spans="29:36" x14ac:dyDescent="0.25">
      <c r="AC93" s="8">
        <v>39600</v>
      </c>
      <c r="AD93" s="9">
        <f t="shared" si="65"/>
        <v>6</v>
      </c>
      <c r="AE93">
        <v>8539.3694078755307</v>
      </c>
      <c r="AF93" s="5">
        <v>8575</v>
      </c>
      <c r="AG93" s="5">
        <v>3777</v>
      </c>
      <c r="AH93">
        <f t="shared" ref="AH93:AJ93" si="90">IF( OR($AD90=3,$AD90=6,$AD90=9,$AD90=12),   AVERAGE(AE91:AE93), "")</f>
        <v>8198.738504169718</v>
      </c>
      <c r="AI93">
        <f t="shared" si="90"/>
        <v>8202.3333333333339</v>
      </c>
      <c r="AJ93">
        <f t="shared" si="90"/>
        <v>3876.6666666666665</v>
      </c>
    </row>
    <row r="94" spans="29:36" x14ac:dyDescent="0.25">
      <c r="AC94" s="8">
        <v>39630</v>
      </c>
      <c r="AD94" s="9">
        <f t="shared" si="65"/>
        <v>7</v>
      </c>
      <c r="AE94">
        <v>8975.0764688128565</v>
      </c>
      <c r="AF94" s="5">
        <v>8937</v>
      </c>
      <c r="AG94" s="5">
        <v>3784</v>
      </c>
      <c r="AH94" t="str">
        <f t="shared" ref="AH94:AJ94" si="91">IF( OR($AD91=3,$AD91=6,$AD91=9,$AD91=12),   AVERAGE(AE92:AE94), "")</f>
        <v/>
      </c>
      <c r="AI94" t="str">
        <f t="shared" si="91"/>
        <v/>
      </c>
      <c r="AJ94" t="str">
        <f t="shared" si="91"/>
        <v/>
      </c>
    </row>
    <row r="95" spans="29:36" x14ac:dyDescent="0.25">
      <c r="AC95" s="8">
        <v>39661</v>
      </c>
      <c r="AD95" s="9">
        <f t="shared" si="65"/>
        <v>8</v>
      </c>
      <c r="AE95">
        <v>9428.4406009573759</v>
      </c>
      <c r="AF95" s="5">
        <v>9438</v>
      </c>
      <c r="AG95" s="5">
        <v>3643</v>
      </c>
      <c r="AH95" t="str">
        <f t="shared" ref="AH95:AJ95" si="92">IF( OR($AD92=3,$AD92=6,$AD92=9,$AD92=12),   AVERAGE(AE93:AE95), "")</f>
        <v/>
      </c>
      <c r="AI95" t="str">
        <f t="shared" si="92"/>
        <v/>
      </c>
      <c r="AJ95" t="str">
        <f t="shared" si="92"/>
        <v/>
      </c>
    </row>
    <row r="96" spans="29:36" x14ac:dyDescent="0.25">
      <c r="AC96" s="8">
        <v>39692</v>
      </c>
      <c r="AD96" s="9">
        <f t="shared" si="65"/>
        <v>9</v>
      </c>
      <c r="AE96">
        <v>9614.1366079178715</v>
      </c>
      <c r="AF96" s="5">
        <v>9494</v>
      </c>
      <c r="AG96" s="5">
        <v>3233</v>
      </c>
      <c r="AH96">
        <f t="shared" ref="AH96:AJ96" si="93">IF( OR($AD93=3,$AD93=6,$AD93=9,$AD93=12),   AVERAGE(AE94:AE96), "")</f>
        <v>9339.2178925627013</v>
      </c>
      <c r="AI96">
        <f t="shared" si="93"/>
        <v>9289.6666666666661</v>
      </c>
      <c r="AJ96">
        <f t="shared" si="93"/>
        <v>3553.3333333333335</v>
      </c>
    </row>
    <row r="97" spans="29:36" x14ac:dyDescent="0.25">
      <c r="AC97" s="8">
        <v>39722</v>
      </c>
      <c r="AD97" s="9">
        <f t="shared" si="65"/>
        <v>10</v>
      </c>
      <c r="AE97">
        <v>10062.345111720317</v>
      </c>
      <c r="AF97" s="5">
        <v>10074</v>
      </c>
      <c r="AG97" s="5">
        <v>3384</v>
      </c>
      <c r="AH97" t="str">
        <f t="shared" ref="AH97:AJ97" si="94">IF( OR($AD94=3,$AD94=6,$AD94=9,$AD94=12),   AVERAGE(AE95:AE97), "")</f>
        <v/>
      </c>
      <c r="AI97" t="str">
        <f t="shared" si="94"/>
        <v/>
      </c>
      <c r="AJ97" t="str">
        <f t="shared" si="94"/>
        <v/>
      </c>
    </row>
    <row r="98" spans="29:36" x14ac:dyDescent="0.25">
      <c r="AC98" s="8">
        <v>39753</v>
      </c>
      <c r="AD98" s="9">
        <f t="shared" si="65"/>
        <v>11</v>
      </c>
      <c r="AE98">
        <v>10453.085637528906</v>
      </c>
      <c r="AF98" s="5">
        <v>10538</v>
      </c>
      <c r="AG98" s="5">
        <v>3155</v>
      </c>
      <c r="AH98" t="str">
        <f t="shared" ref="AH98:AJ98" si="95">IF( OR($AD95=3,$AD95=6,$AD95=9,$AD95=12),   AVERAGE(AE96:AE98), "")</f>
        <v/>
      </c>
      <c r="AI98" t="str">
        <f t="shared" si="95"/>
        <v/>
      </c>
      <c r="AJ98" t="str">
        <f t="shared" si="95"/>
        <v/>
      </c>
    </row>
    <row r="99" spans="29:36" x14ac:dyDescent="0.25">
      <c r="AC99" s="8">
        <v>39783</v>
      </c>
      <c r="AD99" s="9">
        <f t="shared" si="65"/>
        <v>12</v>
      </c>
      <c r="AE99">
        <v>11436.552170653626</v>
      </c>
      <c r="AF99" s="5">
        <v>11286</v>
      </c>
      <c r="AG99" s="5">
        <v>3011</v>
      </c>
      <c r="AH99">
        <f t="shared" ref="AH99:AJ99" si="96">IF( OR($AD96=3,$AD96=6,$AD96=9,$AD96=12),   AVERAGE(AE97:AE99), "")</f>
        <v>10650.660973300948</v>
      </c>
      <c r="AI99">
        <f t="shared" si="96"/>
        <v>10632.666666666666</v>
      </c>
      <c r="AJ99">
        <f t="shared" si="96"/>
        <v>3183.3333333333335</v>
      </c>
    </row>
    <row r="100" spans="29:36" x14ac:dyDescent="0.25">
      <c r="AC100" s="8">
        <v>39814</v>
      </c>
      <c r="AD100" s="9">
        <f t="shared" si="65"/>
        <v>1</v>
      </c>
      <c r="AE100">
        <v>11993.402552961401</v>
      </c>
      <c r="AF100" s="5">
        <v>12079</v>
      </c>
      <c r="AG100" s="5">
        <v>2853</v>
      </c>
      <c r="AH100" t="str">
        <f t="shared" ref="AH100:AJ100" si="97">IF( OR($AD97=3,$AD97=6,$AD97=9,$AD97=12),   AVERAGE(AE98:AE100), "")</f>
        <v/>
      </c>
      <c r="AI100" t="str">
        <f t="shared" si="97"/>
        <v/>
      </c>
      <c r="AJ100" t="str">
        <f t="shared" si="97"/>
        <v/>
      </c>
    </row>
    <row r="101" spans="29:36" x14ac:dyDescent="0.25">
      <c r="AC101" s="8">
        <v>39845</v>
      </c>
      <c r="AD101" s="9">
        <f t="shared" si="65"/>
        <v>2</v>
      </c>
      <c r="AE101">
        <v>12871.156682135301</v>
      </c>
      <c r="AF101" s="5">
        <v>12881</v>
      </c>
      <c r="AG101" s="5">
        <v>2807</v>
      </c>
      <c r="AH101" t="str">
        <f t="shared" ref="AH101:AJ101" si="98">IF( OR($AD98=3,$AD98=6,$AD98=9,$AD98=12),   AVERAGE(AE99:AE101), "")</f>
        <v/>
      </c>
      <c r="AI101" t="str">
        <f t="shared" si="98"/>
        <v/>
      </c>
      <c r="AJ101" t="str">
        <f t="shared" si="98"/>
        <v/>
      </c>
    </row>
    <row r="102" spans="29:36" x14ac:dyDescent="0.25">
      <c r="AC102" s="8">
        <v>39873</v>
      </c>
      <c r="AD102" s="9">
        <f t="shared" si="65"/>
        <v>3</v>
      </c>
      <c r="AE102">
        <v>13464.559018977796</v>
      </c>
      <c r="AF102" s="5">
        <v>13421</v>
      </c>
      <c r="AG102" s="5">
        <v>2550</v>
      </c>
      <c r="AH102">
        <f t="shared" ref="AH102:AJ102" si="99">IF( OR($AD99=3,$AD99=6,$AD99=9,$AD99=12),   AVERAGE(AE100:AE102), "")</f>
        <v>12776.372751358167</v>
      </c>
      <c r="AI102">
        <f t="shared" si="99"/>
        <v>12793.666666666666</v>
      </c>
      <c r="AJ102">
        <f t="shared" si="99"/>
        <v>2736.6666666666665</v>
      </c>
    </row>
    <row r="103" spans="29:36" x14ac:dyDescent="0.25">
      <c r="AC103" s="8">
        <v>39904</v>
      </c>
      <c r="AD103" s="9">
        <f t="shared" si="65"/>
        <v>4</v>
      </c>
      <c r="AE103">
        <v>13871.693478309231</v>
      </c>
      <c r="AF103" s="5">
        <v>13826</v>
      </c>
      <c r="AG103" s="5">
        <v>2292</v>
      </c>
      <c r="AH103" t="str">
        <f t="shared" ref="AH103:AJ103" si="100">IF( OR($AD100=3,$AD100=6,$AD100=9,$AD100=12),   AVERAGE(AE101:AE103), "")</f>
        <v/>
      </c>
      <c r="AI103" t="str">
        <f t="shared" si="100"/>
        <v/>
      </c>
      <c r="AJ103" t="str">
        <f t="shared" si="100"/>
        <v/>
      </c>
    </row>
    <row r="104" spans="29:36" x14ac:dyDescent="0.25">
      <c r="AC104" s="8">
        <v>39934</v>
      </c>
      <c r="AD104" s="9">
        <f t="shared" si="65"/>
        <v>5</v>
      </c>
      <c r="AE104">
        <v>14579.926571330447</v>
      </c>
      <c r="AF104" s="5">
        <v>14492</v>
      </c>
      <c r="AG104" s="5">
        <v>2415</v>
      </c>
      <c r="AH104" t="str">
        <f t="shared" ref="AH104:AJ104" si="101">IF( OR($AD101=3,$AD101=6,$AD101=9,$AD101=12),   AVERAGE(AE102:AE104), "")</f>
        <v/>
      </c>
      <c r="AI104" t="str">
        <f t="shared" si="101"/>
        <v/>
      </c>
      <c r="AJ104" t="str">
        <f t="shared" si="101"/>
        <v/>
      </c>
    </row>
    <row r="105" spans="29:36" x14ac:dyDescent="0.25">
      <c r="AC105" s="8">
        <v>39965</v>
      </c>
      <c r="AD105" s="9">
        <f t="shared" si="65"/>
        <v>6</v>
      </c>
      <c r="AE105">
        <v>14429.842293952886</v>
      </c>
      <c r="AF105" s="5">
        <v>14705</v>
      </c>
      <c r="AG105" s="5">
        <v>2377</v>
      </c>
      <c r="AH105">
        <f t="shared" ref="AH105:AJ105" si="102">IF( OR($AD102=3,$AD102=6,$AD102=9,$AD102=12),   AVERAGE(AE103:AE105), "")</f>
        <v>14293.820781197521</v>
      </c>
      <c r="AI105">
        <f t="shared" si="102"/>
        <v>14341</v>
      </c>
      <c r="AJ105">
        <f t="shared" si="102"/>
        <v>2361.3333333333335</v>
      </c>
    </row>
    <row r="106" spans="29:36" x14ac:dyDescent="0.25">
      <c r="AC106" s="8">
        <v>39995</v>
      </c>
      <c r="AD106" s="9">
        <f t="shared" si="65"/>
        <v>7</v>
      </c>
      <c r="AE106">
        <v>14463.069797776343</v>
      </c>
      <c r="AF106" s="5">
        <v>14607</v>
      </c>
      <c r="AG106" s="5">
        <v>2179</v>
      </c>
      <c r="AH106" t="str">
        <f t="shared" ref="AH106:AJ106" si="103">IF( OR($AD103=3,$AD103=6,$AD103=9,$AD103=12),   AVERAGE(AE104:AE106), "")</f>
        <v/>
      </c>
      <c r="AI106" t="str">
        <f t="shared" si="103"/>
        <v/>
      </c>
      <c r="AJ106" t="str">
        <f t="shared" si="103"/>
        <v/>
      </c>
    </row>
    <row r="107" spans="29:36" x14ac:dyDescent="0.25">
      <c r="AC107" s="8">
        <v>40026</v>
      </c>
      <c r="AD107" s="9">
        <f t="shared" si="65"/>
        <v>8</v>
      </c>
      <c r="AE107">
        <v>14743.936599640383</v>
      </c>
      <c r="AF107" s="5">
        <v>14819</v>
      </c>
      <c r="AG107" s="5">
        <v>2282</v>
      </c>
      <c r="AH107" t="str">
        <f t="shared" ref="AH107:AJ107" si="104">IF( OR($AD104=3,$AD104=6,$AD104=9,$AD104=12),   AVERAGE(AE105:AE107), "")</f>
        <v/>
      </c>
      <c r="AI107" t="str">
        <f t="shared" si="104"/>
        <v/>
      </c>
      <c r="AJ107" t="str">
        <f t="shared" si="104"/>
        <v/>
      </c>
    </row>
    <row r="108" spans="29:36" x14ac:dyDescent="0.25">
      <c r="AC108" s="8">
        <v>40057</v>
      </c>
      <c r="AD108" s="9">
        <f t="shared" si="65"/>
        <v>9</v>
      </c>
      <c r="AE108">
        <v>15194.077400359822</v>
      </c>
      <c r="AF108" s="5">
        <v>15005</v>
      </c>
      <c r="AG108" s="5">
        <v>2477</v>
      </c>
      <c r="AH108">
        <f t="shared" ref="AH108:AJ108" si="105">IF( OR($AD105=3,$AD105=6,$AD105=9,$AD105=12),   AVERAGE(AE106:AE108), "")</f>
        <v>14800.361265925516</v>
      </c>
      <c r="AI108">
        <f t="shared" si="105"/>
        <v>14810.333333333334</v>
      </c>
      <c r="AJ108">
        <f t="shared" si="105"/>
        <v>2312.6666666666665</v>
      </c>
    </row>
    <row r="109" spans="29:36" x14ac:dyDescent="0.25">
      <c r="AC109" s="8">
        <v>40087</v>
      </c>
      <c r="AD109" s="9">
        <f t="shared" si="65"/>
        <v>10</v>
      </c>
      <c r="AE109">
        <v>15458.542015016943</v>
      </c>
      <c r="AF109" s="5">
        <v>15382</v>
      </c>
      <c r="AG109" s="5">
        <v>2409</v>
      </c>
      <c r="AH109" t="str">
        <f t="shared" ref="AH109:AJ109" si="106">IF( OR($AD106=3,$AD106=6,$AD106=9,$AD106=12),   AVERAGE(AE107:AE109), "")</f>
        <v/>
      </c>
      <c r="AI109" t="str">
        <f t="shared" si="106"/>
        <v/>
      </c>
      <c r="AJ109" t="str">
        <f t="shared" si="106"/>
        <v/>
      </c>
    </row>
    <row r="110" spans="29:36" x14ac:dyDescent="0.25">
      <c r="AC110" s="8">
        <v>40118</v>
      </c>
      <c r="AD110" s="9">
        <f t="shared" si="65"/>
        <v>11</v>
      </c>
      <c r="AE110">
        <v>15037.204670981422</v>
      </c>
      <c r="AF110" s="5">
        <v>15223</v>
      </c>
      <c r="AG110" s="5">
        <v>2390</v>
      </c>
      <c r="AH110" t="str">
        <f t="shared" ref="AH110:AJ110" si="107">IF( OR($AD107=3,$AD107=6,$AD107=9,$AD107=12),   AVERAGE(AE108:AE110), "")</f>
        <v/>
      </c>
      <c r="AI110" t="str">
        <f t="shared" si="107"/>
        <v/>
      </c>
      <c r="AJ110" t="str">
        <f t="shared" si="107"/>
        <v/>
      </c>
    </row>
    <row r="111" spans="29:36" x14ac:dyDescent="0.25">
      <c r="AC111" s="8">
        <v>40148</v>
      </c>
      <c r="AD111" s="9">
        <f t="shared" si="65"/>
        <v>12</v>
      </c>
      <c r="AE111">
        <v>15326.373215331798</v>
      </c>
      <c r="AF111" s="5">
        <v>15095</v>
      </c>
      <c r="AG111" s="5">
        <v>2451</v>
      </c>
      <c r="AH111">
        <f t="shared" ref="AH111:AJ111" si="108">IF( OR($AD108=3,$AD108=6,$AD108=9,$AD108=12),   AVERAGE(AE109:AE111), "")</f>
        <v>15274.039967110055</v>
      </c>
      <c r="AI111">
        <f t="shared" si="108"/>
        <v>15233.333333333334</v>
      </c>
      <c r="AJ111">
        <f t="shared" si="108"/>
        <v>2416.6666666666665</v>
      </c>
    </row>
    <row r="112" spans="29:36" x14ac:dyDescent="0.25">
      <c r="AC112" s="8">
        <v>40179</v>
      </c>
      <c r="AD112" s="9">
        <f t="shared" si="65"/>
        <v>1</v>
      </c>
      <c r="AE112">
        <v>14886.422555359193</v>
      </c>
      <c r="AF112" s="5">
        <v>15016</v>
      </c>
      <c r="AG112" s="5">
        <v>2751</v>
      </c>
      <c r="AH112" t="str">
        <f t="shared" ref="AH112:AJ112" si="109">IF( OR($AD109=3,$AD109=6,$AD109=9,$AD109=12),   AVERAGE(AE110:AE112), "")</f>
        <v/>
      </c>
      <c r="AI112" t="str">
        <f t="shared" si="109"/>
        <v/>
      </c>
      <c r="AJ112" t="str">
        <f t="shared" si="109"/>
        <v/>
      </c>
    </row>
    <row r="113" spans="29:36" x14ac:dyDescent="0.25">
      <c r="AC113" s="8">
        <v>40210</v>
      </c>
      <c r="AD113" s="9">
        <f t="shared" si="65"/>
        <v>2</v>
      </c>
      <c r="AE113">
        <v>15024.64898927116</v>
      </c>
      <c r="AF113" s="5">
        <v>15078</v>
      </c>
      <c r="AG113" s="5">
        <v>2577</v>
      </c>
      <c r="AH113" t="str">
        <f t="shared" ref="AH113:AJ113" si="110">IF( OR($AD110=3,$AD110=6,$AD110=9,$AD110=12),   AVERAGE(AE111:AE113), "")</f>
        <v/>
      </c>
      <c r="AI113" t="str">
        <f t="shared" si="110"/>
        <v/>
      </c>
      <c r="AJ113" t="str">
        <f t="shared" si="110"/>
        <v/>
      </c>
    </row>
    <row r="114" spans="29:36" x14ac:dyDescent="0.25">
      <c r="AC114" s="8">
        <v>40238</v>
      </c>
      <c r="AD114" s="9">
        <f t="shared" si="65"/>
        <v>3</v>
      </c>
      <c r="AE114">
        <v>15192.325030552996</v>
      </c>
      <c r="AF114" s="5">
        <v>15192</v>
      </c>
      <c r="AG114" s="5">
        <v>2614</v>
      </c>
      <c r="AH114">
        <f t="shared" ref="AH114:AJ114" si="111">IF( OR($AD111=3,$AD111=6,$AD111=9,$AD111=12),   AVERAGE(AE112:AE114), "")</f>
        <v>15034.465525061116</v>
      </c>
      <c r="AI114">
        <f t="shared" si="111"/>
        <v>15095.333333333334</v>
      </c>
      <c r="AJ114">
        <f t="shared" si="111"/>
        <v>2647.3333333333335</v>
      </c>
    </row>
    <row r="115" spans="29:36" x14ac:dyDescent="0.25">
      <c r="AC115" s="8">
        <v>40269</v>
      </c>
      <c r="AD115" s="9">
        <f t="shared" si="65"/>
        <v>4</v>
      </c>
      <c r="AE115">
        <v>15296.767061037104</v>
      </c>
      <c r="AF115" s="5">
        <v>15281</v>
      </c>
      <c r="AG115" s="5">
        <v>3142</v>
      </c>
      <c r="AH115" t="str">
        <f t="shared" ref="AH115:AJ115" si="112">IF( OR($AD112=3,$AD112=6,$AD112=9,$AD112=12),   AVERAGE(AE113:AE115), "")</f>
        <v/>
      </c>
      <c r="AI115" t="str">
        <f t="shared" si="112"/>
        <v/>
      </c>
      <c r="AJ115" t="str">
        <f t="shared" si="112"/>
        <v/>
      </c>
    </row>
    <row r="116" spans="29:36" x14ac:dyDescent="0.25">
      <c r="AC116" s="8">
        <v>40299</v>
      </c>
      <c r="AD116" s="9">
        <f t="shared" si="65"/>
        <v>5</v>
      </c>
      <c r="AE116">
        <v>14993.127095358706</v>
      </c>
      <c r="AF116" s="5">
        <v>14856</v>
      </c>
      <c r="AG116" s="5">
        <v>2849</v>
      </c>
      <c r="AH116" t="str">
        <f t="shared" ref="AH116:AJ116" si="113">IF( OR($AD113=3,$AD113=6,$AD113=9,$AD113=12),   AVERAGE(AE114:AE116), "")</f>
        <v/>
      </c>
      <c r="AI116" t="str">
        <f t="shared" si="113"/>
        <v/>
      </c>
      <c r="AJ116" t="str">
        <f t="shared" si="113"/>
        <v/>
      </c>
    </row>
    <row r="117" spans="29:36" x14ac:dyDescent="0.25">
      <c r="AC117" s="8">
        <v>40330</v>
      </c>
      <c r="AD117" s="9">
        <f t="shared" si="65"/>
        <v>6</v>
      </c>
      <c r="AE117">
        <v>14229.095895693192</v>
      </c>
      <c r="AF117" s="5">
        <v>14475</v>
      </c>
      <c r="AG117" s="5">
        <v>2645</v>
      </c>
      <c r="AH117">
        <f t="shared" ref="AH117:AJ117" si="114">IF( OR($AD114=3,$AD114=6,$AD114=9,$AD114=12),   AVERAGE(AE115:AE117), "")</f>
        <v>14839.663350696334</v>
      </c>
      <c r="AI117">
        <f t="shared" si="114"/>
        <v>14870.666666666666</v>
      </c>
      <c r="AJ117">
        <f t="shared" si="114"/>
        <v>2878.6666666666665</v>
      </c>
    </row>
    <row r="118" spans="29:36" x14ac:dyDescent="0.25">
      <c r="AC118" s="8">
        <v>40360</v>
      </c>
      <c r="AD118" s="9">
        <f t="shared" si="65"/>
        <v>7</v>
      </c>
      <c r="AE118">
        <v>14402.17666791267</v>
      </c>
      <c r="AF118" s="5">
        <v>14542</v>
      </c>
      <c r="AG118" s="5">
        <v>2922</v>
      </c>
      <c r="AH118" t="str">
        <f t="shared" ref="AH118:AJ118" si="115">IF( OR($AD115=3,$AD115=6,$AD115=9,$AD115=12),   AVERAGE(AE116:AE118), "")</f>
        <v/>
      </c>
      <c r="AI118" t="str">
        <f t="shared" si="115"/>
        <v/>
      </c>
      <c r="AJ118" t="str">
        <f t="shared" si="115"/>
        <v/>
      </c>
    </row>
    <row r="119" spans="29:36" x14ac:dyDescent="0.25">
      <c r="AC119" s="8">
        <v>40391</v>
      </c>
      <c r="AD119" s="9">
        <f t="shared" si="65"/>
        <v>8</v>
      </c>
      <c r="AE119">
        <v>14680.277964925615</v>
      </c>
      <c r="AF119" s="5">
        <v>14673</v>
      </c>
      <c r="AG119" s="5">
        <v>2905</v>
      </c>
      <c r="AH119" t="str">
        <f t="shared" ref="AH119:AJ119" si="116">IF( OR($AD116=3,$AD116=6,$AD116=9,$AD116=12),   AVERAGE(AE117:AE119), "")</f>
        <v/>
      </c>
      <c r="AI119" t="str">
        <f t="shared" si="116"/>
        <v/>
      </c>
      <c r="AJ119" t="str">
        <f t="shared" si="116"/>
        <v/>
      </c>
    </row>
    <row r="120" spans="29:36" x14ac:dyDescent="0.25">
      <c r="AC120" s="8">
        <v>40422</v>
      </c>
      <c r="AD120" s="9">
        <f t="shared" si="65"/>
        <v>9</v>
      </c>
      <c r="AE120">
        <v>14778.116277416968</v>
      </c>
      <c r="AF120" s="5">
        <v>14577</v>
      </c>
      <c r="AG120" s="5">
        <v>2784</v>
      </c>
      <c r="AH120">
        <f t="shared" ref="AH120:AJ120" si="117">IF( OR($AD117=3,$AD117=6,$AD117=9,$AD117=12),   AVERAGE(AE118:AE120), "")</f>
        <v>14620.190303418416</v>
      </c>
      <c r="AI120">
        <f t="shared" si="117"/>
        <v>14597.333333333334</v>
      </c>
      <c r="AJ120">
        <f t="shared" si="117"/>
        <v>2870.3333333333335</v>
      </c>
    </row>
    <row r="121" spans="29:36" x14ac:dyDescent="0.25">
      <c r="AC121" s="8">
        <v>40452</v>
      </c>
      <c r="AD121" s="9">
        <f t="shared" si="65"/>
        <v>10</v>
      </c>
      <c r="AE121">
        <v>14774.187779939544</v>
      </c>
      <c r="AF121" s="5">
        <v>14584</v>
      </c>
      <c r="AG121" s="5">
        <v>3033</v>
      </c>
      <c r="AH121" t="str">
        <f t="shared" ref="AH121:AJ121" si="118">IF( OR($AD118=3,$AD118=6,$AD118=9,$AD118=12),   AVERAGE(AE119:AE121), "")</f>
        <v/>
      </c>
      <c r="AI121" t="str">
        <f t="shared" si="118"/>
        <v/>
      </c>
      <c r="AJ121" t="str">
        <f t="shared" si="118"/>
        <v/>
      </c>
    </row>
    <row r="122" spans="29:36" x14ac:dyDescent="0.25">
      <c r="AC122" s="8">
        <v>40483</v>
      </c>
      <c r="AD122" s="9">
        <f t="shared" si="65"/>
        <v>11</v>
      </c>
      <c r="AE122">
        <v>14906.73680231531</v>
      </c>
      <c r="AF122" s="5">
        <v>15094</v>
      </c>
      <c r="AG122" s="5">
        <v>3051</v>
      </c>
      <c r="AH122" t="str">
        <f t="shared" ref="AH122:AJ122" si="119">IF( OR($AD119=3,$AD119=6,$AD119=9,$AD119=12),   AVERAGE(AE120:AE122), "")</f>
        <v/>
      </c>
      <c r="AI122" t="str">
        <f t="shared" si="119"/>
        <v/>
      </c>
      <c r="AJ122" t="str">
        <f t="shared" si="119"/>
        <v/>
      </c>
    </row>
    <row r="123" spans="29:36" x14ac:dyDescent="0.25">
      <c r="AC123" s="8">
        <v>40513</v>
      </c>
      <c r="AD123" s="9">
        <f t="shared" si="65"/>
        <v>12</v>
      </c>
      <c r="AE123">
        <v>14553.815868046077</v>
      </c>
      <c r="AF123" s="5">
        <v>14354</v>
      </c>
      <c r="AG123" s="5">
        <v>2930</v>
      </c>
      <c r="AH123">
        <f t="shared" ref="AH123:AJ123" si="120">IF( OR($AD120=3,$AD120=6,$AD120=9,$AD120=12),   AVERAGE(AE121:AE123), "")</f>
        <v>14744.913483433644</v>
      </c>
      <c r="AI123">
        <f t="shared" si="120"/>
        <v>14677.333333333334</v>
      </c>
      <c r="AJ123">
        <f t="shared" si="120"/>
        <v>3004.6666666666665</v>
      </c>
    </row>
    <row r="124" spans="29:36" x14ac:dyDescent="0.25">
      <c r="AC124" s="8">
        <v>40544</v>
      </c>
      <c r="AD124" s="9">
        <f t="shared" si="65"/>
        <v>1</v>
      </c>
      <c r="AE124">
        <v>13770.885843153545</v>
      </c>
      <c r="AF124" s="5">
        <v>13992</v>
      </c>
      <c r="AG124" s="5">
        <v>2868</v>
      </c>
      <c r="AH124" t="str">
        <f t="shared" ref="AH124:AJ124" si="121">IF( OR($AD121=3,$AD121=6,$AD121=9,$AD121=12),   AVERAGE(AE122:AE124), "")</f>
        <v/>
      </c>
      <c r="AI124" t="str">
        <f t="shared" si="121"/>
        <v/>
      </c>
      <c r="AJ124" t="str">
        <f t="shared" si="121"/>
        <v/>
      </c>
    </row>
    <row r="125" spans="29:36" x14ac:dyDescent="0.25">
      <c r="AC125" s="8">
        <v>40575</v>
      </c>
      <c r="AD125" s="9">
        <f t="shared" si="65"/>
        <v>2</v>
      </c>
      <c r="AE125">
        <v>13663.213407665637</v>
      </c>
      <c r="AF125" s="5">
        <v>13798</v>
      </c>
      <c r="AG125" s="5">
        <v>3017</v>
      </c>
      <c r="AH125" t="str">
        <f t="shared" ref="AH125:AJ125" si="122">IF( OR($AD122=3,$AD122=6,$AD122=9,$AD122=12),   AVERAGE(AE123:AE125), "")</f>
        <v/>
      </c>
      <c r="AI125" t="str">
        <f t="shared" si="122"/>
        <v/>
      </c>
      <c r="AJ125" t="str">
        <f t="shared" si="122"/>
        <v/>
      </c>
    </row>
    <row r="126" spans="29:36" x14ac:dyDescent="0.25">
      <c r="AC126" s="8">
        <v>40603</v>
      </c>
      <c r="AD126" s="9">
        <f t="shared" si="65"/>
        <v>3</v>
      </c>
      <c r="AE126">
        <v>13624.447629134784</v>
      </c>
      <c r="AF126" s="5">
        <v>13716</v>
      </c>
      <c r="AG126" s="5">
        <v>3104</v>
      </c>
      <c r="AH126">
        <f t="shared" ref="AH126:AJ126" si="123">IF( OR($AD123=3,$AD123=6,$AD123=9,$AD123=12),   AVERAGE(AE124:AE126), "")</f>
        <v>13686.182293317988</v>
      </c>
      <c r="AI126">
        <f t="shared" si="123"/>
        <v>13835.333333333334</v>
      </c>
      <c r="AJ126">
        <f t="shared" si="123"/>
        <v>2996.3333333333335</v>
      </c>
    </row>
    <row r="127" spans="29:36" x14ac:dyDescent="0.25">
      <c r="AC127" s="8">
        <v>40634</v>
      </c>
      <c r="AD127" s="9">
        <f t="shared" si="65"/>
        <v>4</v>
      </c>
      <c r="AE127">
        <v>13860.175616876457</v>
      </c>
      <c r="AF127" s="5">
        <v>13872</v>
      </c>
      <c r="AG127" s="5">
        <v>3025</v>
      </c>
      <c r="AH127" t="str">
        <f t="shared" ref="AH127:AJ127" si="124">IF( OR($AD124=3,$AD124=6,$AD124=9,$AD124=12),   AVERAGE(AE125:AE127), "")</f>
        <v/>
      </c>
      <c r="AI127" t="str">
        <f t="shared" si="124"/>
        <v/>
      </c>
      <c r="AJ127" t="str">
        <f t="shared" si="124"/>
        <v/>
      </c>
    </row>
    <row r="128" spans="29:36" x14ac:dyDescent="0.25">
      <c r="AC128" s="8">
        <v>40664</v>
      </c>
      <c r="AD128" s="9">
        <f t="shared" si="65"/>
        <v>5</v>
      </c>
      <c r="AE128">
        <v>14003.950083291056</v>
      </c>
      <c r="AF128" s="5">
        <v>13871</v>
      </c>
      <c r="AG128" s="5">
        <v>2937</v>
      </c>
      <c r="AH128" t="str">
        <f t="shared" ref="AH128:AJ128" si="125">IF( OR($AD125=3,$AD125=6,$AD125=9,$AD125=12),   AVERAGE(AE126:AE128), "")</f>
        <v/>
      </c>
      <c r="AI128" t="str">
        <f t="shared" si="125"/>
        <v/>
      </c>
      <c r="AJ128" t="str">
        <f t="shared" si="125"/>
        <v/>
      </c>
    </row>
    <row r="129" spans="29:36" x14ac:dyDescent="0.25">
      <c r="AC129" s="8">
        <v>40695</v>
      </c>
      <c r="AD129" s="9">
        <f t="shared" si="65"/>
        <v>6</v>
      </c>
      <c r="AE129">
        <v>13774.070726304548</v>
      </c>
      <c r="AF129" s="5">
        <v>13964</v>
      </c>
      <c r="AG129" s="5">
        <v>3180</v>
      </c>
      <c r="AH129">
        <f t="shared" ref="AH129:AJ129" si="126">IF( OR($AD126=3,$AD126=6,$AD126=9,$AD126=12),   AVERAGE(AE127:AE129), "")</f>
        <v>13879.39880882402</v>
      </c>
      <c r="AI129">
        <f t="shared" si="126"/>
        <v>13902.333333333334</v>
      </c>
      <c r="AJ129">
        <f t="shared" si="126"/>
        <v>3047.3333333333335</v>
      </c>
    </row>
    <row r="130" spans="29:36" x14ac:dyDescent="0.25">
      <c r="AC130" s="8">
        <v>40725</v>
      </c>
      <c r="AD130" s="9">
        <f t="shared" si="65"/>
        <v>7</v>
      </c>
      <c r="AE130">
        <v>13727.594963641674</v>
      </c>
      <c r="AF130" s="5">
        <v>13817</v>
      </c>
      <c r="AG130" s="5">
        <v>3286</v>
      </c>
      <c r="AH130" t="str">
        <f t="shared" ref="AH130:AJ130" si="127">IF( OR($AD127=3,$AD127=6,$AD127=9,$AD127=12),   AVERAGE(AE128:AE130), "")</f>
        <v/>
      </c>
      <c r="AI130" t="str">
        <f t="shared" si="127"/>
        <v/>
      </c>
      <c r="AJ130" t="str">
        <f t="shared" si="127"/>
        <v/>
      </c>
    </row>
    <row r="131" spans="29:36" x14ac:dyDescent="0.25">
      <c r="AC131" s="8">
        <v>40756</v>
      </c>
      <c r="AD131" s="9">
        <f t="shared" si="65"/>
        <v>8</v>
      </c>
      <c r="AE131">
        <v>13933.283673194526</v>
      </c>
      <c r="AF131" s="5">
        <v>13837</v>
      </c>
      <c r="AG131" s="5">
        <v>3172</v>
      </c>
      <c r="AH131" t="str">
        <f t="shared" ref="AH131:AJ131" si="128">IF( OR($AD128=3,$AD128=6,$AD128=9,$AD128=12),   AVERAGE(AE129:AE131), "")</f>
        <v/>
      </c>
      <c r="AI131" t="str">
        <f t="shared" si="128"/>
        <v/>
      </c>
      <c r="AJ131" t="str">
        <f t="shared" si="128"/>
        <v/>
      </c>
    </row>
    <row r="132" spans="29:36" x14ac:dyDescent="0.25">
      <c r="AC132" s="8">
        <v>40787</v>
      </c>
      <c r="AD132" s="9">
        <f t="shared" si="65"/>
        <v>9</v>
      </c>
      <c r="AE132">
        <v>14130.136638661768</v>
      </c>
      <c r="AF132" s="5">
        <v>13910</v>
      </c>
      <c r="AG132" s="5">
        <v>3465</v>
      </c>
      <c r="AH132">
        <f t="shared" ref="AH132:AJ132" si="129">IF( OR($AD129=3,$AD129=6,$AD129=9,$AD129=12),   AVERAGE(AE130:AE132), "")</f>
        <v>13930.338425165988</v>
      </c>
      <c r="AI132">
        <f t="shared" si="129"/>
        <v>13854.666666666666</v>
      </c>
      <c r="AJ132">
        <f t="shared" si="129"/>
        <v>3307.6666666666665</v>
      </c>
    </row>
    <row r="133" spans="29:36" x14ac:dyDescent="0.25">
      <c r="AC133" s="8">
        <v>40817</v>
      </c>
      <c r="AD133" s="9">
        <f t="shared" ref="AD133:AD155" si="130">IF(AD132=12,1,AD132+1)</f>
        <v>10</v>
      </c>
      <c r="AE133">
        <v>13922.995633515638</v>
      </c>
      <c r="AF133" s="5">
        <v>13696</v>
      </c>
      <c r="AG133" s="5">
        <v>3308</v>
      </c>
      <c r="AH133" t="str">
        <f t="shared" ref="AH133:AJ133" si="131">IF( OR($AD130=3,$AD130=6,$AD130=9,$AD130=12),   AVERAGE(AE131:AE133), "")</f>
        <v/>
      </c>
      <c r="AI133" t="str">
        <f t="shared" si="131"/>
        <v/>
      </c>
      <c r="AJ133" t="str">
        <f t="shared" si="131"/>
        <v/>
      </c>
    </row>
    <row r="134" spans="29:36" x14ac:dyDescent="0.25">
      <c r="AC134" s="8">
        <v>40848</v>
      </c>
      <c r="AD134" s="9">
        <f t="shared" si="130"/>
        <v>11</v>
      </c>
      <c r="AE134">
        <v>13164.72981988538</v>
      </c>
      <c r="AF134" s="5">
        <v>13325</v>
      </c>
      <c r="AG134" s="5">
        <v>3118</v>
      </c>
      <c r="AH134" t="str">
        <f t="shared" ref="AH134:AJ134" si="132">IF( OR($AD131=3,$AD131=6,$AD131=9,$AD131=12),   AVERAGE(AE132:AE134), "")</f>
        <v/>
      </c>
      <c r="AI134" t="str">
        <f t="shared" si="132"/>
        <v/>
      </c>
      <c r="AJ134" t="str">
        <f t="shared" si="132"/>
        <v/>
      </c>
    </row>
    <row r="135" spans="29:36" x14ac:dyDescent="0.25">
      <c r="AC135" s="8">
        <v>40878</v>
      </c>
      <c r="AD135" s="9">
        <f t="shared" si="130"/>
        <v>12</v>
      </c>
      <c r="AE135">
        <v>13196.901550135086</v>
      </c>
      <c r="AF135" s="5">
        <v>13049</v>
      </c>
      <c r="AG135" s="5">
        <v>3384</v>
      </c>
      <c r="AH135">
        <f t="shared" ref="AH135:AJ135" si="133">IF( OR($AD132=3,$AD132=6,$AD132=9,$AD132=12),   AVERAGE(AE133:AE135), "")</f>
        <v>13428.209001178702</v>
      </c>
      <c r="AI135">
        <f t="shared" si="133"/>
        <v>13356.666666666666</v>
      </c>
      <c r="AJ135">
        <f t="shared" si="133"/>
        <v>3270</v>
      </c>
    </row>
    <row r="136" spans="29:36" x14ac:dyDescent="0.25">
      <c r="AC136" s="8">
        <v>40909</v>
      </c>
      <c r="AD136" s="9">
        <f t="shared" si="130"/>
        <v>1</v>
      </c>
      <c r="AE136">
        <v>12483.869933865042</v>
      </c>
      <c r="AF136" s="5">
        <v>12748</v>
      </c>
      <c r="AG136" s="5">
        <v>3415</v>
      </c>
      <c r="AH136" t="str">
        <f t="shared" ref="AH136:AJ136" si="134">IF( OR($AD133=3,$AD133=6,$AD133=9,$AD133=12),   AVERAGE(AE134:AE136), "")</f>
        <v/>
      </c>
      <c r="AI136" t="str">
        <f t="shared" si="134"/>
        <v/>
      </c>
      <c r="AJ136" t="str">
        <f t="shared" si="134"/>
        <v/>
      </c>
    </row>
    <row r="137" spans="29:36" x14ac:dyDescent="0.25">
      <c r="AC137" s="8">
        <v>40940</v>
      </c>
      <c r="AD137" s="9">
        <f t="shared" si="130"/>
        <v>2</v>
      </c>
      <c r="AE137">
        <v>12618.412602458362</v>
      </c>
      <c r="AF137" s="5">
        <v>12806</v>
      </c>
      <c r="AG137" s="5">
        <v>3526</v>
      </c>
      <c r="AH137" t="str">
        <f t="shared" ref="AH137:AJ137" si="135">IF( OR($AD134=3,$AD134=6,$AD134=9,$AD134=12),   AVERAGE(AE135:AE137), "")</f>
        <v/>
      </c>
      <c r="AI137" t="str">
        <f t="shared" si="135"/>
        <v/>
      </c>
      <c r="AJ137" t="str">
        <f t="shared" si="135"/>
        <v/>
      </c>
    </row>
    <row r="138" spans="29:36" x14ac:dyDescent="0.25">
      <c r="AC138" s="8">
        <v>40969</v>
      </c>
      <c r="AD138" s="9">
        <f t="shared" si="130"/>
        <v>3</v>
      </c>
      <c r="AE138">
        <v>12504.258336156134</v>
      </c>
      <c r="AF138" s="5">
        <v>12686</v>
      </c>
      <c r="AG138" s="5">
        <v>3848</v>
      </c>
      <c r="AH138">
        <f t="shared" ref="AH138:AJ138" si="136">IF( OR($AD135=3,$AD135=6,$AD135=9,$AD135=12),   AVERAGE(AE136:AE138), "")</f>
        <v>12535.513624159847</v>
      </c>
      <c r="AI138">
        <f t="shared" si="136"/>
        <v>12746.666666666666</v>
      </c>
      <c r="AJ138">
        <f t="shared" si="136"/>
        <v>3596.3333333333335</v>
      </c>
    </row>
    <row r="139" spans="29:36" x14ac:dyDescent="0.25">
      <c r="AC139" s="8">
        <v>41000</v>
      </c>
      <c r="AD139" s="9">
        <f t="shared" si="130"/>
        <v>4</v>
      </c>
      <c r="AE139">
        <v>12470.702696758979</v>
      </c>
      <c r="AF139" s="5">
        <v>12518</v>
      </c>
      <c r="AG139" s="5">
        <v>3523</v>
      </c>
      <c r="AH139" t="str">
        <f t="shared" ref="AH139:AJ139" si="137">IF( OR($AD136=3,$AD136=6,$AD136=9,$AD136=12),   AVERAGE(AE137:AE139), "")</f>
        <v/>
      </c>
      <c r="AI139" t="str">
        <f t="shared" si="137"/>
        <v/>
      </c>
      <c r="AJ139" t="str">
        <f t="shared" si="137"/>
        <v/>
      </c>
    </row>
    <row r="140" spans="29:36" x14ac:dyDescent="0.25">
      <c r="AC140" s="8">
        <v>41030</v>
      </c>
      <c r="AD140" s="9">
        <f t="shared" si="130"/>
        <v>5</v>
      </c>
      <c r="AE140">
        <v>12803.999066542327</v>
      </c>
      <c r="AF140" s="5">
        <v>12695</v>
      </c>
      <c r="AG140" s="5">
        <v>3774</v>
      </c>
      <c r="AH140" t="str">
        <f t="shared" ref="AH140:AJ140" si="138">IF( OR($AD137=3,$AD137=6,$AD137=9,$AD137=12),   AVERAGE(AE138:AE140), "")</f>
        <v/>
      </c>
      <c r="AI140" t="str">
        <f t="shared" si="138"/>
        <v/>
      </c>
      <c r="AJ140" t="str">
        <f t="shared" si="138"/>
        <v/>
      </c>
    </row>
    <row r="141" spans="29:36" x14ac:dyDescent="0.25">
      <c r="AC141" s="8">
        <v>41061</v>
      </c>
      <c r="AD141" s="9">
        <f t="shared" si="130"/>
        <v>6</v>
      </c>
      <c r="AE141">
        <v>12603.050069789657</v>
      </c>
      <c r="AF141" s="5">
        <v>12701</v>
      </c>
      <c r="AG141" s="5">
        <v>3792</v>
      </c>
      <c r="AH141">
        <f t="shared" ref="AH141:AJ141" si="139">IF( OR($AD138=3,$AD138=6,$AD138=9,$AD138=12),   AVERAGE(AE139:AE141), "")</f>
        <v>12625.917277696988</v>
      </c>
      <c r="AI141">
        <f t="shared" si="139"/>
        <v>12638</v>
      </c>
      <c r="AJ141">
        <f t="shared" si="139"/>
        <v>3696.3333333333335</v>
      </c>
    </row>
    <row r="142" spans="29:36" x14ac:dyDescent="0.25">
      <c r="AC142" s="8">
        <v>41091</v>
      </c>
      <c r="AD142" s="9">
        <f t="shared" si="130"/>
        <v>7</v>
      </c>
      <c r="AE142">
        <v>12749.499065206433</v>
      </c>
      <c r="AF142" s="5">
        <v>12745</v>
      </c>
      <c r="AG142" s="5">
        <v>3499</v>
      </c>
      <c r="AH142" t="str">
        <f t="shared" ref="AH142:AJ142" si="140">IF( OR($AD139=3,$AD139=6,$AD139=9,$AD139=12),   AVERAGE(AE140:AE142), "")</f>
        <v/>
      </c>
      <c r="AI142" t="str">
        <f t="shared" si="140"/>
        <v/>
      </c>
      <c r="AJ142" t="str">
        <f t="shared" si="140"/>
        <v/>
      </c>
    </row>
    <row r="143" spans="29:36" x14ac:dyDescent="0.25">
      <c r="AC143" s="8">
        <v>41122</v>
      </c>
      <c r="AD143" s="9">
        <f t="shared" si="130"/>
        <v>8</v>
      </c>
      <c r="AE143">
        <v>12628.281661541812</v>
      </c>
      <c r="AF143" s="5">
        <v>12483</v>
      </c>
      <c r="AG143" s="5">
        <v>3632</v>
      </c>
      <c r="AH143" t="str">
        <f t="shared" ref="AH143:AJ143" si="141">IF( OR($AD140=3,$AD140=6,$AD140=9,$AD140=12),   AVERAGE(AE141:AE143), "")</f>
        <v/>
      </c>
      <c r="AI143" t="str">
        <f t="shared" si="141"/>
        <v/>
      </c>
      <c r="AJ143" t="str">
        <f t="shared" si="141"/>
        <v/>
      </c>
    </row>
    <row r="144" spans="29:36" x14ac:dyDescent="0.25">
      <c r="AC144" s="8">
        <v>41153</v>
      </c>
      <c r="AD144" s="9">
        <f t="shared" si="130"/>
        <v>9</v>
      </c>
      <c r="AE144">
        <v>12271.898255263794</v>
      </c>
      <c r="AF144" s="5">
        <v>12082</v>
      </c>
      <c r="AG144" s="5">
        <v>3603</v>
      </c>
      <c r="AH144">
        <f t="shared" ref="AH144:AJ144" si="142">IF( OR($AD141=3,$AD141=6,$AD141=9,$AD141=12),   AVERAGE(AE142:AE144), "")</f>
        <v>12549.892994004013</v>
      </c>
      <c r="AI144">
        <f t="shared" si="142"/>
        <v>12436.666666666666</v>
      </c>
      <c r="AJ144">
        <f t="shared" si="142"/>
        <v>3578</v>
      </c>
    </row>
    <row r="145" spans="29:36" x14ac:dyDescent="0.25">
      <c r="AC145" s="8">
        <v>41183</v>
      </c>
      <c r="AD145" s="9">
        <f t="shared" si="130"/>
        <v>10</v>
      </c>
      <c r="AE145">
        <v>12476.712847893994</v>
      </c>
      <c r="AF145" s="5">
        <v>12248</v>
      </c>
      <c r="AG145" s="5">
        <v>3646</v>
      </c>
      <c r="AH145" t="str">
        <f t="shared" ref="AH145:AJ145" si="143">IF( OR($AD142=3,$AD142=6,$AD142=9,$AD142=12),   AVERAGE(AE143:AE145), "")</f>
        <v/>
      </c>
      <c r="AI145" t="str">
        <f t="shared" si="143"/>
        <v/>
      </c>
      <c r="AJ145" t="str">
        <f t="shared" si="143"/>
        <v/>
      </c>
    </row>
    <row r="146" spans="29:36" x14ac:dyDescent="0.25">
      <c r="AC146" s="8">
        <v>41214</v>
      </c>
      <c r="AD146" s="9">
        <f t="shared" si="130"/>
        <v>11</v>
      </c>
      <c r="AE146">
        <v>11902.844594146745</v>
      </c>
      <c r="AF146" s="5">
        <v>12042</v>
      </c>
      <c r="AG146" s="5">
        <v>3789</v>
      </c>
      <c r="AH146" t="str">
        <f t="shared" ref="AH146:AJ146" si="144">IF( OR($AD143=3,$AD143=6,$AD143=9,$AD143=12),   AVERAGE(AE144:AE146), "")</f>
        <v/>
      </c>
      <c r="AI146" t="str">
        <f t="shared" si="144"/>
        <v/>
      </c>
      <c r="AJ146" t="str">
        <f t="shared" si="144"/>
        <v/>
      </c>
    </row>
    <row r="147" spans="29:36" x14ac:dyDescent="0.25">
      <c r="AC147" s="8">
        <v>41244</v>
      </c>
      <c r="AD147" s="9">
        <f t="shared" si="130"/>
        <v>12</v>
      </c>
      <c r="AE147">
        <v>12315.167188764573</v>
      </c>
      <c r="AF147" s="5">
        <v>12206</v>
      </c>
      <c r="AG147" s="5">
        <v>3612</v>
      </c>
      <c r="AH147">
        <f t="shared" ref="AH147:AJ147" si="145">IF( OR($AD144=3,$AD144=6,$AD144=9,$AD144=12),   AVERAGE(AE145:AE147), "")</f>
        <v>12231.574876935105</v>
      </c>
      <c r="AI147">
        <f t="shared" si="145"/>
        <v>12165.333333333334</v>
      </c>
      <c r="AJ147">
        <f t="shared" si="145"/>
        <v>3682.3333333333335</v>
      </c>
    </row>
    <row r="148" spans="29:36" x14ac:dyDescent="0.25">
      <c r="AC148" s="8">
        <v>41275</v>
      </c>
      <c r="AD148" s="9">
        <f t="shared" si="130"/>
        <v>1</v>
      </c>
      <c r="AE148">
        <v>12151.974713704683</v>
      </c>
      <c r="AF148" s="5">
        <v>12332</v>
      </c>
      <c r="AG148" s="5">
        <v>3611</v>
      </c>
      <c r="AH148" t="str">
        <f t="shared" ref="AH148:AJ148" si="146">IF( OR($AD145=3,$AD145=6,$AD145=9,$AD145=12),   AVERAGE(AE146:AE148), "")</f>
        <v/>
      </c>
      <c r="AI148" t="str">
        <f t="shared" si="146"/>
        <v/>
      </c>
      <c r="AJ148" t="str">
        <f t="shared" si="146"/>
        <v/>
      </c>
    </row>
    <row r="149" spans="29:36" x14ac:dyDescent="0.25">
      <c r="AC149" s="8">
        <v>41306</v>
      </c>
      <c r="AD149" s="9">
        <f t="shared" si="130"/>
        <v>2</v>
      </c>
      <c r="AE149">
        <v>11744.61336788753</v>
      </c>
      <c r="AF149" s="5">
        <v>12032</v>
      </c>
      <c r="AG149" s="5">
        <v>3899</v>
      </c>
      <c r="AH149" t="str">
        <f t="shared" ref="AH149:AJ149" si="147">IF( OR($AD146=3,$AD146=6,$AD146=9,$AD146=12),   AVERAGE(AE147:AE149), "")</f>
        <v/>
      </c>
      <c r="AI149" t="str">
        <f t="shared" si="147"/>
        <v/>
      </c>
      <c r="AJ149" t="str">
        <f t="shared" si="147"/>
        <v/>
      </c>
    </row>
    <row r="150" spans="29:36" x14ac:dyDescent="0.25">
      <c r="AC150" s="8">
        <v>41334</v>
      </c>
      <c r="AD150" s="9">
        <f t="shared" si="130"/>
        <v>3</v>
      </c>
      <c r="AE150">
        <v>11448.993509120019</v>
      </c>
      <c r="AF150" s="5">
        <v>11742</v>
      </c>
      <c r="AG150" s="5">
        <v>3875</v>
      </c>
      <c r="AH150">
        <f t="shared" ref="AH150:AJ150" si="148">IF( OR($AD147=3,$AD147=6,$AD147=9,$AD147=12),   AVERAGE(AE148:AE150), "")</f>
        <v>11781.860530237411</v>
      </c>
      <c r="AI150">
        <f t="shared" si="148"/>
        <v>12035.333333333334</v>
      </c>
      <c r="AJ150">
        <f t="shared" si="148"/>
        <v>3795</v>
      </c>
    </row>
    <row r="151" spans="29:36" x14ac:dyDescent="0.25">
      <c r="AC151" s="8">
        <v>41365</v>
      </c>
      <c r="AD151" s="9">
        <f t="shared" si="130"/>
        <v>4</v>
      </c>
      <c r="AE151">
        <v>11532.520529143861</v>
      </c>
      <c r="AF151" s="5">
        <v>11659</v>
      </c>
      <c r="AG151" s="5">
        <v>3800</v>
      </c>
      <c r="AH151" t="str">
        <f t="shared" ref="AH151:AJ151" si="149">IF( OR($AD148=3,$AD148=6,$AD148=9,$AD148=12),   AVERAGE(AE149:AE151), "")</f>
        <v/>
      </c>
      <c r="AI151" t="str">
        <f t="shared" si="149"/>
        <v/>
      </c>
      <c r="AJ151" t="str">
        <f t="shared" si="149"/>
        <v/>
      </c>
    </row>
    <row r="152" spans="29:36" x14ac:dyDescent="0.25">
      <c r="AC152" s="8">
        <v>41395</v>
      </c>
      <c r="AD152" s="9">
        <f t="shared" si="130"/>
        <v>5</v>
      </c>
      <c r="AE152">
        <v>11792.909905473178</v>
      </c>
      <c r="AF152" s="5">
        <v>11760</v>
      </c>
      <c r="AG152" s="5">
        <v>3907</v>
      </c>
      <c r="AH152" t="str">
        <f t="shared" ref="AH152:AJ152" si="150">IF( OR($AD149=3,$AD149=6,$AD149=9,$AD149=12),   AVERAGE(AE150:AE152), "")</f>
        <v/>
      </c>
      <c r="AI152" t="str">
        <f t="shared" si="150"/>
        <v/>
      </c>
      <c r="AJ152" t="str">
        <f t="shared" si="150"/>
        <v/>
      </c>
    </row>
    <row r="153" spans="29:36" x14ac:dyDescent="0.25">
      <c r="AC153" s="8">
        <v>41426</v>
      </c>
      <c r="AD153" s="9">
        <f t="shared" si="130"/>
        <v>6</v>
      </c>
      <c r="AE153">
        <v>11708.294694689299</v>
      </c>
      <c r="AF153" s="5">
        <v>11777</v>
      </c>
      <c r="AG153" s="5">
        <v>3869</v>
      </c>
      <c r="AH153">
        <f t="shared" ref="AH153:AJ153" si="151">IF( OR($AD150=3,$AD150=6,$AD150=9,$AD150=12),   AVERAGE(AE151:AE153), "")</f>
        <v>11677.908376435445</v>
      </c>
      <c r="AI153">
        <f t="shared" si="151"/>
        <v>11732</v>
      </c>
      <c r="AJ153">
        <f t="shared" si="151"/>
        <v>3858.6666666666665</v>
      </c>
    </row>
    <row r="154" spans="29:36" x14ac:dyDescent="0.25">
      <c r="AC154" s="8">
        <v>41456</v>
      </c>
      <c r="AD154" s="9">
        <f t="shared" si="130"/>
        <v>7</v>
      </c>
      <c r="AE154">
        <v>11496.432627230546</v>
      </c>
      <c r="AF154" s="5">
        <v>11514</v>
      </c>
      <c r="AG154" s="5">
        <v>3808</v>
      </c>
      <c r="AH154" t="str">
        <f t="shared" ref="AH154:AJ154" si="152">IF( OR($AD151=3,$AD151=6,$AD151=9,$AD151=12),   AVERAGE(AE152:AE154), "")</f>
        <v/>
      </c>
      <c r="AI154" t="str">
        <f t="shared" si="152"/>
        <v/>
      </c>
      <c r="AJ154" t="str">
        <f t="shared" si="152"/>
        <v/>
      </c>
    </row>
    <row r="155" spans="29:36" x14ac:dyDescent="0.25">
      <c r="AC155" s="8">
        <v>41487</v>
      </c>
      <c r="AD155" s="9">
        <f t="shared" si="130"/>
        <v>8</v>
      </c>
      <c r="AE155">
        <v>11400.863610947721</v>
      </c>
      <c r="AF155" s="5">
        <v>11316</v>
      </c>
      <c r="AG155" s="5">
        <v>3883</v>
      </c>
      <c r="AH155" t="str">
        <f t="shared" ref="AH155:AJ155" si="153">IF( OR($AD152=3,$AD152=6,$AD152=9,$AD152=12),   AVERAGE(AE153:AE155), "")</f>
        <v/>
      </c>
      <c r="AI155" t="str">
        <f t="shared" si="153"/>
        <v/>
      </c>
      <c r="AJ155" t="str">
        <f t="shared" si="153"/>
        <v/>
      </c>
    </row>
    <row r="156" spans="29:36" x14ac:dyDescent="0.25">
      <c r="AC156" s="8"/>
      <c r="AF156" s="5"/>
    </row>
    <row r="157" spans="29:36" x14ac:dyDescent="0.25">
      <c r="AC157" s="8"/>
      <c r="AF157" s="5"/>
    </row>
    <row r="158" spans="29:36" x14ac:dyDescent="0.25">
      <c r="AC158" s="8"/>
    </row>
    <row r="159" spans="29:36" x14ac:dyDescent="0.25">
      <c r="AC159" s="8"/>
    </row>
    <row r="160" spans="29:36" x14ac:dyDescent="0.25">
      <c r="AC160" s="8"/>
    </row>
    <row r="161" spans="29:29" x14ac:dyDescent="0.25">
      <c r="AC161" s="8"/>
    </row>
    <row r="162" spans="29:29" x14ac:dyDescent="0.25">
      <c r="AC162" s="8"/>
    </row>
    <row r="163" spans="29:29" x14ac:dyDescent="0.25">
      <c r="AC163" s="8"/>
    </row>
    <row r="164" spans="29:29" x14ac:dyDescent="0.25">
      <c r="AC164" s="8"/>
    </row>
    <row r="165" spans="29:29" x14ac:dyDescent="0.25">
      <c r="AC165" s="8"/>
    </row>
    <row r="166" spans="29:29" x14ac:dyDescent="0.25">
      <c r="AC166" s="8"/>
    </row>
    <row r="167" spans="29:29" x14ac:dyDescent="0.25">
      <c r="AC167" s="8"/>
    </row>
    <row r="168" spans="29:29" x14ac:dyDescent="0.25">
      <c r="AC168" s="8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9"/>
  <sheetViews>
    <sheetView workbookViewId="0"/>
  </sheetViews>
  <sheetFormatPr defaultRowHeight="15" x14ac:dyDescent="0.25"/>
  <cols>
    <col min="2" max="2" width="8.85546875" style="9"/>
  </cols>
  <sheetData>
    <row r="1" spans="1:19" ht="14.45" x14ac:dyDescent="0.3">
      <c r="A1" s="6" t="s">
        <v>37</v>
      </c>
      <c r="B1" s="7" t="s">
        <v>38</v>
      </c>
      <c r="C1" t="s">
        <v>39</v>
      </c>
      <c r="D1" s="6" t="s">
        <v>40</v>
      </c>
      <c r="E1" s="6" t="s">
        <v>41</v>
      </c>
      <c r="F1">
        <v>1</v>
      </c>
      <c r="G1">
        <f>F1+1</f>
        <v>2</v>
      </c>
      <c r="H1">
        <f t="shared" ref="H1:P1" si="0">G1+1</f>
        <v>3</v>
      </c>
      <c r="I1">
        <f t="shared" si="0"/>
        <v>4</v>
      </c>
      <c r="J1">
        <f t="shared" si="0"/>
        <v>5</v>
      </c>
      <c r="K1">
        <f t="shared" si="0"/>
        <v>6</v>
      </c>
      <c r="L1">
        <f t="shared" si="0"/>
        <v>7</v>
      </c>
      <c r="M1">
        <f t="shared" si="0"/>
        <v>8</v>
      </c>
      <c r="N1">
        <f t="shared" si="0"/>
        <v>9</v>
      </c>
      <c r="O1">
        <f t="shared" si="0"/>
        <v>10</v>
      </c>
      <c r="P1">
        <f t="shared" si="0"/>
        <v>11</v>
      </c>
      <c r="Q1">
        <f>P1+1</f>
        <v>12</v>
      </c>
      <c r="R1" s="6" t="s">
        <v>42</v>
      </c>
      <c r="S1" s="6" t="s">
        <v>43</v>
      </c>
    </row>
    <row r="2" spans="1:19" ht="14.45" x14ac:dyDescent="0.3">
      <c r="A2" s="8">
        <v>36526</v>
      </c>
      <c r="B2" s="9">
        <v>1</v>
      </c>
      <c r="C2">
        <v>430</v>
      </c>
      <c r="R2">
        <f>F169</f>
        <v>1.0112057123501712</v>
      </c>
      <c r="S2">
        <f>C2/R2</f>
        <v>425.23493958575955</v>
      </c>
    </row>
    <row r="3" spans="1:19" ht="14.45" x14ac:dyDescent="0.3">
      <c r="A3" s="8">
        <v>36557</v>
      </c>
      <c r="B3" s="9">
        <f>IF(B2=12,1,B2+1)</f>
        <v>2</v>
      </c>
      <c r="C3">
        <v>409</v>
      </c>
      <c r="R3">
        <f>G169</f>
        <v>0.88817803253104943</v>
      </c>
      <c r="S3">
        <f t="shared" ref="S3:S66" si="1">C3/R3</f>
        <v>460.49326263392123</v>
      </c>
    </row>
    <row r="4" spans="1:19" ht="14.45" x14ac:dyDescent="0.3">
      <c r="A4" s="8">
        <v>36586</v>
      </c>
      <c r="B4" s="9">
        <f t="shared" ref="B4:B67" si="2">IF(B3=12,1,B3+1)</f>
        <v>3</v>
      </c>
      <c r="C4">
        <v>311</v>
      </c>
      <c r="R4">
        <f>H169</f>
        <v>0.90207326214817818</v>
      </c>
      <c r="S4">
        <f t="shared" si="1"/>
        <v>344.76135481434312</v>
      </c>
    </row>
    <row r="5" spans="1:19" ht="14.45" x14ac:dyDescent="0.3">
      <c r="A5" s="8">
        <v>36617</v>
      </c>
      <c r="B5" s="9">
        <f t="shared" si="2"/>
        <v>4</v>
      </c>
      <c r="C5">
        <v>269</v>
      </c>
      <c r="R5">
        <f>I169</f>
        <v>0.8278598044138995</v>
      </c>
      <c r="S5">
        <f t="shared" si="1"/>
        <v>324.9342443802355</v>
      </c>
    </row>
    <row r="6" spans="1:19" ht="14.45" x14ac:dyDescent="0.3">
      <c r="A6" s="8">
        <v>36647</v>
      </c>
      <c r="B6" s="9">
        <f t="shared" si="2"/>
        <v>5</v>
      </c>
      <c r="C6">
        <v>370</v>
      </c>
      <c r="R6">
        <f>J169</f>
        <v>0.88590789659293523</v>
      </c>
      <c r="S6">
        <f t="shared" si="1"/>
        <v>417.65064000779626</v>
      </c>
    </row>
    <row r="7" spans="1:19" ht="14.45" x14ac:dyDescent="0.3">
      <c r="A7" s="8">
        <v>36678</v>
      </c>
      <c r="B7" s="9">
        <f t="shared" si="2"/>
        <v>6</v>
      </c>
      <c r="C7">
        <v>603</v>
      </c>
      <c r="R7">
        <f>K169</f>
        <v>1.1923572304821319</v>
      </c>
      <c r="S7">
        <f t="shared" si="1"/>
        <v>505.72092371694328</v>
      </c>
    </row>
    <row r="8" spans="1:19" ht="14.45" x14ac:dyDescent="0.3">
      <c r="A8" s="8">
        <v>36708</v>
      </c>
      <c r="B8" s="9">
        <f t="shared" si="2"/>
        <v>7</v>
      </c>
      <c r="C8">
        <v>545</v>
      </c>
      <c r="D8">
        <f>(1/12)*( 0.5*C2+SUM(C3:C13)+0.5*C14 )</f>
        <v>423.70833333333331</v>
      </c>
      <c r="E8">
        <f>C8/D8</f>
        <v>1.2862621693381848</v>
      </c>
      <c r="F8" t="str">
        <f>IF($B8=F$1,$E8, "")</f>
        <v/>
      </c>
      <c r="G8" t="str">
        <f t="shared" ref="G8:Q23" si="3">IF($B8=G$1,$E8, "")</f>
        <v/>
      </c>
      <c r="H8" t="str">
        <f t="shared" si="3"/>
        <v/>
      </c>
      <c r="I8" t="str">
        <f t="shared" si="3"/>
        <v/>
      </c>
      <c r="J8" t="str">
        <f t="shared" si="3"/>
        <v/>
      </c>
      <c r="K8" t="str">
        <f t="shared" si="3"/>
        <v/>
      </c>
      <c r="L8">
        <f t="shared" si="3"/>
        <v>1.2862621693381848</v>
      </c>
      <c r="M8" t="str">
        <f t="shared" si="3"/>
        <v/>
      </c>
      <c r="N8" t="str">
        <f t="shared" si="3"/>
        <v/>
      </c>
      <c r="O8" t="str">
        <f t="shared" si="3"/>
        <v/>
      </c>
      <c r="P8" t="str">
        <f t="shared" si="3"/>
        <v/>
      </c>
      <c r="Q8" t="str">
        <f t="shared" si="3"/>
        <v/>
      </c>
      <c r="R8">
        <f>L169</f>
        <v>1.3406882655295957</v>
      </c>
      <c r="S8">
        <f t="shared" si="1"/>
        <v>406.50762299669663</v>
      </c>
    </row>
    <row r="9" spans="1:19" ht="14.45" x14ac:dyDescent="0.3">
      <c r="A9" s="8">
        <v>36739</v>
      </c>
      <c r="B9" s="9">
        <f t="shared" si="2"/>
        <v>8</v>
      </c>
      <c r="C9">
        <v>583</v>
      </c>
      <c r="D9">
        <f t="shared" ref="D9:D72" si="4">(1/12)*( 0.5*C3+SUM(C4:C14)+0.5*C15 )</f>
        <v>420.45833333333331</v>
      </c>
      <c r="E9">
        <f t="shared" ref="E9:E72" si="5">C9/D9</f>
        <v>1.3865821028639382</v>
      </c>
      <c r="F9" t="str">
        <f t="shared" ref="F9:Q40" si="6">IF($B9=F$1,$E9, "")</f>
        <v/>
      </c>
      <c r="G9" t="str">
        <f t="shared" si="3"/>
        <v/>
      </c>
      <c r="H9" t="str">
        <f t="shared" si="3"/>
        <v/>
      </c>
      <c r="I9" t="str">
        <f t="shared" si="3"/>
        <v/>
      </c>
      <c r="J9" t="str">
        <f t="shared" si="3"/>
        <v/>
      </c>
      <c r="K9" t="str">
        <f t="shared" si="3"/>
        <v/>
      </c>
      <c r="L9" t="str">
        <f t="shared" si="3"/>
        <v/>
      </c>
      <c r="M9">
        <f t="shared" si="3"/>
        <v>1.3865821028639382</v>
      </c>
      <c r="N9" t="str">
        <f t="shared" si="3"/>
        <v/>
      </c>
      <c r="O9" t="str">
        <f t="shared" si="3"/>
        <v/>
      </c>
      <c r="P9" t="str">
        <f t="shared" si="3"/>
        <v/>
      </c>
      <c r="Q9" t="str">
        <f t="shared" si="3"/>
        <v/>
      </c>
      <c r="R9">
        <f>M169</f>
        <v>1.2923544769725261</v>
      </c>
      <c r="S9">
        <f t="shared" si="1"/>
        <v>451.11462094033033</v>
      </c>
    </row>
    <row r="10" spans="1:19" ht="14.45" x14ac:dyDescent="0.3">
      <c r="A10" s="8">
        <v>36770</v>
      </c>
      <c r="B10" s="9">
        <f t="shared" si="2"/>
        <v>9</v>
      </c>
      <c r="C10">
        <v>408</v>
      </c>
      <c r="D10">
        <f t="shared" si="4"/>
        <v>417.66666666666663</v>
      </c>
      <c r="E10">
        <f t="shared" si="5"/>
        <v>0.97685554668794905</v>
      </c>
      <c r="F10" t="str">
        <f t="shared" si="6"/>
        <v/>
      </c>
      <c r="G10" t="str">
        <f t="shared" si="3"/>
        <v/>
      </c>
      <c r="H10" t="str">
        <f t="shared" si="3"/>
        <v/>
      </c>
      <c r="I10" t="str">
        <f t="shared" si="3"/>
        <v/>
      </c>
      <c r="J10" t="str">
        <f t="shared" si="3"/>
        <v/>
      </c>
      <c r="K10" t="str">
        <f t="shared" si="3"/>
        <v/>
      </c>
      <c r="L10" t="str">
        <f t="shared" si="3"/>
        <v/>
      </c>
      <c r="M10" t="str">
        <f t="shared" si="3"/>
        <v/>
      </c>
      <c r="N10">
        <f t="shared" si="3"/>
        <v>0.97685554668794905</v>
      </c>
      <c r="O10" t="str">
        <f t="shared" si="3"/>
        <v/>
      </c>
      <c r="P10" t="str">
        <f t="shared" si="3"/>
        <v/>
      </c>
      <c r="Q10" t="str">
        <f t="shared" si="3"/>
        <v/>
      </c>
      <c r="R10">
        <f>N169</f>
        <v>1.0277851854043913</v>
      </c>
      <c r="S10">
        <f t="shared" si="1"/>
        <v>396.97011184245542</v>
      </c>
    </row>
    <row r="11" spans="1:19" ht="14.45" x14ac:dyDescent="0.3">
      <c r="A11" s="8">
        <v>36800</v>
      </c>
      <c r="B11" s="9">
        <f t="shared" si="2"/>
        <v>10</v>
      </c>
      <c r="C11">
        <v>391</v>
      </c>
      <c r="D11">
        <f t="shared" si="4"/>
        <v>423.66666666666663</v>
      </c>
      <c r="E11">
        <f t="shared" si="5"/>
        <v>0.92289535798583799</v>
      </c>
      <c r="F11" t="str">
        <f t="shared" si="6"/>
        <v/>
      </c>
      <c r="G11" t="str">
        <f t="shared" si="3"/>
        <v/>
      </c>
      <c r="H11" t="str">
        <f t="shared" si="3"/>
        <v/>
      </c>
      <c r="I11" t="str">
        <f t="shared" si="3"/>
        <v/>
      </c>
      <c r="J11" t="str">
        <f t="shared" si="3"/>
        <v/>
      </c>
      <c r="K11" t="str">
        <f t="shared" si="3"/>
        <v/>
      </c>
      <c r="L11" t="str">
        <f t="shared" si="3"/>
        <v/>
      </c>
      <c r="M11" t="str">
        <f t="shared" si="3"/>
        <v/>
      </c>
      <c r="N11" t="str">
        <f t="shared" si="3"/>
        <v/>
      </c>
      <c r="O11">
        <f t="shared" si="3"/>
        <v>0.92289535798583799</v>
      </c>
      <c r="P11" t="str">
        <f t="shared" si="3"/>
        <v/>
      </c>
      <c r="Q11" t="str">
        <f t="shared" si="3"/>
        <v/>
      </c>
      <c r="R11">
        <f>O169</f>
        <v>0.95789782990320982</v>
      </c>
      <c r="S11">
        <f t="shared" si="1"/>
        <v>408.18549514775322</v>
      </c>
    </row>
    <row r="12" spans="1:19" ht="14.45" x14ac:dyDescent="0.3">
      <c r="A12" s="8">
        <v>36831</v>
      </c>
      <c r="B12" s="9">
        <f t="shared" si="2"/>
        <v>11</v>
      </c>
      <c r="C12">
        <v>384</v>
      </c>
      <c r="D12">
        <f t="shared" si="4"/>
        <v>427.45833333333331</v>
      </c>
      <c r="E12">
        <f t="shared" si="5"/>
        <v>0.89833317087435427</v>
      </c>
      <c r="F12" t="str">
        <f t="shared" si="6"/>
        <v/>
      </c>
      <c r="G12" t="str">
        <f t="shared" si="3"/>
        <v/>
      </c>
      <c r="H12" t="str">
        <f t="shared" si="3"/>
        <v/>
      </c>
      <c r="I12" t="str">
        <f t="shared" si="3"/>
        <v/>
      </c>
      <c r="J12" t="str">
        <f t="shared" si="3"/>
        <v/>
      </c>
      <c r="K12" t="str">
        <f t="shared" si="3"/>
        <v/>
      </c>
      <c r="L12" t="str">
        <f t="shared" si="3"/>
        <v/>
      </c>
      <c r="M12" t="str">
        <f t="shared" si="3"/>
        <v/>
      </c>
      <c r="N12" t="str">
        <f t="shared" si="3"/>
        <v/>
      </c>
      <c r="O12" t="str">
        <f t="shared" si="3"/>
        <v/>
      </c>
      <c r="P12">
        <f t="shared" si="3"/>
        <v>0.89833317087435427</v>
      </c>
      <c r="Q12" t="str">
        <f t="shared" si="3"/>
        <v/>
      </c>
      <c r="R12">
        <f>P169</f>
        <v>0.92817345398738293</v>
      </c>
      <c r="S12">
        <f t="shared" si="1"/>
        <v>413.71577516072756</v>
      </c>
    </row>
    <row r="13" spans="1:19" ht="14.45" x14ac:dyDescent="0.3">
      <c r="A13" s="8">
        <v>36861</v>
      </c>
      <c r="B13" s="9">
        <f t="shared" si="2"/>
        <v>12</v>
      </c>
      <c r="C13">
        <v>365</v>
      </c>
      <c r="D13">
        <f t="shared" si="4"/>
        <v>423.83333333333331</v>
      </c>
      <c r="E13">
        <f t="shared" si="5"/>
        <v>0.86118757373181287</v>
      </c>
      <c r="F13" t="str">
        <f t="shared" si="6"/>
        <v/>
      </c>
      <c r="G13" t="str">
        <f t="shared" si="3"/>
        <v/>
      </c>
      <c r="H13" t="str">
        <f t="shared" si="3"/>
        <v/>
      </c>
      <c r="I13" t="str">
        <f t="shared" si="3"/>
        <v/>
      </c>
      <c r="J13" t="str">
        <f t="shared" si="3"/>
        <v/>
      </c>
      <c r="K13" t="str">
        <f t="shared" si="3"/>
        <v/>
      </c>
      <c r="L13" t="str">
        <f t="shared" si="3"/>
        <v/>
      </c>
      <c r="M13" t="str">
        <f t="shared" si="3"/>
        <v/>
      </c>
      <c r="N13" t="str">
        <f t="shared" si="3"/>
        <v/>
      </c>
      <c r="O13" t="str">
        <f t="shared" si="3"/>
        <v/>
      </c>
      <c r="P13" t="str">
        <f t="shared" si="3"/>
        <v/>
      </c>
      <c r="Q13">
        <f t="shared" si="3"/>
        <v>0.86118757373181287</v>
      </c>
      <c r="R13">
        <f>Q169</f>
        <v>0.89147002091043093</v>
      </c>
      <c r="S13">
        <f t="shared" si="1"/>
        <v>409.43609032105951</v>
      </c>
    </row>
    <row r="14" spans="1:19" ht="14.45" x14ac:dyDescent="0.3">
      <c r="A14" s="8">
        <v>36892</v>
      </c>
      <c r="B14" s="9">
        <f t="shared" si="2"/>
        <v>1</v>
      </c>
      <c r="C14">
        <v>463</v>
      </c>
      <c r="D14">
        <f t="shared" si="4"/>
        <v>420.70833333333331</v>
      </c>
      <c r="E14">
        <f t="shared" si="5"/>
        <v>1.1005249083886304</v>
      </c>
      <c r="F14">
        <f t="shared" si="6"/>
        <v>1.1005249083886304</v>
      </c>
      <c r="G14" t="str">
        <f t="shared" si="3"/>
        <v/>
      </c>
      <c r="H14" t="str">
        <f t="shared" si="3"/>
        <v/>
      </c>
      <c r="I14" t="str">
        <f t="shared" si="3"/>
        <v/>
      </c>
      <c r="J14" t="str">
        <f t="shared" si="3"/>
        <v/>
      </c>
      <c r="K14" t="str">
        <f t="shared" si="3"/>
        <v/>
      </c>
      <c r="L14" t="str">
        <f t="shared" si="3"/>
        <v/>
      </c>
      <c r="M14" t="str">
        <f t="shared" si="3"/>
        <v/>
      </c>
      <c r="N14" t="str">
        <f t="shared" si="3"/>
        <v/>
      </c>
      <c r="O14" t="str">
        <f t="shared" si="3"/>
        <v/>
      </c>
      <c r="P14" t="str">
        <f t="shared" si="3"/>
        <v/>
      </c>
      <c r="Q14" t="str">
        <f t="shared" si="3"/>
        <v/>
      </c>
      <c r="R14">
        <f>R2</f>
        <v>1.0112057123501712</v>
      </c>
      <c r="S14">
        <f t="shared" si="1"/>
        <v>457.86924890280619</v>
      </c>
    </row>
    <row r="15" spans="1:19" ht="14.45" x14ac:dyDescent="0.3">
      <c r="A15" s="8">
        <v>36923</v>
      </c>
      <c r="B15" s="9">
        <f t="shared" si="2"/>
        <v>2</v>
      </c>
      <c r="C15">
        <v>298</v>
      </c>
      <c r="D15">
        <f t="shared" si="4"/>
        <v>419.04166666666663</v>
      </c>
      <c r="E15">
        <f t="shared" si="5"/>
        <v>0.71114646514865276</v>
      </c>
      <c r="F15" t="str">
        <f t="shared" si="6"/>
        <v/>
      </c>
      <c r="G15">
        <f t="shared" si="3"/>
        <v>0.71114646514865276</v>
      </c>
      <c r="H15" t="str">
        <f t="shared" si="3"/>
        <v/>
      </c>
      <c r="I15" t="str">
        <f t="shared" si="3"/>
        <v/>
      </c>
      <c r="J15" t="str">
        <f t="shared" si="3"/>
        <v/>
      </c>
      <c r="K15" t="str">
        <f t="shared" si="3"/>
        <v/>
      </c>
      <c r="L15" t="str">
        <f t="shared" si="3"/>
        <v/>
      </c>
      <c r="M15" t="str">
        <f t="shared" si="3"/>
        <v/>
      </c>
      <c r="N15" t="str">
        <f t="shared" si="3"/>
        <v/>
      </c>
      <c r="O15" t="str">
        <f t="shared" si="3"/>
        <v/>
      </c>
      <c r="P15" t="str">
        <f t="shared" si="3"/>
        <v/>
      </c>
      <c r="Q15" t="str">
        <f t="shared" si="3"/>
        <v/>
      </c>
      <c r="R15">
        <f t="shared" ref="R15:R78" si="7">R3</f>
        <v>0.88817803253104943</v>
      </c>
      <c r="S15">
        <f t="shared" si="1"/>
        <v>335.51831849610886</v>
      </c>
    </row>
    <row r="16" spans="1:19" ht="14.45" x14ac:dyDescent="0.3">
      <c r="A16" s="8">
        <v>36951</v>
      </c>
      <c r="B16" s="9">
        <f t="shared" si="2"/>
        <v>3</v>
      </c>
      <c r="C16">
        <v>355</v>
      </c>
      <c r="D16">
        <f t="shared" si="4"/>
        <v>418.5</v>
      </c>
      <c r="E16">
        <f t="shared" si="5"/>
        <v>0.84826762246117082</v>
      </c>
      <c r="F16" t="str">
        <f t="shared" si="6"/>
        <v/>
      </c>
      <c r="G16" t="str">
        <f t="shared" si="3"/>
        <v/>
      </c>
      <c r="H16">
        <f t="shared" si="3"/>
        <v>0.84826762246117082</v>
      </c>
      <c r="I16" t="str">
        <f t="shared" si="3"/>
        <v/>
      </c>
      <c r="J16" t="str">
        <f t="shared" si="3"/>
        <v/>
      </c>
      <c r="K16" t="str">
        <f t="shared" si="3"/>
        <v/>
      </c>
      <c r="L16" t="str">
        <f t="shared" si="3"/>
        <v/>
      </c>
      <c r="M16" t="str">
        <f t="shared" si="3"/>
        <v/>
      </c>
      <c r="N16" t="str">
        <f t="shared" si="3"/>
        <v/>
      </c>
      <c r="O16" t="str">
        <f t="shared" si="3"/>
        <v/>
      </c>
      <c r="P16" t="str">
        <f t="shared" si="3"/>
        <v/>
      </c>
      <c r="Q16" t="str">
        <f t="shared" si="3"/>
        <v/>
      </c>
      <c r="R16">
        <f t="shared" si="7"/>
        <v>0.90207326214817818</v>
      </c>
      <c r="S16">
        <f t="shared" si="1"/>
        <v>393.53788089740129</v>
      </c>
    </row>
    <row r="17" spans="1:19" ht="14.45" x14ac:dyDescent="0.3">
      <c r="A17" s="8">
        <v>36982</v>
      </c>
      <c r="B17" s="9">
        <f t="shared" si="2"/>
        <v>4</v>
      </c>
      <c r="C17">
        <v>369</v>
      </c>
      <c r="D17">
        <f t="shared" si="4"/>
        <v>421.33333333333331</v>
      </c>
      <c r="E17">
        <f t="shared" si="5"/>
        <v>0.87579113924050633</v>
      </c>
      <c r="F17" t="str">
        <f t="shared" si="6"/>
        <v/>
      </c>
      <c r="G17" t="str">
        <f t="shared" si="3"/>
        <v/>
      </c>
      <c r="H17" t="str">
        <f t="shared" si="3"/>
        <v/>
      </c>
      <c r="I17">
        <f t="shared" si="3"/>
        <v>0.87579113924050633</v>
      </c>
      <c r="J17" t="str">
        <f t="shared" si="3"/>
        <v/>
      </c>
      <c r="K17" t="str">
        <f t="shared" si="3"/>
        <v/>
      </c>
      <c r="L17" t="str">
        <f t="shared" si="3"/>
        <v/>
      </c>
      <c r="M17" t="str">
        <f t="shared" si="3"/>
        <v/>
      </c>
      <c r="N17" t="str">
        <f t="shared" si="3"/>
        <v/>
      </c>
      <c r="O17" t="str">
        <f t="shared" si="3"/>
        <v/>
      </c>
      <c r="P17" t="str">
        <f t="shared" si="3"/>
        <v/>
      </c>
      <c r="Q17" t="str">
        <f t="shared" si="3"/>
        <v/>
      </c>
      <c r="R17">
        <f t="shared" si="7"/>
        <v>0.8278598044138995</v>
      </c>
      <c r="S17">
        <f t="shared" si="1"/>
        <v>445.72764377809261</v>
      </c>
    </row>
    <row r="18" spans="1:19" ht="14.45" x14ac:dyDescent="0.3">
      <c r="A18" s="8">
        <v>37012</v>
      </c>
      <c r="B18" s="9">
        <f t="shared" si="2"/>
        <v>5</v>
      </c>
      <c r="C18">
        <v>361</v>
      </c>
      <c r="D18">
        <f t="shared" si="4"/>
        <v>424.41666666666663</v>
      </c>
      <c r="E18">
        <f t="shared" si="5"/>
        <v>0.85057922638916172</v>
      </c>
      <c r="F18" t="str">
        <f t="shared" si="6"/>
        <v/>
      </c>
      <c r="G18" t="str">
        <f t="shared" si="3"/>
        <v/>
      </c>
      <c r="H18" t="str">
        <f t="shared" si="3"/>
        <v/>
      </c>
      <c r="I18" t="str">
        <f t="shared" si="3"/>
        <v/>
      </c>
      <c r="J18">
        <f t="shared" si="3"/>
        <v>0.85057922638916172</v>
      </c>
      <c r="K18" t="str">
        <f t="shared" si="3"/>
        <v/>
      </c>
      <c r="L18" t="str">
        <f t="shared" si="3"/>
        <v/>
      </c>
      <c r="M18" t="str">
        <f t="shared" si="3"/>
        <v/>
      </c>
      <c r="N18" t="str">
        <f t="shared" si="3"/>
        <v/>
      </c>
      <c r="O18" t="str">
        <f t="shared" si="3"/>
        <v/>
      </c>
      <c r="P18" t="str">
        <f t="shared" si="3"/>
        <v/>
      </c>
      <c r="Q18" t="str">
        <f t="shared" si="3"/>
        <v/>
      </c>
      <c r="R18">
        <f t="shared" si="7"/>
        <v>0.88590789659293523</v>
      </c>
      <c r="S18">
        <f t="shared" si="1"/>
        <v>407.49157038598503</v>
      </c>
    </row>
    <row r="19" spans="1:19" ht="14.45" x14ac:dyDescent="0.3">
      <c r="A19" s="8">
        <v>37043</v>
      </c>
      <c r="B19" s="9">
        <f t="shared" si="2"/>
        <v>6</v>
      </c>
      <c r="C19">
        <v>525</v>
      </c>
      <c r="D19">
        <f t="shared" si="4"/>
        <v>428.16666666666663</v>
      </c>
      <c r="E19">
        <f t="shared" si="5"/>
        <v>1.2261580381471391</v>
      </c>
      <c r="F19" t="str">
        <f t="shared" si="6"/>
        <v/>
      </c>
      <c r="G19" t="str">
        <f t="shared" si="3"/>
        <v/>
      </c>
      <c r="H19" t="str">
        <f t="shared" si="3"/>
        <v/>
      </c>
      <c r="I19" t="str">
        <f t="shared" si="3"/>
        <v/>
      </c>
      <c r="J19" t="str">
        <f t="shared" si="3"/>
        <v/>
      </c>
      <c r="K19">
        <f t="shared" si="3"/>
        <v>1.2261580381471391</v>
      </c>
      <c r="L19" t="str">
        <f t="shared" si="3"/>
        <v/>
      </c>
      <c r="M19" t="str">
        <f t="shared" si="3"/>
        <v/>
      </c>
      <c r="N19" t="str">
        <f t="shared" si="3"/>
        <v/>
      </c>
      <c r="O19" t="str">
        <f t="shared" si="3"/>
        <v/>
      </c>
      <c r="P19" t="str">
        <f t="shared" si="3"/>
        <v/>
      </c>
      <c r="Q19" t="str">
        <f t="shared" si="3"/>
        <v/>
      </c>
      <c r="R19">
        <f t="shared" si="7"/>
        <v>1.1923572304821319</v>
      </c>
      <c r="S19">
        <f t="shared" si="1"/>
        <v>440.30428681823417</v>
      </c>
    </row>
    <row r="20" spans="1:19" ht="14.45" x14ac:dyDescent="0.3">
      <c r="A20" s="8">
        <v>37073</v>
      </c>
      <c r="B20" s="9">
        <f t="shared" si="2"/>
        <v>7</v>
      </c>
      <c r="C20">
        <v>548</v>
      </c>
      <c r="D20">
        <f t="shared" si="4"/>
        <v>431.375</v>
      </c>
      <c r="E20">
        <f t="shared" si="5"/>
        <v>1.2703564184294407</v>
      </c>
      <c r="F20" t="str">
        <f t="shared" si="6"/>
        <v/>
      </c>
      <c r="G20" t="str">
        <f t="shared" si="3"/>
        <v/>
      </c>
      <c r="H20" t="str">
        <f t="shared" si="3"/>
        <v/>
      </c>
      <c r="I20" t="str">
        <f t="shared" si="3"/>
        <v/>
      </c>
      <c r="J20" t="str">
        <f t="shared" si="3"/>
        <v/>
      </c>
      <c r="K20" t="str">
        <f t="shared" si="3"/>
        <v/>
      </c>
      <c r="L20">
        <f t="shared" si="3"/>
        <v>1.2703564184294407</v>
      </c>
      <c r="M20" t="str">
        <f t="shared" si="3"/>
        <v/>
      </c>
      <c r="N20" t="str">
        <f t="shared" si="3"/>
        <v/>
      </c>
      <c r="O20" t="str">
        <f t="shared" si="3"/>
        <v/>
      </c>
      <c r="P20" t="str">
        <f t="shared" si="3"/>
        <v/>
      </c>
      <c r="Q20" t="str">
        <f t="shared" si="3"/>
        <v/>
      </c>
      <c r="R20">
        <f t="shared" si="7"/>
        <v>1.3406882655295957</v>
      </c>
      <c r="S20">
        <f t="shared" si="1"/>
        <v>408.74527963704543</v>
      </c>
    </row>
    <row r="21" spans="1:19" ht="14.45" x14ac:dyDescent="0.3">
      <c r="A21" s="8">
        <v>37104</v>
      </c>
      <c r="B21" s="9">
        <f t="shared" si="2"/>
        <v>8</v>
      </c>
      <c r="C21">
        <v>540</v>
      </c>
      <c r="D21">
        <f t="shared" si="4"/>
        <v>441.08333333333331</v>
      </c>
      <c r="E21">
        <f t="shared" si="5"/>
        <v>1.22425845456263</v>
      </c>
      <c r="F21" t="str">
        <f t="shared" si="6"/>
        <v/>
      </c>
      <c r="G21" t="str">
        <f t="shared" si="3"/>
        <v/>
      </c>
      <c r="H21" t="str">
        <f t="shared" si="3"/>
        <v/>
      </c>
      <c r="I21" t="str">
        <f t="shared" si="3"/>
        <v/>
      </c>
      <c r="J21" t="str">
        <f t="shared" si="3"/>
        <v/>
      </c>
      <c r="K21" t="str">
        <f t="shared" si="3"/>
        <v/>
      </c>
      <c r="L21" t="str">
        <f t="shared" si="3"/>
        <v/>
      </c>
      <c r="M21">
        <f t="shared" si="3"/>
        <v>1.22425845456263</v>
      </c>
      <c r="N21" t="str">
        <f t="shared" si="3"/>
        <v/>
      </c>
      <c r="O21" t="str">
        <f t="shared" si="3"/>
        <v/>
      </c>
      <c r="P21" t="str">
        <f t="shared" si="3"/>
        <v/>
      </c>
      <c r="Q21" t="str">
        <f t="shared" si="3"/>
        <v/>
      </c>
      <c r="R21">
        <f t="shared" si="7"/>
        <v>1.2923544769725261</v>
      </c>
      <c r="S21">
        <f t="shared" si="1"/>
        <v>417.84201596531454</v>
      </c>
    </row>
    <row r="22" spans="1:19" ht="14.45" x14ac:dyDescent="0.3">
      <c r="A22" s="8">
        <v>37135</v>
      </c>
      <c r="B22" s="9">
        <f t="shared" si="2"/>
        <v>9</v>
      </c>
      <c r="C22">
        <v>438</v>
      </c>
      <c r="D22">
        <f t="shared" si="4"/>
        <v>454.91666666666663</v>
      </c>
      <c r="E22">
        <f t="shared" si="5"/>
        <v>0.96281370214324979</v>
      </c>
      <c r="F22" t="str">
        <f t="shared" si="6"/>
        <v/>
      </c>
      <c r="G22" t="str">
        <f t="shared" si="3"/>
        <v/>
      </c>
      <c r="H22" t="str">
        <f t="shared" si="3"/>
        <v/>
      </c>
      <c r="I22" t="str">
        <f t="shared" si="3"/>
        <v/>
      </c>
      <c r="J22" t="str">
        <f t="shared" si="3"/>
        <v/>
      </c>
      <c r="K22" t="str">
        <f t="shared" si="3"/>
        <v/>
      </c>
      <c r="L22" t="str">
        <f t="shared" si="3"/>
        <v/>
      </c>
      <c r="M22" t="str">
        <f t="shared" si="3"/>
        <v/>
      </c>
      <c r="N22">
        <f t="shared" si="3"/>
        <v>0.96281370214324979</v>
      </c>
      <c r="O22" t="str">
        <f t="shared" si="3"/>
        <v/>
      </c>
      <c r="P22" t="str">
        <f t="shared" si="3"/>
        <v/>
      </c>
      <c r="Q22" t="str">
        <f t="shared" si="3"/>
        <v/>
      </c>
      <c r="R22">
        <f t="shared" si="7"/>
        <v>1.0277851854043913</v>
      </c>
      <c r="S22">
        <f t="shared" si="1"/>
        <v>426.15909065440064</v>
      </c>
    </row>
    <row r="23" spans="1:19" ht="14.45" x14ac:dyDescent="0.3">
      <c r="A23" s="8">
        <v>37165</v>
      </c>
      <c r="B23" s="9">
        <f t="shared" si="2"/>
        <v>10</v>
      </c>
      <c r="C23">
        <v>429</v>
      </c>
      <c r="D23">
        <f t="shared" si="4"/>
        <v>463.25</v>
      </c>
      <c r="E23">
        <f t="shared" si="5"/>
        <v>0.92606583917970853</v>
      </c>
      <c r="F23" t="str">
        <f t="shared" si="6"/>
        <v/>
      </c>
      <c r="G23" t="str">
        <f t="shared" si="3"/>
        <v/>
      </c>
      <c r="H23" t="str">
        <f t="shared" si="3"/>
        <v/>
      </c>
      <c r="I23" t="str">
        <f t="shared" si="3"/>
        <v/>
      </c>
      <c r="J23" t="str">
        <f t="shared" si="3"/>
        <v/>
      </c>
      <c r="K23" t="str">
        <f t="shared" si="3"/>
        <v/>
      </c>
      <c r="L23" t="str">
        <f t="shared" si="3"/>
        <v/>
      </c>
      <c r="M23" t="str">
        <f t="shared" si="3"/>
        <v/>
      </c>
      <c r="N23" t="str">
        <f t="shared" si="3"/>
        <v/>
      </c>
      <c r="O23">
        <f t="shared" si="3"/>
        <v>0.92606583917970853</v>
      </c>
      <c r="P23" t="str">
        <f t="shared" si="3"/>
        <v/>
      </c>
      <c r="Q23" t="str">
        <f t="shared" si="3"/>
        <v/>
      </c>
      <c r="R23">
        <f t="shared" si="7"/>
        <v>0.95789782990320982</v>
      </c>
      <c r="S23">
        <f t="shared" si="1"/>
        <v>447.85569672221516</v>
      </c>
    </row>
    <row r="24" spans="1:19" ht="14.45" x14ac:dyDescent="0.3">
      <c r="A24" s="8">
        <v>37196</v>
      </c>
      <c r="B24" s="9">
        <f t="shared" si="2"/>
        <v>11</v>
      </c>
      <c r="C24">
        <v>420</v>
      </c>
      <c r="D24">
        <f t="shared" si="4"/>
        <v>471.625</v>
      </c>
      <c r="E24">
        <f t="shared" si="5"/>
        <v>0.89053803339517623</v>
      </c>
      <c r="F24" t="str">
        <f t="shared" si="6"/>
        <v/>
      </c>
      <c r="G24" t="str">
        <f t="shared" si="6"/>
        <v/>
      </c>
      <c r="H24" t="str">
        <f t="shared" si="6"/>
        <v/>
      </c>
      <c r="I24" t="str">
        <f t="shared" si="6"/>
        <v/>
      </c>
      <c r="J24" t="str">
        <f t="shared" si="6"/>
        <v/>
      </c>
      <c r="K24" t="str">
        <f t="shared" si="6"/>
        <v/>
      </c>
      <c r="L24" t="str">
        <f t="shared" si="6"/>
        <v/>
      </c>
      <c r="M24" t="str">
        <f t="shared" si="6"/>
        <v/>
      </c>
      <c r="N24" t="str">
        <f t="shared" si="6"/>
        <v/>
      </c>
      <c r="O24" t="str">
        <f t="shared" si="6"/>
        <v/>
      </c>
      <c r="P24">
        <f t="shared" si="6"/>
        <v>0.89053803339517623</v>
      </c>
      <c r="Q24" t="str">
        <f t="shared" si="6"/>
        <v/>
      </c>
      <c r="R24">
        <f t="shared" si="7"/>
        <v>0.92817345398738293</v>
      </c>
      <c r="S24">
        <f t="shared" si="1"/>
        <v>452.50162908204572</v>
      </c>
    </row>
    <row r="25" spans="1:19" ht="14.45" x14ac:dyDescent="0.3">
      <c r="A25" s="8">
        <v>37226</v>
      </c>
      <c r="B25" s="9">
        <f t="shared" si="2"/>
        <v>12</v>
      </c>
      <c r="C25">
        <v>419</v>
      </c>
      <c r="D25">
        <f t="shared" si="4"/>
        <v>478.25</v>
      </c>
      <c r="E25">
        <f t="shared" si="5"/>
        <v>0.87611082070047042</v>
      </c>
      <c r="F25" t="str">
        <f t="shared" si="6"/>
        <v/>
      </c>
      <c r="G25" t="str">
        <f t="shared" si="6"/>
        <v/>
      </c>
      <c r="H25" t="str">
        <f t="shared" si="6"/>
        <v/>
      </c>
      <c r="I25" t="str">
        <f t="shared" si="6"/>
        <v/>
      </c>
      <c r="J25" t="str">
        <f t="shared" si="6"/>
        <v/>
      </c>
      <c r="K25" t="str">
        <f t="shared" si="6"/>
        <v/>
      </c>
      <c r="L25" t="str">
        <f t="shared" si="6"/>
        <v/>
      </c>
      <c r="M25" t="str">
        <f t="shared" si="6"/>
        <v/>
      </c>
      <c r="N25" t="str">
        <f t="shared" si="6"/>
        <v/>
      </c>
      <c r="O25" t="str">
        <f t="shared" si="6"/>
        <v/>
      </c>
      <c r="P25" t="str">
        <f t="shared" si="6"/>
        <v/>
      </c>
      <c r="Q25">
        <f t="shared" si="6"/>
        <v>0.87611082070047042</v>
      </c>
      <c r="R25">
        <f t="shared" si="7"/>
        <v>0.89147002091043093</v>
      </c>
      <c r="S25">
        <f t="shared" si="1"/>
        <v>470.01019683431213</v>
      </c>
    </row>
    <row r="26" spans="1:19" ht="14.45" x14ac:dyDescent="0.3">
      <c r="A26" s="8">
        <v>37257</v>
      </c>
      <c r="B26" s="9">
        <f t="shared" si="2"/>
        <v>1</v>
      </c>
      <c r="C26">
        <v>486</v>
      </c>
      <c r="D26">
        <f t="shared" si="4"/>
        <v>483.79166666666663</v>
      </c>
      <c r="E26">
        <f t="shared" si="5"/>
        <v>1.0045646369821721</v>
      </c>
      <c r="F26">
        <f t="shared" si="6"/>
        <v>1.0045646369821721</v>
      </c>
      <c r="G26" t="str">
        <f t="shared" si="6"/>
        <v/>
      </c>
      <c r="H26" t="str">
        <f t="shared" si="6"/>
        <v/>
      </c>
      <c r="I26" t="str">
        <f t="shared" si="6"/>
        <v/>
      </c>
      <c r="J26" t="str">
        <f t="shared" si="6"/>
        <v/>
      </c>
      <c r="K26" t="str">
        <f t="shared" si="6"/>
        <v/>
      </c>
      <c r="L26" t="str">
        <f t="shared" si="6"/>
        <v/>
      </c>
      <c r="M26" t="str">
        <f t="shared" si="6"/>
        <v/>
      </c>
      <c r="N26" t="str">
        <f t="shared" si="6"/>
        <v/>
      </c>
      <c r="O26" t="str">
        <f t="shared" si="6"/>
        <v/>
      </c>
      <c r="P26" t="str">
        <f t="shared" si="6"/>
        <v/>
      </c>
      <c r="Q26" t="str">
        <f t="shared" si="6"/>
        <v/>
      </c>
      <c r="R26">
        <f t="shared" si="7"/>
        <v>1.0112057123501712</v>
      </c>
      <c r="S26">
        <f t="shared" si="1"/>
        <v>480.61437357832358</v>
      </c>
    </row>
    <row r="27" spans="1:19" ht="14.45" x14ac:dyDescent="0.3">
      <c r="A27" s="8">
        <v>37288</v>
      </c>
      <c r="B27" s="9">
        <f t="shared" si="2"/>
        <v>2</v>
      </c>
      <c r="C27">
        <v>508</v>
      </c>
      <c r="D27">
        <f t="shared" si="4"/>
        <v>490.16666666666663</v>
      </c>
      <c r="E27">
        <f t="shared" si="5"/>
        <v>1.0363821829309758</v>
      </c>
      <c r="F27" t="str">
        <f t="shared" si="6"/>
        <v/>
      </c>
      <c r="G27">
        <f t="shared" si="6"/>
        <v>1.0363821829309758</v>
      </c>
      <c r="H27" t="str">
        <f t="shared" si="6"/>
        <v/>
      </c>
      <c r="I27" t="str">
        <f t="shared" si="6"/>
        <v/>
      </c>
      <c r="J27" t="str">
        <f t="shared" si="6"/>
        <v/>
      </c>
      <c r="K27" t="str">
        <f t="shared" si="6"/>
        <v/>
      </c>
      <c r="L27" t="str">
        <f t="shared" si="6"/>
        <v/>
      </c>
      <c r="M27" t="str">
        <f t="shared" si="6"/>
        <v/>
      </c>
      <c r="N27" t="str">
        <f t="shared" si="6"/>
        <v/>
      </c>
      <c r="O27" t="str">
        <f t="shared" si="6"/>
        <v/>
      </c>
      <c r="P27" t="str">
        <f t="shared" si="6"/>
        <v/>
      </c>
      <c r="Q27" t="str">
        <f t="shared" si="6"/>
        <v/>
      </c>
      <c r="R27">
        <f t="shared" si="7"/>
        <v>0.88817803253104943</v>
      </c>
      <c r="S27">
        <f t="shared" si="1"/>
        <v>571.95740200007822</v>
      </c>
    </row>
    <row r="28" spans="1:19" ht="14.45" x14ac:dyDescent="0.3">
      <c r="A28" s="8">
        <v>37316</v>
      </c>
      <c r="B28" s="9">
        <f t="shared" si="2"/>
        <v>3</v>
      </c>
      <c r="C28">
        <v>477</v>
      </c>
      <c r="D28">
        <f t="shared" si="4"/>
        <v>496.33333333333331</v>
      </c>
      <c r="E28">
        <f t="shared" si="5"/>
        <v>0.96104768300873078</v>
      </c>
      <c r="F28" t="str">
        <f t="shared" si="6"/>
        <v/>
      </c>
      <c r="G28" t="str">
        <f t="shared" si="6"/>
        <v/>
      </c>
      <c r="H28">
        <f t="shared" si="6"/>
        <v>0.96104768300873078</v>
      </c>
      <c r="I28" t="str">
        <f t="shared" si="6"/>
        <v/>
      </c>
      <c r="J28" t="str">
        <f t="shared" si="6"/>
        <v/>
      </c>
      <c r="K28" t="str">
        <f t="shared" si="6"/>
        <v/>
      </c>
      <c r="L28" t="str">
        <f t="shared" si="6"/>
        <v/>
      </c>
      <c r="M28" t="str">
        <f t="shared" si="6"/>
        <v/>
      </c>
      <c r="N28" t="str">
        <f t="shared" si="6"/>
        <v/>
      </c>
      <c r="O28" t="str">
        <f t="shared" si="6"/>
        <v/>
      </c>
      <c r="P28" t="str">
        <f t="shared" si="6"/>
        <v/>
      </c>
      <c r="Q28" t="str">
        <f t="shared" si="6"/>
        <v/>
      </c>
      <c r="R28">
        <f t="shared" si="7"/>
        <v>0.90207326214817818</v>
      </c>
      <c r="S28">
        <f t="shared" si="1"/>
        <v>528.78188503678996</v>
      </c>
    </row>
    <row r="29" spans="1:19" x14ac:dyDescent="0.25">
      <c r="A29" s="8">
        <v>37347</v>
      </c>
      <c r="B29" s="9">
        <f t="shared" si="2"/>
        <v>4</v>
      </c>
      <c r="C29">
        <v>447</v>
      </c>
      <c r="D29">
        <f t="shared" si="4"/>
        <v>503.08333333333331</v>
      </c>
      <c r="E29">
        <f t="shared" si="5"/>
        <v>0.88852078847109495</v>
      </c>
      <c r="F29" t="str">
        <f t="shared" si="6"/>
        <v/>
      </c>
      <c r="G29" t="str">
        <f t="shared" si="6"/>
        <v/>
      </c>
      <c r="H29" t="str">
        <f t="shared" si="6"/>
        <v/>
      </c>
      <c r="I29">
        <f t="shared" si="6"/>
        <v>0.88852078847109495</v>
      </c>
      <c r="J29" t="str">
        <f t="shared" si="6"/>
        <v/>
      </c>
      <c r="K29" t="str">
        <f t="shared" si="6"/>
        <v/>
      </c>
      <c r="L29" t="str">
        <f t="shared" si="6"/>
        <v/>
      </c>
      <c r="M29" t="str">
        <f t="shared" si="6"/>
        <v/>
      </c>
      <c r="N29" t="str">
        <f t="shared" si="6"/>
        <v/>
      </c>
      <c r="O29" t="str">
        <f t="shared" si="6"/>
        <v/>
      </c>
      <c r="P29" t="str">
        <f t="shared" si="6"/>
        <v/>
      </c>
      <c r="Q29" t="str">
        <f t="shared" si="6"/>
        <v/>
      </c>
      <c r="R29">
        <f t="shared" si="7"/>
        <v>0.8278598044138995</v>
      </c>
      <c r="S29">
        <f t="shared" si="1"/>
        <v>539.94649530842105</v>
      </c>
    </row>
    <row r="30" spans="1:19" x14ac:dyDescent="0.25">
      <c r="A30" s="8">
        <v>37377</v>
      </c>
      <c r="B30" s="9">
        <f t="shared" si="2"/>
        <v>5</v>
      </c>
      <c r="C30">
        <v>484</v>
      </c>
      <c r="D30">
        <f t="shared" si="4"/>
        <v>508</v>
      </c>
      <c r="E30">
        <f t="shared" si="5"/>
        <v>0.952755905511811</v>
      </c>
      <c r="F30" t="str">
        <f t="shared" si="6"/>
        <v/>
      </c>
      <c r="G30" t="str">
        <f t="shared" si="6"/>
        <v/>
      </c>
      <c r="H30" t="str">
        <f t="shared" si="6"/>
        <v/>
      </c>
      <c r="I30" t="str">
        <f t="shared" si="6"/>
        <v/>
      </c>
      <c r="J30">
        <f t="shared" si="6"/>
        <v>0.952755905511811</v>
      </c>
      <c r="K30" t="str">
        <f t="shared" si="6"/>
        <v/>
      </c>
      <c r="L30" t="str">
        <f t="shared" si="6"/>
        <v/>
      </c>
      <c r="M30" t="str">
        <f t="shared" si="6"/>
        <v/>
      </c>
      <c r="N30" t="str">
        <f t="shared" si="6"/>
        <v/>
      </c>
      <c r="O30" t="str">
        <f t="shared" si="6"/>
        <v/>
      </c>
      <c r="P30" t="str">
        <f t="shared" si="6"/>
        <v/>
      </c>
      <c r="Q30" t="str">
        <f t="shared" si="6"/>
        <v/>
      </c>
      <c r="R30">
        <f t="shared" si="7"/>
        <v>0.88590789659293523</v>
      </c>
      <c r="S30">
        <f t="shared" si="1"/>
        <v>546.33218855073892</v>
      </c>
    </row>
    <row r="31" spans="1:19" x14ac:dyDescent="0.25">
      <c r="A31" s="8">
        <v>37408</v>
      </c>
      <c r="B31" s="9">
        <f t="shared" si="2"/>
        <v>6</v>
      </c>
      <c r="C31">
        <v>561</v>
      </c>
      <c r="D31">
        <f t="shared" si="4"/>
        <v>511.125</v>
      </c>
      <c r="E31">
        <f t="shared" si="5"/>
        <v>1.0975788701393985</v>
      </c>
      <c r="F31" t="str">
        <f t="shared" si="6"/>
        <v/>
      </c>
      <c r="G31" t="str">
        <f t="shared" si="6"/>
        <v/>
      </c>
      <c r="H31" t="str">
        <f t="shared" si="6"/>
        <v/>
      </c>
      <c r="I31" t="str">
        <f t="shared" si="6"/>
        <v/>
      </c>
      <c r="J31" t="str">
        <f t="shared" si="6"/>
        <v/>
      </c>
      <c r="K31">
        <f t="shared" si="6"/>
        <v>1.0975788701393985</v>
      </c>
      <c r="L31" t="str">
        <f t="shared" si="6"/>
        <v/>
      </c>
      <c r="M31" t="str">
        <f t="shared" si="6"/>
        <v/>
      </c>
      <c r="N31" t="str">
        <f t="shared" si="6"/>
        <v/>
      </c>
      <c r="O31" t="str">
        <f t="shared" si="6"/>
        <v/>
      </c>
      <c r="P31" t="str">
        <f t="shared" si="6"/>
        <v/>
      </c>
      <c r="Q31" t="str">
        <f t="shared" si="6"/>
        <v/>
      </c>
      <c r="R31">
        <f t="shared" si="7"/>
        <v>1.1923572304821319</v>
      </c>
      <c r="S31">
        <f t="shared" si="1"/>
        <v>470.49658077148456</v>
      </c>
    </row>
    <row r="32" spans="1:19" x14ac:dyDescent="0.25">
      <c r="A32" s="8">
        <v>37438</v>
      </c>
      <c r="B32" s="9">
        <f t="shared" si="2"/>
        <v>7</v>
      </c>
      <c r="C32">
        <v>645</v>
      </c>
      <c r="D32">
        <f t="shared" si="4"/>
        <v>515.79166666666663</v>
      </c>
      <c r="E32">
        <f t="shared" si="5"/>
        <v>1.2505048873091527</v>
      </c>
      <c r="F32" t="str">
        <f t="shared" si="6"/>
        <v/>
      </c>
      <c r="G32" t="str">
        <f t="shared" si="6"/>
        <v/>
      </c>
      <c r="H32" t="str">
        <f t="shared" si="6"/>
        <v/>
      </c>
      <c r="I32" t="str">
        <f t="shared" si="6"/>
        <v/>
      </c>
      <c r="J32" t="str">
        <f t="shared" si="6"/>
        <v/>
      </c>
      <c r="K32" t="str">
        <f t="shared" si="6"/>
        <v/>
      </c>
      <c r="L32">
        <f t="shared" si="6"/>
        <v>1.2505048873091527</v>
      </c>
      <c r="M32" t="str">
        <f t="shared" si="6"/>
        <v/>
      </c>
      <c r="N32" t="str">
        <f t="shared" si="6"/>
        <v/>
      </c>
      <c r="O32" t="str">
        <f t="shared" si="6"/>
        <v/>
      </c>
      <c r="P32" t="str">
        <f t="shared" si="6"/>
        <v/>
      </c>
      <c r="Q32" t="str">
        <f t="shared" si="6"/>
        <v/>
      </c>
      <c r="R32">
        <f t="shared" si="7"/>
        <v>1.3406882655295957</v>
      </c>
      <c r="S32">
        <f t="shared" si="1"/>
        <v>481.09617767498958</v>
      </c>
    </row>
    <row r="33" spans="1:19" x14ac:dyDescent="0.25">
      <c r="A33" s="8">
        <v>37469</v>
      </c>
      <c r="B33" s="9">
        <f t="shared" si="2"/>
        <v>8</v>
      </c>
      <c r="C33">
        <v>596</v>
      </c>
      <c r="D33">
        <f t="shared" si="4"/>
        <v>518.29166666666663</v>
      </c>
      <c r="E33">
        <f t="shared" si="5"/>
        <v>1.1499316665326795</v>
      </c>
      <c r="F33" t="str">
        <f t="shared" si="6"/>
        <v/>
      </c>
      <c r="G33" t="str">
        <f t="shared" si="6"/>
        <v/>
      </c>
      <c r="H33" t="str">
        <f t="shared" si="6"/>
        <v/>
      </c>
      <c r="I33" t="str">
        <f t="shared" si="6"/>
        <v/>
      </c>
      <c r="J33" t="str">
        <f t="shared" si="6"/>
        <v/>
      </c>
      <c r="K33" t="str">
        <f t="shared" si="6"/>
        <v/>
      </c>
      <c r="L33" t="str">
        <f t="shared" si="6"/>
        <v/>
      </c>
      <c r="M33">
        <f t="shared" si="6"/>
        <v>1.1499316665326795</v>
      </c>
      <c r="N33" t="str">
        <f t="shared" si="6"/>
        <v/>
      </c>
      <c r="O33" t="str">
        <f t="shared" si="6"/>
        <v/>
      </c>
      <c r="P33" t="str">
        <f t="shared" si="6"/>
        <v/>
      </c>
      <c r="Q33" t="str">
        <f t="shared" si="6"/>
        <v/>
      </c>
      <c r="R33">
        <f t="shared" si="7"/>
        <v>1.2923544769725261</v>
      </c>
      <c r="S33">
        <f t="shared" si="1"/>
        <v>461.17378058393973</v>
      </c>
    </row>
    <row r="34" spans="1:19" x14ac:dyDescent="0.25">
      <c r="A34" s="8">
        <v>37500</v>
      </c>
      <c r="B34" s="9">
        <f t="shared" si="2"/>
        <v>9</v>
      </c>
      <c r="C34">
        <v>530</v>
      </c>
      <c r="D34">
        <f t="shared" si="4"/>
        <v>519.29166666666663</v>
      </c>
      <c r="E34">
        <f t="shared" si="5"/>
        <v>1.020621038273289</v>
      </c>
      <c r="F34" t="str">
        <f t="shared" si="6"/>
        <v/>
      </c>
      <c r="G34" t="str">
        <f t="shared" si="6"/>
        <v/>
      </c>
      <c r="H34" t="str">
        <f t="shared" si="6"/>
        <v/>
      </c>
      <c r="I34" t="str">
        <f t="shared" si="6"/>
        <v/>
      </c>
      <c r="J34" t="str">
        <f t="shared" si="6"/>
        <v/>
      </c>
      <c r="K34" t="str">
        <f t="shared" si="6"/>
        <v/>
      </c>
      <c r="L34" t="str">
        <f t="shared" si="6"/>
        <v/>
      </c>
      <c r="M34" t="str">
        <f t="shared" si="6"/>
        <v/>
      </c>
      <c r="N34">
        <f t="shared" si="6"/>
        <v>1.020621038273289</v>
      </c>
      <c r="O34" t="str">
        <f t="shared" si="6"/>
        <v/>
      </c>
      <c r="P34" t="str">
        <f t="shared" si="6"/>
        <v/>
      </c>
      <c r="Q34" t="str">
        <f t="shared" si="6"/>
        <v/>
      </c>
      <c r="R34">
        <f t="shared" si="7"/>
        <v>1.0277851854043913</v>
      </c>
      <c r="S34">
        <f t="shared" si="1"/>
        <v>515.67195901103275</v>
      </c>
    </row>
    <row r="35" spans="1:19" x14ac:dyDescent="0.25">
      <c r="A35" s="8">
        <v>37530</v>
      </c>
      <c r="B35" s="9">
        <f t="shared" si="2"/>
        <v>10</v>
      </c>
      <c r="C35">
        <v>499</v>
      </c>
      <c r="D35">
        <f t="shared" si="4"/>
        <v>521.04166666666663</v>
      </c>
      <c r="E35">
        <f t="shared" si="5"/>
        <v>0.95769692123150751</v>
      </c>
      <c r="F35" t="str">
        <f t="shared" si="6"/>
        <v/>
      </c>
      <c r="G35" t="str">
        <f t="shared" si="6"/>
        <v/>
      </c>
      <c r="H35" t="str">
        <f t="shared" si="6"/>
        <v/>
      </c>
      <c r="I35" t="str">
        <f t="shared" si="6"/>
        <v/>
      </c>
      <c r="J35" t="str">
        <f t="shared" si="6"/>
        <v/>
      </c>
      <c r="K35" t="str">
        <f t="shared" si="6"/>
        <v/>
      </c>
      <c r="L35" t="str">
        <f t="shared" si="6"/>
        <v/>
      </c>
      <c r="M35" t="str">
        <f t="shared" si="6"/>
        <v/>
      </c>
      <c r="N35" t="str">
        <f t="shared" si="6"/>
        <v/>
      </c>
      <c r="O35">
        <f t="shared" si="6"/>
        <v>0.95769692123150751</v>
      </c>
      <c r="P35" t="str">
        <f t="shared" si="6"/>
        <v/>
      </c>
      <c r="Q35" t="str">
        <f t="shared" si="6"/>
        <v/>
      </c>
      <c r="R35">
        <f t="shared" si="7"/>
        <v>0.95789782990320982</v>
      </c>
      <c r="S35">
        <f t="shared" si="1"/>
        <v>520.93238383306618</v>
      </c>
    </row>
    <row r="36" spans="1:19" x14ac:dyDescent="0.25">
      <c r="A36" s="8">
        <v>37561</v>
      </c>
      <c r="B36" s="9">
        <f t="shared" si="2"/>
        <v>11</v>
      </c>
      <c r="C36">
        <v>468</v>
      </c>
      <c r="D36">
        <f t="shared" si="4"/>
        <v>520.5</v>
      </c>
      <c r="E36">
        <f t="shared" si="5"/>
        <v>0.89913544668587897</v>
      </c>
      <c r="F36" t="str">
        <f t="shared" si="6"/>
        <v/>
      </c>
      <c r="G36" t="str">
        <f t="shared" si="6"/>
        <v/>
      </c>
      <c r="H36" t="str">
        <f t="shared" si="6"/>
        <v/>
      </c>
      <c r="I36" t="str">
        <f t="shared" si="6"/>
        <v/>
      </c>
      <c r="J36" t="str">
        <f t="shared" si="6"/>
        <v/>
      </c>
      <c r="K36" t="str">
        <f t="shared" si="6"/>
        <v/>
      </c>
      <c r="L36" t="str">
        <f t="shared" si="6"/>
        <v/>
      </c>
      <c r="M36" t="str">
        <f t="shared" si="6"/>
        <v/>
      </c>
      <c r="N36" t="str">
        <f t="shared" si="6"/>
        <v/>
      </c>
      <c r="O36" t="str">
        <f t="shared" si="6"/>
        <v/>
      </c>
      <c r="P36">
        <f t="shared" si="6"/>
        <v>0.89913544668587897</v>
      </c>
      <c r="Q36" t="str">
        <f t="shared" si="6"/>
        <v/>
      </c>
      <c r="R36">
        <f t="shared" si="7"/>
        <v>0.92817345398738293</v>
      </c>
      <c r="S36">
        <f t="shared" si="1"/>
        <v>504.2161009771367</v>
      </c>
    </row>
    <row r="37" spans="1:19" x14ac:dyDescent="0.25">
      <c r="A37" s="8">
        <v>37591</v>
      </c>
      <c r="B37" s="9">
        <f t="shared" si="2"/>
        <v>12</v>
      </c>
      <c r="C37">
        <v>446</v>
      </c>
      <c r="D37">
        <f t="shared" si="4"/>
        <v>526.20833333333326</v>
      </c>
      <c r="E37">
        <f t="shared" si="5"/>
        <v>0.84757304616359186</v>
      </c>
      <c r="F37" t="str">
        <f t="shared" si="6"/>
        <v/>
      </c>
      <c r="G37" t="str">
        <f t="shared" si="6"/>
        <v/>
      </c>
      <c r="H37" t="str">
        <f t="shared" si="6"/>
        <v/>
      </c>
      <c r="I37" t="str">
        <f t="shared" si="6"/>
        <v/>
      </c>
      <c r="J37" t="str">
        <f t="shared" si="6"/>
        <v/>
      </c>
      <c r="K37" t="str">
        <f t="shared" si="6"/>
        <v/>
      </c>
      <c r="L37" t="str">
        <f t="shared" si="6"/>
        <v/>
      </c>
      <c r="M37" t="str">
        <f t="shared" si="6"/>
        <v/>
      </c>
      <c r="N37" t="str">
        <f t="shared" si="6"/>
        <v/>
      </c>
      <c r="O37" t="str">
        <f t="shared" si="6"/>
        <v/>
      </c>
      <c r="P37" t="str">
        <f t="shared" si="6"/>
        <v/>
      </c>
      <c r="Q37">
        <f t="shared" si="6"/>
        <v>0.84757304616359186</v>
      </c>
      <c r="R37">
        <f t="shared" si="7"/>
        <v>0.89147002091043093</v>
      </c>
      <c r="S37">
        <f t="shared" si="1"/>
        <v>500.29725009093846</v>
      </c>
    </row>
    <row r="38" spans="1:19" x14ac:dyDescent="0.25">
      <c r="A38" s="8">
        <v>37622</v>
      </c>
      <c r="B38" s="9">
        <f t="shared" si="2"/>
        <v>1</v>
      </c>
      <c r="C38">
        <v>571</v>
      </c>
      <c r="D38">
        <f t="shared" si="4"/>
        <v>536.5</v>
      </c>
      <c r="E38">
        <f t="shared" si="5"/>
        <v>1.0643056849953401</v>
      </c>
      <c r="F38">
        <f t="shared" si="6"/>
        <v>1.0643056849953401</v>
      </c>
      <c r="G38" t="str">
        <f t="shared" si="6"/>
        <v/>
      </c>
      <c r="H38" t="str">
        <f t="shared" si="6"/>
        <v/>
      </c>
      <c r="I38" t="str">
        <f t="shared" si="6"/>
        <v/>
      </c>
      <c r="J38" t="str">
        <f t="shared" si="6"/>
        <v/>
      </c>
      <c r="K38" t="str">
        <f t="shared" si="6"/>
        <v/>
      </c>
      <c r="L38" t="str">
        <f t="shared" si="6"/>
        <v/>
      </c>
      <c r="M38" t="str">
        <f t="shared" si="6"/>
        <v/>
      </c>
      <c r="N38" t="str">
        <f t="shared" si="6"/>
        <v/>
      </c>
      <c r="O38" t="str">
        <f t="shared" si="6"/>
        <v/>
      </c>
      <c r="P38" t="str">
        <f t="shared" si="6"/>
        <v/>
      </c>
      <c r="Q38" t="str">
        <f t="shared" si="6"/>
        <v/>
      </c>
      <c r="R38">
        <f t="shared" si="7"/>
        <v>1.0112057123501712</v>
      </c>
      <c r="S38">
        <f t="shared" si="1"/>
        <v>564.67244303132259</v>
      </c>
    </row>
    <row r="39" spans="1:19" x14ac:dyDescent="0.25">
      <c r="A39" s="8">
        <v>37653</v>
      </c>
      <c r="B39" s="9">
        <f t="shared" si="2"/>
        <v>2</v>
      </c>
      <c r="C39">
        <v>483</v>
      </c>
      <c r="D39">
        <f t="shared" si="4"/>
        <v>547.04166666666663</v>
      </c>
      <c r="E39">
        <f t="shared" si="5"/>
        <v>0.88293091629217768</v>
      </c>
      <c r="F39" t="str">
        <f t="shared" si="6"/>
        <v/>
      </c>
      <c r="G39">
        <f t="shared" si="6"/>
        <v>0.88293091629217768</v>
      </c>
      <c r="H39" t="str">
        <f t="shared" si="6"/>
        <v/>
      </c>
      <c r="I39" t="str">
        <f t="shared" si="6"/>
        <v/>
      </c>
      <c r="J39" t="str">
        <f t="shared" si="6"/>
        <v/>
      </c>
      <c r="K39" t="str">
        <f t="shared" si="6"/>
        <v/>
      </c>
      <c r="L39" t="str">
        <f t="shared" si="6"/>
        <v/>
      </c>
      <c r="M39" t="str">
        <f t="shared" si="6"/>
        <v/>
      </c>
      <c r="N39" t="str">
        <f t="shared" si="6"/>
        <v/>
      </c>
      <c r="O39" t="str">
        <f t="shared" si="6"/>
        <v/>
      </c>
      <c r="P39" t="str">
        <f t="shared" si="6"/>
        <v/>
      </c>
      <c r="Q39" t="str">
        <f t="shared" si="6"/>
        <v/>
      </c>
      <c r="R39">
        <f t="shared" si="7"/>
        <v>0.88817803253104943</v>
      </c>
      <c r="S39">
        <f t="shared" si="1"/>
        <v>543.80989205912954</v>
      </c>
    </row>
    <row r="40" spans="1:19" x14ac:dyDescent="0.25">
      <c r="A40" s="8">
        <v>37681</v>
      </c>
      <c r="B40" s="9">
        <f t="shared" si="2"/>
        <v>3</v>
      </c>
      <c r="C40">
        <v>526</v>
      </c>
      <c r="D40">
        <f t="shared" si="4"/>
        <v>554.33333333333326</v>
      </c>
      <c r="E40">
        <f t="shared" si="5"/>
        <v>0.94888755261575475</v>
      </c>
      <c r="F40" t="str">
        <f t="shared" si="6"/>
        <v/>
      </c>
      <c r="G40" t="str">
        <f t="shared" si="6"/>
        <v/>
      </c>
      <c r="H40">
        <f t="shared" si="6"/>
        <v>0.94888755261575475</v>
      </c>
      <c r="I40" t="str">
        <f t="shared" si="6"/>
        <v/>
      </c>
      <c r="J40" t="str">
        <f t="shared" si="6"/>
        <v/>
      </c>
      <c r="K40" t="str">
        <f t="shared" si="6"/>
        <v/>
      </c>
      <c r="L40" t="str">
        <f t="shared" si="6"/>
        <v/>
      </c>
      <c r="M40" t="str">
        <f t="shared" si="6"/>
        <v/>
      </c>
      <c r="N40" t="str">
        <f t="shared" si="6"/>
        <v/>
      </c>
      <c r="O40" t="str">
        <f t="shared" si="6"/>
        <v/>
      </c>
      <c r="P40" t="str">
        <f t="shared" si="6"/>
        <v/>
      </c>
      <c r="Q40" t="str">
        <f t="shared" si="6"/>
        <v/>
      </c>
      <c r="R40">
        <f t="shared" si="7"/>
        <v>0.90207326214817818</v>
      </c>
      <c r="S40">
        <f t="shared" si="1"/>
        <v>583.10119817474106</v>
      </c>
    </row>
    <row r="41" spans="1:19" x14ac:dyDescent="0.25">
      <c r="A41" s="8">
        <v>37712</v>
      </c>
      <c r="B41" s="9">
        <f t="shared" si="2"/>
        <v>4</v>
      </c>
      <c r="C41">
        <v>440</v>
      </c>
      <c r="D41">
        <f t="shared" si="4"/>
        <v>555.45833333333326</v>
      </c>
      <c r="E41">
        <f t="shared" si="5"/>
        <v>0.79213862425924553</v>
      </c>
      <c r="F41" t="str">
        <f t="shared" ref="F41:Q62" si="8">IF($B41=F$1,$E41, "")</f>
        <v/>
      </c>
      <c r="G41" t="str">
        <f t="shared" si="8"/>
        <v/>
      </c>
      <c r="H41" t="str">
        <f t="shared" si="8"/>
        <v/>
      </c>
      <c r="I41">
        <f t="shared" si="8"/>
        <v>0.79213862425924553</v>
      </c>
      <c r="J41" t="str">
        <f t="shared" si="8"/>
        <v/>
      </c>
      <c r="K41" t="str">
        <f t="shared" si="8"/>
        <v/>
      </c>
      <c r="L41" t="str">
        <f t="shared" si="8"/>
        <v/>
      </c>
      <c r="M41" t="str">
        <f t="shared" si="8"/>
        <v/>
      </c>
      <c r="N41" t="str">
        <f t="shared" si="8"/>
        <v/>
      </c>
      <c r="O41" t="str">
        <f t="shared" si="8"/>
        <v/>
      </c>
      <c r="P41" t="str">
        <f t="shared" si="8"/>
        <v/>
      </c>
      <c r="Q41" t="str">
        <f t="shared" si="8"/>
        <v/>
      </c>
      <c r="R41">
        <f t="shared" si="7"/>
        <v>0.8278598044138995</v>
      </c>
      <c r="S41">
        <f t="shared" si="1"/>
        <v>531.49095735057108</v>
      </c>
    </row>
    <row r="42" spans="1:19" x14ac:dyDescent="0.25">
      <c r="A42" s="8">
        <v>37742</v>
      </c>
      <c r="B42" s="9">
        <f t="shared" si="2"/>
        <v>5</v>
      </c>
      <c r="C42">
        <v>478</v>
      </c>
      <c r="D42">
        <f t="shared" si="4"/>
        <v>558.58333333333326</v>
      </c>
      <c r="E42">
        <f t="shared" si="5"/>
        <v>0.85573623750559458</v>
      </c>
      <c r="F42" t="str">
        <f t="shared" si="8"/>
        <v/>
      </c>
      <c r="G42" t="str">
        <f t="shared" si="8"/>
        <v/>
      </c>
      <c r="H42" t="str">
        <f t="shared" si="8"/>
        <v/>
      </c>
      <c r="I42" t="str">
        <f t="shared" si="8"/>
        <v/>
      </c>
      <c r="J42">
        <f t="shared" si="8"/>
        <v>0.85573623750559458</v>
      </c>
      <c r="K42" t="str">
        <f t="shared" si="8"/>
        <v/>
      </c>
      <c r="L42" t="str">
        <f t="shared" si="8"/>
        <v/>
      </c>
      <c r="M42" t="str">
        <f t="shared" si="8"/>
        <v/>
      </c>
      <c r="N42" t="str">
        <f t="shared" si="8"/>
        <v/>
      </c>
      <c r="O42" t="str">
        <f t="shared" si="8"/>
        <v/>
      </c>
      <c r="P42" t="str">
        <f t="shared" si="8"/>
        <v/>
      </c>
      <c r="Q42" t="str">
        <f t="shared" si="8"/>
        <v/>
      </c>
      <c r="R42">
        <f t="shared" si="7"/>
        <v>0.88590789659293523</v>
      </c>
      <c r="S42">
        <f t="shared" si="1"/>
        <v>539.55947546953144</v>
      </c>
    </row>
    <row r="43" spans="1:19" x14ac:dyDescent="0.25">
      <c r="A43" s="8">
        <v>37773</v>
      </c>
      <c r="B43" s="9">
        <f t="shared" si="2"/>
        <v>6</v>
      </c>
      <c r="C43">
        <v>704</v>
      </c>
      <c r="D43">
        <f t="shared" si="4"/>
        <v>564.58333333333326</v>
      </c>
      <c r="E43">
        <f t="shared" si="5"/>
        <v>1.2469372693726939</v>
      </c>
      <c r="F43" t="str">
        <f t="shared" si="8"/>
        <v/>
      </c>
      <c r="G43" t="str">
        <f t="shared" si="8"/>
        <v/>
      </c>
      <c r="H43" t="str">
        <f t="shared" si="8"/>
        <v/>
      </c>
      <c r="I43" t="str">
        <f t="shared" si="8"/>
        <v/>
      </c>
      <c r="J43" t="str">
        <f t="shared" si="8"/>
        <v/>
      </c>
      <c r="K43">
        <f t="shared" si="8"/>
        <v>1.2469372693726939</v>
      </c>
      <c r="L43" t="str">
        <f t="shared" si="8"/>
        <v/>
      </c>
      <c r="M43" t="str">
        <f t="shared" si="8"/>
        <v/>
      </c>
      <c r="N43" t="str">
        <f t="shared" si="8"/>
        <v/>
      </c>
      <c r="O43" t="str">
        <f t="shared" si="8"/>
        <v/>
      </c>
      <c r="P43" t="str">
        <f t="shared" si="8"/>
        <v/>
      </c>
      <c r="Q43" t="str">
        <f t="shared" si="8"/>
        <v/>
      </c>
      <c r="R43">
        <f t="shared" si="7"/>
        <v>1.1923572304821319</v>
      </c>
      <c r="S43">
        <f t="shared" si="1"/>
        <v>590.42708175245116</v>
      </c>
    </row>
    <row r="44" spans="1:19" x14ac:dyDescent="0.25">
      <c r="A44" s="8">
        <v>37803</v>
      </c>
      <c r="B44" s="9">
        <f t="shared" si="2"/>
        <v>7</v>
      </c>
      <c r="C44">
        <v>749</v>
      </c>
      <c r="D44">
        <f t="shared" si="4"/>
        <v>565</v>
      </c>
      <c r="E44">
        <f t="shared" si="5"/>
        <v>1.3256637168141594</v>
      </c>
      <c r="F44" t="str">
        <f t="shared" si="8"/>
        <v/>
      </c>
      <c r="G44" t="str">
        <f t="shared" si="8"/>
        <v/>
      </c>
      <c r="H44" t="str">
        <f t="shared" si="8"/>
        <v/>
      </c>
      <c r="I44" t="str">
        <f t="shared" si="8"/>
        <v/>
      </c>
      <c r="J44" t="str">
        <f t="shared" si="8"/>
        <v/>
      </c>
      <c r="K44" t="str">
        <f t="shared" si="8"/>
        <v/>
      </c>
      <c r="L44">
        <f t="shared" si="8"/>
        <v>1.3256637168141594</v>
      </c>
      <c r="M44" t="str">
        <f t="shared" si="8"/>
        <v/>
      </c>
      <c r="N44" t="str">
        <f t="shared" si="8"/>
        <v/>
      </c>
      <c r="O44" t="str">
        <f t="shared" si="8"/>
        <v/>
      </c>
      <c r="P44" t="str">
        <f t="shared" si="8"/>
        <v/>
      </c>
      <c r="Q44" t="str">
        <f t="shared" si="8"/>
        <v/>
      </c>
      <c r="R44">
        <f t="shared" si="7"/>
        <v>1.3406882655295957</v>
      </c>
      <c r="S44">
        <f t="shared" si="1"/>
        <v>558.66827454041425</v>
      </c>
    </row>
    <row r="45" spans="1:19" x14ac:dyDescent="0.25">
      <c r="A45" s="8">
        <v>37834</v>
      </c>
      <c r="B45" s="9">
        <f t="shared" si="2"/>
        <v>8</v>
      </c>
      <c r="C45">
        <v>745</v>
      </c>
      <c r="D45">
        <f t="shared" si="4"/>
        <v>562.79166666666663</v>
      </c>
      <c r="E45">
        <f t="shared" si="5"/>
        <v>1.3237580513807656</v>
      </c>
      <c r="F45" t="str">
        <f t="shared" si="8"/>
        <v/>
      </c>
      <c r="G45" t="str">
        <f t="shared" si="8"/>
        <v/>
      </c>
      <c r="H45" t="str">
        <f t="shared" si="8"/>
        <v/>
      </c>
      <c r="I45" t="str">
        <f t="shared" si="8"/>
        <v/>
      </c>
      <c r="J45" t="str">
        <f t="shared" si="8"/>
        <v/>
      </c>
      <c r="K45" t="str">
        <f t="shared" si="8"/>
        <v/>
      </c>
      <c r="L45" t="str">
        <f t="shared" si="8"/>
        <v/>
      </c>
      <c r="M45">
        <f t="shared" si="8"/>
        <v>1.3237580513807656</v>
      </c>
      <c r="N45" t="str">
        <f t="shared" si="8"/>
        <v/>
      </c>
      <c r="O45" t="str">
        <f t="shared" si="8"/>
        <v/>
      </c>
      <c r="P45" t="str">
        <f t="shared" si="8"/>
        <v/>
      </c>
      <c r="Q45" t="str">
        <f t="shared" si="8"/>
        <v/>
      </c>
      <c r="R45">
        <f t="shared" si="7"/>
        <v>1.2923544769725261</v>
      </c>
      <c r="S45">
        <f t="shared" si="1"/>
        <v>576.46722572992473</v>
      </c>
    </row>
    <row r="46" spans="1:19" x14ac:dyDescent="0.25">
      <c r="A46" s="8">
        <v>37865</v>
      </c>
      <c r="B46" s="9">
        <f t="shared" si="2"/>
        <v>9</v>
      </c>
      <c r="C46">
        <v>556</v>
      </c>
      <c r="D46">
        <f t="shared" si="4"/>
        <v>563.25</v>
      </c>
      <c r="E46">
        <f t="shared" si="5"/>
        <v>0.98712827341322684</v>
      </c>
      <c r="F46" t="str">
        <f t="shared" si="8"/>
        <v/>
      </c>
      <c r="G46" t="str">
        <f t="shared" si="8"/>
        <v/>
      </c>
      <c r="H46" t="str">
        <f t="shared" si="8"/>
        <v/>
      </c>
      <c r="I46" t="str">
        <f t="shared" si="8"/>
        <v/>
      </c>
      <c r="J46" t="str">
        <f t="shared" si="8"/>
        <v/>
      </c>
      <c r="K46" t="str">
        <f t="shared" si="8"/>
        <v/>
      </c>
      <c r="L46" t="str">
        <f t="shared" si="8"/>
        <v/>
      </c>
      <c r="M46" t="str">
        <f t="shared" si="8"/>
        <v/>
      </c>
      <c r="N46">
        <f t="shared" si="8"/>
        <v>0.98712827341322684</v>
      </c>
      <c r="O46" t="str">
        <f t="shared" si="8"/>
        <v/>
      </c>
      <c r="P46" t="str">
        <f t="shared" si="8"/>
        <v/>
      </c>
      <c r="Q46" t="str">
        <f t="shared" si="8"/>
        <v/>
      </c>
      <c r="R46">
        <f t="shared" si="7"/>
        <v>1.0277851854043913</v>
      </c>
      <c r="S46">
        <f t="shared" si="1"/>
        <v>540.96907398138535</v>
      </c>
    </row>
    <row r="47" spans="1:19" x14ac:dyDescent="0.25">
      <c r="A47" s="8">
        <v>37895</v>
      </c>
      <c r="B47" s="9">
        <f t="shared" si="2"/>
        <v>10</v>
      </c>
      <c r="C47">
        <v>500</v>
      </c>
      <c r="D47">
        <f t="shared" si="4"/>
        <v>563.125</v>
      </c>
      <c r="E47">
        <f t="shared" si="5"/>
        <v>0.88790233074361824</v>
      </c>
      <c r="F47" t="str">
        <f t="shared" si="8"/>
        <v/>
      </c>
      <c r="G47" t="str">
        <f t="shared" si="8"/>
        <v/>
      </c>
      <c r="H47" t="str">
        <f t="shared" si="8"/>
        <v/>
      </c>
      <c r="I47" t="str">
        <f t="shared" si="8"/>
        <v/>
      </c>
      <c r="J47" t="str">
        <f t="shared" si="8"/>
        <v/>
      </c>
      <c r="K47" t="str">
        <f t="shared" si="8"/>
        <v/>
      </c>
      <c r="L47" t="str">
        <f t="shared" si="8"/>
        <v/>
      </c>
      <c r="M47" t="str">
        <f t="shared" si="8"/>
        <v/>
      </c>
      <c r="N47" t="str">
        <f t="shared" si="8"/>
        <v/>
      </c>
      <c r="O47">
        <f t="shared" si="8"/>
        <v>0.88790233074361824</v>
      </c>
      <c r="P47" t="str">
        <f t="shared" si="8"/>
        <v/>
      </c>
      <c r="Q47" t="str">
        <f t="shared" si="8"/>
        <v/>
      </c>
      <c r="R47">
        <f t="shared" si="7"/>
        <v>0.95789782990320982</v>
      </c>
      <c r="S47">
        <f t="shared" si="1"/>
        <v>521.97633650607827</v>
      </c>
    </row>
    <row r="48" spans="1:19" x14ac:dyDescent="0.25">
      <c r="A48" s="8">
        <v>37926</v>
      </c>
      <c r="B48" s="9">
        <f t="shared" si="2"/>
        <v>11</v>
      </c>
      <c r="C48">
        <v>542</v>
      </c>
      <c r="D48">
        <f t="shared" si="4"/>
        <v>562.41666666666663</v>
      </c>
      <c r="E48">
        <f t="shared" si="5"/>
        <v>0.96369832567787828</v>
      </c>
      <c r="F48" t="str">
        <f t="shared" si="8"/>
        <v/>
      </c>
      <c r="G48" t="str">
        <f t="shared" si="8"/>
        <v/>
      </c>
      <c r="H48" t="str">
        <f t="shared" si="8"/>
        <v/>
      </c>
      <c r="I48" t="str">
        <f t="shared" si="8"/>
        <v/>
      </c>
      <c r="J48" t="str">
        <f t="shared" si="8"/>
        <v/>
      </c>
      <c r="K48" t="str">
        <f t="shared" si="8"/>
        <v/>
      </c>
      <c r="L48" t="str">
        <f t="shared" si="8"/>
        <v/>
      </c>
      <c r="M48" t="str">
        <f t="shared" si="8"/>
        <v/>
      </c>
      <c r="N48" t="str">
        <f t="shared" si="8"/>
        <v/>
      </c>
      <c r="O48" t="str">
        <f t="shared" si="8"/>
        <v/>
      </c>
      <c r="P48">
        <f t="shared" si="8"/>
        <v>0.96369832567787828</v>
      </c>
      <c r="Q48" t="str">
        <f t="shared" si="8"/>
        <v/>
      </c>
      <c r="R48">
        <f t="shared" si="7"/>
        <v>0.92817345398738293</v>
      </c>
      <c r="S48">
        <f t="shared" si="1"/>
        <v>583.9425784820686</v>
      </c>
    </row>
    <row r="49" spans="1:19" x14ac:dyDescent="0.25">
      <c r="A49" s="8">
        <v>37956</v>
      </c>
      <c r="B49" s="9">
        <f t="shared" si="2"/>
        <v>12</v>
      </c>
      <c r="C49">
        <v>516</v>
      </c>
      <c r="D49">
        <f t="shared" si="4"/>
        <v>556.83333333333326</v>
      </c>
      <c r="E49">
        <f t="shared" si="5"/>
        <v>0.92666866207722254</v>
      </c>
      <c r="F49" t="str">
        <f t="shared" si="8"/>
        <v/>
      </c>
      <c r="G49" t="str">
        <f t="shared" si="8"/>
        <v/>
      </c>
      <c r="H49" t="str">
        <f t="shared" si="8"/>
        <v/>
      </c>
      <c r="I49" t="str">
        <f t="shared" si="8"/>
        <v/>
      </c>
      <c r="J49" t="str">
        <f t="shared" si="8"/>
        <v/>
      </c>
      <c r="K49" t="str">
        <f t="shared" si="8"/>
        <v/>
      </c>
      <c r="L49" t="str">
        <f t="shared" si="8"/>
        <v/>
      </c>
      <c r="M49" t="str">
        <f t="shared" si="8"/>
        <v/>
      </c>
      <c r="N49" t="str">
        <f t="shared" si="8"/>
        <v/>
      </c>
      <c r="O49" t="str">
        <f t="shared" si="8"/>
        <v/>
      </c>
      <c r="P49" t="str">
        <f t="shared" si="8"/>
        <v/>
      </c>
      <c r="Q49">
        <f t="shared" si="8"/>
        <v>0.92666866207722254</v>
      </c>
      <c r="R49">
        <f t="shared" si="7"/>
        <v>0.89147002091043093</v>
      </c>
      <c r="S49">
        <f t="shared" si="1"/>
        <v>578.81924001552522</v>
      </c>
    </row>
    <row r="50" spans="1:19" x14ac:dyDescent="0.25">
      <c r="A50" s="8">
        <v>37987</v>
      </c>
      <c r="B50" s="9">
        <f t="shared" si="2"/>
        <v>1</v>
      </c>
      <c r="C50">
        <v>511</v>
      </c>
      <c r="D50">
        <f t="shared" si="4"/>
        <v>551.33333333333326</v>
      </c>
      <c r="E50">
        <f t="shared" si="5"/>
        <v>0.9268440145102782</v>
      </c>
      <c r="F50">
        <f t="shared" si="8"/>
        <v>0.9268440145102782</v>
      </c>
      <c r="G50" t="str">
        <f t="shared" si="8"/>
        <v/>
      </c>
      <c r="H50" t="str">
        <f t="shared" si="8"/>
        <v/>
      </c>
      <c r="I50" t="str">
        <f t="shared" si="8"/>
        <v/>
      </c>
      <c r="J50" t="str">
        <f t="shared" si="8"/>
        <v/>
      </c>
      <c r="K50" t="str">
        <f t="shared" si="8"/>
        <v/>
      </c>
      <c r="L50" t="str">
        <f t="shared" si="8"/>
        <v/>
      </c>
      <c r="M50" t="str">
        <f t="shared" si="8"/>
        <v/>
      </c>
      <c r="N50" t="str">
        <f t="shared" si="8"/>
        <v/>
      </c>
      <c r="O50" t="str">
        <f t="shared" si="8"/>
        <v/>
      </c>
      <c r="P50" t="str">
        <f t="shared" si="8"/>
        <v/>
      </c>
      <c r="Q50" t="str">
        <f t="shared" si="8"/>
        <v/>
      </c>
      <c r="R50">
        <f t="shared" si="7"/>
        <v>1.0112057123501712</v>
      </c>
      <c r="S50">
        <f t="shared" si="1"/>
        <v>505.33733518214683</v>
      </c>
    </row>
    <row r="51" spans="1:19" x14ac:dyDescent="0.25">
      <c r="A51" s="8">
        <v>38018</v>
      </c>
      <c r="B51" s="9">
        <f t="shared" si="2"/>
        <v>2</v>
      </c>
      <c r="C51">
        <v>490</v>
      </c>
      <c r="D51">
        <f t="shared" si="4"/>
        <v>548.125</v>
      </c>
      <c r="E51">
        <f t="shared" si="5"/>
        <v>0.89395667046750282</v>
      </c>
      <c r="F51" t="str">
        <f t="shared" si="8"/>
        <v/>
      </c>
      <c r="G51">
        <f t="shared" si="8"/>
        <v>0.89395667046750282</v>
      </c>
      <c r="H51" t="str">
        <f t="shared" si="8"/>
        <v/>
      </c>
      <c r="I51" t="str">
        <f t="shared" si="8"/>
        <v/>
      </c>
      <c r="J51" t="str">
        <f t="shared" si="8"/>
        <v/>
      </c>
      <c r="K51" t="str">
        <f t="shared" si="8"/>
        <v/>
      </c>
      <c r="L51" t="str">
        <f t="shared" si="8"/>
        <v/>
      </c>
      <c r="M51" t="str">
        <f t="shared" si="8"/>
        <v/>
      </c>
      <c r="N51" t="str">
        <f t="shared" si="8"/>
        <v/>
      </c>
      <c r="O51" t="str">
        <f t="shared" si="8"/>
        <v/>
      </c>
      <c r="P51" t="str">
        <f t="shared" si="8"/>
        <v/>
      </c>
      <c r="Q51" t="str">
        <f t="shared" si="8"/>
        <v/>
      </c>
      <c r="R51">
        <f t="shared" si="7"/>
        <v>0.88817803253104943</v>
      </c>
      <c r="S51">
        <f t="shared" si="1"/>
        <v>551.69119484259511</v>
      </c>
    </row>
    <row r="52" spans="1:19" x14ac:dyDescent="0.25">
      <c r="A52" s="8">
        <v>38047</v>
      </c>
      <c r="B52" s="9">
        <f t="shared" si="2"/>
        <v>3</v>
      </c>
      <c r="C52">
        <v>530</v>
      </c>
      <c r="D52">
        <f t="shared" si="4"/>
        <v>545.75</v>
      </c>
      <c r="E52">
        <f t="shared" si="5"/>
        <v>0.97114063215758128</v>
      </c>
      <c r="F52" t="str">
        <f t="shared" si="8"/>
        <v/>
      </c>
      <c r="G52" t="str">
        <f t="shared" si="8"/>
        <v/>
      </c>
      <c r="H52">
        <f t="shared" si="8"/>
        <v>0.97114063215758128</v>
      </c>
      <c r="I52" t="str">
        <f t="shared" si="8"/>
        <v/>
      </c>
      <c r="J52" t="str">
        <f t="shared" si="8"/>
        <v/>
      </c>
      <c r="K52" t="str">
        <f t="shared" si="8"/>
        <v/>
      </c>
      <c r="L52" t="str">
        <f t="shared" si="8"/>
        <v/>
      </c>
      <c r="M52" t="str">
        <f t="shared" si="8"/>
        <v/>
      </c>
      <c r="N52" t="str">
        <f t="shared" si="8"/>
        <v/>
      </c>
      <c r="O52" t="str">
        <f t="shared" si="8"/>
        <v/>
      </c>
      <c r="P52" t="str">
        <f t="shared" si="8"/>
        <v/>
      </c>
      <c r="Q52" t="str">
        <f t="shared" si="8"/>
        <v/>
      </c>
      <c r="R52">
        <f t="shared" si="7"/>
        <v>0.90207326214817818</v>
      </c>
      <c r="S52">
        <f t="shared" si="1"/>
        <v>587.53542781865542</v>
      </c>
    </row>
    <row r="53" spans="1:19" x14ac:dyDescent="0.25">
      <c r="A53" s="8">
        <v>38078</v>
      </c>
      <c r="B53" s="9">
        <f t="shared" si="2"/>
        <v>4</v>
      </c>
      <c r="C53">
        <v>433</v>
      </c>
      <c r="D53">
        <f t="shared" si="4"/>
        <v>548.79166666666663</v>
      </c>
      <c r="E53">
        <f t="shared" si="5"/>
        <v>0.78900614987472484</v>
      </c>
      <c r="F53" t="str">
        <f t="shared" si="8"/>
        <v/>
      </c>
      <c r="G53" t="str">
        <f t="shared" si="8"/>
        <v/>
      </c>
      <c r="H53" t="str">
        <f t="shared" si="8"/>
        <v/>
      </c>
      <c r="I53">
        <f t="shared" si="8"/>
        <v>0.78900614987472484</v>
      </c>
      <c r="J53" t="str">
        <f t="shared" si="8"/>
        <v/>
      </c>
      <c r="K53" t="str">
        <f t="shared" si="8"/>
        <v/>
      </c>
      <c r="L53" t="str">
        <f t="shared" si="8"/>
        <v/>
      </c>
      <c r="M53" t="str">
        <f t="shared" si="8"/>
        <v/>
      </c>
      <c r="N53" t="str">
        <f t="shared" si="8"/>
        <v/>
      </c>
      <c r="O53" t="str">
        <f t="shared" si="8"/>
        <v/>
      </c>
      <c r="P53" t="str">
        <f t="shared" si="8"/>
        <v/>
      </c>
      <c r="Q53" t="str">
        <f t="shared" si="8"/>
        <v/>
      </c>
      <c r="R53">
        <f t="shared" si="7"/>
        <v>0.8278598044138995</v>
      </c>
      <c r="S53">
        <f t="shared" si="1"/>
        <v>523.03541939272111</v>
      </c>
    </row>
    <row r="54" spans="1:19" x14ac:dyDescent="0.25">
      <c r="A54" s="8">
        <v>38108</v>
      </c>
      <c r="B54" s="9">
        <f t="shared" si="2"/>
        <v>5</v>
      </c>
      <c r="C54">
        <v>468</v>
      </c>
      <c r="D54">
        <f t="shared" si="4"/>
        <v>550.16666666666663</v>
      </c>
      <c r="E54">
        <f t="shared" si="5"/>
        <v>0.85065131778249026</v>
      </c>
      <c r="F54" t="str">
        <f t="shared" si="8"/>
        <v/>
      </c>
      <c r="G54" t="str">
        <f t="shared" si="8"/>
        <v/>
      </c>
      <c r="H54" t="str">
        <f t="shared" si="8"/>
        <v/>
      </c>
      <c r="I54" t="str">
        <f t="shared" si="8"/>
        <v/>
      </c>
      <c r="J54">
        <f t="shared" si="8"/>
        <v>0.85065131778249026</v>
      </c>
      <c r="K54" t="str">
        <f t="shared" si="8"/>
        <v/>
      </c>
      <c r="L54" t="str">
        <f t="shared" si="8"/>
        <v/>
      </c>
      <c r="M54" t="str">
        <f t="shared" si="8"/>
        <v/>
      </c>
      <c r="N54" t="str">
        <f t="shared" si="8"/>
        <v/>
      </c>
      <c r="O54" t="str">
        <f t="shared" si="8"/>
        <v/>
      </c>
      <c r="P54" t="str">
        <f t="shared" si="8"/>
        <v/>
      </c>
      <c r="Q54" t="str">
        <f t="shared" si="8"/>
        <v/>
      </c>
      <c r="R54">
        <f t="shared" si="7"/>
        <v>0.88590789659293523</v>
      </c>
      <c r="S54">
        <f t="shared" si="1"/>
        <v>528.27162033418551</v>
      </c>
    </row>
    <row r="55" spans="1:19" x14ac:dyDescent="0.25">
      <c r="A55" s="8">
        <v>38139</v>
      </c>
      <c r="B55" s="9">
        <f t="shared" si="2"/>
        <v>6</v>
      </c>
      <c r="C55">
        <v>580</v>
      </c>
      <c r="D55">
        <f t="shared" si="4"/>
        <v>548.29166666666663</v>
      </c>
      <c r="E55">
        <f t="shared" si="5"/>
        <v>1.0578311421840567</v>
      </c>
      <c r="F55" t="str">
        <f t="shared" si="8"/>
        <v/>
      </c>
      <c r="G55" t="str">
        <f t="shared" si="8"/>
        <v/>
      </c>
      <c r="H55" t="str">
        <f t="shared" si="8"/>
        <v/>
      </c>
      <c r="I55" t="str">
        <f t="shared" si="8"/>
        <v/>
      </c>
      <c r="J55" t="str">
        <f t="shared" si="8"/>
        <v/>
      </c>
      <c r="K55">
        <f t="shared" si="8"/>
        <v>1.0578311421840567</v>
      </c>
      <c r="L55" t="str">
        <f t="shared" si="8"/>
        <v/>
      </c>
      <c r="M55" t="str">
        <f t="shared" si="8"/>
        <v/>
      </c>
      <c r="N55" t="str">
        <f t="shared" si="8"/>
        <v/>
      </c>
      <c r="O55" t="str">
        <f t="shared" si="8"/>
        <v/>
      </c>
      <c r="P55" t="str">
        <f t="shared" si="8"/>
        <v/>
      </c>
      <c r="Q55" t="str">
        <f t="shared" si="8"/>
        <v/>
      </c>
      <c r="R55">
        <f t="shared" si="7"/>
        <v>1.1923572304821319</v>
      </c>
      <c r="S55">
        <f t="shared" si="1"/>
        <v>486.43140258014444</v>
      </c>
    </row>
    <row r="56" spans="1:19" x14ac:dyDescent="0.25">
      <c r="A56" s="8">
        <v>38169</v>
      </c>
      <c r="B56" s="9">
        <f t="shared" si="2"/>
        <v>7</v>
      </c>
      <c r="C56">
        <v>741</v>
      </c>
      <c r="D56">
        <f t="shared" si="4"/>
        <v>549.41666666666663</v>
      </c>
      <c r="E56">
        <f t="shared" si="5"/>
        <v>1.3487031700288186</v>
      </c>
      <c r="F56" t="str">
        <f t="shared" si="8"/>
        <v/>
      </c>
      <c r="G56" t="str">
        <f t="shared" si="8"/>
        <v/>
      </c>
      <c r="H56" t="str">
        <f t="shared" si="8"/>
        <v/>
      </c>
      <c r="I56" t="str">
        <f t="shared" si="8"/>
        <v/>
      </c>
      <c r="J56" t="str">
        <f t="shared" si="8"/>
        <v/>
      </c>
      <c r="K56" t="str">
        <f t="shared" si="8"/>
        <v/>
      </c>
      <c r="L56">
        <f t="shared" si="8"/>
        <v>1.3487031700288186</v>
      </c>
      <c r="M56" t="str">
        <f t="shared" si="8"/>
        <v/>
      </c>
      <c r="N56" t="str">
        <f t="shared" si="8"/>
        <v/>
      </c>
      <c r="O56" t="str">
        <f t="shared" si="8"/>
        <v/>
      </c>
      <c r="P56" t="str">
        <f t="shared" si="8"/>
        <v/>
      </c>
      <c r="Q56" t="str">
        <f t="shared" si="8"/>
        <v/>
      </c>
      <c r="R56">
        <f t="shared" si="7"/>
        <v>1.3406882655295957</v>
      </c>
      <c r="S56">
        <f t="shared" si="1"/>
        <v>552.70119016615081</v>
      </c>
    </row>
    <row r="57" spans="1:19" x14ac:dyDescent="0.25">
      <c r="A57" s="8">
        <v>38200</v>
      </c>
      <c r="B57" s="9">
        <f t="shared" si="2"/>
        <v>8</v>
      </c>
      <c r="C57">
        <v>676</v>
      </c>
      <c r="D57">
        <f t="shared" si="4"/>
        <v>550.5</v>
      </c>
      <c r="E57">
        <f t="shared" si="5"/>
        <v>1.2279745685740235</v>
      </c>
      <c r="F57" t="str">
        <f t="shared" si="8"/>
        <v/>
      </c>
      <c r="G57" t="str">
        <f t="shared" si="8"/>
        <v/>
      </c>
      <c r="H57" t="str">
        <f t="shared" si="8"/>
        <v/>
      </c>
      <c r="I57" t="str">
        <f t="shared" si="8"/>
        <v/>
      </c>
      <c r="J57" t="str">
        <f t="shared" si="8"/>
        <v/>
      </c>
      <c r="K57" t="str">
        <f t="shared" si="8"/>
        <v/>
      </c>
      <c r="L57" t="str">
        <f t="shared" si="8"/>
        <v/>
      </c>
      <c r="M57">
        <f t="shared" si="8"/>
        <v>1.2279745685740235</v>
      </c>
      <c r="N57" t="str">
        <f t="shared" si="8"/>
        <v/>
      </c>
      <c r="O57" t="str">
        <f t="shared" si="8"/>
        <v/>
      </c>
      <c r="P57" t="str">
        <f t="shared" si="8"/>
        <v/>
      </c>
      <c r="Q57" t="str">
        <f t="shared" si="8"/>
        <v/>
      </c>
      <c r="R57">
        <f t="shared" si="7"/>
        <v>1.2923544769725261</v>
      </c>
      <c r="S57">
        <f t="shared" si="1"/>
        <v>523.07630146769009</v>
      </c>
    </row>
    <row r="58" spans="1:19" x14ac:dyDescent="0.25">
      <c r="A58" s="8">
        <v>38231</v>
      </c>
      <c r="B58" s="9">
        <f t="shared" si="2"/>
        <v>9</v>
      </c>
      <c r="C58">
        <v>568</v>
      </c>
      <c r="D58">
        <f t="shared" si="4"/>
        <v>547.16666666666663</v>
      </c>
      <c r="E58">
        <f t="shared" si="5"/>
        <v>1.0380749314651234</v>
      </c>
      <c r="F58" t="str">
        <f t="shared" si="8"/>
        <v/>
      </c>
      <c r="G58" t="str">
        <f t="shared" si="8"/>
        <v/>
      </c>
      <c r="H58" t="str">
        <f t="shared" si="8"/>
        <v/>
      </c>
      <c r="I58" t="str">
        <f t="shared" si="8"/>
        <v/>
      </c>
      <c r="J58" t="str">
        <f t="shared" si="8"/>
        <v/>
      </c>
      <c r="K58" t="str">
        <f t="shared" si="8"/>
        <v/>
      </c>
      <c r="L58" t="str">
        <f t="shared" si="8"/>
        <v/>
      </c>
      <c r="M58" t="str">
        <f t="shared" si="8"/>
        <v/>
      </c>
      <c r="N58">
        <f t="shared" si="8"/>
        <v>1.0380749314651234</v>
      </c>
      <c r="O58" t="str">
        <f t="shared" si="8"/>
        <v/>
      </c>
      <c r="P58" t="str">
        <f t="shared" si="8"/>
        <v/>
      </c>
      <c r="Q58" t="str">
        <f t="shared" si="8"/>
        <v/>
      </c>
      <c r="R58">
        <f t="shared" si="7"/>
        <v>1.0277851854043913</v>
      </c>
      <c r="S58">
        <f t="shared" si="1"/>
        <v>552.64466550616339</v>
      </c>
    </row>
    <row r="59" spans="1:19" x14ac:dyDescent="0.25">
      <c r="A59" s="8">
        <v>38261</v>
      </c>
      <c r="B59" s="9">
        <f t="shared" si="2"/>
        <v>10</v>
      </c>
      <c r="C59">
        <v>561</v>
      </c>
      <c r="D59">
        <f t="shared" si="4"/>
        <v>546.45833333333326</v>
      </c>
      <c r="E59">
        <f t="shared" si="5"/>
        <v>1.0266107510484179</v>
      </c>
      <c r="F59" t="str">
        <f t="shared" si="8"/>
        <v/>
      </c>
      <c r="G59" t="str">
        <f t="shared" si="8"/>
        <v/>
      </c>
      <c r="H59" t="str">
        <f t="shared" si="8"/>
        <v/>
      </c>
      <c r="I59" t="str">
        <f t="shared" si="8"/>
        <v/>
      </c>
      <c r="J59" t="str">
        <f t="shared" si="8"/>
        <v/>
      </c>
      <c r="K59" t="str">
        <f t="shared" si="8"/>
        <v/>
      </c>
      <c r="L59" t="str">
        <f t="shared" si="8"/>
        <v/>
      </c>
      <c r="M59" t="str">
        <f t="shared" si="8"/>
        <v/>
      </c>
      <c r="N59" t="str">
        <f t="shared" si="8"/>
        <v/>
      </c>
      <c r="O59">
        <f t="shared" si="8"/>
        <v>1.0266107510484179</v>
      </c>
      <c r="P59" t="str">
        <f t="shared" si="8"/>
        <v/>
      </c>
      <c r="Q59" t="str">
        <f t="shared" si="8"/>
        <v/>
      </c>
      <c r="R59">
        <f t="shared" si="7"/>
        <v>0.95789782990320982</v>
      </c>
      <c r="S59">
        <f t="shared" si="1"/>
        <v>585.65744955981984</v>
      </c>
    </row>
    <row r="60" spans="1:19" x14ac:dyDescent="0.25">
      <c r="A60" s="8">
        <v>38292</v>
      </c>
      <c r="B60" s="9">
        <f t="shared" si="2"/>
        <v>11</v>
      </c>
      <c r="C60">
        <v>514</v>
      </c>
      <c r="D60">
        <f t="shared" si="4"/>
        <v>547.70833333333326</v>
      </c>
      <c r="E60">
        <f t="shared" si="5"/>
        <v>0.93845568657284151</v>
      </c>
      <c r="F60" t="str">
        <f t="shared" si="8"/>
        <v/>
      </c>
      <c r="G60" t="str">
        <f t="shared" si="8"/>
        <v/>
      </c>
      <c r="H60" t="str">
        <f t="shared" si="8"/>
        <v/>
      </c>
      <c r="I60" t="str">
        <f t="shared" si="8"/>
        <v/>
      </c>
      <c r="J60" t="str">
        <f t="shared" si="8"/>
        <v/>
      </c>
      <c r="K60" t="str">
        <f t="shared" si="8"/>
        <v/>
      </c>
      <c r="L60" t="str">
        <f t="shared" si="8"/>
        <v/>
      </c>
      <c r="M60" t="str">
        <f t="shared" si="8"/>
        <v/>
      </c>
      <c r="N60" t="str">
        <f t="shared" si="8"/>
        <v/>
      </c>
      <c r="O60" t="str">
        <f t="shared" si="8"/>
        <v/>
      </c>
      <c r="P60">
        <f t="shared" si="8"/>
        <v>0.93845568657284151</v>
      </c>
      <c r="Q60" t="str">
        <f t="shared" si="8"/>
        <v/>
      </c>
      <c r="R60">
        <f t="shared" si="7"/>
        <v>0.92817345398738293</v>
      </c>
      <c r="S60">
        <f t="shared" si="1"/>
        <v>553.77580320993218</v>
      </c>
    </row>
    <row r="61" spans="1:19" x14ac:dyDescent="0.25">
      <c r="A61" s="8">
        <v>38322</v>
      </c>
      <c r="B61" s="9">
        <f t="shared" si="2"/>
        <v>12</v>
      </c>
      <c r="C61">
        <v>499</v>
      </c>
      <c r="D61">
        <f t="shared" si="4"/>
        <v>551.29166666666663</v>
      </c>
      <c r="E61">
        <f t="shared" si="5"/>
        <v>0.90514700324994335</v>
      </c>
      <c r="F61" t="str">
        <f t="shared" si="8"/>
        <v/>
      </c>
      <c r="G61" t="str">
        <f t="shared" si="8"/>
        <v/>
      </c>
      <c r="H61" t="str">
        <f t="shared" si="8"/>
        <v/>
      </c>
      <c r="I61" t="str">
        <f t="shared" si="8"/>
        <v/>
      </c>
      <c r="J61" t="str">
        <f t="shared" si="8"/>
        <v/>
      </c>
      <c r="K61" t="str">
        <f t="shared" si="8"/>
        <v/>
      </c>
      <c r="L61" t="str">
        <f t="shared" si="8"/>
        <v/>
      </c>
      <c r="M61" t="str">
        <f t="shared" si="8"/>
        <v/>
      </c>
      <c r="N61" t="str">
        <f t="shared" si="8"/>
        <v/>
      </c>
      <c r="O61" t="str">
        <f t="shared" si="8"/>
        <v/>
      </c>
      <c r="P61" t="str">
        <f t="shared" si="8"/>
        <v/>
      </c>
      <c r="Q61">
        <f t="shared" si="8"/>
        <v>0.90514700324994335</v>
      </c>
      <c r="R61">
        <f t="shared" si="7"/>
        <v>0.89147002091043093</v>
      </c>
      <c r="S61">
        <f t="shared" si="1"/>
        <v>559.74961389098269</v>
      </c>
    </row>
    <row r="62" spans="1:19" x14ac:dyDescent="0.25">
      <c r="A62" s="8">
        <v>38353</v>
      </c>
      <c r="B62" s="9">
        <f t="shared" si="2"/>
        <v>1</v>
      </c>
      <c r="C62">
        <v>555</v>
      </c>
      <c r="D62">
        <f t="shared" si="4"/>
        <v>553.08333333333326</v>
      </c>
      <c r="E62">
        <f t="shared" si="5"/>
        <v>1.0034654211240019</v>
      </c>
      <c r="F62">
        <f t="shared" si="8"/>
        <v>1.0034654211240019</v>
      </c>
      <c r="G62" t="str">
        <f t="shared" si="8"/>
        <v/>
      </c>
      <c r="H62" t="str">
        <f t="shared" si="8"/>
        <v/>
      </c>
      <c r="I62" t="str">
        <f t="shared" ref="G62:Q85" si="9">IF($B62=I$1,$E62, "")</f>
        <v/>
      </c>
      <c r="J62" t="str">
        <f t="shared" si="9"/>
        <v/>
      </c>
      <c r="K62" t="str">
        <f t="shared" si="9"/>
        <v/>
      </c>
      <c r="L62" t="str">
        <f t="shared" si="9"/>
        <v/>
      </c>
      <c r="M62" t="str">
        <f t="shared" si="9"/>
        <v/>
      </c>
      <c r="N62" t="str">
        <f t="shared" si="9"/>
        <v/>
      </c>
      <c r="O62" t="str">
        <f t="shared" si="9"/>
        <v/>
      </c>
      <c r="P62" t="str">
        <f t="shared" si="9"/>
        <v/>
      </c>
      <c r="Q62" t="str">
        <f t="shared" si="9"/>
        <v/>
      </c>
      <c r="R62">
        <f t="shared" si="7"/>
        <v>1.0112057123501712</v>
      </c>
      <c r="S62">
        <f t="shared" si="1"/>
        <v>548.84974760487569</v>
      </c>
    </row>
    <row r="63" spans="1:19" x14ac:dyDescent="0.25">
      <c r="A63" s="8">
        <v>38384</v>
      </c>
      <c r="B63" s="9">
        <f t="shared" si="2"/>
        <v>2</v>
      </c>
      <c r="C63">
        <v>472</v>
      </c>
      <c r="D63">
        <f t="shared" si="4"/>
        <v>550.16666666666663</v>
      </c>
      <c r="E63">
        <f t="shared" si="5"/>
        <v>0.85792184186610121</v>
      </c>
      <c r="F63" t="str">
        <f t="shared" ref="F63:F126" si="10">IF($B63=F$1,$E63, "")</f>
        <v/>
      </c>
      <c r="G63">
        <f t="shared" si="9"/>
        <v>0.85792184186610121</v>
      </c>
      <c r="H63" t="str">
        <f t="shared" si="9"/>
        <v/>
      </c>
      <c r="I63" t="str">
        <f t="shared" si="9"/>
        <v/>
      </c>
      <c r="J63" t="str">
        <f t="shared" si="9"/>
        <v/>
      </c>
      <c r="K63" t="str">
        <f t="shared" si="9"/>
        <v/>
      </c>
      <c r="L63" t="str">
        <f t="shared" si="9"/>
        <v/>
      </c>
      <c r="M63" t="str">
        <f t="shared" si="9"/>
        <v/>
      </c>
      <c r="N63" t="str">
        <f t="shared" si="9"/>
        <v/>
      </c>
      <c r="O63" t="str">
        <f t="shared" si="9"/>
        <v/>
      </c>
      <c r="P63" t="str">
        <f t="shared" si="9"/>
        <v/>
      </c>
      <c r="Q63" t="str">
        <f t="shared" si="9"/>
        <v/>
      </c>
      <c r="R63">
        <f t="shared" si="7"/>
        <v>0.88817803253104943</v>
      </c>
      <c r="S63">
        <f t="shared" si="1"/>
        <v>531.424987685112</v>
      </c>
    </row>
    <row r="64" spans="1:19" x14ac:dyDescent="0.25">
      <c r="A64" s="8">
        <v>38412</v>
      </c>
      <c r="B64" s="9">
        <f t="shared" si="2"/>
        <v>3</v>
      </c>
      <c r="C64">
        <v>468</v>
      </c>
      <c r="D64">
        <f t="shared" si="4"/>
        <v>549.66666666666663</v>
      </c>
      <c r="E64">
        <f t="shared" si="5"/>
        <v>0.85142510612492428</v>
      </c>
      <c r="F64" t="str">
        <f t="shared" si="10"/>
        <v/>
      </c>
      <c r="G64" t="str">
        <f t="shared" si="9"/>
        <v/>
      </c>
      <c r="H64">
        <f t="shared" si="9"/>
        <v>0.85142510612492428</v>
      </c>
      <c r="I64" t="str">
        <f t="shared" si="9"/>
        <v/>
      </c>
      <c r="J64" t="str">
        <f t="shared" si="9"/>
        <v/>
      </c>
      <c r="K64" t="str">
        <f t="shared" si="9"/>
        <v/>
      </c>
      <c r="L64" t="str">
        <f t="shared" si="9"/>
        <v/>
      </c>
      <c r="M64" t="str">
        <f t="shared" si="9"/>
        <v/>
      </c>
      <c r="N64" t="str">
        <f t="shared" si="9"/>
        <v/>
      </c>
      <c r="O64" t="str">
        <f t="shared" si="9"/>
        <v/>
      </c>
      <c r="P64" t="str">
        <f t="shared" si="9"/>
        <v/>
      </c>
      <c r="Q64" t="str">
        <f t="shared" si="9"/>
        <v/>
      </c>
      <c r="R64">
        <f t="shared" si="7"/>
        <v>0.90207326214817818</v>
      </c>
      <c r="S64">
        <f t="shared" si="1"/>
        <v>518.8048683379825</v>
      </c>
    </row>
    <row r="65" spans="1:19" x14ac:dyDescent="0.25">
      <c r="A65" s="8">
        <v>38443</v>
      </c>
      <c r="B65" s="9">
        <f t="shared" si="2"/>
        <v>4</v>
      </c>
      <c r="C65">
        <v>478</v>
      </c>
      <c r="D65">
        <f t="shared" si="4"/>
        <v>547.20833333333326</v>
      </c>
      <c r="E65">
        <f t="shared" si="5"/>
        <v>0.87352470874895316</v>
      </c>
      <c r="F65" t="str">
        <f t="shared" si="10"/>
        <v/>
      </c>
      <c r="G65" t="str">
        <f t="shared" si="9"/>
        <v/>
      </c>
      <c r="H65" t="str">
        <f t="shared" si="9"/>
        <v/>
      </c>
      <c r="I65">
        <f t="shared" si="9"/>
        <v>0.87352470874895316</v>
      </c>
      <c r="J65" t="str">
        <f t="shared" si="9"/>
        <v/>
      </c>
      <c r="K65" t="str">
        <f t="shared" si="9"/>
        <v/>
      </c>
      <c r="L65" t="str">
        <f t="shared" si="9"/>
        <v/>
      </c>
      <c r="M65" t="str">
        <f t="shared" si="9"/>
        <v/>
      </c>
      <c r="N65" t="str">
        <f t="shared" si="9"/>
        <v/>
      </c>
      <c r="O65" t="str">
        <f t="shared" si="9"/>
        <v/>
      </c>
      <c r="P65" t="str">
        <f t="shared" si="9"/>
        <v/>
      </c>
      <c r="Q65" t="str">
        <f t="shared" si="9"/>
        <v/>
      </c>
      <c r="R65">
        <f t="shared" si="7"/>
        <v>0.8278598044138995</v>
      </c>
      <c r="S65">
        <f t="shared" si="1"/>
        <v>577.39244912175684</v>
      </c>
    </row>
    <row r="66" spans="1:19" x14ac:dyDescent="0.25">
      <c r="A66" s="8">
        <v>38473</v>
      </c>
      <c r="B66" s="9">
        <f t="shared" si="2"/>
        <v>5</v>
      </c>
      <c r="C66">
        <v>453</v>
      </c>
      <c r="D66">
        <f t="shared" si="4"/>
        <v>543.91666666666663</v>
      </c>
      <c r="E66">
        <f t="shared" si="5"/>
        <v>0.83284816914355764</v>
      </c>
      <c r="F66" t="str">
        <f t="shared" si="10"/>
        <v/>
      </c>
      <c r="G66" t="str">
        <f t="shared" si="9"/>
        <v/>
      </c>
      <c r="H66" t="str">
        <f t="shared" si="9"/>
        <v/>
      </c>
      <c r="I66" t="str">
        <f t="shared" si="9"/>
        <v/>
      </c>
      <c r="J66">
        <f t="shared" si="9"/>
        <v>0.83284816914355764</v>
      </c>
      <c r="K66" t="str">
        <f t="shared" si="9"/>
        <v/>
      </c>
      <c r="L66" t="str">
        <f t="shared" si="9"/>
        <v/>
      </c>
      <c r="M66" t="str">
        <f t="shared" si="9"/>
        <v/>
      </c>
      <c r="N66" t="str">
        <f t="shared" si="9"/>
        <v/>
      </c>
      <c r="O66" t="str">
        <f t="shared" si="9"/>
        <v/>
      </c>
      <c r="P66" t="str">
        <f t="shared" si="9"/>
        <v/>
      </c>
      <c r="Q66" t="str">
        <f t="shared" si="9"/>
        <v/>
      </c>
      <c r="R66">
        <f t="shared" si="7"/>
        <v>0.88590789659293523</v>
      </c>
      <c r="S66">
        <f t="shared" si="1"/>
        <v>511.3398376311668</v>
      </c>
    </row>
    <row r="67" spans="1:19" x14ac:dyDescent="0.25">
      <c r="A67" s="8">
        <v>38504</v>
      </c>
      <c r="B67" s="9">
        <f t="shared" si="2"/>
        <v>6</v>
      </c>
      <c r="C67">
        <v>681</v>
      </c>
      <c r="D67">
        <f t="shared" si="4"/>
        <v>538.66666666666663</v>
      </c>
      <c r="E67">
        <f t="shared" si="5"/>
        <v>1.2642326732673268</v>
      </c>
      <c r="F67" t="str">
        <f t="shared" si="10"/>
        <v/>
      </c>
      <c r="G67" t="str">
        <f t="shared" si="9"/>
        <v/>
      </c>
      <c r="H67" t="str">
        <f t="shared" si="9"/>
        <v/>
      </c>
      <c r="I67" t="str">
        <f t="shared" si="9"/>
        <v/>
      </c>
      <c r="J67" t="str">
        <f t="shared" si="9"/>
        <v/>
      </c>
      <c r="K67">
        <f t="shared" si="9"/>
        <v>1.2642326732673268</v>
      </c>
      <c r="L67" t="str">
        <f t="shared" si="9"/>
        <v/>
      </c>
      <c r="M67" t="str">
        <f t="shared" si="9"/>
        <v/>
      </c>
      <c r="N67" t="str">
        <f t="shared" si="9"/>
        <v/>
      </c>
      <c r="O67" t="str">
        <f t="shared" si="9"/>
        <v/>
      </c>
      <c r="P67" t="str">
        <f t="shared" si="9"/>
        <v/>
      </c>
      <c r="Q67" t="str">
        <f t="shared" si="9"/>
        <v/>
      </c>
      <c r="R67">
        <f t="shared" si="7"/>
        <v>1.1923572304821319</v>
      </c>
      <c r="S67">
        <f t="shared" ref="S67:S130" si="11">C67/R67</f>
        <v>571.13756061565232</v>
      </c>
    </row>
    <row r="68" spans="1:19" x14ac:dyDescent="0.25">
      <c r="A68" s="8">
        <v>38534</v>
      </c>
      <c r="B68" s="9">
        <f t="shared" ref="B68:B131" si="12">IF(B67=12,1,B67+1)</f>
        <v>7</v>
      </c>
      <c r="C68">
        <v>683</v>
      </c>
      <c r="D68">
        <f t="shared" si="4"/>
        <v>530.16666666666663</v>
      </c>
      <c r="E68">
        <f t="shared" si="5"/>
        <v>1.28827412763282</v>
      </c>
      <c r="F68" t="str">
        <f t="shared" si="10"/>
        <v/>
      </c>
      <c r="G68" t="str">
        <f t="shared" si="9"/>
        <v/>
      </c>
      <c r="H68" t="str">
        <f t="shared" si="9"/>
        <v/>
      </c>
      <c r="I68" t="str">
        <f t="shared" si="9"/>
        <v/>
      </c>
      <c r="J68" t="str">
        <f t="shared" si="9"/>
        <v/>
      </c>
      <c r="K68" t="str">
        <f t="shared" si="9"/>
        <v/>
      </c>
      <c r="L68">
        <f t="shared" si="9"/>
        <v>1.28827412763282</v>
      </c>
      <c r="M68" t="str">
        <f t="shared" si="9"/>
        <v/>
      </c>
      <c r="N68" t="str">
        <f t="shared" si="9"/>
        <v/>
      </c>
      <c r="O68" t="str">
        <f t="shared" si="9"/>
        <v/>
      </c>
      <c r="P68" t="str">
        <f t="shared" si="9"/>
        <v/>
      </c>
      <c r="Q68" t="str">
        <f t="shared" si="9"/>
        <v/>
      </c>
      <c r="R68">
        <f t="shared" si="7"/>
        <v>1.3406882655295957</v>
      </c>
      <c r="S68">
        <f t="shared" si="11"/>
        <v>509.43982845274093</v>
      </c>
    </row>
    <row r="69" spans="1:19" x14ac:dyDescent="0.25">
      <c r="A69" s="8">
        <v>38565</v>
      </c>
      <c r="B69" s="9">
        <f t="shared" si="12"/>
        <v>8</v>
      </c>
      <c r="C69">
        <v>664</v>
      </c>
      <c r="D69">
        <f t="shared" si="4"/>
        <v>526.08333333333326</v>
      </c>
      <c r="E69">
        <f t="shared" si="5"/>
        <v>1.2621574528750199</v>
      </c>
      <c r="F69" t="str">
        <f t="shared" si="10"/>
        <v/>
      </c>
      <c r="G69" t="str">
        <f t="shared" si="9"/>
        <v/>
      </c>
      <c r="H69" t="str">
        <f t="shared" si="9"/>
        <v/>
      </c>
      <c r="I69" t="str">
        <f t="shared" si="9"/>
        <v/>
      </c>
      <c r="J69" t="str">
        <f t="shared" si="9"/>
        <v/>
      </c>
      <c r="K69" t="str">
        <f t="shared" si="9"/>
        <v/>
      </c>
      <c r="L69" t="str">
        <f t="shared" si="9"/>
        <v/>
      </c>
      <c r="M69">
        <f t="shared" si="9"/>
        <v>1.2621574528750199</v>
      </c>
      <c r="N69" t="str">
        <f t="shared" si="9"/>
        <v/>
      </c>
      <c r="O69" t="str">
        <f t="shared" si="9"/>
        <v/>
      </c>
      <c r="P69" t="str">
        <f t="shared" si="9"/>
        <v/>
      </c>
      <c r="Q69" t="str">
        <f t="shared" si="9"/>
        <v/>
      </c>
      <c r="R69">
        <f t="shared" si="7"/>
        <v>1.2923544769725261</v>
      </c>
      <c r="S69">
        <f t="shared" si="11"/>
        <v>513.79092333512756</v>
      </c>
    </row>
    <row r="70" spans="1:19" x14ac:dyDescent="0.25">
      <c r="A70" s="8">
        <v>38596</v>
      </c>
      <c r="B70" s="9">
        <f t="shared" si="12"/>
        <v>9</v>
      </c>
      <c r="C70">
        <v>568</v>
      </c>
      <c r="D70">
        <f t="shared" si="4"/>
        <v>525.79166666666663</v>
      </c>
      <c r="E70">
        <f t="shared" si="5"/>
        <v>1.0802757746255647</v>
      </c>
      <c r="F70" t="str">
        <f t="shared" si="10"/>
        <v/>
      </c>
      <c r="G70" t="str">
        <f t="shared" si="9"/>
        <v/>
      </c>
      <c r="H70" t="str">
        <f t="shared" si="9"/>
        <v/>
      </c>
      <c r="I70" t="str">
        <f t="shared" si="9"/>
        <v/>
      </c>
      <c r="J70" t="str">
        <f t="shared" si="9"/>
        <v/>
      </c>
      <c r="K70" t="str">
        <f t="shared" si="9"/>
        <v/>
      </c>
      <c r="L70" t="str">
        <f t="shared" si="9"/>
        <v/>
      </c>
      <c r="M70" t="str">
        <f t="shared" si="9"/>
        <v/>
      </c>
      <c r="N70">
        <f t="shared" si="9"/>
        <v>1.0802757746255647</v>
      </c>
      <c r="O70" t="str">
        <f t="shared" si="9"/>
        <v/>
      </c>
      <c r="P70" t="str">
        <f t="shared" si="9"/>
        <v/>
      </c>
      <c r="Q70" t="str">
        <f t="shared" si="9"/>
        <v/>
      </c>
      <c r="R70">
        <f t="shared" si="7"/>
        <v>1.0277851854043913</v>
      </c>
      <c r="S70">
        <f t="shared" si="11"/>
        <v>552.64466550616339</v>
      </c>
    </row>
    <row r="71" spans="1:19" x14ac:dyDescent="0.25">
      <c r="A71" s="8">
        <v>38626</v>
      </c>
      <c r="B71" s="9">
        <f t="shared" si="12"/>
        <v>10</v>
      </c>
      <c r="C71">
        <v>502</v>
      </c>
      <c r="D71">
        <f t="shared" si="4"/>
        <v>522.83333333333326</v>
      </c>
      <c r="E71">
        <f t="shared" si="5"/>
        <v>0.96015301243226026</v>
      </c>
      <c r="F71" t="str">
        <f t="shared" si="10"/>
        <v/>
      </c>
      <c r="G71" t="str">
        <f t="shared" si="9"/>
        <v/>
      </c>
      <c r="H71" t="str">
        <f t="shared" si="9"/>
        <v/>
      </c>
      <c r="I71" t="str">
        <f t="shared" si="9"/>
        <v/>
      </c>
      <c r="J71" t="str">
        <f t="shared" si="9"/>
        <v/>
      </c>
      <c r="K71" t="str">
        <f t="shared" si="9"/>
        <v/>
      </c>
      <c r="L71" t="str">
        <f t="shared" si="9"/>
        <v/>
      </c>
      <c r="M71" t="str">
        <f t="shared" si="9"/>
        <v/>
      </c>
      <c r="N71" t="str">
        <f t="shared" si="9"/>
        <v/>
      </c>
      <c r="O71">
        <f t="shared" si="9"/>
        <v>0.96015301243226026</v>
      </c>
      <c r="P71" t="str">
        <f t="shared" si="9"/>
        <v/>
      </c>
      <c r="Q71" t="str">
        <f t="shared" si="9"/>
        <v/>
      </c>
      <c r="R71">
        <f t="shared" si="7"/>
        <v>0.95789782990320982</v>
      </c>
      <c r="S71">
        <f t="shared" si="11"/>
        <v>524.06424185210267</v>
      </c>
    </row>
    <row r="72" spans="1:19" x14ac:dyDescent="0.25">
      <c r="A72" s="8">
        <v>38657</v>
      </c>
      <c r="B72" s="9">
        <f t="shared" si="12"/>
        <v>11</v>
      </c>
      <c r="C72">
        <v>494</v>
      </c>
      <c r="D72">
        <f t="shared" si="4"/>
        <v>519.16666666666663</v>
      </c>
      <c r="E72">
        <f t="shared" si="5"/>
        <v>0.95152487961476728</v>
      </c>
      <c r="F72" t="str">
        <f t="shared" si="10"/>
        <v/>
      </c>
      <c r="G72" t="str">
        <f t="shared" si="9"/>
        <v/>
      </c>
      <c r="H72" t="str">
        <f t="shared" si="9"/>
        <v/>
      </c>
      <c r="I72" t="str">
        <f t="shared" si="9"/>
        <v/>
      </c>
      <c r="J72" t="str">
        <f t="shared" si="9"/>
        <v/>
      </c>
      <c r="K72" t="str">
        <f t="shared" si="9"/>
        <v/>
      </c>
      <c r="L72" t="str">
        <f t="shared" si="9"/>
        <v/>
      </c>
      <c r="M72" t="str">
        <f t="shared" si="9"/>
        <v/>
      </c>
      <c r="N72" t="str">
        <f t="shared" si="9"/>
        <v/>
      </c>
      <c r="O72" t="str">
        <f t="shared" si="9"/>
        <v/>
      </c>
      <c r="P72">
        <f t="shared" si="9"/>
        <v>0.95152487961476728</v>
      </c>
      <c r="Q72" t="str">
        <f t="shared" si="9"/>
        <v/>
      </c>
      <c r="R72">
        <f t="shared" si="7"/>
        <v>0.92817345398738293</v>
      </c>
      <c r="S72">
        <f t="shared" si="11"/>
        <v>532.22810658697756</v>
      </c>
    </row>
    <row r="73" spans="1:19" x14ac:dyDescent="0.25">
      <c r="A73" s="8">
        <v>38687</v>
      </c>
      <c r="B73" s="9">
        <f t="shared" si="12"/>
        <v>12</v>
      </c>
      <c r="C73">
        <v>393</v>
      </c>
      <c r="D73">
        <f t="shared" ref="D73:D136" si="13">(1/12)*( 0.5*C67+SUM(C68:C78)+0.5*C79 )</f>
        <v>513.875</v>
      </c>
      <c r="E73">
        <f t="shared" ref="E73:E136" si="14">C73/D73</f>
        <v>0.76477742641693014</v>
      </c>
      <c r="F73" t="str">
        <f t="shared" si="10"/>
        <v/>
      </c>
      <c r="G73" t="str">
        <f t="shared" si="9"/>
        <v/>
      </c>
      <c r="H73" t="str">
        <f t="shared" si="9"/>
        <v/>
      </c>
      <c r="I73" t="str">
        <f t="shared" si="9"/>
        <v/>
      </c>
      <c r="J73" t="str">
        <f t="shared" si="9"/>
        <v/>
      </c>
      <c r="K73" t="str">
        <f t="shared" si="9"/>
        <v/>
      </c>
      <c r="L73" t="str">
        <f t="shared" si="9"/>
        <v/>
      </c>
      <c r="M73" t="str">
        <f t="shared" si="9"/>
        <v/>
      </c>
      <c r="N73" t="str">
        <f t="shared" si="9"/>
        <v/>
      </c>
      <c r="O73" t="str">
        <f t="shared" si="9"/>
        <v/>
      </c>
      <c r="P73" t="str">
        <f t="shared" si="9"/>
        <v/>
      </c>
      <c r="Q73">
        <f t="shared" si="9"/>
        <v>0.76477742641693014</v>
      </c>
      <c r="R73">
        <f t="shared" si="7"/>
        <v>0.89147002091043093</v>
      </c>
      <c r="S73">
        <f t="shared" si="11"/>
        <v>440.84488629089418</v>
      </c>
    </row>
    <row r="74" spans="1:19" x14ac:dyDescent="0.25">
      <c r="A74" s="8">
        <v>38718</v>
      </c>
      <c r="B74" s="9">
        <f t="shared" si="12"/>
        <v>1</v>
      </c>
      <c r="C74">
        <v>457</v>
      </c>
      <c r="D74">
        <f t="shared" si="13"/>
        <v>508.58333333333331</v>
      </c>
      <c r="E74">
        <f t="shared" si="14"/>
        <v>0.89857447157135839</v>
      </c>
      <c r="F74">
        <f t="shared" si="10"/>
        <v>0.89857447157135839</v>
      </c>
      <c r="G74" t="str">
        <f t="shared" si="9"/>
        <v/>
      </c>
      <c r="H74" t="str">
        <f t="shared" si="9"/>
        <v/>
      </c>
      <c r="I74" t="str">
        <f t="shared" si="9"/>
        <v/>
      </c>
      <c r="J74" t="str">
        <f t="shared" si="9"/>
        <v/>
      </c>
      <c r="K74" t="str">
        <f t="shared" si="9"/>
        <v/>
      </c>
      <c r="L74" t="str">
        <f t="shared" si="9"/>
        <v/>
      </c>
      <c r="M74" t="str">
        <f t="shared" si="9"/>
        <v/>
      </c>
      <c r="N74" t="str">
        <f t="shared" si="9"/>
        <v/>
      </c>
      <c r="O74" t="str">
        <f t="shared" si="9"/>
        <v/>
      </c>
      <c r="P74" t="str">
        <f t="shared" si="9"/>
        <v/>
      </c>
      <c r="Q74" t="str">
        <f t="shared" si="9"/>
        <v/>
      </c>
      <c r="R74">
        <f t="shared" si="7"/>
        <v>1.0112057123501712</v>
      </c>
      <c r="S74">
        <f t="shared" si="11"/>
        <v>451.93573811788866</v>
      </c>
    </row>
    <row r="75" spans="1:19" x14ac:dyDescent="0.25">
      <c r="A75" s="8">
        <v>38749</v>
      </c>
      <c r="B75" s="9">
        <f t="shared" si="12"/>
        <v>2</v>
      </c>
      <c r="C75">
        <v>472</v>
      </c>
      <c r="D75">
        <f t="shared" si="13"/>
        <v>504.70833333333331</v>
      </c>
      <c r="E75">
        <f t="shared" si="14"/>
        <v>0.93519359365970445</v>
      </c>
      <c r="F75" t="str">
        <f t="shared" si="10"/>
        <v/>
      </c>
      <c r="G75">
        <f t="shared" si="9"/>
        <v>0.93519359365970445</v>
      </c>
      <c r="H75" t="str">
        <f t="shared" si="9"/>
        <v/>
      </c>
      <c r="I75" t="str">
        <f t="shared" si="9"/>
        <v/>
      </c>
      <c r="J75" t="str">
        <f t="shared" si="9"/>
        <v/>
      </c>
      <c r="K75" t="str">
        <f t="shared" si="9"/>
        <v/>
      </c>
      <c r="L75" t="str">
        <f t="shared" si="9"/>
        <v/>
      </c>
      <c r="M75" t="str">
        <f t="shared" si="9"/>
        <v/>
      </c>
      <c r="N75" t="str">
        <f t="shared" si="9"/>
        <v/>
      </c>
      <c r="O75" t="str">
        <f t="shared" si="9"/>
        <v/>
      </c>
      <c r="P75" t="str">
        <f t="shared" si="9"/>
        <v/>
      </c>
      <c r="Q75" t="str">
        <f t="shared" si="9"/>
        <v/>
      </c>
      <c r="R75">
        <f t="shared" si="7"/>
        <v>0.88817803253104943</v>
      </c>
      <c r="S75">
        <f t="shared" si="11"/>
        <v>531.424987685112</v>
      </c>
    </row>
    <row r="76" spans="1:19" x14ac:dyDescent="0.25">
      <c r="A76" s="8">
        <v>38777</v>
      </c>
      <c r="B76" s="9">
        <f t="shared" si="12"/>
        <v>3</v>
      </c>
      <c r="C76">
        <v>461</v>
      </c>
      <c r="D76">
        <f t="shared" si="13"/>
        <v>494.66666666666663</v>
      </c>
      <c r="E76">
        <f t="shared" si="14"/>
        <v>0.93194070080862546</v>
      </c>
      <c r="F76" t="str">
        <f t="shared" si="10"/>
        <v/>
      </c>
      <c r="G76" t="str">
        <f t="shared" si="9"/>
        <v/>
      </c>
      <c r="H76">
        <f t="shared" si="9"/>
        <v>0.93194070080862546</v>
      </c>
      <c r="I76" t="str">
        <f t="shared" si="9"/>
        <v/>
      </c>
      <c r="J76" t="str">
        <f t="shared" si="9"/>
        <v/>
      </c>
      <c r="K76" t="str">
        <f t="shared" si="9"/>
        <v/>
      </c>
      <c r="L76" t="str">
        <f t="shared" si="9"/>
        <v/>
      </c>
      <c r="M76" t="str">
        <f t="shared" si="9"/>
        <v/>
      </c>
      <c r="N76" t="str">
        <f t="shared" si="9"/>
        <v/>
      </c>
      <c r="O76" t="str">
        <f t="shared" si="9"/>
        <v/>
      </c>
      <c r="P76" t="str">
        <f t="shared" si="9"/>
        <v/>
      </c>
      <c r="Q76" t="str">
        <f t="shared" si="9"/>
        <v/>
      </c>
      <c r="R76">
        <f t="shared" si="7"/>
        <v>0.90207326214817818</v>
      </c>
      <c r="S76">
        <f t="shared" si="11"/>
        <v>511.04496646113239</v>
      </c>
    </row>
    <row r="77" spans="1:19" x14ac:dyDescent="0.25">
      <c r="A77" s="8">
        <v>38808</v>
      </c>
      <c r="B77" s="9">
        <f t="shared" si="12"/>
        <v>4</v>
      </c>
      <c r="C77">
        <v>414</v>
      </c>
      <c r="D77">
        <f t="shared" si="13"/>
        <v>484.25</v>
      </c>
      <c r="E77">
        <f t="shared" si="14"/>
        <v>0.85493030459473407</v>
      </c>
      <c r="F77" t="str">
        <f t="shared" si="10"/>
        <v/>
      </c>
      <c r="G77" t="str">
        <f t="shared" si="9"/>
        <v/>
      </c>
      <c r="H77" t="str">
        <f t="shared" si="9"/>
        <v/>
      </c>
      <c r="I77">
        <f t="shared" si="9"/>
        <v>0.85493030459473407</v>
      </c>
      <c r="J77" t="str">
        <f t="shared" si="9"/>
        <v/>
      </c>
      <c r="K77" t="str">
        <f t="shared" si="9"/>
        <v/>
      </c>
      <c r="L77" t="str">
        <f t="shared" si="9"/>
        <v/>
      </c>
      <c r="M77" t="str">
        <f t="shared" si="9"/>
        <v/>
      </c>
      <c r="N77" t="str">
        <f t="shared" si="9"/>
        <v/>
      </c>
      <c r="O77" t="str">
        <f t="shared" si="9"/>
        <v/>
      </c>
      <c r="P77" t="str">
        <f t="shared" si="9"/>
        <v/>
      </c>
      <c r="Q77" t="str">
        <f t="shared" si="9"/>
        <v/>
      </c>
      <c r="R77">
        <f t="shared" si="7"/>
        <v>0.8278598044138995</v>
      </c>
      <c r="S77">
        <f t="shared" si="11"/>
        <v>500.08467350712829</v>
      </c>
    </row>
    <row r="78" spans="1:19" x14ac:dyDescent="0.25">
      <c r="A78" s="8">
        <v>38838</v>
      </c>
      <c r="B78" s="9">
        <f t="shared" si="12"/>
        <v>5</v>
      </c>
      <c r="C78">
        <v>429</v>
      </c>
      <c r="D78">
        <f t="shared" si="13"/>
        <v>477.08333333333331</v>
      </c>
      <c r="E78">
        <f t="shared" si="14"/>
        <v>0.89921397379912671</v>
      </c>
      <c r="F78" t="str">
        <f t="shared" si="10"/>
        <v/>
      </c>
      <c r="G78" t="str">
        <f t="shared" si="9"/>
        <v/>
      </c>
      <c r="H78" t="str">
        <f t="shared" si="9"/>
        <v/>
      </c>
      <c r="I78" t="str">
        <f t="shared" si="9"/>
        <v/>
      </c>
      <c r="J78">
        <f t="shared" si="9"/>
        <v>0.89921397379912671</v>
      </c>
      <c r="K78" t="str">
        <f t="shared" si="9"/>
        <v/>
      </c>
      <c r="L78" t="str">
        <f t="shared" si="9"/>
        <v/>
      </c>
      <c r="M78" t="str">
        <f t="shared" si="9"/>
        <v/>
      </c>
      <c r="N78" t="str">
        <f t="shared" si="9"/>
        <v/>
      </c>
      <c r="O78" t="str">
        <f t="shared" si="9"/>
        <v/>
      </c>
      <c r="P78" t="str">
        <f t="shared" si="9"/>
        <v/>
      </c>
      <c r="Q78" t="str">
        <f t="shared" si="9"/>
        <v/>
      </c>
      <c r="R78">
        <f t="shared" si="7"/>
        <v>0.88590789659293523</v>
      </c>
      <c r="S78">
        <f t="shared" si="11"/>
        <v>484.24898530633675</v>
      </c>
    </row>
    <row r="79" spans="1:19" x14ac:dyDescent="0.25">
      <c r="A79" s="8">
        <v>38869</v>
      </c>
      <c r="B79" s="9">
        <f t="shared" si="12"/>
        <v>6</v>
      </c>
      <c r="C79">
        <v>578</v>
      </c>
      <c r="D79">
        <f t="shared" si="13"/>
        <v>473.25</v>
      </c>
      <c r="E79">
        <f t="shared" si="14"/>
        <v>1.2213417855256208</v>
      </c>
      <c r="F79" t="str">
        <f t="shared" si="10"/>
        <v/>
      </c>
      <c r="G79" t="str">
        <f t="shared" si="9"/>
        <v/>
      </c>
      <c r="H79" t="str">
        <f t="shared" si="9"/>
        <v/>
      </c>
      <c r="I79" t="str">
        <f t="shared" si="9"/>
        <v/>
      </c>
      <c r="J79" t="str">
        <f t="shared" si="9"/>
        <v/>
      </c>
      <c r="K79">
        <f t="shared" si="9"/>
        <v>1.2213417855256208</v>
      </c>
      <c r="L79" t="str">
        <f t="shared" si="9"/>
        <v/>
      </c>
      <c r="M79" t="str">
        <f t="shared" si="9"/>
        <v/>
      </c>
      <c r="N79" t="str">
        <f t="shared" si="9"/>
        <v/>
      </c>
      <c r="O79" t="str">
        <f t="shared" si="9"/>
        <v/>
      </c>
      <c r="P79" t="str">
        <f t="shared" si="9"/>
        <v/>
      </c>
      <c r="Q79" t="str">
        <f t="shared" si="9"/>
        <v/>
      </c>
      <c r="R79">
        <f t="shared" ref="R79:R142" si="15">R67</f>
        <v>1.1923572304821319</v>
      </c>
      <c r="S79">
        <f t="shared" si="11"/>
        <v>484.75405291607501</v>
      </c>
    </row>
    <row r="80" spans="1:19" x14ac:dyDescent="0.25">
      <c r="A80" s="8">
        <v>38899</v>
      </c>
      <c r="B80" s="9">
        <f t="shared" si="12"/>
        <v>7</v>
      </c>
      <c r="C80">
        <v>659</v>
      </c>
      <c r="D80">
        <f t="shared" si="13"/>
        <v>474.125</v>
      </c>
      <c r="E80">
        <f t="shared" si="14"/>
        <v>1.3899288162404428</v>
      </c>
      <c r="F80" t="str">
        <f t="shared" si="10"/>
        <v/>
      </c>
      <c r="G80" t="str">
        <f t="shared" si="9"/>
        <v/>
      </c>
      <c r="H80" t="str">
        <f t="shared" si="9"/>
        <v/>
      </c>
      <c r="I80" t="str">
        <f t="shared" si="9"/>
        <v/>
      </c>
      <c r="J80" t="str">
        <f t="shared" si="9"/>
        <v/>
      </c>
      <c r="K80" t="str">
        <f t="shared" si="9"/>
        <v/>
      </c>
      <c r="L80">
        <f t="shared" si="9"/>
        <v>1.3899288162404428</v>
      </c>
      <c r="M80" t="str">
        <f t="shared" si="9"/>
        <v/>
      </c>
      <c r="N80" t="str">
        <f t="shared" si="9"/>
        <v/>
      </c>
      <c r="O80" t="str">
        <f t="shared" si="9"/>
        <v/>
      </c>
      <c r="P80" t="str">
        <f t="shared" si="9"/>
        <v/>
      </c>
      <c r="Q80" t="str">
        <f t="shared" si="9"/>
        <v/>
      </c>
      <c r="R80">
        <f t="shared" si="15"/>
        <v>1.3406882655295957</v>
      </c>
      <c r="S80">
        <f t="shared" si="11"/>
        <v>491.53857532995062</v>
      </c>
    </row>
    <row r="81" spans="1:19" x14ac:dyDescent="0.25">
      <c r="A81" s="8">
        <v>38930</v>
      </c>
      <c r="B81" s="9">
        <f t="shared" si="12"/>
        <v>8</v>
      </c>
      <c r="C81">
        <v>595</v>
      </c>
      <c r="D81">
        <f t="shared" si="13"/>
        <v>472.125</v>
      </c>
      <c r="E81">
        <f t="shared" si="14"/>
        <v>1.2602594651840084</v>
      </c>
      <c r="F81" t="str">
        <f t="shared" si="10"/>
        <v/>
      </c>
      <c r="G81" t="str">
        <f t="shared" si="9"/>
        <v/>
      </c>
      <c r="H81" t="str">
        <f t="shared" si="9"/>
        <v/>
      </c>
      <c r="I81" t="str">
        <f t="shared" si="9"/>
        <v/>
      </c>
      <c r="J81" t="str">
        <f t="shared" si="9"/>
        <v/>
      </c>
      <c r="K81" t="str">
        <f t="shared" si="9"/>
        <v/>
      </c>
      <c r="L81" t="str">
        <f t="shared" si="9"/>
        <v/>
      </c>
      <c r="M81">
        <f t="shared" si="9"/>
        <v>1.2602594651840084</v>
      </c>
      <c r="N81" t="str">
        <f t="shared" si="9"/>
        <v/>
      </c>
      <c r="O81" t="str">
        <f t="shared" si="9"/>
        <v/>
      </c>
      <c r="P81" t="str">
        <f t="shared" si="9"/>
        <v/>
      </c>
      <c r="Q81" t="str">
        <f t="shared" si="9"/>
        <v/>
      </c>
      <c r="R81">
        <f t="shared" si="15"/>
        <v>1.2923544769725261</v>
      </c>
      <c r="S81">
        <f t="shared" si="11"/>
        <v>460.39999907289285</v>
      </c>
    </row>
    <row r="82" spans="1:19" x14ac:dyDescent="0.25">
      <c r="A82" s="8">
        <v>38961</v>
      </c>
      <c r="B82" s="9">
        <f t="shared" si="12"/>
        <v>9</v>
      </c>
      <c r="C82">
        <v>396</v>
      </c>
      <c r="D82">
        <f t="shared" si="13"/>
        <v>467.58333333333331</v>
      </c>
      <c r="E82">
        <f t="shared" si="14"/>
        <v>0.84690785956157555</v>
      </c>
      <c r="F82" t="str">
        <f t="shared" si="10"/>
        <v/>
      </c>
      <c r="G82" t="str">
        <f t="shared" si="9"/>
        <v/>
      </c>
      <c r="H82" t="str">
        <f t="shared" si="9"/>
        <v/>
      </c>
      <c r="I82" t="str">
        <f t="shared" si="9"/>
        <v/>
      </c>
      <c r="J82" t="str">
        <f t="shared" si="9"/>
        <v/>
      </c>
      <c r="K82" t="str">
        <f t="shared" si="9"/>
        <v/>
      </c>
      <c r="L82" t="str">
        <f t="shared" si="9"/>
        <v/>
      </c>
      <c r="M82" t="str">
        <f t="shared" si="9"/>
        <v/>
      </c>
      <c r="N82">
        <f t="shared" si="9"/>
        <v>0.84690785956157555</v>
      </c>
      <c r="O82" t="str">
        <f t="shared" si="9"/>
        <v/>
      </c>
      <c r="P82" t="str">
        <f t="shared" si="9"/>
        <v/>
      </c>
      <c r="Q82" t="str">
        <f t="shared" si="9"/>
        <v/>
      </c>
      <c r="R82">
        <f t="shared" si="15"/>
        <v>1.0277851854043913</v>
      </c>
      <c r="S82">
        <f t="shared" si="11"/>
        <v>385.29452031767732</v>
      </c>
    </row>
    <row r="83" spans="1:19" x14ac:dyDescent="0.25">
      <c r="A83" s="8">
        <v>38991</v>
      </c>
      <c r="B83" s="9">
        <f t="shared" si="12"/>
        <v>10</v>
      </c>
      <c r="C83">
        <v>424</v>
      </c>
      <c r="D83">
        <f t="shared" si="13"/>
        <v>465.58333333333331</v>
      </c>
      <c r="E83">
        <f t="shared" si="14"/>
        <v>0.91068551995704317</v>
      </c>
      <c r="F83" t="str">
        <f t="shared" si="10"/>
        <v/>
      </c>
      <c r="G83" t="str">
        <f t="shared" si="9"/>
        <v/>
      </c>
      <c r="H83" t="str">
        <f t="shared" si="9"/>
        <v/>
      </c>
      <c r="I83" t="str">
        <f t="shared" si="9"/>
        <v/>
      </c>
      <c r="J83" t="str">
        <f t="shared" si="9"/>
        <v/>
      </c>
      <c r="K83" t="str">
        <f t="shared" si="9"/>
        <v/>
      </c>
      <c r="L83" t="str">
        <f t="shared" si="9"/>
        <v/>
      </c>
      <c r="M83" t="str">
        <f t="shared" si="9"/>
        <v/>
      </c>
      <c r="N83" t="str">
        <f t="shared" si="9"/>
        <v/>
      </c>
      <c r="O83">
        <f t="shared" si="9"/>
        <v>0.91068551995704317</v>
      </c>
      <c r="P83" t="str">
        <f t="shared" si="9"/>
        <v/>
      </c>
      <c r="Q83" t="str">
        <f t="shared" si="9"/>
        <v/>
      </c>
      <c r="R83">
        <f t="shared" si="15"/>
        <v>0.95789782990320982</v>
      </c>
      <c r="S83">
        <f t="shared" si="11"/>
        <v>442.63593335715439</v>
      </c>
    </row>
    <row r="84" spans="1:19" x14ac:dyDescent="0.25">
      <c r="A84" s="8">
        <v>39022</v>
      </c>
      <c r="B84" s="9">
        <f t="shared" si="12"/>
        <v>11</v>
      </c>
      <c r="C84">
        <v>400</v>
      </c>
      <c r="D84">
        <f t="shared" si="13"/>
        <v>465.29166666666663</v>
      </c>
      <c r="E84">
        <f t="shared" si="14"/>
        <v>0.85967583057222174</v>
      </c>
      <c r="F84" t="str">
        <f t="shared" si="10"/>
        <v/>
      </c>
      <c r="G84" t="str">
        <f t="shared" si="9"/>
        <v/>
      </c>
      <c r="H84" t="str">
        <f t="shared" si="9"/>
        <v/>
      </c>
      <c r="I84" t="str">
        <f t="shared" si="9"/>
        <v/>
      </c>
      <c r="J84" t="str">
        <f t="shared" si="9"/>
        <v/>
      </c>
      <c r="K84" t="str">
        <f t="shared" si="9"/>
        <v/>
      </c>
      <c r="L84" t="str">
        <f t="shared" si="9"/>
        <v/>
      </c>
      <c r="M84" t="str">
        <f t="shared" si="9"/>
        <v/>
      </c>
      <c r="N84" t="str">
        <f t="shared" si="9"/>
        <v/>
      </c>
      <c r="O84" t="str">
        <f t="shared" si="9"/>
        <v/>
      </c>
      <c r="P84">
        <f t="shared" si="9"/>
        <v>0.85967583057222174</v>
      </c>
      <c r="Q84" t="str">
        <f t="shared" si="9"/>
        <v/>
      </c>
      <c r="R84">
        <f t="shared" si="15"/>
        <v>0.92817345398738293</v>
      </c>
      <c r="S84">
        <f t="shared" si="11"/>
        <v>430.95393245909116</v>
      </c>
    </row>
    <row r="85" spans="1:19" x14ac:dyDescent="0.25">
      <c r="A85" s="8">
        <v>39052</v>
      </c>
      <c r="B85" s="9">
        <f t="shared" si="12"/>
        <v>12</v>
      </c>
      <c r="C85">
        <v>395</v>
      </c>
      <c r="D85">
        <f t="shared" si="13"/>
        <v>465</v>
      </c>
      <c r="E85">
        <f t="shared" si="14"/>
        <v>0.84946236559139787</v>
      </c>
      <c r="F85" t="str">
        <f t="shared" si="10"/>
        <v/>
      </c>
      <c r="G85" t="str">
        <f t="shared" si="9"/>
        <v/>
      </c>
      <c r="H85" t="str">
        <f t="shared" si="9"/>
        <v/>
      </c>
      <c r="I85" t="str">
        <f t="shared" si="9"/>
        <v/>
      </c>
      <c r="J85" t="str">
        <f t="shared" si="9"/>
        <v/>
      </c>
      <c r="K85" t="str">
        <f t="shared" ref="G85:Q108" si="16">IF($B85=K$1,$E85, "")</f>
        <v/>
      </c>
      <c r="L85" t="str">
        <f t="shared" si="16"/>
        <v/>
      </c>
      <c r="M85" t="str">
        <f t="shared" si="16"/>
        <v/>
      </c>
      <c r="N85" t="str">
        <f t="shared" si="16"/>
        <v/>
      </c>
      <c r="O85" t="str">
        <f t="shared" si="16"/>
        <v/>
      </c>
      <c r="P85" t="str">
        <f t="shared" si="16"/>
        <v/>
      </c>
      <c r="Q85">
        <f t="shared" si="16"/>
        <v>0.84946236559139787</v>
      </c>
      <c r="R85">
        <f t="shared" si="15"/>
        <v>0.89147002091043093</v>
      </c>
      <c r="S85">
        <f t="shared" si="11"/>
        <v>443.08837171731096</v>
      </c>
    </row>
    <row r="86" spans="1:19" x14ac:dyDescent="0.25">
      <c r="A86" s="8">
        <v>39083</v>
      </c>
      <c r="B86" s="9">
        <f t="shared" si="12"/>
        <v>1</v>
      </c>
      <c r="C86">
        <v>476</v>
      </c>
      <c r="D86">
        <f t="shared" si="13"/>
        <v>466.625</v>
      </c>
      <c r="E86">
        <f t="shared" si="14"/>
        <v>1.020091079560675</v>
      </c>
      <c r="F86">
        <f t="shared" si="10"/>
        <v>1.020091079560675</v>
      </c>
      <c r="G86" t="str">
        <f t="shared" si="16"/>
        <v/>
      </c>
      <c r="H86" t="str">
        <f t="shared" si="16"/>
        <v/>
      </c>
      <c r="I86" t="str">
        <f t="shared" si="16"/>
        <v/>
      </c>
      <c r="J86" t="str">
        <f t="shared" si="16"/>
        <v/>
      </c>
      <c r="K86" t="str">
        <f t="shared" si="16"/>
        <v/>
      </c>
      <c r="L86" t="str">
        <f t="shared" si="16"/>
        <v/>
      </c>
      <c r="M86" t="str">
        <f t="shared" si="16"/>
        <v/>
      </c>
      <c r="N86" t="str">
        <f t="shared" si="16"/>
        <v/>
      </c>
      <c r="O86" t="str">
        <f t="shared" si="16"/>
        <v/>
      </c>
      <c r="P86" t="str">
        <f t="shared" si="16"/>
        <v/>
      </c>
      <c r="Q86" t="str">
        <f t="shared" si="16"/>
        <v/>
      </c>
      <c r="R86">
        <f t="shared" si="15"/>
        <v>1.0112057123501712</v>
      </c>
      <c r="S86">
        <f t="shared" si="11"/>
        <v>470.72518893679427</v>
      </c>
    </row>
    <row r="87" spans="1:19" x14ac:dyDescent="0.25">
      <c r="A87" s="8">
        <v>39114</v>
      </c>
      <c r="B87" s="9">
        <f t="shared" si="12"/>
        <v>2</v>
      </c>
      <c r="C87">
        <v>405</v>
      </c>
      <c r="D87">
        <f t="shared" si="13"/>
        <v>472.66666666666663</v>
      </c>
      <c r="E87">
        <f t="shared" si="14"/>
        <v>0.85684062059238375</v>
      </c>
      <c r="F87" t="str">
        <f t="shared" si="10"/>
        <v/>
      </c>
      <c r="G87">
        <f t="shared" si="16"/>
        <v>0.85684062059238375</v>
      </c>
      <c r="H87" t="str">
        <f t="shared" si="16"/>
        <v/>
      </c>
      <c r="I87" t="str">
        <f t="shared" si="16"/>
        <v/>
      </c>
      <c r="J87" t="str">
        <f t="shared" si="16"/>
        <v/>
      </c>
      <c r="K87" t="str">
        <f t="shared" si="16"/>
        <v/>
      </c>
      <c r="L87" t="str">
        <f t="shared" si="16"/>
        <v/>
      </c>
      <c r="M87" t="str">
        <f t="shared" si="16"/>
        <v/>
      </c>
      <c r="N87" t="str">
        <f t="shared" si="16"/>
        <v/>
      </c>
      <c r="O87" t="str">
        <f t="shared" si="16"/>
        <v/>
      </c>
      <c r="P87" t="str">
        <f t="shared" si="16"/>
        <v/>
      </c>
      <c r="Q87" t="str">
        <f t="shared" si="16"/>
        <v/>
      </c>
      <c r="R87">
        <f t="shared" si="15"/>
        <v>0.88817803253104943</v>
      </c>
      <c r="S87">
        <f t="shared" si="11"/>
        <v>455.98966104336944</v>
      </c>
    </row>
    <row r="88" spans="1:19" x14ac:dyDescent="0.25">
      <c r="A88" s="8">
        <v>39142</v>
      </c>
      <c r="B88" s="9">
        <f t="shared" si="12"/>
        <v>3</v>
      </c>
      <c r="C88">
        <v>419</v>
      </c>
      <c r="D88">
        <f t="shared" si="13"/>
        <v>482.20833333333331</v>
      </c>
      <c r="E88">
        <f t="shared" si="14"/>
        <v>0.86891903568651174</v>
      </c>
      <c r="F88" t="str">
        <f t="shared" si="10"/>
        <v/>
      </c>
      <c r="G88" t="str">
        <f t="shared" si="16"/>
        <v/>
      </c>
      <c r="H88">
        <f t="shared" si="16"/>
        <v>0.86891903568651174</v>
      </c>
      <c r="I88" t="str">
        <f t="shared" si="16"/>
        <v/>
      </c>
      <c r="J88" t="str">
        <f t="shared" si="16"/>
        <v/>
      </c>
      <c r="K88" t="str">
        <f t="shared" si="16"/>
        <v/>
      </c>
      <c r="L88" t="str">
        <f t="shared" si="16"/>
        <v/>
      </c>
      <c r="M88" t="str">
        <f t="shared" si="16"/>
        <v/>
      </c>
      <c r="N88" t="str">
        <f t="shared" si="16"/>
        <v/>
      </c>
      <c r="O88" t="str">
        <f t="shared" si="16"/>
        <v/>
      </c>
      <c r="P88" t="str">
        <f t="shared" si="16"/>
        <v/>
      </c>
      <c r="Q88" t="str">
        <f t="shared" si="16"/>
        <v/>
      </c>
      <c r="R88">
        <f t="shared" si="15"/>
        <v>0.90207326214817818</v>
      </c>
      <c r="S88">
        <f t="shared" si="11"/>
        <v>464.4855552000314</v>
      </c>
    </row>
    <row r="89" spans="1:19" x14ac:dyDescent="0.25">
      <c r="A89" s="8">
        <v>39173</v>
      </c>
      <c r="B89" s="9">
        <f t="shared" si="12"/>
        <v>4</v>
      </c>
      <c r="C89">
        <v>408</v>
      </c>
      <c r="D89">
        <f t="shared" si="13"/>
        <v>490.41666666666663</v>
      </c>
      <c r="E89">
        <f t="shared" si="14"/>
        <v>0.83194562446898901</v>
      </c>
      <c r="F89" t="str">
        <f t="shared" si="10"/>
        <v/>
      </c>
      <c r="G89" t="str">
        <f t="shared" si="16"/>
        <v/>
      </c>
      <c r="H89" t="str">
        <f t="shared" si="16"/>
        <v/>
      </c>
      <c r="I89">
        <f t="shared" si="16"/>
        <v>0.83194562446898901</v>
      </c>
      <c r="J89" t="str">
        <f t="shared" si="16"/>
        <v/>
      </c>
      <c r="K89" t="str">
        <f t="shared" si="16"/>
        <v/>
      </c>
      <c r="L89" t="str">
        <f t="shared" si="16"/>
        <v/>
      </c>
      <c r="M89" t="str">
        <f t="shared" si="16"/>
        <v/>
      </c>
      <c r="N89" t="str">
        <f t="shared" si="16"/>
        <v/>
      </c>
      <c r="O89" t="str">
        <f t="shared" si="16"/>
        <v/>
      </c>
      <c r="P89" t="str">
        <f t="shared" si="16"/>
        <v/>
      </c>
      <c r="Q89" t="str">
        <f t="shared" si="16"/>
        <v/>
      </c>
      <c r="R89">
        <f t="shared" si="15"/>
        <v>0.8278598044138995</v>
      </c>
      <c r="S89">
        <f t="shared" si="11"/>
        <v>492.83706954325686</v>
      </c>
    </row>
    <row r="90" spans="1:19" x14ac:dyDescent="0.25">
      <c r="A90" s="8">
        <v>39203</v>
      </c>
      <c r="B90" s="9">
        <f t="shared" si="12"/>
        <v>5</v>
      </c>
      <c r="C90">
        <v>428</v>
      </c>
      <c r="D90">
        <f t="shared" si="13"/>
        <v>496.66666666666663</v>
      </c>
      <c r="E90">
        <f t="shared" si="14"/>
        <v>0.86174496644295306</v>
      </c>
      <c r="F90" t="str">
        <f t="shared" si="10"/>
        <v/>
      </c>
      <c r="G90" t="str">
        <f t="shared" si="16"/>
        <v/>
      </c>
      <c r="H90" t="str">
        <f t="shared" si="16"/>
        <v/>
      </c>
      <c r="I90" t="str">
        <f t="shared" si="16"/>
        <v/>
      </c>
      <c r="J90">
        <f t="shared" si="16"/>
        <v>0.86174496644295306</v>
      </c>
      <c r="K90" t="str">
        <f t="shared" si="16"/>
        <v/>
      </c>
      <c r="L90" t="str">
        <f t="shared" si="16"/>
        <v/>
      </c>
      <c r="M90" t="str">
        <f t="shared" si="16"/>
        <v/>
      </c>
      <c r="N90" t="str">
        <f t="shared" si="16"/>
        <v/>
      </c>
      <c r="O90" t="str">
        <f t="shared" si="16"/>
        <v/>
      </c>
      <c r="P90" t="str">
        <f t="shared" si="16"/>
        <v/>
      </c>
      <c r="Q90" t="str">
        <f t="shared" si="16"/>
        <v/>
      </c>
      <c r="R90">
        <f t="shared" si="15"/>
        <v>0.88590789659293523</v>
      </c>
      <c r="S90">
        <f t="shared" si="11"/>
        <v>483.12019979280217</v>
      </c>
    </row>
    <row r="91" spans="1:19" x14ac:dyDescent="0.25">
      <c r="A91" s="8">
        <v>39234</v>
      </c>
      <c r="B91" s="9">
        <f t="shared" si="12"/>
        <v>6</v>
      </c>
      <c r="C91">
        <v>572</v>
      </c>
      <c r="D91">
        <f t="shared" si="13"/>
        <v>502.41666666666663</v>
      </c>
      <c r="E91">
        <f t="shared" si="14"/>
        <v>1.1384972632277328</v>
      </c>
      <c r="F91" t="str">
        <f t="shared" si="10"/>
        <v/>
      </c>
      <c r="G91" t="str">
        <f t="shared" si="16"/>
        <v/>
      </c>
      <c r="H91" t="str">
        <f t="shared" si="16"/>
        <v/>
      </c>
      <c r="I91" t="str">
        <f t="shared" si="16"/>
        <v/>
      </c>
      <c r="J91" t="str">
        <f t="shared" si="16"/>
        <v/>
      </c>
      <c r="K91">
        <f t="shared" si="16"/>
        <v>1.1384972632277328</v>
      </c>
      <c r="L91" t="str">
        <f t="shared" si="16"/>
        <v/>
      </c>
      <c r="M91" t="str">
        <f t="shared" si="16"/>
        <v/>
      </c>
      <c r="N91" t="str">
        <f t="shared" si="16"/>
        <v/>
      </c>
      <c r="O91" t="str">
        <f t="shared" si="16"/>
        <v/>
      </c>
      <c r="P91" t="str">
        <f t="shared" si="16"/>
        <v/>
      </c>
      <c r="Q91" t="str">
        <f t="shared" si="16"/>
        <v/>
      </c>
      <c r="R91">
        <f t="shared" si="15"/>
        <v>1.1923572304821319</v>
      </c>
      <c r="S91">
        <f t="shared" si="11"/>
        <v>479.72200392386657</v>
      </c>
    </row>
    <row r="92" spans="1:19" x14ac:dyDescent="0.25">
      <c r="A92" s="8">
        <v>39264</v>
      </c>
      <c r="B92" s="9">
        <f t="shared" si="12"/>
        <v>7</v>
      </c>
      <c r="C92">
        <v>704</v>
      </c>
      <c r="D92">
        <f t="shared" si="13"/>
        <v>504.54166666666663</v>
      </c>
      <c r="E92">
        <f t="shared" si="14"/>
        <v>1.3953257907341647</v>
      </c>
      <c r="F92" t="str">
        <f t="shared" si="10"/>
        <v/>
      </c>
      <c r="G92" t="str">
        <f t="shared" si="16"/>
        <v/>
      </c>
      <c r="H92" t="str">
        <f t="shared" si="16"/>
        <v/>
      </c>
      <c r="I92" t="str">
        <f t="shared" si="16"/>
        <v/>
      </c>
      <c r="J92" t="str">
        <f t="shared" si="16"/>
        <v/>
      </c>
      <c r="K92" t="str">
        <f t="shared" si="16"/>
        <v/>
      </c>
      <c r="L92">
        <f t="shared" si="16"/>
        <v>1.3953257907341647</v>
      </c>
      <c r="M92" t="str">
        <f t="shared" si="16"/>
        <v/>
      </c>
      <c r="N92" t="str">
        <f t="shared" si="16"/>
        <v/>
      </c>
      <c r="O92" t="str">
        <f t="shared" si="16"/>
        <v/>
      </c>
      <c r="P92" t="str">
        <f t="shared" si="16"/>
        <v/>
      </c>
      <c r="Q92" t="str">
        <f t="shared" si="16"/>
        <v/>
      </c>
      <c r="R92">
        <f t="shared" si="15"/>
        <v>1.3406882655295957</v>
      </c>
      <c r="S92">
        <f t="shared" si="11"/>
        <v>525.10342493518237</v>
      </c>
    </row>
    <row r="93" spans="1:19" x14ac:dyDescent="0.25">
      <c r="A93" s="8">
        <v>39295</v>
      </c>
      <c r="B93" s="9">
        <f t="shared" si="12"/>
        <v>8</v>
      </c>
      <c r="C93">
        <v>695</v>
      </c>
      <c r="D93">
        <f t="shared" si="13"/>
        <v>502.95833333333331</v>
      </c>
      <c r="E93">
        <f t="shared" si="14"/>
        <v>1.381824206776572</v>
      </c>
      <c r="F93" t="str">
        <f t="shared" si="10"/>
        <v/>
      </c>
      <c r="G93" t="str">
        <f t="shared" si="16"/>
        <v/>
      </c>
      <c r="H93" t="str">
        <f t="shared" si="16"/>
        <v/>
      </c>
      <c r="I93" t="str">
        <f t="shared" si="16"/>
        <v/>
      </c>
      <c r="J93" t="str">
        <f t="shared" si="16"/>
        <v/>
      </c>
      <c r="K93" t="str">
        <f t="shared" si="16"/>
        <v/>
      </c>
      <c r="L93" t="str">
        <f t="shared" si="16"/>
        <v/>
      </c>
      <c r="M93">
        <f t="shared" si="16"/>
        <v>1.381824206776572</v>
      </c>
      <c r="N93" t="str">
        <f t="shared" si="16"/>
        <v/>
      </c>
      <c r="O93" t="str">
        <f t="shared" si="16"/>
        <v/>
      </c>
      <c r="P93" t="str">
        <f t="shared" si="16"/>
        <v/>
      </c>
      <c r="Q93" t="str">
        <f t="shared" si="16"/>
        <v/>
      </c>
      <c r="R93">
        <f t="shared" si="15"/>
        <v>1.2923544769725261</v>
      </c>
      <c r="S93">
        <f t="shared" si="11"/>
        <v>537.77815017758076</v>
      </c>
    </row>
    <row r="94" spans="1:19" x14ac:dyDescent="0.25">
      <c r="A94" s="8">
        <v>39326</v>
      </c>
      <c r="B94" s="9">
        <f t="shared" si="12"/>
        <v>9</v>
      </c>
      <c r="C94">
        <v>525</v>
      </c>
      <c r="D94">
        <f t="shared" si="13"/>
        <v>501.83333333333331</v>
      </c>
      <c r="E94">
        <f t="shared" si="14"/>
        <v>1.0461640650946529</v>
      </c>
      <c r="F94" t="str">
        <f t="shared" si="10"/>
        <v/>
      </c>
      <c r="G94" t="str">
        <f t="shared" si="16"/>
        <v/>
      </c>
      <c r="H94" t="str">
        <f t="shared" si="16"/>
        <v/>
      </c>
      <c r="I94" t="str">
        <f t="shared" si="16"/>
        <v/>
      </c>
      <c r="J94" t="str">
        <f t="shared" si="16"/>
        <v/>
      </c>
      <c r="K94" t="str">
        <f t="shared" si="16"/>
        <v/>
      </c>
      <c r="L94" t="str">
        <f t="shared" si="16"/>
        <v/>
      </c>
      <c r="M94" t="str">
        <f t="shared" si="16"/>
        <v/>
      </c>
      <c r="N94">
        <f t="shared" si="16"/>
        <v>1.0461640650946529</v>
      </c>
      <c r="O94" t="str">
        <f t="shared" si="16"/>
        <v/>
      </c>
      <c r="P94" t="str">
        <f t="shared" si="16"/>
        <v/>
      </c>
      <c r="Q94" t="str">
        <f t="shared" si="16"/>
        <v/>
      </c>
      <c r="R94">
        <f t="shared" si="15"/>
        <v>1.0277851854043913</v>
      </c>
      <c r="S94">
        <f t="shared" si="11"/>
        <v>510.80712920904188</v>
      </c>
    </row>
    <row r="95" spans="1:19" x14ac:dyDescent="0.25">
      <c r="A95" s="8">
        <v>39356</v>
      </c>
      <c r="B95" s="9">
        <f t="shared" si="12"/>
        <v>10</v>
      </c>
      <c r="C95">
        <v>492</v>
      </c>
      <c r="D95">
        <f t="shared" si="13"/>
        <v>500.625</v>
      </c>
      <c r="E95">
        <f t="shared" si="14"/>
        <v>0.98277153558052432</v>
      </c>
      <c r="F95" t="str">
        <f t="shared" si="10"/>
        <v/>
      </c>
      <c r="G95" t="str">
        <f t="shared" si="16"/>
        <v/>
      </c>
      <c r="H95" t="str">
        <f t="shared" si="16"/>
        <v/>
      </c>
      <c r="I95" t="str">
        <f t="shared" si="16"/>
        <v/>
      </c>
      <c r="J95" t="str">
        <f t="shared" si="16"/>
        <v/>
      </c>
      <c r="K95" t="str">
        <f t="shared" si="16"/>
        <v/>
      </c>
      <c r="L95" t="str">
        <f t="shared" si="16"/>
        <v/>
      </c>
      <c r="M95" t="str">
        <f t="shared" si="16"/>
        <v/>
      </c>
      <c r="N95" t="str">
        <f t="shared" si="16"/>
        <v/>
      </c>
      <c r="O95">
        <f t="shared" si="16"/>
        <v>0.98277153558052432</v>
      </c>
      <c r="P95" t="str">
        <f t="shared" si="16"/>
        <v/>
      </c>
      <c r="Q95" t="str">
        <f t="shared" si="16"/>
        <v/>
      </c>
      <c r="R95">
        <f t="shared" si="15"/>
        <v>0.95789782990320982</v>
      </c>
      <c r="S95">
        <f t="shared" si="11"/>
        <v>513.62471512198101</v>
      </c>
    </row>
    <row r="96" spans="1:19" x14ac:dyDescent="0.25">
      <c r="A96" s="8">
        <v>39387</v>
      </c>
      <c r="B96" s="9">
        <f t="shared" si="12"/>
        <v>11</v>
      </c>
      <c r="C96">
        <v>482</v>
      </c>
      <c r="D96">
        <f t="shared" si="13"/>
        <v>500.54166666666663</v>
      </c>
      <c r="E96">
        <f t="shared" si="14"/>
        <v>0.96295679680346302</v>
      </c>
      <c r="F96" t="str">
        <f t="shared" si="10"/>
        <v/>
      </c>
      <c r="G96" t="str">
        <f t="shared" si="16"/>
        <v/>
      </c>
      <c r="H96" t="str">
        <f t="shared" si="16"/>
        <v/>
      </c>
      <c r="I96" t="str">
        <f t="shared" si="16"/>
        <v/>
      </c>
      <c r="J96" t="str">
        <f t="shared" si="16"/>
        <v/>
      </c>
      <c r="K96" t="str">
        <f t="shared" si="16"/>
        <v/>
      </c>
      <c r="L96" t="str">
        <f t="shared" si="16"/>
        <v/>
      </c>
      <c r="M96" t="str">
        <f t="shared" si="16"/>
        <v/>
      </c>
      <c r="N96" t="str">
        <f t="shared" si="16"/>
        <v/>
      </c>
      <c r="O96" t="str">
        <f t="shared" si="16"/>
        <v/>
      </c>
      <c r="P96">
        <f t="shared" si="16"/>
        <v>0.96295679680346302</v>
      </c>
      <c r="Q96" t="str">
        <f t="shared" si="16"/>
        <v/>
      </c>
      <c r="R96">
        <f t="shared" si="15"/>
        <v>0.92817345398738293</v>
      </c>
      <c r="S96">
        <f t="shared" si="11"/>
        <v>519.29948861320486</v>
      </c>
    </row>
    <row r="97" spans="1:19" x14ac:dyDescent="0.25">
      <c r="A97" s="8">
        <v>39417</v>
      </c>
      <c r="B97" s="9">
        <f t="shared" si="12"/>
        <v>12</v>
      </c>
      <c r="C97">
        <v>451</v>
      </c>
      <c r="D97">
        <f t="shared" si="13"/>
        <v>505.33333333333331</v>
      </c>
      <c r="E97">
        <f t="shared" si="14"/>
        <v>0.89248021108179421</v>
      </c>
      <c r="F97" t="str">
        <f t="shared" si="10"/>
        <v/>
      </c>
      <c r="G97" t="str">
        <f t="shared" si="16"/>
        <v/>
      </c>
      <c r="H97" t="str">
        <f t="shared" si="16"/>
        <v/>
      </c>
      <c r="I97" t="str">
        <f t="shared" si="16"/>
        <v/>
      </c>
      <c r="J97" t="str">
        <f t="shared" si="16"/>
        <v/>
      </c>
      <c r="K97" t="str">
        <f t="shared" si="16"/>
        <v/>
      </c>
      <c r="L97" t="str">
        <f t="shared" si="16"/>
        <v/>
      </c>
      <c r="M97" t="str">
        <f t="shared" si="16"/>
        <v/>
      </c>
      <c r="N97" t="str">
        <f t="shared" si="16"/>
        <v/>
      </c>
      <c r="O97" t="str">
        <f t="shared" si="16"/>
        <v/>
      </c>
      <c r="P97" t="str">
        <f t="shared" si="16"/>
        <v/>
      </c>
      <c r="Q97">
        <f t="shared" si="16"/>
        <v>0.89248021108179421</v>
      </c>
      <c r="R97">
        <f t="shared" si="15"/>
        <v>0.89147002091043093</v>
      </c>
      <c r="S97">
        <f t="shared" si="11"/>
        <v>505.90596365698036</v>
      </c>
    </row>
    <row r="98" spans="1:19" x14ac:dyDescent="0.25">
      <c r="A98" s="8">
        <v>39448</v>
      </c>
      <c r="B98" s="9">
        <f t="shared" si="12"/>
        <v>1</v>
      </c>
      <c r="C98">
        <v>471</v>
      </c>
      <c r="D98">
        <f t="shared" si="13"/>
        <v>511.5</v>
      </c>
      <c r="E98">
        <f t="shared" si="14"/>
        <v>0.92082111436950143</v>
      </c>
      <c r="F98">
        <f t="shared" si="10"/>
        <v>0.92082111436950143</v>
      </c>
      <c r="G98" t="str">
        <f t="shared" si="16"/>
        <v/>
      </c>
      <c r="H98" t="str">
        <f t="shared" si="16"/>
        <v/>
      </c>
      <c r="I98" t="str">
        <f t="shared" si="16"/>
        <v/>
      </c>
      <c r="J98" t="str">
        <f t="shared" si="16"/>
        <v/>
      </c>
      <c r="K98" t="str">
        <f t="shared" si="16"/>
        <v/>
      </c>
      <c r="L98" t="str">
        <f t="shared" si="16"/>
        <v/>
      </c>
      <c r="M98" t="str">
        <f t="shared" si="16"/>
        <v/>
      </c>
      <c r="N98" t="str">
        <f t="shared" si="16"/>
        <v/>
      </c>
      <c r="O98" t="str">
        <f t="shared" si="16"/>
        <v/>
      </c>
      <c r="P98" t="str">
        <f t="shared" si="16"/>
        <v/>
      </c>
      <c r="Q98" t="str">
        <f t="shared" si="16"/>
        <v/>
      </c>
      <c r="R98">
        <f t="shared" si="15"/>
        <v>1.0112057123501712</v>
      </c>
      <c r="S98">
        <f t="shared" si="11"/>
        <v>465.78059661602964</v>
      </c>
    </row>
    <row r="99" spans="1:19" x14ac:dyDescent="0.25">
      <c r="A99" s="8">
        <v>39479</v>
      </c>
      <c r="B99" s="9">
        <f t="shared" si="12"/>
        <v>2</v>
      </c>
      <c r="C99">
        <v>372</v>
      </c>
      <c r="D99">
        <f t="shared" si="13"/>
        <v>515.33333333333326</v>
      </c>
      <c r="E99">
        <f t="shared" si="14"/>
        <v>0.72186287192755505</v>
      </c>
      <c r="F99" t="str">
        <f t="shared" si="10"/>
        <v/>
      </c>
      <c r="G99">
        <f t="shared" si="16"/>
        <v>0.72186287192755505</v>
      </c>
      <c r="H99" t="str">
        <f t="shared" si="16"/>
        <v/>
      </c>
      <c r="I99" t="str">
        <f t="shared" si="16"/>
        <v/>
      </c>
      <c r="J99" t="str">
        <f t="shared" si="16"/>
        <v/>
      </c>
      <c r="K99" t="str">
        <f t="shared" si="16"/>
        <v/>
      </c>
      <c r="L99" t="str">
        <f t="shared" si="16"/>
        <v/>
      </c>
      <c r="M99" t="str">
        <f t="shared" si="16"/>
        <v/>
      </c>
      <c r="N99" t="str">
        <f t="shared" si="16"/>
        <v/>
      </c>
      <c r="O99" t="str">
        <f t="shared" si="16"/>
        <v/>
      </c>
      <c r="P99" t="str">
        <f t="shared" si="16"/>
        <v/>
      </c>
      <c r="Q99" t="str">
        <f t="shared" si="16"/>
        <v/>
      </c>
      <c r="R99">
        <f t="shared" si="15"/>
        <v>0.88817803253104943</v>
      </c>
      <c r="S99">
        <f t="shared" si="11"/>
        <v>418.83494792131711</v>
      </c>
    </row>
    <row r="100" spans="1:19" x14ac:dyDescent="0.25">
      <c r="A100" s="8">
        <v>39508</v>
      </c>
      <c r="B100" s="9">
        <f t="shared" si="12"/>
        <v>3</v>
      </c>
      <c r="C100">
        <v>425</v>
      </c>
      <c r="D100">
        <f t="shared" si="13"/>
        <v>518.41666666666663</v>
      </c>
      <c r="E100">
        <f t="shared" si="14"/>
        <v>0.81980389004983123</v>
      </c>
      <c r="F100" t="str">
        <f t="shared" si="10"/>
        <v/>
      </c>
      <c r="G100" t="str">
        <f t="shared" si="16"/>
        <v/>
      </c>
      <c r="H100">
        <f t="shared" si="16"/>
        <v>0.81980389004983123</v>
      </c>
      <c r="I100" t="str">
        <f t="shared" si="16"/>
        <v/>
      </c>
      <c r="J100" t="str">
        <f t="shared" si="16"/>
        <v/>
      </c>
      <c r="K100" t="str">
        <f t="shared" si="16"/>
        <v/>
      </c>
      <c r="L100" t="str">
        <f t="shared" si="16"/>
        <v/>
      </c>
      <c r="M100" t="str">
        <f t="shared" si="16"/>
        <v/>
      </c>
      <c r="N100" t="str">
        <f t="shared" si="16"/>
        <v/>
      </c>
      <c r="O100" t="str">
        <f t="shared" si="16"/>
        <v/>
      </c>
      <c r="P100" t="str">
        <f t="shared" si="16"/>
        <v/>
      </c>
      <c r="Q100" t="str">
        <f t="shared" si="16"/>
        <v/>
      </c>
      <c r="R100">
        <f t="shared" si="15"/>
        <v>0.90207326214817818</v>
      </c>
      <c r="S100">
        <f t="shared" si="11"/>
        <v>471.13689966590294</v>
      </c>
    </row>
    <row r="101" spans="1:19" x14ac:dyDescent="0.25">
      <c r="A101" s="8">
        <v>39539</v>
      </c>
      <c r="B101" s="9">
        <f t="shared" si="12"/>
        <v>4</v>
      </c>
      <c r="C101">
        <v>373</v>
      </c>
      <c r="D101">
        <f t="shared" si="13"/>
        <v>522.91666666666663</v>
      </c>
      <c r="E101">
        <f t="shared" si="14"/>
        <v>0.71330677290836664</v>
      </c>
      <c r="F101" t="str">
        <f t="shared" si="10"/>
        <v/>
      </c>
      <c r="G101" t="str">
        <f t="shared" si="16"/>
        <v/>
      </c>
      <c r="H101" t="str">
        <f t="shared" si="16"/>
        <v/>
      </c>
      <c r="I101">
        <f t="shared" si="16"/>
        <v>0.71330677290836664</v>
      </c>
      <c r="J101" t="str">
        <f t="shared" si="16"/>
        <v/>
      </c>
      <c r="K101" t="str">
        <f t="shared" si="16"/>
        <v/>
      </c>
      <c r="L101" t="str">
        <f t="shared" si="16"/>
        <v/>
      </c>
      <c r="M101" t="str">
        <f t="shared" si="16"/>
        <v/>
      </c>
      <c r="N101" t="str">
        <f t="shared" si="16"/>
        <v/>
      </c>
      <c r="O101" t="str">
        <f t="shared" si="16"/>
        <v/>
      </c>
      <c r="P101" t="str">
        <f t="shared" si="16"/>
        <v/>
      </c>
      <c r="Q101" t="str">
        <f t="shared" si="16"/>
        <v/>
      </c>
      <c r="R101">
        <f t="shared" si="15"/>
        <v>0.8278598044138995</v>
      </c>
      <c r="S101">
        <f t="shared" si="11"/>
        <v>450.5593797540069</v>
      </c>
    </row>
    <row r="102" spans="1:19" x14ac:dyDescent="0.25">
      <c r="A102" s="8">
        <v>39569</v>
      </c>
      <c r="B102" s="9">
        <f t="shared" si="12"/>
        <v>5</v>
      </c>
      <c r="C102">
        <v>461</v>
      </c>
      <c r="D102">
        <f t="shared" si="13"/>
        <v>527.29166666666663</v>
      </c>
      <c r="E102">
        <f t="shared" si="14"/>
        <v>0.87427894112998816</v>
      </c>
      <c r="F102" t="str">
        <f t="shared" si="10"/>
        <v/>
      </c>
      <c r="G102" t="str">
        <f t="shared" si="16"/>
        <v/>
      </c>
      <c r="H102" t="str">
        <f t="shared" si="16"/>
        <v/>
      </c>
      <c r="I102" t="str">
        <f t="shared" si="16"/>
        <v/>
      </c>
      <c r="J102">
        <f t="shared" si="16"/>
        <v>0.87427894112998816</v>
      </c>
      <c r="K102" t="str">
        <f t="shared" si="16"/>
        <v/>
      </c>
      <c r="L102" t="str">
        <f t="shared" si="16"/>
        <v/>
      </c>
      <c r="M102" t="str">
        <f t="shared" si="16"/>
        <v/>
      </c>
      <c r="N102" t="str">
        <f t="shared" si="16"/>
        <v/>
      </c>
      <c r="O102" t="str">
        <f t="shared" si="16"/>
        <v/>
      </c>
      <c r="P102" t="str">
        <f t="shared" si="16"/>
        <v/>
      </c>
      <c r="Q102" t="str">
        <f t="shared" si="16"/>
        <v/>
      </c>
      <c r="R102">
        <f t="shared" si="15"/>
        <v>0.88590789659293523</v>
      </c>
      <c r="S102">
        <f t="shared" si="11"/>
        <v>520.37012173944345</v>
      </c>
    </row>
    <row r="103" spans="1:19" x14ac:dyDescent="0.25">
      <c r="A103" s="8">
        <v>39600</v>
      </c>
      <c r="B103" s="9">
        <f t="shared" si="12"/>
        <v>6</v>
      </c>
      <c r="C103">
        <v>654</v>
      </c>
      <c r="D103">
        <f t="shared" si="13"/>
        <v>531.66666666666663</v>
      </c>
      <c r="E103">
        <f t="shared" si="14"/>
        <v>1.2300940438871475</v>
      </c>
      <c r="F103" t="str">
        <f t="shared" si="10"/>
        <v/>
      </c>
      <c r="G103" t="str">
        <f t="shared" si="16"/>
        <v/>
      </c>
      <c r="H103" t="str">
        <f t="shared" si="16"/>
        <v/>
      </c>
      <c r="I103" t="str">
        <f t="shared" si="16"/>
        <v/>
      </c>
      <c r="J103" t="str">
        <f t="shared" si="16"/>
        <v/>
      </c>
      <c r="K103">
        <f t="shared" si="16"/>
        <v>1.2300940438871475</v>
      </c>
      <c r="L103" t="str">
        <f t="shared" si="16"/>
        <v/>
      </c>
      <c r="M103" t="str">
        <f t="shared" si="16"/>
        <v/>
      </c>
      <c r="N103" t="str">
        <f t="shared" si="16"/>
        <v/>
      </c>
      <c r="O103" t="str">
        <f t="shared" si="16"/>
        <v/>
      </c>
      <c r="P103" t="str">
        <f t="shared" si="16"/>
        <v/>
      </c>
      <c r="Q103" t="str">
        <f t="shared" si="16"/>
        <v/>
      </c>
      <c r="R103">
        <f t="shared" si="15"/>
        <v>1.1923572304821319</v>
      </c>
      <c r="S103">
        <f t="shared" si="11"/>
        <v>548.49334015071463</v>
      </c>
    </row>
    <row r="104" spans="1:19" x14ac:dyDescent="0.25">
      <c r="A104" s="8">
        <v>39630</v>
      </c>
      <c r="B104" s="9">
        <f t="shared" si="12"/>
        <v>7</v>
      </c>
      <c r="C104">
        <v>770</v>
      </c>
      <c r="D104">
        <f t="shared" si="13"/>
        <v>541.70833333333326</v>
      </c>
      <c r="E104">
        <f t="shared" si="14"/>
        <v>1.4214291208368588</v>
      </c>
      <c r="F104" t="str">
        <f t="shared" si="10"/>
        <v/>
      </c>
      <c r="G104" t="str">
        <f t="shared" si="16"/>
        <v/>
      </c>
      <c r="H104" t="str">
        <f t="shared" si="16"/>
        <v/>
      </c>
      <c r="I104" t="str">
        <f t="shared" si="16"/>
        <v/>
      </c>
      <c r="J104" t="str">
        <f t="shared" si="16"/>
        <v/>
      </c>
      <c r="K104" t="str">
        <f t="shared" si="16"/>
        <v/>
      </c>
      <c r="L104">
        <f t="shared" si="16"/>
        <v>1.4214291208368588</v>
      </c>
      <c r="M104" t="str">
        <f t="shared" si="16"/>
        <v/>
      </c>
      <c r="N104" t="str">
        <f t="shared" si="16"/>
        <v/>
      </c>
      <c r="O104" t="str">
        <f t="shared" si="16"/>
        <v/>
      </c>
      <c r="P104" t="str">
        <f t="shared" si="16"/>
        <v/>
      </c>
      <c r="Q104" t="str">
        <f t="shared" si="16"/>
        <v/>
      </c>
      <c r="R104">
        <f t="shared" si="15"/>
        <v>1.3406882655295957</v>
      </c>
      <c r="S104">
        <f t="shared" si="11"/>
        <v>574.33187102285581</v>
      </c>
    </row>
    <row r="105" spans="1:19" x14ac:dyDescent="0.25">
      <c r="A105" s="8">
        <v>39661</v>
      </c>
      <c r="B105" s="9">
        <f t="shared" si="12"/>
        <v>8</v>
      </c>
      <c r="C105">
        <v>721</v>
      </c>
      <c r="D105">
        <f t="shared" si="13"/>
        <v>557.20833333333326</v>
      </c>
      <c r="E105">
        <f t="shared" si="14"/>
        <v>1.2939504972706202</v>
      </c>
      <c r="F105" t="str">
        <f t="shared" si="10"/>
        <v/>
      </c>
      <c r="G105" t="str">
        <f t="shared" si="16"/>
        <v/>
      </c>
      <c r="H105" t="str">
        <f t="shared" si="16"/>
        <v/>
      </c>
      <c r="I105" t="str">
        <f t="shared" si="16"/>
        <v/>
      </c>
      <c r="J105" t="str">
        <f t="shared" si="16"/>
        <v/>
      </c>
      <c r="K105" t="str">
        <f t="shared" si="16"/>
        <v/>
      </c>
      <c r="L105" t="str">
        <f t="shared" si="16"/>
        <v/>
      </c>
      <c r="M105">
        <f t="shared" si="16"/>
        <v>1.2939504972706202</v>
      </c>
      <c r="N105" t="str">
        <f t="shared" si="16"/>
        <v/>
      </c>
      <c r="O105" t="str">
        <f t="shared" si="16"/>
        <v/>
      </c>
      <c r="P105" t="str">
        <f t="shared" si="16"/>
        <v/>
      </c>
      <c r="Q105" t="str">
        <f t="shared" si="16"/>
        <v/>
      </c>
      <c r="R105">
        <f t="shared" si="15"/>
        <v>1.2923544769725261</v>
      </c>
      <c r="S105">
        <f t="shared" si="11"/>
        <v>557.89646946479957</v>
      </c>
    </row>
    <row r="106" spans="1:19" x14ac:dyDescent="0.25">
      <c r="A106" s="8">
        <v>39692</v>
      </c>
      <c r="B106" s="9">
        <f t="shared" si="12"/>
        <v>9</v>
      </c>
      <c r="C106">
        <v>573</v>
      </c>
      <c r="D106">
        <f t="shared" si="13"/>
        <v>572.375</v>
      </c>
      <c r="E106">
        <f t="shared" si="14"/>
        <v>1.001091941471937</v>
      </c>
      <c r="F106" t="str">
        <f t="shared" si="10"/>
        <v/>
      </c>
      <c r="G106" t="str">
        <f t="shared" si="16"/>
        <v/>
      </c>
      <c r="H106" t="str">
        <f t="shared" si="16"/>
        <v/>
      </c>
      <c r="I106" t="str">
        <f t="shared" si="16"/>
        <v/>
      </c>
      <c r="J106" t="str">
        <f t="shared" si="16"/>
        <v/>
      </c>
      <c r="K106" t="str">
        <f t="shared" si="16"/>
        <v/>
      </c>
      <c r="L106" t="str">
        <f t="shared" si="16"/>
        <v/>
      </c>
      <c r="M106" t="str">
        <f t="shared" si="16"/>
        <v/>
      </c>
      <c r="N106">
        <f t="shared" si="16"/>
        <v>1.001091941471937</v>
      </c>
      <c r="O106" t="str">
        <f t="shared" si="16"/>
        <v/>
      </c>
      <c r="P106" t="str">
        <f t="shared" si="16"/>
        <v/>
      </c>
      <c r="Q106" t="str">
        <f t="shared" si="16"/>
        <v/>
      </c>
      <c r="R106">
        <f t="shared" si="15"/>
        <v>1.0277851854043913</v>
      </c>
      <c r="S106">
        <f t="shared" si="11"/>
        <v>557.50949530815433</v>
      </c>
    </row>
    <row r="107" spans="1:19" x14ac:dyDescent="0.25">
      <c r="A107" s="8">
        <v>39722</v>
      </c>
      <c r="B107" s="9">
        <f t="shared" si="12"/>
        <v>10</v>
      </c>
      <c r="C107">
        <v>552</v>
      </c>
      <c r="D107">
        <f t="shared" si="13"/>
        <v>588</v>
      </c>
      <c r="E107">
        <f t="shared" si="14"/>
        <v>0.93877551020408168</v>
      </c>
      <c r="F107" t="str">
        <f t="shared" si="10"/>
        <v/>
      </c>
      <c r="G107" t="str">
        <f t="shared" si="16"/>
        <v/>
      </c>
      <c r="H107" t="str">
        <f t="shared" si="16"/>
        <v/>
      </c>
      <c r="I107" t="str">
        <f t="shared" si="16"/>
        <v/>
      </c>
      <c r="J107" t="str">
        <f t="shared" si="16"/>
        <v/>
      </c>
      <c r="K107" t="str">
        <f t="shared" si="16"/>
        <v/>
      </c>
      <c r="L107" t="str">
        <f t="shared" si="16"/>
        <v/>
      </c>
      <c r="M107" t="str">
        <f t="shared" si="16"/>
        <v/>
      </c>
      <c r="N107" t="str">
        <f t="shared" si="16"/>
        <v/>
      </c>
      <c r="O107">
        <f t="shared" si="16"/>
        <v>0.93877551020408168</v>
      </c>
      <c r="P107" t="str">
        <f t="shared" si="16"/>
        <v/>
      </c>
      <c r="Q107" t="str">
        <f t="shared" si="16"/>
        <v/>
      </c>
      <c r="R107">
        <f t="shared" si="15"/>
        <v>0.95789782990320982</v>
      </c>
      <c r="S107">
        <f t="shared" si="11"/>
        <v>576.2618755027105</v>
      </c>
    </row>
    <row r="108" spans="1:19" x14ac:dyDescent="0.25">
      <c r="A108" s="8">
        <v>39753</v>
      </c>
      <c r="B108" s="9">
        <f t="shared" si="12"/>
        <v>11</v>
      </c>
      <c r="C108">
        <v>527</v>
      </c>
      <c r="D108">
        <f t="shared" si="13"/>
        <v>606.45833333333326</v>
      </c>
      <c r="E108">
        <f t="shared" si="14"/>
        <v>0.86897973205084178</v>
      </c>
      <c r="F108" t="str">
        <f t="shared" si="10"/>
        <v/>
      </c>
      <c r="G108" t="str">
        <f t="shared" si="16"/>
        <v/>
      </c>
      <c r="H108" t="str">
        <f t="shared" si="16"/>
        <v/>
      </c>
      <c r="I108" t="str">
        <f t="shared" si="16"/>
        <v/>
      </c>
      <c r="J108" t="str">
        <f t="shared" si="16"/>
        <v/>
      </c>
      <c r="K108" t="str">
        <f t="shared" si="16"/>
        <v/>
      </c>
      <c r="L108" t="str">
        <f t="shared" si="16"/>
        <v/>
      </c>
      <c r="M108" t="str">
        <f t="shared" ref="G108:Q131" si="17">IF($B108=M$1,$E108, "")</f>
        <v/>
      </c>
      <c r="N108" t="str">
        <f t="shared" si="17"/>
        <v/>
      </c>
      <c r="O108" t="str">
        <f t="shared" si="17"/>
        <v/>
      </c>
      <c r="P108">
        <f t="shared" si="17"/>
        <v>0.86897973205084178</v>
      </c>
      <c r="Q108" t="str">
        <f t="shared" si="17"/>
        <v/>
      </c>
      <c r="R108">
        <f t="shared" si="15"/>
        <v>0.92817345398738293</v>
      </c>
      <c r="S108">
        <f t="shared" si="11"/>
        <v>567.78180601485258</v>
      </c>
    </row>
    <row r="109" spans="1:19" x14ac:dyDescent="0.25">
      <c r="A109" s="8">
        <v>39783</v>
      </c>
      <c r="B109" s="9">
        <f t="shared" si="12"/>
        <v>12</v>
      </c>
      <c r="C109">
        <v>511</v>
      </c>
      <c r="D109">
        <f t="shared" si="13"/>
        <v>630.54166666666663</v>
      </c>
      <c r="E109">
        <f t="shared" si="14"/>
        <v>0.81041432630674692</v>
      </c>
      <c r="F109" t="str">
        <f t="shared" si="10"/>
        <v/>
      </c>
      <c r="G109" t="str">
        <f t="shared" si="17"/>
        <v/>
      </c>
      <c r="H109" t="str">
        <f t="shared" si="17"/>
        <v/>
      </c>
      <c r="I109" t="str">
        <f t="shared" si="17"/>
        <v/>
      </c>
      <c r="J109" t="str">
        <f t="shared" si="17"/>
        <v/>
      </c>
      <c r="K109" t="str">
        <f t="shared" si="17"/>
        <v/>
      </c>
      <c r="L109" t="str">
        <f t="shared" si="17"/>
        <v/>
      </c>
      <c r="M109" t="str">
        <f t="shared" si="17"/>
        <v/>
      </c>
      <c r="N109" t="str">
        <f t="shared" si="17"/>
        <v/>
      </c>
      <c r="O109" t="str">
        <f t="shared" si="17"/>
        <v/>
      </c>
      <c r="P109" t="str">
        <f t="shared" si="17"/>
        <v/>
      </c>
      <c r="Q109">
        <f t="shared" si="17"/>
        <v>0.81041432630674692</v>
      </c>
      <c r="R109">
        <f t="shared" si="15"/>
        <v>0.89147002091043093</v>
      </c>
      <c r="S109">
        <f t="shared" si="11"/>
        <v>573.21052644948327</v>
      </c>
    </row>
    <row r="110" spans="1:19" x14ac:dyDescent="0.25">
      <c r="A110" s="8">
        <v>39814</v>
      </c>
      <c r="B110" s="9">
        <f t="shared" si="12"/>
        <v>1</v>
      </c>
      <c r="C110">
        <v>652</v>
      </c>
      <c r="D110">
        <f t="shared" si="13"/>
        <v>659.54166666666663</v>
      </c>
      <c r="E110">
        <f t="shared" si="14"/>
        <v>0.98856529155347783</v>
      </c>
      <c r="F110">
        <f t="shared" si="10"/>
        <v>0.98856529155347783</v>
      </c>
      <c r="G110" t="str">
        <f t="shared" si="17"/>
        <v/>
      </c>
      <c r="H110" t="str">
        <f t="shared" si="17"/>
        <v/>
      </c>
      <c r="I110" t="str">
        <f t="shared" si="17"/>
        <v/>
      </c>
      <c r="J110" t="str">
        <f t="shared" si="17"/>
        <v/>
      </c>
      <c r="K110" t="str">
        <f t="shared" si="17"/>
        <v/>
      </c>
      <c r="L110" t="str">
        <f t="shared" si="17"/>
        <v/>
      </c>
      <c r="M110" t="str">
        <f t="shared" si="17"/>
        <v/>
      </c>
      <c r="N110" t="str">
        <f t="shared" si="17"/>
        <v/>
      </c>
      <c r="O110" t="str">
        <f t="shared" si="17"/>
        <v/>
      </c>
      <c r="P110" t="str">
        <f t="shared" si="17"/>
        <v/>
      </c>
      <c r="Q110" t="str">
        <f t="shared" si="17"/>
        <v/>
      </c>
      <c r="R110">
        <f t="shared" si="15"/>
        <v>1.0112057123501712</v>
      </c>
      <c r="S110">
        <f t="shared" si="11"/>
        <v>644.77483862770987</v>
      </c>
    </row>
    <row r="111" spans="1:19" x14ac:dyDescent="0.25">
      <c r="A111" s="8">
        <v>39845</v>
      </c>
      <c r="B111" s="9">
        <f t="shared" si="12"/>
        <v>2</v>
      </c>
      <c r="C111">
        <v>563</v>
      </c>
      <c r="D111">
        <f t="shared" si="13"/>
        <v>691.04166666666663</v>
      </c>
      <c r="E111">
        <f t="shared" si="14"/>
        <v>0.81471208923726268</v>
      </c>
      <c r="F111" t="str">
        <f t="shared" si="10"/>
        <v/>
      </c>
      <c r="G111">
        <f t="shared" si="17"/>
        <v>0.81471208923726268</v>
      </c>
      <c r="H111" t="str">
        <f t="shared" si="17"/>
        <v/>
      </c>
      <c r="I111" t="str">
        <f t="shared" si="17"/>
        <v/>
      </c>
      <c r="J111" t="str">
        <f t="shared" si="17"/>
        <v/>
      </c>
      <c r="K111" t="str">
        <f t="shared" si="17"/>
        <v/>
      </c>
      <c r="L111" t="str">
        <f t="shared" si="17"/>
        <v/>
      </c>
      <c r="M111" t="str">
        <f t="shared" si="17"/>
        <v/>
      </c>
      <c r="N111" t="str">
        <f t="shared" si="17"/>
        <v/>
      </c>
      <c r="O111" t="str">
        <f t="shared" si="17"/>
        <v/>
      </c>
      <c r="P111" t="str">
        <f t="shared" si="17"/>
        <v/>
      </c>
      <c r="Q111" t="str">
        <f t="shared" si="17"/>
        <v/>
      </c>
      <c r="R111">
        <f t="shared" si="15"/>
        <v>0.88817803253104943</v>
      </c>
      <c r="S111">
        <f t="shared" si="11"/>
        <v>633.88192387016545</v>
      </c>
    </row>
    <row r="112" spans="1:19" x14ac:dyDescent="0.25">
      <c r="A112" s="8">
        <v>39873</v>
      </c>
      <c r="B112" s="9">
        <f t="shared" si="12"/>
        <v>3</v>
      </c>
      <c r="C112">
        <v>598</v>
      </c>
      <c r="D112">
        <f t="shared" si="13"/>
        <v>722.375</v>
      </c>
      <c r="E112">
        <f t="shared" si="14"/>
        <v>0.82782488319778513</v>
      </c>
      <c r="F112" t="str">
        <f t="shared" si="10"/>
        <v/>
      </c>
      <c r="G112" t="str">
        <f t="shared" si="17"/>
        <v/>
      </c>
      <c r="H112">
        <f t="shared" si="17"/>
        <v>0.82782488319778513</v>
      </c>
      <c r="I112" t="str">
        <f t="shared" si="17"/>
        <v/>
      </c>
      <c r="J112" t="str">
        <f t="shared" si="17"/>
        <v/>
      </c>
      <c r="K112" t="str">
        <f t="shared" si="17"/>
        <v/>
      </c>
      <c r="L112" t="str">
        <f t="shared" si="17"/>
        <v/>
      </c>
      <c r="M112" t="str">
        <f t="shared" si="17"/>
        <v/>
      </c>
      <c r="N112" t="str">
        <f t="shared" si="17"/>
        <v/>
      </c>
      <c r="O112" t="str">
        <f t="shared" si="17"/>
        <v/>
      </c>
      <c r="P112" t="str">
        <f t="shared" si="17"/>
        <v/>
      </c>
      <c r="Q112" t="str">
        <f t="shared" si="17"/>
        <v/>
      </c>
      <c r="R112">
        <f t="shared" si="15"/>
        <v>0.90207326214817818</v>
      </c>
      <c r="S112">
        <f t="shared" si="11"/>
        <v>662.91733176519995</v>
      </c>
    </row>
    <row r="113" spans="1:19" x14ac:dyDescent="0.25">
      <c r="A113" s="8">
        <v>39904</v>
      </c>
      <c r="B113" s="9">
        <f t="shared" si="12"/>
        <v>4</v>
      </c>
      <c r="C113">
        <v>575</v>
      </c>
      <c r="D113">
        <f t="shared" si="13"/>
        <v>746.875</v>
      </c>
      <c r="E113">
        <f t="shared" si="14"/>
        <v>0.76987447698744771</v>
      </c>
      <c r="F113" t="str">
        <f t="shared" si="10"/>
        <v/>
      </c>
      <c r="G113" t="str">
        <f t="shared" si="17"/>
        <v/>
      </c>
      <c r="H113" t="str">
        <f t="shared" si="17"/>
        <v/>
      </c>
      <c r="I113">
        <f t="shared" si="17"/>
        <v>0.76987447698744771</v>
      </c>
      <c r="J113" t="str">
        <f t="shared" si="17"/>
        <v/>
      </c>
      <c r="K113" t="str">
        <f t="shared" si="17"/>
        <v/>
      </c>
      <c r="L113" t="str">
        <f t="shared" si="17"/>
        <v/>
      </c>
      <c r="M113" t="str">
        <f t="shared" si="17"/>
        <v/>
      </c>
      <c r="N113" t="str">
        <f t="shared" si="17"/>
        <v/>
      </c>
      <c r="O113" t="str">
        <f t="shared" si="17"/>
        <v/>
      </c>
      <c r="P113" t="str">
        <f t="shared" si="17"/>
        <v/>
      </c>
      <c r="Q113" t="str">
        <f t="shared" si="17"/>
        <v/>
      </c>
      <c r="R113">
        <f t="shared" si="15"/>
        <v>0.8278598044138995</v>
      </c>
      <c r="S113">
        <f t="shared" si="11"/>
        <v>694.56204653767816</v>
      </c>
    </row>
    <row r="114" spans="1:19" x14ac:dyDescent="0.25">
      <c r="A114" s="8">
        <v>39934</v>
      </c>
      <c r="B114" s="9">
        <f t="shared" si="12"/>
        <v>5</v>
      </c>
      <c r="C114">
        <v>702</v>
      </c>
      <c r="D114">
        <f t="shared" si="13"/>
        <v>765.79166666666663</v>
      </c>
      <c r="E114">
        <f t="shared" si="14"/>
        <v>0.91669840578921602</v>
      </c>
      <c r="F114" t="str">
        <f t="shared" si="10"/>
        <v/>
      </c>
      <c r="G114" t="str">
        <f t="shared" si="17"/>
        <v/>
      </c>
      <c r="H114" t="str">
        <f t="shared" si="17"/>
        <v/>
      </c>
      <c r="I114" t="str">
        <f t="shared" si="17"/>
        <v/>
      </c>
      <c r="J114">
        <f t="shared" si="17"/>
        <v>0.91669840578921602</v>
      </c>
      <c r="K114" t="str">
        <f t="shared" si="17"/>
        <v/>
      </c>
      <c r="L114" t="str">
        <f t="shared" si="17"/>
        <v/>
      </c>
      <c r="M114" t="str">
        <f t="shared" si="17"/>
        <v/>
      </c>
      <c r="N114" t="str">
        <f t="shared" si="17"/>
        <v/>
      </c>
      <c r="O114" t="str">
        <f t="shared" si="17"/>
        <v/>
      </c>
      <c r="P114" t="str">
        <f t="shared" si="17"/>
        <v/>
      </c>
      <c r="Q114" t="str">
        <f t="shared" si="17"/>
        <v/>
      </c>
      <c r="R114">
        <f t="shared" si="15"/>
        <v>0.88590789659293523</v>
      </c>
      <c r="S114">
        <f t="shared" si="11"/>
        <v>792.40743050127833</v>
      </c>
    </row>
    <row r="115" spans="1:19" x14ac:dyDescent="0.25">
      <c r="A115" s="8">
        <v>39965</v>
      </c>
      <c r="B115" s="9">
        <f t="shared" si="12"/>
        <v>6</v>
      </c>
      <c r="C115">
        <v>991</v>
      </c>
      <c r="D115">
        <f t="shared" si="13"/>
        <v>786.91666666666663</v>
      </c>
      <c r="E115">
        <f t="shared" si="14"/>
        <v>1.2593455469660066</v>
      </c>
      <c r="F115" t="str">
        <f t="shared" si="10"/>
        <v/>
      </c>
      <c r="G115" t="str">
        <f t="shared" si="17"/>
        <v/>
      </c>
      <c r="H115" t="str">
        <f t="shared" si="17"/>
        <v/>
      </c>
      <c r="I115" t="str">
        <f t="shared" si="17"/>
        <v/>
      </c>
      <c r="J115" t="str">
        <f t="shared" si="17"/>
        <v/>
      </c>
      <c r="K115">
        <f t="shared" si="17"/>
        <v>1.2593455469660066</v>
      </c>
      <c r="L115" t="str">
        <f t="shared" si="17"/>
        <v/>
      </c>
      <c r="M115" t="str">
        <f t="shared" si="17"/>
        <v/>
      </c>
      <c r="N115" t="str">
        <f t="shared" si="17"/>
        <v/>
      </c>
      <c r="O115" t="str">
        <f t="shared" si="17"/>
        <v/>
      </c>
      <c r="P115" t="str">
        <f t="shared" si="17"/>
        <v/>
      </c>
      <c r="Q115" t="str">
        <f t="shared" si="17"/>
        <v/>
      </c>
      <c r="R115">
        <f t="shared" si="15"/>
        <v>1.1923572304821319</v>
      </c>
      <c r="S115">
        <f t="shared" si="11"/>
        <v>831.12675854641918</v>
      </c>
    </row>
    <row r="116" spans="1:19" x14ac:dyDescent="0.25">
      <c r="A116" s="8">
        <v>39995</v>
      </c>
      <c r="B116" s="9">
        <f t="shared" si="12"/>
        <v>7</v>
      </c>
      <c r="C116">
        <v>1129</v>
      </c>
      <c r="D116">
        <f t="shared" si="13"/>
        <v>811.16666666666663</v>
      </c>
      <c r="E116">
        <f t="shared" si="14"/>
        <v>1.3918224779124717</v>
      </c>
      <c r="F116" t="str">
        <f t="shared" si="10"/>
        <v/>
      </c>
      <c r="G116" t="str">
        <f t="shared" si="17"/>
        <v/>
      </c>
      <c r="H116" t="str">
        <f t="shared" si="17"/>
        <v/>
      </c>
      <c r="I116" t="str">
        <f t="shared" si="17"/>
        <v/>
      </c>
      <c r="J116" t="str">
        <f t="shared" si="17"/>
        <v/>
      </c>
      <c r="K116" t="str">
        <f t="shared" si="17"/>
        <v/>
      </c>
      <c r="L116">
        <f t="shared" si="17"/>
        <v>1.3918224779124717</v>
      </c>
      <c r="M116" t="str">
        <f t="shared" si="17"/>
        <v/>
      </c>
      <c r="N116" t="str">
        <f t="shared" si="17"/>
        <v/>
      </c>
      <c r="O116" t="str">
        <f t="shared" si="17"/>
        <v/>
      </c>
      <c r="P116" t="str">
        <f t="shared" si="17"/>
        <v/>
      </c>
      <c r="Q116" t="str">
        <f t="shared" si="17"/>
        <v/>
      </c>
      <c r="R116">
        <f t="shared" si="15"/>
        <v>1.3406882655295957</v>
      </c>
      <c r="S116">
        <f t="shared" si="11"/>
        <v>842.10478231792752</v>
      </c>
    </row>
    <row r="117" spans="1:19" x14ac:dyDescent="0.25">
      <c r="A117" s="8">
        <v>40026</v>
      </c>
      <c r="B117" s="9">
        <f t="shared" si="12"/>
        <v>8</v>
      </c>
      <c r="C117">
        <v>1118</v>
      </c>
      <c r="D117">
        <f t="shared" si="13"/>
        <v>836.70833333333326</v>
      </c>
      <c r="E117">
        <f t="shared" si="14"/>
        <v>1.3361884368308352</v>
      </c>
      <c r="F117" t="str">
        <f t="shared" si="10"/>
        <v/>
      </c>
      <c r="G117" t="str">
        <f t="shared" si="17"/>
        <v/>
      </c>
      <c r="H117" t="str">
        <f t="shared" si="17"/>
        <v/>
      </c>
      <c r="I117" t="str">
        <f t="shared" si="17"/>
        <v/>
      </c>
      <c r="J117" t="str">
        <f t="shared" si="17"/>
        <v/>
      </c>
      <c r="K117" t="str">
        <f t="shared" si="17"/>
        <v/>
      </c>
      <c r="L117" t="str">
        <f t="shared" si="17"/>
        <v/>
      </c>
      <c r="M117">
        <f t="shared" si="17"/>
        <v>1.3361884368308352</v>
      </c>
      <c r="N117" t="str">
        <f t="shared" si="17"/>
        <v/>
      </c>
      <c r="O117" t="str">
        <f t="shared" si="17"/>
        <v/>
      </c>
      <c r="P117" t="str">
        <f t="shared" si="17"/>
        <v/>
      </c>
      <c r="Q117" t="str">
        <f t="shared" si="17"/>
        <v/>
      </c>
      <c r="R117">
        <f t="shared" si="15"/>
        <v>1.2923544769725261</v>
      </c>
      <c r="S117">
        <f t="shared" si="11"/>
        <v>865.08772935041054</v>
      </c>
    </row>
    <row r="118" spans="1:19" x14ac:dyDescent="0.25">
      <c r="A118" s="8">
        <v>40057</v>
      </c>
      <c r="B118" s="9">
        <f t="shared" si="12"/>
        <v>9</v>
      </c>
      <c r="C118">
        <v>928</v>
      </c>
      <c r="D118">
        <f t="shared" si="13"/>
        <v>861.70833333333326</v>
      </c>
      <c r="E118">
        <f t="shared" si="14"/>
        <v>1.0769305159324984</v>
      </c>
      <c r="F118" t="str">
        <f t="shared" si="10"/>
        <v/>
      </c>
      <c r="G118" t="str">
        <f t="shared" si="17"/>
        <v/>
      </c>
      <c r="H118" t="str">
        <f t="shared" si="17"/>
        <v/>
      </c>
      <c r="I118" t="str">
        <f t="shared" si="17"/>
        <v/>
      </c>
      <c r="J118" t="str">
        <f t="shared" si="17"/>
        <v/>
      </c>
      <c r="K118" t="str">
        <f t="shared" si="17"/>
        <v/>
      </c>
      <c r="L118" t="str">
        <f t="shared" si="17"/>
        <v/>
      </c>
      <c r="M118" t="str">
        <f t="shared" si="17"/>
        <v/>
      </c>
      <c r="N118">
        <f t="shared" si="17"/>
        <v>1.0769305159324984</v>
      </c>
      <c r="O118" t="str">
        <f t="shared" si="17"/>
        <v/>
      </c>
      <c r="P118" t="str">
        <f t="shared" si="17"/>
        <v/>
      </c>
      <c r="Q118" t="str">
        <f t="shared" si="17"/>
        <v/>
      </c>
      <c r="R118">
        <f t="shared" si="15"/>
        <v>1.0277851854043913</v>
      </c>
      <c r="S118">
        <f t="shared" si="11"/>
        <v>902.91241124950648</v>
      </c>
    </row>
    <row r="119" spans="1:19" x14ac:dyDescent="0.25">
      <c r="A119" s="8">
        <v>40087</v>
      </c>
      <c r="B119" s="9">
        <f t="shared" si="12"/>
        <v>10</v>
      </c>
      <c r="C119">
        <v>785</v>
      </c>
      <c r="D119">
        <f t="shared" si="13"/>
        <v>881.58333333333326</v>
      </c>
      <c r="E119">
        <f t="shared" si="14"/>
        <v>0.89044333112770591</v>
      </c>
      <c r="F119" t="str">
        <f t="shared" si="10"/>
        <v/>
      </c>
      <c r="G119" t="str">
        <f t="shared" si="17"/>
        <v/>
      </c>
      <c r="H119" t="str">
        <f t="shared" si="17"/>
        <v/>
      </c>
      <c r="I119" t="str">
        <f t="shared" si="17"/>
        <v/>
      </c>
      <c r="J119" t="str">
        <f t="shared" si="17"/>
        <v/>
      </c>
      <c r="K119" t="str">
        <f t="shared" si="17"/>
        <v/>
      </c>
      <c r="L119" t="str">
        <f t="shared" si="17"/>
        <v/>
      </c>
      <c r="M119" t="str">
        <f t="shared" si="17"/>
        <v/>
      </c>
      <c r="N119" t="str">
        <f t="shared" si="17"/>
        <v/>
      </c>
      <c r="O119">
        <f t="shared" si="17"/>
        <v>0.89044333112770591</v>
      </c>
      <c r="P119" t="str">
        <f t="shared" si="17"/>
        <v/>
      </c>
      <c r="Q119" t="str">
        <f t="shared" si="17"/>
        <v/>
      </c>
      <c r="R119">
        <f t="shared" si="15"/>
        <v>0.95789782990320982</v>
      </c>
      <c r="S119">
        <f t="shared" si="11"/>
        <v>819.50284831454292</v>
      </c>
    </row>
    <row r="120" spans="1:19" x14ac:dyDescent="0.25">
      <c r="A120" s="8">
        <v>40118</v>
      </c>
      <c r="B120" s="9">
        <f t="shared" si="12"/>
        <v>11</v>
      </c>
      <c r="C120">
        <v>748</v>
      </c>
      <c r="D120">
        <f t="shared" si="13"/>
        <v>892.54166666666663</v>
      </c>
      <c r="E120">
        <f t="shared" si="14"/>
        <v>0.83805611315998318</v>
      </c>
      <c r="F120" t="str">
        <f t="shared" si="10"/>
        <v/>
      </c>
      <c r="G120" t="str">
        <f t="shared" si="17"/>
        <v/>
      </c>
      <c r="H120" t="str">
        <f t="shared" si="17"/>
        <v/>
      </c>
      <c r="I120" t="str">
        <f t="shared" si="17"/>
        <v/>
      </c>
      <c r="J120" t="str">
        <f t="shared" si="17"/>
        <v/>
      </c>
      <c r="K120" t="str">
        <f t="shared" si="17"/>
        <v/>
      </c>
      <c r="L120" t="str">
        <f t="shared" si="17"/>
        <v/>
      </c>
      <c r="M120" t="str">
        <f t="shared" si="17"/>
        <v/>
      </c>
      <c r="N120" t="str">
        <f t="shared" si="17"/>
        <v/>
      </c>
      <c r="O120" t="str">
        <f t="shared" si="17"/>
        <v/>
      </c>
      <c r="P120">
        <f t="shared" si="17"/>
        <v>0.83805611315998318</v>
      </c>
      <c r="Q120" t="str">
        <f t="shared" si="17"/>
        <v/>
      </c>
      <c r="R120">
        <f t="shared" si="15"/>
        <v>0.92817345398738293</v>
      </c>
      <c r="S120">
        <f t="shared" si="11"/>
        <v>805.8838536985005</v>
      </c>
    </row>
    <row r="121" spans="1:19" x14ac:dyDescent="0.25">
      <c r="A121" s="8">
        <v>40148</v>
      </c>
      <c r="B121" s="9">
        <f t="shared" si="12"/>
        <v>12</v>
      </c>
      <c r="C121">
        <v>797</v>
      </c>
      <c r="D121">
        <f t="shared" si="13"/>
        <v>894.375</v>
      </c>
      <c r="E121">
        <f t="shared" si="14"/>
        <v>0.89112508735150242</v>
      </c>
      <c r="F121" t="str">
        <f t="shared" si="10"/>
        <v/>
      </c>
      <c r="G121" t="str">
        <f t="shared" si="17"/>
        <v/>
      </c>
      <c r="H121" t="str">
        <f t="shared" si="17"/>
        <v/>
      </c>
      <c r="I121" t="str">
        <f t="shared" si="17"/>
        <v/>
      </c>
      <c r="J121" t="str">
        <f t="shared" si="17"/>
        <v/>
      </c>
      <c r="K121" t="str">
        <f t="shared" si="17"/>
        <v/>
      </c>
      <c r="L121" t="str">
        <f t="shared" si="17"/>
        <v/>
      </c>
      <c r="M121" t="str">
        <f t="shared" si="17"/>
        <v/>
      </c>
      <c r="N121" t="str">
        <f t="shared" si="17"/>
        <v/>
      </c>
      <c r="O121" t="str">
        <f t="shared" si="17"/>
        <v/>
      </c>
      <c r="P121" t="str">
        <f t="shared" si="17"/>
        <v/>
      </c>
      <c r="Q121">
        <f t="shared" si="17"/>
        <v>0.89112508735150242</v>
      </c>
      <c r="R121">
        <f t="shared" si="15"/>
        <v>0.89147002091043093</v>
      </c>
      <c r="S121">
        <f t="shared" si="11"/>
        <v>894.02894242708066</v>
      </c>
    </row>
    <row r="122" spans="1:19" x14ac:dyDescent="0.25">
      <c r="A122" s="8">
        <v>40179</v>
      </c>
      <c r="B122" s="9">
        <f t="shared" si="12"/>
        <v>1</v>
      </c>
      <c r="C122">
        <v>948</v>
      </c>
      <c r="D122">
        <f t="shared" si="13"/>
        <v>895.75</v>
      </c>
      <c r="E122">
        <f t="shared" si="14"/>
        <v>1.0583310075355847</v>
      </c>
      <c r="F122">
        <f t="shared" si="10"/>
        <v>1.0583310075355847</v>
      </c>
      <c r="G122" t="str">
        <f t="shared" si="17"/>
        <v/>
      </c>
      <c r="H122" t="str">
        <f t="shared" si="17"/>
        <v/>
      </c>
      <c r="I122" t="str">
        <f t="shared" si="17"/>
        <v/>
      </c>
      <c r="J122" t="str">
        <f t="shared" si="17"/>
        <v/>
      </c>
      <c r="K122" t="str">
        <f t="shared" si="17"/>
        <v/>
      </c>
      <c r="L122" t="str">
        <f t="shared" si="17"/>
        <v/>
      </c>
      <c r="M122" t="str">
        <f t="shared" si="17"/>
        <v/>
      </c>
      <c r="N122" t="str">
        <f t="shared" si="17"/>
        <v/>
      </c>
      <c r="O122" t="str">
        <f t="shared" si="17"/>
        <v/>
      </c>
      <c r="P122" t="str">
        <f t="shared" si="17"/>
        <v/>
      </c>
      <c r="Q122" t="str">
        <f t="shared" si="17"/>
        <v/>
      </c>
      <c r="R122">
        <f t="shared" si="15"/>
        <v>1.0112057123501712</v>
      </c>
      <c r="S122">
        <f t="shared" si="11"/>
        <v>937.49470401697681</v>
      </c>
    </row>
    <row r="123" spans="1:19" x14ac:dyDescent="0.25">
      <c r="A123" s="8">
        <v>40210</v>
      </c>
      <c r="B123" s="9">
        <f t="shared" si="12"/>
        <v>2</v>
      </c>
      <c r="C123">
        <v>880</v>
      </c>
      <c r="D123">
        <f t="shared" si="13"/>
        <v>905.41666666666663</v>
      </c>
      <c r="E123">
        <f t="shared" si="14"/>
        <v>0.97192820984813622</v>
      </c>
      <c r="F123" t="str">
        <f t="shared" si="10"/>
        <v/>
      </c>
      <c r="G123">
        <f t="shared" si="17"/>
        <v>0.97192820984813622</v>
      </c>
      <c r="H123" t="str">
        <f t="shared" si="17"/>
        <v/>
      </c>
      <c r="I123" t="str">
        <f t="shared" si="17"/>
        <v/>
      </c>
      <c r="J123" t="str">
        <f t="shared" si="17"/>
        <v/>
      </c>
      <c r="K123" t="str">
        <f t="shared" si="17"/>
        <v/>
      </c>
      <c r="L123" t="str">
        <f t="shared" si="17"/>
        <v/>
      </c>
      <c r="M123" t="str">
        <f t="shared" si="17"/>
        <v/>
      </c>
      <c r="N123" t="str">
        <f t="shared" si="17"/>
        <v/>
      </c>
      <c r="O123" t="str">
        <f t="shared" si="17"/>
        <v/>
      </c>
      <c r="P123" t="str">
        <f t="shared" si="17"/>
        <v/>
      </c>
      <c r="Q123" t="str">
        <f t="shared" si="17"/>
        <v/>
      </c>
      <c r="R123">
        <f t="shared" si="15"/>
        <v>0.88817803253104943</v>
      </c>
      <c r="S123">
        <f t="shared" si="11"/>
        <v>990.79234992139538</v>
      </c>
    </row>
    <row r="124" spans="1:19" x14ac:dyDescent="0.25">
      <c r="A124" s="8">
        <v>40238</v>
      </c>
      <c r="B124" s="9">
        <f t="shared" si="12"/>
        <v>3</v>
      </c>
      <c r="C124">
        <v>881</v>
      </c>
      <c r="D124">
        <f t="shared" si="13"/>
        <v>919.375</v>
      </c>
      <c r="E124">
        <f t="shared" si="14"/>
        <v>0.9582596872875595</v>
      </c>
      <c r="F124" t="str">
        <f t="shared" si="10"/>
        <v/>
      </c>
      <c r="G124" t="str">
        <f t="shared" si="17"/>
        <v/>
      </c>
      <c r="H124">
        <f t="shared" si="17"/>
        <v>0.9582596872875595</v>
      </c>
      <c r="I124" t="str">
        <f t="shared" si="17"/>
        <v/>
      </c>
      <c r="J124" t="str">
        <f t="shared" si="17"/>
        <v/>
      </c>
      <c r="K124" t="str">
        <f t="shared" si="17"/>
        <v/>
      </c>
      <c r="L124" t="str">
        <f t="shared" si="17"/>
        <v/>
      </c>
      <c r="M124" t="str">
        <f t="shared" si="17"/>
        <v/>
      </c>
      <c r="N124" t="str">
        <f t="shared" si="17"/>
        <v/>
      </c>
      <c r="O124" t="str">
        <f t="shared" si="17"/>
        <v/>
      </c>
      <c r="P124" t="str">
        <f t="shared" si="17"/>
        <v/>
      </c>
      <c r="Q124" t="str">
        <f t="shared" si="17"/>
        <v/>
      </c>
      <c r="R124">
        <f t="shared" si="15"/>
        <v>0.90207326214817818</v>
      </c>
      <c r="S124">
        <f t="shared" si="11"/>
        <v>976.63907907214241</v>
      </c>
    </row>
    <row r="125" spans="1:19" x14ac:dyDescent="0.25">
      <c r="A125" s="8">
        <v>40269</v>
      </c>
      <c r="B125" s="9">
        <f t="shared" si="12"/>
        <v>4</v>
      </c>
      <c r="C125">
        <v>769</v>
      </c>
      <c r="D125">
        <f t="shared" si="13"/>
        <v>932.95833333333326</v>
      </c>
      <c r="E125">
        <f t="shared" si="14"/>
        <v>0.82425974721986517</v>
      </c>
      <c r="F125" t="str">
        <f t="shared" si="10"/>
        <v/>
      </c>
      <c r="G125" t="str">
        <f t="shared" si="17"/>
        <v/>
      </c>
      <c r="H125" t="str">
        <f t="shared" si="17"/>
        <v/>
      </c>
      <c r="I125">
        <f t="shared" si="17"/>
        <v>0.82425974721986517</v>
      </c>
      <c r="J125" t="str">
        <f t="shared" si="17"/>
        <v/>
      </c>
      <c r="K125" t="str">
        <f t="shared" si="17"/>
        <v/>
      </c>
      <c r="L125" t="str">
        <f t="shared" si="17"/>
        <v/>
      </c>
      <c r="M125" t="str">
        <f t="shared" si="17"/>
        <v/>
      </c>
      <c r="N125" t="str">
        <f t="shared" si="17"/>
        <v/>
      </c>
      <c r="O125" t="str">
        <f t="shared" si="17"/>
        <v/>
      </c>
      <c r="P125" t="str">
        <f t="shared" si="17"/>
        <v/>
      </c>
      <c r="Q125" t="str">
        <f t="shared" si="17"/>
        <v/>
      </c>
      <c r="R125">
        <f t="shared" si="15"/>
        <v>0.8278598044138995</v>
      </c>
      <c r="S125">
        <f t="shared" si="11"/>
        <v>928.9012413695209</v>
      </c>
    </row>
    <row r="126" spans="1:19" x14ac:dyDescent="0.25">
      <c r="A126" s="8">
        <v>40299</v>
      </c>
      <c r="B126" s="9">
        <f t="shared" si="12"/>
        <v>5</v>
      </c>
      <c r="C126">
        <v>771</v>
      </c>
      <c r="D126">
        <f t="shared" si="13"/>
        <v>948.20833333333326</v>
      </c>
      <c r="E126">
        <f t="shared" si="14"/>
        <v>0.81311244891681689</v>
      </c>
      <c r="F126" t="str">
        <f t="shared" si="10"/>
        <v/>
      </c>
      <c r="G126" t="str">
        <f t="shared" si="17"/>
        <v/>
      </c>
      <c r="H126" t="str">
        <f t="shared" si="17"/>
        <v/>
      </c>
      <c r="I126" t="str">
        <f t="shared" si="17"/>
        <v/>
      </c>
      <c r="J126">
        <f t="shared" si="17"/>
        <v>0.81311244891681689</v>
      </c>
      <c r="K126" t="str">
        <f t="shared" si="17"/>
        <v/>
      </c>
      <c r="L126" t="str">
        <f t="shared" si="17"/>
        <v/>
      </c>
      <c r="M126" t="str">
        <f t="shared" si="17"/>
        <v/>
      </c>
      <c r="N126" t="str">
        <f t="shared" si="17"/>
        <v/>
      </c>
      <c r="O126" t="str">
        <f t="shared" si="17"/>
        <v/>
      </c>
      <c r="P126" t="str">
        <f t="shared" si="17"/>
        <v/>
      </c>
      <c r="Q126" t="str">
        <f t="shared" si="17"/>
        <v/>
      </c>
      <c r="R126">
        <f t="shared" si="15"/>
        <v>0.88590789659293523</v>
      </c>
      <c r="S126">
        <f t="shared" si="11"/>
        <v>870.29363093516463</v>
      </c>
    </row>
    <row r="127" spans="1:19" x14ac:dyDescent="0.25">
      <c r="A127" s="8">
        <v>40330</v>
      </c>
      <c r="B127" s="9">
        <f t="shared" si="12"/>
        <v>6</v>
      </c>
      <c r="C127">
        <v>966</v>
      </c>
      <c r="D127">
        <f t="shared" si="13"/>
        <v>962.95833333333326</v>
      </c>
      <c r="E127">
        <f t="shared" si="14"/>
        <v>1.0031586690320626</v>
      </c>
      <c r="F127" t="str">
        <f t="shared" ref="F127:F161" si="18">IF($B127=F$1,$E127, "")</f>
        <v/>
      </c>
      <c r="G127" t="str">
        <f t="shared" si="17"/>
        <v/>
      </c>
      <c r="H127" t="str">
        <f t="shared" si="17"/>
        <v/>
      </c>
      <c r="I127" t="str">
        <f t="shared" si="17"/>
        <v/>
      </c>
      <c r="J127" t="str">
        <f t="shared" si="17"/>
        <v/>
      </c>
      <c r="K127">
        <f t="shared" si="17"/>
        <v>1.0031586690320626</v>
      </c>
      <c r="L127" t="str">
        <f t="shared" si="17"/>
        <v/>
      </c>
      <c r="M127" t="str">
        <f t="shared" si="17"/>
        <v/>
      </c>
      <c r="N127" t="str">
        <f t="shared" si="17"/>
        <v/>
      </c>
      <c r="O127" t="str">
        <f t="shared" si="17"/>
        <v/>
      </c>
      <c r="P127" t="str">
        <f t="shared" si="17"/>
        <v/>
      </c>
      <c r="Q127" t="str">
        <f t="shared" si="17"/>
        <v/>
      </c>
      <c r="R127">
        <f t="shared" si="15"/>
        <v>1.1923572304821319</v>
      </c>
      <c r="S127">
        <f t="shared" si="11"/>
        <v>810.15988774555092</v>
      </c>
    </row>
    <row r="128" spans="1:19" x14ac:dyDescent="0.25">
      <c r="A128" s="8">
        <v>40360</v>
      </c>
      <c r="B128" s="9">
        <f t="shared" si="12"/>
        <v>7</v>
      </c>
      <c r="C128">
        <v>1187</v>
      </c>
      <c r="D128">
        <f t="shared" si="13"/>
        <v>975.16666666666663</v>
      </c>
      <c r="E128">
        <f t="shared" si="14"/>
        <v>1.2172278243035379</v>
      </c>
      <c r="F128" t="str">
        <f t="shared" si="18"/>
        <v/>
      </c>
      <c r="G128" t="str">
        <f t="shared" si="17"/>
        <v/>
      </c>
      <c r="H128" t="str">
        <f t="shared" si="17"/>
        <v/>
      </c>
      <c r="I128" t="str">
        <f t="shared" si="17"/>
        <v/>
      </c>
      <c r="J128" t="str">
        <f t="shared" si="17"/>
        <v/>
      </c>
      <c r="K128" t="str">
        <f t="shared" si="17"/>
        <v/>
      </c>
      <c r="L128">
        <f t="shared" si="17"/>
        <v>1.2172278243035379</v>
      </c>
      <c r="M128" t="str">
        <f t="shared" si="17"/>
        <v/>
      </c>
      <c r="N128" t="str">
        <f t="shared" si="17"/>
        <v/>
      </c>
      <c r="O128" t="str">
        <f t="shared" si="17"/>
        <v/>
      </c>
      <c r="P128" t="str">
        <f t="shared" si="17"/>
        <v/>
      </c>
      <c r="Q128" t="str">
        <f t="shared" si="17"/>
        <v/>
      </c>
      <c r="R128">
        <f t="shared" si="15"/>
        <v>1.3406882655295957</v>
      </c>
      <c r="S128">
        <f t="shared" si="11"/>
        <v>885.3661440313374</v>
      </c>
    </row>
    <row r="129" spans="1:19" x14ac:dyDescent="0.25">
      <c r="A129" s="8">
        <v>40391</v>
      </c>
      <c r="B129" s="9">
        <f t="shared" si="12"/>
        <v>8</v>
      </c>
      <c r="C129">
        <v>1292</v>
      </c>
      <c r="D129">
        <f t="shared" si="13"/>
        <v>982.95833333333326</v>
      </c>
      <c r="E129">
        <f t="shared" si="14"/>
        <v>1.3143995591539148</v>
      </c>
      <c r="F129" t="str">
        <f t="shared" si="18"/>
        <v/>
      </c>
      <c r="G129" t="str">
        <f t="shared" si="17"/>
        <v/>
      </c>
      <c r="H129" t="str">
        <f t="shared" si="17"/>
        <v/>
      </c>
      <c r="I129" t="str">
        <f t="shared" si="17"/>
        <v/>
      </c>
      <c r="J129" t="str">
        <f t="shared" si="17"/>
        <v/>
      </c>
      <c r="K129" t="str">
        <f t="shared" si="17"/>
        <v/>
      </c>
      <c r="L129" t="str">
        <f t="shared" si="17"/>
        <v/>
      </c>
      <c r="M129">
        <f t="shared" si="17"/>
        <v>1.3143995591539148</v>
      </c>
      <c r="N129" t="str">
        <f t="shared" si="17"/>
        <v/>
      </c>
      <c r="O129" t="str">
        <f t="shared" si="17"/>
        <v/>
      </c>
      <c r="P129" t="str">
        <f t="shared" si="17"/>
        <v/>
      </c>
      <c r="Q129" t="str">
        <f t="shared" si="17"/>
        <v/>
      </c>
      <c r="R129">
        <f t="shared" si="15"/>
        <v>1.2923544769725261</v>
      </c>
      <c r="S129">
        <f t="shared" si="11"/>
        <v>999.72571227256742</v>
      </c>
    </row>
    <row r="130" spans="1:19" x14ac:dyDescent="0.25">
      <c r="A130" s="8">
        <v>40422</v>
      </c>
      <c r="B130" s="9">
        <f t="shared" si="12"/>
        <v>9</v>
      </c>
      <c r="C130">
        <v>1089</v>
      </c>
      <c r="D130">
        <f t="shared" si="13"/>
        <v>985.20833333333326</v>
      </c>
      <c r="E130">
        <f t="shared" si="14"/>
        <v>1.1053499682808205</v>
      </c>
      <c r="F130" t="str">
        <f t="shared" si="18"/>
        <v/>
      </c>
      <c r="G130" t="str">
        <f t="shared" si="17"/>
        <v/>
      </c>
      <c r="H130" t="str">
        <f t="shared" si="17"/>
        <v/>
      </c>
      <c r="I130" t="str">
        <f t="shared" si="17"/>
        <v/>
      </c>
      <c r="J130" t="str">
        <f t="shared" si="17"/>
        <v/>
      </c>
      <c r="K130" t="str">
        <f t="shared" si="17"/>
        <v/>
      </c>
      <c r="L130" t="str">
        <f t="shared" si="17"/>
        <v/>
      </c>
      <c r="M130" t="str">
        <f t="shared" si="17"/>
        <v/>
      </c>
      <c r="N130">
        <f t="shared" si="17"/>
        <v>1.1053499682808205</v>
      </c>
      <c r="O130" t="str">
        <f t="shared" si="17"/>
        <v/>
      </c>
      <c r="P130" t="str">
        <f t="shared" si="17"/>
        <v/>
      </c>
      <c r="Q130" t="str">
        <f t="shared" si="17"/>
        <v/>
      </c>
      <c r="R130">
        <f t="shared" si="15"/>
        <v>1.0277851854043913</v>
      </c>
      <c r="S130">
        <f t="shared" si="11"/>
        <v>1059.5599308736125</v>
      </c>
    </row>
    <row r="131" spans="1:19" x14ac:dyDescent="0.25">
      <c r="A131" s="8">
        <v>40452</v>
      </c>
      <c r="B131" s="9">
        <f t="shared" si="12"/>
        <v>10</v>
      </c>
      <c r="C131">
        <v>950</v>
      </c>
      <c r="D131">
        <f t="shared" si="13"/>
        <v>985.875</v>
      </c>
      <c r="E131">
        <f t="shared" si="14"/>
        <v>0.96361100545200962</v>
      </c>
      <c r="F131" t="str">
        <f t="shared" si="18"/>
        <v/>
      </c>
      <c r="G131" t="str">
        <f t="shared" si="17"/>
        <v/>
      </c>
      <c r="H131" t="str">
        <f t="shared" si="17"/>
        <v/>
      </c>
      <c r="I131" t="str">
        <f t="shared" si="17"/>
        <v/>
      </c>
      <c r="J131" t="str">
        <f t="shared" si="17"/>
        <v/>
      </c>
      <c r="K131" t="str">
        <f t="shared" si="17"/>
        <v/>
      </c>
      <c r="L131" t="str">
        <f t="shared" si="17"/>
        <v/>
      </c>
      <c r="M131" t="str">
        <f t="shared" si="17"/>
        <v/>
      </c>
      <c r="N131" t="str">
        <f t="shared" si="17"/>
        <v/>
      </c>
      <c r="O131">
        <f t="shared" ref="G131:Q154" si="19">IF($B131=O$1,$E131, "")</f>
        <v>0.96361100545200962</v>
      </c>
      <c r="P131" t="str">
        <f t="shared" si="19"/>
        <v/>
      </c>
      <c r="Q131" t="str">
        <f t="shared" si="19"/>
        <v/>
      </c>
      <c r="R131">
        <f t="shared" si="15"/>
        <v>0.95789782990320982</v>
      </c>
      <c r="S131">
        <f t="shared" ref="S131:S167" si="20">C131/R131</f>
        <v>991.75503936154871</v>
      </c>
    </row>
    <row r="132" spans="1:19" x14ac:dyDescent="0.25">
      <c r="A132" s="8">
        <v>40483</v>
      </c>
      <c r="B132" s="9">
        <f t="shared" ref="B132:B167" si="21">IF(B131=12,1,B131+1)</f>
        <v>11</v>
      </c>
      <c r="C132">
        <v>949</v>
      </c>
      <c r="D132">
        <f t="shared" si="13"/>
        <v>988.95833333333326</v>
      </c>
      <c r="E132">
        <f t="shared" si="14"/>
        <v>0.95959553402148734</v>
      </c>
      <c r="F132" t="str">
        <f t="shared" si="18"/>
        <v/>
      </c>
      <c r="G132" t="str">
        <f t="shared" si="19"/>
        <v/>
      </c>
      <c r="H132" t="str">
        <f t="shared" si="19"/>
        <v/>
      </c>
      <c r="I132" t="str">
        <f t="shared" si="19"/>
        <v/>
      </c>
      <c r="J132" t="str">
        <f t="shared" si="19"/>
        <v/>
      </c>
      <c r="K132" t="str">
        <f t="shared" si="19"/>
        <v/>
      </c>
      <c r="L132" t="str">
        <f t="shared" si="19"/>
        <v/>
      </c>
      <c r="M132" t="str">
        <f t="shared" si="19"/>
        <v/>
      </c>
      <c r="N132" t="str">
        <f t="shared" si="19"/>
        <v/>
      </c>
      <c r="O132" t="str">
        <f t="shared" si="19"/>
        <v/>
      </c>
      <c r="P132">
        <f t="shared" si="19"/>
        <v>0.95959553402148734</v>
      </c>
      <c r="Q132" t="str">
        <f t="shared" si="19"/>
        <v/>
      </c>
      <c r="R132">
        <f t="shared" si="15"/>
        <v>0.92817345398738293</v>
      </c>
      <c r="S132">
        <f t="shared" si="20"/>
        <v>1022.4382047591938</v>
      </c>
    </row>
    <row r="133" spans="1:19" x14ac:dyDescent="0.25">
      <c r="A133" s="8">
        <v>40513</v>
      </c>
      <c r="B133" s="9">
        <f t="shared" si="21"/>
        <v>12</v>
      </c>
      <c r="C133">
        <v>950</v>
      </c>
      <c r="D133">
        <f t="shared" si="13"/>
        <v>1002.75</v>
      </c>
      <c r="E133">
        <f t="shared" si="14"/>
        <v>0.94739466467215161</v>
      </c>
      <c r="F133" t="str">
        <f t="shared" si="18"/>
        <v/>
      </c>
      <c r="G133" t="str">
        <f t="shared" si="19"/>
        <v/>
      </c>
      <c r="H133" t="str">
        <f t="shared" si="19"/>
        <v/>
      </c>
      <c r="I133" t="str">
        <f t="shared" si="19"/>
        <v/>
      </c>
      <c r="J133" t="str">
        <f t="shared" si="19"/>
        <v/>
      </c>
      <c r="K133" t="str">
        <f t="shared" si="19"/>
        <v/>
      </c>
      <c r="L133" t="str">
        <f t="shared" si="19"/>
        <v/>
      </c>
      <c r="M133" t="str">
        <f t="shared" si="19"/>
        <v/>
      </c>
      <c r="N133" t="str">
        <f t="shared" si="19"/>
        <v/>
      </c>
      <c r="O133" t="str">
        <f t="shared" si="19"/>
        <v/>
      </c>
      <c r="P133" t="str">
        <f t="shared" si="19"/>
        <v/>
      </c>
      <c r="Q133">
        <f t="shared" si="19"/>
        <v>0.94739466467215161</v>
      </c>
      <c r="R133">
        <f t="shared" si="15"/>
        <v>0.89147002091043093</v>
      </c>
      <c r="S133">
        <f t="shared" si="20"/>
        <v>1065.655577547963</v>
      </c>
    </row>
    <row r="134" spans="1:19" x14ac:dyDescent="0.25">
      <c r="A134" s="8">
        <v>40544</v>
      </c>
      <c r="B134" s="9">
        <f t="shared" si="21"/>
        <v>1</v>
      </c>
      <c r="C134">
        <v>1088</v>
      </c>
      <c r="D134">
        <f t="shared" si="13"/>
        <v>1020.5833333333333</v>
      </c>
      <c r="E134">
        <f t="shared" si="14"/>
        <v>1.0660569935494408</v>
      </c>
      <c r="F134">
        <f t="shared" si="18"/>
        <v>1.0660569935494408</v>
      </c>
      <c r="G134" t="str">
        <f t="shared" si="19"/>
        <v/>
      </c>
      <c r="H134" t="str">
        <f t="shared" si="19"/>
        <v/>
      </c>
      <c r="I134" t="str">
        <f t="shared" si="19"/>
        <v/>
      </c>
      <c r="J134" t="str">
        <f t="shared" si="19"/>
        <v/>
      </c>
      <c r="K134" t="str">
        <f t="shared" si="19"/>
        <v/>
      </c>
      <c r="L134" t="str">
        <f t="shared" si="19"/>
        <v/>
      </c>
      <c r="M134" t="str">
        <f t="shared" si="19"/>
        <v/>
      </c>
      <c r="N134" t="str">
        <f t="shared" si="19"/>
        <v/>
      </c>
      <c r="O134" t="str">
        <f t="shared" si="19"/>
        <v/>
      </c>
      <c r="P134" t="str">
        <f t="shared" si="19"/>
        <v/>
      </c>
      <c r="Q134" t="str">
        <f t="shared" si="19"/>
        <v/>
      </c>
      <c r="R134">
        <f t="shared" si="15"/>
        <v>1.0112057123501712</v>
      </c>
      <c r="S134">
        <f t="shared" si="20"/>
        <v>1075.9432889983871</v>
      </c>
    </row>
    <row r="135" spans="1:19" x14ac:dyDescent="0.25">
      <c r="A135" s="8">
        <v>40575</v>
      </c>
      <c r="B135" s="9">
        <f t="shared" si="21"/>
        <v>2</v>
      </c>
      <c r="C135">
        <v>927</v>
      </c>
      <c r="D135">
        <f t="shared" si="13"/>
        <v>1026.4583333333333</v>
      </c>
      <c r="E135">
        <f t="shared" si="14"/>
        <v>0.90310533793383407</v>
      </c>
      <c r="F135" t="str">
        <f t="shared" si="18"/>
        <v/>
      </c>
      <c r="G135">
        <f t="shared" si="19"/>
        <v>0.90310533793383407</v>
      </c>
      <c r="H135" t="str">
        <f t="shared" si="19"/>
        <v/>
      </c>
      <c r="I135" t="str">
        <f t="shared" si="19"/>
        <v/>
      </c>
      <c r="J135" t="str">
        <f t="shared" si="19"/>
        <v/>
      </c>
      <c r="K135" t="str">
        <f t="shared" si="19"/>
        <v/>
      </c>
      <c r="L135" t="str">
        <f t="shared" si="19"/>
        <v/>
      </c>
      <c r="M135" t="str">
        <f t="shared" si="19"/>
        <v/>
      </c>
      <c r="N135" t="str">
        <f t="shared" si="19"/>
        <v/>
      </c>
      <c r="O135" t="str">
        <f t="shared" si="19"/>
        <v/>
      </c>
      <c r="P135" t="str">
        <f t="shared" si="19"/>
        <v/>
      </c>
      <c r="Q135" t="str">
        <f t="shared" si="19"/>
        <v/>
      </c>
      <c r="R135">
        <f t="shared" si="15"/>
        <v>0.88817803253104943</v>
      </c>
      <c r="S135">
        <f t="shared" si="20"/>
        <v>1043.7096686103789</v>
      </c>
    </row>
    <row r="136" spans="1:19" x14ac:dyDescent="0.25">
      <c r="A136" s="8">
        <v>40603</v>
      </c>
      <c r="B136" s="9">
        <f t="shared" si="21"/>
        <v>3</v>
      </c>
      <c r="C136">
        <v>888</v>
      </c>
      <c r="D136">
        <f t="shared" si="13"/>
        <v>1022.4166666666666</v>
      </c>
      <c r="E136">
        <f t="shared" si="14"/>
        <v>0.86853044257885736</v>
      </c>
      <c r="F136" t="str">
        <f t="shared" si="18"/>
        <v/>
      </c>
      <c r="G136" t="str">
        <f t="shared" si="19"/>
        <v/>
      </c>
      <c r="H136">
        <f t="shared" si="19"/>
        <v>0.86853044257885736</v>
      </c>
      <c r="I136" t="str">
        <f t="shared" si="19"/>
        <v/>
      </c>
      <c r="J136" t="str">
        <f t="shared" si="19"/>
        <v/>
      </c>
      <c r="K136" t="str">
        <f t="shared" si="19"/>
        <v/>
      </c>
      <c r="L136" t="str">
        <f t="shared" si="19"/>
        <v/>
      </c>
      <c r="M136" t="str">
        <f t="shared" si="19"/>
        <v/>
      </c>
      <c r="N136" t="str">
        <f t="shared" si="19"/>
        <v/>
      </c>
      <c r="O136" t="str">
        <f t="shared" si="19"/>
        <v/>
      </c>
      <c r="P136" t="str">
        <f t="shared" si="19"/>
        <v/>
      </c>
      <c r="Q136" t="str">
        <f t="shared" si="19"/>
        <v/>
      </c>
      <c r="R136">
        <f t="shared" si="15"/>
        <v>0.90207326214817818</v>
      </c>
      <c r="S136">
        <f t="shared" si="20"/>
        <v>984.39898094899252</v>
      </c>
    </row>
    <row r="137" spans="1:19" x14ac:dyDescent="0.25">
      <c r="A137" s="8">
        <v>40634</v>
      </c>
      <c r="B137" s="9">
        <f t="shared" si="21"/>
        <v>4</v>
      </c>
      <c r="C137">
        <v>778</v>
      </c>
      <c r="D137">
        <f t="shared" ref="D137:D159" si="22">(1/12)*( 0.5*C131+SUM(C132:C142)+0.5*C143 )</f>
        <v>1018.1666666666666</v>
      </c>
      <c r="E137">
        <f t="shared" ref="E137:E161" si="23">C137/D137</f>
        <v>0.76411851366835815</v>
      </c>
      <c r="F137" t="str">
        <f t="shared" si="18"/>
        <v/>
      </c>
      <c r="G137" t="str">
        <f t="shared" si="19"/>
        <v/>
      </c>
      <c r="H137" t="str">
        <f t="shared" si="19"/>
        <v/>
      </c>
      <c r="I137">
        <f t="shared" si="19"/>
        <v>0.76411851366835815</v>
      </c>
      <c r="J137" t="str">
        <f t="shared" si="19"/>
        <v/>
      </c>
      <c r="K137" t="str">
        <f t="shared" si="19"/>
        <v/>
      </c>
      <c r="L137" t="str">
        <f t="shared" si="19"/>
        <v/>
      </c>
      <c r="M137" t="str">
        <f t="shared" si="19"/>
        <v/>
      </c>
      <c r="N137" t="str">
        <f t="shared" si="19"/>
        <v/>
      </c>
      <c r="O137" t="str">
        <f t="shared" si="19"/>
        <v/>
      </c>
      <c r="P137" t="str">
        <f t="shared" si="19"/>
        <v/>
      </c>
      <c r="Q137" t="str">
        <f t="shared" si="19"/>
        <v/>
      </c>
      <c r="R137">
        <f t="shared" si="15"/>
        <v>0.8278598044138995</v>
      </c>
      <c r="S137">
        <f t="shared" si="20"/>
        <v>939.77264731532796</v>
      </c>
    </row>
    <row r="138" spans="1:19" x14ac:dyDescent="0.25">
      <c r="A138" s="8">
        <v>40664</v>
      </c>
      <c r="B138" s="9">
        <f t="shared" si="21"/>
        <v>5</v>
      </c>
      <c r="C138">
        <v>836</v>
      </c>
      <c r="D138">
        <f t="shared" si="22"/>
        <v>1017.7083333333333</v>
      </c>
      <c r="E138">
        <f t="shared" si="23"/>
        <v>0.82145342886386907</v>
      </c>
      <c r="F138" t="str">
        <f t="shared" si="18"/>
        <v/>
      </c>
      <c r="G138" t="str">
        <f t="shared" si="19"/>
        <v/>
      </c>
      <c r="H138" t="str">
        <f t="shared" si="19"/>
        <v/>
      </c>
      <c r="I138" t="str">
        <f t="shared" si="19"/>
        <v/>
      </c>
      <c r="J138">
        <f t="shared" si="19"/>
        <v>0.82145342886386907</v>
      </c>
      <c r="K138" t="str">
        <f t="shared" si="19"/>
        <v/>
      </c>
      <c r="L138" t="str">
        <f t="shared" si="19"/>
        <v/>
      </c>
      <c r="M138" t="str">
        <f t="shared" si="19"/>
        <v/>
      </c>
      <c r="N138" t="str">
        <f t="shared" si="19"/>
        <v/>
      </c>
      <c r="O138" t="str">
        <f t="shared" si="19"/>
        <v/>
      </c>
      <c r="P138" t="str">
        <f t="shared" si="19"/>
        <v/>
      </c>
      <c r="Q138" t="str">
        <f t="shared" si="19"/>
        <v/>
      </c>
      <c r="R138">
        <f t="shared" si="15"/>
        <v>0.88590789659293523</v>
      </c>
      <c r="S138">
        <f t="shared" si="20"/>
        <v>943.66468931491272</v>
      </c>
    </row>
    <row r="139" spans="1:19" x14ac:dyDescent="0.25">
      <c r="A139" s="8">
        <v>40695</v>
      </c>
      <c r="B139" s="9">
        <f t="shared" si="21"/>
        <v>6</v>
      </c>
      <c r="C139">
        <v>1232</v>
      </c>
      <c r="D139">
        <f t="shared" si="22"/>
        <v>1015.9166666666666</v>
      </c>
      <c r="E139">
        <f t="shared" si="23"/>
        <v>1.212697891887458</v>
      </c>
      <c r="F139" t="str">
        <f t="shared" si="18"/>
        <v/>
      </c>
      <c r="G139" t="str">
        <f t="shared" si="19"/>
        <v/>
      </c>
      <c r="H139" t="str">
        <f t="shared" si="19"/>
        <v/>
      </c>
      <c r="I139" t="str">
        <f t="shared" si="19"/>
        <v/>
      </c>
      <c r="J139" t="str">
        <f t="shared" si="19"/>
        <v/>
      </c>
      <c r="K139">
        <f t="shared" si="19"/>
        <v>1.212697891887458</v>
      </c>
      <c r="L139" t="str">
        <f t="shared" si="19"/>
        <v/>
      </c>
      <c r="M139" t="str">
        <f t="shared" si="19"/>
        <v/>
      </c>
      <c r="N139" t="str">
        <f t="shared" si="19"/>
        <v/>
      </c>
      <c r="O139" t="str">
        <f t="shared" si="19"/>
        <v/>
      </c>
      <c r="P139" t="str">
        <f t="shared" si="19"/>
        <v/>
      </c>
      <c r="Q139" t="str">
        <f t="shared" si="19"/>
        <v/>
      </c>
      <c r="R139">
        <f t="shared" si="15"/>
        <v>1.1923572304821319</v>
      </c>
      <c r="S139">
        <f t="shared" si="20"/>
        <v>1033.2473930667895</v>
      </c>
    </row>
    <row r="140" spans="1:19" x14ac:dyDescent="0.25">
      <c r="A140" s="8">
        <v>40725</v>
      </c>
      <c r="B140" s="9">
        <f t="shared" si="21"/>
        <v>7</v>
      </c>
      <c r="C140">
        <v>1349</v>
      </c>
      <c r="D140">
        <f t="shared" si="22"/>
        <v>1005.25</v>
      </c>
      <c r="E140">
        <f t="shared" si="23"/>
        <v>1.3419547376274559</v>
      </c>
      <c r="F140" t="str">
        <f t="shared" si="18"/>
        <v/>
      </c>
      <c r="G140" t="str">
        <f t="shared" si="19"/>
        <v/>
      </c>
      <c r="H140" t="str">
        <f t="shared" si="19"/>
        <v/>
      </c>
      <c r="I140" t="str">
        <f t="shared" si="19"/>
        <v/>
      </c>
      <c r="J140" t="str">
        <f t="shared" si="19"/>
        <v/>
      </c>
      <c r="K140" t="str">
        <f t="shared" si="19"/>
        <v/>
      </c>
      <c r="L140">
        <f t="shared" si="19"/>
        <v>1.3419547376274559</v>
      </c>
      <c r="M140" t="str">
        <f t="shared" si="19"/>
        <v/>
      </c>
      <c r="N140" t="str">
        <f t="shared" si="19"/>
        <v/>
      </c>
      <c r="O140" t="str">
        <f t="shared" si="19"/>
        <v/>
      </c>
      <c r="P140" t="str">
        <f t="shared" si="19"/>
        <v/>
      </c>
      <c r="Q140" t="str">
        <f t="shared" si="19"/>
        <v/>
      </c>
      <c r="R140">
        <f t="shared" si="15"/>
        <v>1.3406882655295957</v>
      </c>
      <c r="S140">
        <f t="shared" si="20"/>
        <v>1006.199602610172</v>
      </c>
    </row>
    <row r="141" spans="1:19" x14ac:dyDescent="0.25">
      <c r="A141" s="8">
        <v>40756</v>
      </c>
      <c r="B141" s="9">
        <f t="shared" si="21"/>
        <v>8</v>
      </c>
      <c r="C141">
        <v>1271</v>
      </c>
      <c r="D141">
        <f t="shared" si="22"/>
        <v>993.70833333333326</v>
      </c>
      <c r="E141">
        <f t="shared" si="23"/>
        <v>1.2790473395110906</v>
      </c>
      <c r="F141" t="str">
        <f t="shared" si="18"/>
        <v/>
      </c>
      <c r="G141" t="str">
        <f t="shared" si="19"/>
        <v/>
      </c>
      <c r="H141" t="str">
        <f t="shared" si="19"/>
        <v/>
      </c>
      <c r="I141" t="str">
        <f t="shared" si="19"/>
        <v/>
      </c>
      <c r="J141" t="str">
        <f t="shared" si="19"/>
        <v/>
      </c>
      <c r="K141" t="str">
        <f t="shared" si="19"/>
        <v/>
      </c>
      <c r="L141" t="str">
        <f t="shared" si="19"/>
        <v/>
      </c>
      <c r="M141">
        <f t="shared" si="19"/>
        <v>1.2790473395110906</v>
      </c>
      <c r="N141" t="str">
        <f t="shared" si="19"/>
        <v/>
      </c>
      <c r="O141" t="str">
        <f t="shared" si="19"/>
        <v/>
      </c>
      <c r="P141" t="str">
        <f t="shared" si="19"/>
        <v/>
      </c>
      <c r="Q141" t="str">
        <f t="shared" si="19"/>
        <v/>
      </c>
      <c r="R141">
        <f t="shared" si="15"/>
        <v>1.2923544769725261</v>
      </c>
      <c r="S141">
        <f t="shared" si="20"/>
        <v>983.476300540583</v>
      </c>
    </row>
    <row r="142" spans="1:19" x14ac:dyDescent="0.25">
      <c r="A142" s="8">
        <v>40787</v>
      </c>
      <c r="B142" s="9">
        <f t="shared" si="21"/>
        <v>9</v>
      </c>
      <c r="C142">
        <v>1013</v>
      </c>
      <c r="D142">
        <f t="shared" si="22"/>
        <v>986.20833333333326</v>
      </c>
      <c r="E142">
        <f t="shared" si="23"/>
        <v>1.0271663357133805</v>
      </c>
      <c r="F142" t="str">
        <f t="shared" si="18"/>
        <v/>
      </c>
      <c r="G142" t="str">
        <f t="shared" si="19"/>
        <v/>
      </c>
      <c r="H142" t="str">
        <f t="shared" si="19"/>
        <v/>
      </c>
      <c r="I142" t="str">
        <f t="shared" si="19"/>
        <v/>
      </c>
      <c r="J142" t="str">
        <f t="shared" si="19"/>
        <v/>
      </c>
      <c r="K142" t="str">
        <f t="shared" si="19"/>
        <v/>
      </c>
      <c r="L142" t="str">
        <f t="shared" si="19"/>
        <v/>
      </c>
      <c r="M142" t="str">
        <f t="shared" si="19"/>
        <v/>
      </c>
      <c r="N142">
        <f t="shared" si="19"/>
        <v>1.0271663357133805</v>
      </c>
      <c r="O142" t="str">
        <f t="shared" si="19"/>
        <v/>
      </c>
      <c r="P142" t="str">
        <f t="shared" si="19"/>
        <v/>
      </c>
      <c r="Q142" t="str">
        <f t="shared" si="19"/>
        <v/>
      </c>
      <c r="R142">
        <f t="shared" si="15"/>
        <v>1.0277851854043913</v>
      </c>
      <c r="S142">
        <f t="shared" si="20"/>
        <v>985.61451788335125</v>
      </c>
    </row>
    <row r="143" spans="1:19" x14ac:dyDescent="0.25">
      <c r="A143" s="8">
        <v>40817</v>
      </c>
      <c r="B143" s="9">
        <f t="shared" si="21"/>
        <v>10</v>
      </c>
      <c r="C143">
        <v>924</v>
      </c>
      <c r="D143">
        <f t="shared" si="22"/>
        <v>982.33333333333326</v>
      </c>
      <c r="E143">
        <f t="shared" si="23"/>
        <v>0.94061757719714967</v>
      </c>
      <c r="F143" t="str">
        <f t="shared" si="18"/>
        <v/>
      </c>
      <c r="G143" t="str">
        <f t="shared" si="19"/>
        <v/>
      </c>
      <c r="H143" t="str">
        <f t="shared" si="19"/>
        <v/>
      </c>
      <c r="I143" t="str">
        <f t="shared" si="19"/>
        <v/>
      </c>
      <c r="J143" t="str">
        <f t="shared" si="19"/>
        <v/>
      </c>
      <c r="K143" t="str">
        <f t="shared" si="19"/>
        <v/>
      </c>
      <c r="L143" t="str">
        <f t="shared" si="19"/>
        <v/>
      </c>
      <c r="M143" t="str">
        <f t="shared" si="19"/>
        <v/>
      </c>
      <c r="N143" t="str">
        <f t="shared" si="19"/>
        <v/>
      </c>
      <c r="O143">
        <f t="shared" si="19"/>
        <v>0.94061757719714967</v>
      </c>
      <c r="P143" t="str">
        <f t="shared" si="19"/>
        <v/>
      </c>
      <c r="Q143" t="str">
        <f t="shared" si="19"/>
        <v/>
      </c>
      <c r="R143">
        <f t="shared" ref="R143:R167" si="24">R131</f>
        <v>0.95789782990320982</v>
      </c>
      <c r="S143">
        <f t="shared" si="20"/>
        <v>964.61226986323265</v>
      </c>
    </row>
    <row r="144" spans="1:19" x14ac:dyDescent="0.25">
      <c r="A144" s="8">
        <v>40848</v>
      </c>
      <c r="B144" s="9">
        <f t="shared" si="21"/>
        <v>11</v>
      </c>
      <c r="C144">
        <v>964</v>
      </c>
      <c r="D144">
        <f t="shared" si="22"/>
        <v>985.29166666666663</v>
      </c>
      <c r="E144">
        <f t="shared" si="23"/>
        <v>0.97839049350869034</v>
      </c>
      <c r="F144" t="str">
        <f t="shared" si="18"/>
        <v/>
      </c>
      <c r="G144" t="str">
        <f t="shared" si="19"/>
        <v/>
      </c>
      <c r="H144" t="str">
        <f t="shared" si="19"/>
        <v/>
      </c>
      <c r="I144" t="str">
        <f t="shared" si="19"/>
        <v/>
      </c>
      <c r="J144" t="str">
        <f t="shared" si="19"/>
        <v/>
      </c>
      <c r="K144" t="str">
        <f t="shared" si="19"/>
        <v/>
      </c>
      <c r="L144" t="str">
        <f t="shared" si="19"/>
        <v/>
      </c>
      <c r="M144" t="str">
        <f t="shared" si="19"/>
        <v/>
      </c>
      <c r="N144" t="str">
        <f t="shared" si="19"/>
        <v/>
      </c>
      <c r="O144" t="str">
        <f t="shared" si="19"/>
        <v/>
      </c>
      <c r="P144">
        <f t="shared" si="19"/>
        <v>0.97839049350869034</v>
      </c>
      <c r="Q144" t="str">
        <f t="shared" si="19"/>
        <v/>
      </c>
      <c r="R144">
        <f t="shared" si="24"/>
        <v>0.92817345398738293</v>
      </c>
      <c r="S144">
        <f t="shared" si="20"/>
        <v>1038.5989772264097</v>
      </c>
    </row>
    <row r="145" spans="1:19" x14ac:dyDescent="0.25">
      <c r="A145" s="8">
        <v>40878</v>
      </c>
      <c r="B145" s="9">
        <f t="shared" si="21"/>
        <v>12</v>
      </c>
      <c r="C145">
        <v>892</v>
      </c>
      <c r="D145">
        <f t="shared" si="22"/>
        <v>981.54166666666663</v>
      </c>
      <c r="E145">
        <f t="shared" si="23"/>
        <v>0.90877446194337141</v>
      </c>
      <c r="F145" t="str">
        <f t="shared" si="18"/>
        <v/>
      </c>
      <c r="G145" t="str">
        <f t="shared" si="19"/>
        <v/>
      </c>
      <c r="H145" t="str">
        <f t="shared" si="19"/>
        <v/>
      </c>
      <c r="I145" t="str">
        <f t="shared" si="19"/>
        <v/>
      </c>
      <c r="J145" t="str">
        <f t="shared" si="19"/>
        <v/>
      </c>
      <c r="K145" t="str">
        <f t="shared" si="19"/>
        <v/>
      </c>
      <c r="L145" t="str">
        <f t="shared" si="19"/>
        <v/>
      </c>
      <c r="M145" t="str">
        <f t="shared" si="19"/>
        <v/>
      </c>
      <c r="N145" t="str">
        <f t="shared" si="19"/>
        <v/>
      </c>
      <c r="O145" t="str">
        <f t="shared" si="19"/>
        <v/>
      </c>
      <c r="P145" t="str">
        <f t="shared" si="19"/>
        <v/>
      </c>
      <c r="Q145">
        <f t="shared" si="19"/>
        <v>0.90877446194337141</v>
      </c>
      <c r="R145">
        <f t="shared" si="24"/>
        <v>0.89147002091043093</v>
      </c>
      <c r="S145">
        <f t="shared" si="20"/>
        <v>1000.5945001818769</v>
      </c>
    </row>
    <row r="146" spans="1:19" x14ac:dyDescent="0.25">
      <c r="A146" s="8">
        <v>40909</v>
      </c>
      <c r="B146" s="9">
        <f t="shared" si="21"/>
        <v>1</v>
      </c>
      <c r="C146">
        <v>890</v>
      </c>
      <c r="D146">
        <f t="shared" si="22"/>
        <v>968.20833333333326</v>
      </c>
      <c r="E146">
        <f t="shared" si="23"/>
        <v>0.91922365193441502</v>
      </c>
      <c r="F146">
        <f t="shared" si="18"/>
        <v>0.91922365193441502</v>
      </c>
      <c r="G146" t="str">
        <f t="shared" si="19"/>
        <v/>
      </c>
      <c r="H146" t="str">
        <f t="shared" si="19"/>
        <v/>
      </c>
      <c r="I146" t="str">
        <f t="shared" si="19"/>
        <v/>
      </c>
      <c r="J146" t="str">
        <f t="shared" si="19"/>
        <v/>
      </c>
      <c r="K146" t="str">
        <f t="shared" si="19"/>
        <v/>
      </c>
      <c r="L146" t="str">
        <f t="shared" si="19"/>
        <v/>
      </c>
      <c r="M146" t="str">
        <f t="shared" si="19"/>
        <v/>
      </c>
      <c r="N146" t="str">
        <f t="shared" si="19"/>
        <v/>
      </c>
      <c r="O146" t="str">
        <f t="shared" si="19"/>
        <v/>
      </c>
      <c r="P146" t="str">
        <f t="shared" si="19"/>
        <v/>
      </c>
      <c r="Q146" t="str">
        <f t="shared" si="19"/>
        <v/>
      </c>
      <c r="R146">
        <f t="shared" si="24"/>
        <v>1.0112057123501712</v>
      </c>
      <c r="S146">
        <f t="shared" si="20"/>
        <v>880.13743309610697</v>
      </c>
    </row>
    <row r="147" spans="1:19" x14ac:dyDescent="0.25">
      <c r="A147" s="8">
        <v>40940</v>
      </c>
      <c r="B147" s="9">
        <f t="shared" si="21"/>
        <v>2</v>
      </c>
      <c r="C147">
        <v>848</v>
      </c>
      <c r="D147">
        <f t="shared" si="22"/>
        <v>952.41666666666663</v>
      </c>
      <c r="E147">
        <f t="shared" si="23"/>
        <v>0.89036661125207806</v>
      </c>
      <c r="F147" t="str">
        <f t="shared" si="18"/>
        <v/>
      </c>
      <c r="G147">
        <f t="shared" si="19"/>
        <v>0.89036661125207806</v>
      </c>
      <c r="H147" t="str">
        <f t="shared" si="19"/>
        <v/>
      </c>
      <c r="I147" t="str">
        <f t="shared" si="19"/>
        <v/>
      </c>
      <c r="J147" t="str">
        <f t="shared" si="19"/>
        <v/>
      </c>
      <c r="K147" t="str">
        <f t="shared" si="19"/>
        <v/>
      </c>
      <c r="L147" t="str">
        <f t="shared" si="19"/>
        <v/>
      </c>
      <c r="M147" t="str">
        <f t="shared" si="19"/>
        <v/>
      </c>
      <c r="N147" t="str">
        <f t="shared" si="19"/>
        <v/>
      </c>
      <c r="O147" t="str">
        <f t="shared" si="19"/>
        <v/>
      </c>
      <c r="P147" t="str">
        <f t="shared" si="19"/>
        <v/>
      </c>
      <c r="Q147" t="str">
        <f t="shared" si="19"/>
        <v/>
      </c>
      <c r="R147">
        <f t="shared" si="24"/>
        <v>0.88817803253104943</v>
      </c>
      <c r="S147">
        <f t="shared" si="20"/>
        <v>954.76353719698102</v>
      </c>
    </row>
    <row r="148" spans="1:19" x14ac:dyDescent="0.25">
      <c r="A148" s="8">
        <v>40969</v>
      </c>
      <c r="B148" s="9">
        <f t="shared" si="21"/>
        <v>3</v>
      </c>
      <c r="C148">
        <v>787</v>
      </c>
      <c r="D148">
        <f t="shared" si="22"/>
        <v>940.66666666666663</v>
      </c>
      <c r="E148">
        <f t="shared" si="23"/>
        <v>0.83664068036853301</v>
      </c>
      <c r="F148" t="str">
        <f t="shared" si="18"/>
        <v/>
      </c>
      <c r="G148" t="str">
        <f t="shared" si="19"/>
        <v/>
      </c>
      <c r="H148">
        <f t="shared" si="19"/>
        <v>0.83664068036853301</v>
      </c>
      <c r="I148" t="str">
        <f t="shared" si="19"/>
        <v/>
      </c>
      <c r="J148" t="str">
        <f t="shared" si="19"/>
        <v/>
      </c>
      <c r="K148" t="str">
        <f t="shared" si="19"/>
        <v/>
      </c>
      <c r="L148" t="str">
        <f t="shared" si="19"/>
        <v/>
      </c>
      <c r="M148" t="str">
        <f t="shared" si="19"/>
        <v/>
      </c>
      <c r="N148" t="str">
        <f t="shared" si="19"/>
        <v/>
      </c>
      <c r="O148" t="str">
        <f t="shared" si="19"/>
        <v/>
      </c>
      <c r="P148" t="str">
        <f t="shared" si="19"/>
        <v/>
      </c>
      <c r="Q148" t="str">
        <f t="shared" si="19"/>
        <v/>
      </c>
      <c r="R148">
        <f t="shared" si="24"/>
        <v>0.90207326214817818</v>
      </c>
      <c r="S148">
        <f t="shared" si="20"/>
        <v>872.43468244015446</v>
      </c>
    </row>
    <row r="149" spans="1:19" x14ac:dyDescent="0.25">
      <c r="A149" s="8">
        <v>41000</v>
      </c>
      <c r="B149" s="9">
        <f t="shared" si="21"/>
        <v>4</v>
      </c>
      <c r="C149">
        <v>786</v>
      </c>
      <c r="D149">
        <f t="shared" si="22"/>
        <v>937.04166666666663</v>
      </c>
      <c r="E149">
        <f t="shared" si="23"/>
        <v>0.83881008493041043</v>
      </c>
      <c r="F149" t="str">
        <f t="shared" si="18"/>
        <v/>
      </c>
      <c r="G149" t="str">
        <f t="shared" si="19"/>
        <v/>
      </c>
      <c r="H149" t="str">
        <f t="shared" si="19"/>
        <v/>
      </c>
      <c r="I149">
        <f t="shared" si="19"/>
        <v>0.83881008493041043</v>
      </c>
      <c r="J149" t="str">
        <f t="shared" si="19"/>
        <v/>
      </c>
      <c r="K149" t="str">
        <f t="shared" si="19"/>
        <v/>
      </c>
      <c r="L149" t="str">
        <f t="shared" si="19"/>
        <v/>
      </c>
      <c r="M149" t="str">
        <f t="shared" si="19"/>
        <v/>
      </c>
      <c r="N149" t="str">
        <f t="shared" si="19"/>
        <v/>
      </c>
      <c r="O149" t="str">
        <f t="shared" si="19"/>
        <v/>
      </c>
      <c r="P149" t="str">
        <f t="shared" si="19"/>
        <v/>
      </c>
      <c r="Q149" t="str">
        <f t="shared" si="19"/>
        <v/>
      </c>
      <c r="R149">
        <f t="shared" si="24"/>
        <v>0.8278598044138995</v>
      </c>
      <c r="S149">
        <f t="shared" si="20"/>
        <v>949.43611926715653</v>
      </c>
    </row>
    <row r="150" spans="1:19" x14ac:dyDescent="0.25">
      <c r="A150" s="8">
        <v>41030</v>
      </c>
      <c r="B150" s="9">
        <f t="shared" si="21"/>
        <v>5</v>
      </c>
      <c r="C150">
        <v>899</v>
      </c>
      <c r="D150">
        <f t="shared" si="22"/>
        <v>930.54166666666663</v>
      </c>
      <c r="E150">
        <f t="shared" si="23"/>
        <v>0.96610397170107021</v>
      </c>
      <c r="F150" t="str">
        <f t="shared" si="18"/>
        <v/>
      </c>
      <c r="G150" t="str">
        <f t="shared" si="19"/>
        <v/>
      </c>
      <c r="H150" t="str">
        <f t="shared" si="19"/>
        <v/>
      </c>
      <c r="I150" t="str">
        <f t="shared" si="19"/>
        <v/>
      </c>
      <c r="J150">
        <f t="shared" si="19"/>
        <v>0.96610397170107021</v>
      </c>
      <c r="K150" t="str">
        <f t="shared" si="19"/>
        <v/>
      </c>
      <c r="L150" t="str">
        <f t="shared" si="19"/>
        <v/>
      </c>
      <c r="M150" t="str">
        <f t="shared" si="19"/>
        <v/>
      </c>
      <c r="N150" t="str">
        <f t="shared" si="19"/>
        <v/>
      </c>
      <c r="O150" t="str">
        <f t="shared" si="19"/>
        <v/>
      </c>
      <c r="P150" t="str">
        <f t="shared" si="19"/>
        <v/>
      </c>
      <c r="Q150" t="str">
        <f t="shared" si="19"/>
        <v/>
      </c>
      <c r="R150">
        <f t="shared" si="24"/>
        <v>0.88590789659293523</v>
      </c>
      <c r="S150">
        <f t="shared" si="20"/>
        <v>1014.7781766675915</v>
      </c>
    </row>
    <row r="151" spans="1:19" x14ac:dyDescent="0.25">
      <c r="A151" s="8">
        <v>41061</v>
      </c>
      <c r="B151" s="9">
        <f t="shared" si="21"/>
        <v>6</v>
      </c>
      <c r="C151">
        <v>1079</v>
      </c>
      <c r="D151">
        <f t="shared" si="22"/>
        <v>924</v>
      </c>
      <c r="E151">
        <f t="shared" si="23"/>
        <v>1.1677489177489178</v>
      </c>
      <c r="F151" t="str">
        <f t="shared" si="18"/>
        <v/>
      </c>
      <c r="G151" t="str">
        <f t="shared" si="19"/>
        <v/>
      </c>
      <c r="H151" t="str">
        <f t="shared" si="19"/>
        <v/>
      </c>
      <c r="I151" t="str">
        <f t="shared" si="19"/>
        <v/>
      </c>
      <c r="J151" t="str">
        <f t="shared" si="19"/>
        <v/>
      </c>
      <c r="K151">
        <f t="shared" si="19"/>
        <v>1.1677489177489178</v>
      </c>
      <c r="L151" t="str">
        <f t="shared" si="19"/>
        <v/>
      </c>
      <c r="M151" t="str">
        <f t="shared" si="19"/>
        <v/>
      </c>
      <c r="N151" t="str">
        <f t="shared" si="19"/>
        <v/>
      </c>
      <c r="O151" t="str">
        <f t="shared" si="19"/>
        <v/>
      </c>
      <c r="P151" t="str">
        <f t="shared" si="19"/>
        <v/>
      </c>
      <c r="Q151" t="str">
        <f t="shared" si="19"/>
        <v/>
      </c>
      <c r="R151">
        <f t="shared" si="24"/>
        <v>1.1923572304821319</v>
      </c>
      <c r="S151">
        <f t="shared" si="20"/>
        <v>904.93014376547558</v>
      </c>
    </row>
    <row r="152" spans="1:19" x14ac:dyDescent="0.25">
      <c r="A152" s="8">
        <v>41091</v>
      </c>
      <c r="B152" s="9">
        <f t="shared" si="21"/>
        <v>7</v>
      </c>
      <c r="C152">
        <v>1182</v>
      </c>
      <c r="D152">
        <f t="shared" si="22"/>
        <v>924.16666666666663</v>
      </c>
      <c r="E152">
        <f t="shared" si="23"/>
        <v>1.278990081154193</v>
      </c>
      <c r="F152" t="str">
        <f t="shared" si="18"/>
        <v/>
      </c>
      <c r="G152" t="str">
        <f t="shared" si="19"/>
        <v/>
      </c>
      <c r="H152" t="str">
        <f t="shared" si="19"/>
        <v/>
      </c>
      <c r="I152" t="str">
        <f t="shared" si="19"/>
        <v/>
      </c>
      <c r="J152" t="str">
        <f t="shared" si="19"/>
        <v/>
      </c>
      <c r="K152" t="str">
        <f t="shared" si="19"/>
        <v/>
      </c>
      <c r="L152">
        <f t="shared" si="19"/>
        <v>1.278990081154193</v>
      </c>
      <c r="M152" t="str">
        <f t="shared" si="19"/>
        <v/>
      </c>
      <c r="N152" t="str">
        <f t="shared" si="19"/>
        <v/>
      </c>
      <c r="O152" t="str">
        <f t="shared" si="19"/>
        <v/>
      </c>
      <c r="P152" t="str">
        <f t="shared" si="19"/>
        <v/>
      </c>
      <c r="Q152" t="str">
        <f t="shared" si="19"/>
        <v/>
      </c>
      <c r="R152">
        <f t="shared" si="24"/>
        <v>1.3406882655295957</v>
      </c>
      <c r="S152">
        <f t="shared" si="20"/>
        <v>881.63671629742271</v>
      </c>
    </row>
    <row r="153" spans="1:19" x14ac:dyDescent="0.25">
      <c r="A153" s="8">
        <v>41122</v>
      </c>
      <c r="B153" s="9">
        <f t="shared" si="21"/>
        <v>8</v>
      </c>
      <c r="C153">
        <v>1059</v>
      </c>
      <c r="D153">
        <f t="shared" si="22"/>
        <v>924.25</v>
      </c>
      <c r="E153">
        <f t="shared" si="23"/>
        <v>1.145793886935353</v>
      </c>
      <c r="F153" t="str">
        <f t="shared" si="18"/>
        <v/>
      </c>
      <c r="G153" t="str">
        <f t="shared" si="19"/>
        <v/>
      </c>
      <c r="H153" t="str">
        <f t="shared" si="19"/>
        <v/>
      </c>
      <c r="I153" t="str">
        <f t="shared" si="19"/>
        <v/>
      </c>
      <c r="J153" t="str">
        <f t="shared" si="19"/>
        <v/>
      </c>
      <c r="K153" t="str">
        <f t="shared" si="19"/>
        <v/>
      </c>
      <c r="L153" t="str">
        <f t="shared" si="19"/>
        <v/>
      </c>
      <c r="M153">
        <f t="shared" si="19"/>
        <v>1.145793886935353</v>
      </c>
      <c r="N153" t="str">
        <f t="shared" si="19"/>
        <v/>
      </c>
      <c r="O153" t="str">
        <f t="shared" si="19"/>
        <v/>
      </c>
      <c r="P153" t="str">
        <f t="shared" si="19"/>
        <v/>
      </c>
      <c r="Q153" t="str">
        <f t="shared" si="19"/>
        <v/>
      </c>
      <c r="R153">
        <f t="shared" si="24"/>
        <v>1.2923544769725261</v>
      </c>
      <c r="S153">
        <f t="shared" si="20"/>
        <v>819.43462019864467</v>
      </c>
    </row>
    <row r="154" spans="1:19" x14ac:dyDescent="0.25">
      <c r="A154" s="8">
        <v>41153</v>
      </c>
      <c r="B154" s="9">
        <f t="shared" si="21"/>
        <v>9</v>
      </c>
      <c r="C154">
        <v>943</v>
      </c>
      <c r="D154">
        <f t="shared" si="22"/>
        <v>923.375</v>
      </c>
      <c r="E154">
        <f t="shared" si="23"/>
        <v>1.0212535535400027</v>
      </c>
      <c r="F154" t="str">
        <f t="shared" si="18"/>
        <v/>
      </c>
      <c r="G154" t="str">
        <f t="shared" si="19"/>
        <v/>
      </c>
      <c r="H154" t="str">
        <f t="shared" si="19"/>
        <v/>
      </c>
      <c r="I154" t="str">
        <f t="shared" si="19"/>
        <v/>
      </c>
      <c r="J154" t="str">
        <f t="shared" si="19"/>
        <v/>
      </c>
      <c r="K154" t="str">
        <f t="shared" si="19"/>
        <v/>
      </c>
      <c r="L154" t="str">
        <f t="shared" si="19"/>
        <v/>
      </c>
      <c r="M154" t="str">
        <f t="shared" si="19"/>
        <v/>
      </c>
      <c r="N154">
        <f t="shared" si="19"/>
        <v>1.0212535535400027</v>
      </c>
      <c r="O154" t="str">
        <f t="shared" si="19"/>
        <v/>
      </c>
      <c r="P154" t="str">
        <f t="shared" si="19"/>
        <v/>
      </c>
      <c r="Q154" t="str">
        <f t="shared" ref="G154:Q161" si="25">IF($B154=Q$1,$E154, "")</f>
        <v/>
      </c>
      <c r="R154">
        <f t="shared" si="24"/>
        <v>1.0277851854043913</v>
      </c>
      <c r="S154">
        <f t="shared" si="20"/>
        <v>917.50690065547906</v>
      </c>
    </row>
    <row r="155" spans="1:19" x14ac:dyDescent="0.25">
      <c r="A155" s="8">
        <v>41183</v>
      </c>
      <c r="B155" s="9">
        <f t="shared" si="21"/>
        <v>10</v>
      </c>
      <c r="C155">
        <v>907</v>
      </c>
      <c r="D155">
        <f t="shared" si="22"/>
        <v>920.375</v>
      </c>
      <c r="E155">
        <f t="shared" si="23"/>
        <v>0.98546787994024176</v>
      </c>
      <c r="F155" t="str">
        <f t="shared" si="18"/>
        <v/>
      </c>
      <c r="G155" t="str">
        <f t="shared" si="25"/>
        <v/>
      </c>
      <c r="H155" t="str">
        <f t="shared" si="25"/>
        <v/>
      </c>
      <c r="I155" t="str">
        <f t="shared" si="25"/>
        <v/>
      </c>
      <c r="J155" t="str">
        <f t="shared" si="25"/>
        <v/>
      </c>
      <c r="K155" t="str">
        <f t="shared" si="25"/>
        <v/>
      </c>
      <c r="L155" t="str">
        <f t="shared" si="25"/>
        <v/>
      </c>
      <c r="M155" t="str">
        <f t="shared" si="25"/>
        <v/>
      </c>
      <c r="N155" t="str">
        <f t="shared" si="25"/>
        <v/>
      </c>
      <c r="O155">
        <f t="shared" si="25"/>
        <v>0.98546787994024176</v>
      </c>
      <c r="P155" t="str">
        <f t="shared" si="25"/>
        <v/>
      </c>
      <c r="Q155" t="str">
        <f t="shared" si="25"/>
        <v/>
      </c>
      <c r="R155">
        <f t="shared" si="24"/>
        <v>0.95789782990320982</v>
      </c>
      <c r="S155">
        <f t="shared" si="20"/>
        <v>946.86507442202605</v>
      </c>
    </row>
    <row r="156" spans="1:19" x14ac:dyDescent="0.25">
      <c r="A156" s="8">
        <v>41214</v>
      </c>
      <c r="B156" s="9">
        <f t="shared" si="21"/>
        <v>11</v>
      </c>
      <c r="C156">
        <v>825</v>
      </c>
      <c r="D156">
        <f t="shared" si="22"/>
        <v>913.75</v>
      </c>
      <c r="E156">
        <f t="shared" si="23"/>
        <v>0.9028727770177839</v>
      </c>
      <c r="F156" t="str">
        <f t="shared" si="18"/>
        <v/>
      </c>
      <c r="G156" t="str">
        <f t="shared" si="25"/>
        <v/>
      </c>
      <c r="H156" t="str">
        <f t="shared" si="25"/>
        <v/>
      </c>
      <c r="I156" t="str">
        <f t="shared" si="25"/>
        <v/>
      </c>
      <c r="J156" t="str">
        <f t="shared" si="25"/>
        <v/>
      </c>
      <c r="K156" t="str">
        <f t="shared" si="25"/>
        <v/>
      </c>
      <c r="L156" t="str">
        <f t="shared" si="25"/>
        <v/>
      </c>
      <c r="M156" t="str">
        <f t="shared" si="25"/>
        <v/>
      </c>
      <c r="N156" t="str">
        <f t="shared" si="25"/>
        <v/>
      </c>
      <c r="O156" t="str">
        <f t="shared" si="25"/>
        <v/>
      </c>
      <c r="P156">
        <f t="shared" si="25"/>
        <v>0.9028727770177839</v>
      </c>
      <c r="Q156" t="str">
        <f t="shared" si="25"/>
        <v/>
      </c>
      <c r="R156">
        <f t="shared" si="24"/>
        <v>0.92817345398738293</v>
      </c>
      <c r="S156">
        <f t="shared" si="20"/>
        <v>888.84248569687554</v>
      </c>
    </row>
    <row r="157" spans="1:19" x14ac:dyDescent="0.25">
      <c r="A157" s="8">
        <v>41244</v>
      </c>
      <c r="B157" s="9">
        <f t="shared" si="21"/>
        <v>12</v>
      </c>
      <c r="C157">
        <v>874</v>
      </c>
      <c r="D157">
        <f t="shared" si="22"/>
        <v>910.375</v>
      </c>
      <c r="E157">
        <f t="shared" si="23"/>
        <v>0.96004393793766307</v>
      </c>
      <c r="F157" t="str">
        <f t="shared" si="18"/>
        <v/>
      </c>
      <c r="G157" t="str">
        <f t="shared" si="25"/>
        <v/>
      </c>
      <c r="H157" t="str">
        <f t="shared" si="25"/>
        <v/>
      </c>
      <c r="I157" t="str">
        <f t="shared" si="25"/>
        <v/>
      </c>
      <c r="J157" t="str">
        <f t="shared" si="25"/>
        <v/>
      </c>
      <c r="K157" t="str">
        <f t="shared" si="25"/>
        <v/>
      </c>
      <c r="L157" t="str">
        <f t="shared" si="25"/>
        <v/>
      </c>
      <c r="M157" t="str">
        <f t="shared" si="25"/>
        <v/>
      </c>
      <c r="N157" t="str">
        <f t="shared" si="25"/>
        <v/>
      </c>
      <c r="O157" t="str">
        <f t="shared" si="25"/>
        <v/>
      </c>
      <c r="P157" t="str">
        <f t="shared" si="25"/>
        <v/>
      </c>
      <c r="Q157">
        <f t="shared" si="25"/>
        <v>0.96004393793766307</v>
      </c>
      <c r="R157">
        <f t="shared" si="24"/>
        <v>0.89147002091043093</v>
      </c>
      <c r="S157">
        <f t="shared" si="20"/>
        <v>980.403131344126</v>
      </c>
    </row>
    <row r="158" spans="1:19" x14ac:dyDescent="0.25">
      <c r="A158" s="8">
        <v>41275</v>
      </c>
      <c r="B158" s="9">
        <f t="shared" si="21"/>
        <v>1</v>
      </c>
      <c r="C158">
        <v>912</v>
      </c>
      <c r="D158">
        <f t="shared" si="22"/>
        <v>906.125</v>
      </c>
      <c r="E158">
        <f t="shared" si="23"/>
        <v>1.0064836529176437</v>
      </c>
      <c r="F158">
        <f t="shared" si="18"/>
        <v>1.0064836529176437</v>
      </c>
      <c r="G158" t="str">
        <f t="shared" si="25"/>
        <v/>
      </c>
      <c r="H158" t="str">
        <f t="shared" si="25"/>
        <v/>
      </c>
      <c r="I158" t="str">
        <f t="shared" si="25"/>
        <v/>
      </c>
      <c r="J158" t="str">
        <f t="shared" si="25"/>
        <v/>
      </c>
      <c r="K158" t="str">
        <f t="shared" si="25"/>
        <v/>
      </c>
      <c r="L158" t="str">
        <f t="shared" si="25"/>
        <v/>
      </c>
      <c r="M158" t="str">
        <f t="shared" si="25"/>
        <v/>
      </c>
      <c r="N158" t="str">
        <f t="shared" si="25"/>
        <v/>
      </c>
      <c r="O158" t="str">
        <f t="shared" si="25"/>
        <v/>
      </c>
      <c r="P158" t="str">
        <f t="shared" si="25"/>
        <v/>
      </c>
      <c r="Q158" t="str">
        <f t="shared" si="25"/>
        <v/>
      </c>
      <c r="R158">
        <f t="shared" si="24"/>
        <v>1.0112057123501712</v>
      </c>
      <c r="S158">
        <f t="shared" si="20"/>
        <v>901.8936393074714</v>
      </c>
    </row>
    <row r="159" spans="1:19" x14ac:dyDescent="0.25">
      <c r="A159" s="8">
        <v>41306</v>
      </c>
      <c r="B159" s="9">
        <f t="shared" si="21"/>
        <v>2</v>
      </c>
      <c r="C159">
        <v>828</v>
      </c>
      <c r="D159">
        <f t="shared" si="22"/>
        <v>897.5</v>
      </c>
      <c r="E159">
        <f t="shared" si="23"/>
        <v>0.92256267409470749</v>
      </c>
      <c r="F159" t="str">
        <f t="shared" si="18"/>
        <v/>
      </c>
      <c r="G159">
        <f t="shared" si="25"/>
        <v>0.92256267409470749</v>
      </c>
      <c r="H159" t="str">
        <f t="shared" si="25"/>
        <v/>
      </c>
      <c r="I159" t="str">
        <f t="shared" si="25"/>
        <v/>
      </c>
      <c r="J159" t="str">
        <f t="shared" si="25"/>
        <v/>
      </c>
      <c r="K159" t="str">
        <f t="shared" si="25"/>
        <v/>
      </c>
      <c r="L159" t="str">
        <f t="shared" si="25"/>
        <v/>
      </c>
      <c r="M159" t="str">
        <f t="shared" si="25"/>
        <v/>
      </c>
      <c r="N159" t="str">
        <f t="shared" si="25"/>
        <v/>
      </c>
      <c r="O159" t="str">
        <f t="shared" si="25"/>
        <v/>
      </c>
      <c r="P159" t="str">
        <f t="shared" si="25"/>
        <v/>
      </c>
      <c r="Q159" t="str">
        <f t="shared" si="25"/>
        <v/>
      </c>
      <c r="R159">
        <f t="shared" si="24"/>
        <v>0.88817803253104943</v>
      </c>
      <c r="S159">
        <f t="shared" si="20"/>
        <v>932.24552924422198</v>
      </c>
    </row>
    <row r="160" spans="1:19" x14ac:dyDescent="0.25">
      <c r="A160" s="8">
        <v>41334</v>
      </c>
      <c r="B160" s="9">
        <f t="shared" si="21"/>
        <v>3</v>
      </c>
      <c r="C160">
        <v>786</v>
      </c>
      <c r="D160">
        <f>(1/12)*( 0.5*C154+SUM(C155:C165)+0.5*C166 )</f>
        <v>888.58333333333326</v>
      </c>
      <c r="E160">
        <f t="shared" si="23"/>
        <v>0.88455406546000193</v>
      </c>
      <c r="F160" t="str">
        <f t="shared" si="18"/>
        <v/>
      </c>
      <c r="G160" t="str">
        <f t="shared" si="25"/>
        <v/>
      </c>
      <c r="H160">
        <f t="shared" si="25"/>
        <v>0.88455406546000193</v>
      </c>
      <c r="I160" t="str">
        <f t="shared" si="25"/>
        <v/>
      </c>
      <c r="J160" t="str">
        <f t="shared" si="25"/>
        <v/>
      </c>
      <c r="K160" t="str">
        <f t="shared" si="25"/>
        <v/>
      </c>
      <c r="L160" t="str">
        <f t="shared" si="25"/>
        <v/>
      </c>
      <c r="M160" t="str">
        <f t="shared" si="25"/>
        <v/>
      </c>
      <c r="N160" t="str">
        <f t="shared" si="25"/>
        <v/>
      </c>
      <c r="O160" t="str">
        <f t="shared" si="25"/>
        <v/>
      </c>
      <c r="P160" t="str">
        <f t="shared" si="25"/>
        <v/>
      </c>
      <c r="Q160" t="str">
        <f t="shared" si="25"/>
        <v/>
      </c>
      <c r="R160">
        <f t="shared" si="24"/>
        <v>0.90207326214817818</v>
      </c>
      <c r="S160">
        <f t="shared" si="20"/>
        <v>871.32612502917584</v>
      </c>
    </row>
    <row r="161" spans="1:19" x14ac:dyDescent="0.25">
      <c r="A161" s="8">
        <v>41365</v>
      </c>
      <c r="B161" s="9">
        <f t="shared" si="21"/>
        <v>4</v>
      </c>
      <c r="C161">
        <v>715</v>
      </c>
      <c r="D161">
        <f>(1/12)*( 0.5*C155+SUM(C156:C166)+0.5*C167 )</f>
        <v>884.29166666666663</v>
      </c>
      <c r="E161">
        <f t="shared" si="23"/>
        <v>0.80855675446449615</v>
      </c>
      <c r="F161" t="str">
        <f t="shared" si="18"/>
        <v/>
      </c>
      <c r="G161" t="str">
        <f t="shared" si="25"/>
        <v/>
      </c>
      <c r="H161" t="str">
        <f t="shared" si="25"/>
        <v/>
      </c>
      <c r="I161">
        <f t="shared" si="25"/>
        <v>0.80855675446449615</v>
      </c>
      <c r="J161" t="str">
        <f t="shared" si="25"/>
        <v/>
      </c>
      <c r="K161" t="str">
        <f t="shared" si="25"/>
        <v/>
      </c>
      <c r="L161" t="str">
        <f t="shared" si="25"/>
        <v/>
      </c>
      <c r="M161" t="str">
        <f t="shared" si="25"/>
        <v/>
      </c>
      <c r="N161" t="str">
        <f t="shared" si="25"/>
        <v/>
      </c>
      <c r="O161" t="str">
        <f t="shared" si="25"/>
        <v/>
      </c>
      <c r="P161" t="str">
        <f t="shared" si="25"/>
        <v/>
      </c>
      <c r="Q161" t="str">
        <f t="shared" si="25"/>
        <v/>
      </c>
      <c r="R161">
        <f t="shared" si="24"/>
        <v>0.8278598044138995</v>
      </c>
      <c r="S161">
        <f t="shared" si="20"/>
        <v>863.672805694678</v>
      </c>
    </row>
    <row r="162" spans="1:19" x14ac:dyDescent="0.25">
      <c r="A162" s="8">
        <v>41395</v>
      </c>
      <c r="B162" s="9">
        <f t="shared" si="21"/>
        <v>5</v>
      </c>
      <c r="C162">
        <v>811</v>
      </c>
      <c r="R162">
        <f t="shared" si="24"/>
        <v>0.88590789659293523</v>
      </c>
      <c r="S162">
        <f t="shared" si="20"/>
        <v>915.44505147654809</v>
      </c>
    </row>
    <row r="163" spans="1:19" x14ac:dyDescent="0.25">
      <c r="A163" s="8">
        <v>41426</v>
      </c>
      <c r="B163" s="9">
        <f t="shared" si="21"/>
        <v>6</v>
      </c>
      <c r="C163">
        <v>1086</v>
      </c>
      <c r="R163">
        <f t="shared" si="24"/>
        <v>1.1923572304821319</v>
      </c>
      <c r="S163">
        <f t="shared" si="20"/>
        <v>910.80086758971879</v>
      </c>
    </row>
    <row r="164" spans="1:19" x14ac:dyDescent="0.25">
      <c r="A164" s="8">
        <v>41456</v>
      </c>
      <c r="B164" s="9">
        <f t="shared" si="21"/>
        <v>7</v>
      </c>
      <c r="C164">
        <v>1073</v>
      </c>
      <c r="R164">
        <f t="shared" si="24"/>
        <v>1.3406882655295957</v>
      </c>
      <c r="S164">
        <f t="shared" si="20"/>
        <v>800.33519169808346</v>
      </c>
    </row>
    <row r="165" spans="1:19" x14ac:dyDescent="0.25">
      <c r="A165" s="8">
        <v>41487</v>
      </c>
      <c r="B165" s="9">
        <f t="shared" si="21"/>
        <v>8</v>
      </c>
      <c r="C165">
        <v>961</v>
      </c>
      <c r="R165">
        <f t="shared" si="24"/>
        <v>1.2923544769725261</v>
      </c>
      <c r="S165">
        <f t="shared" si="20"/>
        <v>743.60403211605046</v>
      </c>
    </row>
    <row r="166" spans="1:19" x14ac:dyDescent="0.25">
      <c r="A166" s="8">
        <v>41518</v>
      </c>
      <c r="B166" s="9">
        <f t="shared" si="21"/>
        <v>9</v>
      </c>
      <c r="C166">
        <v>827</v>
      </c>
      <c r="R166">
        <f t="shared" si="24"/>
        <v>1.0277851854043913</v>
      </c>
      <c r="S166">
        <f t="shared" si="20"/>
        <v>804.64284924929075</v>
      </c>
    </row>
    <row r="167" spans="1:19" x14ac:dyDescent="0.25">
      <c r="A167" s="8">
        <v>41548</v>
      </c>
      <c r="B167" s="9">
        <f t="shared" si="21"/>
        <v>10</v>
      </c>
      <c r="C167">
        <v>920</v>
      </c>
      <c r="R167">
        <f t="shared" si="24"/>
        <v>0.95789782990320982</v>
      </c>
      <c r="S167">
        <f t="shared" si="20"/>
        <v>960.43645917118408</v>
      </c>
    </row>
    <row r="168" spans="1:19" x14ac:dyDescent="0.25">
      <c r="F168">
        <f>AVERAGE(F8:F161)</f>
        <v>0.99829630223019394</v>
      </c>
      <c r="G168">
        <f t="shared" ref="G168:Q168" si="26">AVERAGE(G8:G161)</f>
        <v>0.87683923732700564</v>
      </c>
      <c r="H168">
        <f t="shared" si="26"/>
        <v>0.89055707552352825</v>
      </c>
      <c r="I168">
        <f t="shared" si="26"/>
        <v>0.81729105306439931</v>
      </c>
      <c r="J168">
        <f t="shared" si="26"/>
        <v>0.87459808274797124</v>
      </c>
      <c r="K168">
        <f t="shared" si="26"/>
        <v>1.1771351759487969</v>
      </c>
      <c r="L168">
        <f t="shared" si="26"/>
        <v>1.3235725644893617</v>
      </c>
      <c r="M168">
        <f t="shared" si="26"/>
        <v>1.2758558221885727</v>
      </c>
      <c r="N168">
        <f t="shared" si="26"/>
        <v>1.0146641158617902</v>
      </c>
      <c r="O168">
        <f t="shared" si="26"/>
        <v>0.94566896708308512</v>
      </c>
      <c r="P168">
        <f t="shared" si="26"/>
        <v>0.91632406307348979</v>
      </c>
      <c r="Q168">
        <f t="shared" si="26"/>
        <v>0.88008919901727667</v>
      </c>
    </row>
    <row r="169" spans="1:19" x14ac:dyDescent="0.25">
      <c r="F169" s="10">
        <f>F168/ (PRODUCT($F$168:$Q$168)^(1/12))</f>
        <v>1.0112057123501712</v>
      </c>
      <c r="G169" s="10">
        <f t="shared" ref="G169:Q169" si="27">G168/ (PRODUCT($F$168:$Q$168)^(1/12))</f>
        <v>0.88817803253104943</v>
      </c>
      <c r="H169" s="10">
        <f t="shared" si="27"/>
        <v>0.90207326214817818</v>
      </c>
      <c r="I169" s="10">
        <f t="shared" si="27"/>
        <v>0.8278598044138995</v>
      </c>
      <c r="J169" s="10">
        <f t="shared" si="27"/>
        <v>0.88590789659293523</v>
      </c>
      <c r="K169" s="10">
        <f t="shared" si="27"/>
        <v>1.1923572304821319</v>
      </c>
      <c r="L169" s="10">
        <f t="shared" si="27"/>
        <v>1.3406882655295957</v>
      </c>
      <c r="M169" s="10">
        <f t="shared" si="27"/>
        <v>1.2923544769725261</v>
      </c>
      <c r="N169" s="10">
        <f t="shared" si="27"/>
        <v>1.0277851854043913</v>
      </c>
      <c r="O169" s="10">
        <f t="shared" si="27"/>
        <v>0.95789782990320982</v>
      </c>
      <c r="P169" s="10">
        <f t="shared" si="27"/>
        <v>0.92817345398738293</v>
      </c>
      <c r="Q169" s="10">
        <f t="shared" si="27"/>
        <v>0.89147002091043093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56"/>
  <sheetViews>
    <sheetView workbookViewId="0"/>
  </sheetViews>
  <sheetFormatPr defaultRowHeight="15" x14ac:dyDescent="0.25"/>
  <cols>
    <col min="2" max="2" width="8.85546875" style="9"/>
  </cols>
  <sheetData>
    <row r="1" spans="1:21" ht="14.45" x14ac:dyDescent="0.3">
      <c r="A1" s="6" t="s">
        <v>37</v>
      </c>
      <c r="B1" s="7" t="s">
        <v>38</v>
      </c>
      <c r="C1" s="6" t="s">
        <v>39</v>
      </c>
      <c r="D1" s="6" t="s">
        <v>40</v>
      </c>
      <c r="E1" s="6" t="s">
        <v>41</v>
      </c>
      <c r="F1">
        <v>1</v>
      </c>
      <c r="G1">
        <f>F1+1</f>
        <v>2</v>
      </c>
      <c r="H1">
        <f t="shared" ref="H1:P1" si="0">G1+1</f>
        <v>3</v>
      </c>
      <c r="I1">
        <f t="shared" si="0"/>
        <v>4</v>
      </c>
      <c r="J1">
        <f t="shared" si="0"/>
        <v>5</v>
      </c>
      <c r="K1">
        <f t="shared" si="0"/>
        <v>6</v>
      </c>
      <c r="L1">
        <f t="shared" si="0"/>
        <v>7</v>
      </c>
      <c r="M1">
        <f t="shared" si="0"/>
        <v>8</v>
      </c>
      <c r="N1">
        <f t="shared" si="0"/>
        <v>9</v>
      </c>
      <c r="O1">
        <f t="shared" si="0"/>
        <v>10</v>
      </c>
      <c r="P1">
        <f t="shared" si="0"/>
        <v>11</v>
      </c>
      <c r="Q1">
        <f>P1+1</f>
        <v>12</v>
      </c>
      <c r="R1" s="6" t="s">
        <v>42</v>
      </c>
      <c r="S1" s="6" t="s">
        <v>43</v>
      </c>
    </row>
    <row r="2" spans="1:21" ht="14.45" x14ac:dyDescent="0.3">
      <c r="A2" s="8">
        <v>36861</v>
      </c>
      <c r="B2" s="9">
        <v>12</v>
      </c>
      <c r="C2" s="5">
        <v>429</v>
      </c>
      <c r="R2">
        <f>Q156</f>
        <v>0.91458648407659837</v>
      </c>
      <c r="S2">
        <f t="shared" ref="S2:S33" si="1">C2/R2</f>
        <v>469.06444329661713</v>
      </c>
      <c r="U2" s="5"/>
    </row>
    <row r="3" spans="1:21" ht="14.45" x14ac:dyDescent="0.3">
      <c r="A3" s="8">
        <v>36892</v>
      </c>
      <c r="B3" s="9">
        <f>IF(B2=12,1,B2+1)</f>
        <v>1</v>
      </c>
      <c r="C3" s="5">
        <v>468</v>
      </c>
      <c r="R3">
        <f>F156</f>
        <v>0.9447245466877463</v>
      </c>
      <c r="S3">
        <f t="shared" si="1"/>
        <v>495.3824917970349</v>
      </c>
      <c r="U3" s="5"/>
    </row>
    <row r="4" spans="1:21" ht="14.45" x14ac:dyDescent="0.3">
      <c r="A4" s="8">
        <v>36923</v>
      </c>
      <c r="B4" s="9">
        <f t="shared" ref="B4:B67" si="2">IF(B3=12,1,B3+1)</f>
        <v>2</v>
      </c>
      <c r="C4" s="5">
        <v>398</v>
      </c>
      <c r="R4">
        <f>G156</f>
        <v>0.95740708992609791</v>
      </c>
      <c r="S4">
        <f t="shared" si="1"/>
        <v>415.70613398185878</v>
      </c>
      <c r="U4" s="5"/>
    </row>
    <row r="5" spans="1:21" ht="14.45" x14ac:dyDescent="0.3">
      <c r="A5" s="8">
        <v>36951</v>
      </c>
      <c r="B5" s="9">
        <f t="shared" si="2"/>
        <v>3</v>
      </c>
      <c r="C5" s="5">
        <v>441</v>
      </c>
      <c r="R5">
        <f>H156</f>
        <v>1.0167264528055464</v>
      </c>
      <c r="S5">
        <f t="shared" si="1"/>
        <v>433.74498497910457</v>
      </c>
      <c r="U5" s="5"/>
    </row>
    <row r="6" spans="1:21" ht="14.45" x14ac:dyDescent="0.3">
      <c r="A6" s="8">
        <v>36982</v>
      </c>
      <c r="B6" s="9">
        <f t="shared" si="2"/>
        <v>4</v>
      </c>
      <c r="C6" s="5">
        <v>467</v>
      </c>
      <c r="R6">
        <f>I156</f>
        <v>1.0806768925923931</v>
      </c>
      <c r="S6">
        <f t="shared" si="1"/>
        <v>432.13656477814766</v>
      </c>
      <c r="U6" s="5"/>
    </row>
    <row r="7" spans="1:21" ht="14.45" x14ac:dyDescent="0.3">
      <c r="A7" s="8">
        <v>37012</v>
      </c>
      <c r="B7" s="9">
        <f t="shared" si="2"/>
        <v>5</v>
      </c>
      <c r="C7" s="5">
        <v>521</v>
      </c>
      <c r="R7">
        <f>J156</f>
        <v>1.0380260515064865</v>
      </c>
      <c r="S7">
        <f t="shared" si="1"/>
        <v>501.91418533655587</v>
      </c>
      <c r="U7" s="5"/>
    </row>
    <row r="8" spans="1:21" ht="14.45" x14ac:dyDescent="0.3">
      <c r="A8" s="8">
        <v>37043</v>
      </c>
      <c r="B8" s="9">
        <f t="shared" si="2"/>
        <v>6</v>
      </c>
      <c r="C8" s="5">
        <v>574</v>
      </c>
      <c r="D8">
        <f t="shared" ref="D8:D39" si="3">(1/12)*( 0.5*C2+SUM(C3:C13)+0.5*C14 )</f>
        <v>449.75</v>
      </c>
      <c r="E8">
        <f t="shared" ref="E8:E39" si="4">C8/D8</f>
        <v>1.2762645914396886</v>
      </c>
      <c r="F8" t="str">
        <f>IF($B8=F$1,$E8, "")</f>
        <v/>
      </c>
      <c r="G8" t="str">
        <f t="shared" ref="G8:Q23" si="5">IF($B8=G$1,$E8, "")</f>
        <v/>
      </c>
      <c r="H8" t="str">
        <f t="shared" si="5"/>
        <v/>
      </c>
      <c r="I8" t="str">
        <f t="shared" si="5"/>
        <v/>
      </c>
      <c r="J8" t="str">
        <f t="shared" si="5"/>
        <v/>
      </c>
      <c r="K8">
        <f t="shared" si="5"/>
        <v>1.2762645914396886</v>
      </c>
      <c r="L8" t="str">
        <f t="shared" si="5"/>
        <v/>
      </c>
      <c r="M8" t="str">
        <f t="shared" si="5"/>
        <v/>
      </c>
      <c r="N8" t="str">
        <f t="shared" si="5"/>
        <v/>
      </c>
      <c r="O8" t="str">
        <f t="shared" si="5"/>
        <v/>
      </c>
      <c r="P8" t="str">
        <f t="shared" si="5"/>
        <v/>
      </c>
      <c r="Q8" t="str">
        <f t="shared" si="5"/>
        <v/>
      </c>
      <c r="R8">
        <f>K156</f>
        <v>1.116110197693907</v>
      </c>
      <c r="S8">
        <f t="shared" si="1"/>
        <v>514.28613517374151</v>
      </c>
      <c r="U8" s="5"/>
    </row>
    <row r="9" spans="1:21" ht="14.45" x14ac:dyDescent="0.3">
      <c r="A9" s="8">
        <v>37073</v>
      </c>
      <c r="B9" s="9">
        <f t="shared" si="2"/>
        <v>7</v>
      </c>
      <c r="C9" s="5">
        <v>477</v>
      </c>
      <c r="D9">
        <f t="shared" si="3"/>
        <v>442.625</v>
      </c>
      <c r="E9">
        <f t="shared" si="4"/>
        <v>1.0776616774922338</v>
      </c>
      <c r="F9" t="str">
        <f t="shared" ref="F9:Q40" si="6">IF($B9=F$1,$E9, "")</f>
        <v/>
      </c>
      <c r="G9" t="str">
        <f t="shared" si="5"/>
        <v/>
      </c>
      <c r="H9" t="str">
        <f t="shared" si="5"/>
        <v/>
      </c>
      <c r="I9" t="str">
        <f t="shared" si="5"/>
        <v/>
      </c>
      <c r="J9" t="str">
        <f t="shared" si="5"/>
        <v/>
      </c>
      <c r="K9" t="str">
        <f t="shared" si="5"/>
        <v/>
      </c>
      <c r="L9">
        <f t="shared" si="5"/>
        <v>1.0776616774922338</v>
      </c>
      <c r="M9" t="str">
        <f t="shared" si="5"/>
        <v/>
      </c>
      <c r="N9" t="str">
        <f t="shared" si="5"/>
        <v/>
      </c>
      <c r="O9" t="str">
        <f t="shared" si="5"/>
        <v/>
      </c>
      <c r="P9" t="str">
        <f t="shared" si="5"/>
        <v/>
      </c>
      <c r="Q9" t="str">
        <f t="shared" si="5"/>
        <v/>
      </c>
      <c r="R9">
        <f>L156</f>
        <v>1.0629349580535654</v>
      </c>
      <c r="S9">
        <f t="shared" si="1"/>
        <v>448.75746760034787</v>
      </c>
      <c r="U9" s="5"/>
    </row>
    <row r="10" spans="1:21" ht="14.45" x14ac:dyDescent="0.3">
      <c r="A10" s="8">
        <v>37104</v>
      </c>
      <c r="B10" s="9">
        <f t="shared" si="2"/>
        <v>8</v>
      </c>
      <c r="C10" s="5">
        <v>492</v>
      </c>
      <c r="D10">
        <f t="shared" si="3"/>
        <v>438.625</v>
      </c>
      <c r="E10">
        <f t="shared" si="4"/>
        <v>1.1216870903391281</v>
      </c>
      <c r="F10" t="str">
        <f t="shared" si="6"/>
        <v/>
      </c>
      <c r="G10" t="str">
        <f t="shared" si="5"/>
        <v/>
      </c>
      <c r="H10" t="str">
        <f t="shared" si="5"/>
        <v/>
      </c>
      <c r="I10" t="str">
        <f t="shared" si="5"/>
        <v/>
      </c>
      <c r="J10" t="str">
        <f t="shared" si="5"/>
        <v/>
      </c>
      <c r="K10" t="str">
        <f t="shared" si="5"/>
        <v/>
      </c>
      <c r="L10" t="str">
        <f t="shared" si="5"/>
        <v/>
      </c>
      <c r="M10">
        <f t="shared" si="5"/>
        <v>1.1216870903391281</v>
      </c>
      <c r="N10" t="str">
        <f t="shared" si="5"/>
        <v/>
      </c>
      <c r="O10" t="str">
        <f t="shared" si="5"/>
        <v/>
      </c>
      <c r="P10" t="str">
        <f t="shared" si="5"/>
        <v/>
      </c>
      <c r="Q10" t="str">
        <f t="shared" si="5"/>
        <v/>
      </c>
      <c r="R10">
        <f>M156</f>
        <v>1.0430405609995839</v>
      </c>
      <c r="S10">
        <f t="shared" si="1"/>
        <v>471.69785950461835</v>
      </c>
      <c r="U10" s="5"/>
    </row>
    <row r="11" spans="1:21" ht="14.45" x14ac:dyDescent="0.3">
      <c r="A11" s="8">
        <v>37135</v>
      </c>
      <c r="B11" s="9">
        <f t="shared" si="2"/>
        <v>9</v>
      </c>
      <c r="C11" s="5">
        <v>349</v>
      </c>
      <c r="D11">
        <f t="shared" si="3"/>
        <v>438.41666666666663</v>
      </c>
      <c r="E11">
        <f t="shared" si="4"/>
        <v>0.79604637901539643</v>
      </c>
      <c r="F11" t="str">
        <f t="shared" si="6"/>
        <v/>
      </c>
      <c r="G11" t="str">
        <f t="shared" si="5"/>
        <v/>
      </c>
      <c r="H11" t="str">
        <f t="shared" si="5"/>
        <v/>
      </c>
      <c r="I11" t="str">
        <f t="shared" si="5"/>
        <v/>
      </c>
      <c r="J11" t="str">
        <f t="shared" si="5"/>
        <v/>
      </c>
      <c r="K11" t="str">
        <f t="shared" si="5"/>
        <v/>
      </c>
      <c r="L11" t="str">
        <f t="shared" si="5"/>
        <v/>
      </c>
      <c r="M11" t="str">
        <f t="shared" si="5"/>
        <v/>
      </c>
      <c r="N11">
        <f t="shared" si="5"/>
        <v>0.79604637901539643</v>
      </c>
      <c r="O11" t="str">
        <f t="shared" si="5"/>
        <v/>
      </c>
      <c r="P11" t="str">
        <f t="shared" si="5"/>
        <v/>
      </c>
      <c r="Q11" t="str">
        <f t="shared" si="5"/>
        <v/>
      </c>
      <c r="R11">
        <f>N156</f>
        <v>0.94657387376024194</v>
      </c>
      <c r="S11">
        <f t="shared" si="1"/>
        <v>368.69811186907776</v>
      </c>
      <c r="U11" s="5"/>
    </row>
    <row r="12" spans="1:21" ht="14.45" x14ac:dyDescent="0.3">
      <c r="A12" s="8">
        <v>37165</v>
      </c>
      <c r="B12" s="9">
        <f t="shared" si="2"/>
        <v>10</v>
      </c>
      <c r="C12" s="5">
        <v>418</v>
      </c>
      <c r="D12">
        <f t="shared" si="3"/>
        <v>434.66666666666663</v>
      </c>
      <c r="E12">
        <f t="shared" si="4"/>
        <v>0.96165644171779152</v>
      </c>
      <c r="F12" t="str">
        <f t="shared" si="6"/>
        <v/>
      </c>
      <c r="G12" t="str">
        <f t="shared" si="5"/>
        <v/>
      </c>
      <c r="H12" t="str">
        <f t="shared" si="5"/>
        <v/>
      </c>
      <c r="I12" t="str">
        <f t="shared" si="5"/>
        <v/>
      </c>
      <c r="J12" t="str">
        <f t="shared" si="5"/>
        <v/>
      </c>
      <c r="K12" t="str">
        <f t="shared" si="5"/>
        <v/>
      </c>
      <c r="L12" t="str">
        <f t="shared" si="5"/>
        <v/>
      </c>
      <c r="M12" t="str">
        <f t="shared" si="5"/>
        <v/>
      </c>
      <c r="N12" t="str">
        <f t="shared" si="5"/>
        <v/>
      </c>
      <c r="O12">
        <f t="shared" si="5"/>
        <v>0.96165644171779152</v>
      </c>
      <c r="P12" t="str">
        <f t="shared" si="5"/>
        <v/>
      </c>
      <c r="Q12" t="str">
        <f t="shared" si="5"/>
        <v/>
      </c>
      <c r="R12">
        <f>O156</f>
        <v>0.99267321089541272</v>
      </c>
      <c r="S12">
        <f t="shared" si="1"/>
        <v>421.08520247358638</v>
      </c>
      <c r="U12" s="5"/>
    </row>
    <row r="13" spans="1:21" ht="14.45" x14ac:dyDescent="0.3">
      <c r="A13" s="8">
        <v>37196</v>
      </c>
      <c r="B13" s="9">
        <f t="shared" si="2"/>
        <v>11</v>
      </c>
      <c r="C13" s="5">
        <v>395</v>
      </c>
      <c r="D13">
        <f t="shared" si="3"/>
        <v>429.54166666666663</v>
      </c>
      <c r="E13">
        <f t="shared" si="4"/>
        <v>0.9195848287903774</v>
      </c>
      <c r="F13" t="str">
        <f t="shared" si="6"/>
        <v/>
      </c>
      <c r="G13" t="str">
        <f t="shared" si="5"/>
        <v/>
      </c>
      <c r="H13" t="str">
        <f t="shared" si="5"/>
        <v/>
      </c>
      <c r="I13" t="str">
        <f t="shared" si="5"/>
        <v/>
      </c>
      <c r="J13" t="str">
        <f t="shared" si="5"/>
        <v/>
      </c>
      <c r="K13" t="str">
        <f t="shared" si="5"/>
        <v/>
      </c>
      <c r="L13" t="str">
        <f t="shared" si="5"/>
        <v/>
      </c>
      <c r="M13" t="str">
        <f t="shared" si="5"/>
        <v/>
      </c>
      <c r="N13" t="str">
        <f t="shared" si="5"/>
        <v/>
      </c>
      <c r="O13" t="str">
        <f t="shared" si="5"/>
        <v/>
      </c>
      <c r="P13">
        <f t="shared" si="5"/>
        <v>0.9195848287903774</v>
      </c>
      <c r="Q13" t="str">
        <f t="shared" si="5"/>
        <v/>
      </c>
      <c r="R13">
        <f>P156</f>
        <v>0.91156860894280367</v>
      </c>
      <c r="S13">
        <f t="shared" si="1"/>
        <v>433.31900212985971</v>
      </c>
      <c r="U13" s="5"/>
    </row>
    <row r="14" spans="1:21" ht="14.45" x14ac:dyDescent="0.3">
      <c r="A14" s="8">
        <v>37226</v>
      </c>
      <c r="B14" s="9">
        <f t="shared" si="2"/>
        <v>12</v>
      </c>
      <c r="C14" s="5">
        <v>365</v>
      </c>
      <c r="D14">
        <f t="shared" si="3"/>
        <v>421.20833333333331</v>
      </c>
      <c r="E14">
        <f t="shared" si="4"/>
        <v>0.86655455534672077</v>
      </c>
      <c r="F14" t="str">
        <f t="shared" si="6"/>
        <v/>
      </c>
      <c r="G14" t="str">
        <f t="shared" si="5"/>
        <v/>
      </c>
      <c r="H14" t="str">
        <f t="shared" si="5"/>
        <v/>
      </c>
      <c r="I14" t="str">
        <f t="shared" si="5"/>
        <v/>
      </c>
      <c r="J14" t="str">
        <f t="shared" si="5"/>
        <v/>
      </c>
      <c r="K14" t="str">
        <f t="shared" si="5"/>
        <v/>
      </c>
      <c r="L14" t="str">
        <f t="shared" si="5"/>
        <v/>
      </c>
      <c r="M14" t="str">
        <f t="shared" si="5"/>
        <v/>
      </c>
      <c r="N14" t="str">
        <f t="shared" si="5"/>
        <v/>
      </c>
      <c r="O14" t="str">
        <f t="shared" si="5"/>
        <v/>
      </c>
      <c r="P14" t="str">
        <f t="shared" si="5"/>
        <v/>
      </c>
      <c r="Q14">
        <f t="shared" si="5"/>
        <v>0.86655455534672077</v>
      </c>
      <c r="R14">
        <f>R2</f>
        <v>0.91458648407659837</v>
      </c>
      <c r="S14">
        <f t="shared" si="1"/>
        <v>399.0874634108747</v>
      </c>
      <c r="U14" s="5"/>
    </row>
    <row r="15" spans="1:21" ht="14.45" x14ac:dyDescent="0.3">
      <c r="A15" s="8">
        <v>37257</v>
      </c>
      <c r="B15" s="9">
        <f t="shared" si="2"/>
        <v>1</v>
      </c>
      <c r="C15" s="5">
        <v>361</v>
      </c>
      <c r="D15">
        <f t="shared" si="3"/>
        <v>413.20833333333331</v>
      </c>
      <c r="E15">
        <f t="shared" si="4"/>
        <v>0.87365130583845929</v>
      </c>
      <c r="F15">
        <f t="shared" si="6"/>
        <v>0.87365130583845929</v>
      </c>
      <c r="G15" t="str">
        <f t="shared" si="5"/>
        <v/>
      </c>
      <c r="H15" t="str">
        <f t="shared" si="5"/>
        <v/>
      </c>
      <c r="I15" t="str">
        <f t="shared" si="5"/>
        <v/>
      </c>
      <c r="J15" t="str">
        <f t="shared" si="5"/>
        <v/>
      </c>
      <c r="K15" t="str">
        <f t="shared" si="5"/>
        <v/>
      </c>
      <c r="L15" t="str">
        <f t="shared" si="5"/>
        <v/>
      </c>
      <c r="M15" t="str">
        <f t="shared" si="5"/>
        <v/>
      </c>
      <c r="N15" t="str">
        <f t="shared" si="5"/>
        <v/>
      </c>
      <c r="O15" t="str">
        <f t="shared" si="5"/>
        <v/>
      </c>
      <c r="P15" t="str">
        <f t="shared" si="5"/>
        <v/>
      </c>
      <c r="Q15" t="str">
        <f t="shared" si="5"/>
        <v/>
      </c>
      <c r="R15">
        <f t="shared" ref="R15:R78" si="7">R3</f>
        <v>0.9447245466877463</v>
      </c>
      <c r="S15">
        <f t="shared" si="1"/>
        <v>382.12196482634528</v>
      </c>
      <c r="U15" s="5"/>
    </row>
    <row r="16" spans="1:21" ht="14.45" x14ac:dyDescent="0.3">
      <c r="A16" s="8">
        <v>37288</v>
      </c>
      <c r="B16" s="9">
        <f t="shared" si="2"/>
        <v>2</v>
      </c>
      <c r="C16" s="5">
        <v>409</v>
      </c>
      <c r="D16">
        <f t="shared" si="3"/>
        <v>409.29166666666663</v>
      </c>
      <c r="E16">
        <f t="shared" si="4"/>
        <v>0.99928738674539352</v>
      </c>
      <c r="F16" t="str">
        <f t="shared" si="6"/>
        <v/>
      </c>
      <c r="G16">
        <f t="shared" si="5"/>
        <v>0.99928738674539352</v>
      </c>
      <c r="H16" t="str">
        <f t="shared" si="5"/>
        <v/>
      </c>
      <c r="I16" t="str">
        <f t="shared" si="5"/>
        <v/>
      </c>
      <c r="J16" t="str">
        <f t="shared" si="5"/>
        <v/>
      </c>
      <c r="K16" t="str">
        <f t="shared" si="5"/>
        <v/>
      </c>
      <c r="L16" t="str">
        <f t="shared" si="5"/>
        <v/>
      </c>
      <c r="M16" t="str">
        <f t="shared" si="5"/>
        <v/>
      </c>
      <c r="N16" t="str">
        <f t="shared" si="5"/>
        <v/>
      </c>
      <c r="O16" t="str">
        <f t="shared" si="5"/>
        <v/>
      </c>
      <c r="P16" t="str">
        <f t="shared" si="5"/>
        <v/>
      </c>
      <c r="Q16" t="str">
        <f t="shared" si="5"/>
        <v/>
      </c>
      <c r="R16">
        <f t="shared" si="7"/>
        <v>0.95740708992609791</v>
      </c>
      <c r="S16">
        <f t="shared" si="1"/>
        <v>427.19549949392024</v>
      </c>
      <c r="U16" s="5"/>
    </row>
    <row r="17" spans="1:21" ht="14.45" x14ac:dyDescent="0.3">
      <c r="A17" s="8">
        <v>37316</v>
      </c>
      <c r="B17" s="9">
        <f t="shared" si="2"/>
        <v>3</v>
      </c>
      <c r="C17" s="5">
        <v>425</v>
      </c>
      <c r="D17">
        <f t="shared" si="3"/>
        <v>407.70833333333331</v>
      </c>
      <c r="E17">
        <f t="shared" si="4"/>
        <v>1.0424118548799184</v>
      </c>
      <c r="F17" t="str">
        <f t="shared" si="6"/>
        <v/>
      </c>
      <c r="G17" t="str">
        <f t="shared" si="5"/>
        <v/>
      </c>
      <c r="H17">
        <f t="shared" si="5"/>
        <v>1.0424118548799184</v>
      </c>
      <c r="I17" t="str">
        <f t="shared" si="5"/>
        <v/>
      </c>
      <c r="J17" t="str">
        <f t="shared" si="5"/>
        <v/>
      </c>
      <c r="K17" t="str">
        <f t="shared" si="5"/>
        <v/>
      </c>
      <c r="L17" t="str">
        <f t="shared" si="5"/>
        <v/>
      </c>
      <c r="M17" t="str">
        <f t="shared" si="5"/>
        <v/>
      </c>
      <c r="N17" t="str">
        <f t="shared" si="5"/>
        <v/>
      </c>
      <c r="O17" t="str">
        <f t="shared" si="5"/>
        <v/>
      </c>
      <c r="P17" t="str">
        <f t="shared" si="5"/>
        <v/>
      </c>
      <c r="Q17" t="str">
        <f t="shared" si="5"/>
        <v/>
      </c>
      <c r="R17">
        <f t="shared" si="7"/>
        <v>1.0167264528055464</v>
      </c>
      <c r="S17">
        <f t="shared" si="1"/>
        <v>418.00820547872888</v>
      </c>
      <c r="U17" s="5"/>
    </row>
    <row r="18" spans="1:21" ht="14.45" x14ac:dyDescent="0.3">
      <c r="A18" s="8">
        <v>37347</v>
      </c>
      <c r="B18" s="9">
        <f t="shared" si="2"/>
        <v>4</v>
      </c>
      <c r="C18" s="5">
        <v>393</v>
      </c>
      <c r="D18">
        <f t="shared" si="3"/>
        <v>406.875</v>
      </c>
      <c r="E18">
        <f t="shared" si="4"/>
        <v>0.96589861751152073</v>
      </c>
      <c r="F18" t="str">
        <f t="shared" si="6"/>
        <v/>
      </c>
      <c r="G18" t="str">
        <f t="shared" si="5"/>
        <v/>
      </c>
      <c r="H18" t="str">
        <f t="shared" si="5"/>
        <v/>
      </c>
      <c r="I18">
        <f t="shared" si="5"/>
        <v>0.96589861751152073</v>
      </c>
      <c r="J18" t="str">
        <f t="shared" si="5"/>
        <v/>
      </c>
      <c r="K18" t="str">
        <f t="shared" si="5"/>
        <v/>
      </c>
      <c r="L18" t="str">
        <f t="shared" si="5"/>
        <v/>
      </c>
      <c r="M18" t="str">
        <f t="shared" si="5"/>
        <v/>
      </c>
      <c r="N18" t="str">
        <f t="shared" si="5"/>
        <v/>
      </c>
      <c r="O18" t="str">
        <f t="shared" si="5"/>
        <v/>
      </c>
      <c r="P18" t="str">
        <f t="shared" si="5"/>
        <v/>
      </c>
      <c r="Q18" t="str">
        <f t="shared" si="5"/>
        <v/>
      </c>
      <c r="R18">
        <f t="shared" si="7"/>
        <v>1.0806768925923931</v>
      </c>
      <c r="S18">
        <f t="shared" si="1"/>
        <v>363.66096350709216</v>
      </c>
      <c r="U18" s="5"/>
    </row>
    <row r="19" spans="1:21" ht="14.45" x14ac:dyDescent="0.3">
      <c r="A19" s="8">
        <v>37377</v>
      </c>
      <c r="B19" s="9">
        <f t="shared" si="2"/>
        <v>5</v>
      </c>
      <c r="C19" s="5">
        <v>472</v>
      </c>
      <c r="D19">
        <f t="shared" si="3"/>
        <v>405.33333333333331</v>
      </c>
      <c r="E19">
        <f t="shared" si="4"/>
        <v>1.1644736842105263</v>
      </c>
      <c r="F19" t="str">
        <f t="shared" si="6"/>
        <v/>
      </c>
      <c r="G19" t="str">
        <f t="shared" si="5"/>
        <v/>
      </c>
      <c r="H19" t="str">
        <f t="shared" si="5"/>
        <v/>
      </c>
      <c r="I19" t="str">
        <f t="shared" si="5"/>
        <v/>
      </c>
      <c r="J19">
        <f t="shared" si="5"/>
        <v>1.1644736842105263</v>
      </c>
      <c r="K19" t="str">
        <f t="shared" si="5"/>
        <v/>
      </c>
      <c r="L19" t="str">
        <f t="shared" si="5"/>
        <v/>
      </c>
      <c r="M19" t="str">
        <f t="shared" si="5"/>
        <v/>
      </c>
      <c r="N19" t="str">
        <f t="shared" si="5"/>
        <v/>
      </c>
      <c r="O19" t="str">
        <f t="shared" si="5"/>
        <v/>
      </c>
      <c r="P19" t="str">
        <f t="shared" si="5"/>
        <v/>
      </c>
      <c r="Q19" t="str">
        <f t="shared" si="5"/>
        <v/>
      </c>
      <c r="R19">
        <f t="shared" si="7"/>
        <v>1.0380260515064865</v>
      </c>
      <c r="S19">
        <f t="shared" si="1"/>
        <v>454.70920437400076</v>
      </c>
      <c r="U19" s="5"/>
    </row>
    <row r="20" spans="1:21" ht="14.45" x14ac:dyDescent="0.3">
      <c r="A20" s="8">
        <v>37408</v>
      </c>
      <c r="B20" s="9">
        <f t="shared" si="2"/>
        <v>6</v>
      </c>
      <c r="C20" s="5">
        <v>423</v>
      </c>
      <c r="D20">
        <f t="shared" si="3"/>
        <v>403.33333333333331</v>
      </c>
      <c r="E20">
        <f t="shared" si="4"/>
        <v>1.0487603305785125</v>
      </c>
      <c r="F20" t="str">
        <f t="shared" si="6"/>
        <v/>
      </c>
      <c r="G20" t="str">
        <f t="shared" si="5"/>
        <v/>
      </c>
      <c r="H20" t="str">
        <f t="shared" si="5"/>
        <v/>
      </c>
      <c r="I20" t="str">
        <f t="shared" si="5"/>
        <v/>
      </c>
      <c r="J20" t="str">
        <f t="shared" si="5"/>
        <v/>
      </c>
      <c r="K20">
        <f t="shared" si="5"/>
        <v>1.0487603305785125</v>
      </c>
      <c r="L20" t="str">
        <f t="shared" si="5"/>
        <v/>
      </c>
      <c r="M20" t="str">
        <f t="shared" si="5"/>
        <v/>
      </c>
      <c r="N20" t="str">
        <f t="shared" si="5"/>
        <v/>
      </c>
      <c r="O20" t="str">
        <f t="shared" si="5"/>
        <v/>
      </c>
      <c r="P20" t="str">
        <f t="shared" si="5"/>
        <v/>
      </c>
      <c r="Q20" t="str">
        <f t="shared" si="5"/>
        <v/>
      </c>
      <c r="R20">
        <f t="shared" si="7"/>
        <v>1.116110197693907</v>
      </c>
      <c r="S20">
        <f t="shared" si="1"/>
        <v>378.99483480573633</v>
      </c>
      <c r="U20" s="5"/>
    </row>
    <row r="21" spans="1:21" ht="14.45" x14ac:dyDescent="0.3">
      <c r="A21" s="8">
        <v>37438</v>
      </c>
      <c r="B21" s="9">
        <f t="shared" si="2"/>
        <v>7</v>
      </c>
      <c r="C21" s="5">
        <v>436</v>
      </c>
      <c r="D21">
        <f t="shared" si="3"/>
        <v>402.79166666666663</v>
      </c>
      <c r="E21">
        <f t="shared" si="4"/>
        <v>1.0824454329161064</v>
      </c>
      <c r="F21" t="str">
        <f t="shared" si="6"/>
        <v/>
      </c>
      <c r="G21" t="str">
        <f t="shared" si="5"/>
        <v/>
      </c>
      <c r="H21" t="str">
        <f t="shared" si="5"/>
        <v/>
      </c>
      <c r="I21" t="str">
        <f t="shared" si="5"/>
        <v/>
      </c>
      <c r="J21" t="str">
        <f t="shared" si="5"/>
        <v/>
      </c>
      <c r="K21" t="str">
        <f t="shared" si="5"/>
        <v/>
      </c>
      <c r="L21">
        <f t="shared" si="5"/>
        <v>1.0824454329161064</v>
      </c>
      <c r="M21" t="str">
        <f t="shared" si="5"/>
        <v/>
      </c>
      <c r="N21" t="str">
        <f t="shared" si="5"/>
        <v/>
      </c>
      <c r="O21" t="str">
        <f t="shared" si="5"/>
        <v/>
      </c>
      <c r="P21" t="str">
        <f t="shared" si="5"/>
        <v/>
      </c>
      <c r="Q21" t="str">
        <f t="shared" si="5"/>
        <v/>
      </c>
      <c r="R21">
        <f t="shared" si="7"/>
        <v>1.0629349580535654</v>
      </c>
      <c r="S21">
        <f t="shared" si="1"/>
        <v>410.18502279612511</v>
      </c>
      <c r="U21" s="5"/>
    </row>
    <row r="22" spans="1:21" ht="14.45" x14ac:dyDescent="0.3">
      <c r="A22" s="8">
        <v>37469</v>
      </c>
      <c r="B22" s="9">
        <f t="shared" si="2"/>
        <v>8</v>
      </c>
      <c r="C22" s="5">
        <v>439</v>
      </c>
      <c r="D22">
        <f t="shared" si="3"/>
        <v>401.75</v>
      </c>
      <c r="E22">
        <f t="shared" si="4"/>
        <v>1.0927193528313628</v>
      </c>
      <c r="F22" t="str">
        <f t="shared" si="6"/>
        <v/>
      </c>
      <c r="G22" t="str">
        <f t="shared" si="5"/>
        <v/>
      </c>
      <c r="H22" t="str">
        <f t="shared" si="5"/>
        <v/>
      </c>
      <c r="I22" t="str">
        <f t="shared" si="5"/>
        <v/>
      </c>
      <c r="J22" t="str">
        <f t="shared" si="5"/>
        <v/>
      </c>
      <c r="K22" t="str">
        <f t="shared" si="5"/>
        <v/>
      </c>
      <c r="L22" t="str">
        <f t="shared" si="5"/>
        <v/>
      </c>
      <c r="M22">
        <f t="shared" si="5"/>
        <v>1.0927193528313628</v>
      </c>
      <c r="N22" t="str">
        <f t="shared" si="5"/>
        <v/>
      </c>
      <c r="O22" t="str">
        <f t="shared" si="5"/>
        <v/>
      </c>
      <c r="P22" t="str">
        <f t="shared" si="5"/>
        <v/>
      </c>
      <c r="Q22" t="str">
        <f t="shared" si="5"/>
        <v/>
      </c>
      <c r="R22">
        <f t="shared" si="7"/>
        <v>1.0430405609995839</v>
      </c>
      <c r="S22">
        <f t="shared" si="1"/>
        <v>420.88487870432408</v>
      </c>
      <c r="U22" s="5"/>
    </row>
    <row r="23" spans="1:21" ht="14.45" x14ac:dyDescent="0.3">
      <c r="A23" s="8">
        <v>37500</v>
      </c>
      <c r="B23" s="9">
        <f t="shared" si="2"/>
        <v>9</v>
      </c>
      <c r="C23" s="5">
        <v>364</v>
      </c>
      <c r="D23">
        <f t="shared" si="3"/>
        <v>396.20833333333331</v>
      </c>
      <c r="E23">
        <f t="shared" si="4"/>
        <v>0.91870859186034293</v>
      </c>
      <c r="F23" t="str">
        <f t="shared" si="6"/>
        <v/>
      </c>
      <c r="G23" t="str">
        <f t="shared" si="5"/>
        <v/>
      </c>
      <c r="H23" t="str">
        <f t="shared" si="5"/>
        <v/>
      </c>
      <c r="I23" t="str">
        <f t="shared" si="5"/>
        <v/>
      </c>
      <c r="J23" t="str">
        <f t="shared" si="5"/>
        <v/>
      </c>
      <c r="K23" t="str">
        <f t="shared" si="5"/>
        <v/>
      </c>
      <c r="L23" t="str">
        <f t="shared" si="5"/>
        <v/>
      </c>
      <c r="M23" t="str">
        <f t="shared" si="5"/>
        <v/>
      </c>
      <c r="N23">
        <f t="shared" si="5"/>
        <v>0.91870859186034293</v>
      </c>
      <c r="O23" t="str">
        <f t="shared" si="5"/>
        <v/>
      </c>
      <c r="P23" t="str">
        <f t="shared" si="5"/>
        <v/>
      </c>
      <c r="Q23" t="str">
        <f t="shared" si="5"/>
        <v/>
      </c>
      <c r="R23">
        <f t="shared" si="7"/>
        <v>0.94657387376024194</v>
      </c>
      <c r="S23">
        <f t="shared" si="1"/>
        <v>384.54473558837913</v>
      </c>
      <c r="U23" s="5"/>
    </row>
    <row r="24" spans="1:21" ht="14.45" x14ac:dyDescent="0.3">
      <c r="A24" s="8">
        <v>37530</v>
      </c>
      <c r="B24" s="9">
        <f t="shared" si="2"/>
        <v>10</v>
      </c>
      <c r="C24" s="5">
        <v>383</v>
      </c>
      <c r="D24">
        <f t="shared" si="3"/>
        <v>391.33333333333331</v>
      </c>
      <c r="E24">
        <f t="shared" si="4"/>
        <v>0.97870528109028965</v>
      </c>
      <c r="F24" t="str">
        <f t="shared" si="6"/>
        <v/>
      </c>
      <c r="G24" t="str">
        <f t="shared" si="6"/>
        <v/>
      </c>
      <c r="H24" t="str">
        <f t="shared" si="6"/>
        <v/>
      </c>
      <c r="I24" t="str">
        <f t="shared" si="6"/>
        <v/>
      </c>
      <c r="J24" t="str">
        <f t="shared" si="6"/>
        <v/>
      </c>
      <c r="K24" t="str">
        <f t="shared" si="6"/>
        <v/>
      </c>
      <c r="L24" t="str">
        <f t="shared" si="6"/>
        <v/>
      </c>
      <c r="M24" t="str">
        <f t="shared" si="6"/>
        <v/>
      </c>
      <c r="N24" t="str">
        <f t="shared" si="6"/>
        <v/>
      </c>
      <c r="O24">
        <f t="shared" si="6"/>
        <v>0.97870528109028965</v>
      </c>
      <c r="P24" t="str">
        <f t="shared" si="6"/>
        <v/>
      </c>
      <c r="Q24" t="str">
        <f t="shared" si="6"/>
        <v/>
      </c>
      <c r="R24">
        <f t="shared" si="7"/>
        <v>0.99267321089541272</v>
      </c>
      <c r="S24">
        <f t="shared" si="1"/>
        <v>385.82687212292723</v>
      </c>
      <c r="U24" s="5"/>
    </row>
    <row r="25" spans="1:21" ht="14.45" x14ac:dyDescent="0.3">
      <c r="A25" s="8">
        <v>37561</v>
      </c>
      <c r="B25" s="9">
        <f t="shared" si="2"/>
        <v>11</v>
      </c>
      <c r="C25" s="5">
        <v>393</v>
      </c>
      <c r="D25">
        <f t="shared" si="3"/>
        <v>384.58333333333331</v>
      </c>
      <c r="E25">
        <f t="shared" si="4"/>
        <v>1.0218851570964247</v>
      </c>
      <c r="F25" t="str">
        <f t="shared" si="6"/>
        <v/>
      </c>
      <c r="G25" t="str">
        <f t="shared" si="6"/>
        <v/>
      </c>
      <c r="H25" t="str">
        <f t="shared" si="6"/>
        <v/>
      </c>
      <c r="I25" t="str">
        <f t="shared" si="6"/>
        <v/>
      </c>
      <c r="J25" t="str">
        <f t="shared" si="6"/>
        <v/>
      </c>
      <c r="K25" t="str">
        <f t="shared" si="6"/>
        <v/>
      </c>
      <c r="L25" t="str">
        <f t="shared" si="6"/>
        <v/>
      </c>
      <c r="M25" t="str">
        <f t="shared" si="6"/>
        <v/>
      </c>
      <c r="N25" t="str">
        <f t="shared" si="6"/>
        <v/>
      </c>
      <c r="O25" t="str">
        <f t="shared" si="6"/>
        <v/>
      </c>
      <c r="P25">
        <f t="shared" si="6"/>
        <v>1.0218851570964247</v>
      </c>
      <c r="Q25" t="str">
        <f t="shared" si="6"/>
        <v/>
      </c>
      <c r="R25">
        <f t="shared" si="7"/>
        <v>0.91156860894280367</v>
      </c>
      <c r="S25">
        <f t="shared" si="1"/>
        <v>431.12498186591108</v>
      </c>
      <c r="U25" s="5"/>
    </row>
    <row r="26" spans="1:21" ht="14.45" x14ac:dyDescent="0.3">
      <c r="A26" s="8">
        <v>37591</v>
      </c>
      <c r="B26" s="9">
        <f t="shared" si="2"/>
        <v>12</v>
      </c>
      <c r="C26" s="5">
        <v>319</v>
      </c>
      <c r="D26">
        <f t="shared" si="3"/>
        <v>380.41666666666663</v>
      </c>
      <c r="E26">
        <f t="shared" si="4"/>
        <v>0.83855421686747</v>
      </c>
      <c r="F26" t="str">
        <f t="shared" si="6"/>
        <v/>
      </c>
      <c r="G26" t="str">
        <f t="shared" si="6"/>
        <v/>
      </c>
      <c r="H26" t="str">
        <f t="shared" si="6"/>
        <v/>
      </c>
      <c r="I26" t="str">
        <f t="shared" si="6"/>
        <v/>
      </c>
      <c r="J26" t="str">
        <f t="shared" si="6"/>
        <v/>
      </c>
      <c r="K26" t="str">
        <f t="shared" si="6"/>
        <v/>
      </c>
      <c r="L26" t="str">
        <f t="shared" si="6"/>
        <v/>
      </c>
      <c r="M26" t="str">
        <f t="shared" si="6"/>
        <v/>
      </c>
      <c r="N26" t="str">
        <f t="shared" si="6"/>
        <v/>
      </c>
      <c r="O26" t="str">
        <f t="shared" si="6"/>
        <v/>
      </c>
      <c r="P26" t="str">
        <f t="shared" si="6"/>
        <v/>
      </c>
      <c r="Q26">
        <f t="shared" si="6"/>
        <v>0.83855421686747</v>
      </c>
      <c r="R26">
        <f t="shared" si="7"/>
        <v>0.91458648407659837</v>
      </c>
      <c r="S26">
        <f t="shared" si="1"/>
        <v>348.79150911799735</v>
      </c>
      <c r="U26" s="5"/>
    </row>
    <row r="27" spans="1:21" ht="14.45" x14ac:dyDescent="0.3">
      <c r="A27" s="8">
        <v>37622</v>
      </c>
      <c r="B27" s="9">
        <f t="shared" si="2"/>
        <v>1</v>
      </c>
      <c r="C27" s="5">
        <v>394</v>
      </c>
      <c r="D27">
        <f t="shared" si="3"/>
        <v>377.41666666666663</v>
      </c>
      <c r="E27">
        <f t="shared" si="4"/>
        <v>1.04393905939501</v>
      </c>
      <c r="F27">
        <f t="shared" si="6"/>
        <v>1.04393905939501</v>
      </c>
      <c r="G27" t="str">
        <f t="shared" si="6"/>
        <v/>
      </c>
      <c r="H27" t="str">
        <f t="shared" si="6"/>
        <v/>
      </c>
      <c r="I27" t="str">
        <f t="shared" si="6"/>
        <v/>
      </c>
      <c r="J27" t="str">
        <f t="shared" si="6"/>
        <v/>
      </c>
      <c r="K27" t="str">
        <f t="shared" si="6"/>
        <v/>
      </c>
      <c r="L27" t="str">
        <f t="shared" si="6"/>
        <v/>
      </c>
      <c r="M27" t="str">
        <f t="shared" si="6"/>
        <v/>
      </c>
      <c r="N27" t="str">
        <f t="shared" si="6"/>
        <v/>
      </c>
      <c r="O27" t="str">
        <f t="shared" si="6"/>
        <v/>
      </c>
      <c r="P27" t="str">
        <f t="shared" si="6"/>
        <v/>
      </c>
      <c r="Q27" t="str">
        <f t="shared" si="6"/>
        <v/>
      </c>
      <c r="R27">
        <f t="shared" si="7"/>
        <v>0.9447245466877463</v>
      </c>
      <c r="S27">
        <f t="shared" si="1"/>
        <v>417.05278155562343</v>
      </c>
      <c r="U27" s="5"/>
    </row>
    <row r="28" spans="1:21" ht="14.45" x14ac:dyDescent="0.3">
      <c r="A28" s="8">
        <v>37653</v>
      </c>
      <c r="B28" s="9">
        <f t="shared" si="2"/>
        <v>2</v>
      </c>
      <c r="C28" s="5">
        <v>351</v>
      </c>
      <c r="D28">
        <f t="shared" si="3"/>
        <v>368.33333333333331</v>
      </c>
      <c r="E28">
        <f t="shared" si="4"/>
        <v>0.95294117647058829</v>
      </c>
      <c r="F28" t="str">
        <f t="shared" si="6"/>
        <v/>
      </c>
      <c r="G28">
        <f t="shared" si="6"/>
        <v>0.95294117647058829</v>
      </c>
      <c r="H28" t="str">
        <f t="shared" si="6"/>
        <v/>
      </c>
      <c r="I28" t="str">
        <f t="shared" si="6"/>
        <v/>
      </c>
      <c r="J28" t="str">
        <f t="shared" si="6"/>
        <v/>
      </c>
      <c r="K28" t="str">
        <f t="shared" si="6"/>
        <v/>
      </c>
      <c r="L28" t="str">
        <f t="shared" si="6"/>
        <v/>
      </c>
      <c r="M28" t="str">
        <f t="shared" si="6"/>
        <v/>
      </c>
      <c r="N28" t="str">
        <f t="shared" si="6"/>
        <v/>
      </c>
      <c r="O28" t="str">
        <f t="shared" si="6"/>
        <v/>
      </c>
      <c r="P28" t="str">
        <f t="shared" si="6"/>
        <v/>
      </c>
      <c r="Q28" t="str">
        <f t="shared" si="6"/>
        <v/>
      </c>
      <c r="R28">
        <f t="shared" si="7"/>
        <v>0.95740708992609791</v>
      </c>
      <c r="S28">
        <f t="shared" si="1"/>
        <v>366.61520861214183</v>
      </c>
      <c r="U28" s="5"/>
    </row>
    <row r="29" spans="1:21" x14ac:dyDescent="0.25">
      <c r="A29" s="8">
        <v>37681</v>
      </c>
      <c r="B29" s="9">
        <f t="shared" si="2"/>
        <v>3</v>
      </c>
      <c r="C29" s="5">
        <v>350</v>
      </c>
      <c r="D29">
        <f t="shared" si="3"/>
        <v>359.16666666666663</v>
      </c>
      <c r="E29">
        <f t="shared" si="4"/>
        <v>0.97447795823665906</v>
      </c>
      <c r="F29" t="str">
        <f t="shared" si="6"/>
        <v/>
      </c>
      <c r="G29" t="str">
        <f t="shared" si="6"/>
        <v/>
      </c>
      <c r="H29">
        <f t="shared" si="6"/>
        <v>0.97447795823665906</v>
      </c>
      <c r="I29" t="str">
        <f t="shared" si="6"/>
        <v/>
      </c>
      <c r="J29" t="str">
        <f t="shared" si="6"/>
        <v/>
      </c>
      <c r="K29" t="str">
        <f t="shared" si="6"/>
        <v/>
      </c>
      <c r="L29" t="str">
        <f t="shared" si="6"/>
        <v/>
      </c>
      <c r="M29" t="str">
        <f t="shared" si="6"/>
        <v/>
      </c>
      <c r="N29" t="str">
        <f t="shared" si="6"/>
        <v/>
      </c>
      <c r="O29" t="str">
        <f t="shared" si="6"/>
        <v/>
      </c>
      <c r="P29" t="str">
        <f t="shared" si="6"/>
        <v/>
      </c>
      <c r="Q29" t="str">
        <f t="shared" si="6"/>
        <v/>
      </c>
      <c r="R29">
        <f t="shared" si="7"/>
        <v>1.0167264528055464</v>
      </c>
      <c r="S29">
        <f t="shared" si="1"/>
        <v>344.24205157071793</v>
      </c>
      <c r="U29" s="5"/>
    </row>
    <row r="30" spans="1:21" x14ac:dyDescent="0.25">
      <c r="A30" s="8">
        <v>37712</v>
      </c>
      <c r="B30" s="9">
        <f t="shared" si="2"/>
        <v>4</v>
      </c>
      <c r="C30" s="5">
        <v>351</v>
      </c>
      <c r="D30">
        <f t="shared" si="3"/>
        <v>352.33333333333331</v>
      </c>
      <c r="E30">
        <f t="shared" si="4"/>
        <v>0.99621570482497646</v>
      </c>
      <c r="F30" t="str">
        <f t="shared" si="6"/>
        <v/>
      </c>
      <c r="G30" t="str">
        <f t="shared" si="6"/>
        <v/>
      </c>
      <c r="H30" t="str">
        <f t="shared" si="6"/>
        <v/>
      </c>
      <c r="I30">
        <f t="shared" si="6"/>
        <v>0.99621570482497646</v>
      </c>
      <c r="J30" t="str">
        <f t="shared" si="6"/>
        <v/>
      </c>
      <c r="K30" t="str">
        <f t="shared" si="6"/>
        <v/>
      </c>
      <c r="L30" t="str">
        <f t="shared" si="6"/>
        <v/>
      </c>
      <c r="M30" t="str">
        <f t="shared" si="6"/>
        <v/>
      </c>
      <c r="N30" t="str">
        <f t="shared" si="6"/>
        <v/>
      </c>
      <c r="O30" t="str">
        <f t="shared" si="6"/>
        <v/>
      </c>
      <c r="P30" t="str">
        <f t="shared" si="6"/>
        <v/>
      </c>
      <c r="Q30" t="str">
        <f t="shared" si="6"/>
        <v/>
      </c>
      <c r="R30">
        <f t="shared" si="7"/>
        <v>1.0806768925923931</v>
      </c>
      <c r="S30">
        <f t="shared" si="1"/>
        <v>324.79643305595255</v>
      </c>
      <c r="U30" s="5"/>
    </row>
    <row r="31" spans="1:21" x14ac:dyDescent="0.25">
      <c r="A31" s="8">
        <v>37742</v>
      </c>
      <c r="B31" s="9">
        <f t="shared" si="2"/>
        <v>5</v>
      </c>
      <c r="C31" s="5">
        <v>352</v>
      </c>
      <c r="D31">
        <f t="shared" si="3"/>
        <v>344.45833333333331</v>
      </c>
      <c r="E31">
        <f t="shared" si="4"/>
        <v>1.0218942784565139</v>
      </c>
      <c r="F31" t="str">
        <f t="shared" si="6"/>
        <v/>
      </c>
      <c r="G31" t="str">
        <f t="shared" si="6"/>
        <v/>
      </c>
      <c r="H31" t="str">
        <f t="shared" si="6"/>
        <v/>
      </c>
      <c r="I31" t="str">
        <f t="shared" si="6"/>
        <v/>
      </c>
      <c r="J31">
        <f t="shared" si="6"/>
        <v>1.0218942784565139</v>
      </c>
      <c r="K31" t="str">
        <f t="shared" si="6"/>
        <v/>
      </c>
      <c r="L31" t="str">
        <f t="shared" si="6"/>
        <v/>
      </c>
      <c r="M31" t="str">
        <f t="shared" si="6"/>
        <v/>
      </c>
      <c r="N31" t="str">
        <f t="shared" si="6"/>
        <v/>
      </c>
      <c r="O31" t="str">
        <f t="shared" si="6"/>
        <v/>
      </c>
      <c r="P31" t="str">
        <f t="shared" si="6"/>
        <v/>
      </c>
      <c r="Q31" t="str">
        <f t="shared" si="6"/>
        <v/>
      </c>
      <c r="R31">
        <f t="shared" si="7"/>
        <v>1.0380260515064865</v>
      </c>
      <c r="S31">
        <f t="shared" si="1"/>
        <v>339.10516936366156</v>
      </c>
      <c r="U31" s="5"/>
    </row>
    <row r="32" spans="1:21" x14ac:dyDescent="0.25">
      <c r="A32" s="8">
        <v>37773</v>
      </c>
      <c r="B32" s="9">
        <f t="shared" si="2"/>
        <v>6</v>
      </c>
      <c r="C32" s="5">
        <v>443</v>
      </c>
      <c r="D32">
        <f t="shared" si="3"/>
        <v>337.70833333333331</v>
      </c>
      <c r="E32">
        <f t="shared" si="4"/>
        <v>1.3117828500925355</v>
      </c>
      <c r="F32" t="str">
        <f t="shared" si="6"/>
        <v/>
      </c>
      <c r="G32" t="str">
        <f t="shared" si="6"/>
        <v/>
      </c>
      <c r="H32" t="str">
        <f t="shared" si="6"/>
        <v/>
      </c>
      <c r="I32" t="str">
        <f t="shared" si="6"/>
        <v/>
      </c>
      <c r="J32" t="str">
        <f t="shared" si="6"/>
        <v/>
      </c>
      <c r="K32">
        <f t="shared" si="6"/>
        <v>1.3117828500925355</v>
      </c>
      <c r="L32" t="str">
        <f t="shared" si="6"/>
        <v/>
      </c>
      <c r="M32" t="str">
        <f t="shared" si="6"/>
        <v/>
      </c>
      <c r="N32" t="str">
        <f t="shared" si="6"/>
        <v/>
      </c>
      <c r="O32" t="str">
        <f t="shared" si="6"/>
        <v/>
      </c>
      <c r="P32" t="str">
        <f t="shared" si="6"/>
        <v/>
      </c>
      <c r="Q32" t="str">
        <f t="shared" si="6"/>
        <v/>
      </c>
      <c r="R32">
        <f t="shared" si="7"/>
        <v>1.116110197693907</v>
      </c>
      <c r="S32">
        <f t="shared" si="1"/>
        <v>396.91421233792244</v>
      </c>
      <c r="U32" s="5"/>
    </row>
    <row r="33" spans="1:21" x14ac:dyDescent="0.25">
      <c r="A33" s="8">
        <v>37803</v>
      </c>
      <c r="B33" s="9">
        <f t="shared" si="2"/>
        <v>7</v>
      </c>
      <c r="C33" s="5">
        <v>344</v>
      </c>
      <c r="D33">
        <f t="shared" si="3"/>
        <v>332.16666666666663</v>
      </c>
      <c r="E33">
        <f t="shared" si="4"/>
        <v>1.0356246864024086</v>
      </c>
      <c r="F33" t="str">
        <f t="shared" si="6"/>
        <v/>
      </c>
      <c r="G33" t="str">
        <f t="shared" si="6"/>
        <v/>
      </c>
      <c r="H33" t="str">
        <f t="shared" si="6"/>
        <v/>
      </c>
      <c r="I33" t="str">
        <f t="shared" si="6"/>
        <v/>
      </c>
      <c r="J33" t="str">
        <f t="shared" si="6"/>
        <v/>
      </c>
      <c r="K33" t="str">
        <f t="shared" si="6"/>
        <v/>
      </c>
      <c r="L33">
        <f t="shared" si="6"/>
        <v>1.0356246864024086</v>
      </c>
      <c r="M33" t="str">
        <f t="shared" si="6"/>
        <v/>
      </c>
      <c r="N33" t="str">
        <f t="shared" si="6"/>
        <v/>
      </c>
      <c r="O33" t="str">
        <f t="shared" si="6"/>
        <v/>
      </c>
      <c r="P33" t="str">
        <f t="shared" si="6"/>
        <v/>
      </c>
      <c r="Q33" t="str">
        <f t="shared" si="6"/>
        <v/>
      </c>
      <c r="R33">
        <f t="shared" si="7"/>
        <v>1.0629349580535654</v>
      </c>
      <c r="S33">
        <f t="shared" si="1"/>
        <v>323.63221982079597</v>
      </c>
      <c r="U33" s="5"/>
    </row>
    <row r="34" spans="1:21" x14ac:dyDescent="0.25">
      <c r="A34" s="8">
        <v>37834</v>
      </c>
      <c r="B34" s="9">
        <f t="shared" si="2"/>
        <v>8</v>
      </c>
      <c r="C34" s="5">
        <v>313</v>
      </c>
      <c r="D34">
        <f t="shared" si="3"/>
        <v>326.79166666666663</v>
      </c>
      <c r="E34">
        <f t="shared" si="4"/>
        <v>0.95779676144332537</v>
      </c>
      <c r="F34" t="str">
        <f t="shared" si="6"/>
        <v/>
      </c>
      <c r="G34" t="str">
        <f t="shared" si="6"/>
        <v/>
      </c>
      <c r="H34" t="str">
        <f t="shared" si="6"/>
        <v/>
      </c>
      <c r="I34" t="str">
        <f t="shared" si="6"/>
        <v/>
      </c>
      <c r="J34" t="str">
        <f t="shared" si="6"/>
        <v/>
      </c>
      <c r="K34" t="str">
        <f t="shared" si="6"/>
        <v/>
      </c>
      <c r="L34" t="str">
        <f t="shared" si="6"/>
        <v/>
      </c>
      <c r="M34">
        <f t="shared" si="6"/>
        <v>0.95779676144332537</v>
      </c>
      <c r="N34" t="str">
        <f t="shared" si="6"/>
        <v/>
      </c>
      <c r="O34" t="str">
        <f t="shared" si="6"/>
        <v/>
      </c>
      <c r="P34" t="str">
        <f t="shared" si="6"/>
        <v/>
      </c>
      <c r="Q34" t="str">
        <f t="shared" si="6"/>
        <v/>
      </c>
      <c r="R34">
        <f t="shared" si="7"/>
        <v>1.0430405609995839</v>
      </c>
      <c r="S34">
        <f t="shared" ref="S34:S65" si="8">C34/R34</f>
        <v>300.08420736777549</v>
      </c>
      <c r="U34" s="5"/>
    </row>
    <row r="35" spans="1:21" x14ac:dyDescent="0.25">
      <c r="A35" s="8">
        <v>37865</v>
      </c>
      <c r="B35" s="9">
        <f t="shared" si="2"/>
        <v>9</v>
      </c>
      <c r="C35" s="5">
        <v>270</v>
      </c>
      <c r="D35">
        <f t="shared" si="3"/>
        <v>325.20833333333331</v>
      </c>
      <c r="E35">
        <f t="shared" si="4"/>
        <v>0.83023702754644468</v>
      </c>
      <c r="F35" t="str">
        <f t="shared" si="6"/>
        <v/>
      </c>
      <c r="G35" t="str">
        <f t="shared" si="6"/>
        <v/>
      </c>
      <c r="H35" t="str">
        <f t="shared" si="6"/>
        <v/>
      </c>
      <c r="I35" t="str">
        <f t="shared" si="6"/>
        <v/>
      </c>
      <c r="J35" t="str">
        <f t="shared" si="6"/>
        <v/>
      </c>
      <c r="K35" t="str">
        <f t="shared" si="6"/>
        <v/>
      </c>
      <c r="L35" t="str">
        <f t="shared" si="6"/>
        <v/>
      </c>
      <c r="M35" t="str">
        <f t="shared" si="6"/>
        <v/>
      </c>
      <c r="N35">
        <f t="shared" si="6"/>
        <v>0.83023702754644468</v>
      </c>
      <c r="O35" t="str">
        <f t="shared" si="6"/>
        <v/>
      </c>
      <c r="P35" t="str">
        <f t="shared" si="6"/>
        <v/>
      </c>
      <c r="Q35" t="str">
        <f t="shared" si="6"/>
        <v/>
      </c>
      <c r="R35">
        <f t="shared" si="7"/>
        <v>0.94657387376024194</v>
      </c>
      <c r="S35">
        <f t="shared" si="8"/>
        <v>285.23922694742407</v>
      </c>
      <c r="U35" s="5"/>
    </row>
    <row r="36" spans="1:21" x14ac:dyDescent="0.25">
      <c r="A36" s="8">
        <v>37895</v>
      </c>
      <c r="B36" s="9">
        <f t="shared" si="2"/>
        <v>10</v>
      </c>
      <c r="C36" s="5">
        <v>313</v>
      </c>
      <c r="D36">
        <f t="shared" si="3"/>
        <v>325.83333333333331</v>
      </c>
      <c r="E36">
        <f t="shared" si="4"/>
        <v>0.96061381074168806</v>
      </c>
      <c r="F36" t="str">
        <f t="shared" si="6"/>
        <v/>
      </c>
      <c r="G36" t="str">
        <f t="shared" si="6"/>
        <v/>
      </c>
      <c r="H36" t="str">
        <f t="shared" si="6"/>
        <v/>
      </c>
      <c r="I36" t="str">
        <f t="shared" si="6"/>
        <v/>
      </c>
      <c r="J36" t="str">
        <f t="shared" si="6"/>
        <v/>
      </c>
      <c r="K36" t="str">
        <f t="shared" si="6"/>
        <v/>
      </c>
      <c r="L36" t="str">
        <f t="shared" si="6"/>
        <v/>
      </c>
      <c r="M36" t="str">
        <f t="shared" si="6"/>
        <v/>
      </c>
      <c r="N36" t="str">
        <f t="shared" si="6"/>
        <v/>
      </c>
      <c r="O36">
        <f t="shared" si="6"/>
        <v>0.96061381074168806</v>
      </c>
      <c r="P36" t="str">
        <f t="shared" si="6"/>
        <v/>
      </c>
      <c r="Q36" t="str">
        <f t="shared" si="6"/>
        <v/>
      </c>
      <c r="R36">
        <f t="shared" si="7"/>
        <v>0.99267321089541272</v>
      </c>
      <c r="S36">
        <f t="shared" si="8"/>
        <v>315.31021142160898</v>
      </c>
      <c r="U36" s="5"/>
    </row>
    <row r="37" spans="1:21" x14ac:dyDescent="0.25">
      <c r="A37" s="8">
        <v>37926</v>
      </c>
      <c r="B37" s="9">
        <f t="shared" si="2"/>
        <v>11</v>
      </c>
      <c r="C37" s="5">
        <v>274</v>
      </c>
      <c r="D37">
        <f t="shared" si="3"/>
        <v>327.91666666666663</v>
      </c>
      <c r="E37">
        <f t="shared" si="4"/>
        <v>0.8355781448538756</v>
      </c>
      <c r="F37" t="str">
        <f t="shared" si="6"/>
        <v/>
      </c>
      <c r="G37" t="str">
        <f t="shared" si="6"/>
        <v/>
      </c>
      <c r="H37" t="str">
        <f t="shared" si="6"/>
        <v/>
      </c>
      <c r="I37" t="str">
        <f t="shared" si="6"/>
        <v/>
      </c>
      <c r="J37" t="str">
        <f t="shared" si="6"/>
        <v/>
      </c>
      <c r="K37" t="str">
        <f t="shared" si="6"/>
        <v/>
      </c>
      <c r="L37" t="str">
        <f t="shared" si="6"/>
        <v/>
      </c>
      <c r="M37" t="str">
        <f t="shared" si="6"/>
        <v/>
      </c>
      <c r="N37" t="str">
        <f t="shared" si="6"/>
        <v/>
      </c>
      <c r="O37" t="str">
        <f t="shared" si="6"/>
        <v/>
      </c>
      <c r="P37">
        <f t="shared" si="6"/>
        <v>0.8355781448538756</v>
      </c>
      <c r="Q37" t="str">
        <f t="shared" si="6"/>
        <v/>
      </c>
      <c r="R37">
        <f t="shared" si="7"/>
        <v>0.91156860894280367</v>
      </c>
      <c r="S37">
        <f t="shared" si="8"/>
        <v>300.58077616096597</v>
      </c>
      <c r="U37" s="5"/>
    </row>
    <row r="38" spans="1:21" x14ac:dyDescent="0.25">
      <c r="A38" s="8">
        <v>37956</v>
      </c>
      <c r="B38" s="9">
        <f t="shared" si="2"/>
        <v>12</v>
      </c>
      <c r="C38" s="5">
        <v>276</v>
      </c>
      <c r="D38">
        <f t="shared" si="3"/>
        <v>326.45833333333331</v>
      </c>
      <c r="E38">
        <f t="shared" si="4"/>
        <v>0.84543714103382261</v>
      </c>
      <c r="F38" t="str">
        <f t="shared" si="6"/>
        <v/>
      </c>
      <c r="G38" t="str">
        <f t="shared" si="6"/>
        <v/>
      </c>
      <c r="H38" t="str">
        <f t="shared" si="6"/>
        <v/>
      </c>
      <c r="I38" t="str">
        <f t="shared" si="6"/>
        <v/>
      </c>
      <c r="J38" t="str">
        <f t="shared" si="6"/>
        <v/>
      </c>
      <c r="K38" t="str">
        <f t="shared" si="6"/>
        <v/>
      </c>
      <c r="L38" t="str">
        <f t="shared" si="6"/>
        <v/>
      </c>
      <c r="M38" t="str">
        <f t="shared" si="6"/>
        <v/>
      </c>
      <c r="N38" t="str">
        <f t="shared" si="6"/>
        <v/>
      </c>
      <c r="O38" t="str">
        <f t="shared" si="6"/>
        <v/>
      </c>
      <c r="P38" t="str">
        <f t="shared" si="6"/>
        <v/>
      </c>
      <c r="Q38">
        <f t="shared" si="6"/>
        <v>0.84543714103382261</v>
      </c>
      <c r="R38">
        <f t="shared" si="7"/>
        <v>0.91458648407659837</v>
      </c>
      <c r="S38">
        <f t="shared" si="8"/>
        <v>301.77572575726418</v>
      </c>
      <c r="U38" s="5"/>
    </row>
    <row r="39" spans="1:21" x14ac:dyDescent="0.25">
      <c r="A39" s="8">
        <v>37987</v>
      </c>
      <c r="B39" s="9">
        <f t="shared" si="2"/>
        <v>1</v>
      </c>
      <c r="C39" s="5">
        <v>304</v>
      </c>
      <c r="D39">
        <f t="shared" si="3"/>
        <v>324.5</v>
      </c>
      <c r="E39">
        <f t="shared" si="4"/>
        <v>0.93682588597842831</v>
      </c>
      <c r="F39">
        <f t="shared" si="6"/>
        <v>0.93682588597842831</v>
      </c>
      <c r="G39" t="str">
        <f t="shared" si="6"/>
        <v/>
      </c>
      <c r="H39" t="str">
        <f t="shared" si="6"/>
        <v/>
      </c>
      <c r="I39" t="str">
        <f t="shared" si="6"/>
        <v/>
      </c>
      <c r="J39" t="str">
        <f t="shared" si="6"/>
        <v/>
      </c>
      <c r="K39" t="str">
        <f t="shared" si="6"/>
        <v/>
      </c>
      <c r="L39" t="str">
        <f t="shared" si="6"/>
        <v/>
      </c>
      <c r="M39" t="str">
        <f t="shared" si="6"/>
        <v/>
      </c>
      <c r="N39" t="str">
        <f t="shared" si="6"/>
        <v/>
      </c>
      <c r="O39" t="str">
        <f t="shared" si="6"/>
        <v/>
      </c>
      <c r="P39" t="str">
        <f t="shared" si="6"/>
        <v/>
      </c>
      <c r="Q39" t="str">
        <f t="shared" si="6"/>
        <v/>
      </c>
      <c r="R39">
        <f t="shared" si="7"/>
        <v>0.9447245466877463</v>
      </c>
      <c r="S39">
        <f t="shared" si="8"/>
        <v>321.78691774850131</v>
      </c>
      <c r="U39" s="5"/>
    </row>
    <row r="40" spans="1:21" x14ac:dyDescent="0.25">
      <c r="A40" s="8">
        <v>38018</v>
      </c>
      <c r="B40" s="9">
        <f t="shared" si="2"/>
        <v>2</v>
      </c>
      <c r="C40" s="5">
        <v>312</v>
      </c>
      <c r="D40">
        <f t="shared" ref="D40:D71" si="9">(1/12)*( 0.5*C34+SUM(C35:C45)+0.5*C46 )</f>
        <v>326.625</v>
      </c>
      <c r="E40">
        <f t="shared" ref="E40:E71" si="10">C40/D40</f>
        <v>0.95522388059701491</v>
      </c>
      <c r="F40" t="str">
        <f t="shared" si="6"/>
        <v/>
      </c>
      <c r="G40">
        <f t="shared" si="6"/>
        <v>0.95522388059701491</v>
      </c>
      <c r="H40" t="str">
        <f t="shared" si="6"/>
        <v/>
      </c>
      <c r="I40" t="str">
        <f t="shared" si="6"/>
        <v/>
      </c>
      <c r="J40" t="str">
        <f t="shared" si="6"/>
        <v/>
      </c>
      <c r="K40" t="str">
        <f t="shared" si="6"/>
        <v/>
      </c>
      <c r="L40" t="str">
        <f t="shared" si="6"/>
        <v/>
      </c>
      <c r="M40" t="str">
        <f t="shared" si="6"/>
        <v/>
      </c>
      <c r="N40" t="str">
        <f t="shared" si="6"/>
        <v/>
      </c>
      <c r="O40" t="str">
        <f t="shared" si="6"/>
        <v/>
      </c>
      <c r="P40" t="str">
        <f t="shared" si="6"/>
        <v/>
      </c>
      <c r="Q40" t="str">
        <f t="shared" si="6"/>
        <v/>
      </c>
      <c r="R40">
        <f t="shared" si="7"/>
        <v>0.95740708992609791</v>
      </c>
      <c r="S40">
        <f t="shared" si="8"/>
        <v>325.88018543301496</v>
      </c>
      <c r="U40" s="5"/>
    </row>
    <row r="41" spans="1:21" x14ac:dyDescent="0.25">
      <c r="A41" s="8">
        <v>38047</v>
      </c>
      <c r="B41" s="9">
        <f t="shared" si="2"/>
        <v>3</v>
      </c>
      <c r="C41" s="5">
        <v>351</v>
      </c>
      <c r="D41">
        <f t="shared" si="9"/>
        <v>330.08333333333331</v>
      </c>
      <c r="E41">
        <f t="shared" si="10"/>
        <v>1.0633678364049484</v>
      </c>
      <c r="F41" t="str">
        <f t="shared" ref="F41:Q62" si="11">IF($B41=F$1,$E41, "")</f>
        <v/>
      </c>
      <c r="G41" t="str">
        <f t="shared" si="11"/>
        <v/>
      </c>
      <c r="H41">
        <f t="shared" si="11"/>
        <v>1.0633678364049484</v>
      </c>
      <c r="I41" t="str">
        <f t="shared" si="11"/>
        <v/>
      </c>
      <c r="J41" t="str">
        <f t="shared" si="11"/>
        <v/>
      </c>
      <c r="K41" t="str">
        <f t="shared" si="11"/>
        <v/>
      </c>
      <c r="L41" t="str">
        <f t="shared" si="11"/>
        <v/>
      </c>
      <c r="M41" t="str">
        <f t="shared" si="11"/>
        <v/>
      </c>
      <c r="N41" t="str">
        <f t="shared" si="11"/>
        <v/>
      </c>
      <c r="O41" t="str">
        <f t="shared" si="11"/>
        <v/>
      </c>
      <c r="P41" t="str">
        <f t="shared" si="11"/>
        <v/>
      </c>
      <c r="Q41" t="str">
        <f t="shared" si="11"/>
        <v/>
      </c>
      <c r="R41">
        <f t="shared" si="7"/>
        <v>1.0167264528055464</v>
      </c>
      <c r="S41">
        <f t="shared" si="8"/>
        <v>345.22560028949141</v>
      </c>
      <c r="U41" s="5"/>
    </row>
    <row r="42" spans="1:21" x14ac:dyDescent="0.25">
      <c r="A42" s="8">
        <v>38078</v>
      </c>
      <c r="B42" s="9">
        <f t="shared" si="2"/>
        <v>4</v>
      </c>
      <c r="C42" s="5">
        <v>365</v>
      </c>
      <c r="D42">
        <f t="shared" si="9"/>
        <v>335.08333333333331</v>
      </c>
      <c r="E42">
        <f t="shared" si="10"/>
        <v>1.0892812733150958</v>
      </c>
      <c r="F42" t="str">
        <f t="shared" si="11"/>
        <v/>
      </c>
      <c r="G42" t="str">
        <f t="shared" si="11"/>
        <v/>
      </c>
      <c r="H42" t="str">
        <f t="shared" si="11"/>
        <v/>
      </c>
      <c r="I42">
        <f t="shared" si="11"/>
        <v>1.0892812733150958</v>
      </c>
      <c r="J42" t="str">
        <f t="shared" si="11"/>
        <v/>
      </c>
      <c r="K42" t="str">
        <f t="shared" si="11"/>
        <v/>
      </c>
      <c r="L42" t="str">
        <f t="shared" si="11"/>
        <v/>
      </c>
      <c r="M42" t="str">
        <f t="shared" si="11"/>
        <v/>
      </c>
      <c r="N42" t="str">
        <f t="shared" si="11"/>
        <v/>
      </c>
      <c r="O42" t="str">
        <f t="shared" si="11"/>
        <v/>
      </c>
      <c r="P42" t="str">
        <f t="shared" si="11"/>
        <v/>
      </c>
      <c r="Q42" t="str">
        <f t="shared" si="11"/>
        <v/>
      </c>
      <c r="R42">
        <f t="shared" si="7"/>
        <v>1.0806768925923931</v>
      </c>
      <c r="S42">
        <f t="shared" si="8"/>
        <v>337.75127653966575</v>
      </c>
      <c r="U42" s="5"/>
    </row>
    <row r="43" spans="1:21" x14ac:dyDescent="0.25">
      <c r="A43" s="8">
        <v>38108</v>
      </c>
      <c r="B43" s="9">
        <f t="shared" si="2"/>
        <v>5</v>
      </c>
      <c r="C43" s="5">
        <v>388</v>
      </c>
      <c r="D43">
        <f t="shared" si="9"/>
        <v>340.625</v>
      </c>
      <c r="E43">
        <f t="shared" si="10"/>
        <v>1.1390825688073394</v>
      </c>
      <c r="F43" t="str">
        <f t="shared" si="11"/>
        <v/>
      </c>
      <c r="G43" t="str">
        <f t="shared" si="11"/>
        <v/>
      </c>
      <c r="H43" t="str">
        <f t="shared" si="11"/>
        <v/>
      </c>
      <c r="I43" t="str">
        <f t="shared" si="11"/>
        <v/>
      </c>
      <c r="J43">
        <f t="shared" si="11"/>
        <v>1.1390825688073394</v>
      </c>
      <c r="K43" t="str">
        <f t="shared" si="11"/>
        <v/>
      </c>
      <c r="L43" t="str">
        <f t="shared" si="11"/>
        <v/>
      </c>
      <c r="M43" t="str">
        <f t="shared" si="11"/>
        <v/>
      </c>
      <c r="N43" t="str">
        <f t="shared" si="11"/>
        <v/>
      </c>
      <c r="O43" t="str">
        <f t="shared" si="11"/>
        <v/>
      </c>
      <c r="P43" t="str">
        <f t="shared" si="11"/>
        <v/>
      </c>
      <c r="Q43" t="str">
        <f t="shared" si="11"/>
        <v/>
      </c>
      <c r="R43">
        <f t="shared" si="7"/>
        <v>1.0380260515064865</v>
      </c>
      <c r="S43">
        <f t="shared" si="8"/>
        <v>373.7863798667633</v>
      </c>
      <c r="U43" s="5"/>
    </row>
    <row r="44" spans="1:21" x14ac:dyDescent="0.25">
      <c r="A44" s="8">
        <v>38139</v>
      </c>
      <c r="B44" s="9">
        <f t="shared" si="2"/>
        <v>6</v>
      </c>
      <c r="C44" s="5">
        <v>372</v>
      </c>
      <c r="D44">
        <f t="shared" si="9"/>
        <v>347.08333333333331</v>
      </c>
      <c r="E44">
        <f t="shared" si="10"/>
        <v>1.0717887154861945</v>
      </c>
      <c r="F44" t="str">
        <f t="shared" si="11"/>
        <v/>
      </c>
      <c r="G44" t="str">
        <f t="shared" si="11"/>
        <v/>
      </c>
      <c r="H44" t="str">
        <f t="shared" si="11"/>
        <v/>
      </c>
      <c r="I44" t="str">
        <f t="shared" si="11"/>
        <v/>
      </c>
      <c r="J44" t="str">
        <f t="shared" si="11"/>
        <v/>
      </c>
      <c r="K44">
        <f t="shared" si="11"/>
        <v>1.0717887154861945</v>
      </c>
      <c r="L44" t="str">
        <f t="shared" si="11"/>
        <v/>
      </c>
      <c r="M44" t="str">
        <f t="shared" si="11"/>
        <v/>
      </c>
      <c r="N44" t="str">
        <f t="shared" si="11"/>
        <v/>
      </c>
      <c r="O44" t="str">
        <f t="shared" si="11"/>
        <v/>
      </c>
      <c r="P44" t="str">
        <f t="shared" si="11"/>
        <v/>
      </c>
      <c r="Q44" t="str">
        <f t="shared" si="11"/>
        <v/>
      </c>
      <c r="R44">
        <f t="shared" si="7"/>
        <v>1.116110197693907</v>
      </c>
      <c r="S44">
        <f t="shared" si="8"/>
        <v>333.30042209866173</v>
      </c>
      <c r="U44" s="5"/>
    </row>
    <row r="45" spans="1:21" x14ac:dyDescent="0.25">
      <c r="A45" s="8">
        <v>38169</v>
      </c>
      <c r="B45" s="9">
        <f t="shared" si="2"/>
        <v>7</v>
      </c>
      <c r="C45" s="5">
        <v>368</v>
      </c>
      <c r="D45">
        <f t="shared" si="9"/>
        <v>350.66666666666663</v>
      </c>
      <c r="E45">
        <f t="shared" si="10"/>
        <v>1.0494296577946769</v>
      </c>
      <c r="F45" t="str">
        <f t="shared" si="11"/>
        <v/>
      </c>
      <c r="G45" t="str">
        <f t="shared" si="11"/>
        <v/>
      </c>
      <c r="H45" t="str">
        <f t="shared" si="11"/>
        <v/>
      </c>
      <c r="I45" t="str">
        <f t="shared" si="11"/>
        <v/>
      </c>
      <c r="J45" t="str">
        <f t="shared" si="11"/>
        <v/>
      </c>
      <c r="K45" t="str">
        <f t="shared" si="11"/>
        <v/>
      </c>
      <c r="L45">
        <f t="shared" si="11"/>
        <v>1.0494296577946769</v>
      </c>
      <c r="M45" t="str">
        <f t="shared" si="11"/>
        <v/>
      </c>
      <c r="N45" t="str">
        <f t="shared" si="11"/>
        <v/>
      </c>
      <c r="O45" t="str">
        <f t="shared" si="11"/>
        <v/>
      </c>
      <c r="P45" t="str">
        <f t="shared" si="11"/>
        <v/>
      </c>
      <c r="Q45" t="str">
        <f t="shared" si="11"/>
        <v/>
      </c>
      <c r="R45">
        <f t="shared" si="7"/>
        <v>1.0629349580535654</v>
      </c>
      <c r="S45">
        <f t="shared" si="8"/>
        <v>346.21121190131657</v>
      </c>
      <c r="U45" s="5"/>
    </row>
    <row r="46" spans="1:21" x14ac:dyDescent="0.25">
      <c r="A46" s="8">
        <v>38200</v>
      </c>
      <c r="B46" s="9">
        <f t="shared" si="2"/>
        <v>8</v>
      </c>
      <c r="C46" s="5">
        <v>340</v>
      </c>
      <c r="D46">
        <f t="shared" si="9"/>
        <v>351.625</v>
      </c>
      <c r="E46">
        <f t="shared" si="10"/>
        <v>0.96693921080696765</v>
      </c>
      <c r="F46" t="str">
        <f t="shared" si="11"/>
        <v/>
      </c>
      <c r="G46" t="str">
        <f t="shared" si="11"/>
        <v/>
      </c>
      <c r="H46" t="str">
        <f t="shared" si="11"/>
        <v/>
      </c>
      <c r="I46" t="str">
        <f t="shared" si="11"/>
        <v/>
      </c>
      <c r="J46" t="str">
        <f t="shared" si="11"/>
        <v/>
      </c>
      <c r="K46" t="str">
        <f t="shared" si="11"/>
        <v/>
      </c>
      <c r="L46" t="str">
        <f t="shared" si="11"/>
        <v/>
      </c>
      <c r="M46">
        <f t="shared" si="11"/>
        <v>0.96693921080696765</v>
      </c>
      <c r="N46" t="str">
        <f t="shared" si="11"/>
        <v/>
      </c>
      <c r="O46" t="str">
        <f t="shared" si="11"/>
        <v/>
      </c>
      <c r="P46" t="str">
        <f t="shared" si="11"/>
        <v/>
      </c>
      <c r="Q46" t="str">
        <f t="shared" si="11"/>
        <v/>
      </c>
      <c r="R46">
        <f t="shared" si="7"/>
        <v>1.0430405609995839</v>
      </c>
      <c r="S46">
        <f t="shared" si="8"/>
        <v>325.97006551132159</v>
      </c>
      <c r="U46" s="5"/>
    </row>
    <row r="47" spans="1:21" x14ac:dyDescent="0.25">
      <c r="A47" s="8">
        <v>38231</v>
      </c>
      <c r="B47" s="9">
        <f t="shared" si="2"/>
        <v>9</v>
      </c>
      <c r="C47" s="5">
        <v>326</v>
      </c>
      <c r="D47">
        <f t="shared" si="9"/>
        <v>352.33333333333331</v>
      </c>
      <c r="E47">
        <f t="shared" si="10"/>
        <v>0.92526017029328289</v>
      </c>
      <c r="F47" t="str">
        <f t="shared" si="11"/>
        <v/>
      </c>
      <c r="G47" t="str">
        <f t="shared" si="11"/>
        <v/>
      </c>
      <c r="H47" t="str">
        <f t="shared" si="11"/>
        <v/>
      </c>
      <c r="I47" t="str">
        <f t="shared" si="11"/>
        <v/>
      </c>
      <c r="J47" t="str">
        <f t="shared" si="11"/>
        <v/>
      </c>
      <c r="K47" t="str">
        <f t="shared" si="11"/>
        <v/>
      </c>
      <c r="L47" t="str">
        <f t="shared" si="11"/>
        <v/>
      </c>
      <c r="M47" t="str">
        <f t="shared" si="11"/>
        <v/>
      </c>
      <c r="N47">
        <f t="shared" si="11"/>
        <v>0.92526017029328289</v>
      </c>
      <c r="O47" t="str">
        <f t="shared" si="11"/>
        <v/>
      </c>
      <c r="P47" t="str">
        <f t="shared" si="11"/>
        <v/>
      </c>
      <c r="Q47" t="str">
        <f t="shared" si="11"/>
        <v/>
      </c>
      <c r="R47">
        <f t="shared" si="7"/>
        <v>0.94657387376024194</v>
      </c>
      <c r="S47">
        <f t="shared" si="8"/>
        <v>344.39995549948242</v>
      </c>
      <c r="U47" s="5"/>
    </row>
    <row r="48" spans="1:21" x14ac:dyDescent="0.25">
      <c r="A48" s="8">
        <v>38261</v>
      </c>
      <c r="B48" s="9">
        <f t="shared" si="2"/>
        <v>10</v>
      </c>
      <c r="C48" s="5">
        <v>377</v>
      </c>
      <c r="D48">
        <f t="shared" si="9"/>
        <v>352.33333333333331</v>
      </c>
      <c r="E48">
        <f t="shared" si="10"/>
        <v>1.0700094607379376</v>
      </c>
      <c r="F48" t="str">
        <f t="shared" si="11"/>
        <v/>
      </c>
      <c r="G48" t="str">
        <f t="shared" si="11"/>
        <v/>
      </c>
      <c r="H48" t="str">
        <f t="shared" si="11"/>
        <v/>
      </c>
      <c r="I48" t="str">
        <f t="shared" si="11"/>
        <v/>
      </c>
      <c r="J48" t="str">
        <f t="shared" si="11"/>
        <v/>
      </c>
      <c r="K48" t="str">
        <f t="shared" si="11"/>
        <v/>
      </c>
      <c r="L48" t="str">
        <f t="shared" si="11"/>
        <v/>
      </c>
      <c r="M48" t="str">
        <f t="shared" si="11"/>
        <v/>
      </c>
      <c r="N48" t="str">
        <f t="shared" si="11"/>
        <v/>
      </c>
      <c r="O48">
        <f t="shared" si="11"/>
        <v>1.0700094607379376</v>
      </c>
      <c r="P48" t="str">
        <f t="shared" si="11"/>
        <v/>
      </c>
      <c r="Q48" t="str">
        <f t="shared" si="11"/>
        <v/>
      </c>
      <c r="R48">
        <f t="shared" si="7"/>
        <v>0.99267321089541272</v>
      </c>
      <c r="S48">
        <f t="shared" si="8"/>
        <v>379.78258691995711</v>
      </c>
      <c r="U48" s="5"/>
    </row>
    <row r="49" spans="1:21" x14ac:dyDescent="0.25">
      <c r="A49" s="8">
        <v>38292</v>
      </c>
      <c r="B49" s="9">
        <f t="shared" si="2"/>
        <v>11</v>
      </c>
      <c r="C49" s="5">
        <v>343</v>
      </c>
      <c r="D49">
        <f t="shared" si="9"/>
        <v>352.66666666666663</v>
      </c>
      <c r="E49">
        <f t="shared" si="10"/>
        <v>0.97258979206049156</v>
      </c>
      <c r="F49" t="str">
        <f t="shared" si="11"/>
        <v/>
      </c>
      <c r="G49" t="str">
        <f t="shared" si="11"/>
        <v/>
      </c>
      <c r="H49" t="str">
        <f t="shared" si="11"/>
        <v/>
      </c>
      <c r="I49" t="str">
        <f t="shared" si="11"/>
        <v/>
      </c>
      <c r="J49" t="str">
        <f t="shared" si="11"/>
        <v/>
      </c>
      <c r="K49" t="str">
        <f t="shared" si="11"/>
        <v/>
      </c>
      <c r="L49" t="str">
        <f t="shared" si="11"/>
        <v/>
      </c>
      <c r="M49" t="str">
        <f t="shared" si="11"/>
        <v/>
      </c>
      <c r="N49" t="str">
        <f t="shared" si="11"/>
        <v/>
      </c>
      <c r="O49" t="str">
        <f t="shared" si="11"/>
        <v/>
      </c>
      <c r="P49">
        <f t="shared" si="11"/>
        <v>0.97258979206049156</v>
      </c>
      <c r="Q49" t="str">
        <f t="shared" si="11"/>
        <v/>
      </c>
      <c r="R49">
        <f t="shared" si="7"/>
        <v>0.91156860894280367</v>
      </c>
      <c r="S49">
        <f t="shared" si="8"/>
        <v>376.27447526719465</v>
      </c>
      <c r="U49" s="5"/>
    </row>
    <row r="50" spans="1:21" x14ac:dyDescent="0.25">
      <c r="A50" s="8">
        <v>38322</v>
      </c>
      <c r="B50" s="9">
        <f t="shared" si="2"/>
        <v>12</v>
      </c>
      <c r="C50" s="5">
        <v>362</v>
      </c>
      <c r="D50">
        <f t="shared" si="9"/>
        <v>353.91666666666663</v>
      </c>
      <c r="E50">
        <f t="shared" si="10"/>
        <v>1.0228396515187193</v>
      </c>
      <c r="F50" t="str">
        <f t="shared" si="11"/>
        <v/>
      </c>
      <c r="G50" t="str">
        <f t="shared" si="11"/>
        <v/>
      </c>
      <c r="H50" t="str">
        <f t="shared" si="11"/>
        <v/>
      </c>
      <c r="I50" t="str">
        <f t="shared" si="11"/>
        <v/>
      </c>
      <c r="J50" t="str">
        <f t="shared" si="11"/>
        <v/>
      </c>
      <c r="K50" t="str">
        <f t="shared" si="11"/>
        <v/>
      </c>
      <c r="L50" t="str">
        <f t="shared" si="11"/>
        <v/>
      </c>
      <c r="M50" t="str">
        <f t="shared" si="11"/>
        <v/>
      </c>
      <c r="N50" t="str">
        <f t="shared" si="11"/>
        <v/>
      </c>
      <c r="O50" t="str">
        <f t="shared" si="11"/>
        <v/>
      </c>
      <c r="P50" t="str">
        <f t="shared" si="11"/>
        <v/>
      </c>
      <c r="Q50">
        <f t="shared" si="11"/>
        <v>1.0228396515187193</v>
      </c>
      <c r="R50">
        <f t="shared" si="7"/>
        <v>0.91458648407659837</v>
      </c>
      <c r="S50">
        <f t="shared" si="8"/>
        <v>395.80729247873052</v>
      </c>
      <c r="U50" s="5"/>
    </row>
    <row r="51" spans="1:21" x14ac:dyDescent="0.25">
      <c r="A51" s="8">
        <v>38353</v>
      </c>
      <c r="B51" s="9">
        <f t="shared" si="2"/>
        <v>1</v>
      </c>
      <c r="C51" s="5">
        <v>304</v>
      </c>
      <c r="D51">
        <f t="shared" si="9"/>
        <v>357.95833333333331</v>
      </c>
      <c r="E51">
        <f t="shared" si="10"/>
        <v>0.84926085438249332</v>
      </c>
      <c r="F51">
        <f t="shared" si="11"/>
        <v>0.84926085438249332</v>
      </c>
      <c r="G51" t="str">
        <f t="shared" si="11"/>
        <v/>
      </c>
      <c r="H51" t="str">
        <f t="shared" si="11"/>
        <v/>
      </c>
      <c r="I51" t="str">
        <f t="shared" si="11"/>
        <v/>
      </c>
      <c r="J51" t="str">
        <f t="shared" si="11"/>
        <v/>
      </c>
      <c r="K51" t="str">
        <f t="shared" si="11"/>
        <v/>
      </c>
      <c r="L51" t="str">
        <f t="shared" si="11"/>
        <v/>
      </c>
      <c r="M51" t="str">
        <f t="shared" si="11"/>
        <v/>
      </c>
      <c r="N51" t="str">
        <f t="shared" si="11"/>
        <v/>
      </c>
      <c r="O51" t="str">
        <f t="shared" si="11"/>
        <v/>
      </c>
      <c r="P51" t="str">
        <f t="shared" si="11"/>
        <v/>
      </c>
      <c r="Q51" t="str">
        <f t="shared" si="11"/>
        <v/>
      </c>
      <c r="R51">
        <f t="shared" si="7"/>
        <v>0.9447245466877463</v>
      </c>
      <c r="S51">
        <f t="shared" si="8"/>
        <v>321.78691774850131</v>
      </c>
      <c r="U51" s="5"/>
    </row>
    <row r="52" spans="1:21" x14ac:dyDescent="0.25">
      <c r="A52" s="8">
        <v>38384</v>
      </c>
      <c r="B52" s="9">
        <f t="shared" si="2"/>
        <v>2</v>
      </c>
      <c r="C52" s="5">
        <v>335</v>
      </c>
      <c r="D52">
        <f t="shared" si="9"/>
        <v>362.91666666666663</v>
      </c>
      <c r="E52">
        <f t="shared" si="10"/>
        <v>0.92307692307692313</v>
      </c>
      <c r="F52" t="str">
        <f t="shared" si="11"/>
        <v/>
      </c>
      <c r="G52">
        <f t="shared" si="11"/>
        <v>0.92307692307692313</v>
      </c>
      <c r="H52" t="str">
        <f t="shared" si="11"/>
        <v/>
      </c>
      <c r="I52" t="str">
        <f t="shared" si="11"/>
        <v/>
      </c>
      <c r="J52" t="str">
        <f t="shared" si="11"/>
        <v/>
      </c>
      <c r="K52" t="str">
        <f t="shared" si="11"/>
        <v/>
      </c>
      <c r="L52" t="str">
        <f t="shared" si="11"/>
        <v/>
      </c>
      <c r="M52" t="str">
        <f t="shared" si="11"/>
        <v/>
      </c>
      <c r="N52" t="str">
        <f t="shared" si="11"/>
        <v/>
      </c>
      <c r="O52" t="str">
        <f t="shared" si="11"/>
        <v/>
      </c>
      <c r="P52" t="str">
        <f t="shared" si="11"/>
        <v/>
      </c>
      <c r="Q52" t="str">
        <f t="shared" si="11"/>
        <v/>
      </c>
      <c r="R52">
        <f t="shared" si="7"/>
        <v>0.95740708992609791</v>
      </c>
      <c r="S52">
        <f t="shared" si="8"/>
        <v>349.90340423096154</v>
      </c>
      <c r="U52" s="5"/>
    </row>
    <row r="53" spans="1:21" x14ac:dyDescent="0.25">
      <c r="A53" s="8">
        <v>38412</v>
      </c>
      <c r="B53" s="9">
        <f t="shared" si="2"/>
        <v>3</v>
      </c>
      <c r="C53" s="5">
        <v>345</v>
      </c>
      <c r="D53">
        <f t="shared" si="9"/>
        <v>367.79166666666663</v>
      </c>
      <c r="E53">
        <f t="shared" si="10"/>
        <v>0.93803104112382474</v>
      </c>
      <c r="F53" t="str">
        <f t="shared" si="11"/>
        <v/>
      </c>
      <c r="G53" t="str">
        <f t="shared" si="11"/>
        <v/>
      </c>
      <c r="H53">
        <f t="shared" si="11"/>
        <v>0.93803104112382474</v>
      </c>
      <c r="I53" t="str">
        <f t="shared" si="11"/>
        <v/>
      </c>
      <c r="J53" t="str">
        <f t="shared" si="11"/>
        <v/>
      </c>
      <c r="K53" t="str">
        <f t="shared" si="11"/>
        <v/>
      </c>
      <c r="L53" t="str">
        <f t="shared" si="11"/>
        <v/>
      </c>
      <c r="M53" t="str">
        <f t="shared" si="11"/>
        <v/>
      </c>
      <c r="N53" t="str">
        <f t="shared" si="11"/>
        <v/>
      </c>
      <c r="O53" t="str">
        <f t="shared" si="11"/>
        <v/>
      </c>
      <c r="P53" t="str">
        <f t="shared" si="11"/>
        <v/>
      </c>
      <c r="Q53" t="str">
        <f t="shared" si="11"/>
        <v/>
      </c>
      <c r="R53">
        <f t="shared" si="7"/>
        <v>1.0167264528055464</v>
      </c>
      <c r="S53">
        <f t="shared" si="8"/>
        <v>339.32430797685049</v>
      </c>
      <c r="U53" s="5"/>
    </row>
    <row r="54" spans="1:21" x14ac:dyDescent="0.25">
      <c r="A54" s="8">
        <v>38443</v>
      </c>
      <c r="B54" s="9">
        <f t="shared" si="2"/>
        <v>4</v>
      </c>
      <c r="C54" s="5">
        <v>371</v>
      </c>
      <c r="D54">
        <f t="shared" si="9"/>
        <v>369.75</v>
      </c>
      <c r="E54">
        <f t="shared" si="10"/>
        <v>1.0033806626098716</v>
      </c>
      <c r="F54" t="str">
        <f t="shared" si="11"/>
        <v/>
      </c>
      <c r="G54" t="str">
        <f t="shared" si="11"/>
        <v/>
      </c>
      <c r="H54" t="str">
        <f t="shared" si="11"/>
        <v/>
      </c>
      <c r="I54">
        <f t="shared" si="11"/>
        <v>1.0033806626098716</v>
      </c>
      <c r="J54" t="str">
        <f t="shared" si="11"/>
        <v/>
      </c>
      <c r="K54" t="str">
        <f t="shared" si="11"/>
        <v/>
      </c>
      <c r="L54" t="str">
        <f t="shared" si="11"/>
        <v/>
      </c>
      <c r="M54" t="str">
        <f t="shared" si="11"/>
        <v/>
      </c>
      <c r="N54" t="str">
        <f t="shared" si="11"/>
        <v/>
      </c>
      <c r="O54" t="str">
        <f t="shared" si="11"/>
        <v/>
      </c>
      <c r="P54" t="str">
        <f t="shared" si="11"/>
        <v/>
      </c>
      <c r="Q54" t="str">
        <f t="shared" si="11"/>
        <v/>
      </c>
      <c r="R54">
        <f t="shared" si="7"/>
        <v>1.0806768925923931</v>
      </c>
      <c r="S54">
        <f t="shared" si="8"/>
        <v>343.30335231839996</v>
      </c>
      <c r="U54" s="5"/>
    </row>
    <row r="55" spans="1:21" x14ac:dyDescent="0.25">
      <c r="A55" s="8">
        <v>38473</v>
      </c>
      <c r="B55" s="9">
        <f t="shared" si="2"/>
        <v>5</v>
      </c>
      <c r="C55" s="5">
        <v>390</v>
      </c>
      <c r="D55">
        <f t="shared" si="9"/>
        <v>369.08333333333331</v>
      </c>
      <c r="E55">
        <f t="shared" si="10"/>
        <v>1.0566719349740348</v>
      </c>
      <c r="F55" t="str">
        <f t="shared" si="11"/>
        <v/>
      </c>
      <c r="G55" t="str">
        <f t="shared" si="11"/>
        <v/>
      </c>
      <c r="H55" t="str">
        <f t="shared" si="11"/>
        <v/>
      </c>
      <c r="I55" t="str">
        <f t="shared" si="11"/>
        <v/>
      </c>
      <c r="J55">
        <f t="shared" si="11"/>
        <v>1.0566719349740348</v>
      </c>
      <c r="K55" t="str">
        <f t="shared" si="11"/>
        <v/>
      </c>
      <c r="L55" t="str">
        <f t="shared" si="11"/>
        <v/>
      </c>
      <c r="M55" t="str">
        <f t="shared" si="11"/>
        <v/>
      </c>
      <c r="N55" t="str">
        <f t="shared" si="11"/>
        <v/>
      </c>
      <c r="O55" t="str">
        <f t="shared" si="11"/>
        <v/>
      </c>
      <c r="P55" t="str">
        <f t="shared" si="11"/>
        <v/>
      </c>
      <c r="Q55" t="str">
        <f t="shared" si="11"/>
        <v/>
      </c>
      <c r="R55">
        <f t="shared" si="7"/>
        <v>1.0380260515064865</v>
      </c>
      <c r="S55">
        <f t="shared" si="8"/>
        <v>375.7131137836023</v>
      </c>
      <c r="U55" s="5"/>
    </row>
    <row r="56" spans="1:21" x14ac:dyDescent="0.25">
      <c r="A56" s="8">
        <v>38504</v>
      </c>
      <c r="B56" s="9">
        <f t="shared" si="2"/>
        <v>6</v>
      </c>
      <c r="C56" s="5">
        <v>400</v>
      </c>
      <c r="D56">
        <f t="shared" si="9"/>
        <v>370.625</v>
      </c>
      <c r="E56">
        <f t="shared" si="10"/>
        <v>1.0792580101180438</v>
      </c>
      <c r="F56" t="str">
        <f t="shared" si="11"/>
        <v/>
      </c>
      <c r="G56" t="str">
        <f t="shared" si="11"/>
        <v/>
      </c>
      <c r="H56" t="str">
        <f t="shared" si="11"/>
        <v/>
      </c>
      <c r="I56" t="str">
        <f t="shared" si="11"/>
        <v/>
      </c>
      <c r="J56" t="str">
        <f t="shared" si="11"/>
        <v/>
      </c>
      <c r="K56">
        <f t="shared" si="11"/>
        <v>1.0792580101180438</v>
      </c>
      <c r="L56" t="str">
        <f t="shared" si="11"/>
        <v/>
      </c>
      <c r="M56" t="str">
        <f t="shared" si="11"/>
        <v/>
      </c>
      <c r="N56" t="str">
        <f t="shared" si="11"/>
        <v/>
      </c>
      <c r="O56" t="str">
        <f t="shared" si="11"/>
        <v/>
      </c>
      <c r="P56" t="str">
        <f t="shared" si="11"/>
        <v/>
      </c>
      <c r="Q56" t="str">
        <f t="shared" si="11"/>
        <v/>
      </c>
      <c r="R56">
        <f t="shared" si="7"/>
        <v>1.116110197693907</v>
      </c>
      <c r="S56">
        <f t="shared" si="8"/>
        <v>358.38755064372231</v>
      </c>
      <c r="U56" s="5"/>
    </row>
    <row r="57" spans="1:21" x14ac:dyDescent="0.25">
      <c r="A57" s="8">
        <v>38534</v>
      </c>
      <c r="B57" s="9">
        <f t="shared" si="2"/>
        <v>7</v>
      </c>
      <c r="C57" s="5">
        <v>437</v>
      </c>
      <c r="D57">
        <f t="shared" si="9"/>
        <v>374.04166666666663</v>
      </c>
      <c r="E57">
        <f t="shared" si="10"/>
        <v>1.1683190375403811</v>
      </c>
      <c r="F57" t="str">
        <f t="shared" si="11"/>
        <v/>
      </c>
      <c r="G57" t="str">
        <f t="shared" si="11"/>
        <v/>
      </c>
      <c r="H57" t="str">
        <f t="shared" si="11"/>
        <v/>
      </c>
      <c r="I57" t="str">
        <f t="shared" si="11"/>
        <v/>
      </c>
      <c r="J57" t="str">
        <f t="shared" si="11"/>
        <v/>
      </c>
      <c r="K57" t="str">
        <f t="shared" si="11"/>
        <v/>
      </c>
      <c r="L57">
        <f t="shared" si="11"/>
        <v>1.1683190375403811</v>
      </c>
      <c r="M57" t="str">
        <f t="shared" si="11"/>
        <v/>
      </c>
      <c r="N57" t="str">
        <f t="shared" si="11"/>
        <v/>
      </c>
      <c r="O57" t="str">
        <f t="shared" si="11"/>
        <v/>
      </c>
      <c r="P57" t="str">
        <f t="shared" si="11"/>
        <v/>
      </c>
      <c r="Q57" t="str">
        <f t="shared" si="11"/>
        <v/>
      </c>
      <c r="R57">
        <f t="shared" si="7"/>
        <v>1.0629349580535654</v>
      </c>
      <c r="S57">
        <f t="shared" si="8"/>
        <v>411.12581413281345</v>
      </c>
      <c r="U57" s="5"/>
    </row>
    <row r="58" spans="1:21" x14ac:dyDescent="0.25">
      <c r="A58" s="8">
        <v>38565</v>
      </c>
      <c r="B58" s="9">
        <f t="shared" si="2"/>
        <v>8</v>
      </c>
      <c r="C58" s="5">
        <v>390</v>
      </c>
      <c r="D58">
        <f t="shared" si="9"/>
        <v>377.66666666666663</v>
      </c>
      <c r="E58">
        <f t="shared" si="10"/>
        <v>1.0326566637246251</v>
      </c>
      <c r="F58" t="str">
        <f t="shared" si="11"/>
        <v/>
      </c>
      <c r="G58" t="str">
        <f t="shared" si="11"/>
        <v/>
      </c>
      <c r="H58" t="str">
        <f t="shared" si="11"/>
        <v/>
      </c>
      <c r="I58" t="str">
        <f t="shared" si="11"/>
        <v/>
      </c>
      <c r="J58" t="str">
        <f t="shared" si="11"/>
        <v/>
      </c>
      <c r="K58" t="str">
        <f t="shared" si="11"/>
        <v/>
      </c>
      <c r="L58" t="str">
        <f t="shared" si="11"/>
        <v/>
      </c>
      <c r="M58">
        <f t="shared" si="11"/>
        <v>1.0326566637246251</v>
      </c>
      <c r="N58" t="str">
        <f t="shared" si="11"/>
        <v/>
      </c>
      <c r="O58" t="str">
        <f t="shared" si="11"/>
        <v/>
      </c>
      <c r="P58" t="str">
        <f t="shared" si="11"/>
        <v/>
      </c>
      <c r="Q58" t="str">
        <f t="shared" si="11"/>
        <v/>
      </c>
      <c r="R58">
        <f t="shared" si="7"/>
        <v>1.0430405609995839</v>
      </c>
      <c r="S58">
        <f t="shared" si="8"/>
        <v>373.90683985122183</v>
      </c>
      <c r="U58" s="5"/>
    </row>
    <row r="59" spans="1:21" x14ac:dyDescent="0.25">
      <c r="A59" s="8">
        <v>38596</v>
      </c>
      <c r="B59" s="9">
        <f t="shared" si="2"/>
        <v>9</v>
      </c>
      <c r="C59" s="5">
        <v>393</v>
      </c>
      <c r="D59">
        <f t="shared" si="9"/>
        <v>382.66666666666663</v>
      </c>
      <c r="E59">
        <f t="shared" si="10"/>
        <v>1.0270034843205575</v>
      </c>
      <c r="F59" t="str">
        <f t="shared" si="11"/>
        <v/>
      </c>
      <c r="G59" t="str">
        <f t="shared" si="11"/>
        <v/>
      </c>
      <c r="H59" t="str">
        <f t="shared" si="11"/>
        <v/>
      </c>
      <c r="I59" t="str">
        <f t="shared" si="11"/>
        <v/>
      </c>
      <c r="J59" t="str">
        <f t="shared" si="11"/>
        <v/>
      </c>
      <c r="K59" t="str">
        <f t="shared" si="11"/>
        <v/>
      </c>
      <c r="L59" t="str">
        <f t="shared" si="11"/>
        <v/>
      </c>
      <c r="M59" t="str">
        <f t="shared" si="11"/>
        <v/>
      </c>
      <c r="N59">
        <f t="shared" si="11"/>
        <v>1.0270034843205575</v>
      </c>
      <c r="O59" t="str">
        <f t="shared" si="11"/>
        <v/>
      </c>
      <c r="P59" t="str">
        <f t="shared" si="11"/>
        <v/>
      </c>
      <c r="Q59" t="str">
        <f t="shared" si="11"/>
        <v/>
      </c>
      <c r="R59">
        <f t="shared" si="7"/>
        <v>0.94657387376024194</v>
      </c>
      <c r="S59">
        <f t="shared" si="8"/>
        <v>415.18154144569507</v>
      </c>
      <c r="U59" s="5"/>
    </row>
    <row r="60" spans="1:21" x14ac:dyDescent="0.25">
      <c r="A60" s="8">
        <v>38626</v>
      </c>
      <c r="B60" s="9">
        <f t="shared" si="2"/>
        <v>10</v>
      </c>
      <c r="C60" s="5">
        <v>357</v>
      </c>
      <c r="D60">
        <f t="shared" si="9"/>
        <v>388.70833333333331</v>
      </c>
      <c r="E60">
        <f t="shared" si="10"/>
        <v>0.91842641226283639</v>
      </c>
      <c r="F60" t="str">
        <f t="shared" si="11"/>
        <v/>
      </c>
      <c r="G60" t="str">
        <f t="shared" si="11"/>
        <v/>
      </c>
      <c r="H60" t="str">
        <f t="shared" si="11"/>
        <v/>
      </c>
      <c r="I60" t="str">
        <f t="shared" si="11"/>
        <v/>
      </c>
      <c r="J60" t="str">
        <f t="shared" si="11"/>
        <v/>
      </c>
      <c r="K60" t="str">
        <f t="shared" si="11"/>
        <v/>
      </c>
      <c r="L60" t="str">
        <f t="shared" si="11"/>
        <v/>
      </c>
      <c r="M60" t="str">
        <f t="shared" si="11"/>
        <v/>
      </c>
      <c r="N60" t="str">
        <f t="shared" si="11"/>
        <v/>
      </c>
      <c r="O60">
        <f t="shared" si="11"/>
        <v>0.91842641226283639</v>
      </c>
      <c r="P60" t="str">
        <f t="shared" si="11"/>
        <v/>
      </c>
      <c r="Q60" t="str">
        <f t="shared" si="11"/>
        <v/>
      </c>
      <c r="R60">
        <f t="shared" si="7"/>
        <v>0.99267321089541272</v>
      </c>
      <c r="S60">
        <f t="shared" si="8"/>
        <v>359.63496957672334</v>
      </c>
      <c r="U60" s="5"/>
    </row>
    <row r="61" spans="1:21" x14ac:dyDescent="0.25">
      <c r="A61" s="8">
        <v>38657</v>
      </c>
      <c r="B61" s="9">
        <f t="shared" si="2"/>
        <v>11</v>
      </c>
      <c r="C61" s="5">
        <v>347</v>
      </c>
      <c r="D61">
        <f t="shared" si="9"/>
        <v>393.75</v>
      </c>
      <c r="E61">
        <f t="shared" si="10"/>
        <v>0.88126984126984131</v>
      </c>
      <c r="F61" t="str">
        <f t="shared" si="11"/>
        <v/>
      </c>
      <c r="G61" t="str">
        <f t="shared" si="11"/>
        <v/>
      </c>
      <c r="H61" t="str">
        <f t="shared" si="11"/>
        <v/>
      </c>
      <c r="I61" t="str">
        <f t="shared" si="11"/>
        <v/>
      </c>
      <c r="J61" t="str">
        <f t="shared" si="11"/>
        <v/>
      </c>
      <c r="K61" t="str">
        <f t="shared" si="11"/>
        <v/>
      </c>
      <c r="L61" t="str">
        <f t="shared" si="11"/>
        <v/>
      </c>
      <c r="M61" t="str">
        <f t="shared" si="11"/>
        <v/>
      </c>
      <c r="N61" t="str">
        <f t="shared" si="11"/>
        <v/>
      </c>
      <c r="O61" t="str">
        <f t="shared" si="11"/>
        <v/>
      </c>
      <c r="P61">
        <f t="shared" si="11"/>
        <v>0.88126984126984131</v>
      </c>
      <c r="Q61" t="str">
        <f t="shared" si="11"/>
        <v/>
      </c>
      <c r="R61">
        <f t="shared" si="7"/>
        <v>0.91156860894280367</v>
      </c>
      <c r="S61">
        <f t="shared" si="8"/>
        <v>380.66251579509196</v>
      </c>
      <c r="U61" s="5"/>
    </row>
    <row r="62" spans="1:21" x14ac:dyDescent="0.25">
      <c r="A62" s="8">
        <v>38687</v>
      </c>
      <c r="B62" s="9">
        <f t="shared" si="2"/>
        <v>12</v>
      </c>
      <c r="C62" s="5">
        <v>395</v>
      </c>
      <c r="D62">
        <f t="shared" si="9"/>
        <v>399.16666666666663</v>
      </c>
      <c r="E62">
        <f t="shared" si="10"/>
        <v>0.98956158663883098</v>
      </c>
      <c r="F62" t="str">
        <f t="shared" si="11"/>
        <v/>
      </c>
      <c r="G62" t="str">
        <f t="shared" si="11"/>
        <v/>
      </c>
      <c r="H62" t="str">
        <f t="shared" si="11"/>
        <v/>
      </c>
      <c r="I62" t="str">
        <f t="shared" ref="G62:Q85" si="12">IF($B62=I$1,$E62, "")</f>
        <v/>
      </c>
      <c r="J62" t="str">
        <f t="shared" si="12"/>
        <v/>
      </c>
      <c r="K62" t="str">
        <f t="shared" si="12"/>
        <v/>
      </c>
      <c r="L62" t="str">
        <f t="shared" si="12"/>
        <v/>
      </c>
      <c r="M62" t="str">
        <f t="shared" si="12"/>
        <v/>
      </c>
      <c r="N62" t="str">
        <f t="shared" si="12"/>
        <v/>
      </c>
      <c r="O62" t="str">
        <f t="shared" si="12"/>
        <v/>
      </c>
      <c r="P62" t="str">
        <f t="shared" si="12"/>
        <v/>
      </c>
      <c r="Q62">
        <f t="shared" si="12"/>
        <v>0.98956158663883098</v>
      </c>
      <c r="R62">
        <f t="shared" si="7"/>
        <v>0.91458648407659837</v>
      </c>
      <c r="S62">
        <f t="shared" si="8"/>
        <v>431.88917273231647</v>
      </c>
      <c r="U62" s="5"/>
    </row>
    <row r="63" spans="1:21" x14ac:dyDescent="0.25">
      <c r="A63" s="8">
        <v>38718</v>
      </c>
      <c r="B63" s="9">
        <f t="shared" si="2"/>
        <v>1</v>
      </c>
      <c r="C63" s="5">
        <v>353</v>
      </c>
      <c r="D63">
        <f t="shared" si="9"/>
        <v>406.29166666666663</v>
      </c>
      <c r="E63">
        <f t="shared" si="10"/>
        <v>0.86883396574710292</v>
      </c>
      <c r="F63">
        <f t="shared" ref="F63:F126" si="13">IF($B63=F$1,$E63, "")</f>
        <v>0.86883396574710292</v>
      </c>
      <c r="G63" t="str">
        <f t="shared" si="12"/>
        <v/>
      </c>
      <c r="H63" t="str">
        <f t="shared" si="12"/>
        <v/>
      </c>
      <c r="I63" t="str">
        <f t="shared" si="12"/>
        <v/>
      </c>
      <c r="J63" t="str">
        <f t="shared" si="12"/>
        <v/>
      </c>
      <c r="K63" t="str">
        <f t="shared" si="12"/>
        <v/>
      </c>
      <c r="L63" t="str">
        <f t="shared" si="12"/>
        <v/>
      </c>
      <c r="M63" t="str">
        <f t="shared" si="12"/>
        <v/>
      </c>
      <c r="N63" t="str">
        <f t="shared" si="12"/>
        <v/>
      </c>
      <c r="O63" t="str">
        <f t="shared" si="12"/>
        <v/>
      </c>
      <c r="P63" t="str">
        <f t="shared" si="12"/>
        <v/>
      </c>
      <c r="Q63" t="str">
        <f t="shared" si="12"/>
        <v/>
      </c>
      <c r="R63">
        <f t="shared" si="7"/>
        <v>0.9447245466877463</v>
      </c>
      <c r="S63">
        <f t="shared" si="8"/>
        <v>373.65388804348999</v>
      </c>
      <c r="U63" s="5"/>
    </row>
    <row r="64" spans="1:21" x14ac:dyDescent="0.25">
      <c r="A64" s="8">
        <v>38749</v>
      </c>
      <c r="B64" s="9">
        <f t="shared" si="2"/>
        <v>2</v>
      </c>
      <c r="C64" s="5">
        <v>373</v>
      </c>
      <c r="D64">
        <f t="shared" si="9"/>
        <v>414.29166666666663</v>
      </c>
      <c r="E64">
        <f t="shared" si="10"/>
        <v>0.90033189178316408</v>
      </c>
      <c r="F64" t="str">
        <f t="shared" si="13"/>
        <v/>
      </c>
      <c r="G64">
        <f t="shared" si="12"/>
        <v>0.90033189178316408</v>
      </c>
      <c r="H64" t="str">
        <f t="shared" si="12"/>
        <v/>
      </c>
      <c r="I64" t="str">
        <f t="shared" si="12"/>
        <v/>
      </c>
      <c r="J64" t="str">
        <f t="shared" si="12"/>
        <v/>
      </c>
      <c r="K64" t="str">
        <f t="shared" si="12"/>
        <v/>
      </c>
      <c r="L64" t="str">
        <f t="shared" si="12"/>
        <v/>
      </c>
      <c r="M64" t="str">
        <f t="shared" si="12"/>
        <v/>
      </c>
      <c r="N64" t="str">
        <f t="shared" si="12"/>
        <v/>
      </c>
      <c r="O64" t="str">
        <f t="shared" si="12"/>
        <v/>
      </c>
      <c r="P64" t="str">
        <f t="shared" si="12"/>
        <v/>
      </c>
      <c r="Q64" t="str">
        <f t="shared" si="12"/>
        <v/>
      </c>
      <c r="R64">
        <f t="shared" si="7"/>
        <v>0.95740708992609791</v>
      </c>
      <c r="S64">
        <f t="shared" si="8"/>
        <v>389.59393963626468</v>
      </c>
      <c r="U64" s="5"/>
    </row>
    <row r="65" spans="1:21" x14ac:dyDescent="0.25">
      <c r="A65" s="8">
        <v>38777</v>
      </c>
      <c r="B65" s="9">
        <f t="shared" si="2"/>
        <v>3</v>
      </c>
      <c r="C65" s="5">
        <v>427</v>
      </c>
      <c r="D65">
        <f t="shared" si="9"/>
        <v>421.41666666666663</v>
      </c>
      <c r="E65">
        <f t="shared" si="10"/>
        <v>1.0132489618350802</v>
      </c>
      <c r="F65" t="str">
        <f t="shared" si="13"/>
        <v/>
      </c>
      <c r="G65" t="str">
        <f t="shared" si="12"/>
        <v/>
      </c>
      <c r="H65">
        <f t="shared" si="12"/>
        <v>1.0132489618350802</v>
      </c>
      <c r="I65" t="str">
        <f t="shared" si="12"/>
        <v/>
      </c>
      <c r="J65" t="str">
        <f t="shared" si="12"/>
        <v/>
      </c>
      <c r="K65" t="str">
        <f t="shared" si="12"/>
        <v/>
      </c>
      <c r="L65" t="str">
        <f t="shared" si="12"/>
        <v/>
      </c>
      <c r="M65" t="str">
        <f t="shared" si="12"/>
        <v/>
      </c>
      <c r="N65" t="str">
        <f t="shared" si="12"/>
        <v/>
      </c>
      <c r="O65" t="str">
        <f t="shared" si="12"/>
        <v/>
      </c>
      <c r="P65" t="str">
        <f t="shared" si="12"/>
        <v/>
      </c>
      <c r="Q65" t="str">
        <f t="shared" si="12"/>
        <v/>
      </c>
      <c r="R65">
        <f t="shared" si="7"/>
        <v>1.0167264528055464</v>
      </c>
      <c r="S65">
        <f t="shared" si="8"/>
        <v>419.97530291627584</v>
      </c>
      <c r="U65" s="5"/>
    </row>
    <row r="66" spans="1:21" x14ac:dyDescent="0.25">
      <c r="A66" s="8">
        <v>38808</v>
      </c>
      <c r="B66" s="9">
        <f t="shared" si="2"/>
        <v>4</v>
      </c>
      <c r="C66" s="5">
        <v>434</v>
      </c>
      <c r="D66">
        <f t="shared" si="9"/>
        <v>426.54166666666663</v>
      </c>
      <c r="E66">
        <f t="shared" si="10"/>
        <v>1.0174855914818794</v>
      </c>
      <c r="F66" t="str">
        <f t="shared" si="13"/>
        <v/>
      </c>
      <c r="G66" t="str">
        <f t="shared" si="12"/>
        <v/>
      </c>
      <c r="H66" t="str">
        <f t="shared" si="12"/>
        <v/>
      </c>
      <c r="I66">
        <f t="shared" si="12"/>
        <v>1.0174855914818794</v>
      </c>
      <c r="J66" t="str">
        <f t="shared" si="12"/>
        <v/>
      </c>
      <c r="K66" t="str">
        <f t="shared" si="12"/>
        <v/>
      </c>
      <c r="L66" t="str">
        <f t="shared" si="12"/>
        <v/>
      </c>
      <c r="M66" t="str">
        <f t="shared" si="12"/>
        <v/>
      </c>
      <c r="N66" t="str">
        <f t="shared" si="12"/>
        <v/>
      </c>
      <c r="O66" t="str">
        <f t="shared" si="12"/>
        <v/>
      </c>
      <c r="P66" t="str">
        <f t="shared" si="12"/>
        <v/>
      </c>
      <c r="Q66" t="str">
        <f t="shared" si="12"/>
        <v/>
      </c>
      <c r="R66">
        <f t="shared" si="7"/>
        <v>1.0806768925923931</v>
      </c>
      <c r="S66">
        <f t="shared" ref="S66:S97" si="14">C66/R66</f>
        <v>401.60014799510941</v>
      </c>
      <c r="U66" s="5"/>
    </row>
    <row r="67" spans="1:21" x14ac:dyDescent="0.25">
      <c r="A67" s="8">
        <v>38838</v>
      </c>
      <c r="B67" s="9">
        <f t="shared" si="2"/>
        <v>5</v>
      </c>
      <c r="C67" s="5">
        <v>448</v>
      </c>
      <c r="D67">
        <f t="shared" si="9"/>
        <v>431</v>
      </c>
      <c r="E67">
        <f t="shared" si="10"/>
        <v>1.0394431554524362</v>
      </c>
      <c r="F67" t="str">
        <f t="shared" si="13"/>
        <v/>
      </c>
      <c r="G67" t="str">
        <f t="shared" si="12"/>
        <v/>
      </c>
      <c r="H67" t="str">
        <f t="shared" si="12"/>
        <v/>
      </c>
      <c r="I67" t="str">
        <f t="shared" si="12"/>
        <v/>
      </c>
      <c r="J67">
        <f t="shared" si="12"/>
        <v>1.0394431554524362</v>
      </c>
      <c r="K67" t="str">
        <f t="shared" si="12"/>
        <v/>
      </c>
      <c r="L67" t="str">
        <f t="shared" si="12"/>
        <v/>
      </c>
      <c r="M67" t="str">
        <f t="shared" si="12"/>
        <v/>
      </c>
      <c r="N67" t="str">
        <f t="shared" si="12"/>
        <v/>
      </c>
      <c r="O67" t="str">
        <f t="shared" si="12"/>
        <v/>
      </c>
      <c r="P67" t="str">
        <f t="shared" si="12"/>
        <v/>
      </c>
      <c r="Q67" t="str">
        <f t="shared" si="12"/>
        <v/>
      </c>
      <c r="R67">
        <f t="shared" si="7"/>
        <v>1.0380260515064865</v>
      </c>
      <c r="S67">
        <f t="shared" si="14"/>
        <v>431.5883973719329</v>
      </c>
      <c r="U67" s="5"/>
    </row>
    <row r="68" spans="1:21" x14ac:dyDescent="0.25">
      <c r="A68" s="8">
        <v>38869</v>
      </c>
      <c r="B68" s="9">
        <f t="shared" ref="B68:B131" si="15">IF(B67=12,1,B67+1)</f>
        <v>6</v>
      </c>
      <c r="C68" s="5">
        <v>472</v>
      </c>
      <c r="D68">
        <f t="shared" si="9"/>
        <v>433.5</v>
      </c>
      <c r="E68">
        <f t="shared" si="10"/>
        <v>1.08881199538639</v>
      </c>
      <c r="F68" t="str">
        <f t="shared" si="13"/>
        <v/>
      </c>
      <c r="G68" t="str">
        <f t="shared" si="12"/>
        <v/>
      </c>
      <c r="H68" t="str">
        <f t="shared" si="12"/>
        <v/>
      </c>
      <c r="I68" t="str">
        <f t="shared" si="12"/>
        <v/>
      </c>
      <c r="J68" t="str">
        <f t="shared" si="12"/>
        <v/>
      </c>
      <c r="K68">
        <f t="shared" si="12"/>
        <v>1.08881199538639</v>
      </c>
      <c r="L68" t="str">
        <f t="shared" si="12"/>
        <v/>
      </c>
      <c r="M68" t="str">
        <f t="shared" si="12"/>
        <v/>
      </c>
      <c r="N68" t="str">
        <f t="shared" si="12"/>
        <v/>
      </c>
      <c r="O68" t="str">
        <f t="shared" si="12"/>
        <v/>
      </c>
      <c r="P68" t="str">
        <f t="shared" si="12"/>
        <v/>
      </c>
      <c r="Q68" t="str">
        <f t="shared" si="12"/>
        <v/>
      </c>
      <c r="R68">
        <f t="shared" si="7"/>
        <v>1.116110197693907</v>
      </c>
      <c r="S68">
        <f t="shared" si="14"/>
        <v>422.8973097595923</v>
      </c>
      <c r="U68" s="5"/>
    </row>
    <row r="69" spans="1:21" x14ac:dyDescent="0.25">
      <c r="A69" s="8">
        <v>38899</v>
      </c>
      <c r="B69" s="9">
        <f t="shared" si="15"/>
        <v>7</v>
      </c>
      <c r="C69" s="5">
        <v>536</v>
      </c>
      <c r="D69">
        <f t="shared" si="9"/>
        <v>436.20833333333331</v>
      </c>
      <c r="E69">
        <f t="shared" si="10"/>
        <v>1.2287706562231351</v>
      </c>
      <c r="F69" t="str">
        <f t="shared" si="13"/>
        <v/>
      </c>
      <c r="G69" t="str">
        <f t="shared" si="12"/>
        <v/>
      </c>
      <c r="H69" t="str">
        <f t="shared" si="12"/>
        <v/>
      </c>
      <c r="I69" t="str">
        <f t="shared" si="12"/>
        <v/>
      </c>
      <c r="J69" t="str">
        <f t="shared" si="12"/>
        <v/>
      </c>
      <c r="K69" t="str">
        <f t="shared" si="12"/>
        <v/>
      </c>
      <c r="L69">
        <f t="shared" si="12"/>
        <v>1.2287706562231351</v>
      </c>
      <c r="M69" t="str">
        <f t="shared" si="12"/>
        <v/>
      </c>
      <c r="N69" t="str">
        <f t="shared" si="12"/>
        <v/>
      </c>
      <c r="O69" t="str">
        <f t="shared" si="12"/>
        <v/>
      </c>
      <c r="P69" t="str">
        <f t="shared" si="12"/>
        <v/>
      </c>
      <c r="Q69" t="str">
        <f t="shared" si="12"/>
        <v/>
      </c>
      <c r="R69">
        <f t="shared" si="7"/>
        <v>1.0629349580535654</v>
      </c>
      <c r="S69">
        <f t="shared" si="14"/>
        <v>504.2641564649611</v>
      </c>
      <c r="U69" s="5"/>
    </row>
    <row r="70" spans="1:21" x14ac:dyDescent="0.25">
      <c r="A70" s="8">
        <v>38930</v>
      </c>
      <c r="B70" s="9">
        <f t="shared" si="15"/>
        <v>8</v>
      </c>
      <c r="C70" s="5">
        <v>483</v>
      </c>
      <c r="D70">
        <f t="shared" si="9"/>
        <v>440.70833333333331</v>
      </c>
      <c r="E70">
        <f t="shared" si="10"/>
        <v>1.0959629384513567</v>
      </c>
      <c r="F70" t="str">
        <f t="shared" si="13"/>
        <v/>
      </c>
      <c r="G70" t="str">
        <f t="shared" si="12"/>
        <v/>
      </c>
      <c r="H70" t="str">
        <f t="shared" si="12"/>
        <v/>
      </c>
      <c r="I70" t="str">
        <f t="shared" si="12"/>
        <v/>
      </c>
      <c r="J70" t="str">
        <f t="shared" si="12"/>
        <v/>
      </c>
      <c r="K70" t="str">
        <f t="shared" si="12"/>
        <v/>
      </c>
      <c r="L70" t="str">
        <f t="shared" si="12"/>
        <v/>
      </c>
      <c r="M70">
        <f t="shared" si="12"/>
        <v>1.0959629384513567</v>
      </c>
      <c r="N70" t="str">
        <f t="shared" si="12"/>
        <v/>
      </c>
      <c r="O70" t="str">
        <f t="shared" si="12"/>
        <v/>
      </c>
      <c r="P70" t="str">
        <f t="shared" si="12"/>
        <v/>
      </c>
      <c r="Q70" t="str">
        <f t="shared" si="12"/>
        <v/>
      </c>
      <c r="R70">
        <f t="shared" si="7"/>
        <v>1.0430405609995839</v>
      </c>
      <c r="S70">
        <f t="shared" si="14"/>
        <v>463.06924012343632</v>
      </c>
      <c r="U70" s="5"/>
    </row>
    <row r="71" spans="1:21" x14ac:dyDescent="0.25">
      <c r="A71" s="8">
        <v>38961</v>
      </c>
      <c r="B71" s="9">
        <f t="shared" si="15"/>
        <v>9</v>
      </c>
      <c r="C71" s="5">
        <v>471</v>
      </c>
      <c r="D71">
        <f t="shared" si="9"/>
        <v>442.58333333333331</v>
      </c>
      <c r="E71">
        <f t="shared" si="10"/>
        <v>1.0642063641498776</v>
      </c>
      <c r="F71" t="str">
        <f t="shared" si="13"/>
        <v/>
      </c>
      <c r="G71" t="str">
        <f t="shared" si="12"/>
        <v/>
      </c>
      <c r="H71" t="str">
        <f t="shared" si="12"/>
        <v/>
      </c>
      <c r="I71" t="str">
        <f t="shared" si="12"/>
        <v/>
      </c>
      <c r="J71" t="str">
        <f t="shared" si="12"/>
        <v/>
      </c>
      <c r="K71" t="str">
        <f t="shared" si="12"/>
        <v/>
      </c>
      <c r="L71" t="str">
        <f t="shared" si="12"/>
        <v/>
      </c>
      <c r="M71" t="str">
        <f t="shared" si="12"/>
        <v/>
      </c>
      <c r="N71">
        <f t="shared" si="12"/>
        <v>1.0642063641498776</v>
      </c>
      <c r="O71" t="str">
        <f t="shared" si="12"/>
        <v/>
      </c>
      <c r="P71" t="str">
        <f t="shared" si="12"/>
        <v/>
      </c>
      <c r="Q71" t="str">
        <f t="shared" si="12"/>
        <v/>
      </c>
      <c r="R71">
        <f t="shared" si="7"/>
        <v>0.94657387376024194</v>
      </c>
      <c r="S71">
        <f t="shared" si="14"/>
        <v>497.58398478606199</v>
      </c>
      <c r="U71" s="5"/>
    </row>
    <row r="72" spans="1:21" x14ac:dyDescent="0.25">
      <c r="A72" s="8">
        <v>38991</v>
      </c>
      <c r="B72" s="9">
        <f t="shared" si="15"/>
        <v>10</v>
      </c>
      <c r="C72" s="5">
        <v>402</v>
      </c>
      <c r="D72">
        <f t="shared" ref="D72:D103" si="16">(1/12)*( 0.5*C66+SUM(C67:C77)+0.5*C78 )</f>
        <v>443.79166666666663</v>
      </c>
      <c r="E72">
        <f t="shared" ref="E72:E103" si="17">C72/D72</f>
        <v>0.90583043845648303</v>
      </c>
      <c r="F72" t="str">
        <f t="shared" si="13"/>
        <v/>
      </c>
      <c r="G72" t="str">
        <f t="shared" si="12"/>
        <v/>
      </c>
      <c r="H72" t="str">
        <f t="shared" si="12"/>
        <v/>
      </c>
      <c r="I72" t="str">
        <f t="shared" si="12"/>
        <v/>
      </c>
      <c r="J72" t="str">
        <f t="shared" si="12"/>
        <v/>
      </c>
      <c r="K72" t="str">
        <f t="shared" si="12"/>
        <v/>
      </c>
      <c r="L72" t="str">
        <f t="shared" si="12"/>
        <v/>
      </c>
      <c r="M72" t="str">
        <f t="shared" si="12"/>
        <v/>
      </c>
      <c r="N72" t="str">
        <f t="shared" si="12"/>
        <v/>
      </c>
      <c r="O72">
        <f t="shared" si="12"/>
        <v>0.90583043845648303</v>
      </c>
      <c r="P72" t="str">
        <f t="shared" si="12"/>
        <v/>
      </c>
      <c r="Q72" t="str">
        <f t="shared" si="12"/>
        <v/>
      </c>
      <c r="R72">
        <f t="shared" si="7"/>
        <v>0.99267321089541272</v>
      </c>
      <c r="S72">
        <f t="shared" si="14"/>
        <v>404.96710859899935</v>
      </c>
      <c r="U72" s="5"/>
    </row>
    <row r="73" spans="1:21" x14ac:dyDescent="0.25">
      <c r="A73" s="8">
        <v>39022</v>
      </c>
      <c r="B73" s="9">
        <f t="shared" si="15"/>
        <v>11</v>
      </c>
      <c r="C73" s="5">
        <v>409</v>
      </c>
      <c r="D73">
        <f t="shared" si="16"/>
        <v>445.375</v>
      </c>
      <c r="E73">
        <f t="shared" si="17"/>
        <v>0.91832725231546453</v>
      </c>
      <c r="F73" t="str">
        <f t="shared" si="13"/>
        <v/>
      </c>
      <c r="G73" t="str">
        <f t="shared" si="12"/>
        <v/>
      </c>
      <c r="H73" t="str">
        <f t="shared" si="12"/>
        <v/>
      </c>
      <c r="I73" t="str">
        <f t="shared" si="12"/>
        <v/>
      </c>
      <c r="J73" t="str">
        <f t="shared" si="12"/>
        <v/>
      </c>
      <c r="K73" t="str">
        <f t="shared" si="12"/>
        <v/>
      </c>
      <c r="L73" t="str">
        <f t="shared" si="12"/>
        <v/>
      </c>
      <c r="M73" t="str">
        <f t="shared" si="12"/>
        <v/>
      </c>
      <c r="N73" t="str">
        <f t="shared" si="12"/>
        <v/>
      </c>
      <c r="O73" t="str">
        <f t="shared" si="12"/>
        <v/>
      </c>
      <c r="P73">
        <f t="shared" si="12"/>
        <v>0.91832725231546453</v>
      </c>
      <c r="Q73" t="str">
        <f t="shared" si="12"/>
        <v/>
      </c>
      <c r="R73">
        <f t="shared" si="7"/>
        <v>0.91156860894280367</v>
      </c>
      <c r="S73">
        <f t="shared" si="14"/>
        <v>448.67714397750029</v>
      </c>
      <c r="U73" s="5"/>
    </row>
    <row r="74" spans="1:21" x14ac:dyDescent="0.25">
      <c r="A74" s="8">
        <v>39052</v>
      </c>
      <c r="B74" s="9">
        <f t="shared" si="15"/>
        <v>12</v>
      </c>
      <c r="C74" s="5">
        <v>393</v>
      </c>
      <c r="D74">
        <f t="shared" si="16"/>
        <v>446</v>
      </c>
      <c r="E74">
        <f t="shared" si="17"/>
        <v>0.8811659192825112</v>
      </c>
      <c r="F74" t="str">
        <f t="shared" si="13"/>
        <v/>
      </c>
      <c r="G74" t="str">
        <f t="shared" si="12"/>
        <v/>
      </c>
      <c r="H74" t="str">
        <f t="shared" si="12"/>
        <v/>
      </c>
      <c r="I74" t="str">
        <f t="shared" si="12"/>
        <v/>
      </c>
      <c r="J74" t="str">
        <f t="shared" si="12"/>
        <v/>
      </c>
      <c r="K74" t="str">
        <f t="shared" si="12"/>
        <v/>
      </c>
      <c r="L74" t="str">
        <f t="shared" si="12"/>
        <v/>
      </c>
      <c r="M74" t="str">
        <f t="shared" si="12"/>
        <v/>
      </c>
      <c r="N74" t="str">
        <f t="shared" si="12"/>
        <v/>
      </c>
      <c r="O74" t="str">
        <f t="shared" si="12"/>
        <v/>
      </c>
      <c r="P74" t="str">
        <f t="shared" si="12"/>
        <v/>
      </c>
      <c r="Q74">
        <f t="shared" si="12"/>
        <v>0.8811659192825112</v>
      </c>
      <c r="R74">
        <f t="shared" si="7"/>
        <v>0.91458648407659837</v>
      </c>
      <c r="S74">
        <f t="shared" si="14"/>
        <v>429.70239211088705</v>
      </c>
      <c r="U74" s="5"/>
    </row>
    <row r="75" spans="1:21" x14ac:dyDescent="0.25">
      <c r="A75" s="8">
        <v>39083</v>
      </c>
      <c r="B75" s="9">
        <f t="shared" si="15"/>
        <v>1</v>
      </c>
      <c r="C75" s="5">
        <v>420</v>
      </c>
      <c r="D75">
        <f t="shared" si="16"/>
        <v>444.29166666666663</v>
      </c>
      <c r="E75">
        <f t="shared" si="17"/>
        <v>0.9453249554534372</v>
      </c>
      <c r="F75">
        <f t="shared" si="13"/>
        <v>0.9453249554534372</v>
      </c>
      <c r="G75" t="str">
        <f t="shared" si="12"/>
        <v/>
      </c>
      <c r="H75" t="str">
        <f t="shared" si="12"/>
        <v/>
      </c>
      <c r="I75" t="str">
        <f t="shared" si="12"/>
        <v/>
      </c>
      <c r="J75" t="str">
        <f t="shared" si="12"/>
        <v/>
      </c>
      <c r="K75" t="str">
        <f t="shared" si="12"/>
        <v/>
      </c>
      <c r="L75" t="str">
        <f t="shared" si="12"/>
        <v/>
      </c>
      <c r="M75" t="str">
        <f t="shared" si="12"/>
        <v/>
      </c>
      <c r="N75" t="str">
        <f t="shared" si="12"/>
        <v/>
      </c>
      <c r="O75" t="str">
        <f t="shared" si="12"/>
        <v/>
      </c>
      <c r="P75" t="str">
        <f t="shared" si="12"/>
        <v/>
      </c>
      <c r="Q75" t="str">
        <f t="shared" si="12"/>
        <v/>
      </c>
      <c r="R75">
        <f t="shared" si="7"/>
        <v>0.9447245466877463</v>
      </c>
      <c r="S75">
        <f t="shared" si="14"/>
        <v>444.5740310999031</v>
      </c>
      <c r="U75" s="5"/>
    </row>
    <row r="76" spans="1:21" x14ac:dyDescent="0.25">
      <c r="A76" s="8">
        <v>39114</v>
      </c>
      <c r="B76" s="9">
        <f t="shared" si="15"/>
        <v>2</v>
      </c>
      <c r="C76" s="5">
        <v>414</v>
      </c>
      <c r="D76">
        <f t="shared" si="16"/>
        <v>442.75</v>
      </c>
      <c r="E76">
        <f t="shared" si="17"/>
        <v>0.93506493506493504</v>
      </c>
      <c r="F76" t="str">
        <f t="shared" si="13"/>
        <v/>
      </c>
      <c r="G76">
        <f t="shared" si="12"/>
        <v>0.93506493506493504</v>
      </c>
      <c r="H76" t="str">
        <f t="shared" si="12"/>
        <v/>
      </c>
      <c r="I76" t="str">
        <f t="shared" si="12"/>
        <v/>
      </c>
      <c r="J76" t="str">
        <f t="shared" si="12"/>
        <v/>
      </c>
      <c r="K76" t="str">
        <f t="shared" si="12"/>
        <v/>
      </c>
      <c r="L76" t="str">
        <f t="shared" si="12"/>
        <v/>
      </c>
      <c r="M76" t="str">
        <f t="shared" si="12"/>
        <v/>
      </c>
      <c r="N76" t="str">
        <f t="shared" si="12"/>
        <v/>
      </c>
      <c r="O76" t="str">
        <f t="shared" si="12"/>
        <v/>
      </c>
      <c r="P76" t="str">
        <f t="shared" si="12"/>
        <v/>
      </c>
      <c r="Q76" t="str">
        <f t="shared" si="12"/>
        <v/>
      </c>
      <c r="R76">
        <f t="shared" si="7"/>
        <v>0.95740708992609791</v>
      </c>
      <c r="S76">
        <f t="shared" si="14"/>
        <v>432.41793836303907</v>
      </c>
      <c r="U76" s="5"/>
    </row>
    <row r="77" spans="1:21" x14ac:dyDescent="0.25">
      <c r="A77" s="8">
        <v>39142</v>
      </c>
      <c r="B77" s="9">
        <f t="shared" si="15"/>
        <v>3</v>
      </c>
      <c r="C77" s="5">
        <v>431</v>
      </c>
      <c r="D77">
        <f t="shared" si="16"/>
        <v>441.5</v>
      </c>
      <c r="E77">
        <f t="shared" si="17"/>
        <v>0.97621744054360138</v>
      </c>
      <c r="F77" t="str">
        <f t="shared" si="13"/>
        <v/>
      </c>
      <c r="G77" t="str">
        <f t="shared" si="12"/>
        <v/>
      </c>
      <c r="H77">
        <f t="shared" si="12"/>
        <v>0.97621744054360138</v>
      </c>
      <c r="I77" t="str">
        <f t="shared" si="12"/>
        <v/>
      </c>
      <c r="J77" t="str">
        <f t="shared" si="12"/>
        <v/>
      </c>
      <c r="K77" t="str">
        <f t="shared" si="12"/>
        <v/>
      </c>
      <c r="L77" t="str">
        <f t="shared" si="12"/>
        <v/>
      </c>
      <c r="M77" t="str">
        <f t="shared" si="12"/>
        <v/>
      </c>
      <c r="N77" t="str">
        <f t="shared" si="12"/>
        <v/>
      </c>
      <c r="O77" t="str">
        <f t="shared" si="12"/>
        <v/>
      </c>
      <c r="P77" t="str">
        <f t="shared" si="12"/>
        <v/>
      </c>
      <c r="Q77" t="str">
        <f t="shared" si="12"/>
        <v/>
      </c>
      <c r="R77">
        <f t="shared" si="7"/>
        <v>1.0167264528055464</v>
      </c>
      <c r="S77">
        <f t="shared" si="14"/>
        <v>423.9094977913698</v>
      </c>
      <c r="U77" s="5"/>
    </row>
    <row r="78" spans="1:21" x14ac:dyDescent="0.25">
      <c r="A78" s="8">
        <v>39173</v>
      </c>
      <c r="B78" s="9">
        <f t="shared" si="15"/>
        <v>4</v>
      </c>
      <c r="C78" s="5">
        <v>459</v>
      </c>
      <c r="D78">
        <f t="shared" si="16"/>
        <v>440.5</v>
      </c>
      <c r="E78">
        <f t="shared" si="17"/>
        <v>1.0419977298524403</v>
      </c>
      <c r="F78" t="str">
        <f t="shared" si="13"/>
        <v/>
      </c>
      <c r="G78" t="str">
        <f t="shared" si="12"/>
        <v/>
      </c>
      <c r="H78" t="str">
        <f t="shared" si="12"/>
        <v/>
      </c>
      <c r="I78">
        <f t="shared" si="12"/>
        <v>1.0419977298524403</v>
      </c>
      <c r="J78" t="str">
        <f t="shared" si="12"/>
        <v/>
      </c>
      <c r="K78" t="str">
        <f t="shared" si="12"/>
        <v/>
      </c>
      <c r="L78" t="str">
        <f t="shared" si="12"/>
        <v/>
      </c>
      <c r="M78" t="str">
        <f t="shared" si="12"/>
        <v/>
      </c>
      <c r="N78" t="str">
        <f t="shared" si="12"/>
        <v/>
      </c>
      <c r="O78" t="str">
        <f t="shared" si="12"/>
        <v/>
      </c>
      <c r="P78" t="str">
        <f t="shared" si="12"/>
        <v/>
      </c>
      <c r="Q78" t="str">
        <f t="shared" si="12"/>
        <v/>
      </c>
      <c r="R78">
        <f t="shared" si="7"/>
        <v>1.0806768925923931</v>
      </c>
      <c r="S78">
        <f t="shared" si="14"/>
        <v>424.73379707316872</v>
      </c>
      <c r="U78" s="5"/>
    </row>
    <row r="79" spans="1:21" x14ac:dyDescent="0.25">
      <c r="A79" s="8">
        <v>39203</v>
      </c>
      <c r="B79" s="9">
        <f t="shared" si="15"/>
        <v>5</v>
      </c>
      <c r="C79" s="5">
        <v>461</v>
      </c>
      <c r="D79">
        <f t="shared" si="16"/>
        <v>441.875</v>
      </c>
      <c r="E79">
        <f t="shared" si="17"/>
        <v>1.0432814710042433</v>
      </c>
      <c r="F79" t="str">
        <f t="shared" si="13"/>
        <v/>
      </c>
      <c r="G79" t="str">
        <f t="shared" si="12"/>
        <v/>
      </c>
      <c r="H79" t="str">
        <f t="shared" si="12"/>
        <v/>
      </c>
      <c r="I79" t="str">
        <f t="shared" si="12"/>
        <v/>
      </c>
      <c r="J79">
        <f t="shared" si="12"/>
        <v>1.0432814710042433</v>
      </c>
      <c r="K79" t="str">
        <f t="shared" si="12"/>
        <v/>
      </c>
      <c r="L79" t="str">
        <f t="shared" si="12"/>
        <v/>
      </c>
      <c r="M79" t="str">
        <f t="shared" si="12"/>
        <v/>
      </c>
      <c r="N79" t="str">
        <f t="shared" si="12"/>
        <v/>
      </c>
      <c r="O79" t="str">
        <f t="shared" si="12"/>
        <v/>
      </c>
      <c r="P79" t="str">
        <f t="shared" si="12"/>
        <v/>
      </c>
      <c r="Q79" t="str">
        <f t="shared" si="12"/>
        <v/>
      </c>
      <c r="R79">
        <f t="shared" ref="R79:R142" si="18">R67</f>
        <v>1.0380260515064865</v>
      </c>
      <c r="S79">
        <f t="shared" si="14"/>
        <v>444.11216783138633</v>
      </c>
      <c r="U79" s="5"/>
    </row>
    <row r="80" spans="1:21" x14ac:dyDescent="0.25">
      <c r="A80" s="8">
        <v>39234</v>
      </c>
      <c r="B80" s="9">
        <f t="shared" si="15"/>
        <v>6</v>
      </c>
      <c r="C80" s="5">
        <v>474</v>
      </c>
      <c r="D80">
        <f t="shared" si="16"/>
        <v>443.375</v>
      </c>
      <c r="E80">
        <f t="shared" si="17"/>
        <v>1.0690724555962785</v>
      </c>
      <c r="F80" t="str">
        <f t="shared" si="13"/>
        <v/>
      </c>
      <c r="G80" t="str">
        <f t="shared" si="12"/>
        <v/>
      </c>
      <c r="H80" t="str">
        <f t="shared" si="12"/>
        <v/>
      </c>
      <c r="I80" t="str">
        <f t="shared" si="12"/>
        <v/>
      </c>
      <c r="J80" t="str">
        <f t="shared" si="12"/>
        <v/>
      </c>
      <c r="K80">
        <f t="shared" si="12"/>
        <v>1.0690724555962785</v>
      </c>
      <c r="L80" t="str">
        <f t="shared" si="12"/>
        <v/>
      </c>
      <c r="M80" t="str">
        <f t="shared" si="12"/>
        <v/>
      </c>
      <c r="N80" t="str">
        <f t="shared" si="12"/>
        <v/>
      </c>
      <c r="O80" t="str">
        <f t="shared" si="12"/>
        <v/>
      </c>
      <c r="P80" t="str">
        <f t="shared" si="12"/>
        <v/>
      </c>
      <c r="Q80" t="str">
        <f t="shared" si="12"/>
        <v/>
      </c>
      <c r="R80">
        <f t="shared" si="18"/>
        <v>1.116110197693907</v>
      </c>
      <c r="S80">
        <f t="shared" si="14"/>
        <v>424.68924751281094</v>
      </c>
      <c r="U80" s="5"/>
    </row>
    <row r="81" spans="1:21" x14ac:dyDescent="0.25">
      <c r="A81" s="8">
        <v>39264</v>
      </c>
      <c r="B81" s="9">
        <f t="shared" si="15"/>
        <v>7</v>
      </c>
      <c r="C81" s="5">
        <v>493</v>
      </c>
      <c r="D81">
        <f t="shared" si="16"/>
        <v>442.54166666666663</v>
      </c>
      <c r="E81">
        <f t="shared" si="17"/>
        <v>1.1140193955371436</v>
      </c>
      <c r="F81" t="str">
        <f t="shared" si="13"/>
        <v/>
      </c>
      <c r="G81" t="str">
        <f t="shared" si="12"/>
        <v/>
      </c>
      <c r="H81" t="str">
        <f t="shared" si="12"/>
        <v/>
      </c>
      <c r="I81" t="str">
        <f t="shared" si="12"/>
        <v/>
      </c>
      <c r="J81" t="str">
        <f t="shared" si="12"/>
        <v/>
      </c>
      <c r="K81" t="str">
        <f t="shared" si="12"/>
        <v/>
      </c>
      <c r="L81">
        <f t="shared" si="12"/>
        <v>1.1140193955371436</v>
      </c>
      <c r="M81" t="str">
        <f t="shared" si="12"/>
        <v/>
      </c>
      <c r="N81" t="str">
        <f t="shared" si="12"/>
        <v/>
      </c>
      <c r="O81" t="str">
        <f t="shared" si="12"/>
        <v/>
      </c>
      <c r="P81" t="str">
        <f t="shared" si="12"/>
        <v/>
      </c>
      <c r="Q81" t="str">
        <f t="shared" si="12"/>
        <v/>
      </c>
      <c r="R81">
        <f t="shared" si="18"/>
        <v>1.0629349580535654</v>
      </c>
      <c r="S81">
        <f t="shared" si="14"/>
        <v>463.81012898736162</v>
      </c>
      <c r="U81" s="5"/>
    </row>
    <row r="82" spans="1:21" x14ac:dyDescent="0.25">
      <c r="A82" s="8">
        <v>39295</v>
      </c>
      <c r="B82" s="9">
        <f t="shared" si="15"/>
        <v>8</v>
      </c>
      <c r="C82" s="5">
        <v>489</v>
      </c>
      <c r="D82">
        <f t="shared" si="16"/>
        <v>440</v>
      </c>
      <c r="E82">
        <f t="shared" si="17"/>
        <v>1.1113636363636363</v>
      </c>
      <c r="F82" t="str">
        <f t="shared" si="13"/>
        <v/>
      </c>
      <c r="G82" t="str">
        <f t="shared" si="12"/>
        <v/>
      </c>
      <c r="H82" t="str">
        <f t="shared" si="12"/>
        <v/>
      </c>
      <c r="I82" t="str">
        <f t="shared" si="12"/>
        <v/>
      </c>
      <c r="J82" t="str">
        <f t="shared" si="12"/>
        <v/>
      </c>
      <c r="K82" t="str">
        <f t="shared" si="12"/>
        <v/>
      </c>
      <c r="L82" t="str">
        <f t="shared" si="12"/>
        <v/>
      </c>
      <c r="M82">
        <f t="shared" si="12"/>
        <v>1.1113636363636363</v>
      </c>
      <c r="N82" t="str">
        <f t="shared" si="12"/>
        <v/>
      </c>
      <c r="O82" t="str">
        <f t="shared" si="12"/>
        <v/>
      </c>
      <c r="P82" t="str">
        <f t="shared" si="12"/>
        <v/>
      </c>
      <c r="Q82" t="str">
        <f t="shared" si="12"/>
        <v/>
      </c>
      <c r="R82">
        <f t="shared" si="18"/>
        <v>1.0430405609995839</v>
      </c>
      <c r="S82">
        <f t="shared" si="14"/>
        <v>468.82165304422432</v>
      </c>
      <c r="U82" s="5"/>
    </row>
    <row r="83" spans="1:21" x14ac:dyDescent="0.25">
      <c r="A83" s="8">
        <v>39326</v>
      </c>
      <c r="B83" s="9">
        <f t="shared" si="15"/>
        <v>9</v>
      </c>
      <c r="C83" s="5">
        <v>435</v>
      </c>
      <c r="D83">
        <f t="shared" si="16"/>
        <v>437.91666666666663</v>
      </c>
      <c r="E83">
        <f t="shared" si="17"/>
        <v>0.99333967649857291</v>
      </c>
      <c r="F83" t="str">
        <f t="shared" si="13"/>
        <v/>
      </c>
      <c r="G83" t="str">
        <f t="shared" si="12"/>
        <v/>
      </c>
      <c r="H83" t="str">
        <f t="shared" si="12"/>
        <v/>
      </c>
      <c r="I83" t="str">
        <f t="shared" si="12"/>
        <v/>
      </c>
      <c r="J83" t="str">
        <f t="shared" si="12"/>
        <v/>
      </c>
      <c r="K83" t="str">
        <f t="shared" si="12"/>
        <v/>
      </c>
      <c r="L83" t="str">
        <f t="shared" si="12"/>
        <v/>
      </c>
      <c r="M83" t="str">
        <f t="shared" si="12"/>
        <v/>
      </c>
      <c r="N83">
        <f t="shared" si="12"/>
        <v>0.99333967649857291</v>
      </c>
      <c r="O83" t="str">
        <f t="shared" si="12"/>
        <v/>
      </c>
      <c r="P83" t="str">
        <f t="shared" si="12"/>
        <v/>
      </c>
      <c r="Q83" t="str">
        <f t="shared" si="12"/>
        <v/>
      </c>
      <c r="R83">
        <f t="shared" si="18"/>
        <v>0.94657387376024194</v>
      </c>
      <c r="S83">
        <f t="shared" si="14"/>
        <v>459.55208785973878</v>
      </c>
      <c r="U83" s="5"/>
    </row>
    <row r="84" spans="1:21" x14ac:dyDescent="0.25">
      <c r="A84" s="8">
        <v>39356</v>
      </c>
      <c r="B84" s="9">
        <f t="shared" si="15"/>
        <v>10</v>
      </c>
      <c r="C84" s="5">
        <v>414</v>
      </c>
      <c r="D84">
        <f t="shared" si="16"/>
        <v>434.20833333333331</v>
      </c>
      <c r="E84">
        <f t="shared" si="17"/>
        <v>0.95345936090586325</v>
      </c>
      <c r="F84" t="str">
        <f t="shared" si="13"/>
        <v/>
      </c>
      <c r="G84" t="str">
        <f t="shared" si="12"/>
        <v/>
      </c>
      <c r="H84" t="str">
        <f t="shared" si="12"/>
        <v/>
      </c>
      <c r="I84" t="str">
        <f t="shared" si="12"/>
        <v/>
      </c>
      <c r="J84" t="str">
        <f t="shared" si="12"/>
        <v/>
      </c>
      <c r="K84" t="str">
        <f t="shared" si="12"/>
        <v/>
      </c>
      <c r="L84" t="str">
        <f t="shared" si="12"/>
        <v/>
      </c>
      <c r="M84" t="str">
        <f t="shared" si="12"/>
        <v/>
      </c>
      <c r="N84" t="str">
        <f t="shared" si="12"/>
        <v/>
      </c>
      <c r="O84">
        <f t="shared" si="12"/>
        <v>0.95345936090586325</v>
      </c>
      <c r="P84" t="str">
        <f t="shared" si="12"/>
        <v/>
      </c>
      <c r="Q84" t="str">
        <f t="shared" si="12"/>
        <v/>
      </c>
      <c r="R84">
        <f t="shared" si="18"/>
        <v>0.99267321089541272</v>
      </c>
      <c r="S84">
        <f t="shared" si="14"/>
        <v>417.05567900493963</v>
      </c>
      <c r="U84" s="5"/>
    </row>
    <row r="85" spans="1:21" x14ac:dyDescent="0.25">
      <c r="A85" s="8">
        <v>39387</v>
      </c>
      <c r="B85" s="9">
        <f t="shared" si="15"/>
        <v>11</v>
      </c>
      <c r="C85" s="5">
        <v>430</v>
      </c>
      <c r="D85">
        <f t="shared" si="16"/>
        <v>430.58333333333331</v>
      </c>
      <c r="E85">
        <f t="shared" si="17"/>
        <v>0.99864524869363269</v>
      </c>
      <c r="F85" t="str">
        <f t="shared" si="13"/>
        <v/>
      </c>
      <c r="G85" t="str">
        <f t="shared" si="12"/>
        <v/>
      </c>
      <c r="H85" t="str">
        <f t="shared" si="12"/>
        <v/>
      </c>
      <c r="I85" t="str">
        <f t="shared" si="12"/>
        <v/>
      </c>
      <c r="J85" t="str">
        <f t="shared" si="12"/>
        <v/>
      </c>
      <c r="K85" t="str">
        <f t="shared" ref="G85:Q108" si="19">IF($B85=K$1,$E85, "")</f>
        <v/>
      </c>
      <c r="L85" t="str">
        <f t="shared" si="19"/>
        <v/>
      </c>
      <c r="M85" t="str">
        <f t="shared" si="19"/>
        <v/>
      </c>
      <c r="N85" t="str">
        <f t="shared" si="19"/>
        <v/>
      </c>
      <c r="O85" t="str">
        <f t="shared" si="19"/>
        <v/>
      </c>
      <c r="P85">
        <f t="shared" si="19"/>
        <v>0.99864524869363269</v>
      </c>
      <c r="Q85" t="str">
        <f t="shared" si="19"/>
        <v/>
      </c>
      <c r="R85">
        <f t="shared" si="18"/>
        <v>0.91156860894280367</v>
      </c>
      <c r="S85">
        <f t="shared" si="14"/>
        <v>471.71435674896122</v>
      </c>
      <c r="U85" s="5"/>
    </row>
    <row r="86" spans="1:21" x14ac:dyDescent="0.25">
      <c r="A86" s="8">
        <v>39417</v>
      </c>
      <c r="B86" s="9">
        <f t="shared" si="15"/>
        <v>12</v>
      </c>
      <c r="C86" s="5">
        <v>408</v>
      </c>
      <c r="D86">
        <f t="shared" si="16"/>
        <v>429.54166666666663</v>
      </c>
      <c r="E86">
        <f t="shared" si="17"/>
        <v>0.94984964594044052</v>
      </c>
      <c r="F86" t="str">
        <f t="shared" si="13"/>
        <v/>
      </c>
      <c r="G86" t="str">
        <f t="shared" si="19"/>
        <v/>
      </c>
      <c r="H86" t="str">
        <f t="shared" si="19"/>
        <v/>
      </c>
      <c r="I86" t="str">
        <f t="shared" si="19"/>
        <v/>
      </c>
      <c r="J86" t="str">
        <f t="shared" si="19"/>
        <v/>
      </c>
      <c r="K86" t="str">
        <f t="shared" si="19"/>
        <v/>
      </c>
      <c r="L86" t="str">
        <f t="shared" si="19"/>
        <v/>
      </c>
      <c r="M86" t="str">
        <f t="shared" si="19"/>
        <v/>
      </c>
      <c r="N86" t="str">
        <f t="shared" si="19"/>
        <v/>
      </c>
      <c r="O86" t="str">
        <f t="shared" si="19"/>
        <v/>
      </c>
      <c r="P86" t="str">
        <f t="shared" si="19"/>
        <v/>
      </c>
      <c r="Q86">
        <f t="shared" si="19"/>
        <v>0.94984964594044052</v>
      </c>
      <c r="R86">
        <f t="shared" si="18"/>
        <v>0.91458648407659837</v>
      </c>
      <c r="S86">
        <f t="shared" si="14"/>
        <v>446.10324677160787</v>
      </c>
      <c r="U86" s="5"/>
    </row>
    <row r="87" spans="1:21" x14ac:dyDescent="0.25">
      <c r="A87" s="8">
        <v>39448</v>
      </c>
      <c r="B87" s="9">
        <f t="shared" si="15"/>
        <v>1</v>
      </c>
      <c r="C87" s="5">
        <v>385</v>
      </c>
      <c r="D87">
        <f t="shared" si="16"/>
        <v>428.33333333333331</v>
      </c>
      <c r="E87">
        <f t="shared" si="17"/>
        <v>0.89883268482490275</v>
      </c>
      <c r="F87">
        <f t="shared" si="13"/>
        <v>0.89883268482490275</v>
      </c>
      <c r="G87" t="str">
        <f t="shared" si="19"/>
        <v/>
      </c>
      <c r="H87" t="str">
        <f t="shared" si="19"/>
        <v/>
      </c>
      <c r="I87" t="str">
        <f t="shared" si="19"/>
        <v/>
      </c>
      <c r="J87" t="str">
        <f t="shared" si="19"/>
        <v/>
      </c>
      <c r="K87" t="str">
        <f t="shared" si="19"/>
        <v/>
      </c>
      <c r="L87" t="str">
        <f t="shared" si="19"/>
        <v/>
      </c>
      <c r="M87" t="str">
        <f t="shared" si="19"/>
        <v/>
      </c>
      <c r="N87" t="str">
        <f t="shared" si="19"/>
        <v/>
      </c>
      <c r="O87" t="str">
        <f t="shared" si="19"/>
        <v/>
      </c>
      <c r="P87" t="str">
        <f t="shared" si="19"/>
        <v/>
      </c>
      <c r="Q87" t="str">
        <f t="shared" si="19"/>
        <v/>
      </c>
      <c r="R87">
        <f t="shared" si="18"/>
        <v>0.9447245466877463</v>
      </c>
      <c r="S87">
        <f t="shared" si="14"/>
        <v>407.52619517491121</v>
      </c>
      <c r="U87" s="5"/>
    </row>
    <row r="88" spans="1:21" x14ac:dyDescent="0.25">
      <c r="A88" s="8">
        <v>39479</v>
      </c>
      <c r="B88" s="9">
        <f t="shared" si="15"/>
        <v>2</v>
      </c>
      <c r="C88" s="5">
        <v>388</v>
      </c>
      <c r="D88">
        <f t="shared" si="16"/>
        <v>424.91666666666663</v>
      </c>
      <c r="E88">
        <f t="shared" si="17"/>
        <v>0.91312021965091206</v>
      </c>
      <c r="F88" t="str">
        <f t="shared" si="13"/>
        <v/>
      </c>
      <c r="G88">
        <f t="shared" si="19"/>
        <v>0.91312021965091206</v>
      </c>
      <c r="H88" t="str">
        <f t="shared" si="19"/>
        <v/>
      </c>
      <c r="I88" t="str">
        <f t="shared" si="19"/>
        <v/>
      </c>
      <c r="J88" t="str">
        <f t="shared" si="19"/>
        <v/>
      </c>
      <c r="K88" t="str">
        <f t="shared" si="19"/>
        <v/>
      </c>
      <c r="L88" t="str">
        <f t="shared" si="19"/>
        <v/>
      </c>
      <c r="M88" t="str">
        <f t="shared" si="19"/>
        <v/>
      </c>
      <c r="N88" t="str">
        <f t="shared" si="19"/>
        <v/>
      </c>
      <c r="O88" t="str">
        <f t="shared" si="19"/>
        <v/>
      </c>
      <c r="P88" t="str">
        <f t="shared" si="19"/>
        <v/>
      </c>
      <c r="Q88" t="str">
        <f t="shared" si="19"/>
        <v/>
      </c>
      <c r="R88">
        <f t="shared" si="18"/>
        <v>0.95740708992609791</v>
      </c>
      <c r="S88">
        <f t="shared" si="14"/>
        <v>405.26125624362118</v>
      </c>
      <c r="U88" s="5"/>
    </row>
    <row r="89" spans="1:21" x14ac:dyDescent="0.25">
      <c r="A89" s="8">
        <v>39508</v>
      </c>
      <c r="B89" s="9">
        <f t="shared" si="15"/>
        <v>3</v>
      </c>
      <c r="C89" s="5">
        <v>407</v>
      </c>
      <c r="D89">
        <f t="shared" si="16"/>
        <v>420.70833333333331</v>
      </c>
      <c r="E89">
        <f t="shared" si="17"/>
        <v>0.9674160641774785</v>
      </c>
      <c r="F89" t="str">
        <f t="shared" si="13"/>
        <v/>
      </c>
      <c r="G89" t="str">
        <f t="shared" si="19"/>
        <v/>
      </c>
      <c r="H89">
        <f t="shared" si="19"/>
        <v>0.9674160641774785</v>
      </c>
      <c r="I89" t="str">
        <f t="shared" si="19"/>
        <v/>
      </c>
      <c r="J89" t="str">
        <f t="shared" si="19"/>
        <v/>
      </c>
      <c r="K89" t="str">
        <f t="shared" si="19"/>
        <v/>
      </c>
      <c r="L89" t="str">
        <f t="shared" si="19"/>
        <v/>
      </c>
      <c r="M89" t="str">
        <f t="shared" si="19"/>
        <v/>
      </c>
      <c r="N89" t="str">
        <f t="shared" si="19"/>
        <v/>
      </c>
      <c r="O89" t="str">
        <f t="shared" si="19"/>
        <v/>
      </c>
      <c r="P89" t="str">
        <f t="shared" si="19"/>
        <v/>
      </c>
      <c r="Q89" t="str">
        <f t="shared" si="19"/>
        <v/>
      </c>
      <c r="R89">
        <f t="shared" si="18"/>
        <v>1.0167264528055464</v>
      </c>
      <c r="S89">
        <f t="shared" si="14"/>
        <v>400.30432854080624</v>
      </c>
      <c r="U89" s="5"/>
    </row>
    <row r="90" spans="1:21" x14ac:dyDescent="0.25">
      <c r="A90" s="8">
        <v>39539</v>
      </c>
      <c r="B90" s="9">
        <f t="shared" si="15"/>
        <v>4</v>
      </c>
      <c r="C90" s="5">
        <v>394</v>
      </c>
      <c r="D90">
        <f t="shared" si="16"/>
        <v>418</v>
      </c>
      <c r="E90">
        <f t="shared" si="17"/>
        <v>0.9425837320574163</v>
      </c>
      <c r="F90" t="str">
        <f t="shared" si="13"/>
        <v/>
      </c>
      <c r="G90" t="str">
        <f t="shared" si="19"/>
        <v/>
      </c>
      <c r="H90" t="str">
        <f t="shared" si="19"/>
        <v/>
      </c>
      <c r="I90">
        <f t="shared" si="19"/>
        <v>0.9425837320574163</v>
      </c>
      <c r="J90" t="str">
        <f t="shared" si="19"/>
        <v/>
      </c>
      <c r="K90" t="str">
        <f t="shared" si="19"/>
        <v/>
      </c>
      <c r="L90" t="str">
        <f t="shared" si="19"/>
        <v/>
      </c>
      <c r="M90" t="str">
        <f t="shared" si="19"/>
        <v/>
      </c>
      <c r="N90" t="str">
        <f t="shared" si="19"/>
        <v/>
      </c>
      <c r="O90" t="str">
        <f t="shared" si="19"/>
        <v/>
      </c>
      <c r="P90" t="str">
        <f t="shared" si="19"/>
        <v/>
      </c>
      <c r="Q90" t="str">
        <f t="shared" si="19"/>
        <v/>
      </c>
      <c r="R90">
        <f t="shared" si="18"/>
        <v>1.0806768925923931</v>
      </c>
      <c r="S90">
        <f t="shared" si="14"/>
        <v>364.58630947021453</v>
      </c>
      <c r="U90" s="5"/>
    </row>
    <row r="91" spans="1:21" x14ac:dyDescent="0.25">
      <c r="A91" s="8">
        <v>39569</v>
      </c>
      <c r="B91" s="9">
        <f t="shared" si="15"/>
        <v>5</v>
      </c>
      <c r="C91" s="5">
        <v>439</v>
      </c>
      <c r="D91">
        <f t="shared" si="16"/>
        <v>413.91666666666663</v>
      </c>
      <c r="E91">
        <f t="shared" si="17"/>
        <v>1.0605999597342461</v>
      </c>
      <c r="F91" t="str">
        <f t="shared" si="13"/>
        <v/>
      </c>
      <c r="G91" t="str">
        <f t="shared" si="19"/>
        <v/>
      </c>
      <c r="H91" t="str">
        <f t="shared" si="19"/>
        <v/>
      </c>
      <c r="I91" t="str">
        <f t="shared" si="19"/>
        <v/>
      </c>
      <c r="J91">
        <f t="shared" si="19"/>
        <v>1.0605999597342461</v>
      </c>
      <c r="K91" t="str">
        <f t="shared" si="19"/>
        <v/>
      </c>
      <c r="L91" t="str">
        <f t="shared" si="19"/>
        <v/>
      </c>
      <c r="M91" t="str">
        <f t="shared" si="19"/>
        <v/>
      </c>
      <c r="N91" t="str">
        <f t="shared" si="19"/>
        <v/>
      </c>
      <c r="O91" t="str">
        <f t="shared" si="19"/>
        <v/>
      </c>
      <c r="P91" t="str">
        <f t="shared" si="19"/>
        <v/>
      </c>
      <c r="Q91" t="str">
        <f t="shared" si="19"/>
        <v/>
      </c>
      <c r="R91">
        <f t="shared" si="18"/>
        <v>1.0380260515064865</v>
      </c>
      <c r="S91">
        <f t="shared" si="14"/>
        <v>422.91809474615746</v>
      </c>
      <c r="U91" s="5"/>
    </row>
    <row r="92" spans="1:21" x14ac:dyDescent="0.25">
      <c r="A92" s="8">
        <v>39600</v>
      </c>
      <c r="B92" s="9">
        <f t="shared" si="15"/>
        <v>6</v>
      </c>
      <c r="C92" s="5">
        <v>471</v>
      </c>
      <c r="D92">
        <f t="shared" si="16"/>
        <v>405.25</v>
      </c>
      <c r="E92">
        <f t="shared" si="17"/>
        <v>1.1622455274521899</v>
      </c>
      <c r="F92" t="str">
        <f t="shared" si="13"/>
        <v/>
      </c>
      <c r="G92" t="str">
        <f t="shared" si="19"/>
        <v/>
      </c>
      <c r="H92" t="str">
        <f t="shared" si="19"/>
        <v/>
      </c>
      <c r="I92" t="str">
        <f t="shared" si="19"/>
        <v/>
      </c>
      <c r="J92" t="str">
        <f t="shared" si="19"/>
        <v/>
      </c>
      <c r="K92">
        <f t="shared" si="19"/>
        <v>1.1622455274521899</v>
      </c>
      <c r="L92" t="str">
        <f t="shared" si="19"/>
        <v/>
      </c>
      <c r="M92" t="str">
        <f t="shared" si="19"/>
        <v/>
      </c>
      <c r="N92" t="str">
        <f t="shared" si="19"/>
        <v/>
      </c>
      <c r="O92" t="str">
        <f t="shared" si="19"/>
        <v/>
      </c>
      <c r="P92" t="str">
        <f t="shared" si="19"/>
        <v/>
      </c>
      <c r="Q92" t="str">
        <f t="shared" si="19"/>
        <v/>
      </c>
      <c r="R92">
        <f t="shared" si="18"/>
        <v>1.116110197693907</v>
      </c>
      <c r="S92">
        <f t="shared" si="14"/>
        <v>422.00134088298302</v>
      </c>
      <c r="U92" s="5"/>
    </row>
    <row r="93" spans="1:21" x14ac:dyDescent="0.25">
      <c r="A93" s="8">
        <v>39630</v>
      </c>
      <c r="B93" s="9">
        <f t="shared" si="15"/>
        <v>7</v>
      </c>
      <c r="C93" s="5">
        <v>467</v>
      </c>
      <c r="D93">
        <f t="shared" si="16"/>
        <v>399.95833333333331</v>
      </c>
      <c r="E93">
        <f t="shared" si="17"/>
        <v>1.1676216272528388</v>
      </c>
      <c r="F93" t="str">
        <f t="shared" si="13"/>
        <v/>
      </c>
      <c r="G93" t="str">
        <f t="shared" si="19"/>
        <v/>
      </c>
      <c r="H93" t="str">
        <f t="shared" si="19"/>
        <v/>
      </c>
      <c r="I93" t="str">
        <f t="shared" si="19"/>
        <v/>
      </c>
      <c r="J93" t="str">
        <f t="shared" si="19"/>
        <v/>
      </c>
      <c r="K93" t="str">
        <f t="shared" si="19"/>
        <v/>
      </c>
      <c r="L93">
        <f t="shared" si="19"/>
        <v>1.1676216272528388</v>
      </c>
      <c r="M93" t="str">
        <f t="shared" si="19"/>
        <v/>
      </c>
      <c r="N93" t="str">
        <f t="shared" si="19"/>
        <v/>
      </c>
      <c r="O93" t="str">
        <f t="shared" si="19"/>
        <v/>
      </c>
      <c r="P93" t="str">
        <f t="shared" si="19"/>
        <v/>
      </c>
      <c r="Q93" t="str">
        <f t="shared" si="19"/>
        <v/>
      </c>
      <c r="R93">
        <f t="shared" si="18"/>
        <v>1.0629349580535654</v>
      </c>
      <c r="S93">
        <f t="shared" si="14"/>
        <v>439.34955423346429</v>
      </c>
      <c r="U93" s="5"/>
    </row>
    <row r="94" spans="1:21" x14ac:dyDescent="0.25">
      <c r="A94" s="8">
        <v>39661</v>
      </c>
      <c r="B94" s="9">
        <f t="shared" si="15"/>
        <v>8</v>
      </c>
      <c r="C94" s="5">
        <v>433</v>
      </c>
      <c r="D94">
        <f t="shared" si="16"/>
        <v>398.375</v>
      </c>
      <c r="E94">
        <f t="shared" si="17"/>
        <v>1.0869155946030751</v>
      </c>
      <c r="F94" t="str">
        <f t="shared" si="13"/>
        <v/>
      </c>
      <c r="G94" t="str">
        <f t="shared" si="19"/>
        <v/>
      </c>
      <c r="H94" t="str">
        <f t="shared" si="19"/>
        <v/>
      </c>
      <c r="I94" t="str">
        <f t="shared" si="19"/>
        <v/>
      </c>
      <c r="J94" t="str">
        <f t="shared" si="19"/>
        <v/>
      </c>
      <c r="K94" t="str">
        <f t="shared" si="19"/>
        <v/>
      </c>
      <c r="L94" t="str">
        <f t="shared" si="19"/>
        <v/>
      </c>
      <c r="M94">
        <f t="shared" si="19"/>
        <v>1.0869155946030751</v>
      </c>
      <c r="N94" t="str">
        <f t="shared" si="19"/>
        <v/>
      </c>
      <c r="O94" t="str">
        <f t="shared" si="19"/>
        <v/>
      </c>
      <c r="P94" t="str">
        <f t="shared" si="19"/>
        <v/>
      </c>
      <c r="Q94" t="str">
        <f t="shared" si="19"/>
        <v/>
      </c>
      <c r="R94">
        <f t="shared" si="18"/>
        <v>1.0430405609995839</v>
      </c>
      <c r="S94">
        <f t="shared" si="14"/>
        <v>415.13246578353608</v>
      </c>
      <c r="U94" s="5"/>
    </row>
    <row r="95" spans="1:21" x14ac:dyDescent="0.25">
      <c r="A95" s="8">
        <v>39692</v>
      </c>
      <c r="B95" s="9">
        <f t="shared" si="15"/>
        <v>9</v>
      </c>
      <c r="C95" s="5">
        <v>390</v>
      </c>
      <c r="D95">
        <f t="shared" si="16"/>
        <v>394.54166666666663</v>
      </c>
      <c r="E95">
        <f t="shared" si="17"/>
        <v>0.98848875277220416</v>
      </c>
      <c r="F95" t="str">
        <f t="shared" si="13"/>
        <v/>
      </c>
      <c r="G95" t="str">
        <f t="shared" si="19"/>
        <v/>
      </c>
      <c r="H95" t="str">
        <f t="shared" si="19"/>
        <v/>
      </c>
      <c r="I95" t="str">
        <f t="shared" si="19"/>
        <v/>
      </c>
      <c r="J95" t="str">
        <f t="shared" si="19"/>
        <v/>
      </c>
      <c r="K95" t="str">
        <f t="shared" si="19"/>
        <v/>
      </c>
      <c r="L95" t="str">
        <f t="shared" si="19"/>
        <v/>
      </c>
      <c r="M95" t="str">
        <f t="shared" si="19"/>
        <v/>
      </c>
      <c r="N95">
        <f t="shared" si="19"/>
        <v>0.98848875277220416</v>
      </c>
      <c r="O95" t="str">
        <f t="shared" si="19"/>
        <v/>
      </c>
      <c r="P95" t="str">
        <f t="shared" si="19"/>
        <v/>
      </c>
      <c r="Q95" t="str">
        <f t="shared" si="19"/>
        <v/>
      </c>
      <c r="R95">
        <f t="shared" si="18"/>
        <v>0.94657387376024194</v>
      </c>
      <c r="S95">
        <f t="shared" si="14"/>
        <v>412.0122167018348</v>
      </c>
      <c r="U95" s="5"/>
    </row>
    <row r="96" spans="1:21" x14ac:dyDescent="0.25">
      <c r="A96" s="8">
        <v>39722</v>
      </c>
      <c r="B96" s="9">
        <f t="shared" si="15"/>
        <v>10</v>
      </c>
      <c r="C96" s="5">
        <v>394</v>
      </c>
      <c r="D96">
        <f t="shared" si="16"/>
        <v>391.04166666666663</v>
      </c>
      <c r="E96">
        <f t="shared" si="17"/>
        <v>1.0075652637187003</v>
      </c>
      <c r="F96" t="str">
        <f t="shared" si="13"/>
        <v/>
      </c>
      <c r="G96" t="str">
        <f t="shared" si="19"/>
        <v/>
      </c>
      <c r="H96" t="str">
        <f t="shared" si="19"/>
        <v/>
      </c>
      <c r="I96" t="str">
        <f t="shared" si="19"/>
        <v/>
      </c>
      <c r="J96" t="str">
        <f t="shared" si="19"/>
        <v/>
      </c>
      <c r="K96" t="str">
        <f t="shared" si="19"/>
        <v/>
      </c>
      <c r="L96" t="str">
        <f t="shared" si="19"/>
        <v/>
      </c>
      <c r="M96" t="str">
        <f t="shared" si="19"/>
        <v/>
      </c>
      <c r="N96" t="str">
        <f t="shared" si="19"/>
        <v/>
      </c>
      <c r="O96">
        <f t="shared" si="19"/>
        <v>1.0075652637187003</v>
      </c>
      <c r="P96" t="str">
        <f t="shared" si="19"/>
        <v/>
      </c>
      <c r="Q96" t="str">
        <f t="shared" si="19"/>
        <v/>
      </c>
      <c r="R96">
        <f t="shared" si="18"/>
        <v>0.99267321089541272</v>
      </c>
      <c r="S96">
        <f t="shared" si="14"/>
        <v>396.90806166170586</v>
      </c>
      <c r="U96" s="5"/>
    </row>
    <row r="97" spans="1:21" x14ac:dyDescent="0.25">
      <c r="A97" s="8">
        <v>39753</v>
      </c>
      <c r="B97" s="9">
        <f t="shared" si="15"/>
        <v>11</v>
      </c>
      <c r="C97" s="5">
        <v>352</v>
      </c>
      <c r="D97">
        <f t="shared" si="16"/>
        <v>382.95833333333331</v>
      </c>
      <c r="E97">
        <f t="shared" si="17"/>
        <v>0.91916004787291916</v>
      </c>
      <c r="F97" t="str">
        <f t="shared" si="13"/>
        <v/>
      </c>
      <c r="G97" t="str">
        <f t="shared" si="19"/>
        <v/>
      </c>
      <c r="H97" t="str">
        <f t="shared" si="19"/>
        <v/>
      </c>
      <c r="I97" t="str">
        <f t="shared" si="19"/>
        <v/>
      </c>
      <c r="J97" t="str">
        <f t="shared" si="19"/>
        <v/>
      </c>
      <c r="K97" t="str">
        <f t="shared" si="19"/>
        <v/>
      </c>
      <c r="L97" t="str">
        <f t="shared" si="19"/>
        <v/>
      </c>
      <c r="M97" t="str">
        <f t="shared" si="19"/>
        <v/>
      </c>
      <c r="N97" t="str">
        <f t="shared" si="19"/>
        <v/>
      </c>
      <c r="O97" t="str">
        <f t="shared" si="19"/>
        <v/>
      </c>
      <c r="P97">
        <f t="shared" si="19"/>
        <v>0.91916004787291916</v>
      </c>
      <c r="Q97" t="str">
        <f t="shared" si="19"/>
        <v/>
      </c>
      <c r="R97">
        <f t="shared" si="18"/>
        <v>0.91156860894280367</v>
      </c>
      <c r="S97">
        <f t="shared" si="14"/>
        <v>386.14756645496357</v>
      </c>
      <c r="U97" s="5"/>
    </row>
    <row r="98" spans="1:21" x14ac:dyDescent="0.25">
      <c r="A98" s="8">
        <v>39783</v>
      </c>
      <c r="B98" s="9">
        <f t="shared" si="15"/>
        <v>12</v>
      </c>
      <c r="C98" s="5">
        <v>278</v>
      </c>
      <c r="D98">
        <f t="shared" si="16"/>
        <v>371.29166666666663</v>
      </c>
      <c r="E98">
        <f t="shared" si="17"/>
        <v>0.74873751543036704</v>
      </c>
      <c r="F98" t="str">
        <f t="shared" si="13"/>
        <v/>
      </c>
      <c r="G98" t="str">
        <f t="shared" si="19"/>
        <v/>
      </c>
      <c r="H98" t="str">
        <f t="shared" si="19"/>
        <v/>
      </c>
      <c r="I98" t="str">
        <f t="shared" si="19"/>
        <v/>
      </c>
      <c r="J98" t="str">
        <f t="shared" si="19"/>
        <v/>
      </c>
      <c r="K98" t="str">
        <f t="shared" si="19"/>
        <v/>
      </c>
      <c r="L98" t="str">
        <f t="shared" si="19"/>
        <v/>
      </c>
      <c r="M98" t="str">
        <f t="shared" si="19"/>
        <v/>
      </c>
      <c r="N98" t="str">
        <f t="shared" si="19"/>
        <v/>
      </c>
      <c r="O98" t="str">
        <f t="shared" si="19"/>
        <v/>
      </c>
      <c r="P98" t="str">
        <f t="shared" si="19"/>
        <v/>
      </c>
      <c r="Q98">
        <f t="shared" si="19"/>
        <v>0.74873751543036704</v>
      </c>
      <c r="R98">
        <f t="shared" si="18"/>
        <v>0.91458648407659837</v>
      </c>
      <c r="S98">
        <f t="shared" ref="S98:S129" si="20">C98/R98</f>
        <v>303.9625063786936</v>
      </c>
      <c r="U98" s="5"/>
    </row>
    <row r="99" spans="1:21" x14ac:dyDescent="0.25">
      <c r="A99" s="8">
        <v>39814</v>
      </c>
      <c r="B99" s="9">
        <f t="shared" si="15"/>
        <v>1</v>
      </c>
      <c r="C99" s="5">
        <v>388</v>
      </c>
      <c r="D99">
        <f t="shared" si="16"/>
        <v>358.875</v>
      </c>
      <c r="E99">
        <f t="shared" si="17"/>
        <v>1.081156391501219</v>
      </c>
      <c r="F99">
        <f t="shared" si="13"/>
        <v>1.081156391501219</v>
      </c>
      <c r="G99" t="str">
        <f t="shared" si="19"/>
        <v/>
      </c>
      <c r="H99" t="str">
        <f t="shared" si="19"/>
        <v/>
      </c>
      <c r="I99" t="str">
        <f t="shared" si="19"/>
        <v/>
      </c>
      <c r="J99" t="str">
        <f t="shared" si="19"/>
        <v/>
      </c>
      <c r="K99" t="str">
        <f t="shared" si="19"/>
        <v/>
      </c>
      <c r="L99" t="str">
        <f t="shared" si="19"/>
        <v/>
      </c>
      <c r="M99" t="str">
        <f t="shared" si="19"/>
        <v/>
      </c>
      <c r="N99" t="str">
        <f t="shared" si="19"/>
        <v/>
      </c>
      <c r="O99" t="str">
        <f t="shared" si="19"/>
        <v/>
      </c>
      <c r="P99" t="str">
        <f t="shared" si="19"/>
        <v/>
      </c>
      <c r="Q99" t="str">
        <f t="shared" si="19"/>
        <v/>
      </c>
      <c r="R99">
        <f t="shared" si="18"/>
        <v>0.9447245466877463</v>
      </c>
      <c r="S99">
        <f t="shared" si="20"/>
        <v>410.70172396848193</v>
      </c>
      <c r="U99" s="5"/>
    </row>
    <row r="100" spans="1:21" x14ac:dyDescent="0.25">
      <c r="A100" s="8">
        <v>39845</v>
      </c>
      <c r="B100" s="9">
        <f t="shared" si="15"/>
        <v>2</v>
      </c>
      <c r="C100" s="5">
        <v>347</v>
      </c>
      <c r="D100">
        <f t="shared" si="16"/>
        <v>346.58333333333331</v>
      </c>
      <c r="E100">
        <f t="shared" si="17"/>
        <v>1.0012022120702093</v>
      </c>
      <c r="F100" t="str">
        <f t="shared" si="13"/>
        <v/>
      </c>
      <c r="G100">
        <f t="shared" si="19"/>
        <v>1.0012022120702093</v>
      </c>
      <c r="H100" t="str">
        <f t="shared" si="19"/>
        <v/>
      </c>
      <c r="I100" t="str">
        <f t="shared" si="19"/>
        <v/>
      </c>
      <c r="J100" t="str">
        <f t="shared" si="19"/>
        <v/>
      </c>
      <c r="K100" t="str">
        <f t="shared" si="19"/>
        <v/>
      </c>
      <c r="L100" t="str">
        <f t="shared" si="19"/>
        <v/>
      </c>
      <c r="M100" t="str">
        <f t="shared" si="19"/>
        <v/>
      </c>
      <c r="N100" t="str">
        <f t="shared" si="19"/>
        <v/>
      </c>
      <c r="O100" t="str">
        <f t="shared" si="19"/>
        <v/>
      </c>
      <c r="P100" t="str">
        <f t="shared" si="19"/>
        <v/>
      </c>
      <c r="Q100" t="str">
        <f t="shared" si="19"/>
        <v/>
      </c>
      <c r="R100">
        <f t="shared" si="18"/>
        <v>0.95740708992609791</v>
      </c>
      <c r="S100">
        <f t="shared" si="20"/>
        <v>362.43725751684673</v>
      </c>
      <c r="U100" s="5"/>
    </row>
    <row r="101" spans="1:21" x14ac:dyDescent="0.25">
      <c r="A101" s="8">
        <v>39873</v>
      </c>
      <c r="B101" s="9">
        <f t="shared" si="15"/>
        <v>3</v>
      </c>
      <c r="C101" s="5">
        <v>356</v>
      </c>
      <c r="D101">
        <f t="shared" si="16"/>
        <v>336.95833333333331</v>
      </c>
      <c r="E101">
        <f t="shared" si="17"/>
        <v>1.0565104488685546</v>
      </c>
      <c r="F101" t="str">
        <f t="shared" si="13"/>
        <v/>
      </c>
      <c r="G101" t="str">
        <f t="shared" si="19"/>
        <v/>
      </c>
      <c r="H101">
        <f t="shared" si="19"/>
        <v>1.0565104488685546</v>
      </c>
      <c r="I101" t="str">
        <f t="shared" si="19"/>
        <v/>
      </c>
      <c r="J101" t="str">
        <f t="shared" si="19"/>
        <v/>
      </c>
      <c r="K101" t="str">
        <f t="shared" si="19"/>
        <v/>
      </c>
      <c r="L101" t="str">
        <f t="shared" si="19"/>
        <v/>
      </c>
      <c r="M101" t="str">
        <f t="shared" si="19"/>
        <v/>
      </c>
      <c r="N101" t="str">
        <f t="shared" si="19"/>
        <v/>
      </c>
      <c r="O101" t="str">
        <f t="shared" si="19"/>
        <v/>
      </c>
      <c r="P101" t="str">
        <f t="shared" si="19"/>
        <v/>
      </c>
      <c r="Q101" t="str">
        <f t="shared" si="19"/>
        <v/>
      </c>
      <c r="R101">
        <f t="shared" si="18"/>
        <v>1.0167264528055464</v>
      </c>
      <c r="S101">
        <f t="shared" si="20"/>
        <v>350.1433438833588</v>
      </c>
      <c r="U101" s="5"/>
    </row>
    <row r="102" spans="1:21" x14ac:dyDescent="0.25">
      <c r="A102" s="8">
        <v>39904</v>
      </c>
      <c r="B102" s="9">
        <f t="shared" si="15"/>
        <v>4</v>
      </c>
      <c r="C102" s="5">
        <v>361</v>
      </c>
      <c r="D102">
        <f t="shared" si="16"/>
        <v>332.54166666666663</v>
      </c>
      <c r="E102">
        <f t="shared" si="17"/>
        <v>1.0855782483398071</v>
      </c>
      <c r="F102" t="str">
        <f t="shared" si="13"/>
        <v/>
      </c>
      <c r="G102" t="str">
        <f t="shared" si="19"/>
        <v/>
      </c>
      <c r="H102" t="str">
        <f t="shared" si="19"/>
        <v/>
      </c>
      <c r="I102">
        <f t="shared" si="19"/>
        <v>1.0855782483398071</v>
      </c>
      <c r="J102" t="str">
        <f t="shared" si="19"/>
        <v/>
      </c>
      <c r="K102" t="str">
        <f t="shared" si="19"/>
        <v/>
      </c>
      <c r="L102" t="str">
        <f t="shared" si="19"/>
        <v/>
      </c>
      <c r="M102" t="str">
        <f t="shared" si="19"/>
        <v/>
      </c>
      <c r="N102" t="str">
        <f t="shared" si="19"/>
        <v/>
      </c>
      <c r="O102" t="str">
        <f t="shared" si="19"/>
        <v/>
      </c>
      <c r="P102" t="str">
        <f t="shared" si="19"/>
        <v/>
      </c>
      <c r="Q102" t="str">
        <f t="shared" si="19"/>
        <v/>
      </c>
      <c r="R102">
        <f t="shared" si="18"/>
        <v>1.0806768925923931</v>
      </c>
      <c r="S102">
        <f t="shared" si="20"/>
        <v>334.04989268717623</v>
      </c>
      <c r="U102" s="5"/>
    </row>
    <row r="103" spans="1:21" x14ac:dyDescent="0.25">
      <c r="A103" s="8">
        <v>39934</v>
      </c>
      <c r="B103" s="9">
        <f t="shared" si="15"/>
        <v>5</v>
      </c>
      <c r="C103" s="5">
        <v>278</v>
      </c>
      <c r="D103">
        <f t="shared" si="16"/>
        <v>331.625</v>
      </c>
      <c r="E103">
        <f t="shared" si="17"/>
        <v>0.83829626837542404</v>
      </c>
      <c r="F103" t="str">
        <f t="shared" si="13"/>
        <v/>
      </c>
      <c r="G103" t="str">
        <f t="shared" si="19"/>
        <v/>
      </c>
      <c r="H103" t="str">
        <f t="shared" si="19"/>
        <v/>
      </c>
      <c r="I103" t="str">
        <f t="shared" si="19"/>
        <v/>
      </c>
      <c r="J103">
        <f t="shared" si="19"/>
        <v>0.83829626837542404</v>
      </c>
      <c r="K103" t="str">
        <f t="shared" si="19"/>
        <v/>
      </c>
      <c r="L103" t="str">
        <f t="shared" si="19"/>
        <v/>
      </c>
      <c r="M103" t="str">
        <f t="shared" si="19"/>
        <v/>
      </c>
      <c r="N103" t="str">
        <f t="shared" si="19"/>
        <v/>
      </c>
      <c r="O103" t="str">
        <f t="shared" si="19"/>
        <v/>
      </c>
      <c r="P103" t="str">
        <f t="shared" si="19"/>
        <v/>
      </c>
      <c r="Q103" t="str">
        <f t="shared" si="19"/>
        <v/>
      </c>
      <c r="R103">
        <f t="shared" si="18"/>
        <v>1.0380260515064865</v>
      </c>
      <c r="S103">
        <f t="shared" si="20"/>
        <v>267.81601444061909</v>
      </c>
      <c r="U103" s="5"/>
    </row>
    <row r="104" spans="1:21" x14ac:dyDescent="0.25">
      <c r="A104" s="8">
        <v>39965</v>
      </c>
      <c r="B104" s="9">
        <f t="shared" si="15"/>
        <v>6</v>
      </c>
      <c r="C104" s="5">
        <v>352</v>
      </c>
      <c r="D104">
        <f t="shared" ref="D104:D135" si="21">(1/12)*( 0.5*C98+SUM(C99:C109)+0.5*C110 )</f>
        <v>331.41666666666663</v>
      </c>
      <c r="E104">
        <f t="shared" ref="E104:E135" si="22">C104/D104</f>
        <v>1.0621071159165201</v>
      </c>
      <c r="F104" t="str">
        <f t="shared" si="13"/>
        <v/>
      </c>
      <c r="G104" t="str">
        <f t="shared" si="19"/>
        <v/>
      </c>
      <c r="H104" t="str">
        <f t="shared" si="19"/>
        <v/>
      </c>
      <c r="I104" t="str">
        <f t="shared" si="19"/>
        <v/>
      </c>
      <c r="J104" t="str">
        <f t="shared" si="19"/>
        <v/>
      </c>
      <c r="K104">
        <f t="shared" si="19"/>
        <v>1.0621071159165201</v>
      </c>
      <c r="L104" t="str">
        <f t="shared" si="19"/>
        <v/>
      </c>
      <c r="M104" t="str">
        <f t="shared" si="19"/>
        <v/>
      </c>
      <c r="N104" t="str">
        <f t="shared" si="19"/>
        <v/>
      </c>
      <c r="O104" t="str">
        <f t="shared" si="19"/>
        <v/>
      </c>
      <c r="P104" t="str">
        <f t="shared" si="19"/>
        <v/>
      </c>
      <c r="Q104" t="str">
        <f t="shared" si="19"/>
        <v/>
      </c>
      <c r="R104">
        <f t="shared" si="18"/>
        <v>1.116110197693907</v>
      </c>
      <c r="S104">
        <f t="shared" si="20"/>
        <v>315.38104456647562</v>
      </c>
      <c r="U104" s="5"/>
    </row>
    <row r="105" spans="1:21" x14ac:dyDescent="0.25">
      <c r="A105" s="8">
        <v>39995</v>
      </c>
      <c r="B105" s="9">
        <f t="shared" si="15"/>
        <v>7</v>
      </c>
      <c r="C105" s="5">
        <v>288</v>
      </c>
      <c r="D105">
        <f t="shared" si="21"/>
        <v>332.33333333333331</v>
      </c>
      <c r="E105">
        <f t="shared" si="22"/>
        <v>0.86659979939819465</v>
      </c>
      <c r="F105" t="str">
        <f t="shared" si="13"/>
        <v/>
      </c>
      <c r="G105" t="str">
        <f t="shared" si="19"/>
        <v/>
      </c>
      <c r="H105" t="str">
        <f t="shared" si="19"/>
        <v/>
      </c>
      <c r="I105" t="str">
        <f t="shared" si="19"/>
        <v/>
      </c>
      <c r="J105" t="str">
        <f t="shared" si="19"/>
        <v/>
      </c>
      <c r="K105" t="str">
        <f t="shared" si="19"/>
        <v/>
      </c>
      <c r="L105">
        <f t="shared" si="19"/>
        <v>0.86659979939819465</v>
      </c>
      <c r="M105" t="str">
        <f t="shared" si="19"/>
        <v/>
      </c>
      <c r="N105" t="str">
        <f t="shared" si="19"/>
        <v/>
      </c>
      <c r="O105" t="str">
        <f t="shared" si="19"/>
        <v/>
      </c>
      <c r="P105" t="str">
        <f t="shared" si="19"/>
        <v/>
      </c>
      <c r="Q105" t="str">
        <f t="shared" si="19"/>
        <v/>
      </c>
      <c r="R105">
        <f t="shared" si="18"/>
        <v>1.0629349580535654</v>
      </c>
      <c r="S105">
        <f t="shared" si="20"/>
        <v>270.94790496624779</v>
      </c>
      <c r="U105" s="5"/>
    </row>
    <row r="106" spans="1:21" x14ac:dyDescent="0.25">
      <c r="A106" s="8">
        <v>40026</v>
      </c>
      <c r="B106" s="9">
        <f t="shared" si="15"/>
        <v>8</v>
      </c>
      <c r="C106" s="5">
        <v>317</v>
      </c>
      <c r="D106">
        <f t="shared" si="21"/>
        <v>331.79166666666663</v>
      </c>
      <c r="E106">
        <f t="shared" si="22"/>
        <v>0.9554188120055257</v>
      </c>
      <c r="F106" t="str">
        <f t="shared" si="13"/>
        <v/>
      </c>
      <c r="G106" t="str">
        <f t="shared" si="19"/>
        <v/>
      </c>
      <c r="H106" t="str">
        <f t="shared" si="19"/>
        <v/>
      </c>
      <c r="I106" t="str">
        <f t="shared" si="19"/>
        <v/>
      </c>
      <c r="J106" t="str">
        <f t="shared" si="19"/>
        <v/>
      </c>
      <c r="K106" t="str">
        <f t="shared" si="19"/>
        <v/>
      </c>
      <c r="L106" t="str">
        <f t="shared" si="19"/>
        <v/>
      </c>
      <c r="M106">
        <f t="shared" si="19"/>
        <v>0.9554188120055257</v>
      </c>
      <c r="N106" t="str">
        <f t="shared" si="19"/>
        <v/>
      </c>
      <c r="O106" t="str">
        <f t="shared" si="19"/>
        <v/>
      </c>
      <c r="P106" t="str">
        <f t="shared" si="19"/>
        <v/>
      </c>
      <c r="Q106" t="str">
        <f t="shared" si="19"/>
        <v/>
      </c>
      <c r="R106">
        <f t="shared" si="18"/>
        <v>1.0430405609995839</v>
      </c>
      <c r="S106">
        <f t="shared" si="20"/>
        <v>303.91914931496751</v>
      </c>
      <c r="U106" s="5"/>
    </row>
    <row r="107" spans="1:21" x14ac:dyDescent="0.25">
      <c r="A107" s="8">
        <v>40057</v>
      </c>
      <c r="B107" s="9">
        <f t="shared" si="15"/>
        <v>9</v>
      </c>
      <c r="C107" s="5">
        <v>275</v>
      </c>
      <c r="D107">
        <f t="shared" si="21"/>
        <v>333.83333333333331</v>
      </c>
      <c r="E107">
        <f t="shared" si="22"/>
        <v>0.82376435346979537</v>
      </c>
      <c r="F107" t="str">
        <f t="shared" si="13"/>
        <v/>
      </c>
      <c r="G107" t="str">
        <f t="shared" si="19"/>
        <v/>
      </c>
      <c r="H107" t="str">
        <f t="shared" si="19"/>
        <v/>
      </c>
      <c r="I107" t="str">
        <f t="shared" si="19"/>
        <v/>
      </c>
      <c r="J107" t="str">
        <f t="shared" si="19"/>
        <v/>
      </c>
      <c r="K107" t="str">
        <f t="shared" si="19"/>
        <v/>
      </c>
      <c r="L107" t="str">
        <f t="shared" si="19"/>
        <v/>
      </c>
      <c r="M107" t="str">
        <f t="shared" si="19"/>
        <v/>
      </c>
      <c r="N107">
        <f t="shared" si="19"/>
        <v>0.82376435346979537</v>
      </c>
      <c r="O107" t="str">
        <f t="shared" si="19"/>
        <v/>
      </c>
      <c r="P107" t="str">
        <f t="shared" si="19"/>
        <v/>
      </c>
      <c r="Q107" t="str">
        <f t="shared" si="19"/>
        <v/>
      </c>
      <c r="R107">
        <f t="shared" si="18"/>
        <v>0.94657387376024194</v>
      </c>
      <c r="S107">
        <f t="shared" si="20"/>
        <v>290.52143485385784</v>
      </c>
      <c r="U107" s="5"/>
    </row>
    <row r="108" spans="1:21" x14ac:dyDescent="0.25">
      <c r="A108" s="8">
        <v>40087</v>
      </c>
      <c r="B108" s="9">
        <f t="shared" si="15"/>
        <v>10</v>
      </c>
      <c r="C108" s="5">
        <v>403</v>
      </c>
      <c r="D108">
        <f t="shared" si="21"/>
        <v>347.45833333333331</v>
      </c>
      <c r="E108">
        <f t="shared" si="22"/>
        <v>1.1598513011152416</v>
      </c>
      <c r="F108" t="str">
        <f t="shared" si="13"/>
        <v/>
      </c>
      <c r="G108" t="str">
        <f t="shared" si="19"/>
        <v/>
      </c>
      <c r="H108" t="str">
        <f t="shared" si="19"/>
        <v/>
      </c>
      <c r="I108" t="str">
        <f t="shared" si="19"/>
        <v/>
      </c>
      <c r="J108" t="str">
        <f t="shared" si="19"/>
        <v/>
      </c>
      <c r="K108" t="str">
        <f t="shared" si="19"/>
        <v/>
      </c>
      <c r="L108" t="str">
        <f t="shared" si="19"/>
        <v/>
      </c>
      <c r="M108" t="str">
        <f t="shared" ref="G108:Q131" si="23">IF($B108=M$1,$E108, "")</f>
        <v/>
      </c>
      <c r="N108" t="str">
        <f t="shared" si="23"/>
        <v/>
      </c>
      <c r="O108">
        <f t="shared" si="23"/>
        <v>1.1598513011152416</v>
      </c>
      <c r="P108" t="str">
        <f t="shared" si="23"/>
        <v/>
      </c>
      <c r="Q108" t="str">
        <f t="shared" si="23"/>
        <v/>
      </c>
      <c r="R108">
        <f t="shared" si="18"/>
        <v>0.99267321089541272</v>
      </c>
      <c r="S108">
        <f t="shared" si="20"/>
        <v>405.97448946616106</v>
      </c>
      <c r="U108" s="5"/>
    </row>
    <row r="109" spans="1:21" x14ac:dyDescent="0.25">
      <c r="A109" s="8">
        <v>40118</v>
      </c>
      <c r="B109" s="9">
        <f t="shared" si="15"/>
        <v>11</v>
      </c>
      <c r="C109" s="5">
        <v>321</v>
      </c>
      <c r="D109">
        <f t="shared" si="21"/>
        <v>362.5</v>
      </c>
      <c r="E109">
        <f t="shared" si="22"/>
        <v>0.88551724137931032</v>
      </c>
      <c r="F109" t="str">
        <f t="shared" si="13"/>
        <v/>
      </c>
      <c r="G109" t="str">
        <f t="shared" si="23"/>
        <v/>
      </c>
      <c r="H109" t="str">
        <f t="shared" si="23"/>
        <v/>
      </c>
      <c r="I109" t="str">
        <f t="shared" si="23"/>
        <v/>
      </c>
      <c r="J109" t="str">
        <f t="shared" si="23"/>
        <v/>
      </c>
      <c r="K109" t="str">
        <f t="shared" si="23"/>
        <v/>
      </c>
      <c r="L109" t="str">
        <f t="shared" si="23"/>
        <v/>
      </c>
      <c r="M109" t="str">
        <f t="shared" si="23"/>
        <v/>
      </c>
      <c r="N109" t="str">
        <f t="shared" si="23"/>
        <v/>
      </c>
      <c r="O109" t="str">
        <f t="shared" si="23"/>
        <v/>
      </c>
      <c r="P109">
        <f t="shared" si="23"/>
        <v>0.88551724137931032</v>
      </c>
      <c r="Q109" t="str">
        <f t="shared" si="23"/>
        <v/>
      </c>
      <c r="R109">
        <f t="shared" si="18"/>
        <v>0.91156860894280367</v>
      </c>
      <c r="S109">
        <f t="shared" si="20"/>
        <v>352.14025236375943</v>
      </c>
      <c r="U109" s="5"/>
    </row>
    <row r="110" spans="1:21" x14ac:dyDescent="0.25">
      <c r="A110" s="8">
        <v>40148</v>
      </c>
      <c r="B110" s="9">
        <f t="shared" si="15"/>
        <v>12</v>
      </c>
      <c r="C110" s="5">
        <v>304</v>
      </c>
      <c r="D110">
        <f t="shared" si="21"/>
        <v>366.16666666666663</v>
      </c>
      <c r="E110">
        <f t="shared" si="22"/>
        <v>0.83022303140646347</v>
      </c>
      <c r="F110" t="str">
        <f t="shared" si="13"/>
        <v/>
      </c>
      <c r="G110" t="str">
        <f t="shared" si="23"/>
        <v/>
      </c>
      <c r="H110" t="str">
        <f t="shared" si="23"/>
        <v/>
      </c>
      <c r="I110" t="str">
        <f t="shared" si="23"/>
        <v/>
      </c>
      <c r="J110" t="str">
        <f t="shared" si="23"/>
        <v/>
      </c>
      <c r="K110" t="str">
        <f t="shared" si="23"/>
        <v/>
      </c>
      <c r="L110" t="str">
        <f t="shared" si="23"/>
        <v/>
      </c>
      <c r="M110" t="str">
        <f t="shared" si="23"/>
        <v/>
      </c>
      <c r="N110" t="str">
        <f t="shared" si="23"/>
        <v/>
      </c>
      <c r="O110" t="str">
        <f t="shared" si="23"/>
        <v/>
      </c>
      <c r="P110" t="str">
        <f t="shared" si="23"/>
        <v/>
      </c>
      <c r="Q110">
        <f t="shared" si="23"/>
        <v>0.83022303140646347</v>
      </c>
      <c r="R110">
        <f t="shared" si="18"/>
        <v>0.91458648407659837</v>
      </c>
      <c r="S110">
        <f t="shared" si="20"/>
        <v>332.39065445727647</v>
      </c>
      <c r="U110" s="5"/>
    </row>
    <row r="111" spans="1:21" x14ac:dyDescent="0.25">
      <c r="A111" s="8">
        <v>40179</v>
      </c>
      <c r="B111" s="9">
        <f t="shared" si="15"/>
        <v>1</v>
      </c>
      <c r="C111" s="5">
        <v>384</v>
      </c>
      <c r="D111">
        <f t="shared" si="21"/>
        <v>367.70833333333331</v>
      </c>
      <c r="E111">
        <f t="shared" si="22"/>
        <v>1.0443059490084987</v>
      </c>
      <c r="F111">
        <f t="shared" si="13"/>
        <v>1.0443059490084987</v>
      </c>
      <c r="G111" t="str">
        <f t="shared" si="23"/>
        <v/>
      </c>
      <c r="H111" t="str">
        <f t="shared" si="23"/>
        <v/>
      </c>
      <c r="I111" t="str">
        <f t="shared" si="23"/>
        <v/>
      </c>
      <c r="J111" t="str">
        <f t="shared" si="23"/>
        <v/>
      </c>
      <c r="K111" t="str">
        <f t="shared" si="23"/>
        <v/>
      </c>
      <c r="L111" t="str">
        <f t="shared" si="23"/>
        <v/>
      </c>
      <c r="M111" t="str">
        <f t="shared" si="23"/>
        <v/>
      </c>
      <c r="N111" t="str">
        <f t="shared" si="23"/>
        <v/>
      </c>
      <c r="O111" t="str">
        <f t="shared" si="23"/>
        <v/>
      </c>
      <c r="P111" t="str">
        <f t="shared" si="23"/>
        <v/>
      </c>
      <c r="Q111" t="str">
        <f t="shared" si="23"/>
        <v/>
      </c>
      <c r="R111">
        <f t="shared" si="18"/>
        <v>0.9447245466877463</v>
      </c>
      <c r="S111">
        <f t="shared" si="20"/>
        <v>406.46768557705428</v>
      </c>
      <c r="U111" s="5"/>
    </row>
    <row r="112" spans="1:21" x14ac:dyDescent="0.25">
      <c r="A112" s="8">
        <v>40210</v>
      </c>
      <c r="B112" s="9">
        <f t="shared" si="15"/>
        <v>2</v>
      </c>
      <c r="C112" s="5">
        <v>338</v>
      </c>
      <c r="D112">
        <f t="shared" si="21"/>
        <v>369.58333333333331</v>
      </c>
      <c r="E112">
        <f t="shared" si="22"/>
        <v>0.91454340473506202</v>
      </c>
      <c r="F112" t="str">
        <f t="shared" si="13"/>
        <v/>
      </c>
      <c r="G112">
        <f t="shared" si="23"/>
        <v>0.91454340473506202</v>
      </c>
      <c r="H112" t="str">
        <f t="shared" si="23"/>
        <v/>
      </c>
      <c r="I112" t="str">
        <f t="shared" si="23"/>
        <v/>
      </c>
      <c r="J112" t="str">
        <f t="shared" si="23"/>
        <v/>
      </c>
      <c r="K112" t="str">
        <f t="shared" si="23"/>
        <v/>
      </c>
      <c r="L112" t="str">
        <f t="shared" si="23"/>
        <v/>
      </c>
      <c r="M112" t="str">
        <f t="shared" si="23"/>
        <v/>
      </c>
      <c r="N112" t="str">
        <f t="shared" si="23"/>
        <v/>
      </c>
      <c r="O112" t="str">
        <f t="shared" si="23"/>
        <v/>
      </c>
      <c r="P112" t="str">
        <f t="shared" si="23"/>
        <v/>
      </c>
      <c r="Q112" t="str">
        <f t="shared" si="23"/>
        <v/>
      </c>
      <c r="R112">
        <f t="shared" si="18"/>
        <v>0.95740708992609791</v>
      </c>
      <c r="S112">
        <f t="shared" si="20"/>
        <v>353.03686755243285</v>
      </c>
      <c r="U112" s="5"/>
    </row>
    <row r="113" spans="1:21" x14ac:dyDescent="0.25">
      <c r="A113" s="8">
        <v>40238</v>
      </c>
      <c r="B113" s="9">
        <f t="shared" si="15"/>
        <v>3</v>
      </c>
      <c r="C113" s="5">
        <v>414</v>
      </c>
      <c r="D113">
        <f t="shared" si="21"/>
        <v>371.16666666666663</v>
      </c>
      <c r="E113">
        <f t="shared" si="22"/>
        <v>1.1154018859452179</v>
      </c>
      <c r="F113" t="str">
        <f t="shared" si="13"/>
        <v/>
      </c>
      <c r="G113" t="str">
        <f t="shared" si="23"/>
        <v/>
      </c>
      <c r="H113">
        <f t="shared" si="23"/>
        <v>1.1154018859452179</v>
      </c>
      <c r="I113" t="str">
        <f t="shared" si="23"/>
        <v/>
      </c>
      <c r="J113" t="str">
        <f t="shared" si="23"/>
        <v/>
      </c>
      <c r="K113" t="str">
        <f t="shared" si="23"/>
        <v/>
      </c>
      <c r="L113" t="str">
        <f t="shared" si="23"/>
        <v/>
      </c>
      <c r="M113" t="str">
        <f t="shared" si="23"/>
        <v/>
      </c>
      <c r="N113" t="str">
        <f t="shared" si="23"/>
        <v/>
      </c>
      <c r="O113" t="str">
        <f t="shared" si="23"/>
        <v/>
      </c>
      <c r="P113" t="str">
        <f t="shared" si="23"/>
        <v/>
      </c>
      <c r="Q113" t="str">
        <f t="shared" si="23"/>
        <v/>
      </c>
      <c r="R113">
        <f t="shared" si="18"/>
        <v>1.0167264528055464</v>
      </c>
      <c r="S113">
        <f t="shared" si="20"/>
        <v>407.18916957222064</v>
      </c>
      <c r="U113" s="5"/>
    </row>
    <row r="114" spans="1:21" x14ac:dyDescent="0.25">
      <c r="A114" s="8">
        <v>40269</v>
      </c>
      <c r="B114" s="9">
        <f t="shared" si="15"/>
        <v>4</v>
      </c>
      <c r="C114" s="5">
        <v>630</v>
      </c>
      <c r="D114">
        <f t="shared" si="21"/>
        <v>370.04166666666663</v>
      </c>
      <c r="E114">
        <f t="shared" si="22"/>
        <v>1.7025109784934132</v>
      </c>
      <c r="F114" t="str">
        <f t="shared" si="13"/>
        <v/>
      </c>
      <c r="G114" t="str">
        <f t="shared" si="23"/>
        <v/>
      </c>
      <c r="H114" t="str">
        <f t="shared" si="23"/>
        <v/>
      </c>
      <c r="I114">
        <f t="shared" si="23"/>
        <v>1.7025109784934132</v>
      </c>
      <c r="J114" t="str">
        <f t="shared" si="23"/>
        <v/>
      </c>
      <c r="K114" t="str">
        <f t="shared" si="23"/>
        <v/>
      </c>
      <c r="L114" t="str">
        <f t="shared" si="23"/>
        <v/>
      </c>
      <c r="M114" t="str">
        <f t="shared" si="23"/>
        <v/>
      </c>
      <c r="N114" t="str">
        <f t="shared" si="23"/>
        <v/>
      </c>
      <c r="O114" t="str">
        <f t="shared" si="23"/>
        <v/>
      </c>
      <c r="P114" t="str">
        <f t="shared" si="23"/>
        <v/>
      </c>
      <c r="Q114" t="str">
        <f t="shared" si="23"/>
        <v/>
      </c>
      <c r="R114">
        <f t="shared" si="18"/>
        <v>1.0806768925923931</v>
      </c>
      <c r="S114">
        <f t="shared" si="20"/>
        <v>582.96795676709428</v>
      </c>
      <c r="U114" s="5"/>
    </row>
    <row r="115" spans="1:21" x14ac:dyDescent="0.25">
      <c r="A115" s="8">
        <v>40299</v>
      </c>
      <c r="B115" s="9">
        <f t="shared" si="15"/>
        <v>5</v>
      </c>
      <c r="C115" s="5">
        <v>370</v>
      </c>
      <c r="D115">
        <f t="shared" si="21"/>
        <v>366.125</v>
      </c>
      <c r="E115">
        <f t="shared" si="22"/>
        <v>1.01058381700239</v>
      </c>
      <c r="F115" t="str">
        <f t="shared" si="13"/>
        <v/>
      </c>
      <c r="G115" t="str">
        <f t="shared" si="23"/>
        <v/>
      </c>
      <c r="H115" t="str">
        <f t="shared" si="23"/>
        <v/>
      </c>
      <c r="I115" t="str">
        <f t="shared" si="23"/>
        <v/>
      </c>
      <c r="J115">
        <f t="shared" si="23"/>
        <v>1.01058381700239</v>
      </c>
      <c r="K115" t="str">
        <f t="shared" si="23"/>
        <v/>
      </c>
      <c r="L115" t="str">
        <f t="shared" si="23"/>
        <v/>
      </c>
      <c r="M115" t="str">
        <f t="shared" si="23"/>
        <v/>
      </c>
      <c r="N115" t="str">
        <f t="shared" si="23"/>
        <v/>
      </c>
      <c r="O115" t="str">
        <f t="shared" si="23"/>
        <v/>
      </c>
      <c r="P115" t="str">
        <f t="shared" si="23"/>
        <v/>
      </c>
      <c r="Q115" t="str">
        <f t="shared" si="23"/>
        <v/>
      </c>
      <c r="R115">
        <f t="shared" si="18"/>
        <v>1.0380260515064865</v>
      </c>
      <c r="S115">
        <f t="shared" si="20"/>
        <v>356.44577461521243</v>
      </c>
      <c r="U115" s="5"/>
    </row>
    <row r="116" spans="1:21" x14ac:dyDescent="0.25">
      <c r="A116" s="8">
        <v>40330</v>
      </c>
      <c r="B116" s="9">
        <f t="shared" si="15"/>
        <v>6</v>
      </c>
      <c r="C116" s="5">
        <v>348</v>
      </c>
      <c r="D116">
        <f t="shared" si="21"/>
        <v>367.29166666666663</v>
      </c>
      <c r="E116">
        <f t="shared" si="22"/>
        <v>0.94747589336358484</v>
      </c>
      <c r="F116" t="str">
        <f t="shared" si="13"/>
        <v/>
      </c>
      <c r="G116" t="str">
        <f t="shared" si="23"/>
        <v/>
      </c>
      <c r="H116" t="str">
        <f t="shared" si="23"/>
        <v/>
      </c>
      <c r="I116" t="str">
        <f t="shared" si="23"/>
        <v/>
      </c>
      <c r="J116" t="str">
        <f t="shared" si="23"/>
        <v/>
      </c>
      <c r="K116">
        <f t="shared" si="23"/>
        <v>0.94747589336358484</v>
      </c>
      <c r="L116" t="str">
        <f t="shared" si="23"/>
        <v/>
      </c>
      <c r="M116" t="str">
        <f t="shared" si="23"/>
        <v/>
      </c>
      <c r="N116" t="str">
        <f t="shared" si="23"/>
        <v/>
      </c>
      <c r="O116" t="str">
        <f t="shared" si="23"/>
        <v/>
      </c>
      <c r="P116" t="str">
        <f t="shared" si="23"/>
        <v/>
      </c>
      <c r="Q116" t="str">
        <f t="shared" si="23"/>
        <v/>
      </c>
      <c r="R116">
        <f t="shared" si="18"/>
        <v>1.116110197693907</v>
      </c>
      <c r="S116">
        <f t="shared" si="20"/>
        <v>311.79716906003841</v>
      </c>
      <c r="U116" s="5"/>
    </row>
    <row r="117" spans="1:21" x14ac:dyDescent="0.25">
      <c r="A117" s="8">
        <v>40360</v>
      </c>
      <c r="B117" s="9">
        <f t="shared" si="15"/>
        <v>7</v>
      </c>
      <c r="C117" s="5">
        <v>329</v>
      </c>
      <c r="D117">
        <f t="shared" si="21"/>
        <v>366.08333333333331</v>
      </c>
      <c r="E117">
        <f t="shared" si="22"/>
        <v>0.89870248122012297</v>
      </c>
      <c r="F117" t="str">
        <f t="shared" si="13"/>
        <v/>
      </c>
      <c r="G117" t="str">
        <f t="shared" si="23"/>
        <v/>
      </c>
      <c r="H117" t="str">
        <f t="shared" si="23"/>
        <v/>
      </c>
      <c r="I117" t="str">
        <f t="shared" si="23"/>
        <v/>
      </c>
      <c r="J117" t="str">
        <f t="shared" si="23"/>
        <v/>
      </c>
      <c r="K117" t="str">
        <f t="shared" si="23"/>
        <v/>
      </c>
      <c r="L117">
        <f t="shared" si="23"/>
        <v>0.89870248122012297</v>
      </c>
      <c r="M117" t="str">
        <f t="shared" si="23"/>
        <v/>
      </c>
      <c r="N117" t="str">
        <f t="shared" si="23"/>
        <v/>
      </c>
      <c r="O117" t="str">
        <f t="shared" si="23"/>
        <v/>
      </c>
      <c r="P117" t="str">
        <f t="shared" si="23"/>
        <v/>
      </c>
      <c r="Q117" t="str">
        <f t="shared" si="23"/>
        <v/>
      </c>
      <c r="R117">
        <f t="shared" si="18"/>
        <v>1.0629349580535654</v>
      </c>
      <c r="S117">
        <f t="shared" si="20"/>
        <v>309.52034977047055</v>
      </c>
      <c r="U117" s="5"/>
    </row>
    <row r="118" spans="1:21" x14ac:dyDescent="0.25">
      <c r="A118" s="8">
        <v>40391</v>
      </c>
      <c r="B118" s="9">
        <f t="shared" si="15"/>
        <v>8</v>
      </c>
      <c r="C118" s="5">
        <v>321</v>
      </c>
      <c r="D118">
        <f t="shared" si="21"/>
        <v>360.375</v>
      </c>
      <c r="E118">
        <f t="shared" si="22"/>
        <v>0.89073881373569197</v>
      </c>
      <c r="F118" t="str">
        <f t="shared" si="13"/>
        <v/>
      </c>
      <c r="G118" t="str">
        <f t="shared" si="23"/>
        <v/>
      </c>
      <c r="H118" t="str">
        <f t="shared" si="23"/>
        <v/>
      </c>
      <c r="I118" t="str">
        <f t="shared" si="23"/>
        <v/>
      </c>
      <c r="J118" t="str">
        <f t="shared" si="23"/>
        <v/>
      </c>
      <c r="K118" t="str">
        <f t="shared" si="23"/>
        <v/>
      </c>
      <c r="L118" t="str">
        <f t="shared" si="23"/>
        <v/>
      </c>
      <c r="M118">
        <f t="shared" si="23"/>
        <v>0.89073881373569197</v>
      </c>
      <c r="N118" t="str">
        <f t="shared" si="23"/>
        <v/>
      </c>
      <c r="O118" t="str">
        <f t="shared" si="23"/>
        <v/>
      </c>
      <c r="P118" t="str">
        <f t="shared" si="23"/>
        <v/>
      </c>
      <c r="Q118" t="str">
        <f t="shared" si="23"/>
        <v/>
      </c>
      <c r="R118">
        <f t="shared" si="18"/>
        <v>1.0430405609995839</v>
      </c>
      <c r="S118">
        <f t="shared" si="20"/>
        <v>307.75409126215953</v>
      </c>
      <c r="U118" s="5"/>
    </row>
    <row r="119" spans="1:21" x14ac:dyDescent="0.25">
      <c r="A119" s="8">
        <v>40422</v>
      </c>
      <c r="B119" s="9">
        <f t="shared" si="15"/>
        <v>9</v>
      </c>
      <c r="C119" s="5">
        <v>309</v>
      </c>
      <c r="D119">
        <f t="shared" si="21"/>
        <v>354.29166666666663</v>
      </c>
      <c r="E119">
        <f t="shared" si="22"/>
        <v>0.87216276608255916</v>
      </c>
      <c r="F119" t="str">
        <f t="shared" si="13"/>
        <v/>
      </c>
      <c r="G119" t="str">
        <f t="shared" si="23"/>
        <v/>
      </c>
      <c r="H119" t="str">
        <f t="shared" si="23"/>
        <v/>
      </c>
      <c r="I119" t="str">
        <f t="shared" si="23"/>
        <v/>
      </c>
      <c r="J119" t="str">
        <f t="shared" si="23"/>
        <v/>
      </c>
      <c r="K119" t="str">
        <f t="shared" si="23"/>
        <v/>
      </c>
      <c r="L119" t="str">
        <f t="shared" si="23"/>
        <v/>
      </c>
      <c r="M119" t="str">
        <f t="shared" si="23"/>
        <v/>
      </c>
      <c r="N119">
        <f t="shared" si="23"/>
        <v>0.87216276608255916</v>
      </c>
      <c r="O119" t="str">
        <f t="shared" si="23"/>
        <v/>
      </c>
      <c r="P119" t="str">
        <f t="shared" si="23"/>
        <v/>
      </c>
      <c r="Q119" t="str">
        <f t="shared" si="23"/>
        <v/>
      </c>
      <c r="R119">
        <f t="shared" si="18"/>
        <v>0.94657387376024194</v>
      </c>
      <c r="S119">
        <f t="shared" si="20"/>
        <v>326.44044861760756</v>
      </c>
      <c r="U119" s="5"/>
    </row>
    <row r="120" spans="1:21" x14ac:dyDescent="0.25">
      <c r="A120" s="8">
        <v>40452</v>
      </c>
      <c r="B120" s="9">
        <f t="shared" si="15"/>
        <v>10</v>
      </c>
      <c r="C120" s="5">
        <v>342</v>
      </c>
      <c r="D120">
        <f t="shared" si="21"/>
        <v>338.08333333333331</v>
      </c>
      <c r="E120">
        <f t="shared" si="22"/>
        <v>1.0115849149617946</v>
      </c>
      <c r="F120" t="str">
        <f t="shared" si="13"/>
        <v/>
      </c>
      <c r="G120" t="str">
        <f t="shared" si="23"/>
        <v/>
      </c>
      <c r="H120" t="str">
        <f t="shared" si="23"/>
        <v/>
      </c>
      <c r="I120" t="str">
        <f t="shared" si="23"/>
        <v/>
      </c>
      <c r="J120" t="str">
        <f t="shared" si="23"/>
        <v/>
      </c>
      <c r="K120" t="str">
        <f t="shared" si="23"/>
        <v/>
      </c>
      <c r="L120" t="str">
        <f t="shared" si="23"/>
        <v/>
      </c>
      <c r="M120" t="str">
        <f t="shared" si="23"/>
        <v/>
      </c>
      <c r="N120" t="str">
        <f t="shared" si="23"/>
        <v/>
      </c>
      <c r="O120">
        <f t="shared" si="23"/>
        <v>1.0115849149617946</v>
      </c>
      <c r="P120" t="str">
        <f t="shared" si="23"/>
        <v/>
      </c>
      <c r="Q120" t="str">
        <f t="shared" si="23"/>
        <v/>
      </c>
      <c r="R120">
        <f t="shared" si="18"/>
        <v>0.99267321089541272</v>
      </c>
      <c r="S120">
        <f t="shared" si="20"/>
        <v>344.52425656929796</v>
      </c>
      <c r="U120" s="5"/>
    </row>
    <row r="121" spans="1:21" x14ac:dyDescent="0.25">
      <c r="A121" s="8">
        <v>40483</v>
      </c>
      <c r="B121" s="9">
        <f t="shared" si="15"/>
        <v>11</v>
      </c>
      <c r="C121" s="5">
        <v>288</v>
      </c>
      <c r="D121">
        <f t="shared" si="21"/>
        <v>323.20833333333331</v>
      </c>
      <c r="E121">
        <f t="shared" si="22"/>
        <v>0.89106613381461908</v>
      </c>
      <c r="F121" t="str">
        <f t="shared" si="13"/>
        <v/>
      </c>
      <c r="G121" t="str">
        <f t="shared" si="23"/>
        <v/>
      </c>
      <c r="H121" t="str">
        <f t="shared" si="23"/>
        <v/>
      </c>
      <c r="I121" t="str">
        <f t="shared" si="23"/>
        <v/>
      </c>
      <c r="J121" t="str">
        <f t="shared" si="23"/>
        <v/>
      </c>
      <c r="K121" t="str">
        <f t="shared" si="23"/>
        <v/>
      </c>
      <c r="L121" t="str">
        <f t="shared" si="23"/>
        <v/>
      </c>
      <c r="M121" t="str">
        <f t="shared" si="23"/>
        <v/>
      </c>
      <c r="N121" t="str">
        <f t="shared" si="23"/>
        <v/>
      </c>
      <c r="O121" t="str">
        <f t="shared" si="23"/>
        <v/>
      </c>
      <c r="P121">
        <f t="shared" si="23"/>
        <v>0.89106613381461908</v>
      </c>
      <c r="Q121" t="str">
        <f t="shared" si="23"/>
        <v/>
      </c>
      <c r="R121">
        <f t="shared" si="18"/>
        <v>0.91156860894280367</v>
      </c>
      <c r="S121">
        <f t="shared" si="20"/>
        <v>315.93891800860655</v>
      </c>
      <c r="U121" s="5"/>
    </row>
    <row r="122" spans="1:21" x14ac:dyDescent="0.25">
      <c r="A122" s="8">
        <v>40513</v>
      </c>
      <c r="B122" s="9">
        <f t="shared" si="15"/>
        <v>12</v>
      </c>
      <c r="C122" s="5">
        <v>365</v>
      </c>
      <c r="D122">
        <f t="shared" si="21"/>
        <v>322</v>
      </c>
      <c r="E122">
        <f t="shared" si="22"/>
        <v>1.1335403726708075</v>
      </c>
      <c r="F122" t="str">
        <f t="shared" si="13"/>
        <v/>
      </c>
      <c r="G122" t="str">
        <f t="shared" si="23"/>
        <v/>
      </c>
      <c r="H122" t="str">
        <f t="shared" si="23"/>
        <v/>
      </c>
      <c r="I122" t="str">
        <f t="shared" si="23"/>
        <v/>
      </c>
      <c r="J122" t="str">
        <f t="shared" si="23"/>
        <v/>
      </c>
      <c r="K122" t="str">
        <f t="shared" si="23"/>
        <v/>
      </c>
      <c r="L122" t="str">
        <f t="shared" si="23"/>
        <v/>
      </c>
      <c r="M122" t="str">
        <f t="shared" si="23"/>
        <v/>
      </c>
      <c r="N122" t="str">
        <f t="shared" si="23"/>
        <v/>
      </c>
      <c r="O122" t="str">
        <f t="shared" si="23"/>
        <v/>
      </c>
      <c r="P122" t="str">
        <f t="shared" si="23"/>
        <v/>
      </c>
      <c r="Q122">
        <f t="shared" si="23"/>
        <v>1.1335403726708075</v>
      </c>
      <c r="R122">
        <f t="shared" si="18"/>
        <v>0.91458648407659837</v>
      </c>
      <c r="S122">
        <f t="shared" si="20"/>
        <v>399.0874634108747</v>
      </c>
      <c r="U122" s="5"/>
    </row>
    <row r="123" spans="1:21" x14ac:dyDescent="0.25">
      <c r="A123" s="8">
        <v>40544</v>
      </c>
      <c r="B123" s="9">
        <f t="shared" si="15"/>
        <v>1</v>
      </c>
      <c r="C123" s="5">
        <v>294</v>
      </c>
      <c r="D123">
        <f t="shared" si="21"/>
        <v>323.29166666666663</v>
      </c>
      <c r="E123">
        <f t="shared" si="22"/>
        <v>0.90939554066245665</v>
      </c>
      <c r="F123">
        <f t="shared" si="13"/>
        <v>0.90939554066245665</v>
      </c>
      <c r="G123" t="str">
        <f t="shared" si="23"/>
        <v/>
      </c>
      <c r="H123" t="str">
        <f t="shared" si="23"/>
        <v/>
      </c>
      <c r="I123" t="str">
        <f t="shared" si="23"/>
        <v/>
      </c>
      <c r="J123" t="str">
        <f t="shared" si="23"/>
        <v/>
      </c>
      <c r="K123" t="str">
        <f t="shared" si="23"/>
        <v/>
      </c>
      <c r="L123" t="str">
        <f t="shared" si="23"/>
        <v/>
      </c>
      <c r="M123" t="str">
        <f t="shared" si="23"/>
        <v/>
      </c>
      <c r="N123" t="str">
        <f t="shared" si="23"/>
        <v/>
      </c>
      <c r="O123" t="str">
        <f t="shared" si="23"/>
        <v/>
      </c>
      <c r="P123" t="str">
        <f t="shared" si="23"/>
        <v/>
      </c>
      <c r="Q123" t="str">
        <f t="shared" si="23"/>
        <v/>
      </c>
      <c r="R123">
        <f t="shared" si="18"/>
        <v>0.9447245466877463</v>
      </c>
      <c r="S123">
        <f t="shared" si="20"/>
        <v>311.20182176993217</v>
      </c>
      <c r="U123" s="5"/>
    </row>
    <row r="124" spans="1:21" x14ac:dyDescent="0.25">
      <c r="A124" s="8">
        <v>40575</v>
      </c>
      <c r="B124" s="9">
        <f t="shared" si="15"/>
        <v>2</v>
      </c>
      <c r="C124" s="5">
        <v>291</v>
      </c>
      <c r="D124">
        <f t="shared" si="21"/>
        <v>324.16666666666663</v>
      </c>
      <c r="E124">
        <f t="shared" si="22"/>
        <v>0.89768637532133688</v>
      </c>
      <c r="F124" t="str">
        <f t="shared" si="13"/>
        <v/>
      </c>
      <c r="G124">
        <f t="shared" si="23"/>
        <v>0.89768637532133688</v>
      </c>
      <c r="H124" t="str">
        <f t="shared" si="23"/>
        <v/>
      </c>
      <c r="I124" t="str">
        <f t="shared" si="23"/>
        <v/>
      </c>
      <c r="J124" t="str">
        <f t="shared" si="23"/>
        <v/>
      </c>
      <c r="K124" t="str">
        <f t="shared" si="23"/>
        <v/>
      </c>
      <c r="L124" t="str">
        <f t="shared" si="23"/>
        <v/>
      </c>
      <c r="M124" t="str">
        <f t="shared" si="23"/>
        <v/>
      </c>
      <c r="N124" t="str">
        <f t="shared" si="23"/>
        <v/>
      </c>
      <c r="O124" t="str">
        <f t="shared" si="23"/>
        <v/>
      </c>
      <c r="P124" t="str">
        <f t="shared" si="23"/>
        <v/>
      </c>
      <c r="Q124" t="str">
        <f t="shared" si="23"/>
        <v/>
      </c>
      <c r="R124">
        <f t="shared" si="18"/>
        <v>0.95740708992609791</v>
      </c>
      <c r="S124">
        <f t="shared" si="20"/>
        <v>303.94594218271584</v>
      </c>
      <c r="U124" s="5"/>
    </row>
    <row r="125" spans="1:21" x14ac:dyDescent="0.25">
      <c r="A125" s="8">
        <v>40603</v>
      </c>
      <c r="B125" s="9">
        <f t="shared" si="15"/>
        <v>3</v>
      </c>
      <c r="C125" s="5">
        <v>315</v>
      </c>
      <c r="D125">
        <f t="shared" si="21"/>
        <v>328.625</v>
      </c>
      <c r="E125">
        <f t="shared" si="22"/>
        <v>0.95853936858120958</v>
      </c>
      <c r="F125" t="str">
        <f t="shared" si="13"/>
        <v/>
      </c>
      <c r="G125" t="str">
        <f t="shared" si="23"/>
        <v/>
      </c>
      <c r="H125">
        <f t="shared" si="23"/>
        <v>0.95853936858120958</v>
      </c>
      <c r="I125" t="str">
        <f t="shared" si="23"/>
        <v/>
      </c>
      <c r="J125" t="str">
        <f t="shared" si="23"/>
        <v/>
      </c>
      <c r="K125" t="str">
        <f t="shared" si="23"/>
        <v/>
      </c>
      <c r="L125" t="str">
        <f t="shared" si="23"/>
        <v/>
      </c>
      <c r="M125" t="str">
        <f t="shared" si="23"/>
        <v/>
      </c>
      <c r="N125" t="str">
        <f t="shared" si="23"/>
        <v/>
      </c>
      <c r="O125" t="str">
        <f t="shared" si="23"/>
        <v/>
      </c>
      <c r="P125" t="str">
        <f t="shared" si="23"/>
        <v/>
      </c>
      <c r="Q125" t="str">
        <f t="shared" si="23"/>
        <v/>
      </c>
      <c r="R125">
        <f t="shared" si="18"/>
        <v>1.0167264528055464</v>
      </c>
      <c r="S125">
        <f t="shared" si="20"/>
        <v>309.81784641364612</v>
      </c>
      <c r="U125" s="5"/>
    </row>
    <row r="126" spans="1:21" x14ac:dyDescent="0.25">
      <c r="A126" s="8">
        <v>40634</v>
      </c>
      <c r="B126" s="9">
        <f t="shared" si="15"/>
        <v>4</v>
      </c>
      <c r="C126" s="5">
        <v>340</v>
      </c>
      <c r="D126">
        <f t="shared" si="21"/>
        <v>332.5</v>
      </c>
      <c r="E126">
        <f t="shared" si="22"/>
        <v>1.0225563909774436</v>
      </c>
      <c r="F126" t="str">
        <f t="shared" si="13"/>
        <v/>
      </c>
      <c r="G126" t="str">
        <f t="shared" si="23"/>
        <v/>
      </c>
      <c r="H126" t="str">
        <f t="shared" si="23"/>
        <v/>
      </c>
      <c r="I126">
        <f t="shared" si="23"/>
        <v>1.0225563909774436</v>
      </c>
      <c r="J126" t="str">
        <f t="shared" si="23"/>
        <v/>
      </c>
      <c r="K126" t="str">
        <f t="shared" si="23"/>
        <v/>
      </c>
      <c r="L126" t="str">
        <f t="shared" si="23"/>
        <v/>
      </c>
      <c r="M126" t="str">
        <f t="shared" si="23"/>
        <v/>
      </c>
      <c r="N126" t="str">
        <f t="shared" si="23"/>
        <v/>
      </c>
      <c r="O126" t="str">
        <f t="shared" si="23"/>
        <v/>
      </c>
      <c r="P126" t="str">
        <f t="shared" si="23"/>
        <v/>
      </c>
      <c r="Q126" t="str">
        <f t="shared" si="23"/>
        <v/>
      </c>
      <c r="R126">
        <f t="shared" si="18"/>
        <v>1.0806768925923931</v>
      </c>
      <c r="S126">
        <f t="shared" si="20"/>
        <v>314.61762746160645</v>
      </c>
      <c r="U126" s="5"/>
    </row>
    <row r="127" spans="1:21" x14ac:dyDescent="0.25">
      <c r="A127" s="8">
        <v>40664</v>
      </c>
      <c r="B127" s="9">
        <f t="shared" si="15"/>
        <v>5</v>
      </c>
      <c r="C127" s="5">
        <v>303</v>
      </c>
      <c r="D127">
        <f t="shared" si="21"/>
        <v>332.79166666666663</v>
      </c>
      <c r="E127">
        <f t="shared" si="22"/>
        <v>0.91047952923500697</v>
      </c>
      <c r="F127" t="str">
        <f t="shared" ref="F127:F148" si="24">IF($B127=F$1,$E127, "")</f>
        <v/>
      </c>
      <c r="G127" t="str">
        <f t="shared" si="23"/>
        <v/>
      </c>
      <c r="H127" t="str">
        <f t="shared" si="23"/>
        <v/>
      </c>
      <c r="I127" t="str">
        <f t="shared" si="23"/>
        <v/>
      </c>
      <c r="J127">
        <f t="shared" si="23"/>
        <v>0.91047952923500697</v>
      </c>
      <c r="K127" t="str">
        <f t="shared" si="23"/>
        <v/>
      </c>
      <c r="L127" t="str">
        <f t="shared" si="23"/>
        <v/>
      </c>
      <c r="M127" t="str">
        <f t="shared" si="23"/>
        <v/>
      </c>
      <c r="N127" t="str">
        <f t="shared" si="23"/>
        <v/>
      </c>
      <c r="O127" t="str">
        <f t="shared" si="23"/>
        <v/>
      </c>
      <c r="P127" t="str">
        <f t="shared" si="23"/>
        <v/>
      </c>
      <c r="Q127" t="str">
        <f t="shared" si="23"/>
        <v/>
      </c>
      <c r="R127">
        <f t="shared" si="18"/>
        <v>1.0380260515064865</v>
      </c>
      <c r="S127">
        <f t="shared" si="20"/>
        <v>291.90018840110639</v>
      </c>
      <c r="U127" s="5"/>
    </row>
    <row r="128" spans="1:21" x14ac:dyDescent="0.25">
      <c r="A128" s="8">
        <v>40695</v>
      </c>
      <c r="B128" s="9">
        <f t="shared" si="15"/>
        <v>6</v>
      </c>
      <c r="C128" s="5">
        <v>386</v>
      </c>
      <c r="D128">
        <f t="shared" si="21"/>
        <v>331.29166666666663</v>
      </c>
      <c r="E128">
        <f t="shared" si="22"/>
        <v>1.1651364608225381</v>
      </c>
      <c r="F128" t="str">
        <f t="shared" si="24"/>
        <v/>
      </c>
      <c r="G128" t="str">
        <f t="shared" si="23"/>
        <v/>
      </c>
      <c r="H128" t="str">
        <f t="shared" si="23"/>
        <v/>
      </c>
      <c r="I128" t="str">
        <f t="shared" si="23"/>
        <v/>
      </c>
      <c r="J128" t="str">
        <f t="shared" si="23"/>
        <v/>
      </c>
      <c r="K128">
        <f t="shared" si="23"/>
        <v>1.1651364608225381</v>
      </c>
      <c r="L128" t="str">
        <f t="shared" si="23"/>
        <v/>
      </c>
      <c r="M128" t="str">
        <f t="shared" si="23"/>
        <v/>
      </c>
      <c r="N128" t="str">
        <f t="shared" si="23"/>
        <v/>
      </c>
      <c r="O128" t="str">
        <f t="shared" si="23"/>
        <v/>
      </c>
      <c r="P128" t="str">
        <f t="shared" si="23"/>
        <v/>
      </c>
      <c r="Q128" t="str">
        <f t="shared" si="23"/>
        <v/>
      </c>
      <c r="R128">
        <f t="shared" si="18"/>
        <v>1.116110197693907</v>
      </c>
      <c r="S128">
        <f t="shared" si="20"/>
        <v>345.84398637119205</v>
      </c>
      <c r="U128" s="5"/>
    </row>
    <row r="129" spans="1:21" x14ac:dyDescent="0.25">
      <c r="A129" s="8">
        <v>40725</v>
      </c>
      <c r="B129" s="9">
        <f t="shared" si="15"/>
        <v>7</v>
      </c>
      <c r="C129" s="5">
        <v>322</v>
      </c>
      <c r="D129">
        <f t="shared" si="21"/>
        <v>331.29166666666663</v>
      </c>
      <c r="E129">
        <f t="shared" si="22"/>
        <v>0.97195321343227281</v>
      </c>
      <c r="F129" t="str">
        <f t="shared" si="24"/>
        <v/>
      </c>
      <c r="G129" t="str">
        <f t="shared" si="23"/>
        <v/>
      </c>
      <c r="H129" t="str">
        <f t="shared" si="23"/>
        <v/>
      </c>
      <c r="I129" t="str">
        <f t="shared" si="23"/>
        <v/>
      </c>
      <c r="J129" t="str">
        <f t="shared" si="23"/>
        <v/>
      </c>
      <c r="K129" t="str">
        <f t="shared" si="23"/>
        <v/>
      </c>
      <c r="L129">
        <f t="shared" si="23"/>
        <v>0.97195321343227281</v>
      </c>
      <c r="M129" t="str">
        <f t="shared" si="23"/>
        <v/>
      </c>
      <c r="N129" t="str">
        <f t="shared" si="23"/>
        <v/>
      </c>
      <c r="O129" t="str">
        <f t="shared" si="23"/>
        <v/>
      </c>
      <c r="P129" t="str">
        <f t="shared" si="23"/>
        <v/>
      </c>
      <c r="Q129" t="str">
        <f t="shared" si="23"/>
        <v/>
      </c>
      <c r="R129">
        <f t="shared" si="18"/>
        <v>1.0629349580535654</v>
      </c>
      <c r="S129">
        <f t="shared" si="20"/>
        <v>302.93481041365203</v>
      </c>
      <c r="U129" s="5"/>
    </row>
    <row r="130" spans="1:21" x14ac:dyDescent="0.25">
      <c r="A130" s="8">
        <v>40756</v>
      </c>
      <c r="B130" s="9">
        <f t="shared" si="15"/>
        <v>8</v>
      </c>
      <c r="C130" s="5">
        <v>349</v>
      </c>
      <c r="D130">
        <f t="shared" si="21"/>
        <v>336.5</v>
      </c>
      <c r="E130">
        <f t="shared" si="22"/>
        <v>1.0371471025260031</v>
      </c>
      <c r="F130" t="str">
        <f t="shared" si="24"/>
        <v/>
      </c>
      <c r="G130" t="str">
        <f t="shared" si="23"/>
        <v/>
      </c>
      <c r="H130" t="str">
        <f t="shared" si="23"/>
        <v/>
      </c>
      <c r="I130" t="str">
        <f t="shared" si="23"/>
        <v/>
      </c>
      <c r="J130" t="str">
        <f t="shared" si="23"/>
        <v/>
      </c>
      <c r="K130" t="str">
        <f t="shared" si="23"/>
        <v/>
      </c>
      <c r="L130" t="str">
        <f t="shared" si="23"/>
        <v/>
      </c>
      <c r="M130">
        <f t="shared" si="23"/>
        <v>1.0371471025260031</v>
      </c>
      <c r="N130" t="str">
        <f t="shared" si="23"/>
        <v/>
      </c>
      <c r="O130" t="str">
        <f t="shared" si="23"/>
        <v/>
      </c>
      <c r="P130" t="str">
        <f t="shared" si="23"/>
        <v/>
      </c>
      <c r="Q130" t="str">
        <f t="shared" si="23"/>
        <v/>
      </c>
      <c r="R130">
        <f t="shared" si="18"/>
        <v>1.0430405609995839</v>
      </c>
      <c r="S130">
        <f t="shared" ref="S130:S154" si="25">C130/R130</f>
        <v>334.59868489250368</v>
      </c>
      <c r="U130" s="5"/>
    </row>
    <row r="131" spans="1:21" x14ac:dyDescent="0.25">
      <c r="A131" s="8">
        <v>40787</v>
      </c>
      <c r="B131" s="9">
        <f t="shared" si="15"/>
        <v>9</v>
      </c>
      <c r="C131" s="5">
        <v>388</v>
      </c>
      <c r="D131">
        <f t="shared" si="21"/>
        <v>343.70833333333331</v>
      </c>
      <c r="E131">
        <f t="shared" si="22"/>
        <v>1.1288641047399686</v>
      </c>
      <c r="F131" t="str">
        <f t="shared" si="24"/>
        <v/>
      </c>
      <c r="G131" t="str">
        <f t="shared" si="23"/>
        <v/>
      </c>
      <c r="H131" t="str">
        <f t="shared" si="23"/>
        <v/>
      </c>
      <c r="I131" t="str">
        <f t="shared" si="23"/>
        <v/>
      </c>
      <c r="J131" t="str">
        <f t="shared" si="23"/>
        <v/>
      </c>
      <c r="K131" t="str">
        <f t="shared" si="23"/>
        <v/>
      </c>
      <c r="L131" t="str">
        <f t="shared" si="23"/>
        <v/>
      </c>
      <c r="M131" t="str">
        <f t="shared" si="23"/>
        <v/>
      </c>
      <c r="N131">
        <f t="shared" si="23"/>
        <v>1.1288641047399686</v>
      </c>
      <c r="O131" t="str">
        <f t="shared" ref="G131:Q148" si="26">IF($B131=O$1,$E131, "")</f>
        <v/>
      </c>
      <c r="P131" t="str">
        <f t="shared" si="26"/>
        <v/>
      </c>
      <c r="Q131" t="str">
        <f t="shared" si="26"/>
        <v/>
      </c>
      <c r="R131">
        <f t="shared" si="18"/>
        <v>0.94657387376024194</v>
      </c>
      <c r="S131">
        <f t="shared" si="25"/>
        <v>409.89933353926125</v>
      </c>
      <c r="U131" s="5"/>
    </row>
    <row r="132" spans="1:21" x14ac:dyDescent="0.25">
      <c r="A132" s="8">
        <v>40817</v>
      </c>
      <c r="B132" s="9">
        <f t="shared" ref="B132:B154" si="27">IF(B131=12,1,B131+1)</f>
        <v>10</v>
      </c>
      <c r="C132" s="5">
        <v>356</v>
      </c>
      <c r="D132">
        <f t="shared" si="21"/>
        <v>348.125</v>
      </c>
      <c r="E132">
        <f t="shared" si="22"/>
        <v>1.0226211849192099</v>
      </c>
      <c r="F132" t="str">
        <f t="shared" si="24"/>
        <v/>
      </c>
      <c r="G132" t="str">
        <f t="shared" si="26"/>
        <v/>
      </c>
      <c r="H132" t="str">
        <f t="shared" si="26"/>
        <v/>
      </c>
      <c r="I132" t="str">
        <f t="shared" si="26"/>
        <v/>
      </c>
      <c r="J132" t="str">
        <f t="shared" si="26"/>
        <v/>
      </c>
      <c r="K132" t="str">
        <f t="shared" si="26"/>
        <v/>
      </c>
      <c r="L132" t="str">
        <f t="shared" si="26"/>
        <v/>
      </c>
      <c r="M132" t="str">
        <f t="shared" si="26"/>
        <v/>
      </c>
      <c r="N132" t="str">
        <f t="shared" si="26"/>
        <v/>
      </c>
      <c r="O132">
        <f t="shared" si="26"/>
        <v>1.0226211849192099</v>
      </c>
      <c r="P132" t="str">
        <f t="shared" si="26"/>
        <v/>
      </c>
      <c r="Q132" t="str">
        <f t="shared" si="26"/>
        <v/>
      </c>
      <c r="R132">
        <f t="shared" si="18"/>
        <v>0.99267321089541272</v>
      </c>
      <c r="S132">
        <f t="shared" si="25"/>
        <v>358.62758870956162</v>
      </c>
      <c r="U132" s="5"/>
    </row>
    <row r="133" spans="1:21" x14ac:dyDescent="0.25">
      <c r="A133" s="8">
        <v>40848</v>
      </c>
      <c r="B133" s="9">
        <f t="shared" si="27"/>
        <v>11</v>
      </c>
      <c r="C133" s="5">
        <v>281</v>
      </c>
      <c r="D133">
        <f t="shared" si="21"/>
        <v>354</v>
      </c>
      <c r="E133">
        <f t="shared" si="22"/>
        <v>0.79378531073446323</v>
      </c>
      <c r="F133" t="str">
        <f t="shared" si="24"/>
        <v/>
      </c>
      <c r="G133" t="str">
        <f t="shared" si="26"/>
        <v/>
      </c>
      <c r="H133" t="str">
        <f t="shared" si="26"/>
        <v/>
      </c>
      <c r="I133" t="str">
        <f t="shared" si="26"/>
        <v/>
      </c>
      <c r="J133" t="str">
        <f t="shared" si="26"/>
        <v/>
      </c>
      <c r="K133" t="str">
        <f t="shared" si="26"/>
        <v/>
      </c>
      <c r="L133" t="str">
        <f t="shared" si="26"/>
        <v/>
      </c>
      <c r="M133" t="str">
        <f t="shared" si="26"/>
        <v/>
      </c>
      <c r="N133" t="str">
        <f t="shared" si="26"/>
        <v/>
      </c>
      <c r="O133" t="str">
        <f t="shared" si="26"/>
        <v/>
      </c>
      <c r="P133">
        <f t="shared" si="26"/>
        <v>0.79378531073446323</v>
      </c>
      <c r="Q133" t="str">
        <f t="shared" si="26"/>
        <v/>
      </c>
      <c r="R133">
        <f t="shared" si="18"/>
        <v>0.91156860894280367</v>
      </c>
      <c r="S133">
        <f t="shared" si="25"/>
        <v>308.25984708478626</v>
      </c>
      <c r="U133" s="5"/>
    </row>
    <row r="134" spans="1:21" x14ac:dyDescent="0.25">
      <c r="A134" s="8">
        <v>40878</v>
      </c>
      <c r="B134" s="9">
        <f t="shared" si="27"/>
        <v>12</v>
      </c>
      <c r="C134" s="5">
        <v>336</v>
      </c>
      <c r="D134">
        <f t="shared" si="21"/>
        <v>359.58333333333331</v>
      </c>
      <c r="E134">
        <f t="shared" si="22"/>
        <v>0.93441483198146003</v>
      </c>
      <c r="F134" t="str">
        <f t="shared" si="24"/>
        <v/>
      </c>
      <c r="G134" t="str">
        <f t="shared" si="26"/>
        <v/>
      </c>
      <c r="H134" t="str">
        <f t="shared" si="26"/>
        <v/>
      </c>
      <c r="I134" t="str">
        <f t="shared" si="26"/>
        <v/>
      </c>
      <c r="J134" t="str">
        <f t="shared" si="26"/>
        <v/>
      </c>
      <c r="K134" t="str">
        <f t="shared" si="26"/>
        <v/>
      </c>
      <c r="L134" t="str">
        <f t="shared" si="26"/>
        <v/>
      </c>
      <c r="M134" t="str">
        <f t="shared" si="26"/>
        <v/>
      </c>
      <c r="N134" t="str">
        <f t="shared" si="26"/>
        <v/>
      </c>
      <c r="O134" t="str">
        <f t="shared" si="26"/>
        <v/>
      </c>
      <c r="P134" t="str">
        <f t="shared" si="26"/>
        <v/>
      </c>
      <c r="Q134">
        <f t="shared" si="26"/>
        <v>0.93441483198146003</v>
      </c>
      <c r="R134">
        <f t="shared" si="18"/>
        <v>0.91458648407659837</v>
      </c>
      <c r="S134">
        <f t="shared" si="25"/>
        <v>367.37914440014765</v>
      </c>
      <c r="U134" s="5"/>
    </row>
    <row r="135" spans="1:21" x14ac:dyDescent="0.25">
      <c r="A135" s="8">
        <v>40909</v>
      </c>
      <c r="B135" s="9">
        <f t="shared" si="27"/>
        <v>1</v>
      </c>
      <c r="C135" s="5">
        <v>323</v>
      </c>
      <c r="D135">
        <f t="shared" si="21"/>
        <v>364</v>
      </c>
      <c r="E135">
        <f t="shared" si="22"/>
        <v>0.88736263736263732</v>
      </c>
      <c r="F135">
        <f t="shared" si="24"/>
        <v>0.88736263736263732</v>
      </c>
      <c r="G135" t="str">
        <f t="shared" si="26"/>
        <v/>
      </c>
      <c r="H135" t="str">
        <f t="shared" si="26"/>
        <v/>
      </c>
      <c r="I135" t="str">
        <f t="shared" si="26"/>
        <v/>
      </c>
      <c r="J135" t="str">
        <f t="shared" si="26"/>
        <v/>
      </c>
      <c r="K135" t="str">
        <f t="shared" si="26"/>
        <v/>
      </c>
      <c r="L135" t="str">
        <f t="shared" si="26"/>
        <v/>
      </c>
      <c r="M135" t="str">
        <f t="shared" si="26"/>
        <v/>
      </c>
      <c r="N135" t="str">
        <f t="shared" si="26"/>
        <v/>
      </c>
      <c r="O135" t="str">
        <f t="shared" si="26"/>
        <v/>
      </c>
      <c r="P135" t="str">
        <f t="shared" si="26"/>
        <v/>
      </c>
      <c r="Q135" t="str">
        <f t="shared" si="26"/>
        <v/>
      </c>
      <c r="R135">
        <f t="shared" si="18"/>
        <v>0.9447245466877463</v>
      </c>
      <c r="S135">
        <f t="shared" si="25"/>
        <v>341.89860010778261</v>
      </c>
      <c r="U135" s="5"/>
    </row>
    <row r="136" spans="1:21" x14ac:dyDescent="0.25">
      <c r="A136" s="8">
        <v>40940</v>
      </c>
      <c r="B136" s="9">
        <f t="shared" si="27"/>
        <v>2</v>
      </c>
      <c r="C136" s="5">
        <v>387</v>
      </c>
      <c r="D136">
        <f t="shared" ref="D136:D148" si="28">(1/12)*( 0.5*C130+SUM(C131:C141)+0.5*C142 )</f>
        <v>371.20833333333331</v>
      </c>
      <c r="E136">
        <f t="shared" ref="E136:E148" si="29">C136/D136</f>
        <v>1.0425412504209226</v>
      </c>
      <c r="F136" t="str">
        <f t="shared" si="24"/>
        <v/>
      </c>
      <c r="G136">
        <f t="shared" si="26"/>
        <v>1.0425412504209226</v>
      </c>
      <c r="H136" t="str">
        <f t="shared" si="26"/>
        <v/>
      </c>
      <c r="I136" t="str">
        <f t="shared" si="26"/>
        <v/>
      </c>
      <c r="J136" t="str">
        <f t="shared" si="26"/>
        <v/>
      </c>
      <c r="K136" t="str">
        <f t="shared" si="26"/>
        <v/>
      </c>
      <c r="L136" t="str">
        <f t="shared" si="26"/>
        <v/>
      </c>
      <c r="M136" t="str">
        <f t="shared" si="26"/>
        <v/>
      </c>
      <c r="N136" t="str">
        <f t="shared" si="26"/>
        <v/>
      </c>
      <c r="O136" t="str">
        <f t="shared" si="26"/>
        <v/>
      </c>
      <c r="P136" t="str">
        <f t="shared" si="26"/>
        <v/>
      </c>
      <c r="Q136" t="str">
        <f t="shared" si="26"/>
        <v/>
      </c>
      <c r="R136">
        <f t="shared" si="18"/>
        <v>0.95740708992609791</v>
      </c>
      <c r="S136">
        <f t="shared" si="25"/>
        <v>404.21676846979739</v>
      </c>
      <c r="U136" s="5"/>
    </row>
    <row r="137" spans="1:21" x14ac:dyDescent="0.25">
      <c r="A137" s="8">
        <v>40969</v>
      </c>
      <c r="B137" s="9">
        <f t="shared" si="27"/>
        <v>3</v>
      </c>
      <c r="C137" s="5">
        <v>392</v>
      </c>
      <c r="D137">
        <f t="shared" si="28"/>
        <v>374.25</v>
      </c>
      <c r="E137">
        <f t="shared" si="29"/>
        <v>1.0474281897127589</v>
      </c>
      <c r="F137" t="str">
        <f t="shared" si="24"/>
        <v/>
      </c>
      <c r="G137" t="str">
        <f t="shared" si="26"/>
        <v/>
      </c>
      <c r="H137">
        <f t="shared" si="26"/>
        <v>1.0474281897127589</v>
      </c>
      <c r="I137" t="str">
        <f t="shared" si="26"/>
        <v/>
      </c>
      <c r="J137" t="str">
        <f t="shared" si="26"/>
        <v/>
      </c>
      <c r="K137" t="str">
        <f t="shared" si="26"/>
        <v/>
      </c>
      <c r="L137" t="str">
        <f t="shared" si="26"/>
        <v/>
      </c>
      <c r="M137" t="str">
        <f t="shared" si="26"/>
        <v/>
      </c>
      <c r="N137" t="str">
        <f t="shared" si="26"/>
        <v/>
      </c>
      <c r="O137" t="str">
        <f t="shared" si="26"/>
        <v/>
      </c>
      <c r="P137" t="str">
        <f t="shared" si="26"/>
        <v/>
      </c>
      <c r="Q137" t="str">
        <f t="shared" si="26"/>
        <v/>
      </c>
      <c r="R137">
        <f t="shared" si="18"/>
        <v>1.0167264528055464</v>
      </c>
      <c r="S137">
        <f t="shared" si="25"/>
        <v>385.55109775920408</v>
      </c>
      <c r="U137" s="5"/>
    </row>
    <row r="138" spans="1:21" x14ac:dyDescent="0.25">
      <c r="A138" s="8">
        <v>41000</v>
      </c>
      <c r="B138" s="9">
        <f t="shared" si="27"/>
        <v>4</v>
      </c>
      <c r="C138" s="5">
        <v>369</v>
      </c>
      <c r="D138">
        <f t="shared" si="28"/>
        <v>373.83333333333331</v>
      </c>
      <c r="E138">
        <f t="shared" si="29"/>
        <v>0.98707088720463665</v>
      </c>
      <c r="F138" t="str">
        <f t="shared" si="24"/>
        <v/>
      </c>
      <c r="G138" t="str">
        <f t="shared" si="26"/>
        <v/>
      </c>
      <c r="H138" t="str">
        <f t="shared" si="26"/>
        <v/>
      </c>
      <c r="I138">
        <f t="shared" si="26"/>
        <v>0.98707088720463665</v>
      </c>
      <c r="J138" t="str">
        <f t="shared" si="26"/>
        <v/>
      </c>
      <c r="K138" t="str">
        <f t="shared" si="26"/>
        <v/>
      </c>
      <c r="L138" t="str">
        <f t="shared" si="26"/>
        <v/>
      </c>
      <c r="M138" t="str">
        <f t="shared" si="26"/>
        <v/>
      </c>
      <c r="N138" t="str">
        <f t="shared" si="26"/>
        <v/>
      </c>
      <c r="O138" t="str">
        <f t="shared" si="26"/>
        <v/>
      </c>
      <c r="P138" t="str">
        <f t="shared" si="26"/>
        <v/>
      </c>
      <c r="Q138" t="str">
        <f t="shared" si="26"/>
        <v/>
      </c>
      <c r="R138">
        <f t="shared" si="18"/>
        <v>1.0806768925923931</v>
      </c>
      <c r="S138">
        <f t="shared" si="25"/>
        <v>341.45266039215522</v>
      </c>
      <c r="U138" s="5"/>
    </row>
    <row r="139" spans="1:21" x14ac:dyDescent="0.25">
      <c r="A139" s="8">
        <v>41030</v>
      </c>
      <c r="B139" s="9">
        <f t="shared" si="27"/>
        <v>5</v>
      </c>
      <c r="C139" s="5">
        <v>415</v>
      </c>
      <c r="D139">
        <f t="shared" si="28"/>
        <v>376.625</v>
      </c>
      <c r="E139">
        <f t="shared" si="29"/>
        <v>1.1018918021905078</v>
      </c>
      <c r="F139" t="str">
        <f t="shared" si="24"/>
        <v/>
      </c>
      <c r="G139" t="str">
        <f t="shared" si="26"/>
        <v/>
      </c>
      <c r="H139" t="str">
        <f t="shared" si="26"/>
        <v/>
      </c>
      <c r="I139" t="str">
        <f t="shared" si="26"/>
        <v/>
      </c>
      <c r="J139">
        <f t="shared" si="26"/>
        <v>1.1018918021905078</v>
      </c>
      <c r="K139" t="str">
        <f t="shared" si="26"/>
        <v/>
      </c>
      <c r="L139" t="str">
        <f t="shared" si="26"/>
        <v/>
      </c>
      <c r="M139" t="str">
        <f t="shared" si="26"/>
        <v/>
      </c>
      <c r="N139" t="str">
        <f t="shared" si="26"/>
        <v/>
      </c>
      <c r="O139" t="str">
        <f t="shared" si="26"/>
        <v/>
      </c>
      <c r="P139" t="str">
        <f t="shared" si="26"/>
        <v/>
      </c>
      <c r="Q139" t="str">
        <f t="shared" si="26"/>
        <v/>
      </c>
      <c r="R139">
        <f t="shared" si="18"/>
        <v>1.0380260515064865</v>
      </c>
      <c r="S139">
        <f t="shared" si="25"/>
        <v>399.79728774408966</v>
      </c>
      <c r="U139" s="5"/>
    </row>
    <row r="140" spans="1:21" x14ac:dyDescent="0.25">
      <c r="A140" s="8">
        <v>41061</v>
      </c>
      <c r="B140" s="9">
        <f t="shared" si="27"/>
        <v>6</v>
      </c>
      <c r="C140" s="5">
        <v>408</v>
      </c>
      <c r="D140">
        <f t="shared" si="28"/>
        <v>380.04166666666663</v>
      </c>
      <c r="E140">
        <f t="shared" si="29"/>
        <v>1.0735664949018748</v>
      </c>
      <c r="F140" t="str">
        <f t="shared" si="24"/>
        <v/>
      </c>
      <c r="G140" t="str">
        <f t="shared" si="26"/>
        <v/>
      </c>
      <c r="H140" t="str">
        <f t="shared" si="26"/>
        <v/>
      </c>
      <c r="I140" t="str">
        <f t="shared" si="26"/>
        <v/>
      </c>
      <c r="J140" t="str">
        <f t="shared" si="26"/>
        <v/>
      </c>
      <c r="K140">
        <f t="shared" si="26"/>
        <v>1.0735664949018748</v>
      </c>
      <c r="L140" t="str">
        <f t="shared" si="26"/>
        <v/>
      </c>
      <c r="M140" t="str">
        <f t="shared" si="26"/>
        <v/>
      </c>
      <c r="N140" t="str">
        <f t="shared" si="26"/>
        <v/>
      </c>
      <c r="O140" t="str">
        <f t="shared" si="26"/>
        <v/>
      </c>
      <c r="P140" t="str">
        <f t="shared" si="26"/>
        <v/>
      </c>
      <c r="Q140" t="str">
        <f t="shared" si="26"/>
        <v/>
      </c>
      <c r="R140">
        <f t="shared" si="18"/>
        <v>1.116110197693907</v>
      </c>
      <c r="S140">
        <f t="shared" si="25"/>
        <v>365.55530165659678</v>
      </c>
      <c r="U140" s="5"/>
    </row>
    <row r="141" spans="1:21" x14ac:dyDescent="0.25">
      <c r="A141" s="8">
        <v>41091</v>
      </c>
      <c r="B141" s="9">
        <f t="shared" si="27"/>
        <v>7</v>
      </c>
      <c r="C141" s="5">
        <v>406</v>
      </c>
      <c r="D141">
        <f t="shared" si="28"/>
        <v>383.45833333333331</v>
      </c>
      <c r="E141">
        <f t="shared" si="29"/>
        <v>1.0587851787460612</v>
      </c>
      <c r="F141" t="str">
        <f t="shared" si="24"/>
        <v/>
      </c>
      <c r="G141" t="str">
        <f t="shared" si="26"/>
        <v/>
      </c>
      <c r="H141" t="str">
        <f t="shared" si="26"/>
        <v/>
      </c>
      <c r="I141" t="str">
        <f t="shared" si="26"/>
        <v/>
      </c>
      <c r="J141" t="str">
        <f t="shared" si="26"/>
        <v/>
      </c>
      <c r="K141" t="str">
        <f t="shared" si="26"/>
        <v/>
      </c>
      <c r="L141">
        <f t="shared" si="26"/>
        <v>1.0587851787460612</v>
      </c>
      <c r="M141" t="str">
        <f t="shared" si="26"/>
        <v/>
      </c>
      <c r="N141" t="str">
        <f t="shared" si="26"/>
        <v/>
      </c>
      <c r="O141" t="str">
        <f t="shared" si="26"/>
        <v/>
      </c>
      <c r="P141" t="str">
        <f t="shared" si="26"/>
        <v/>
      </c>
      <c r="Q141" t="str">
        <f t="shared" si="26"/>
        <v/>
      </c>
      <c r="R141">
        <f t="shared" si="18"/>
        <v>1.0629349580535654</v>
      </c>
      <c r="S141">
        <f t="shared" si="25"/>
        <v>381.96128269547427</v>
      </c>
      <c r="U141" s="5"/>
    </row>
    <row r="142" spans="1:21" x14ac:dyDescent="0.25">
      <c r="A142" s="8">
        <v>41122</v>
      </c>
      <c r="B142" s="9">
        <f t="shared" si="27"/>
        <v>8</v>
      </c>
      <c r="C142" s="5">
        <v>438</v>
      </c>
      <c r="D142">
        <f t="shared" si="28"/>
        <v>386.75</v>
      </c>
      <c r="E142">
        <f t="shared" si="29"/>
        <v>1.1325145442792501</v>
      </c>
      <c r="F142" t="str">
        <f t="shared" si="24"/>
        <v/>
      </c>
      <c r="G142" t="str">
        <f t="shared" si="26"/>
        <v/>
      </c>
      <c r="H142" t="str">
        <f t="shared" si="26"/>
        <v/>
      </c>
      <c r="I142" t="str">
        <f t="shared" si="26"/>
        <v/>
      </c>
      <c r="J142" t="str">
        <f t="shared" si="26"/>
        <v/>
      </c>
      <c r="K142" t="str">
        <f t="shared" si="26"/>
        <v/>
      </c>
      <c r="L142" t="str">
        <f t="shared" si="26"/>
        <v/>
      </c>
      <c r="M142">
        <f t="shared" si="26"/>
        <v>1.1325145442792501</v>
      </c>
      <c r="N142" t="str">
        <f t="shared" si="26"/>
        <v/>
      </c>
      <c r="O142" t="str">
        <f t="shared" si="26"/>
        <v/>
      </c>
      <c r="P142" t="str">
        <f t="shared" si="26"/>
        <v/>
      </c>
      <c r="Q142" t="str">
        <f t="shared" si="26"/>
        <v/>
      </c>
      <c r="R142">
        <f t="shared" si="18"/>
        <v>1.0430405609995839</v>
      </c>
      <c r="S142">
        <f t="shared" si="25"/>
        <v>419.92614321752609</v>
      </c>
      <c r="U142" s="5"/>
    </row>
    <row r="143" spans="1:21" x14ac:dyDescent="0.25">
      <c r="A143" s="8">
        <v>41153</v>
      </c>
      <c r="B143" s="9">
        <f t="shared" si="27"/>
        <v>9</v>
      </c>
      <c r="C143" s="5">
        <v>372</v>
      </c>
      <c r="D143">
        <f t="shared" si="28"/>
        <v>387.75</v>
      </c>
      <c r="E143">
        <f t="shared" si="29"/>
        <v>0.95938104448742745</v>
      </c>
      <c r="F143" t="str">
        <f t="shared" si="24"/>
        <v/>
      </c>
      <c r="G143" t="str">
        <f t="shared" si="26"/>
        <v/>
      </c>
      <c r="H143" t="str">
        <f t="shared" si="26"/>
        <v/>
      </c>
      <c r="I143" t="str">
        <f t="shared" si="26"/>
        <v/>
      </c>
      <c r="J143" t="str">
        <f t="shared" si="26"/>
        <v/>
      </c>
      <c r="K143" t="str">
        <f t="shared" si="26"/>
        <v/>
      </c>
      <c r="L143" t="str">
        <f t="shared" si="26"/>
        <v/>
      </c>
      <c r="M143" t="str">
        <f t="shared" si="26"/>
        <v/>
      </c>
      <c r="N143">
        <f t="shared" si="26"/>
        <v>0.95938104448742745</v>
      </c>
      <c r="O143" t="str">
        <f t="shared" si="26"/>
        <v/>
      </c>
      <c r="P143" t="str">
        <f t="shared" si="26"/>
        <v/>
      </c>
      <c r="Q143" t="str">
        <f t="shared" si="26"/>
        <v/>
      </c>
      <c r="R143">
        <f t="shared" ref="R143:R153" si="30">R131</f>
        <v>0.94657387376024194</v>
      </c>
      <c r="S143">
        <f t="shared" si="25"/>
        <v>392.99626823867317</v>
      </c>
      <c r="U143" s="5"/>
    </row>
    <row r="144" spans="1:21" x14ac:dyDescent="0.25">
      <c r="A144" s="8">
        <v>41183</v>
      </c>
      <c r="B144" s="9">
        <f t="shared" si="27"/>
        <v>10</v>
      </c>
      <c r="C144" s="5">
        <v>362</v>
      </c>
      <c r="D144">
        <f t="shared" si="28"/>
        <v>389.75</v>
      </c>
      <c r="E144">
        <f t="shared" si="29"/>
        <v>0.92880051314945478</v>
      </c>
      <c r="F144" t="str">
        <f t="shared" si="24"/>
        <v/>
      </c>
      <c r="G144" t="str">
        <f t="shared" si="26"/>
        <v/>
      </c>
      <c r="H144" t="str">
        <f t="shared" si="26"/>
        <v/>
      </c>
      <c r="I144" t="str">
        <f t="shared" si="26"/>
        <v/>
      </c>
      <c r="J144" t="str">
        <f t="shared" si="26"/>
        <v/>
      </c>
      <c r="K144" t="str">
        <f t="shared" si="26"/>
        <v/>
      </c>
      <c r="L144" t="str">
        <f t="shared" si="26"/>
        <v/>
      </c>
      <c r="M144" t="str">
        <f t="shared" si="26"/>
        <v/>
      </c>
      <c r="N144" t="str">
        <f t="shared" si="26"/>
        <v/>
      </c>
      <c r="O144">
        <f t="shared" si="26"/>
        <v>0.92880051314945478</v>
      </c>
      <c r="P144" t="str">
        <f t="shared" si="26"/>
        <v/>
      </c>
      <c r="Q144" t="str">
        <f t="shared" si="26"/>
        <v/>
      </c>
      <c r="R144">
        <f t="shared" si="30"/>
        <v>0.99267321089541272</v>
      </c>
      <c r="S144">
        <f t="shared" si="25"/>
        <v>364.67187391253174</v>
      </c>
      <c r="U144" s="5"/>
    </row>
    <row r="145" spans="1:21" x14ac:dyDescent="0.25">
      <c r="A145" s="8">
        <v>41214</v>
      </c>
      <c r="B145" s="9">
        <f t="shared" si="27"/>
        <v>11</v>
      </c>
      <c r="C145" s="5">
        <v>342</v>
      </c>
      <c r="D145">
        <f t="shared" si="28"/>
        <v>392.58333333333331</v>
      </c>
      <c r="E145">
        <f t="shared" si="29"/>
        <v>0.87115262152409256</v>
      </c>
      <c r="F145" t="str">
        <f t="shared" si="24"/>
        <v/>
      </c>
      <c r="G145" t="str">
        <f t="shared" si="26"/>
        <v/>
      </c>
      <c r="H145" t="str">
        <f t="shared" si="26"/>
        <v/>
      </c>
      <c r="I145" t="str">
        <f t="shared" si="26"/>
        <v/>
      </c>
      <c r="J145" t="str">
        <f t="shared" si="26"/>
        <v/>
      </c>
      <c r="K145" t="str">
        <f t="shared" si="26"/>
        <v/>
      </c>
      <c r="L145" t="str">
        <f t="shared" si="26"/>
        <v/>
      </c>
      <c r="M145" t="str">
        <f t="shared" si="26"/>
        <v/>
      </c>
      <c r="N145" t="str">
        <f t="shared" si="26"/>
        <v/>
      </c>
      <c r="O145" t="str">
        <f t="shared" si="26"/>
        <v/>
      </c>
      <c r="P145">
        <f t="shared" si="26"/>
        <v>0.87115262152409256</v>
      </c>
      <c r="Q145" t="str">
        <f t="shared" si="26"/>
        <v/>
      </c>
      <c r="R145">
        <f t="shared" si="30"/>
        <v>0.91156860894280367</v>
      </c>
      <c r="S145">
        <f t="shared" si="25"/>
        <v>375.1774651352203</v>
      </c>
      <c r="U145" s="5"/>
    </row>
    <row r="146" spans="1:21" x14ac:dyDescent="0.25">
      <c r="A146" s="8">
        <v>41244</v>
      </c>
      <c r="B146" s="9">
        <f t="shared" si="27"/>
        <v>12</v>
      </c>
      <c r="C146" s="5">
        <v>357</v>
      </c>
      <c r="D146">
        <f t="shared" si="28"/>
        <v>395</v>
      </c>
      <c r="E146">
        <f t="shared" si="29"/>
        <v>0.90379746835443042</v>
      </c>
      <c r="F146" t="str">
        <f t="shared" si="24"/>
        <v/>
      </c>
      <c r="G146" t="str">
        <f t="shared" si="26"/>
        <v/>
      </c>
      <c r="H146" t="str">
        <f t="shared" si="26"/>
        <v/>
      </c>
      <c r="I146" t="str">
        <f t="shared" si="26"/>
        <v/>
      </c>
      <c r="J146" t="str">
        <f t="shared" si="26"/>
        <v/>
      </c>
      <c r="K146" t="str">
        <f t="shared" si="26"/>
        <v/>
      </c>
      <c r="L146" t="str">
        <f t="shared" si="26"/>
        <v/>
      </c>
      <c r="M146" t="str">
        <f t="shared" si="26"/>
        <v/>
      </c>
      <c r="N146" t="str">
        <f t="shared" si="26"/>
        <v/>
      </c>
      <c r="O146" t="str">
        <f t="shared" si="26"/>
        <v/>
      </c>
      <c r="P146" t="str">
        <f t="shared" si="26"/>
        <v/>
      </c>
      <c r="Q146">
        <f t="shared" si="26"/>
        <v>0.90379746835443042</v>
      </c>
      <c r="R146">
        <f t="shared" si="30"/>
        <v>0.91458648407659837</v>
      </c>
      <c r="S146">
        <f t="shared" si="25"/>
        <v>390.34034092515691</v>
      </c>
      <c r="U146" s="5"/>
    </row>
    <row r="147" spans="1:21" x14ac:dyDescent="0.25">
      <c r="A147" s="8">
        <v>41275</v>
      </c>
      <c r="B147" s="9">
        <f t="shared" si="27"/>
        <v>1</v>
      </c>
      <c r="C147" s="5">
        <v>384</v>
      </c>
      <c r="D147">
        <f t="shared" si="28"/>
        <v>397.33333333333331</v>
      </c>
      <c r="E147">
        <f t="shared" si="29"/>
        <v>0.96644295302013428</v>
      </c>
      <c r="F147">
        <f t="shared" si="24"/>
        <v>0.96644295302013428</v>
      </c>
      <c r="G147" t="str">
        <f t="shared" si="26"/>
        <v/>
      </c>
      <c r="H147" t="str">
        <f t="shared" si="26"/>
        <v/>
      </c>
      <c r="I147" t="str">
        <f t="shared" si="26"/>
        <v/>
      </c>
      <c r="J147" t="str">
        <f t="shared" si="26"/>
        <v/>
      </c>
      <c r="K147" t="str">
        <f t="shared" si="26"/>
        <v/>
      </c>
      <c r="L147" t="str">
        <f t="shared" si="26"/>
        <v/>
      </c>
      <c r="M147" t="str">
        <f t="shared" si="26"/>
        <v/>
      </c>
      <c r="N147" t="str">
        <f t="shared" si="26"/>
        <v/>
      </c>
      <c r="O147" t="str">
        <f t="shared" si="26"/>
        <v/>
      </c>
      <c r="P147" t="str">
        <f t="shared" si="26"/>
        <v/>
      </c>
      <c r="Q147" t="str">
        <f t="shared" si="26"/>
        <v/>
      </c>
      <c r="R147">
        <f t="shared" si="30"/>
        <v>0.9447245466877463</v>
      </c>
      <c r="S147">
        <f t="shared" si="25"/>
        <v>406.46768557705428</v>
      </c>
      <c r="U147" s="5"/>
    </row>
    <row r="148" spans="1:21" x14ac:dyDescent="0.25">
      <c r="A148" s="8">
        <v>41306</v>
      </c>
      <c r="B148" s="9">
        <f t="shared" si="27"/>
        <v>2</v>
      </c>
      <c r="C148" s="5">
        <v>405</v>
      </c>
      <c r="D148">
        <f t="shared" si="28"/>
        <v>396.25</v>
      </c>
      <c r="E148">
        <f t="shared" si="29"/>
        <v>1.0220820189274449</v>
      </c>
      <c r="F148" t="str">
        <f t="shared" si="24"/>
        <v/>
      </c>
      <c r="G148">
        <f t="shared" si="26"/>
        <v>1.0220820189274449</v>
      </c>
      <c r="H148" t="str">
        <f t="shared" si="26"/>
        <v/>
      </c>
      <c r="I148" t="str">
        <f t="shared" si="26"/>
        <v/>
      </c>
      <c r="J148" t="str">
        <f t="shared" si="26"/>
        <v/>
      </c>
      <c r="K148" t="str">
        <f t="shared" si="26"/>
        <v/>
      </c>
      <c r="L148" t="str">
        <f t="shared" si="26"/>
        <v/>
      </c>
      <c r="M148" t="str">
        <f t="shared" si="26"/>
        <v/>
      </c>
      <c r="N148" t="str">
        <f t="shared" si="26"/>
        <v/>
      </c>
      <c r="O148" t="str">
        <f t="shared" si="26"/>
        <v/>
      </c>
      <c r="P148" t="str">
        <f t="shared" si="26"/>
        <v/>
      </c>
      <c r="Q148" t="str">
        <f t="shared" si="26"/>
        <v/>
      </c>
      <c r="R148">
        <f t="shared" si="30"/>
        <v>0.95740708992609791</v>
      </c>
      <c r="S148">
        <f t="shared" si="25"/>
        <v>423.01754839862519</v>
      </c>
      <c r="U148" s="5"/>
    </row>
    <row r="149" spans="1:21" x14ac:dyDescent="0.25">
      <c r="A149" s="8">
        <v>41334</v>
      </c>
      <c r="B149" s="9">
        <f t="shared" si="27"/>
        <v>3</v>
      </c>
      <c r="C149" s="5">
        <v>398</v>
      </c>
      <c r="R149">
        <f t="shared" si="30"/>
        <v>1.0167264528055464</v>
      </c>
      <c r="S149">
        <f t="shared" si="25"/>
        <v>391.45239007184495</v>
      </c>
      <c r="U149" s="5"/>
    </row>
    <row r="150" spans="1:21" x14ac:dyDescent="0.25">
      <c r="A150" s="8">
        <v>41365</v>
      </c>
      <c r="B150" s="9">
        <f t="shared" si="27"/>
        <v>4</v>
      </c>
      <c r="C150" s="5">
        <v>411</v>
      </c>
      <c r="R150">
        <f t="shared" si="30"/>
        <v>1.0806768925923931</v>
      </c>
      <c r="S150">
        <f t="shared" si="25"/>
        <v>380.31719084329484</v>
      </c>
      <c r="U150" s="5"/>
    </row>
    <row r="151" spans="1:21" x14ac:dyDescent="0.25">
      <c r="A151" s="8">
        <v>41395</v>
      </c>
      <c r="B151" s="9">
        <f t="shared" si="27"/>
        <v>5</v>
      </c>
      <c r="C151" s="5">
        <v>441</v>
      </c>
      <c r="R151">
        <f t="shared" si="30"/>
        <v>1.0380260515064865</v>
      </c>
      <c r="S151">
        <f t="shared" si="25"/>
        <v>424.84482866299646</v>
      </c>
      <c r="U151" s="5"/>
    </row>
    <row r="152" spans="1:21" x14ac:dyDescent="0.25">
      <c r="A152" s="8">
        <v>41426</v>
      </c>
      <c r="B152" s="9">
        <f t="shared" si="27"/>
        <v>6</v>
      </c>
      <c r="C152" s="5">
        <v>440</v>
      </c>
      <c r="R152">
        <f t="shared" si="30"/>
        <v>1.116110197693907</v>
      </c>
      <c r="S152">
        <f t="shared" si="25"/>
        <v>394.22630570809451</v>
      </c>
      <c r="U152" s="5"/>
    </row>
    <row r="153" spans="1:21" x14ac:dyDescent="0.25">
      <c r="A153" s="8">
        <v>41456</v>
      </c>
      <c r="B153" s="9">
        <f t="shared" si="27"/>
        <v>7</v>
      </c>
      <c r="C153" s="5">
        <v>430</v>
      </c>
      <c r="R153">
        <f t="shared" si="30"/>
        <v>1.0629349580535654</v>
      </c>
      <c r="S153">
        <f t="shared" si="25"/>
        <v>404.54027477599493</v>
      </c>
      <c r="U153" s="5"/>
    </row>
    <row r="154" spans="1:21" x14ac:dyDescent="0.25">
      <c r="A154" s="8">
        <v>41487</v>
      </c>
      <c r="B154" s="9">
        <f t="shared" si="27"/>
        <v>8</v>
      </c>
      <c r="C154" s="5">
        <v>388</v>
      </c>
      <c r="R154">
        <f>R142</f>
        <v>1.0430405609995839</v>
      </c>
      <c r="S154">
        <f t="shared" si="25"/>
        <v>371.98936887762585</v>
      </c>
      <c r="U154" s="5"/>
    </row>
    <row r="155" spans="1:21" x14ac:dyDescent="0.25">
      <c r="F155">
        <f t="shared" ref="F155:Q155" si="31">AVERAGE(F8:F154)</f>
        <v>0.94211101526456498</v>
      </c>
      <c r="G155">
        <f t="shared" si="31"/>
        <v>0.95475847290532567</v>
      </c>
      <c r="H155">
        <f t="shared" si="31"/>
        <v>1.0139137318462959</v>
      </c>
      <c r="I155">
        <f t="shared" si="31"/>
        <v>1.0776872560607726</v>
      </c>
      <c r="J155">
        <f t="shared" si="31"/>
        <v>1.0351544063129698</v>
      </c>
      <c r="K155">
        <f t="shared" si="31"/>
        <v>1.1130225367628628</v>
      </c>
      <c r="L155">
        <f t="shared" si="31"/>
        <v>1.0599944036629647</v>
      </c>
      <c r="M155">
        <f t="shared" si="31"/>
        <v>1.0401550434258289</v>
      </c>
      <c r="N155">
        <f t="shared" si="31"/>
        <v>0.94395522626970241</v>
      </c>
      <c r="O155">
        <f t="shared" si="31"/>
        <v>0.98992703198144083</v>
      </c>
      <c r="P155">
        <f t="shared" si="31"/>
        <v>0.90904680170045926</v>
      </c>
      <c r="Q155">
        <f t="shared" si="31"/>
        <v>0.91205632803933689</v>
      </c>
    </row>
    <row r="156" spans="1:21" x14ac:dyDescent="0.25">
      <c r="F156" s="10">
        <f>F155/ (PRODUCT($F$155:$Q$155)^(1/12))</f>
        <v>0.9447245466877463</v>
      </c>
      <c r="G156" s="10">
        <f t="shared" ref="G156:Q156" si="32">G155/ (PRODUCT($F$155:$Q$155)^(1/12))</f>
        <v>0.95740708992609791</v>
      </c>
      <c r="H156" s="10">
        <f t="shared" si="32"/>
        <v>1.0167264528055464</v>
      </c>
      <c r="I156" s="10">
        <f t="shared" si="32"/>
        <v>1.0806768925923931</v>
      </c>
      <c r="J156" s="10">
        <f t="shared" si="32"/>
        <v>1.0380260515064865</v>
      </c>
      <c r="K156" s="10">
        <f t="shared" si="32"/>
        <v>1.116110197693907</v>
      </c>
      <c r="L156" s="10">
        <f t="shared" si="32"/>
        <v>1.0629349580535654</v>
      </c>
      <c r="M156" s="10">
        <f t="shared" si="32"/>
        <v>1.0430405609995839</v>
      </c>
      <c r="N156" s="10">
        <f t="shared" si="32"/>
        <v>0.94657387376024194</v>
      </c>
      <c r="O156" s="10">
        <f t="shared" si="32"/>
        <v>0.99267321089541272</v>
      </c>
      <c r="P156" s="10">
        <f t="shared" si="32"/>
        <v>0.91156860894280367</v>
      </c>
      <c r="Q156" s="10">
        <f t="shared" si="32"/>
        <v>0.91458648407659837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Charts</vt:lpstr>
      </vt:variant>
      <vt:variant>
        <vt:i4>2</vt:i4>
      </vt:variant>
    </vt:vector>
  </HeadingPairs>
  <TitlesOfParts>
    <vt:vector size="16" baseType="lpstr">
      <vt:lpstr>README</vt:lpstr>
      <vt:lpstr>Download aggregate </vt:lpstr>
      <vt:lpstr>Downloaded industry JOLTS</vt:lpstr>
      <vt:lpstr>JOLTS SA Monthly</vt:lpstr>
      <vt:lpstr>Compare sa jolts</vt:lpstr>
      <vt:lpstr>Download industry CPS</vt:lpstr>
      <vt:lpstr>Cleaning CPS</vt:lpstr>
      <vt:lpstr>CPS NSA</vt:lpstr>
      <vt:lpstr>CPS SA Monthly</vt:lpstr>
      <vt:lpstr>All SA qtly</vt:lpstr>
      <vt:lpstr>Decomp</vt:lpstr>
      <vt:lpstr>Compare aggregates</vt:lpstr>
      <vt:lpstr>cps sa</vt:lpstr>
      <vt:lpstr>jolts sa</vt:lpstr>
      <vt:lpstr>Fig 11A</vt:lpstr>
      <vt:lpstr>Fig 11B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rmikes</dc:creator>
  <cp:lastModifiedBy>Mike ELSBY </cp:lastModifiedBy>
  <dcterms:created xsi:type="dcterms:W3CDTF">2013-11-09T04:27:01Z</dcterms:created>
  <dcterms:modified xsi:type="dcterms:W3CDTF">2014-06-09T12:06:55Z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</Properties>
</file>