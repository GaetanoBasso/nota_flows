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A:\pubblicazioni\RelazioneAnnuale\sul_2025\capitolo_7_lavoro\PROG\Elsby-Michaels-Ratner-Replication-Files\Elsby-Michaels-Ratner-Replication-Files\"/>
    </mc:Choice>
  </mc:AlternateContent>
  <xr:revisionPtr revIDLastSave="0" documentId="13_ncr:1_{B05EB9C7-D667-4C51-8C17-618B3A30031B}" xr6:coauthVersionLast="47" xr6:coauthVersionMax="47" xr10:uidLastSave="{00000000-0000-0000-0000-000000000000}"/>
  <bookViews>
    <workbookView xWindow="-120" yWindow="-120" windowWidth="29040" windowHeight="17520" tabRatio="920" firstSheet="2" activeTab="9" xr2:uid="{00000000-000D-0000-FFFF-FFFF00000000}"/>
  </bookViews>
  <sheets>
    <sheet name="raw CPS data" sheetId="1" r:id="rId1"/>
    <sheet name="raw JOLTS data" sheetId="4" r:id="rId2"/>
    <sheet name="2-state flows" sheetId="2" r:id="rId3"/>
    <sheet name="DFH" sheetId="17" r:id="rId4"/>
    <sheet name="Beveridge curve" sheetId="3" r:id="rId5"/>
    <sheet name="Chart - Inflow rate" sheetId="16" r:id="rId6"/>
    <sheet name="Chart - Outflow rate &amp; implied" sheetId="24" r:id="rId7"/>
    <sheet name="Chart - Filling rate &amp; implied" sheetId="21" r:id="rId8"/>
    <sheet name="Composite HWI" sheetId="9" r:id="rId9"/>
    <sheet name="BC composite HWI" sheetId="10" r:id="rId10"/>
    <sheet name="Chart - HWI Actual BC" sheetId="12" r:id="rId11"/>
    <sheet name="Chart - HWI Counterfactual BC" sheetId="14" r:id="rId12"/>
  </sheets>
  <definedNames>
    <definedName name="solver_adj" localSheetId="2" hidden="1">'2-state flows'!$H$700:$H$788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'2-state flows'!$K$791</definedName>
    <definedName name="solver_pre" localSheetId="2" hidden="1">0.000001</definedName>
    <definedName name="solver_rbv" localSheetId="2" hidden="1">2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6" i="10" l="1"/>
  <c r="J4" i="10"/>
  <c r="L4" i="10"/>
  <c r="M4" i="10"/>
  <c r="I760" i="10"/>
  <c r="U4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B1" i="10"/>
  <c r="C1" i="10"/>
  <c r="D1" i="10"/>
  <c r="E1" i="10"/>
  <c r="F1" i="10"/>
  <c r="G1" i="10"/>
  <c r="H1" i="10"/>
  <c r="I1" i="10"/>
  <c r="J1" i="10"/>
  <c r="K1" i="10"/>
  <c r="L1" i="10"/>
  <c r="M1" i="10"/>
  <c r="N1" i="10"/>
  <c r="O1" i="10"/>
  <c r="P1" i="10"/>
  <c r="Q1" i="10"/>
  <c r="R1" i="10"/>
  <c r="AB1" i="10"/>
  <c r="D42" i="10"/>
  <c r="B42" i="10"/>
  <c r="F42" i="10"/>
  <c r="I40" i="10"/>
  <c r="I39" i="10"/>
  <c r="J40" i="10"/>
  <c r="L40" i="10"/>
  <c r="I41" i="10"/>
  <c r="J41" i="10"/>
  <c r="L41" i="10"/>
  <c r="I42" i="10"/>
  <c r="J42" i="10"/>
  <c r="L42" i="10"/>
  <c r="M42" i="10"/>
  <c r="D43" i="10"/>
  <c r="B43" i="10"/>
  <c r="F43" i="10"/>
  <c r="I43" i="10"/>
  <c r="J43" i="10"/>
  <c r="L43" i="10"/>
  <c r="M43" i="10"/>
  <c r="D44" i="10"/>
  <c r="B44" i="10"/>
  <c r="F44" i="10"/>
  <c r="I44" i="10"/>
  <c r="J44" i="10"/>
  <c r="L44" i="10"/>
  <c r="M44" i="10"/>
  <c r="R44" i="10"/>
  <c r="AB4" i="10"/>
  <c r="U5" i="10"/>
  <c r="D45" i="10"/>
  <c r="B45" i="10"/>
  <c r="F45" i="10"/>
  <c r="I45" i="10"/>
  <c r="J45" i="10"/>
  <c r="L45" i="10"/>
  <c r="M45" i="10"/>
  <c r="D46" i="10"/>
  <c r="B46" i="10"/>
  <c r="F46" i="10"/>
  <c r="I46" i="10"/>
  <c r="J46" i="10"/>
  <c r="L46" i="10"/>
  <c r="M46" i="10"/>
  <c r="D47" i="10"/>
  <c r="B47" i="10"/>
  <c r="F47" i="10"/>
  <c r="I47" i="10"/>
  <c r="J47" i="10"/>
  <c r="L47" i="10"/>
  <c r="M47" i="10"/>
  <c r="R47" i="10"/>
  <c r="AB5" i="10"/>
  <c r="U6" i="10"/>
  <c r="D48" i="10"/>
  <c r="B48" i="10"/>
  <c r="F48" i="10"/>
  <c r="I48" i="10"/>
  <c r="J48" i="10"/>
  <c r="L48" i="10"/>
  <c r="M48" i="10"/>
  <c r="D49" i="10"/>
  <c r="B49" i="10"/>
  <c r="F49" i="10"/>
  <c r="I49" i="10"/>
  <c r="J49" i="10"/>
  <c r="L49" i="10"/>
  <c r="M49" i="10"/>
  <c r="D50" i="10"/>
  <c r="B50" i="10"/>
  <c r="F50" i="10"/>
  <c r="I50" i="10"/>
  <c r="J50" i="10"/>
  <c r="L50" i="10"/>
  <c r="M50" i="10"/>
  <c r="R50" i="10"/>
  <c r="AB6" i="10"/>
  <c r="U7" i="10"/>
  <c r="D51" i="10"/>
  <c r="B51" i="10"/>
  <c r="F51" i="10"/>
  <c r="I51" i="10"/>
  <c r="J51" i="10"/>
  <c r="L51" i="10"/>
  <c r="M51" i="10"/>
  <c r="D52" i="10"/>
  <c r="B52" i="10"/>
  <c r="F52" i="10"/>
  <c r="I52" i="10"/>
  <c r="J52" i="10"/>
  <c r="L52" i="10"/>
  <c r="M52" i="10"/>
  <c r="D53" i="10"/>
  <c r="B53" i="10"/>
  <c r="F53" i="10"/>
  <c r="I53" i="10"/>
  <c r="J53" i="10"/>
  <c r="L53" i="10"/>
  <c r="M53" i="10"/>
  <c r="R53" i="10"/>
  <c r="AB7" i="10"/>
  <c r="U8" i="10"/>
  <c r="D54" i="10"/>
  <c r="B54" i="10"/>
  <c r="F54" i="10"/>
  <c r="I54" i="10"/>
  <c r="J54" i="10"/>
  <c r="L54" i="10"/>
  <c r="M54" i="10"/>
  <c r="D55" i="10"/>
  <c r="B55" i="10"/>
  <c r="F55" i="10"/>
  <c r="I55" i="10"/>
  <c r="J55" i="10"/>
  <c r="L55" i="10"/>
  <c r="M55" i="10"/>
  <c r="D56" i="10"/>
  <c r="B56" i="10"/>
  <c r="F56" i="10"/>
  <c r="I56" i="10"/>
  <c r="J56" i="10"/>
  <c r="L56" i="10"/>
  <c r="M56" i="10"/>
  <c r="R56" i="10"/>
  <c r="AB8" i="10"/>
  <c r="U9" i="10"/>
  <c r="D57" i="10"/>
  <c r="B57" i="10"/>
  <c r="F57" i="10"/>
  <c r="I57" i="10"/>
  <c r="J57" i="10"/>
  <c r="L57" i="10"/>
  <c r="M57" i="10"/>
  <c r="D58" i="10"/>
  <c r="B58" i="10"/>
  <c r="F58" i="10"/>
  <c r="I58" i="10"/>
  <c r="J58" i="10"/>
  <c r="L58" i="10"/>
  <c r="M58" i="10"/>
  <c r="D59" i="10"/>
  <c r="B59" i="10"/>
  <c r="F59" i="10"/>
  <c r="I59" i="10"/>
  <c r="J59" i="10"/>
  <c r="L59" i="10"/>
  <c r="M59" i="10"/>
  <c r="R59" i="10"/>
  <c r="AB9" i="10"/>
  <c r="U10" i="10"/>
  <c r="D60" i="10"/>
  <c r="B60" i="10"/>
  <c r="F60" i="10"/>
  <c r="I60" i="10"/>
  <c r="J60" i="10"/>
  <c r="L60" i="10"/>
  <c r="M60" i="10"/>
  <c r="D61" i="10"/>
  <c r="B61" i="10"/>
  <c r="F61" i="10"/>
  <c r="I61" i="10"/>
  <c r="J61" i="10"/>
  <c r="L61" i="10"/>
  <c r="M61" i="10"/>
  <c r="D62" i="10"/>
  <c r="B62" i="10"/>
  <c r="F62" i="10"/>
  <c r="I62" i="10"/>
  <c r="J62" i="10"/>
  <c r="L62" i="10"/>
  <c r="M62" i="10"/>
  <c r="R62" i="10"/>
  <c r="AB10" i="10"/>
  <c r="U11" i="10"/>
  <c r="D63" i="10"/>
  <c r="B63" i="10"/>
  <c r="F63" i="10"/>
  <c r="I63" i="10"/>
  <c r="J63" i="10"/>
  <c r="L63" i="10"/>
  <c r="M63" i="10"/>
  <c r="D64" i="10"/>
  <c r="B64" i="10"/>
  <c r="F64" i="10"/>
  <c r="I64" i="10"/>
  <c r="J64" i="10"/>
  <c r="L64" i="10"/>
  <c r="M64" i="10"/>
  <c r="D65" i="10"/>
  <c r="B65" i="10"/>
  <c r="F65" i="10"/>
  <c r="I65" i="10"/>
  <c r="J65" i="10"/>
  <c r="L65" i="10"/>
  <c r="M65" i="10"/>
  <c r="R65" i="10"/>
  <c r="AB11" i="10"/>
  <c r="U12" i="10"/>
  <c r="D66" i="10"/>
  <c r="B66" i="10"/>
  <c r="F66" i="10"/>
  <c r="I66" i="10"/>
  <c r="J66" i="10"/>
  <c r="L66" i="10"/>
  <c r="M66" i="10"/>
  <c r="D67" i="10"/>
  <c r="B67" i="10"/>
  <c r="F67" i="10"/>
  <c r="I67" i="10"/>
  <c r="J67" i="10"/>
  <c r="L67" i="10"/>
  <c r="M67" i="10"/>
  <c r="D68" i="10"/>
  <c r="B68" i="10"/>
  <c r="F68" i="10"/>
  <c r="I68" i="10"/>
  <c r="J68" i="10"/>
  <c r="L68" i="10"/>
  <c r="M68" i="10"/>
  <c r="R68" i="10"/>
  <c r="AB12" i="10"/>
  <c r="U13" i="10"/>
  <c r="D69" i="10"/>
  <c r="B69" i="10"/>
  <c r="F69" i="10"/>
  <c r="I69" i="10"/>
  <c r="J69" i="10"/>
  <c r="L69" i="10"/>
  <c r="M69" i="10"/>
  <c r="D70" i="10"/>
  <c r="B70" i="10"/>
  <c r="F70" i="10"/>
  <c r="I70" i="10"/>
  <c r="J70" i="10"/>
  <c r="L70" i="10"/>
  <c r="M70" i="10"/>
  <c r="D71" i="10"/>
  <c r="B71" i="10"/>
  <c r="F71" i="10"/>
  <c r="I71" i="10"/>
  <c r="J71" i="10"/>
  <c r="L71" i="10"/>
  <c r="M71" i="10"/>
  <c r="R71" i="10"/>
  <c r="AB13" i="10"/>
  <c r="U14" i="10"/>
  <c r="D72" i="10"/>
  <c r="B72" i="10"/>
  <c r="F72" i="10"/>
  <c r="I72" i="10"/>
  <c r="J72" i="10"/>
  <c r="L72" i="10"/>
  <c r="M72" i="10"/>
  <c r="D73" i="10"/>
  <c r="B73" i="10"/>
  <c r="F73" i="10"/>
  <c r="I73" i="10"/>
  <c r="J73" i="10"/>
  <c r="L73" i="10"/>
  <c r="M73" i="10"/>
  <c r="D74" i="10"/>
  <c r="B74" i="10"/>
  <c r="F74" i="10"/>
  <c r="I74" i="10"/>
  <c r="J74" i="10"/>
  <c r="L74" i="10"/>
  <c r="M74" i="10"/>
  <c r="R74" i="10"/>
  <c r="AB14" i="10"/>
  <c r="U15" i="10"/>
  <c r="D75" i="10"/>
  <c r="B75" i="10"/>
  <c r="F75" i="10"/>
  <c r="I75" i="10"/>
  <c r="J75" i="10"/>
  <c r="L75" i="10"/>
  <c r="M75" i="10"/>
  <c r="D76" i="10"/>
  <c r="B76" i="10"/>
  <c r="F76" i="10"/>
  <c r="I76" i="10"/>
  <c r="J76" i="10"/>
  <c r="L76" i="10"/>
  <c r="M76" i="10"/>
  <c r="D77" i="10"/>
  <c r="B77" i="10"/>
  <c r="F77" i="10"/>
  <c r="I77" i="10"/>
  <c r="J77" i="10"/>
  <c r="L77" i="10"/>
  <c r="M77" i="10"/>
  <c r="R77" i="10"/>
  <c r="AB15" i="10"/>
  <c r="U16" i="10"/>
  <c r="D78" i="10"/>
  <c r="B78" i="10"/>
  <c r="F78" i="10"/>
  <c r="I78" i="10"/>
  <c r="J78" i="10"/>
  <c r="L78" i="10"/>
  <c r="M78" i="10"/>
  <c r="D79" i="10"/>
  <c r="B79" i="10"/>
  <c r="F79" i="10"/>
  <c r="I79" i="10"/>
  <c r="J79" i="10"/>
  <c r="L79" i="10"/>
  <c r="M79" i="10"/>
  <c r="D80" i="10"/>
  <c r="B80" i="10"/>
  <c r="F80" i="10"/>
  <c r="I80" i="10"/>
  <c r="J80" i="10"/>
  <c r="L80" i="10"/>
  <c r="M80" i="10"/>
  <c r="R80" i="10"/>
  <c r="AB16" i="10"/>
  <c r="U17" i="10"/>
  <c r="D81" i="10"/>
  <c r="B81" i="10"/>
  <c r="F81" i="10"/>
  <c r="I81" i="10"/>
  <c r="J81" i="10"/>
  <c r="L81" i="10"/>
  <c r="M81" i="10"/>
  <c r="D82" i="10"/>
  <c r="B82" i="10"/>
  <c r="F82" i="10"/>
  <c r="I82" i="10"/>
  <c r="J82" i="10"/>
  <c r="L82" i="10"/>
  <c r="M82" i="10"/>
  <c r="D83" i="10"/>
  <c r="B83" i="10"/>
  <c r="F83" i="10"/>
  <c r="I83" i="10"/>
  <c r="J83" i="10"/>
  <c r="L83" i="10"/>
  <c r="M83" i="10"/>
  <c r="R83" i="10"/>
  <c r="AB17" i="10"/>
  <c r="U18" i="10"/>
  <c r="D84" i="10"/>
  <c r="B84" i="10"/>
  <c r="F84" i="10"/>
  <c r="I84" i="10"/>
  <c r="J84" i="10"/>
  <c r="L84" i="10"/>
  <c r="M84" i="10"/>
  <c r="D85" i="10"/>
  <c r="B85" i="10"/>
  <c r="F85" i="10"/>
  <c r="I85" i="10"/>
  <c r="J85" i="10"/>
  <c r="L85" i="10"/>
  <c r="M85" i="10"/>
  <c r="D86" i="10"/>
  <c r="B86" i="10"/>
  <c r="F86" i="10"/>
  <c r="I86" i="10"/>
  <c r="J86" i="10"/>
  <c r="L86" i="10"/>
  <c r="M86" i="10"/>
  <c r="R86" i="10"/>
  <c r="AB18" i="10"/>
  <c r="U19" i="10"/>
  <c r="D87" i="10"/>
  <c r="B87" i="10"/>
  <c r="F87" i="10"/>
  <c r="I87" i="10"/>
  <c r="J87" i="10"/>
  <c r="L87" i="10"/>
  <c r="M87" i="10"/>
  <c r="D88" i="10"/>
  <c r="B88" i="10"/>
  <c r="F88" i="10"/>
  <c r="I88" i="10"/>
  <c r="J88" i="10"/>
  <c r="L88" i="10"/>
  <c r="M88" i="10"/>
  <c r="D89" i="10"/>
  <c r="B89" i="10"/>
  <c r="F89" i="10"/>
  <c r="I89" i="10"/>
  <c r="J89" i="10"/>
  <c r="L89" i="10"/>
  <c r="M89" i="10"/>
  <c r="R89" i="10"/>
  <c r="AB19" i="10"/>
  <c r="U20" i="10"/>
  <c r="D90" i="10"/>
  <c r="B90" i="10"/>
  <c r="F90" i="10"/>
  <c r="I90" i="10"/>
  <c r="J90" i="10"/>
  <c r="L90" i="10"/>
  <c r="M90" i="10"/>
  <c r="D91" i="10"/>
  <c r="B91" i="10"/>
  <c r="F91" i="10"/>
  <c r="I91" i="10"/>
  <c r="J91" i="10"/>
  <c r="L91" i="10"/>
  <c r="M91" i="10"/>
  <c r="D92" i="10"/>
  <c r="B92" i="10"/>
  <c r="F92" i="10"/>
  <c r="I92" i="10"/>
  <c r="J92" i="10"/>
  <c r="L92" i="10"/>
  <c r="M92" i="10"/>
  <c r="R92" i="10"/>
  <c r="AB20" i="10"/>
  <c r="U21" i="10"/>
  <c r="D93" i="10"/>
  <c r="B93" i="10"/>
  <c r="F93" i="10"/>
  <c r="I93" i="10"/>
  <c r="J93" i="10"/>
  <c r="L93" i="10"/>
  <c r="M93" i="10"/>
  <c r="D94" i="10"/>
  <c r="B94" i="10"/>
  <c r="F94" i="10"/>
  <c r="I94" i="10"/>
  <c r="J94" i="10"/>
  <c r="L94" i="10"/>
  <c r="M94" i="10"/>
  <c r="D95" i="10"/>
  <c r="B95" i="10"/>
  <c r="F95" i="10"/>
  <c r="I95" i="10"/>
  <c r="J95" i="10"/>
  <c r="L95" i="10"/>
  <c r="M95" i="10"/>
  <c r="R95" i="10"/>
  <c r="AB21" i="10"/>
  <c r="U22" i="10"/>
  <c r="D96" i="10"/>
  <c r="B96" i="10"/>
  <c r="F96" i="10"/>
  <c r="I96" i="10"/>
  <c r="J96" i="10"/>
  <c r="L96" i="10"/>
  <c r="M96" i="10"/>
  <c r="D97" i="10"/>
  <c r="B97" i="10"/>
  <c r="F97" i="10"/>
  <c r="I97" i="10"/>
  <c r="J97" i="10"/>
  <c r="L97" i="10"/>
  <c r="M97" i="10"/>
  <c r="D98" i="10"/>
  <c r="B98" i="10"/>
  <c r="F98" i="10"/>
  <c r="I98" i="10"/>
  <c r="J98" i="10"/>
  <c r="L98" i="10"/>
  <c r="M98" i="10"/>
  <c r="R98" i="10"/>
  <c r="AB22" i="10"/>
  <c r="U23" i="10"/>
  <c r="D99" i="10"/>
  <c r="B99" i="10"/>
  <c r="F99" i="10"/>
  <c r="I99" i="10"/>
  <c r="J99" i="10"/>
  <c r="L99" i="10"/>
  <c r="M99" i="10"/>
  <c r="D100" i="10"/>
  <c r="B100" i="10"/>
  <c r="F100" i="10"/>
  <c r="I100" i="10"/>
  <c r="J100" i="10"/>
  <c r="L100" i="10"/>
  <c r="M100" i="10"/>
  <c r="D101" i="10"/>
  <c r="B101" i="10"/>
  <c r="F101" i="10"/>
  <c r="I101" i="10"/>
  <c r="J101" i="10"/>
  <c r="L101" i="10"/>
  <c r="M101" i="10"/>
  <c r="R101" i="10"/>
  <c r="AB23" i="10"/>
  <c r="U24" i="10"/>
  <c r="D102" i="10"/>
  <c r="B102" i="10"/>
  <c r="F102" i="10"/>
  <c r="I102" i="10"/>
  <c r="J102" i="10"/>
  <c r="L102" i="10"/>
  <c r="M102" i="10"/>
  <c r="D103" i="10"/>
  <c r="B103" i="10"/>
  <c r="F103" i="10"/>
  <c r="I103" i="10"/>
  <c r="J103" i="10"/>
  <c r="L103" i="10"/>
  <c r="M103" i="10"/>
  <c r="D104" i="10"/>
  <c r="B104" i="10"/>
  <c r="F104" i="10"/>
  <c r="I104" i="10"/>
  <c r="J104" i="10"/>
  <c r="L104" i="10"/>
  <c r="M104" i="10"/>
  <c r="R104" i="10"/>
  <c r="AB24" i="10"/>
  <c r="U25" i="10"/>
  <c r="D105" i="10"/>
  <c r="B105" i="10"/>
  <c r="F105" i="10"/>
  <c r="I105" i="10"/>
  <c r="J105" i="10"/>
  <c r="L105" i="10"/>
  <c r="M105" i="10"/>
  <c r="D106" i="10"/>
  <c r="B106" i="10"/>
  <c r="F106" i="10"/>
  <c r="I106" i="10"/>
  <c r="J106" i="10"/>
  <c r="L106" i="10"/>
  <c r="M106" i="10"/>
  <c r="D107" i="10"/>
  <c r="B107" i="10"/>
  <c r="F107" i="10"/>
  <c r="I107" i="10"/>
  <c r="J107" i="10"/>
  <c r="L107" i="10"/>
  <c r="M107" i="10"/>
  <c r="R107" i="10"/>
  <c r="AB25" i="10"/>
  <c r="U26" i="10"/>
  <c r="D108" i="10"/>
  <c r="B108" i="10"/>
  <c r="F108" i="10"/>
  <c r="I108" i="10"/>
  <c r="J108" i="10"/>
  <c r="L108" i="10"/>
  <c r="M108" i="10"/>
  <c r="D109" i="10"/>
  <c r="B109" i="10"/>
  <c r="F109" i="10"/>
  <c r="I109" i="10"/>
  <c r="J109" i="10"/>
  <c r="L109" i="10"/>
  <c r="M109" i="10"/>
  <c r="D110" i="10"/>
  <c r="B110" i="10"/>
  <c r="F110" i="10"/>
  <c r="I110" i="10"/>
  <c r="J110" i="10"/>
  <c r="L110" i="10"/>
  <c r="M110" i="10"/>
  <c r="R110" i="10"/>
  <c r="AB26" i="10"/>
  <c r="U27" i="10"/>
  <c r="D111" i="10"/>
  <c r="B111" i="10"/>
  <c r="F111" i="10"/>
  <c r="I111" i="10"/>
  <c r="J111" i="10"/>
  <c r="L111" i="10"/>
  <c r="M111" i="10"/>
  <c r="D112" i="10"/>
  <c r="B112" i="10"/>
  <c r="F112" i="10"/>
  <c r="I112" i="10"/>
  <c r="J112" i="10"/>
  <c r="L112" i="10"/>
  <c r="M112" i="10"/>
  <c r="D113" i="10"/>
  <c r="B113" i="10"/>
  <c r="F113" i="10"/>
  <c r="I113" i="10"/>
  <c r="J113" i="10"/>
  <c r="L113" i="10"/>
  <c r="M113" i="10"/>
  <c r="R113" i="10"/>
  <c r="AB27" i="10"/>
  <c r="U28" i="10"/>
  <c r="D114" i="10"/>
  <c r="B114" i="10"/>
  <c r="F114" i="10"/>
  <c r="I114" i="10"/>
  <c r="J114" i="10"/>
  <c r="L114" i="10"/>
  <c r="M114" i="10"/>
  <c r="D115" i="10"/>
  <c r="B115" i="10"/>
  <c r="F115" i="10"/>
  <c r="I115" i="10"/>
  <c r="J115" i="10"/>
  <c r="L115" i="10"/>
  <c r="M115" i="10"/>
  <c r="D116" i="10"/>
  <c r="B116" i="10"/>
  <c r="F116" i="10"/>
  <c r="I116" i="10"/>
  <c r="J116" i="10"/>
  <c r="L116" i="10"/>
  <c r="M116" i="10"/>
  <c r="R116" i="10"/>
  <c r="AB28" i="10"/>
  <c r="U29" i="10"/>
  <c r="D117" i="10"/>
  <c r="B117" i="10"/>
  <c r="F117" i="10"/>
  <c r="I117" i="10"/>
  <c r="J117" i="10"/>
  <c r="L117" i="10"/>
  <c r="M117" i="10"/>
  <c r="D118" i="10"/>
  <c r="B118" i="10"/>
  <c r="F118" i="10"/>
  <c r="I118" i="10"/>
  <c r="J118" i="10"/>
  <c r="L118" i="10"/>
  <c r="M118" i="10"/>
  <c r="D119" i="10"/>
  <c r="B119" i="10"/>
  <c r="F119" i="10"/>
  <c r="I119" i="10"/>
  <c r="J119" i="10"/>
  <c r="L119" i="10"/>
  <c r="M119" i="10"/>
  <c r="R119" i="10"/>
  <c r="AB29" i="10"/>
  <c r="U30" i="10"/>
  <c r="D120" i="10"/>
  <c r="B120" i="10"/>
  <c r="F120" i="10"/>
  <c r="I120" i="10"/>
  <c r="J120" i="10"/>
  <c r="L120" i="10"/>
  <c r="M120" i="10"/>
  <c r="D121" i="10"/>
  <c r="B121" i="10"/>
  <c r="F121" i="10"/>
  <c r="I121" i="10"/>
  <c r="J121" i="10"/>
  <c r="L121" i="10"/>
  <c r="M121" i="10"/>
  <c r="D122" i="10"/>
  <c r="B122" i="10"/>
  <c r="F122" i="10"/>
  <c r="I122" i="10"/>
  <c r="J122" i="10"/>
  <c r="L122" i="10"/>
  <c r="M122" i="10"/>
  <c r="R122" i="10"/>
  <c r="AB30" i="10"/>
  <c r="U31" i="10"/>
  <c r="D123" i="10"/>
  <c r="B123" i="10"/>
  <c r="F123" i="10"/>
  <c r="I123" i="10"/>
  <c r="J123" i="10"/>
  <c r="L123" i="10"/>
  <c r="M123" i="10"/>
  <c r="D124" i="10"/>
  <c r="B124" i="10"/>
  <c r="F124" i="10"/>
  <c r="I124" i="10"/>
  <c r="J124" i="10"/>
  <c r="L124" i="10"/>
  <c r="M124" i="10"/>
  <c r="D125" i="10"/>
  <c r="B125" i="10"/>
  <c r="F125" i="10"/>
  <c r="I125" i="10"/>
  <c r="J125" i="10"/>
  <c r="L125" i="10"/>
  <c r="M125" i="10"/>
  <c r="R125" i="10"/>
  <c r="AB31" i="10"/>
  <c r="U32" i="10"/>
  <c r="D126" i="10"/>
  <c r="B126" i="10"/>
  <c r="F126" i="10"/>
  <c r="I126" i="10"/>
  <c r="J126" i="10"/>
  <c r="L126" i="10"/>
  <c r="M126" i="10"/>
  <c r="D127" i="10"/>
  <c r="B127" i="10"/>
  <c r="F127" i="10"/>
  <c r="I127" i="10"/>
  <c r="J127" i="10"/>
  <c r="L127" i="10"/>
  <c r="M127" i="10"/>
  <c r="D128" i="10"/>
  <c r="B128" i="10"/>
  <c r="F128" i="10"/>
  <c r="I128" i="10"/>
  <c r="J128" i="10"/>
  <c r="L128" i="10"/>
  <c r="M128" i="10"/>
  <c r="R128" i="10"/>
  <c r="AB32" i="10"/>
  <c r="U33" i="10"/>
  <c r="D129" i="10"/>
  <c r="B129" i="10"/>
  <c r="F129" i="10"/>
  <c r="I129" i="10"/>
  <c r="J129" i="10"/>
  <c r="L129" i="10"/>
  <c r="M129" i="10"/>
  <c r="D130" i="10"/>
  <c r="B130" i="10"/>
  <c r="F130" i="10"/>
  <c r="I130" i="10"/>
  <c r="J130" i="10"/>
  <c r="L130" i="10"/>
  <c r="M130" i="10"/>
  <c r="D131" i="10"/>
  <c r="B131" i="10"/>
  <c r="F131" i="10"/>
  <c r="I131" i="10"/>
  <c r="J131" i="10"/>
  <c r="L131" i="10"/>
  <c r="M131" i="10"/>
  <c r="R131" i="10"/>
  <c r="AB33" i="10"/>
  <c r="U34" i="10"/>
  <c r="D132" i="10"/>
  <c r="B132" i="10"/>
  <c r="F132" i="10"/>
  <c r="I132" i="10"/>
  <c r="J132" i="10"/>
  <c r="L132" i="10"/>
  <c r="M132" i="10"/>
  <c r="D133" i="10"/>
  <c r="B133" i="10"/>
  <c r="F133" i="10"/>
  <c r="I133" i="10"/>
  <c r="J133" i="10"/>
  <c r="L133" i="10"/>
  <c r="M133" i="10"/>
  <c r="D134" i="10"/>
  <c r="B134" i="10"/>
  <c r="F134" i="10"/>
  <c r="I134" i="10"/>
  <c r="J134" i="10"/>
  <c r="L134" i="10"/>
  <c r="M134" i="10"/>
  <c r="R134" i="10"/>
  <c r="AB34" i="10"/>
  <c r="U35" i="10"/>
  <c r="D135" i="10"/>
  <c r="B135" i="10"/>
  <c r="F135" i="10"/>
  <c r="I135" i="10"/>
  <c r="J135" i="10"/>
  <c r="L135" i="10"/>
  <c r="M135" i="10"/>
  <c r="D136" i="10"/>
  <c r="B136" i="10"/>
  <c r="F136" i="10"/>
  <c r="I136" i="10"/>
  <c r="J136" i="10"/>
  <c r="L136" i="10"/>
  <c r="M136" i="10"/>
  <c r="D137" i="10"/>
  <c r="B137" i="10"/>
  <c r="F137" i="10"/>
  <c r="I137" i="10"/>
  <c r="J137" i="10"/>
  <c r="L137" i="10"/>
  <c r="M137" i="10"/>
  <c r="R137" i="10"/>
  <c r="AB35" i="10"/>
  <c r="U36" i="10"/>
  <c r="D138" i="10"/>
  <c r="B138" i="10"/>
  <c r="F138" i="10"/>
  <c r="I138" i="10"/>
  <c r="J138" i="10"/>
  <c r="L138" i="10"/>
  <c r="M138" i="10"/>
  <c r="D139" i="10"/>
  <c r="B139" i="10"/>
  <c r="F139" i="10"/>
  <c r="I139" i="10"/>
  <c r="J139" i="10"/>
  <c r="L139" i="10"/>
  <c r="M139" i="10"/>
  <c r="D140" i="10"/>
  <c r="B140" i="10"/>
  <c r="F140" i="10"/>
  <c r="I140" i="10"/>
  <c r="J140" i="10"/>
  <c r="L140" i="10"/>
  <c r="M140" i="10"/>
  <c r="R140" i="10"/>
  <c r="AB36" i="10"/>
  <c r="U37" i="10"/>
  <c r="D141" i="10"/>
  <c r="B141" i="10"/>
  <c r="F141" i="10"/>
  <c r="I141" i="10"/>
  <c r="J141" i="10"/>
  <c r="L141" i="10"/>
  <c r="M141" i="10"/>
  <c r="D142" i="10"/>
  <c r="B142" i="10"/>
  <c r="F142" i="10"/>
  <c r="I142" i="10"/>
  <c r="J142" i="10"/>
  <c r="L142" i="10"/>
  <c r="M142" i="10"/>
  <c r="D143" i="10"/>
  <c r="B143" i="10"/>
  <c r="F143" i="10"/>
  <c r="I143" i="10"/>
  <c r="J143" i="10"/>
  <c r="L143" i="10"/>
  <c r="M143" i="10"/>
  <c r="R143" i="10"/>
  <c r="AB37" i="10"/>
  <c r="U38" i="10"/>
  <c r="D144" i="10"/>
  <c r="B144" i="10"/>
  <c r="F144" i="10"/>
  <c r="I144" i="10"/>
  <c r="J144" i="10"/>
  <c r="L144" i="10"/>
  <c r="M144" i="10"/>
  <c r="D145" i="10"/>
  <c r="B145" i="10"/>
  <c r="F145" i="10"/>
  <c r="I145" i="10"/>
  <c r="J145" i="10"/>
  <c r="L145" i="10"/>
  <c r="M145" i="10"/>
  <c r="D146" i="10"/>
  <c r="B146" i="10"/>
  <c r="F146" i="10"/>
  <c r="I146" i="10"/>
  <c r="J146" i="10"/>
  <c r="L146" i="10"/>
  <c r="M146" i="10"/>
  <c r="R146" i="10"/>
  <c r="AB38" i="10"/>
  <c r="U39" i="10"/>
  <c r="D147" i="10"/>
  <c r="B147" i="10"/>
  <c r="F147" i="10"/>
  <c r="I147" i="10"/>
  <c r="J147" i="10"/>
  <c r="L147" i="10"/>
  <c r="M147" i="10"/>
  <c r="D148" i="10"/>
  <c r="B148" i="10"/>
  <c r="F148" i="10"/>
  <c r="I148" i="10"/>
  <c r="J148" i="10"/>
  <c r="L148" i="10"/>
  <c r="M148" i="10"/>
  <c r="D149" i="10"/>
  <c r="B149" i="10"/>
  <c r="F149" i="10"/>
  <c r="I149" i="10"/>
  <c r="J149" i="10"/>
  <c r="L149" i="10"/>
  <c r="M149" i="10"/>
  <c r="R149" i="10"/>
  <c r="AB39" i="10"/>
  <c r="U40" i="10"/>
  <c r="D150" i="10"/>
  <c r="B150" i="10"/>
  <c r="F150" i="10"/>
  <c r="I150" i="10"/>
  <c r="J150" i="10"/>
  <c r="L150" i="10"/>
  <c r="M150" i="10"/>
  <c r="D151" i="10"/>
  <c r="B151" i="10"/>
  <c r="F151" i="10"/>
  <c r="I151" i="10"/>
  <c r="J151" i="10"/>
  <c r="L151" i="10"/>
  <c r="M151" i="10"/>
  <c r="D152" i="10"/>
  <c r="B152" i="10"/>
  <c r="F152" i="10"/>
  <c r="I152" i="10"/>
  <c r="J152" i="10"/>
  <c r="L152" i="10"/>
  <c r="M152" i="10"/>
  <c r="R152" i="10"/>
  <c r="AB40" i="10"/>
  <c r="U41" i="10"/>
  <c r="D153" i="10"/>
  <c r="B153" i="10"/>
  <c r="F153" i="10"/>
  <c r="I153" i="10"/>
  <c r="J153" i="10"/>
  <c r="L153" i="10"/>
  <c r="M153" i="10"/>
  <c r="D154" i="10"/>
  <c r="B154" i="10"/>
  <c r="F154" i="10"/>
  <c r="I154" i="10"/>
  <c r="J154" i="10"/>
  <c r="L154" i="10"/>
  <c r="M154" i="10"/>
  <c r="D155" i="10"/>
  <c r="B155" i="10"/>
  <c r="F155" i="10"/>
  <c r="I155" i="10"/>
  <c r="J155" i="10"/>
  <c r="L155" i="10"/>
  <c r="M155" i="10"/>
  <c r="R155" i="10"/>
  <c r="AB41" i="10"/>
  <c r="U42" i="10"/>
  <c r="D156" i="10"/>
  <c r="B156" i="10"/>
  <c r="F156" i="10"/>
  <c r="I156" i="10"/>
  <c r="J156" i="10"/>
  <c r="L156" i="10"/>
  <c r="M156" i="10"/>
  <c r="D157" i="10"/>
  <c r="B157" i="10"/>
  <c r="F157" i="10"/>
  <c r="I157" i="10"/>
  <c r="J157" i="10"/>
  <c r="L157" i="10"/>
  <c r="M157" i="10"/>
  <c r="D158" i="10"/>
  <c r="B158" i="10"/>
  <c r="F158" i="10"/>
  <c r="I158" i="10"/>
  <c r="J158" i="10"/>
  <c r="L158" i="10"/>
  <c r="M158" i="10"/>
  <c r="R158" i="10"/>
  <c r="AB42" i="10"/>
  <c r="U43" i="10"/>
  <c r="D159" i="10"/>
  <c r="B159" i="10"/>
  <c r="F159" i="10"/>
  <c r="I159" i="10"/>
  <c r="J159" i="10"/>
  <c r="L159" i="10"/>
  <c r="M159" i="10"/>
  <c r="D160" i="10"/>
  <c r="B160" i="10"/>
  <c r="F160" i="10"/>
  <c r="I160" i="10"/>
  <c r="J160" i="10"/>
  <c r="L160" i="10"/>
  <c r="M160" i="10"/>
  <c r="D161" i="10"/>
  <c r="B161" i="10"/>
  <c r="F161" i="10"/>
  <c r="I161" i="10"/>
  <c r="J161" i="10"/>
  <c r="L161" i="10"/>
  <c r="M161" i="10"/>
  <c r="R161" i="10"/>
  <c r="AB43" i="10"/>
  <c r="U44" i="10"/>
  <c r="D162" i="10"/>
  <c r="B162" i="10"/>
  <c r="F162" i="10"/>
  <c r="I162" i="10"/>
  <c r="J162" i="10"/>
  <c r="L162" i="10"/>
  <c r="M162" i="10"/>
  <c r="D163" i="10"/>
  <c r="B163" i="10"/>
  <c r="F163" i="10"/>
  <c r="I163" i="10"/>
  <c r="J163" i="10"/>
  <c r="L163" i="10"/>
  <c r="M163" i="10"/>
  <c r="D164" i="10"/>
  <c r="B164" i="10"/>
  <c r="F164" i="10"/>
  <c r="I164" i="10"/>
  <c r="J164" i="10"/>
  <c r="L164" i="10"/>
  <c r="M164" i="10"/>
  <c r="R164" i="10"/>
  <c r="AB44" i="10"/>
  <c r="U45" i="10"/>
  <c r="D165" i="10"/>
  <c r="B165" i="10"/>
  <c r="F165" i="10"/>
  <c r="I165" i="10"/>
  <c r="J165" i="10"/>
  <c r="L165" i="10"/>
  <c r="M165" i="10"/>
  <c r="D166" i="10"/>
  <c r="B166" i="10"/>
  <c r="F166" i="10"/>
  <c r="I166" i="10"/>
  <c r="J166" i="10"/>
  <c r="L166" i="10"/>
  <c r="M166" i="10"/>
  <c r="D167" i="10"/>
  <c r="B167" i="10"/>
  <c r="F167" i="10"/>
  <c r="I167" i="10"/>
  <c r="J167" i="10"/>
  <c r="L167" i="10"/>
  <c r="M167" i="10"/>
  <c r="R167" i="10"/>
  <c r="AB45" i="10"/>
  <c r="U46" i="10"/>
  <c r="D168" i="10"/>
  <c r="B168" i="10"/>
  <c r="F168" i="10"/>
  <c r="I168" i="10"/>
  <c r="J168" i="10"/>
  <c r="L168" i="10"/>
  <c r="M168" i="10"/>
  <c r="D169" i="10"/>
  <c r="B169" i="10"/>
  <c r="F169" i="10"/>
  <c r="I169" i="10"/>
  <c r="J169" i="10"/>
  <c r="L169" i="10"/>
  <c r="M169" i="10"/>
  <c r="D170" i="10"/>
  <c r="B170" i="10"/>
  <c r="F170" i="10"/>
  <c r="I170" i="10"/>
  <c r="J170" i="10"/>
  <c r="L170" i="10"/>
  <c r="M170" i="10"/>
  <c r="R170" i="10"/>
  <c r="AB46" i="10"/>
  <c r="U47" i="10"/>
  <c r="D171" i="10"/>
  <c r="B171" i="10"/>
  <c r="F171" i="10"/>
  <c r="I171" i="10"/>
  <c r="J171" i="10"/>
  <c r="L171" i="10"/>
  <c r="M171" i="10"/>
  <c r="D172" i="10"/>
  <c r="B172" i="10"/>
  <c r="F172" i="10"/>
  <c r="I172" i="10"/>
  <c r="J172" i="10"/>
  <c r="L172" i="10"/>
  <c r="M172" i="10"/>
  <c r="D173" i="10"/>
  <c r="B173" i="10"/>
  <c r="F173" i="10"/>
  <c r="I173" i="10"/>
  <c r="J173" i="10"/>
  <c r="L173" i="10"/>
  <c r="M173" i="10"/>
  <c r="R173" i="10"/>
  <c r="AB47" i="10"/>
  <c r="U48" i="10"/>
  <c r="D174" i="10"/>
  <c r="B174" i="10"/>
  <c r="F174" i="10"/>
  <c r="I174" i="10"/>
  <c r="J174" i="10"/>
  <c r="L174" i="10"/>
  <c r="M174" i="10"/>
  <c r="D175" i="10"/>
  <c r="B175" i="10"/>
  <c r="F175" i="10"/>
  <c r="I175" i="10"/>
  <c r="J175" i="10"/>
  <c r="L175" i="10"/>
  <c r="M175" i="10"/>
  <c r="D176" i="10"/>
  <c r="B176" i="10"/>
  <c r="F176" i="10"/>
  <c r="I176" i="10"/>
  <c r="J176" i="10"/>
  <c r="L176" i="10"/>
  <c r="M176" i="10"/>
  <c r="R176" i="10"/>
  <c r="AB48" i="10"/>
  <c r="U49" i="10"/>
  <c r="D177" i="10"/>
  <c r="B177" i="10"/>
  <c r="F177" i="10"/>
  <c r="I177" i="10"/>
  <c r="J177" i="10"/>
  <c r="L177" i="10"/>
  <c r="M177" i="10"/>
  <c r="D178" i="10"/>
  <c r="B178" i="10"/>
  <c r="F178" i="10"/>
  <c r="I178" i="10"/>
  <c r="J178" i="10"/>
  <c r="L178" i="10"/>
  <c r="M178" i="10"/>
  <c r="D179" i="10"/>
  <c r="B179" i="10"/>
  <c r="F179" i="10"/>
  <c r="I179" i="10"/>
  <c r="J179" i="10"/>
  <c r="L179" i="10"/>
  <c r="M179" i="10"/>
  <c r="R179" i="10"/>
  <c r="AB49" i="10"/>
  <c r="U50" i="10"/>
  <c r="D180" i="10"/>
  <c r="B180" i="10"/>
  <c r="F180" i="10"/>
  <c r="I180" i="10"/>
  <c r="J180" i="10"/>
  <c r="L180" i="10"/>
  <c r="M180" i="10"/>
  <c r="D181" i="10"/>
  <c r="B181" i="10"/>
  <c r="F181" i="10"/>
  <c r="I181" i="10"/>
  <c r="J181" i="10"/>
  <c r="L181" i="10"/>
  <c r="M181" i="10"/>
  <c r="D182" i="10"/>
  <c r="B182" i="10"/>
  <c r="F182" i="10"/>
  <c r="I182" i="10"/>
  <c r="J182" i="10"/>
  <c r="L182" i="10"/>
  <c r="M182" i="10"/>
  <c r="R182" i="10"/>
  <c r="AB50" i="10"/>
  <c r="U51" i="10"/>
  <c r="D183" i="10"/>
  <c r="B183" i="10"/>
  <c r="F183" i="10"/>
  <c r="I183" i="10"/>
  <c r="J183" i="10"/>
  <c r="L183" i="10"/>
  <c r="M183" i="10"/>
  <c r="D184" i="10"/>
  <c r="B184" i="10"/>
  <c r="F184" i="10"/>
  <c r="I184" i="10"/>
  <c r="J184" i="10"/>
  <c r="L184" i="10"/>
  <c r="M184" i="10"/>
  <c r="D185" i="10"/>
  <c r="B185" i="10"/>
  <c r="F185" i="10"/>
  <c r="I185" i="10"/>
  <c r="J185" i="10"/>
  <c r="L185" i="10"/>
  <c r="M185" i="10"/>
  <c r="R185" i="10"/>
  <c r="AB51" i="10"/>
  <c r="U52" i="10"/>
  <c r="D186" i="10"/>
  <c r="B186" i="10"/>
  <c r="F186" i="10"/>
  <c r="I186" i="10"/>
  <c r="J186" i="10"/>
  <c r="L186" i="10"/>
  <c r="M186" i="10"/>
  <c r="D187" i="10"/>
  <c r="B187" i="10"/>
  <c r="F187" i="10"/>
  <c r="I187" i="10"/>
  <c r="J187" i="10"/>
  <c r="L187" i="10"/>
  <c r="M187" i="10"/>
  <c r="D188" i="10"/>
  <c r="B188" i="10"/>
  <c r="F188" i="10"/>
  <c r="I188" i="10"/>
  <c r="J188" i="10"/>
  <c r="L188" i="10"/>
  <c r="M188" i="10"/>
  <c r="R188" i="10"/>
  <c r="AB52" i="10"/>
  <c r="U53" i="10"/>
  <c r="D189" i="10"/>
  <c r="B189" i="10"/>
  <c r="F189" i="10"/>
  <c r="I189" i="10"/>
  <c r="J189" i="10"/>
  <c r="L189" i="10"/>
  <c r="M189" i="10"/>
  <c r="D190" i="10"/>
  <c r="B190" i="10"/>
  <c r="F190" i="10"/>
  <c r="I190" i="10"/>
  <c r="J190" i="10"/>
  <c r="L190" i="10"/>
  <c r="M190" i="10"/>
  <c r="D191" i="10"/>
  <c r="B191" i="10"/>
  <c r="F191" i="10"/>
  <c r="I191" i="10"/>
  <c r="J191" i="10"/>
  <c r="L191" i="10"/>
  <c r="M191" i="10"/>
  <c r="R191" i="10"/>
  <c r="AB53" i="10"/>
  <c r="U54" i="10"/>
  <c r="D192" i="10"/>
  <c r="B192" i="10"/>
  <c r="F192" i="10"/>
  <c r="I192" i="10"/>
  <c r="J192" i="10"/>
  <c r="L192" i="10"/>
  <c r="M192" i="10"/>
  <c r="D193" i="10"/>
  <c r="B193" i="10"/>
  <c r="F193" i="10"/>
  <c r="I193" i="10"/>
  <c r="J193" i="10"/>
  <c r="L193" i="10"/>
  <c r="M193" i="10"/>
  <c r="D194" i="10"/>
  <c r="B194" i="10"/>
  <c r="F194" i="10"/>
  <c r="I194" i="10"/>
  <c r="J194" i="10"/>
  <c r="L194" i="10"/>
  <c r="M194" i="10"/>
  <c r="R194" i="10"/>
  <c r="AB54" i="10"/>
  <c r="U55" i="10"/>
  <c r="D195" i="10"/>
  <c r="B195" i="10"/>
  <c r="F195" i="10"/>
  <c r="I195" i="10"/>
  <c r="J195" i="10"/>
  <c r="L195" i="10"/>
  <c r="M195" i="10"/>
  <c r="D196" i="10"/>
  <c r="B196" i="10"/>
  <c r="F196" i="10"/>
  <c r="I196" i="10"/>
  <c r="J196" i="10"/>
  <c r="L196" i="10"/>
  <c r="M196" i="10"/>
  <c r="D197" i="10"/>
  <c r="B197" i="10"/>
  <c r="F197" i="10"/>
  <c r="I197" i="10"/>
  <c r="J197" i="10"/>
  <c r="L197" i="10"/>
  <c r="M197" i="10"/>
  <c r="R197" i="10"/>
  <c r="AB55" i="10"/>
  <c r="U56" i="10"/>
  <c r="D198" i="10"/>
  <c r="B198" i="10"/>
  <c r="F198" i="10"/>
  <c r="I198" i="10"/>
  <c r="J198" i="10"/>
  <c r="L198" i="10"/>
  <c r="M198" i="10"/>
  <c r="D199" i="10"/>
  <c r="B199" i="10"/>
  <c r="F199" i="10"/>
  <c r="I199" i="10"/>
  <c r="J199" i="10"/>
  <c r="L199" i="10"/>
  <c r="M199" i="10"/>
  <c r="D200" i="10"/>
  <c r="B200" i="10"/>
  <c r="F200" i="10"/>
  <c r="I200" i="10"/>
  <c r="J200" i="10"/>
  <c r="L200" i="10"/>
  <c r="M200" i="10"/>
  <c r="R200" i="10"/>
  <c r="AB56" i="10"/>
  <c r="U57" i="10"/>
  <c r="D201" i="10"/>
  <c r="B201" i="10"/>
  <c r="F201" i="10"/>
  <c r="I201" i="10"/>
  <c r="J201" i="10"/>
  <c r="L201" i="10"/>
  <c r="M201" i="10"/>
  <c r="D202" i="10"/>
  <c r="B202" i="10"/>
  <c r="F202" i="10"/>
  <c r="I202" i="10"/>
  <c r="J202" i="10"/>
  <c r="L202" i="10"/>
  <c r="M202" i="10"/>
  <c r="D203" i="10"/>
  <c r="B203" i="10"/>
  <c r="F203" i="10"/>
  <c r="I203" i="10"/>
  <c r="J203" i="10"/>
  <c r="L203" i="10"/>
  <c r="M203" i="10"/>
  <c r="R203" i="10"/>
  <c r="AB57" i="10"/>
  <c r="U58" i="10"/>
  <c r="D204" i="10"/>
  <c r="B204" i="10"/>
  <c r="F204" i="10"/>
  <c r="I204" i="10"/>
  <c r="J204" i="10"/>
  <c r="L204" i="10"/>
  <c r="M204" i="10"/>
  <c r="D205" i="10"/>
  <c r="B205" i="10"/>
  <c r="F205" i="10"/>
  <c r="I205" i="10"/>
  <c r="J205" i="10"/>
  <c r="L205" i="10"/>
  <c r="M205" i="10"/>
  <c r="D206" i="10"/>
  <c r="B206" i="10"/>
  <c r="F206" i="10"/>
  <c r="I206" i="10"/>
  <c r="J206" i="10"/>
  <c r="L206" i="10"/>
  <c r="M206" i="10"/>
  <c r="R206" i="10"/>
  <c r="AB58" i="10"/>
  <c r="U59" i="10"/>
  <c r="D207" i="10"/>
  <c r="B207" i="10"/>
  <c r="F207" i="10"/>
  <c r="I207" i="10"/>
  <c r="J207" i="10"/>
  <c r="L207" i="10"/>
  <c r="M207" i="10"/>
  <c r="D208" i="10"/>
  <c r="B208" i="10"/>
  <c r="F208" i="10"/>
  <c r="I208" i="10"/>
  <c r="J208" i="10"/>
  <c r="L208" i="10"/>
  <c r="M208" i="10"/>
  <c r="D209" i="10"/>
  <c r="B209" i="10"/>
  <c r="F209" i="10"/>
  <c r="I209" i="10"/>
  <c r="J209" i="10"/>
  <c r="L209" i="10"/>
  <c r="M209" i="10"/>
  <c r="R209" i="10"/>
  <c r="AB59" i="10"/>
  <c r="U60" i="10"/>
  <c r="D210" i="10"/>
  <c r="B210" i="10"/>
  <c r="F210" i="10"/>
  <c r="I210" i="10"/>
  <c r="J210" i="10"/>
  <c r="L210" i="10"/>
  <c r="M210" i="10"/>
  <c r="D211" i="10"/>
  <c r="B211" i="10"/>
  <c r="F211" i="10"/>
  <c r="I211" i="10"/>
  <c r="J211" i="10"/>
  <c r="L211" i="10"/>
  <c r="M211" i="10"/>
  <c r="D212" i="10"/>
  <c r="B212" i="10"/>
  <c r="F212" i="10"/>
  <c r="I212" i="10"/>
  <c r="J212" i="10"/>
  <c r="L212" i="10"/>
  <c r="M212" i="10"/>
  <c r="R212" i="10"/>
  <c r="AB60" i="10"/>
  <c r="U61" i="10"/>
  <c r="D213" i="10"/>
  <c r="B213" i="10"/>
  <c r="F213" i="10"/>
  <c r="I213" i="10"/>
  <c r="J213" i="10"/>
  <c r="L213" i="10"/>
  <c r="M213" i="10"/>
  <c r="D214" i="10"/>
  <c r="B214" i="10"/>
  <c r="F214" i="10"/>
  <c r="I214" i="10"/>
  <c r="J214" i="10"/>
  <c r="L214" i="10"/>
  <c r="M214" i="10"/>
  <c r="D215" i="10"/>
  <c r="B215" i="10"/>
  <c r="F215" i="10"/>
  <c r="I215" i="10"/>
  <c r="J215" i="10"/>
  <c r="L215" i="10"/>
  <c r="M215" i="10"/>
  <c r="R215" i="10"/>
  <c r="AB61" i="10"/>
  <c r="U62" i="10"/>
  <c r="D216" i="10"/>
  <c r="B216" i="10"/>
  <c r="F216" i="10"/>
  <c r="I216" i="10"/>
  <c r="J216" i="10"/>
  <c r="L216" i="10"/>
  <c r="M216" i="10"/>
  <c r="D217" i="10"/>
  <c r="B217" i="10"/>
  <c r="F217" i="10"/>
  <c r="I217" i="10"/>
  <c r="J217" i="10"/>
  <c r="L217" i="10"/>
  <c r="M217" i="10"/>
  <c r="D218" i="10"/>
  <c r="B218" i="10"/>
  <c r="F218" i="10"/>
  <c r="I218" i="10"/>
  <c r="J218" i="10"/>
  <c r="L218" i="10"/>
  <c r="M218" i="10"/>
  <c r="R218" i="10"/>
  <c r="AB62" i="10"/>
  <c r="U63" i="10"/>
  <c r="D219" i="10"/>
  <c r="B219" i="10"/>
  <c r="F219" i="10"/>
  <c r="I219" i="10"/>
  <c r="J219" i="10"/>
  <c r="L219" i="10"/>
  <c r="M219" i="10"/>
  <c r="D220" i="10"/>
  <c r="B220" i="10"/>
  <c r="F220" i="10"/>
  <c r="I220" i="10"/>
  <c r="J220" i="10"/>
  <c r="L220" i="10"/>
  <c r="M220" i="10"/>
  <c r="D221" i="10"/>
  <c r="B221" i="10"/>
  <c r="F221" i="10"/>
  <c r="I221" i="10"/>
  <c r="J221" i="10"/>
  <c r="L221" i="10"/>
  <c r="M221" i="10"/>
  <c r="R221" i="10"/>
  <c r="AB63" i="10"/>
  <c r="U64" i="10"/>
  <c r="D222" i="10"/>
  <c r="B222" i="10"/>
  <c r="F222" i="10"/>
  <c r="I222" i="10"/>
  <c r="J222" i="10"/>
  <c r="L222" i="10"/>
  <c r="M222" i="10"/>
  <c r="D223" i="10"/>
  <c r="B223" i="10"/>
  <c r="F223" i="10"/>
  <c r="I223" i="10"/>
  <c r="J223" i="10"/>
  <c r="L223" i="10"/>
  <c r="M223" i="10"/>
  <c r="D224" i="10"/>
  <c r="B224" i="10"/>
  <c r="F224" i="10"/>
  <c r="I224" i="10"/>
  <c r="J224" i="10"/>
  <c r="L224" i="10"/>
  <c r="M224" i="10"/>
  <c r="R224" i="10"/>
  <c r="AB64" i="10"/>
  <c r="U65" i="10"/>
  <c r="D225" i="10"/>
  <c r="B225" i="10"/>
  <c r="F225" i="10"/>
  <c r="I225" i="10"/>
  <c r="J225" i="10"/>
  <c r="L225" i="10"/>
  <c r="M225" i="10"/>
  <c r="D226" i="10"/>
  <c r="B226" i="10"/>
  <c r="F226" i="10"/>
  <c r="I226" i="10"/>
  <c r="J226" i="10"/>
  <c r="L226" i="10"/>
  <c r="M226" i="10"/>
  <c r="D227" i="10"/>
  <c r="B227" i="10"/>
  <c r="F227" i="10"/>
  <c r="I227" i="10"/>
  <c r="J227" i="10"/>
  <c r="L227" i="10"/>
  <c r="M227" i="10"/>
  <c r="R227" i="10"/>
  <c r="AB65" i="10"/>
  <c r="U66" i="10"/>
  <c r="D228" i="10"/>
  <c r="B228" i="10"/>
  <c r="F228" i="10"/>
  <c r="I228" i="10"/>
  <c r="J228" i="10"/>
  <c r="L228" i="10"/>
  <c r="M228" i="10"/>
  <c r="D229" i="10"/>
  <c r="B229" i="10"/>
  <c r="F229" i="10"/>
  <c r="I229" i="10"/>
  <c r="J229" i="10"/>
  <c r="L229" i="10"/>
  <c r="M229" i="10"/>
  <c r="D230" i="10"/>
  <c r="B230" i="10"/>
  <c r="F230" i="10"/>
  <c r="I230" i="10"/>
  <c r="J230" i="10"/>
  <c r="L230" i="10"/>
  <c r="M230" i="10"/>
  <c r="R230" i="10"/>
  <c r="AB66" i="10"/>
  <c r="U67" i="10"/>
  <c r="D231" i="10"/>
  <c r="B231" i="10"/>
  <c r="F231" i="10"/>
  <c r="I231" i="10"/>
  <c r="J231" i="10"/>
  <c r="L231" i="10"/>
  <c r="M231" i="10"/>
  <c r="D232" i="10"/>
  <c r="B232" i="10"/>
  <c r="F232" i="10"/>
  <c r="I232" i="10"/>
  <c r="J232" i="10"/>
  <c r="L232" i="10"/>
  <c r="M232" i="10"/>
  <c r="D233" i="10"/>
  <c r="B233" i="10"/>
  <c r="F233" i="10"/>
  <c r="I233" i="10"/>
  <c r="J233" i="10"/>
  <c r="L233" i="10"/>
  <c r="M233" i="10"/>
  <c r="R233" i="10"/>
  <c r="AB67" i="10"/>
  <c r="U68" i="10"/>
  <c r="D234" i="10"/>
  <c r="B234" i="10"/>
  <c r="F234" i="10"/>
  <c r="I234" i="10"/>
  <c r="J234" i="10"/>
  <c r="L234" i="10"/>
  <c r="M234" i="10"/>
  <c r="D235" i="10"/>
  <c r="B235" i="10"/>
  <c r="F235" i="10"/>
  <c r="I235" i="10"/>
  <c r="J235" i="10"/>
  <c r="L235" i="10"/>
  <c r="M235" i="10"/>
  <c r="D236" i="10"/>
  <c r="B236" i="10"/>
  <c r="F236" i="10"/>
  <c r="I236" i="10"/>
  <c r="J236" i="10"/>
  <c r="L236" i="10"/>
  <c r="M236" i="10"/>
  <c r="R236" i="10"/>
  <c r="AB68" i="10"/>
  <c r="U69" i="10"/>
  <c r="D237" i="10"/>
  <c r="B237" i="10"/>
  <c r="F237" i="10"/>
  <c r="I237" i="10"/>
  <c r="J237" i="10"/>
  <c r="L237" i="10"/>
  <c r="M237" i="10"/>
  <c r="D238" i="10"/>
  <c r="B238" i="10"/>
  <c r="F238" i="10"/>
  <c r="I238" i="10"/>
  <c r="J238" i="10"/>
  <c r="L238" i="10"/>
  <c r="M238" i="10"/>
  <c r="D239" i="10"/>
  <c r="B239" i="10"/>
  <c r="F239" i="10"/>
  <c r="I239" i="10"/>
  <c r="J239" i="10"/>
  <c r="L239" i="10"/>
  <c r="M239" i="10"/>
  <c r="R239" i="10"/>
  <c r="AB69" i="10"/>
  <c r="U70" i="10"/>
  <c r="D240" i="10"/>
  <c r="B240" i="10"/>
  <c r="F240" i="10"/>
  <c r="I240" i="10"/>
  <c r="J240" i="10"/>
  <c r="L240" i="10"/>
  <c r="M240" i="10"/>
  <c r="D241" i="10"/>
  <c r="B241" i="10"/>
  <c r="F241" i="10"/>
  <c r="I241" i="10"/>
  <c r="J241" i="10"/>
  <c r="L241" i="10"/>
  <c r="M241" i="10"/>
  <c r="D242" i="10"/>
  <c r="B242" i="10"/>
  <c r="F242" i="10"/>
  <c r="I242" i="10"/>
  <c r="J242" i="10"/>
  <c r="L242" i="10"/>
  <c r="M242" i="10"/>
  <c r="R242" i="10"/>
  <c r="AB70" i="10"/>
  <c r="U71" i="10"/>
  <c r="D243" i="10"/>
  <c r="B243" i="10"/>
  <c r="F243" i="10"/>
  <c r="I243" i="10"/>
  <c r="J243" i="10"/>
  <c r="L243" i="10"/>
  <c r="M243" i="10"/>
  <c r="D244" i="10"/>
  <c r="B244" i="10"/>
  <c r="F244" i="10"/>
  <c r="I244" i="10"/>
  <c r="J244" i="10"/>
  <c r="L244" i="10"/>
  <c r="M244" i="10"/>
  <c r="D245" i="10"/>
  <c r="B245" i="10"/>
  <c r="F245" i="10"/>
  <c r="I245" i="10"/>
  <c r="J245" i="10"/>
  <c r="L245" i="10"/>
  <c r="M245" i="10"/>
  <c r="R245" i="10"/>
  <c r="AB71" i="10"/>
  <c r="U72" i="10"/>
  <c r="D246" i="10"/>
  <c r="B246" i="10"/>
  <c r="F246" i="10"/>
  <c r="I246" i="10"/>
  <c r="J246" i="10"/>
  <c r="L246" i="10"/>
  <c r="M246" i="10"/>
  <c r="D247" i="10"/>
  <c r="B247" i="10"/>
  <c r="F247" i="10"/>
  <c r="I247" i="10"/>
  <c r="J247" i="10"/>
  <c r="L247" i="10"/>
  <c r="M247" i="10"/>
  <c r="D248" i="10"/>
  <c r="B248" i="10"/>
  <c r="F248" i="10"/>
  <c r="I248" i="10"/>
  <c r="J248" i="10"/>
  <c r="L248" i="10"/>
  <c r="M248" i="10"/>
  <c r="R248" i="10"/>
  <c r="AB72" i="10"/>
  <c r="U73" i="10"/>
  <c r="D249" i="10"/>
  <c r="B249" i="10"/>
  <c r="F249" i="10"/>
  <c r="I249" i="10"/>
  <c r="J249" i="10"/>
  <c r="L249" i="10"/>
  <c r="M249" i="10"/>
  <c r="D250" i="10"/>
  <c r="B250" i="10"/>
  <c r="F250" i="10"/>
  <c r="I250" i="10"/>
  <c r="J250" i="10"/>
  <c r="L250" i="10"/>
  <c r="M250" i="10"/>
  <c r="D251" i="10"/>
  <c r="B251" i="10"/>
  <c r="F251" i="10"/>
  <c r="I251" i="10"/>
  <c r="J251" i="10"/>
  <c r="L251" i="10"/>
  <c r="M251" i="10"/>
  <c r="R251" i="10"/>
  <c r="AB73" i="10"/>
  <c r="U74" i="10"/>
  <c r="D252" i="10"/>
  <c r="B252" i="10"/>
  <c r="F252" i="10"/>
  <c r="I252" i="10"/>
  <c r="J252" i="10"/>
  <c r="L252" i="10"/>
  <c r="M252" i="10"/>
  <c r="D253" i="10"/>
  <c r="B253" i="10"/>
  <c r="F253" i="10"/>
  <c r="I253" i="10"/>
  <c r="J253" i="10"/>
  <c r="L253" i="10"/>
  <c r="M253" i="10"/>
  <c r="D254" i="10"/>
  <c r="B254" i="10"/>
  <c r="F254" i="10"/>
  <c r="I254" i="10"/>
  <c r="J254" i="10"/>
  <c r="L254" i="10"/>
  <c r="M254" i="10"/>
  <c r="R254" i="10"/>
  <c r="AB74" i="10"/>
  <c r="U75" i="10"/>
  <c r="D255" i="10"/>
  <c r="B255" i="10"/>
  <c r="F255" i="10"/>
  <c r="I255" i="10"/>
  <c r="J255" i="10"/>
  <c r="L255" i="10"/>
  <c r="M255" i="10"/>
  <c r="D256" i="10"/>
  <c r="B256" i="10"/>
  <c r="F256" i="10"/>
  <c r="I256" i="10"/>
  <c r="J256" i="10"/>
  <c r="L256" i="10"/>
  <c r="M256" i="10"/>
  <c r="D257" i="10"/>
  <c r="B257" i="10"/>
  <c r="F257" i="10"/>
  <c r="I257" i="10"/>
  <c r="J257" i="10"/>
  <c r="L257" i="10"/>
  <c r="M257" i="10"/>
  <c r="R257" i="10"/>
  <c r="AB75" i="10"/>
  <c r="U76" i="10"/>
  <c r="D258" i="10"/>
  <c r="B258" i="10"/>
  <c r="F258" i="10"/>
  <c r="I258" i="10"/>
  <c r="J258" i="10"/>
  <c r="L258" i="10"/>
  <c r="M258" i="10"/>
  <c r="D259" i="10"/>
  <c r="B259" i="10"/>
  <c r="F259" i="10"/>
  <c r="I259" i="10"/>
  <c r="J259" i="10"/>
  <c r="L259" i="10"/>
  <c r="M259" i="10"/>
  <c r="D260" i="10"/>
  <c r="B260" i="10"/>
  <c r="F260" i="10"/>
  <c r="I260" i="10"/>
  <c r="J260" i="10"/>
  <c r="L260" i="10"/>
  <c r="M260" i="10"/>
  <c r="R260" i="10"/>
  <c r="AB76" i="10"/>
  <c r="U77" i="10"/>
  <c r="D261" i="10"/>
  <c r="B261" i="10"/>
  <c r="F261" i="10"/>
  <c r="I261" i="10"/>
  <c r="J261" i="10"/>
  <c r="L261" i="10"/>
  <c r="M261" i="10"/>
  <c r="D262" i="10"/>
  <c r="B262" i="10"/>
  <c r="F262" i="10"/>
  <c r="I262" i="10"/>
  <c r="J262" i="10"/>
  <c r="L262" i="10"/>
  <c r="M262" i="10"/>
  <c r="D263" i="10"/>
  <c r="B263" i="10"/>
  <c r="F263" i="10"/>
  <c r="I263" i="10"/>
  <c r="J263" i="10"/>
  <c r="L263" i="10"/>
  <c r="M263" i="10"/>
  <c r="R263" i="10"/>
  <c r="AB77" i="10"/>
  <c r="U78" i="10"/>
  <c r="D264" i="10"/>
  <c r="B264" i="10"/>
  <c r="F264" i="10"/>
  <c r="I264" i="10"/>
  <c r="J264" i="10"/>
  <c r="L264" i="10"/>
  <c r="M264" i="10"/>
  <c r="D265" i="10"/>
  <c r="B265" i="10"/>
  <c r="F265" i="10"/>
  <c r="I265" i="10"/>
  <c r="J265" i="10"/>
  <c r="L265" i="10"/>
  <c r="M265" i="10"/>
  <c r="D266" i="10"/>
  <c r="B266" i="10"/>
  <c r="F266" i="10"/>
  <c r="I266" i="10"/>
  <c r="J266" i="10"/>
  <c r="L266" i="10"/>
  <c r="M266" i="10"/>
  <c r="R266" i="10"/>
  <c r="AB78" i="10"/>
  <c r="U79" i="10"/>
  <c r="D267" i="10"/>
  <c r="B267" i="10"/>
  <c r="F267" i="10"/>
  <c r="I267" i="10"/>
  <c r="J267" i="10"/>
  <c r="L267" i="10"/>
  <c r="M267" i="10"/>
  <c r="D268" i="10"/>
  <c r="B268" i="10"/>
  <c r="F268" i="10"/>
  <c r="I268" i="10"/>
  <c r="J268" i="10"/>
  <c r="L268" i="10"/>
  <c r="M268" i="10"/>
  <c r="D269" i="10"/>
  <c r="B269" i="10"/>
  <c r="F269" i="10"/>
  <c r="I269" i="10"/>
  <c r="J269" i="10"/>
  <c r="L269" i="10"/>
  <c r="M269" i="10"/>
  <c r="R269" i="10"/>
  <c r="AB79" i="10"/>
  <c r="U80" i="10"/>
  <c r="D270" i="10"/>
  <c r="B270" i="10"/>
  <c r="F270" i="10"/>
  <c r="I270" i="10"/>
  <c r="J270" i="10"/>
  <c r="L270" i="10"/>
  <c r="M270" i="10"/>
  <c r="D271" i="10"/>
  <c r="B271" i="10"/>
  <c r="F271" i="10"/>
  <c r="I271" i="10"/>
  <c r="J271" i="10"/>
  <c r="L271" i="10"/>
  <c r="M271" i="10"/>
  <c r="D272" i="10"/>
  <c r="B272" i="10"/>
  <c r="F272" i="10"/>
  <c r="I272" i="10"/>
  <c r="J272" i="10"/>
  <c r="L272" i="10"/>
  <c r="M272" i="10"/>
  <c r="R272" i="10"/>
  <c r="AB80" i="10"/>
  <c r="U81" i="10"/>
  <c r="D273" i="10"/>
  <c r="B273" i="10"/>
  <c r="F273" i="10"/>
  <c r="I273" i="10"/>
  <c r="J273" i="10"/>
  <c r="L273" i="10"/>
  <c r="M273" i="10"/>
  <c r="D274" i="10"/>
  <c r="B274" i="10"/>
  <c r="F274" i="10"/>
  <c r="I274" i="10"/>
  <c r="J274" i="10"/>
  <c r="L274" i="10"/>
  <c r="M274" i="10"/>
  <c r="D275" i="10"/>
  <c r="B275" i="10"/>
  <c r="F275" i="10"/>
  <c r="I275" i="10"/>
  <c r="J275" i="10"/>
  <c r="L275" i="10"/>
  <c r="M275" i="10"/>
  <c r="R275" i="10"/>
  <c r="AB81" i="10"/>
  <c r="U82" i="10"/>
  <c r="D276" i="10"/>
  <c r="B276" i="10"/>
  <c r="F276" i="10"/>
  <c r="I276" i="10"/>
  <c r="J276" i="10"/>
  <c r="L276" i="10"/>
  <c r="M276" i="10"/>
  <c r="D277" i="10"/>
  <c r="B277" i="10"/>
  <c r="F277" i="10"/>
  <c r="I277" i="10"/>
  <c r="J277" i="10"/>
  <c r="L277" i="10"/>
  <c r="M277" i="10"/>
  <c r="D278" i="10"/>
  <c r="B278" i="10"/>
  <c r="F278" i="10"/>
  <c r="I278" i="10"/>
  <c r="J278" i="10"/>
  <c r="L278" i="10"/>
  <c r="M278" i="10"/>
  <c r="R278" i="10"/>
  <c r="AB82" i="10"/>
  <c r="U83" i="10"/>
  <c r="D279" i="10"/>
  <c r="B279" i="10"/>
  <c r="F279" i="10"/>
  <c r="I279" i="10"/>
  <c r="J279" i="10"/>
  <c r="L279" i="10"/>
  <c r="M279" i="10"/>
  <c r="D280" i="10"/>
  <c r="B280" i="10"/>
  <c r="F280" i="10"/>
  <c r="I280" i="10"/>
  <c r="J280" i="10"/>
  <c r="L280" i="10"/>
  <c r="M280" i="10"/>
  <c r="D281" i="10"/>
  <c r="B281" i="10"/>
  <c r="F281" i="10"/>
  <c r="I281" i="10"/>
  <c r="J281" i="10"/>
  <c r="L281" i="10"/>
  <c r="M281" i="10"/>
  <c r="R281" i="10"/>
  <c r="AB83" i="10"/>
  <c r="U84" i="10"/>
  <c r="D282" i="10"/>
  <c r="B282" i="10"/>
  <c r="F282" i="10"/>
  <c r="I282" i="10"/>
  <c r="J282" i="10"/>
  <c r="L282" i="10"/>
  <c r="M282" i="10"/>
  <c r="D283" i="10"/>
  <c r="B283" i="10"/>
  <c r="F283" i="10"/>
  <c r="I283" i="10"/>
  <c r="J283" i="10"/>
  <c r="L283" i="10"/>
  <c r="M283" i="10"/>
  <c r="D284" i="10"/>
  <c r="B284" i="10"/>
  <c r="F284" i="10"/>
  <c r="I284" i="10"/>
  <c r="J284" i="10"/>
  <c r="L284" i="10"/>
  <c r="M284" i="10"/>
  <c r="R284" i="10"/>
  <c r="AB84" i="10"/>
  <c r="U85" i="10"/>
  <c r="D285" i="10"/>
  <c r="B285" i="10"/>
  <c r="F285" i="10"/>
  <c r="I285" i="10"/>
  <c r="J285" i="10"/>
  <c r="L285" i="10"/>
  <c r="M285" i="10"/>
  <c r="D286" i="10"/>
  <c r="B286" i="10"/>
  <c r="F286" i="10"/>
  <c r="I286" i="10"/>
  <c r="J286" i="10"/>
  <c r="L286" i="10"/>
  <c r="M286" i="10"/>
  <c r="D287" i="10"/>
  <c r="B287" i="10"/>
  <c r="F287" i="10"/>
  <c r="I287" i="10"/>
  <c r="J287" i="10"/>
  <c r="L287" i="10"/>
  <c r="M287" i="10"/>
  <c r="R287" i="10"/>
  <c r="AB85" i="10"/>
  <c r="U86" i="10"/>
  <c r="D288" i="10"/>
  <c r="B288" i="10"/>
  <c r="F288" i="10"/>
  <c r="I288" i="10"/>
  <c r="J288" i="10"/>
  <c r="L288" i="10"/>
  <c r="M288" i="10"/>
  <c r="D289" i="10"/>
  <c r="B289" i="10"/>
  <c r="F289" i="10"/>
  <c r="I289" i="10"/>
  <c r="J289" i="10"/>
  <c r="L289" i="10"/>
  <c r="M289" i="10"/>
  <c r="D290" i="10"/>
  <c r="B290" i="10"/>
  <c r="F290" i="10"/>
  <c r="I290" i="10"/>
  <c r="J290" i="10"/>
  <c r="L290" i="10"/>
  <c r="M290" i="10"/>
  <c r="R290" i="10"/>
  <c r="AB86" i="10"/>
  <c r="U87" i="10"/>
  <c r="D291" i="10"/>
  <c r="B291" i="10"/>
  <c r="F291" i="10"/>
  <c r="I291" i="10"/>
  <c r="J291" i="10"/>
  <c r="L291" i="10"/>
  <c r="M291" i="10"/>
  <c r="D292" i="10"/>
  <c r="B292" i="10"/>
  <c r="F292" i="10"/>
  <c r="I292" i="10"/>
  <c r="J292" i="10"/>
  <c r="L292" i="10"/>
  <c r="M292" i="10"/>
  <c r="D293" i="10"/>
  <c r="B293" i="10"/>
  <c r="F293" i="10"/>
  <c r="I293" i="10"/>
  <c r="J293" i="10"/>
  <c r="L293" i="10"/>
  <c r="M293" i="10"/>
  <c r="R293" i="10"/>
  <c r="AB87" i="10"/>
  <c r="U88" i="10"/>
  <c r="D294" i="10"/>
  <c r="B294" i="10"/>
  <c r="F294" i="10"/>
  <c r="I294" i="10"/>
  <c r="J294" i="10"/>
  <c r="L294" i="10"/>
  <c r="M294" i="10"/>
  <c r="D295" i="10"/>
  <c r="B295" i="10"/>
  <c r="F295" i="10"/>
  <c r="I295" i="10"/>
  <c r="J295" i="10"/>
  <c r="L295" i="10"/>
  <c r="M295" i="10"/>
  <c r="D296" i="10"/>
  <c r="B296" i="10"/>
  <c r="F296" i="10"/>
  <c r="I296" i="10"/>
  <c r="J296" i="10"/>
  <c r="L296" i="10"/>
  <c r="M296" i="10"/>
  <c r="R296" i="10"/>
  <c r="AB88" i="10"/>
  <c r="U89" i="10"/>
  <c r="D297" i="10"/>
  <c r="B297" i="10"/>
  <c r="F297" i="10"/>
  <c r="I297" i="10"/>
  <c r="J297" i="10"/>
  <c r="L297" i="10"/>
  <c r="M297" i="10"/>
  <c r="D298" i="10"/>
  <c r="B298" i="10"/>
  <c r="F298" i="10"/>
  <c r="I298" i="10"/>
  <c r="J298" i="10"/>
  <c r="L298" i="10"/>
  <c r="M298" i="10"/>
  <c r="D299" i="10"/>
  <c r="B299" i="10"/>
  <c r="F299" i="10"/>
  <c r="I299" i="10"/>
  <c r="J299" i="10"/>
  <c r="L299" i="10"/>
  <c r="M299" i="10"/>
  <c r="R299" i="10"/>
  <c r="AB89" i="10"/>
  <c r="U90" i="10"/>
  <c r="D300" i="10"/>
  <c r="B300" i="10"/>
  <c r="F300" i="10"/>
  <c r="I300" i="10"/>
  <c r="J300" i="10"/>
  <c r="L300" i="10"/>
  <c r="M300" i="10"/>
  <c r="D301" i="10"/>
  <c r="B301" i="10"/>
  <c r="F301" i="10"/>
  <c r="I301" i="10"/>
  <c r="J301" i="10"/>
  <c r="L301" i="10"/>
  <c r="M301" i="10"/>
  <c r="D302" i="10"/>
  <c r="B302" i="10"/>
  <c r="F302" i="10"/>
  <c r="I302" i="10"/>
  <c r="J302" i="10"/>
  <c r="L302" i="10"/>
  <c r="M302" i="10"/>
  <c r="R302" i="10"/>
  <c r="AB90" i="10"/>
  <c r="U91" i="10"/>
  <c r="D303" i="10"/>
  <c r="B303" i="10"/>
  <c r="F303" i="10"/>
  <c r="I303" i="10"/>
  <c r="J303" i="10"/>
  <c r="L303" i="10"/>
  <c r="M303" i="10"/>
  <c r="D304" i="10"/>
  <c r="B304" i="10"/>
  <c r="F304" i="10"/>
  <c r="I304" i="10"/>
  <c r="J304" i="10"/>
  <c r="L304" i="10"/>
  <c r="M304" i="10"/>
  <c r="D305" i="10"/>
  <c r="B305" i="10"/>
  <c r="F305" i="10"/>
  <c r="I305" i="10"/>
  <c r="J305" i="10"/>
  <c r="L305" i="10"/>
  <c r="M305" i="10"/>
  <c r="R305" i="10"/>
  <c r="AB91" i="10"/>
  <c r="U92" i="10"/>
  <c r="D306" i="10"/>
  <c r="B306" i="10"/>
  <c r="F306" i="10"/>
  <c r="I306" i="10"/>
  <c r="J306" i="10"/>
  <c r="L306" i="10"/>
  <c r="M306" i="10"/>
  <c r="D307" i="10"/>
  <c r="B307" i="10"/>
  <c r="F307" i="10"/>
  <c r="I307" i="10"/>
  <c r="J307" i="10"/>
  <c r="L307" i="10"/>
  <c r="M307" i="10"/>
  <c r="D308" i="10"/>
  <c r="B308" i="10"/>
  <c r="F308" i="10"/>
  <c r="I308" i="10"/>
  <c r="J308" i="10"/>
  <c r="L308" i="10"/>
  <c r="M308" i="10"/>
  <c r="R308" i="10"/>
  <c r="AB92" i="10"/>
  <c r="U93" i="10"/>
  <c r="D309" i="10"/>
  <c r="B309" i="10"/>
  <c r="F309" i="10"/>
  <c r="I309" i="10"/>
  <c r="J309" i="10"/>
  <c r="L309" i="10"/>
  <c r="M309" i="10"/>
  <c r="D310" i="10"/>
  <c r="B310" i="10"/>
  <c r="F310" i="10"/>
  <c r="I310" i="10"/>
  <c r="J310" i="10"/>
  <c r="L310" i="10"/>
  <c r="M310" i="10"/>
  <c r="D311" i="10"/>
  <c r="B311" i="10"/>
  <c r="F311" i="10"/>
  <c r="I311" i="10"/>
  <c r="J311" i="10"/>
  <c r="L311" i="10"/>
  <c r="M311" i="10"/>
  <c r="R311" i="10"/>
  <c r="AB93" i="10"/>
  <c r="U94" i="10"/>
  <c r="D312" i="10"/>
  <c r="B312" i="10"/>
  <c r="F312" i="10"/>
  <c r="I312" i="10"/>
  <c r="J312" i="10"/>
  <c r="L312" i="10"/>
  <c r="M312" i="10"/>
  <c r="D313" i="10"/>
  <c r="B313" i="10"/>
  <c r="F313" i="10"/>
  <c r="I313" i="10"/>
  <c r="J313" i="10"/>
  <c r="L313" i="10"/>
  <c r="M313" i="10"/>
  <c r="D314" i="10"/>
  <c r="B314" i="10"/>
  <c r="F314" i="10"/>
  <c r="I314" i="10"/>
  <c r="J314" i="10"/>
  <c r="L314" i="10"/>
  <c r="M314" i="10"/>
  <c r="R314" i="10"/>
  <c r="AB94" i="10"/>
  <c r="U95" i="10"/>
  <c r="D315" i="10"/>
  <c r="B315" i="10"/>
  <c r="F315" i="10"/>
  <c r="I315" i="10"/>
  <c r="J315" i="10"/>
  <c r="L315" i="10"/>
  <c r="M315" i="10"/>
  <c r="D316" i="10"/>
  <c r="B316" i="10"/>
  <c r="F316" i="10"/>
  <c r="I316" i="10"/>
  <c r="J316" i="10"/>
  <c r="L316" i="10"/>
  <c r="M316" i="10"/>
  <c r="D317" i="10"/>
  <c r="B317" i="10"/>
  <c r="F317" i="10"/>
  <c r="I317" i="10"/>
  <c r="J317" i="10"/>
  <c r="L317" i="10"/>
  <c r="M317" i="10"/>
  <c r="R317" i="10"/>
  <c r="AB95" i="10"/>
  <c r="U96" i="10"/>
  <c r="D318" i="10"/>
  <c r="B318" i="10"/>
  <c r="F318" i="10"/>
  <c r="I318" i="10"/>
  <c r="J318" i="10"/>
  <c r="L318" i="10"/>
  <c r="M318" i="10"/>
  <c r="D319" i="10"/>
  <c r="B319" i="10"/>
  <c r="F319" i="10"/>
  <c r="I319" i="10"/>
  <c r="J319" i="10"/>
  <c r="L319" i="10"/>
  <c r="M319" i="10"/>
  <c r="D320" i="10"/>
  <c r="B320" i="10"/>
  <c r="F320" i="10"/>
  <c r="I320" i="10"/>
  <c r="J320" i="10"/>
  <c r="L320" i="10"/>
  <c r="M320" i="10"/>
  <c r="R320" i="10"/>
  <c r="AB96" i="10"/>
  <c r="U97" i="10"/>
  <c r="D321" i="10"/>
  <c r="B321" i="10"/>
  <c r="F321" i="10"/>
  <c r="I321" i="10"/>
  <c r="J321" i="10"/>
  <c r="L321" i="10"/>
  <c r="M321" i="10"/>
  <c r="D322" i="10"/>
  <c r="B322" i="10"/>
  <c r="F322" i="10"/>
  <c r="I322" i="10"/>
  <c r="J322" i="10"/>
  <c r="L322" i="10"/>
  <c r="M322" i="10"/>
  <c r="D323" i="10"/>
  <c r="B323" i="10"/>
  <c r="F323" i="10"/>
  <c r="I323" i="10"/>
  <c r="J323" i="10"/>
  <c r="L323" i="10"/>
  <c r="M323" i="10"/>
  <c r="R323" i="10"/>
  <c r="AB97" i="10"/>
  <c r="U98" i="10"/>
  <c r="D324" i="10"/>
  <c r="B324" i="10"/>
  <c r="F324" i="10"/>
  <c r="I324" i="10"/>
  <c r="J324" i="10"/>
  <c r="L324" i="10"/>
  <c r="M324" i="10"/>
  <c r="D325" i="10"/>
  <c r="B325" i="10"/>
  <c r="F325" i="10"/>
  <c r="I325" i="10"/>
  <c r="J325" i="10"/>
  <c r="L325" i="10"/>
  <c r="M325" i="10"/>
  <c r="D326" i="10"/>
  <c r="B326" i="10"/>
  <c r="F326" i="10"/>
  <c r="I326" i="10"/>
  <c r="J326" i="10"/>
  <c r="L326" i="10"/>
  <c r="M326" i="10"/>
  <c r="R326" i="10"/>
  <c r="AB98" i="10"/>
  <c r="U99" i="10"/>
  <c r="D327" i="10"/>
  <c r="B327" i="10"/>
  <c r="F327" i="10"/>
  <c r="I327" i="10"/>
  <c r="J327" i="10"/>
  <c r="L327" i="10"/>
  <c r="M327" i="10"/>
  <c r="D328" i="10"/>
  <c r="B328" i="10"/>
  <c r="F328" i="10"/>
  <c r="I328" i="10"/>
  <c r="J328" i="10"/>
  <c r="L328" i="10"/>
  <c r="M328" i="10"/>
  <c r="D329" i="10"/>
  <c r="B329" i="10"/>
  <c r="F329" i="10"/>
  <c r="I329" i="10"/>
  <c r="J329" i="10"/>
  <c r="L329" i="10"/>
  <c r="M329" i="10"/>
  <c r="R329" i="10"/>
  <c r="AB99" i="10"/>
  <c r="U100" i="10"/>
  <c r="D330" i="10"/>
  <c r="B330" i="10"/>
  <c r="F330" i="10"/>
  <c r="I330" i="10"/>
  <c r="J330" i="10"/>
  <c r="L330" i="10"/>
  <c r="M330" i="10"/>
  <c r="D331" i="10"/>
  <c r="B331" i="10"/>
  <c r="F331" i="10"/>
  <c r="I331" i="10"/>
  <c r="J331" i="10"/>
  <c r="L331" i="10"/>
  <c r="M331" i="10"/>
  <c r="D332" i="10"/>
  <c r="B332" i="10"/>
  <c r="F332" i="10"/>
  <c r="I332" i="10"/>
  <c r="J332" i="10"/>
  <c r="L332" i="10"/>
  <c r="M332" i="10"/>
  <c r="R332" i="10"/>
  <c r="AB100" i="10"/>
  <c r="U101" i="10"/>
  <c r="D333" i="10"/>
  <c r="B333" i="10"/>
  <c r="F333" i="10"/>
  <c r="I333" i="10"/>
  <c r="J333" i="10"/>
  <c r="L333" i="10"/>
  <c r="M333" i="10"/>
  <c r="D334" i="10"/>
  <c r="B334" i="10"/>
  <c r="F334" i="10"/>
  <c r="I334" i="10"/>
  <c r="J334" i="10"/>
  <c r="L334" i="10"/>
  <c r="M334" i="10"/>
  <c r="D335" i="10"/>
  <c r="B335" i="10"/>
  <c r="F335" i="10"/>
  <c r="I335" i="10"/>
  <c r="J335" i="10"/>
  <c r="L335" i="10"/>
  <c r="M335" i="10"/>
  <c r="R335" i="10"/>
  <c r="AB101" i="10"/>
  <c r="U102" i="10"/>
  <c r="D336" i="10"/>
  <c r="B336" i="10"/>
  <c r="F336" i="10"/>
  <c r="I336" i="10"/>
  <c r="J336" i="10"/>
  <c r="L336" i="10"/>
  <c r="M336" i="10"/>
  <c r="D337" i="10"/>
  <c r="B337" i="10"/>
  <c r="F337" i="10"/>
  <c r="I337" i="10"/>
  <c r="J337" i="10"/>
  <c r="L337" i="10"/>
  <c r="M337" i="10"/>
  <c r="D338" i="10"/>
  <c r="B338" i="10"/>
  <c r="F338" i="10"/>
  <c r="I338" i="10"/>
  <c r="J338" i="10"/>
  <c r="L338" i="10"/>
  <c r="M338" i="10"/>
  <c r="R338" i="10"/>
  <c r="AB102" i="10"/>
  <c r="U103" i="10"/>
  <c r="D339" i="10"/>
  <c r="B339" i="10"/>
  <c r="F339" i="10"/>
  <c r="I339" i="10"/>
  <c r="J339" i="10"/>
  <c r="L339" i="10"/>
  <c r="M339" i="10"/>
  <c r="D340" i="10"/>
  <c r="B340" i="10"/>
  <c r="F340" i="10"/>
  <c r="I340" i="10"/>
  <c r="J340" i="10"/>
  <c r="L340" i="10"/>
  <c r="M340" i="10"/>
  <c r="D341" i="10"/>
  <c r="B341" i="10"/>
  <c r="F341" i="10"/>
  <c r="I341" i="10"/>
  <c r="J341" i="10"/>
  <c r="L341" i="10"/>
  <c r="M341" i="10"/>
  <c r="R341" i="10"/>
  <c r="AB103" i="10"/>
  <c r="U104" i="10"/>
  <c r="D342" i="10"/>
  <c r="B342" i="10"/>
  <c r="F342" i="10"/>
  <c r="I342" i="10"/>
  <c r="J342" i="10"/>
  <c r="L342" i="10"/>
  <c r="M342" i="10"/>
  <c r="D343" i="10"/>
  <c r="B343" i="10"/>
  <c r="F343" i="10"/>
  <c r="I343" i="10"/>
  <c r="J343" i="10"/>
  <c r="L343" i="10"/>
  <c r="M343" i="10"/>
  <c r="D344" i="10"/>
  <c r="B344" i="10"/>
  <c r="F344" i="10"/>
  <c r="I344" i="10"/>
  <c r="J344" i="10"/>
  <c r="L344" i="10"/>
  <c r="M344" i="10"/>
  <c r="R344" i="10"/>
  <c r="AB104" i="10"/>
  <c r="U105" i="10"/>
  <c r="D345" i="10"/>
  <c r="B345" i="10"/>
  <c r="F345" i="10"/>
  <c r="I345" i="10"/>
  <c r="J345" i="10"/>
  <c r="L345" i="10"/>
  <c r="M345" i="10"/>
  <c r="D346" i="10"/>
  <c r="B346" i="10"/>
  <c r="F346" i="10"/>
  <c r="I346" i="10"/>
  <c r="J346" i="10"/>
  <c r="L346" i="10"/>
  <c r="M346" i="10"/>
  <c r="D347" i="10"/>
  <c r="B347" i="10"/>
  <c r="F347" i="10"/>
  <c r="I347" i="10"/>
  <c r="J347" i="10"/>
  <c r="L347" i="10"/>
  <c r="M347" i="10"/>
  <c r="R347" i="10"/>
  <c r="AB105" i="10"/>
  <c r="U106" i="10"/>
  <c r="D348" i="10"/>
  <c r="B348" i="10"/>
  <c r="F348" i="10"/>
  <c r="I348" i="10"/>
  <c r="J348" i="10"/>
  <c r="L348" i="10"/>
  <c r="M348" i="10"/>
  <c r="D349" i="10"/>
  <c r="B349" i="10"/>
  <c r="F349" i="10"/>
  <c r="I349" i="10"/>
  <c r="J349" i="10"/>
  <c r="L349" i="10"/>
  <c r="M349" i="10"/>
  <c r="D350" i="10"/>
  <c r="B350" i="10"/>
  <c r="F350" i="10"/>
  <c r="I350" i="10"/>
  <c r="J350" i="10"/>
  <c r="L350" i="10"/>
  <c r="M350" i="10"/>
  <c r="R350" i="10"/>
  <c r="AB106" i="10"/>
  <c r="U107" i="10"/>
  <c r="D351" i="10"/>
  <c r="B351" i="10"/>
  <c r="F351" i="10"/>
  <c r="I351" i="10"/>
  <c r="J351" i="10"/>
  <c r="L351" i="10"/>
  <c r="M351" i="10"/>
  <c r="D352" i="10"/>
  <c r="B352" i="10"/>
  <c r="F352" i="10"/>
  <c r="I352" i="10"/>
  <c r="J352" i="10"/>
  <c r="L352" i="10"/>
  <c r="M352" i="10"/>
  <c r="D353" i="10"/>
  <c r="B353" i="10"/>
  <c r="F353" i="10"/>
  <c r="I353" i="10"/>
  <c r="J353" i="10"/>
  <c r="L353" i="10"/>
  <c r="M353" i="10"/>
  <c r="R353" i="10"/>
  <c r="AB107" i="10"/>
  <c r="U108" i="10"/>
  <c r="D354" i="10"/>
  <c r="B354" i="10"/>
  <c r="F354" i="10"/>
  <c r="I354" i="10"/>
  <c r="J354" i="10"/>
  <c r="L354" i="10"/>
  <c r="M354" i="10"/>
  <c r="D355" i="10"/>
  <c r="B355" i="10"/>
  <c r="F355" i="10"/>
  <c r="I355" i="10"/>
  <c r="J355" i="10"/>
  <c r="L355" i="10"/>
  <c r="M355" i="10"/>
  <c r="D356" i="10"/>
  <c r="B356" i="10"/>
  <c r="F356" i="10"/>
  <c r="I356" i="10"/>
  <c r="J356" i="10"/>
  <c r="L356" i="10"/>
  <c r="M356" i="10"/>
  <c r="R356" i="10"/>
  <c r="AB108" i="10"/>
  <c r="U109" i="10"/>
  <c r="D357" i="10"/>
  <c r="B357" i="10"/>
  <c r="F357" i="10"/>
  <c r="I357" i="10"/>
  <c r="J357" i="10"/>
  <c r="L357" i="10"/>
  <c r="M357" i="10"/>
  <c r="D358" i="10"/>
  <c r="B358" i="10"/>
  <c r="F358" i="10"/>
  <c r="I358" i="10"/>
  <c r="J358" i="10"/>
  <c r="L358" i="10"/>
  <c r="M358" i="10"/>
  <c r="D359" i="10"/>
  <c r="B359" i="10"/>
  <c r="F359" i="10"/>
  <c r="I359" i="10"/>
  <c r="J359" i="10"/>
  <c r="L359" i="10"/>
  <c r="M359" i="10"/>
  <c r="R359" i="10"/>
  <c r="AB109" i="10"/>
  <c r="U110" i="10"/>
  <c r="D360" i="10"/>
  <c r="B360" i="10"/>
  <c r="F360" i="10"/>
  <c r="I360" i="10"/>
  <c r="J360" i="10"/>
  <c r="L360" i="10"/>
  <c r="M360" i="10"/>
  <c r="D361" i="10"/>
  <c r="B361" i="10"/>
  <c r="F361" i="10"/>
  <c r="I361" i="10"/>
  <c r="J361" i="10"/>
  <c r="L361" i="10"/>
  <c r="M361" i="10"/>
  <c r="D362" i="10"/>
  <c r="B362" i="10"/>
  <c r="F362" i="10"/>
  <c r="I362" i="10"/>
  <c r="J362" i="10"/>
  <c r="L362" i="10"/>
  <c r="M362" i="10"/>
  <c r="R362" i="10"/>
  <c r="AB110" i="10"/>
  <c r="U111" i="10"/>
  <c r="D363" i="10"/>
  <c r="B363" i="10"/>
  <c r="F363" i="10"/>
  <c r="I363" i="10"/>
  <c r="J363" i="10"/>
  <c r="L363" i="10"/>
  <c r="M363" i="10"/>
  <c r="D364" i="10"/>
  <c r="B364" i="10"/>
  <c r="F364" i="10"/>
  <c r="I364" i="10"/>
  <c r="J364" i="10"/>
  <c r="L364" i="10"/>
  <c r="M364" i="10"/>
  <c r="D365" i="10"/>
  <c r="B365" i="10"/>
  <c r="F365" i="10"/>
  <c r="I365" i="10"/>
  <c r="J365" i="10"/>
  <c r="L365" i="10"/>
  <c r="M365" i="10"/>
  <c r="R365" i="10"/>
  <c r="AB111" i="10"/>
  <c r="U112" i="10"/>
  <c r="D366" i="10"/>
  <c r="B366" i="10"/>
  <c r="F366" i="10"/>
  <c r="I366" i="10"/>
  <c r="J366" i="10"/>
  <c r="L366" i="10"/>
  <c r="M366" i="10"/>
  <c r="D367" i="10"/>
  <c r="B367" i="10"/>
  <c r="F367" i="10"/>
  <c r="I367" i="10"/>
  <c r="J367" i="10"/>
  <c r="L367" i="10"/>
  <c r="M367" i="10"/>
  <c r="D368" i="10"/>
  <c r="B368" i="10"/>
  <c r="F368" i="10"/>
  <c r="I368" i="10"/>
  <c r="J368" i="10"/>
  <c r="L368" i="10"/>
  <c r="M368" i="10"/>
  <c r="R368" i="10"/>
  <c r="AB112" i="10"/>
  <c r="U113" i="10"/>
  <c r="D369" i="10"/>
  <c r="B369" i="10"/>
  <c r="F369" i="10"/>
  <c r="I369" i="10"/>
  <c r="J369" i="10"/>
  <c r="L369" i="10"/>
  <c r="M369" i="10"/>
  <c r="D370" i="10"/>
  <c r="B370" i="10"/>
  <c r="F370" i="10"/>
  <c r="I370" i="10"/>
  <c r="J370" i="10"/>
  <c r="L370" i="10"/>
  <c r="M370" i="10"/>
  <c r="D371" i="10"/>
  <c r="B371" i="10"/>
  <c r="F371" i="10"/>
  <c r="I371" i="10"/>
  <c r="J371" i="10"/>
  <c r="L371" i="10"/>
  <c r="M371" i="10"/>
  <c r="R371" i="10"/>
  <c r="AB113" i="10"/>
  <c r="U114" i="10"/>
  <c r="D372" i="10"/>
  <c r="B372" i="10"/>
  <c r="F372" i="10"/>
  <c r="I372" i="10"/>
  <c r="J372" i="10"/>
  <c r="L372" i="10"/>
  <c r="M372" i="10"/>
  <c r="D373" i="10"/>
  <c r="B373" i="10"/>
  <c r="F373" i="10"/>
  <c r="I373" i="10"/>
  <c r="J373" i="10"/>
  <c r="L373" i="10"/>
  <c r="M373" i="10"/>
  <c r="D374" i="10"/>
  <c r="B374" i="10"/>
  <c r="F374" i="10"/>
  <c r="I374" i="10"/>
  <c r="J374" i="10"/>
  <c r="L374" i="10"/>
  <c r="M374" i="10"/>
  <c r="R374" i="10"/>
  <c r="AB114" i="10"/>
  <c r="U115" i="10"/>
  <c r="D375" i="10"/>
  <c r="B375" i="10"/>
  <c r="F375" i="10"/>
  <c r="I375" i="10"/>
  <c r="J375" i="10"/>
  <c r="L375" i="10"/>
  <c r="M375" i="10"/>
  <c r="D376" i="10"/>
  <c r="B376" i="10"/>
  <c r="F376" i="10"/>
  <c r="I376" i="10"/>
  <c r="J376" i="10"/>
  <c r="L376" i="10"/>
  <c r="M376" i="10"/>
  <c r="D377" i="10"/>
  <c r="B377" i="10"/>
  <c r="F377" i="10"/>
  <c r="I377" i="10"/>
  <c r="J377" i="10"/>
  <c r="L377" i="10"/>
  <c r="M377" i="10"/>
  <c r="R377" i="10"/>
  <c r="AB115" i="10"/>
  <c r="U116" i="10"/>
  <c r="D378" i="10"/>
  <c r="B378" i="10"/>
  <c r="F378" i="10"/>
  <c r="I378" i="10"/>
  <c r="J378" i="10"/>
  <c r="L378" i="10"/>
  <c r="M378" i="10"/>
  <c r="D379" i="10"/>
  <c r="B379" i="10"/>
  <c r="F379" i="10"/>
  <c r="I379" i="10"/>
  <c r="J379" i="10"/>
  <c r="L379" i="10"/>
  <c r="M379" i="10"/>
  <c r="D380" i="10"/>
  <c r="B380" i="10"/>
  <c r="F380" i="10"/>
  <c r="I380" i="10"/>
  <c r="J380" i="10"/>
  <c r="L380" i="10"/>
  <c r="M380" i="10"/>
  <c r="R380" i="10"/>
  <c r="AB116" i="10"/>
  <c r="U117" i="10"/>
  <c r="D381" i="10"/>
  <c r="B381" i="10"/>
  <c r="F381" i="10"/>
  <c r="I381" i="10"/>
  <c r="J381" i="10"/>
  <c r="L381" i="10"/>
  <c r="M381" i="10"/>
  <c r="D382" i="10"/>
  <c r="B382" i="10"/>
  <c r="F382" i="10"/>
  <c r="I382" i="10"/>
  <c r="J382" i="10"/>
  <c r="L382" i="10"/>
  <c r="M382" i="10"/>
  <c r="D383" i="10"/>
  <c r="B383" i="10"/>
  <c r="F383" i="10"/>
  <c r="I383" i="10"/>
  <c r="J383" i="10"/>
  <c r="L383" i="10"/>
  <c r="M383" i="10"/>
  <c r="R383" i="10"/>
  <c r="AB117" i="10"/>
  <c r="U118" i="10"/>
  <c r="D384" i="10"/>
  <c r="B384" i="10"/>
  <c r="F384" i="10"/>
  <c r="I384" i="10"/>
  <c r="J384" i="10"/>
  <c r="L384" i="10"/>
  <c r="M384" i="10"/>
  <c r="D385" i="10"/>
  <c r="B385" i="10"/>
  <c r="F385" i="10"/>
  <c r="I385" i="10"/>
  <c r="J385" i="10"/>
  <c r="L385" i="10"/>
  <c r="M385" i="10"/>
  <c r="D386" i="10"/>
  <c r="B386" i="10"/>
  <c r="F386" i="10"/>
  <c r="I386" i="10"/>
  <c r="J386" i="10"/>
  <c r="L386" i="10"/>
  <c r="M386" i="10"/>
  <c r="R386" i="10"/>
  <c r="AB118" i="10"/>
  <c r="U119" i="10"/>
  <c r="D387" i="10"/>
  <c r="B387" i="10"/>
  <c r="F387" i="10"/>
  <c r="I387" i="10"/>
  <c r="J387" i="10"/>
  <c r="L387" i="10"/>
  <c r="M387" i="10"/>
  <c r="D388" i="10"/>
  <c r="B388" i="10"/>
  <c r="F388" i="10"/>
  <c r="I388" i="10"/>
  <c r="J388" i="10"/>
  <c r="L388" i="10"/>
  <c r="M388" i="10"/>
  <c r="D389" i="10"/>
  <c r="B389" i="10"/>
  <c r="F389" i="10"/>
  <c r="I389" i="10"/>
  <c r="J389" i="10"/>
  <c r="L389" i="10"/>
  <c r="M389" i="10"/>
  <c r="R389" i="10"/>
  <c r="AB119" i="10"/>
  <c r="U120" i="10"/>
  <c r="D390" i="10"/>
  <c r="B390" i="10"/>
  <c r="F390" i="10"/>
  <c r="I390" i="10"/>
  <c r="J390" i="10"/>
  <c r="L390" i="10"/>
  <c r="M390" i="10"/>
  <c r="D391" i="10"/>
  <c r="B391" i="10"/>
  <c r="F391" i="10"/>
  <c r="I391" i="10"/>
  <c r="J391" i="10"/>
  <c r="L391" i="10"/>
  <c r="M391" i="10"/>
  <c r="D392" i="10"/>
  <c r="B392" i="10"/>
  <c r="F392" i="10"/>
  <c r="I392" i="10"/>
  <c r="J392" i="10"/>
  <c r="L392" i="10"/>
  <c r="M392" i="10"/>
  <c r="R392" i="10"/>
  <c r="AB120" i="10"/>
  <c r="U121" i="10"/>
  <c r="A396" i="10"/>
  <c r="D393" i="10"/>
  <c r="B393" i="10"/>
  <c r="F393" i="10"/>
  <c r="I393" i="10"/>
  <c r="J393" i="10"/>
  <c r="L393" i="10"/>
  <c r="M393" i="10"/>
  <c r="D394" i="10"/>
  <c r="B394" i="10"/>
  <c r="F394" i="10"/>
  <c r="I394" i="10"/>
  <c r="J394" i="10"/>
  <c r="L394" i="10"/>
  <c r="M394" i="10"/>
  <c r="D395" i="10"/>
  <c r="B395" i="10"/>
  <c r="F395" i="10"/>
  <c r="I395" i="10"/>
  <c r="J395" i="10"/>
  <c r="L395" i="10"/>
  <c r="M395" i="10"/>
  <c r="R395" i="10"/>
  <c r="AB121" i="10"/>
  <c r="U122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D396" i="10"/>
  <c r="B396" i="10"/>
  <c r="F396" i="10"/>
  <c r="I396" i="10"/>
  <c r="J396" i="10"/>
  <c r="L396" i="10"/>
  <c r="M396" i="10"/>
  <c r="D397" i="10"/>
  <c r="B397" i="10"/>
  <c r="F397" i="10"/>
  <c r="I397" i="10"/>
  <c r="J397" i="10"/>
  <c r="L397" i="10"/>
  <c r="M397" i="10"/>
  <c r="D398" i="10"/>
  <c r="B398" i="10"/>
  <c r="F398" i="10"/>
  <c r="I398" i="10"/>
  <c r="J398" i="10"/>
  <c r="L398" i="10"/>
  <c r="M398" i="10"/>
  <c r="R398" i="10"/>
  <c r="AB122" i="10"/>
  <c r="U123" i="10"/>
  <c r="D399" i="10"/>
  <c r="B399" i="10"/>
  <c r="F399" i="10"/>
  <c r="I399" i="10"/>
  <c r="J399" i="10"/>
  <c r="L399" i="10"/>
  <c r="M399" i="10"/>
  <c r="D400" i="10"/>
  <c r="B400" i="10"/>
  <c r="F400" i="10"/>
  <c r="I400" i="10"/>
  <c r="J400" i="10"/>
  <c r="L400" i="10"/>
  <c r="M400" i="10"/>
  <c r="D401" i="10"/>
  <c r="B401" i="10"/>
  <c r="F401" i="10"/>
  <c r="I401" i="10"/>
  <c r="J401" i="10"/>
  <c r="L401" i="10"/>
  <c r="M401" i="10"/>
  <c r="R401" i="10"/>
  <c r="AB123" i="10"/>
  <c r="U124" i="10"/>
  <c r="D402" i="10"/>
  <c r="B402" i="10"/>
  <c r="F402" i="10"/>
  <c r="I402" i="10"/>
  <c r="J402" i="10"/>
  <c r="L402" i="10"/>
  <c r="M402" i="10"/>
  <c r="D403" i="10"/>
  <c r="B403" i="10"/>
  <c r="F403" i="10"/>
  <c r="I403" i="10"/>
  <c r="J403" i="10"/>
  <c r="L403" i="10"/>
  <c r="M403" i="10"/>
  <c r="D404" i="10"/>
  <c r="B404" i="10"/>
  <c r="F404" i="10"/>
  <c r="I404" i="10"/>
  <c r="J404" i="10"/>
  <c r="L404" i="10"/>
  <c r="M404" i="10"/>
  <c r="R404" i="10"/>
  <c r="AB124" i="10"/>
  <c r="U125" i="10"/>
  <c r="D405" i="10"/>
  <c r="B405" i="10"/>
  <c r="F405" i="10"/>
  <c r="I405" i="10"/>
  <c r="J405" i="10"/>
  <c r="L405" i="10"/>
  <c r="M405" i="10"/>
  <c r="D406" i="10"/>
  <c r="B406" i="10"/>
  <c r="F406" i="10"/>
  <c r="I406" i="10"/>
  <c r="J406" i="10"/>
  <c r="L406" i="10"/>
  <c r="M406" i="10"/>
  <c r="D407" i="10"/>
  <c r="B407" i="10"/>
  <c r="F407" i="10"/>
  <c r="I407" i="10"/>
  <c r="J407" i="10"/>
  <c r="L407" i="10"/>
  <c r="M407" i="10"/>
  <c r="R407" i="10"/>
  <c r="AB125" i="10"/>
  <c r="U126" i="10"/>
  <c r="D408" i="10"/>
  <c r="B408" i="10"/>
  <c r="F408" i="10"/>
  <c r="I408" i="10"/>
  <c r="J408" i="10"/>
  <c r="L408" i="10"/>
  <c r="M408" i="10"/>
  <c r="D409" i="10"/>
  <c r="B409" i="10"/>
  <c r="F409" i="10"/>
  <c r="I409" i="10"/>
  <c r="J409" i="10"/>
  <c r="L409" i="10"/>
  <c r="M409" i="10"/>
  <c r="D410" i="10"/>
  <c r="B410" i="10"/>
  <c r="F410" i="10"/>
  <c r="I410" i="10"/>
  <c r="J410" i="10"/>
  <c r="L410" i="10"/>
  <c r="M410" i="10"/>
  <c r="R410" i="10"/>
  <c r="AB126" i="10"/>
  <c r="U127" i="10"/>
  <c r="D411" i="10"/>
  <c r="B411" i="10"/>
  <c r="F411" i="10"/>
  <c r="I411" i="10"/>
  <c r="J411" i="10"/>
  <c r="L411" i="10"/>
  <c r="M411" i="10"/>
  <c r="D412" i="10"/>
  <c r="B412" i="10"/>
  <c r="F412" i="10"/>
  <c r="I412" i="10"/>
  <c r="J412" i="10"/>
  <c r="L412" i="10"/>
  <c r="M412" i="10"/>
  <c r="D413" i="10"/>
  <c r="B413" i="10"/>
  <c r="F413" i="10"/>
  <c r="I413" i="10"/>
  <c r="J413" i="10"/>
  <c r="L413" i="10"/>
  <c r="M413" i="10"/>
  <c r="R413" i="10"/>
  <c r="AB127" i="10"/>
  <c r="U128" i="10"/>
  <c r="D414" i="10"/>
  <c r="B414" i="10"/>
  <c r="F414" i="10"/>
  <c r="I414" i="10"/>
  <c r="J414" i="10"/>
  <c r="L414" i="10"/>
  <c r="M414" i="10"/>
  <c r="D415" i="10"/>
  <c r="B415" i="10"/>
  <c r="F415" i="10"/>
  <c r="I415" i="10"/>
  <c r="J415" i="10"/>
  <c r="L415" i="10"/>
  <c r="M415" i="10"/>
  <c r="D416" i="10"/>
  <c r="B416" i="10"/>
  <c r="F416" i="10"/>
  <c r="I416" i="10"/>
  <c r="J416" i="10"/>
  <c r="L416" i="10"/>
  <c r="M416" i="10"/>
  <c r="R416" i="10"/>
  <c r="AB128" i="10"/>
  <c r="U129" i="10"/>
  <c r="D417" i="10"/>
  <c r="B417" i="10"/>
  <c r="F417" i="10"/>
  <c r="I417" i="10"/>
  <c r="J417" i="10"/>
  <c r="L417" i="10"/>
  <c r="M417" i="10"/>
  <c r="D418" i="10"/>
  <c r="B418" i="10"/>
  <c r="F418" i="10"/>
  <c r="I418" i="10"/>
  <c r="J418" i="10"/>
  <c r="L418" i="10"/>
  <c r="M418" i="10"/>
  <c r="D419" i="10"/>
  <c r="B419" i="10"/>
  <c r="F419" i="10"/>
  <c r="I419" i="10"/>
  <c r="J419" i="10"/>
  <c r="L419" i="10"/>
  <c r="M419" i="10"/>
  <c r="R419" i="10"/>
  <c r="AB129" i="10"/>
  <c r="U130" i="10"/>
  <c r="D420" i="10"/>
  <c r="B420" i="10"/>
  <c r="F420" i="10"/>
  <c r="I420" i="10"/>
  <c r="J420" i="10"/>
  <c r="L420" i="10"/>
  <c r="M420" i="10"/>
  <c r="D421" i="10"/>
  <c r="B421" i="10"/>
  <c r="F421" i="10"/>
  <c r="I421" i="10"/>
  <c r="J421" i="10"/>
  <c r="L421" i="10"/>
  <c r="M421" i="10"/>
  <c r="D422" i="10"/>
  <c r="B422" i="10"/>
  <c r="F422" i="10"/>
  <c r="I422" i="10"/>
  <c r="J422" i="10"/>
  <c r="L422" i="10"/>
  <c r="M422" i="10"/>
  <c r="R422" i="10"/>
  <c r="AB130" i="10"/>
  <c r="U131" i="10"/>
  <c r="D423" i="10"/>
  <c r="B423" i="10"/>
  <c r="F423" i="10"/>
  <c r="I423" i="10"/>
  <c r="J423" i="10"/>
  <c r="L423" i="10"/>
  <c r="M423" i="10"/>
  <c r="D424" i="10"/>
  <c r="B424" i="10"/>
  <c r="F424" i="10"/>
  <c r="I424" i="10"/>
  <c r="J424" i="10"/>
  <c r="L424" i="10"/>
  <c r="M424" i="10"/>
  <c r="D425" i="10"/>
  <c r="B425" i="10"/>
  <c r="F425" i="10"/>
  <c r="I425" i="10"/>
  <c r="J425" i="10"/>
  <c r="L425" i="10"/>
  <c r="M425" i="10"/>
  <c r="R425" i="10"/>
  <c r="AB131" i="10"/>
  <c r="U132" i="10"/>
  <c r="D426" i="10"/>
  <c r="B426" i="10"/>
  <c r="F426" i="10"/>
  <c r="I426" i="10"/>
  <c r="J426" i="10"/>
  <c r="L426" i="10"/>
  <c r="M426" i="10"/>
  <c r="D427" i="10"/>
  <c r="B427" i="10"/>
  <c r="F427" i="10"/>
  <c r="I427" i="10"/>
  <c r="J427" i="10"/>
  <c r="L427" i="10"/>
  <c r="M427" i="10"/>
  <c r="D428" i="10"/>
  <c r="B428" i="10"/>
  <c r="F428" i="10"/>
  <c r="I428" i="10"/>
  <c r="J428" i="10"/>
  <c r="L428" i="10"/>
  <c r="M428" i="10"/>
  <c r="R428" i="10"/>
  <c r="AB132" i="10"/>
  <c r="U133" i="10"/>
  <c r="D429" i="10"/>
  <c r="B429" i="10"/>
  <c r="F429" i="10"/>
  <c r="I429" i="10"/>
  <c r="J429" i="10"/>
  <c r="L429" i="10"/>
  <c r="M429" i="10"/>
  <c r="D430" i="10"/>
  <c r="B430" i="10"/>
  <c r="F430" i="10"/>
  <c r="I430" i="10"/>
  <c r="J430" i="10"/>
  <c r="L430" i="10"/>
  <c r="M430" i="10"/>
  <c r="D431" i="10"/>
  <c r="B431" i="10"/>
  <c r="F431" i="10"/>
  <c r="I431" i="10"/>
  <c r="J431" i="10"/>
  <c r="L431" i="10"/>
  <c r="M431" i="10"/>
  <c r="R431" i="10"/>
  <c r="AB133" i="10"/>
  <c r="U134" i="10"/>
  <c r="D432" i="10"/>
  <c r="B432" i="10"/>
  <c r="F432" i="10"/>
  <c r="I432" i="10"/>
  <c r="J432" i="10"/>
  <c r="L432" i="10"/>
  <c r="M432" i="10"/>
  <c r="D433" i="10"/>
  <c r="B433" i="10"/>
  <c r="F433" i="10"/>
  <c r="I433" i="10"/>
  <c r="J433" i="10"/>
  <c r="L433" i="10"/>
  <c r="M433" i="10"/>
  <c r="D434" i="10"/>
  <c r="B434" i="10"/>
  <c r="F434" i="10"/>
  <c r="I434" i="10"/>
  <c r="J434" i="10"/>
  <c r="L434" i="10"/>
  <c r="M434" i="10"/>
  <c r="R434" i="10"/>
  <c r="AB134" i="10"/>
  <c r="U135" i="10"/>
  <c r="D435" i="10"/>
  <c r="B435" i="10"/>
  <c r="F435" i="10"/>
  <c r="I435" i="10"/>
  <c r="J435" i="10"/>
  <c r="L435" i="10"/>
  <c r="M435" i="10"/>
  <c r="D436" i="10"/>
  <c r="B436" i="10"/>
  <c r="F436" i="10"/>
  <c r="I436" i="10"/>
  <c r="J436" i="10"/>
  <c r="L436" i="10"/>
  <c r="M436" i="10"/>
  <c r="D437" i="10"/>
  <c r="B437" i="10"/>
  <c r="F437" i="10"/>
  <c r="I437" i="10"/>
  <c r="J437" i="10"/>
  <c r="L437" i="10"/>
  <c r="M437" i="10"/>
  <c r="R437" i="10"/>
  <c r="AB135" i="10"/>
  <c r="U136" i="10"/>
  <c r="D438" i="10"/>
  <c r="B438" i="10"/>
  <c r="F438" i="10"/>
  <c r="I438" i="10"/>
  <c r="J438" i="10"/>
  <c r="L438" i="10"/>
  <c r="M438" i="10"/>
  <c r="D439" i="10"/>
  <c r="B439" i="10"/>
  <c r="F439" i="10"/>
  <c r="I439" i="10"/>
  <c r="J439" i="10"/>
  <c r="L439" i="10"/>
  <c r="M439" i="10"/>
  <c r="D440" i="10"/>
  <c r="B440" i="10"/>
  <c r="F440" i="10"/>
  <c r="I440" i="10"/>
  <c r="J440" i="10"/>
  <c r="L440" i="10"/>
  <c r="M440" i="10"/>
  <c r="R440" i="10"/>
  <c r="AB136" i="10"/>
  <c r="U137" i="10"/>
  <c r="D441" i="10"/>
  <c r="B441" i="10"/>
  <c r="F441" i="10"/>
  <c r="I441" i="10"/>
  <c r="J441" i="10"/>
  <c r="L441" i="10"/>
  <c r="M441" i="10"/>
  <c r="D442" i="10"/>
  <c r="B442" i="10"/>
  <c r="F442" i="10"/>
  <c r="I442" i="10"/>
  <c r="J442" i="10"/>
  <c r="L442" i="10"/>
  <c r="M442" i="10"/>
  <c r="D443" i="10"/>
  <c r="B443" i="10"/>
  <c r="F443" i="10"/>
  <c r="I443" i="10"/>
  <c r="J443" i="10"/>
  <c r="L443" i="10"/>
  <c r="M443" i="10"/>
  <c r="R443" i="10"/>
  <c r="AB137" i="10"/>
  <c r="U138" i="10"/>
  <c r="D444" i="10"/>
  <c r="B444" i="10"/>
  <c r="F444" i="10"/>
  <c r="I444" i="10"/>
  <c r="J444" i="10"/>
  <c r="L444" i="10"/>
  <c r="M444" i="10"/>
  <c r="D445" i="10"/>
  <c r="B445" i="10"/>
  <c r="F445" i="10"/>
  <c r="I445" i="10"/>
  <c r="J445" i="10"/>
  <c r="L445" i="10"/>
  <c r="M445" i="10"/>
  <c r="D446" i="10"/>
  <c r="B446" i="10"/>
  <c r="F446" i="10"/>
  <c r="I446" i="10"/>
  <c r="J446" i="10"/>
  <c r="L446" i="10"/>
  <c r="M446" i="10"/>
  <c r="R446" i="10"/>
  <c r="AB138" i="10"/>
  <c r="U139" i="10"/>
  <c r="D447" i="10"/>
  <c r="B447" i="10"/>
  <c r="F447" i="10"/>
  <c r="I447" i="10"/>
  <c r="J447" i="10"/>
  <c r="L447" i="10"/>
  <c r="M447" i="10"/>
  <c r="D448" i="10"/>
  <c r="B448" i="10"/>
  <c r="F448" i="10"/>
  <c r="I448" i="10"/>
  <c r="J448" i="10"/>
  <c r="L448" i="10"/>
  <c r="M448" i="10"/>
  <c r="D449" i="10"/>
  <c r="B449" i="10"/>
  <c r="F449" i="10"/>
  <c r="I449" i="10"/>
  <c r="J449" i="10"/>
  <c r="L449" i="10"/>
  <c r="M449" i="10"/>
  <c r="R449" i="10"/>
  <c r="AB139" i="10"/>
  <c r="U140" i="10"/>
  <c r="D450" i="10"/>
  <c r="B450" i="10"/>
  <c r="F450" i="10"/>
  <c r="I450" i="10"/>
  <c r="J450" i="10"/>
  <c r="L450" i="10"/>
  <c r="M450" i="10"/>
  <c r="D451" i="10"/>
  <c r="B451" i="10"/>
  <c r="F451" i="10"/>
  <c r="I451" i="10"/>
  <c r="J451" i="10"/>
  <c r="L451" i="10"/>
  <c r="M451" i="10"/>
  <c r="D452" i="10"/>
  <c r="B452" i="10"/>
  <c r="F452" i="10"/>
  <c r="I452" i="10"/>
  <c r="J452" i="10"/>
  <c r="L452" i="10"/>
  <c r="M452" i="10"/>
  <c r="R452" i="10"/>
  <c r="AB140" i="10"/>
  <c r="U141" i="10"/>
  <c r="D453" i="10"/>
  <c r="B453" i="10"/>
  <c r="F453" i="10"/>
  <c r="I453" i="10"/>
  <c r="J453" i="10"/>
  <c r="L453" i="10"/>
  <c r="M453" i="10"/>
  <c r="D454" i="10"/>
  <c r="B454" i="10"/>
  <c r="F454" i="10"/>
  <c r="I454" i="10"/>
  <c r="J454" i="10"/>
  <c r="L454" i="10"/>
  <c r="M454" i="10"/>
  <c r="D455" i="10"/>
  <c r="B455" i="10"/>
  <c r="F455" i="10"/>
  <c r="I455" i="10"/>
  <c r="J455" i="10"/>
  <c r="L455" i="10"/>
  <c r="M455" i="10"/>
  <c r="R455" i="10"/>
  <c r="AB141" i="10"/>
  <c r="U142" i="10"/>
  <c r="D456" i="10"/>
  <c r="B456" i="10"/>
  <c r="F456" i="10"/>
  <c r="I456" i="10"/>
  <c r="J456" i="10"/>
  <c r="L456" i="10"/>
  <c r="M456" i="10"/>
  <c r="D457" i="10"/>
  <c r="B457" i="10"/>
  <c r="F457" i="10"/>
  <c r="I457" i="10"/>
  <c r="J457" i="10"/>
  <c r="L457" i="10"/>
  <c r="M457" i="10"/>
  <c r="D458" i="10"/>
  <c r="B458" i="10"/>
  <c r="F458" i="10"/>
  <c r="I458" i="10"/>
  <c r="J458" i="10"/>
  <c r="L458" i="10"/>
  <c r="M458" i="10"/>
  <c r="R458" i="10"/>
  <c r="AB142" i="10"/>
  <c r="U143" i="10"/>
  <c r="D459" i="10"/>
  <c r="B459" i="10"/>
  <c r="F459" i="10"/>
  <c r="I459" i="10"/>
  <c r="J459" i="10"/>
  <c r="L459" i="10"/>
  <c r="M459" i="10"/>
  <c r="D460" i="10"/>
  <c r="B460" i="10"/>
  <c r="F460" i="10"/>
  <c r="I460" i="10"/>
  <c r="J460" i="10"/>
  <c r="L460" i="10"/>
  <c r="M460" i="10"/>
  <c r="D461" i="10"/>
  <c r="B461" i="10"/>
  <c r="F461" i="10"/>
  <c r="I461" i="10"/>
  <c r="J461" i="10"/>
  <c r="L461" i="10"/>
  <c r="M461" i="10"/>
  <c r="R461" i="10"/>
  <c r="AB143" i="10"/>
  <c r="U144" i="10"/>
  <c r="D462" i="10"/>
  <c r="B462" i="10"/>
  <c r="F462" i="10"/>
  <c r="I462" i="10"/>
  <c r="J462" i="10"/>
  <c r="L462" i="10"/>
  <c r="M462" i="10"/>
  <c r="D463" i="10"/>
  <c r="B463" i="10"/>
  <c r="F463" i="10"/>
  <c r="I463" i="10"/>
  <c r="J463" i="10"/>
  <c r="L463" i="10"/>
  <c r="M463" i="10"/>
  <c r="D464" i="10"/>
  <c r="B464" i="10"/>
  <c r="F464" i="10"/>
  <c r="I464" i="10"/>
  <c r="J464" i="10"/>
  <c r="L464" i="10"/>
  <c r="M464" i="10"/>
  <c r="R464" i="10"/>
  <c r="AB144" i="10"/>
  <c r="U145" i="10"/>
  <c r="D465" i="10"/>
  <c r="B465" i="10"/>
  <c r="F465" i="10"/>
  <c r="I465" i="10"/>
  <c r="J465" i="10"/>
  <c r="L465" i="10"/>
  <c r="M465" i="10"/>
  <c r="D466" i="10"/>
  <c r="B466" i="10"/>
  <c r="F466" i="10"/>
  <c r="I466" i="10"/>
  <c r="J466" i="10"/>
  <c r="L466" i="10"/>
  <c r="M466" i="10"/>
  <c r="D467" i="10"/>
  <c r="B467" i="10"/>
  <c r="F467" i="10"/>
  <c r="I467" i="10"/>
  <c r="J467" i="10"/>
  <c r="L467" i="10"/>
  <c r="M467" i="10"/>
  <c r="R467" i="10"/>
  <c r="AB145" i="10"/>
  <c r="U146" i="10"/>
  <c r="D468" i="10"/>
  <c r="B468" i="10"/>
  <c r="F468" i="10"/>
  <c r="I468" i="10"/>
  <c r="J468" i="10"/>
  <c r="L468" i="10"/>
  <c r="M468" i="10"/>
  <c r="D469" i="10"/>
  <c r="B469" i="10"/>
  <c r="F469" i="10"/>
  <c r="I469" i="10"/>
  <c r="J469" i="10"/>
  <c r="L469" i="10"/>
  <c r="M469" i="10"/>
  <c r="D470" i="10"/>
  <c r="B470" i="10"/>
  <c r="F470" i="10"/>
  <c r="I470" i="10"/>
  <c r="J470" i="10"/>
  <c r="L470" i="10"/>
  <c r="M470" i="10"/>
  <c r="R470" i="10"/>
  <c r="AB146" i="10"/>
  <c r="U147" i="10"/>
  <c r="D471" i="10"/>
  <c r="B471" i="10"/>
  <c r="F471" i="10"/>
  <c r="I471" i="10"/>
  <c r="J471" i="10"/>
  <c r="L471" i="10"/>
  <c r="M471" i="10"/>
  <c r="D472" i="10"/>
  <c r="B472" i="10"/>
  <c r="F472" i="10"/>
  <c r="I472" i="10"/>
  <c r="J472" i="10"/>
  <c r="L472" i="10"/>
  <c r="M472" i="10"/>
  <c r="D473" i="10"/>
  <c r="B473" i="10"/>
  <c r="F473" i="10"/>
  <c r="I473" i="10"/>
  <c r="J473" i="10"/>
  <c r="L473" i="10"/>
  <c r="M473" i="10"/>
  <c r="R473" i="10"/>
  <c r="AB147" i="10"/>
  <c r="U148" i="10"/>
  <c r="D474" i="10"/>
  <c r="B474" i="10"/>
  <c r="F474" i="10"/>
  <c r="I474" i="10"/>
  <c r="J474" i="10"/>
  <c r="L474" i="10"/>
  <c r="M474" i="10"/>
  <c r="D475" i="10"/>
  <c r="B475" i="10"/>
  <c r="F475" i="10"/>
  <c r="I475" i="10"/>
  <c r="J475" i="10"/>
  <c r="L475" i="10"/>
  <c r="M475" i="10"/>
  <c r="D476" i="10"/>
  <c r="B476" i="10"/>
  <c r="F476" i="10"/>
  <c r="I476" i="10"/>
  <c r="J476" i="10"/>
  <c r="L476" i="10"/>
  <c r="M476" i="10"/>
  <c r="R476" i="10"/>
  <c r="AB148" i="10"/>
  <c r="U149" i="10"/>
  <c r="D477" i="10"/>
  <c r="B477" i="10"/>
  <c r="F477" i="10"/>
  <c r="I477" i="10"/>
  <c r="J477" i="10"/>
  <c r="L477" i="10"/>
  <c r="M477" i="10"/>
  <c r="D478" i="10"/>
  <c r="B478" i="10"/>
  <c r="F478" i="10"/>
  <c r="I478" i="10"/>
  <c r="J478" i="10"/>
  <c r="L478" i="10"/>
  <c r="M478" i="10"/>
  <c r="D479" i="10"/>
  <c r="B479" i="10"/>
  <c r="F479" i="10"/>
  <c r="I479" i="10"/>
  <c r="J479" i="10"/>
  <c r="L479" i="10"/>
  <c r="M479" i="10"/>
  <c r="R479" i="10"/>
  <c r="AB149" i="10"/>
  <c r="U150" i="10"/>
  <c r="D480" i="10"/>
  <c r="B480" i="10"/>
  <c r="F480" i="10"/>
  <c r="I480" i="10"/>
  <c r="J480" i="10"/>
  <c r="L480" i="10"/>
  <c r="M480" i="10"/>
  <c r="D481" i="10"/>
  <c r="B481" i="10"/>
  <c r="F481" i="10"/>
  <c r="I481" i="10"/>
  <c r="J481" i="10"/>
  <c r="L481" i="10"/>
  <c r="M481" i="10"/>
  <c r="D482" i="10"/>
  <c r="B482" i="10"/>
  <c r="F482" i="10"/>
  <c r="I482" i="10"/>
  <c r="J482" i="10"/>
  <c r="L482" i="10"/>
  <c r="M482" i="10"/>
  <c r="R482" i="10"/>
  <c r="AB150" i="10"/>
  <c r="U151" i="10"/>
  <c r="D483" i="10"/>
  <c r="B483" i="10"/>
  <c r="F483" i="10"/>
  <c r="I483" i="10"/>
  <c r="J483" i="10"/>
  <c r="L483" i="10"/>
  <c r="M483" i="10"/>
  <c r="D484" i="10"/>
  <c r="B484" i="10"/>
  <c r="F484" i="10"/>
  <c r="I484" i="10"/>
  <c r="J484" i="10"/>
  <c r="L484" i="10"/>
  <c r="M484" i="10"/>
  <c r="D485" i="10"/>
  <c r="B485" i="10"/>
  <c r="F485" i="10"/>
  <c r="I485" i="10"/>
  <c r="J485" i="10"/>
  <c r="L485" i="10"/>
  <c r="M485" i="10"/>
  <c r="R485" i="10"/>
  <c r="AB151" i="10"/>
  <c r="U152" i="10"/>
  <c r="D486" i="10"/>
  <c r="B486" i="10"/>
  <c r="F486" i="10"/>
  <c r="I486" i="10"/>
  <c r="J486" i="10"/>
  <c r="L486" i="10"/>
  <c r="M486" i="10"/>
  <c r="D487" i="10"/>
  <c r="B487" i="10"/>
  <c r="F487" i="10"/>
  <c r="I487" i="10"/>
  <c r="J487" i="10"/>
  <c r="L487" i="10"/>
  <c r="M487" i="10"/>
  <c r="D488" i="10"/>
  <c r="B488" i="10"/>
  <c r="F488" i="10"/>
  <c r="I488" i="10"/>
  <c r="J488" i="10"/>
  <c r="L488" i="10"/>
  <c r="M488" i="10"/>
  <c r="R488" i="10"/>
  <c r="AB152" i="10"/>
  <c r="U153" i="10"/>
  <c r="D489" i="10"/>
  <c r="B489" i="10"/>
  <c r="F489" i="10"/>
  <c r="I489" i="10"/>
  <c r="J489" i="10"/>
  <c r="L489" i="10"/>
  <c r="M489" i="10"/>
  <c r="D490" i="10"/>
  <c r="B490" i="10"/>
  <c r="F490" i="10"/>
  <c r="I490" i="10"/>
  <c r="J490" i="10"/>
  <c r="L490" i="10"/>
  <c r="M490" i="10"/>
  <c r="D491" i="10"/>
  <c r="B491" i="10"/>
  <c r="F491" i="10"/>
  <c r="I491" i="10"/>
  <c r="J491" i="10"/>
  <c r="L491" i="10"/>
  <c r="M491" i="10"/>
  <c r="R491" i="10"/>
  <c r="AB153" i="10"/>
  <c r="U154" i="10"/>
  <c r="D492" i="10"/>
  <c r="B492" i="10"/>
  <c r="F492" i="10"/>
  <c r="I492" i="10"/>
  <c r="J492" i="10"/>
  <c r="L492" i="10"/>
  <c r="M492" i="10"/>
  <c r="D493" i="10"/>
  <c r="B493" i="10"/>
  <c r="F493" i="10"/>
  <c r="I493" i="10"/>
  <c r="J493" i="10"/>
  <c r="L493" i="10"/>
  <c r="M493" i="10"/>
  <c r="D494" i="10"/>
  <c r="B494" i="10"/>
  <c r="F494" i="10"/>
  <c r="I494" i="10"/>
  <c r="J494" i="10"/>
  <c r="L494" i="10"/>
  <c r="M494" i="10"/>
  <c r="R494" i="10"/>
  <c r="AB154" i="10"/>
  <c r="U155" i="10"/>
  <c r="D495" i="10"/>
  <c r="B495" i="10"/>
  <c r="F495" i="10"/>
  <c r="I495" i="10"/>
  <c r="J495" i="10"/>
  <c r="L495" i="10"/>
  <c r="M495" i="10"/>
  <c r="D496" i="10"/>
  <c r="B496" i="10"/>
  <c r="F496" i="10"/>
  <c r="I496" i="10"/>
  <c r="J496" i="10"/>
  <c r="L496" i="10"/>
  <c r="M496" i="10"/>
  <c r="D497" i="10"/>
  <c r="B497" i="10"/>
  <c r="F497" i="10"/>
  <c r="I497" i="10"/>
  <c r="J497" i="10"/>
  <c r="L497" i="10"/>
  <c r="M497" i="10"/>
  <c r="R497" i="10"/>
  <c r="AB155" i="10"/>
  <c r="U156" i="10"/>
  <c r="D498" i="10"/>
  <c r="B498" i="10"/>
  <c r="F498" i="10"/>
  <c r="I498" i="10"/>
  <c r="J498" i="10"/>
  <c r="L498" i="10"/>
  <c r="M498" i="10"/>
  <c r="D499" i="10"/>
  <c r="B499" i="10"/>
  <c r="F499" i="10"/>
  <c r="I499" i="10"/>
  <c r="J499" i="10"/>
  <c r="L499" i="10"/>
  <c r="M499" i="10"/>
  <c r="D500" i="10"/>
  <c r="B500" i="10"/>
  <c r="F500" i="10"/>
  <c r="I500" i="10"/>
  <c r="J500" i="10"/>
  <c r="L500" i="10"/>
  <c r="M500" i="10"/>
  <c r="R500" i="10"/>
  <c r="AB156" i="10"/>
  <c r="U157" i="10"/>
  <c r="D501" i="10"/>
  <c r="B501" i="10"/>
  <c r="F501" i="10"/>
  <c r="I501" i="10"/>
  <c r="J501" i="10"/>
  <c r="L501" i="10"/>
  <c r="M501" i="10"/>
  <c r="D502" i="10"/>
  <c r="B502" i="10"/>
  <c r="F502" i="10"/>
  <c r="I502" i="10"/>
  <c r="J502" i="10"/>
  <c r="L502" i="10"/>
  <c r="M502" i="10"/>
  <c r="D503" i="10"/>
  <c r="B503" i="10"/>
  <c r="F503" i="10"/>
  <c r="I503" i="10"/>
  <c r="J503" i="10"/>
  <c r="L503" i="10"/>
  <c r="M503" i="10"/>
  <c r="R503" i="10"/>
  <c r="AB157" i="10"/>
  <c r="U158" i="10"/>
  <c r="D504" i="10"/>
  <c r="B504" i="10"/>
  <c r="F504" i="10"/>
  <c r="I504" i="10"/>
  <c r="J504" i="10"/>
  <c r="L504" i="10"/>
  <c r="M504" i="10"/>
  <c r="D505" i="10"/>
  <c r="B505" i="10"/>
  <c r="F505" i="10"/>
  <c r="I505" i="10"/>
  <c r="J505" i="10"/>
  <c r="L505" i="10"/>
  <c r="M505" i="10"/>
  <c r="D506" i="10"/>
  <c r="B506" i="10"/>
  <c r="F506" i="10"/>
  <c r="I506" i="10"/>
  <c r="J506" i="10"/>
  <c r="L506" i="10"/>
  <c r="M506" i="10"/>
  <c r="R506" i="10"/>
  <c r="AB158" i="10"/>
  <c r="U159" i="10"/>
  <c r="D507" i="10"/>
  <c r="B507" i="10"/>
  <c r="F507" i="10"/>
  <c r="I507" i="10"/>
  <c r="J507" i="10"/>
  <c r="L507" i="10"/>
  <c r="M507" i="10"/>
  <c r="D508" i="10"/>
  <c r="B508" i="10"/>
  <c r="F508" i="10"/>
  <c r="I508" i="10"/>
  <c r="J508" i="10"/>
  <c r="L508" i="10"/>
  <c r="M508" i="10"/>
  <c r="D509" i="10"/>
  <c r="B509" i="10"/>
  <c r="F509" i="10"/>
  <c r="I509" i="10"/>
  <c r="J509" i="10"/>
  <c r="L509" i="10"/>
  <c r="M509" i="10"/>
  <c r="R509" i="10"/>
  <c r="AB159" i="10"/>
  <c r="U160" i="10"/>
  <c r="D510" i="10"/>
  <c r="B510" i="10"/>
  <c r="F510" i="10"/>
  <c r="I510" i="10"/>
  <c r="J510" i="10"/>
  <c r="L510" i="10"/>
  <c r="M510" i="10"/>
  <c r="D511" i="10"/>
  <c r="B511" i="10"/>
  <c r="F511" i="10"/>
  <c r="I511" i="10"/>
  <c r="J511" i="10"/>
  <c r="L511" i="10"/>
  <c r="M511" i="10"/>
  <c r="D512" i="10"/>
  <c r="B512" i="10"/>
  <c r="F512" i="10"/>
  <c r="I512" i="10"/>
  <c r="J512" i="10"/>
  <c r="L512" i="10"/>
  <c r="M512" i="10"/>
  <c r="R512" i="10"/>
  <c r="AB160" i="10"/>
  <c r="U161" i="10"/>
  <c r="D513" i="10"/>
  <c r="B513" i="10"/>
  <c r="F513" i="10"/>
  <c r="I513" i="10"/>
  <c r="J513" i="10"/>
  <c r="L513" i="10"/>
  <c r="M513" i="10"/>
  <c r="D514" i="10"/>
  <c r="B514" i="10"/>
  <c r="F514" i="10"/>
  <c r="I514" i="10"/>
  <c r="J514" i="10"/>
  <c r="L514" i="10"/>
  <c r="M514" i="10"/>
  <c r="D515" i="10"/>
  <c r="B515" i="10"/>
  <c r="F515" i="10"/>
  <c r="I515" i="10"/>
  <c r="J515" i="10"/>
  <c r="L515" i="10"/>
  <c r="M515" i="10"/>
  <c r="R515" i="10"/>
  <c r="AB161" i="10"/>
  <c r="U162" i="10"/>
  <c r="D516" i="10"/>
  <c r="B516" i="10"/>
  <c r="F516" i="10"/>
  <c r="I516" i="10"/>
  <c r="J516" i="10"/>
  <c r="L516" i="10"/>
  <c r="M516" i="10"/>
  <c r="D517" i="10"/>
  <c r="B517" i="10"/>
  <c r="F517" i="10"/>
  <c r="I517" i="10"/>
  <c r="J517" i="10"/>
  <c r="L517" i="10"/>
  <c r="M517" i="10"/>
  <c r="D518" i="10"/>
  <c r="B518" i="10"/>
  <c r="F518" i="10"/>
  <c r="I518" i="10"/>
  <c r="J518" i="10"/>
  <c r="L518" i="10"/>
  <c r="M518" i="10"/>
  <c r="R518" i="10"/>
  <c r="AB162" i="10"/>
  <c r="U163" i="10"/>
  <c r="D519" i="10"/>
  <c r="B519" i="10"/>
  <c r="F519" i="10"/>
  <c r="I519" i="10"/>
  <c r="J519" i="10"/>
  <c r="L519" i="10"/>
  <c r="M519" i="10"/>
  <c r="D520" i="10"/>
  <c r="B520" i="10"/>
  <c r="F520" i="10"/>
  <c r="I520" i="10"/>
  <c r="J520" i="10"/>
  <c r="L520" i="10"/>
  <c r="M520" i="10"/>
  <c r="D521" i="10"/>
  <c r="B521" i="10"/>
  <c r="F521" i="10"/>
  <c r="I521" i="10"/>
  <c r="J521" i="10"/>
  <c r="L521" i="10"/>
  <c r="M521" i="10"/>
  <c r="R521" i="10"/>
  <c r="AB163" i="10"/>
  <c r="U164" i="10"/>
  <c r="D522" i="10"/>
  <c r="B522" i="10"/>
  <c r="F522" i="10"/>
  <c r="I522" i="10"/>
  <c r="J522" i="10"/>
  <c r="L522" i="10"/>
  <c r="M522" i="10"/>
  <c r="D523" i="10"/>
  <c r="B523" i="10"/>
  <c r="F523" i="10"/>
  <c r="I523" i="10"/>
  <c r="J523" i="10"/>
  <c r="L523" i="10"/>
  <c r="M523" i="10"/>
  <c r="D524" i="10"/>
  <c r="B524" i="10"/>
  <c r="F524" i="10"/>
  <c r="I524" i="10"/>
  <c r="J524" i="10"/>
  <c r="L524" i="10"/>
  <c r="M524" i="10"/>
  <c r="R524" i="10"/>
  <c r="AB164" i="10"/>
  <c r="U165" i="10"/>
  <c r="D525" i="10"/>
  <c r="B525" i="10"/>
  <c r="F525" i="10"/>
  <c r="I525" i="10"/>
  <c r="J525" i="10"/>
  <c r="L525" i="10"/>
  <c r="M525" i="10"/>
  <c r="D526" i="10"/>
  <c r="B526" i="10"/>
  <c r="F526" i="10"/>
  <c r="I526" i="10"/>
  <c r="J526" i="10"/>
  <c r="L526" i="10"/>
  <c r="M526" i="10"/>
  <c r="D527" i="10"/>
  <c r="B527" i="10"/>
  <c r="F527" i="10"/>
  <c r="I527" i="10"/>
  <c r="J527" i="10"/>
  <c r="L527" i="10"/>
  <c r="M527" i="10"/>
  <c r="R527" i="10"/>
  <c r="AB165" i="10"/>
  <c r="U166" i="10"/>
  <c r="D528" i="10"/>
  <c r="B528" i="10"/>
  <c r="F528" i="10"/>
  <c r="I528" i="10"/>
  <c r="J528" i="10"/>
  <c r="L528" i="10"/>
  <c r="M528" i="10"/>
  <c r="D529" i="10"/>
  <c r="B529" i="10"/>
  <c r="F529" i="10"/>
  <c r="I529" i="10"/>
  <c r="J529" i="10"/>
  <c r="L529" i="10"/>
  <c r="M529" i="10"/>
  <c r="D530" i="10"/>
  <c r="B530" i="10"/>
  <c r="F530" i="10"/>
  <c r="I530" i="10"/>
  <c r="J530" i="10"/>
  <c r="L530" i="10"/>
  <c r="M530" i="10"/>
  <c r="R530" i="10"/>
  <c r="AB166" i="10"/>
  <c r="U167" i="10"/>
  <c r="D531" i="10"/>
  <c r="B531" i="10"/>
  <c r="F531" i="10"/>
  <c r="I531" i="10"/>
  <c r="J531" i="10"/>
  <c r="L531" i="10"/>
  <c r="M531" i="10"/>
  <c r="D532" i="10"/>
  <c r="B532" i="10"/>
  <c r="F532" i="10"/>
  <c r="I532" i="10"/>
  <c r="J532" i="10"/>
  <c r="L532" i="10"/>
  <c r="M532" i="10"/>
  <c r="D533" i="10"/>
  <c r="B533" i="10"/>
  <c r="F533" i="10"/>
  <c r="I533" i="10"/>
  <c r="J533" i="10"/>
  <c r="L533" i="10"/>
  <c r="M533" i="10"/>
  <c r="R533" i="10"/>
  <c r="AB167" i="10"/>
  <c r="U168" i="10"/>
  <c r="D534" i="10"/>
  <c r="B534" i="10"/>
  <c r="F534" i="10"/>
  <c r="I534" i="10"/>
  <c r="J534" i="10"/>
  <c r="L534" i="10"/>
  <c r="M534" i="10"/>
  <c r="D535" i="10"/>
  <c r="B535" i="10"/>
  <c r="F535" i="10"/>
  <c r="I535" i="10"/>
  <c r="J535" i="10"/>
  <c r="L535" i="10"/>
  <c r="M535" i="10"/>
  <c r="D536" i="10"/>
  <c r="B536" i="10"/>
  <c r="F536" i="10"/>
  <c r="I536" i="10"/>
  <c r="J536" i="10"/>
  <c r="L536" i="10"/>
  <c r="M536" i="10"/>
  <c r="R536" i="10"/>
  <c r="AB168" i="10"/>
  <c r="U169" i="10"/>
  <c r="D537" i="10"/>
  <c r="B537" i="10"/>
  <c r="F537" i="10"/>
  <c r="I537" i="10"/>
  <c r="J537" i="10"/>
  <c r="L537" i="10"/>
  <c r="M537" i="10"/>
  <c r="D538" i="10"/>
  <c r="B538" i="10"/>
  <c r="F538" i="10"/>
  <c r="I538" i="10"/>
  <c r="J538" i="10"/>
  <c r="L538" i="10"/>
  <c r="M538" i="10"/>
  <c r="D539" i="10"/>
  <c r="B539" i="10"/>
  <c r="F539" i="10"/>
  <c r="I539" i="10"/>
  <c r="J539" i="10"/>
  <c r="L539" i="10"/>
  <c r="M539" i="10"/>
  <c r="R539" i="10"/>
  <c r="AB169" i="10"/>
  <c r="U170" i="10"/>
  <c r="D540" i="10"/>
  <c r="B540" i="10"/>
  <c r="F540" i="10"/>
  <c r="I540" i="10"/>
  <c r="J540" i="10"/>
  <c r="L540" i="10"/>
  <c r="M540" i="10"/>
  <c r="D541" i="10"/>
  <c r="B541" i="10"/>
  <c r="F541" i="10"/>
  <c r="I541" i="10"/>
  <c r="J541" i="10"/>
  <c r="L541" i="10"/>
  <c r="M541" i="10"/>
  <c r="D542" i="10"/>
  <c r="B542" i="10"/>
  <c r="F542" i="10"/>
  <c r="I542" i="10"/>
  <c r="J542" i="10"/>
  <c r="L542" i="10"/>
  <c r="M542" i="10"/>
  <c r="R542" i="10"/>
  <c r="AB170" i="10"/>
  <c r="U171" i="10"/>
  <c r="D543" i="10"/>
  <c r="B543" i="10"/>
  <c r="F543" i="10"/>
  <c r="I543" i="10"/>
  <c r="J543" i="10"/>
  <c r="L543" i="10"/>
  <c r="M543" i="10"/>
  <c r="D544" i="10"/>
  <c r="B544" i="10"/>
  <c r="F544" i="10"/>
  <c r="I544" i="10"/>
  <c r="J544" i="10"/>
  <c r="L544" i="10"/>
  <c r="M544" i="10"/>
  <c r="D545" i="10"/>
  <c r="B545" i="10"/>
  <c r="F545" i="10"/>
  <c r="I545" i="10"/>
  <c r="J545" i="10"/>
  <c r="L545" i="10"/>
  <c r="M545" i="10"/>
  <c r="R545" i="10"/>
  <c r="AB171" i="10"/>
  <c r="U172" i="10"/>
  <c r="D546" i="10"/>
  <c r="B546" i="10"/>
  <c r="F546" i="10"/>
  <c r="I546" i="10"/>
  <c r="J546" i="10"/>
  <c r="L546" i="10"/>
  <c r="M546" i="10"/>
  <c r="D547" i="10"/>
  <c r="B547" i="10"/>
  <c r="F547" i="10"/>
  <c r="I547" i="10"/>
  <c r="J547" i="10"/>
  <c r="L547" i="10"/>
  <c r="M547" i="10"/>
  <c r="D548" i="10"/>
  <c r="B548" i="10"/>
  <c r="F548" i="10"/>
  <c r="I548" i="10"/>
  <c r="J548" i="10"/>
  <c r="L548" i="10"/>
  <c r="M548" i="10"/>
  <c r="R548" i="10"/>
  <c r="AB172" i="10"/>
  <c r="U173" i="10"/>
  <c r="D549" i="10"/>
  <c r="B549" i="10"/>
  <c r="F549" i="10"/>
  <c r="I549" i="10"/>
  <c r="J549" i="10"/>
  <c r="L549" i="10"/>
  <c r="M549" i="10"/>
  <c r="D550" i="10"/>
  <c r="B550" i="10"/>
  <c r="F550" i="10"/>
  <c r="I550" i="10"/>
  <c r="J550" i="10"/>
  <c r="L550" i="10"/>
  <c r="M550" i="10"/>
  <c r="D551" i="10"/>
  <c r="B551" i="10"/>
  <c r="F551" i="10"/>
  <c r="I551" i="10"/>
  <c r="J551" i="10"/>
  <c r="L551" i="10"/>
  <c r="M551" i="10"/>
  <c r="R551" i="10"/>
  <c r="AB173" i="10"/>
  <c r="U174" i="10"/>
  <c r="D552" i="10"/>
  <c r="B552" i="10"/>
  <c r="F552" i="10"/>
  <c r="I552" i="10"/>
  <c r="J552" i="10"/>
  <c r="L552" i="10"/>
  <c r="M552" i="10"/>
  <c r="D553" i="10"/>
  <c r="B553" i="10"/>
  <c r="F553" i="10"/>
  <c r="I553" i="10"/>
  <c r="J553" i="10"/>
  <c r="L553" i="10"/>
  <c r="M553" i="10"/>
  <c r="D554" i="10"/>
  <c r="B554" i="10"/>
  <c r="F554" i="10"/>
  <c r="I554" i="10"/>
  <c r="J554" i="10"/>
  <c r="L554" i="10"/>
  <c r="M554" i="10"/>
  <c r="R554" i="10"/>
  <c r="AB174" i="10"/>
  <c r="U175" i="10"/>
  <c r="D555" i="10"/>
  <c r="B555" i="10"/>
  <c r="F555" i="10"/>
  <c r="I555" i="10"/>
  <c r="J555" i="10"/>
  <c r="L555" i="10"/>
  <c r="M555" i="10"/>
  <c r="D556" i="10"/>
  <c r="B556" i="10"/>
  <c r="F556" i="10"/>
  <c r="I556" i="10"/>
  <c r="J556" i="10"/>
  <c r="L556" i="10"/>
  <c r="M556" i="10"/>
  <c r="D557" i="10"/>
  <c r="B557" i="10"/>
  <c r="F557" i="10"/>
  <c r="I557" i="10"/>
  <c r="J557" i="10"/>
  <c r="L557" i="10"/>
  <c r="M557" i="10"/>
  <c r="R557" i="10"/>
  <c r="AB175" i="10"/>
  <c r="U176" i="10"/>
  <c r="D558" i="10"/>
  <c r="B558" i="10"/>
  <c r="F558" i="10"/>
  <c r="I558" i="10"/>
  <c r="J558" i="10"/>
  <c r="L558" i="10"/>
  <c r="M558" i="10"/>
  <c r="D559" i="10"/>
  <c r="B559" i="10"/>
  <c r="F559" i="10"/>
  <c r="I559" i="10"/>
  <c r="J559" i="10"/>
  <c r="L559" i="10"/>
  <c r="M559" i="10"/>
  <c r="D560" i="10"/>
  <c r="B560" i="10"/>
  <c r="F560" i="10"/>
  <c r="I560" i="10"/>
  <c r="J560" i="10"/>
  <c r="L560" i="10"/>
  <c r="M560" i="10"/>
  <c r="R560" i="10"/>
  <c r="AB176" i="10"/>
  <c r="U177" i="10"/>
  <c r="D561" i="10"/>
  <c r="B561" i="10"/>
  <c r="F561" i="10"/>
  <c r="I561" i="10"/>
  <c r="J561" i="10"/>
  <c r="L561" i="10"/>
  <c r="M561" i="10"/>
  <c r="D562" i="10"/>
  <c r="B562" i="10"/>
  <c r="F562" i="10"/>
  <c r="I562" i="10"/>
  <c r="J562" i="10"/>
  <c r="L562" i="10"/>
  <c r="M562" i="10"/>
  <c r="D563" i="10"/>
  <c r="B563" i="10"/>
  <c r="F563" i="10"/>
  <c r="I563" i="10"/>
  <c r="J563" i="10"/>
  <c r="L563" i="10"/>
  <c r="M563" i="10"/>
  <c r="R563" i="10"/>
  <c r="AB177" i="10"/>
  <c r="U178" i="10"/>
  <c r="D564" i="10"/>
  <c r="B564" i="10"/>
  <c r="F564" i="10"/>
  <c r="I564" i="10"/>
  <c r="J564" i="10"/>
  <c r="L564" i="10"/>
  <c r="M564" i="10"/>
  <c r="D565" i="10"/>
  <c r="B565" i="10"/>
  <c r="F565" i="10"/>
  <c r="I565" i="10"/>
  <c r="J565" i="10"/>
  <c r="L565" i="10"/>
  <c r="M565" i="10"/>
  <c r="D566" i="10"/>
  <c r="B566" i="10"/>
  <c r="F566" i="10"/>
  <c r="I566" i="10"/>
  <c r="J566" i="10"/>
  <c r="L566" i="10"/>
  <c r="M566" i="10"/>
  <c r="R566" i="10"/>
  <c r="AB178" i="10"/>
  <c r="U179" i="10"/>
  <c r="D567" i="10"/>
  <c r="B567" i="10"/>
  <c r="F567" i="10"/>
  <c r="I567" i="10"/>
  <c r="J567" i="10"/>
  <c r="L567" i="10"/>
  <c r="M567" i="10"/>
  <c r="D568" i="10"/>
  <c r="B568" i="10"/>
  <c r="F568" i="10"/>
  <c r="I568" i="10"/>
  <c r="J568" i="10"/>
  <c r="L568" i="10"/>
  <c r="M568" i="10"/>
  <c r="D569" i="10"/>
  <c r="B569" i="10"/>
  <c r="F569" i="10"/>
  <c r="I569" i="10"/>
  <c r="J569" i="10"/>
  <c r="L569" i="10"/>
  <c r="M569" i="10"/>
  <c r="R569" i="10"/>
  <c r="AB179" i="10"/>
  <c r="U180" i="10"/>
  <c r="D570" i="10"/>
  <c r="B570" i="10"/>
  <c r="F570" i="10"/>
  <c r="I570" i="10"/>
  <c r="J570" i="10"/>
  <c r="L570" i="10"/>
  <c r="M570" i="10"/>
  <c r="D571" i="10"/>
  <c r="B571" i="10"/>
  <c r="F571" i="10"/>
  <c r="I571" i="10"/>
  <c r="J571" i="10"/>
  <c r="L571" i="10"/>
  <c r="M571" i="10"/>
  <c r="D572" i="10"/>
  <c r="B572" i="10"/>
  <c r="F572" i="10"/>
  <c r="I572" i="10"/>
  <c r="J572" i="10"/>
  <c r="L572" i="10"/>
  <c r="M572" i="10"/>
  <c r="R572" i="10"/>
  <c r="AB180" i="10"/>
  <c r="U181" i="10"/>
  <c r="D573" i="10"/>
  <c r="B573" i="10"/>
  <c r="F573" i="10"/>
  <c r="I573" i="10"/>
  <c r="J573" i="10"/>
  <c r="L573" i="10"/>
  <c r="M573" i="10"/>
  <c r="D574" i="10"/>
  <c r="B574" i="10"/>
  <c r="F574" i="10"/>
  <c r="I574" i="10"/>
  <c r="J574" i="10"/>
  <c r="L574" i="10"/>
  <c r="M574" i="10"/>
  <c r="D575" i="10"/>
  <c r="B575" i="10"/>
  <c r="F575" i="10"/>
  <c r="I575" i="10"/>
  <c r="J575" i="10"/>
  <c r="L575" i="10"/>
  <c r="M575" i="10"/>
  <c r="R575" i="10"/>
  <c r="AB181" i="10"/>
  <c r="U182" i="10"/>
  <c r="D576" i="10"/>
  <c r="B576" i="10"/>
  <c r="F576" i="10"/>
  <c r="I576" i="10"/>
  <c r="J576" i="10"/>
  <c r="L576" i="10"/>
  <c r="M576" i="10"/>
  <c r="D577" i="10"/>
  <c r="B577" i="10"/>
  <c r="F577" i="10"/>
  <c r="I577" i="10"/>
  <c r="J577" i="10"/>
  <c r="L577" i="10"/>
  <c r="M577" i="10"/>
  <c r="D578" i="10"/>
  <c r="B578" i="10"/>
  <c r="F578" i="10"/>
  <c r="I578" i="10"/>
  <c r="J578" i="10"/>
  <c r="L578" i="10"/>
  <c r="M578" i="10"/>
  <c r="R578" i="10"/>
  <c r="AB182" i="10"/>
  <c r="U183" i="10"/>
  <c r="D579" i="10"/>
  <c r="B579" i="10"/>
  <c r="F579" i="10"/>
  <c r="I579" i="10"/>
  <c r="J579" i="10"/>
  <c r="L579" i="10"/>
  <c r="M579" i="10"/>
  <c r="D580" i="10"/>
  <c r="B580" i="10"/>
  <c r="F580" i="10"/>
  <c r="I580" i="10"/>
  <c r="J580" i="10"/>
  <c r="L580" i="10"/>
  <c r="M580" i="10"/>
  <c r="D581" i="10"/>
  <c r="B581" i="10"/>
  <c r="F581" i="10"/>
  <c r="I581" i="10"/>
  <c r="J581" i="10"/>
  <c r="L581" i="10"/>
  <c r="M581" i="10"/>
  <c r="R581" i="10"/>
  <c r="AB183" i="10"/>
  <c r="U184" i="10"/>
  <c r="D582" i="10"/>
  <c r="B582" i="10"/>
  <c r="F582" i="10"/>
  <c r="I582" i="10"/>
  <c r="J582" i="10"/>
  <c r="L582" i="10"/>
  <c r="M582" i="10"/>
  <c r="D583" i="10"/>
  <c r="B583" i="10"/>
  <c r="F583" i="10"/>
  <c r="I583" i="10"/>
  <c r="J583" i="10"/>
  <c r="L583" i="10"/>
  <c r="M583" i="10"/>
  <c r="D584" i="10"/>
  <c r="B584" i="10"/>
  <c r="F584" i="10"/>
  <c r="I584" i="10"/>
  <c r="J584" i="10"/>
  <c r="L584" i="10"/>
  <c r="M584" i="10"/>
  <c r="R584" i="10"/>
  <c r="AB184" i="10"/>
  <c r="U185" i="10"/>
  <c r="D585" i="10"/>
  <c r="B585" i="10"/>
  <c r="F585" i="10"/>
  <c r="I585" i="10"/>
  <c r="J585" i="10"/>
  <c r="L585" i="10"/>
  <c r="M585" i="10"/>
  <c r="D586" i="10"/>
  <c r="B586" i="10"/>
  <c r="F586" i="10"/>
  <c r="I586" i="10"/>
  <c r="J586" i="10"/>
  <c r="L586" i="10"/>
  <c r="M586" i="10"/>
  <c r="D587" i="10"/>
  <c r="B587" i="10"/>
  <c r="F587" i="10"/>
  <c r="I587" i="10"/>
  <c r="J587" i="10"/>
  <c r="L587" i="10"/>
  <c r="M587" i="10"/>
  <c r="R587" i="10"/>
  <c r="AB185" i="10"/>
  <c r="U186" i="10"/>
  <c r="D588" i="10"/>
  <c r="B588" i="10"/>
  <c r="F588" i="10"/>
  <c r="I588" i="10"/>
  <c r="J588" i="10"/>
  <c r="L588" i="10"/>
  <c r="M588" i="10"/>
  <c r="D589" i="10"/>
  <c r="B589" i="10"/>
  <c r="F589" i="10"/>
  <c r="I589" i="10"/>
  <c r="J589" i="10"/>
  <c r="L589" i="10"/>
  <c r="M589" i="10"/>
  <c r="D590" i="10"/>
  <c r="B590" i="10"/>
  <c r="F590" i="10"/>
  <c r="I590" i="10"/>
  <c r="J590" i="10"/>
  <c r="L590" i="10"/>
  <c r="M590" i="10"/>
  <c r="R590" i="10"/>
  <c r="AB186" i="10"/>
  <c r="U187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D591" i="10"/>
  <c r="B591" i="10"/>
  <c r="F591" i="10"/>
  <c r="I591" i="10"/>
  <c r="J591" i="10"/>
  <c r="L591" i="10"/>
  <c r="M591" i="10"/>
  <c r="D592" i="10"/>
  <c r="B592" i="10"/>
  <c r="F592" i="10"/>
  <c r="I592" i="10"/>
  <c r="J592" i="10"/>
  <c r="L592" i="10"/>
  <c r="M592" i="10"/>
  <c r="D593" i="10"/>
  <c r="B593" i="10"/>
  <c r="F593" i="10"/>
  <c r="I593" i="10"/>
  <c r="J593" i="10"/>
  <c r="L593" i="10"/>
  <c r="M593" i="10"/>
  <c r="R593" i="10"/>
  <c r="AB187" i="10"/>
  <c r="U188" i="10"/>
  <c r="D594" i="10"/>
  <c r="B594" i="10"/>
  <c r="F594" i="10"/>
  <c r="I594" i="10"/>
  <c r="J594" i="10"/>
  <c r="L594" i="10"/>
  <c r="M594" i="10"/>
  <c r="D595" i="10"/>
  <c r="B595" i="10"/>
  <c r="F595" i="10"/>
  <c r="I595" i="10"/>
  <c r="J595" i="10"/>
  <c r="L595" i="10"/>
  <c r="M595" i="10"/>
  <c r="D596" i="10"/>
  <c r="B596" i="10"/>
  <c r="F596" i="10"/>
  <c r="I596" i="10"/>
  <c r="J596" i="10"/>
  <c r="L596" i="10"/>
  <c r="M596" i="10"/>
  <c r="R596" i="10"/>
  <c r="AB188" i="10"/>
  <c r="U189" i="10"/>
  <c r="D597" i="10"/>
  <c r="B597" i="10"/>
  <c r="F597" i="10"/>
  <c r="I597" i="10"/>
  <c r="J597" i="10"/>
  <c r="L597" i="10"/>
  <c r="M597" i="10"/>
  <c r="D598" i="10"/>
  <c r="B598" i="10"/>
  <c r="F598" i="10"/>
  <c r="I598" i="10"/>
  <c r="J598" i="10"/>
  <c r="L598" i="10"/>
  <c r="M598" i="10"/>
  <c r="D599" i="10"/>
  <c r="B599" i="10"/>
  <c r="F599" i="10"/>
  <c r="I599" i="10"/>
  <c r="J599" i="10"/>
  <c r="L599" i="10"/>
  <c r="M599" i="10"/>
  <c r="R599" i="10"/>
  <c r="AB189" i="10"/>
  <c r="U190" i="10"/>
  <c r="D600" i="10"/>
  <c r="B600" i="10"/>
  <c r="F600" i="10"/>
  <c r="I600" i="10"/>
  <c r="J600" i="10"/>
  <c r="L600" i="10"/>
  <c r="M600" i="10"/>
  <c r="D601" i="10"/>
  <c r="B601" i="10"/>
  <c r="F601" i="10"/>
  <c r="I601" i="10"/>
  <c r="J601" i="10"/>
  <c r="L601" i="10"/>
  <c r="M601" i="10"/>
  <c r="D602" i="10"/>
  <c r="B602" i="10"/>
  <c r="F602" i="10"/>
  <c r="I602" i="10"/>
  <c r="J602" i="10"/>
  <c r="L602" i="10"/>
  <c r="M602" i="10"/>
  <c r="R602" i="10"/>
  <c r="AB190" i="10"/>
  <c r="U191" i="10"/>
  <c r="D603" i="10"/>
  <c r="B603" i="10"/>
  <c r="F603" i="10"/>
  <c r="I603" i="10"/>
  <c r="J603" i="10"/>
  <c r="L603" i="10"/>
  <c r="M603" i="10"/>
  <c r="D604" i="10"/>
  <c r="B604" i="10"/>
  <c r="F604" i="10"/>
  <c r="I604" i="10"/>
  <c r="J604" i="10"/>
  <c r="L604" i="10"/>
  <c r="M604" i="10"/>
  <c r="D605" i="10"/>
  <c r="B605" i="10"/>
  <c r="F605" i="10"/>
  <c r="I605" i="10"/>
  <c r="J605" i="10"/>
  <c r="L605" i="10"/>
  <c r="M605" i="10"/>
  <c r="R605" i="10"/>
  <c r="AB191" i="10"/>
  <c r="U192" i="10"/>
  <c r="D606" i="10"/>
  <c r="B606" i="10"/>
  <c r="F606" i="10"/>
  <c r="I606" i="10"/>
  <c r="J606" i="10"/>
  <c r="L606" i="10"/>
  <c r="M606" i="10"/>
  <c r="D607" i="10"/>
  <c r="B607" i="10"/>
  <c r="F607" i="10"/>
  <c r="I607" i="10"/>
  <c r="J607" i="10"/>
  <c r="L607" i="10"/>
  <c r="M607" i="10"/>
  <c r="D608" i="10"/>
  <c r="B608" i="10"/>
  <c r="F608" i="10"/>
  <c r="I608" i="10"/>
  <c r="J608" i="10"/>
  <c r="L608" i="10"/>
  <c r="M608" i="10"/>
  <c r="R608" i="10"/>
  <c r="AB192" i="10"/>
  <c r="U193" i="10"/>
  <c r="D609" i="10"/>
  <c r="B609" i="10"/>
  <c r="F609" i="10"/>
  <c r="I609" i="10"/>
  <c r="J609" i="10"/>
  <c r="L609" i="10"/>
  <c r="M609" i="10"/>
  <c r="D610" i="10"/>
  <c r="B610" i="10"/>
  <c r="F610" i="10"/>
  <c r="I610" i="10"/>
  <c r="J610" i="10"/>
  <c r="L610" i="10"/>
  <c r="M610" i="10"/>
  <c r="D611" i="10"/>
  <c r="B611" i="10"/>
  <c r="F611" i="10"/>
  <c r="I611" i="10"/>
  <c r="J611" i="10"/>
  <c r="L611" i="10"/>
  <c r="M611" i="10"/>
  <c r="R611" i="10"/>
  <c r="AB193" i="10"/>
  <c r="U194" i="10"/>
  <c r="D612" i="10"/>
  <c r="B612" i="10"/>
  <c r="F612" i="10"/>
  <c r="I612" i="10"/>
  <c r="J612" i="10"/>
  <c r="L612" i="10"/>
  <c r="M612" i="10"/>
  <c r="D613" i="10"/>
  <c r="B613" i="10"/>
  <c r="F613" i="10"/>
  <c r="I613" i="10"/>
  <c r="J613" i="10"/>
  <c r="L613" i="10"/>
  <c r="M613" i="10"/>
  <c r="D614" i="10"/>
  <c r="B614" i="10"/>
  <c r="F614" i="10"/>
  <c r="I614" i="10"/>
  <c r="J614" i="10"/>
  <c r="L614" i="10"/>
  <c r="M614" i="10"/>
  <c r="R614" i="10"/>
  <c r="AB194" i="10"/>
  <c r="U195" i="10"/>
  <c r="D615" i="10"/>
  <c r="B615" i="10"/>
  <c r="F615" i="10"/>
  <c r="I615" i="10"/>
  <c r="J615" i="10"/>
  <c r="L615" i="10"/>
  <c r="M615" i="10"/>
  <c r="D616" i="10"/>
  <c r="B616" i="10"/>
  <c r="F616" i="10"/>
  <c r="I616" i="10"/>
  <c r="J616" i="10"/>
  <c r="L616" i="10"/>
  <c r="M616" i="10"/>
  <c r="D617" i="10"/>
  <c r="B617" i="10"/>
  <c r="F617" i="10"/>
  <c r="I617" i="10"/>
  <c r="J617" i="10"/>
  <c r="L617" i="10"/>
  <c r="M617" i="10"/>
  <c r="R617" i="10"/>
  <c r="AB195" i="10"/>
  <c r="U196" i="10"/>
  <c r="D618" i="10"/>
  <c r="B618" i="10"/>
  <c r="F618" i="10"/>
  <c r="I618" i="10"/>
  <c r="J618" i="10"/>
  <c r="L618" i="10"/>
  <c r="M618" i="10"/>
  <c r="D619" i="10"/>
  <c r="B619" i="10"/>
  <c r="F619" i="10"/>
  <c r="I619" i="10"/>
  <c r="J619" i="10"/>
  <c r="L619" i="10"/>
  <c r="M619" i="10"/>
  <c r="D620" i="10"/>
  <c r="B620" i="10"/>
  <c r="F620" i="10"/>
  <c r="I620" i="10"/>
  <c r="J620" i="10"/>
  <c r="L620" i="10"/>
  <c r="M620" i="10"/>
  <c r="R620" i="10"/>
  <c r="AB196" i="10"/>
  <c r="U197" i="10"/>
  <c r="D621" i="10"/>
  <c r="B621" i="10"/>
  <c r="F621" i="10"/>
  <c r="I621" i="10"/>
  <c r="J621" i="10"/>
  <c r="L621" i="10"/>
  <c r="M621" i="10"/>
  <c r="D622" i="10"/>
  <c r="B622" i="10"/>
  <c r="F622" i="10"/>
  <c r="I622" i="10"/>
  <c r="J622" i="10"/>
  <c r="L622" i="10"/>
  <c r="M622" i="10"/>
  <c r="D623" i="10"/>
  <c r="B623" i="10"/>
  <c r="F623" i="10"/>
  <c r="I623" i="10"/>
  <c r="J623" i="10"/>
  <c r="L623" i="10"/>
  <c r="M623" i="10"/>
  <c r="R623" i="10"/>
  <c r="AB197" i="10"/>
  <c r="U198" i="10"/>
  <c r="D624" i="10"/>
  <c r="B624" i="10"/>
  <c r="F624" i="10"/>
  <c r="I624" i="10"/>
  <c r="J624" i="10"/>
  <c r="L624" i="10"/>
  <c r="M624" i="10"/>
  <c r="D625" i="10"/>
  <c r="B625" i="10"/>
  <c r="F625" i="10"/>
  <c r="I625" i="10"/>
  <c r="J625" i="10"/>
  <c r="L625" i="10"/>
  <c r="M625" i="10"/>
  <c r="D626" i="10"/>
  <c r="B626" i="10"/>
  <c r="F626" i="10"/>
  <c r="I626" i="10"/>
  <c r="J626" i="10"/>
  <c r="L626" i="10"/>
  <c r="M626" i="10"/>
  <c r="R626" i="10"/>
  <c r="AB198" i="10"/>
  <c r="U199" i="10"/>
  <c r="D627" i="10"/>
  <c r="B627" i="10"/>
  <c r="F627" i="10"/>
  <c r="I627" i="10"/>
  <c r="J627" i="10"/>
  <c r="L627" i="10"/>
  <c r="M627" i="10"/>
  <c r="D628" i="10"/>
  <c r="B628" i="10"/>
  <c r="F628" i="10"/>
  <c r="I628" i="10"/>
  <c r="J628" i="10"/>
  <c r="L628" i="10"/>
  <c r="M628" i="10"/>
  <c r="D629" i="10"/>
  <c r="B629" i="10"/>
  <c r="F629" i="10"/>
  <c r="I629" i="10"/>
  <c r="J629" i="10"/>
  <c r="L629" i="10"/>
  <c r="M629" i="10"/>
  <c r="R629" i="10"/>
  <c r="AB199" i="10"/>
  <c r="U200" i="10"/>
  <c r="D630" i="10"/>
  <c r="B630" i="10"/>
  <c r="F630" i="10"/>
  <c r="I630" i="10"/>
  <c r="J630" i="10"/>
  <c r="L630" i="10"/>
  <c r="M630" i="10"/>
  <c r="D631" i="10"/>
  <c r="B631" i="10"/>
  <c r="F631" i="10"/>
  <c r="I631" i="10"/>
  <c r="J631" i="10"/>
  <c r="L631" i="10"/>
  <c r="M631" i="10"/>
  <c r="D632" i="10"/>
  <c r="B632" i="10"/>
  <c r="F632" i="10"/>
  <c r="I632" i="10"/>
  <c r="J632" i="10"/>
  <c r="L632" i="10"/>
  <c r="M632" i="10"/>
  <c r="R632" i="10"/>
  <c r="AB200" i="10"/>
  <c r="U201" i="10"/>
  <c r="D633" i="10"/>
  <c r="B633" i="10"/>
  <c r="F633" i="10"/>
  <c r="I633" i="10"/>
  <c r="J633" i="10"/>
  <c r="L633" i="10"/>
  <c r="M633" i="10"/>
  <c r="D634" i="10"/>
  <c r="B634" i="10"/>
  <c r="F634" i="10"/>
  <c r="I634" i="10"/>
  <c r="J634" i="10"/>
  <c r="L634" i="10"/>
  <c r="M634" i="10"/>
  <c r="D635" i="10"/>
  <c r="B635" i="10"/>
  <c r="F635" i="10"/>
  <c r="I635" i="10"/>
  <c r="J635" i="10"/>
  <c r="L635" i="10"/>
  <c r="M635" i="10"/>
  <c r="R635" i="10"/>
  <c r="AB201" i="10"/>
  <c r="U202" i="10"/>
  <c r="D636" i="10"/>
  <c r="B636" i="10"/>
  <c r="F636" i="10"/>
  <c r="I636" i="10"/>
  <c r="J636" i="10"/>
  <c r="L636" i="10"/>
  <c r="M636" i="10"/>
  <c r="D637" i="10"/>
  <c r="B637" i="10"/>
  <c r="F637" i="10"/>
  <c r="I637" i="10"/>
  <c r="J637" i="10"/>
  <c r="L637" i="10"/>
  <c r="M637" i="10"/>
  <c r="D638" i="10"/>
  <c r="B638" i="10"/>
  <c r="F638" i="10"/>
  <c r="I638" i="10"/>
  <c r="J638" i="10"/>
  <c r="L638" i="10"/>
  <c r="M638" i="10"/>
  <c r="R638" i="10"/>
  <c r="AB202" i="10"/>
  <c r="U203" i="10"/>
  <c r="D639" i="10"/>
  <c r="B639" i="10"/>
  <c r="F639" i="10"/>
  <c r="I639" i="10"/>
  <c r="J639" i="10"/>
  <c r="L639" i="10"/>
  <c r="M639" i="10"/>
  <c r="D640" i="10"/>
  <c r="B640" i="10"/>
  <c r="F640" i="10"/>
  <c r="I640" i="10"/>
  <c r="J640" i="10"/>
  <c r="L640" i="10"/>
  <c r="M640" i="10"/>
  <c r="D641" i="10"/>
  <c r="B641" i="10"/>
  <c r="F641" i="10"/>
  <c r="I641" i="10"/>
  <c r="J641" i="10"/>
  <c r="L641" i="10"/>
  <c r="M641" i="10"/>
  <c r="R641" i="10"/>
  <c r="AB203" i="10"/>
  <c r="U204" i="10"/>
  <c r="D642" i="10"/>
  <c r="B642" i="10"/>
  <c r="F642" i="10"/>
  <c r="I642" i="10"/>
  <c r="J642" i="10"/>
  <c r="L642" i="10"/>
  <c r="M642" i="10"/>
  <c r="D643" i="10"/>
  <c r="B643" i="10"/>
  <c r="F643" i="10"/>
  <c r="I643" i="10"/>
  <c r="J643" i="10"/>
  <c r="L643" i="10"/>
  <c r="M643" i="10"/>
  <c r="D644" i="10"/>
  <c r="B644" i="10"/>
  <c r="F644" i="10"/>
  <c r="I644" i="10"/>
  <c r="J644" i="10"/>
  <c r="L644" i="10"/>
  <c r="M644" i="10"/>
  <c r="R644" i="10"/>
  <c r="AB204" i="10"/>
  <c r="U205" i="10"/>
  <c r="D645" i="10"/>
  <c r="B645" i="10"/>
  <c r="F645" i="10"/>
  <c r="I645" i="10"/>
  <c r="J645" i="10"/>
  <c r="L645" i="10"/>
  <c r="M645" i="10"/>
  <c r="D646" i="10"/>
  <c r="B646" i="10"/>
  <c r="F646" i="10"/>
  <c r="I646" i="10"/>
  <c r="J646" i="10"/>
  <c r="L646" i="10"/>
  <c r="M646" i="10"/>
  <c r="D647" i="10"/>
  <c r="B647" i="10"/>
  <c r="F647" i="10"/>
  <c r="I647" i="10"/>
  <c r="J647" i="10"/>
  <c r="L647" i="10"/>
  <c r="M647" i="10"/>
  <c r="R647" i="10"/>
  <c r="AB205" i="10"/>
  <c r="U206" i="10"/>
  <c r="D648" i="10"/>
  <c r="B648" i="10"/>
  <c r="F648" i="10"/>
  <c r="I648" i="10"/>
  <c r="J648" i="10"/>
  <c r="L648" i="10"/>
  <c r="M648" i="10"/>
  <c r="D649" i="10"/>
  <c r="B649" i="10"/>
  <c r="F649" i="10"/>
  <c r="I649" i="10"/>
  <c r="J649" i="10"/>
  <c r="L649" i="10"/>
  <c r="M649" i="10"/>
  <c r="D650" i="10"/>
  <c r="B650" i="10"/>
  <c r="F650" i="10"/>
  <c r="I650" i="10"/>
  <c r="J650" i="10"/>
  <c r="L650" i="10"/>
  <c r="M650" i="10"/>
  <c r="R650" i="10"/>
  <c r="AB206" i="10"/>
  <c r="U207" i="10"/>
  <c r="D651" i="10"/>
  <c r="B651" i="10"/>
  <c r="F651" i="10"/>
  <c r="I651" i="10"/>
  <c r="J651" i="10"/>
  <c r="L651" i="10"/>
  <c r="M651" i="10"/>
  <c r="D652" i="10"/>
  <c r="B652" i="10"/>
  <c r="F652" i="10"/>
  <c r="I652" i="10"/>
  <c r="J652" i="10"/>
  <c r="L652" i="10"/>
  <c r="M652" i="10"/>
  <c r="D653" i="10"/>
  <c r="B653" i="10"/>
  <c r="F653" i="10"/>
  <c r="I653" i="10"/>
  <c r="J653" i="10"/>
  <c r="L653" i="10"/>
  <c r="M653" i="10"/>
  <c r="R653" i="10"/>
  <c r="AB207" i="10"/>
  <c r="U208" i="10"/>
  <c r="D654" i="10"/>
  <c r="B654" i="10"/>
  <c r="F654" i="10"/>
  <c r="I654" i="10"/>
  <c r="J654" i="10"/>
  <c r="L654" i="10"/>
  <c r="M654" i="10"/>
  <c r="D655" i="10"/>
  <c r="B655" i="10"/>
  <c r="F655" i="10"/>
  <c r="I655" i="10"/>
  <c r="J655" i="10"/>
  <c r="L655" i="10"/>
  <c r="M655" i="10"/>
  <c r="D656" i="10"/>
  <c r="B656" i="10"/>
  <c r="F656" i="10"/>
  <c r="I656" i="10"/>
  <c r="J656" i="10"/>
  <c r="L656" i="10"/>
  <c r="M656" i="10"/>
  <c r="R656" i="10"/>
  <c r="AB208" i="10"/>
  <c r="U209" i="10"/>
  <c r="D657" i="10"/>
  <c r="B657" i="10"/>
  <c r="F657" i="10"/>
  <c r="I657" i="10"/>
  <c r="J657" i="10"/>
  <c r="L657" i="10"/>
  <c r="M657" i="10"/>
  <c r="D658" i="10"/>
  <c r="B658" i="10"/>
  <c r="F658" i="10"/>
  <c r="I658" i="10"/>
  <c r="J658" i="10"/>
  <c r="L658" i="10"/>
  <c r="M658" i="10"/>
  <c r="D659" i="10"/>
  <c r="B659" i="10"/>
  <c r="F659" i="10"/>
  <c r="I659" i="10"/>
  <c r="J659" i="10"/>
  <c r="L659" i="10"/>
  <c r="M659" i="10"/>
  <c r="R659" i="10"/>
  <c r="AB209" i="10"/>
  <c r="U210" i="10"/>
  <c r="D660" i="10"/>
  <c r="B660" i="10"/>
  <c r="F660" i="10"/>
  <c r="I660" i="10"/>
  <c r="J660" i="10"/>
  <c r="L660" i="10"/>
  <c r="M660" i="10"/>
  <c r="D661" i="10"/>
  <c r="B661" i="10"/>
  <c r="F661" i="10"/>
  <c r="I661" i="10"/>
  <c r="J661" i="10"/>
  <c r="L661" i="10"/>
  <c r="M661" i="10"/>
  <c r="D662" i="10"/>
  <c r="B662" i="10"/>
  <c r="F662" i="10"/>
  <c r="I662" i="10"/>
  <c r="J662" i="10"/>
  <c r="L662" i="10"/>
  <c r="M662" i="10"/>
  <c r="R662" i="10"/>
  <c r="AB210" i="10"/>
  <c r="U211" i="10"/>
  <c r="D663" i="10"/>
  <c r="B663" i="10"/>
  <c r="F663" i="10"/>
  <c r="I663" i="10"/>
  <c r="J663" i="10"/>
  <c r="L663" i="10"/>
  <c r="M663" i="10"/>
  <c r="D664" i="10"/>
  <c r="B664" i="10"/>
  <c r="F664" i="10"/>
  <c r="I664" i="10"/>
  <c r="J664" i="10"/>
  <c r="L664" i="10"/>
  <c r="M664" i="10"/>
  <c r="D665" i="10"/>
  <c r="B665" i="10"/>
  <c r="F665" i="10"/>
  <c r="I665" i="10"/>
  <c r="J665" i="10"/>
  <c r="L665" i="10"/>
  <c r="M665" i="10"/>
  <c r="R665" i="10"/>
  <c r="AB211" i="10"/>
  <c r="U212" i="10"/>
  <c r="D666" i="10"/>
  <c r="B666" i="10"/>
  <c r="F666" i="10"/>
  <c r="I666" i="10"/>
  <c r="J666" i="10"/>
  <c r="L666" i="10"/>
  <c r="M666" i="10"/>
  <c r="D667" i="10"/>
  <c r="B667" i="10"/>
  <c r="F667" i="10"/>
  <c r="I667" i="10"/>
  <c r="J667" i="10"/>
  <c r="L667" i="10"/>
  <c r="M667" i="10"/>
  <c r="D668" i="10"/>
  <c r="B668" i="10"/>
  <c r="F668" i="10"/>
  <c r="I668" i="10"/>
  <c r="J668" i="10"/>
  <c r="L668" i="10"/>
  <c r="M668" i="10"/>
  <c r="R668" i="10"/>
  <c r="AB212" i="10"/>
  <c r="U213" i="10"/>
  <c r="D669" i="10"/>
  <c r="B669" i="10"/>
  <c r="F669" i="10"/>
  <c r="I669" i="10"/>
  <c r="J669" i="10"/>
  <c r="L669" i="10"/>
  <c r="M669" i="10"/>
  <c r="D670" i="10"/>
  <c r="B670" i="10"/>
  <c r="F670" i="10"/>
  <c r="I670" i="10"/>
  <c r="J670" i="10"/>
  <c r="L670" i="10"/>
  <c r="M670" i="10"/>
  <c r="D671" i="10"/>
  <c r="B671" i="10"/>
  <c r="F671" i="10"/>
  <c r="I671" i="10"/>
  <c r="J671" i="10"/>
  <c r="L671" i="10"/>
  <c r="M671" i="10"/>
  <c r="R671" i="10"/>
  <c r="AB213" i="10"/>
  <c r="U214" i="10"/>
  <c r="D672" i="10"/>
  <c r="B672" i="10"/>
  <c r="F672" i="10"/>
  <c r="I672" i="10"/>
  <c r="J672" i="10"/>
  <c r="L672" i="10"/>
  <c r="M672" i="10"/>
  <c r="D673" i="10"/>
  <c r="B673" i="10"/>
  <c r="F673" i="10"/>
  <c r="I673" i="10"/>
  <c r="J673" i="10"/>
  <c r="L673" i="10"/>
  <c r="M673" i="10"/>
  <c r="D674" i="10"/>
  <c r="B674" i="10"/>
  <c r="F674" i="10"/>
  <c r="I674" i="10"/>
  <c r="J674" i="10"/>
  <c r="L674" i="10"/>
  <c r="M674" i="10"/>
  <c r="R674" i="10"/>
  <c r="AB214" i="10"/>
  <c r="U215" i="10"/>
  <c r="D675" i="10"/>
  <c r="B675" i="10"/>
  <c r="F675" i="10"/>
  <c r="I675" i="10"/>
  <c r="J675" i="10"/>
  <c r="L675" i="10"/>
  <c r="M675" i="10"/>
  <c r="D676" i="10"/>
  <c r="B676" i="10"/>
  <c r="F676" i="10"/>
  <c r="I676" i="10"/>
  <c r="J676" i="10"/>
  <c r="L676" i="10"/>
  <c r="M676" i="10"/>
  <c r="D677" i="10"/>
  <c r="B677" i="10"/>
  <c r="F677" i="10"/>
  <c r="I677" i="10"/>
  <c r="J677" i="10"/>
  <c r="L677" i="10"/>
  <c r="M677" i="10"/>
  <c r="R677" i="10"/>
  <c r="AB215" i="10"/>
  <c r="U216" i="10"/>
  <c r="D678" i="10"/>
  <c r="B678" i="10"/>
  <c r="F678" i="10"/>
  <c r="I678" i="10"/>
  <c r="J678" i="10"/>
  <c r="L678" i="10"/>
  <c r="M678" i="10"/>
  <c r="D679" i="10"/>
  <c r="B679" i="10"/>
  <c r="F679" i="10"/>
  <c r="I679" i="10"/>
  <c r="J679" i="10"/>
  <c r="L679" i="10"/>
  <c r="M679" i="10"/>
  <c r="D680" i="10"/>
  <c r="B680" i="10"/>
  <c r="F680" i="10"/>
  <c r="I680" i="10"/>
  <c r="J680" i="10"/>
  <c r="L680" i="10"/>
  <c r="M680" i="10"/>
  <c r="R680" i="10"/>
  <c r="AB216" i="10"/>
  <c r="U217" i="10"/>
  <c r="D681" i="10"/>
  <c r="B681" i="10"/>
  <c r="F681" i="10"/>
  <c r="I681" i="10"/>
  <c r="J681" i="10"/>
  <c r="L681" i="10"/>
  <c r="M681" i="10"/>
  <c r="D682" i="10"/>
  <c r="B682" i="10"/>
  <c r="F682" i="10"/>
  <c r="I682" i="10"/>
  <c r="J682" i="10"/>
  <c r="L682" i="10"/>
  <c r="M682" i="10"/>
  <c r="D683" i="10"/>
  <c r="B683" i="10"/>
  <c r="F683" i="10"/>
  <c r="I683" i="10"/>
  <c r="J683" i="10"/>
  <c r="L683" i="10"/>
  <c r="M683" i="10"/>
  <c r="R683" i="10"/>
  <c r="AB217" i="10"/>
  <c r="U218" i="10"/>
  <c r="D684" i="10"/>
  <c r="B684" i="10"/>
  <c r="F684" i="10"/>
  <c r="I684" i="10"/>
  <c r="J684" i="10"/>
  <c r="L684" i="10"/>
  <c r="M684" i="10"/>
  <c r="D685" i="10"/>
  <c r="B685" i="10"/>
  <c r="F685" i="10"/>
  <c r="I685" i="10"/>
  <c r="J685" i="10"/>
  <c r="L685" i="10"/>
  <c r="M685" i="10"/>
  <c r="D686" i="10"/>
  <c r="B686" i="10"/>
  <c r="F686" i="10"/>
  <c r="I686" i="10"/>
  <c r="J686" i="10"/>
  <c r="L686" i="10"/>
  <c r="M686" i="10"/>
  <c r="R686" i="10"/>
  <c r="AB218" i="10"/>
  <c r="U219" i="10"/>
  <c r="D687" i="10"/>
  <c r="B687" i="10"/>
  <c r="F687" i="10"/>
  <c r="I687" i="10"/>
  <c r="J687" i="10"/>
  <c r="L687" i="10"/>
  <c r="M687" i="10"/>
  <c r="D688" i="10"/>
  <c r="B688" i="10"/>
  <c r="F688" i="10"/>
  <c r="I688" i="10"/>
  <c r="J688" i="10"/>
  <c r="L688" i="10"/>
  <c r="M688" i="10"/>
  <c r="D689" i="10"/>
  <c r="B689" i="10"/>
  <c r="F689" i="10"/>
  <c r="I689" i="10"/>
  <c r="J689" i="10"/>
  <c r="L689" i="10"/>
  <c r="M689" i="10"/>
  <c r="R689" i="10"/>
  <c r="AB219" i="10"/>
  <c r="U22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D690" i="10"/>
  <c r="B690" i="10"/>
  <c r="F690" i="10"/>
  <c r="I690" i="10"/>
  <c r="J690" i="10"/>
  <c r="L690" i="10"/>
  <c r="M690" i="10"/>
  <c r="D691" i="10"/>
  <c r="B691" i="10"/>
  <c r="F691" i="10"/>
  <c r="I691" i="10"/>
  <c r="J691" i="10"/>
  <c r="L691" i="10"/>
  <c r="M691" i="10"/>
  <c r="D692" i="10"/>
  <c r="B692" i="10"/>
  <c r="F692" i="10"/>
  <c r="I692" i="10"/>
  <c r="J692" i="10"/>
  <c r="L692" i="10"/>
  <c r="M692" i="10"/>
  <c r="R692" i="10"/>
  <c r="AB220" i="10"/>
  <c r="U221" i="10"/>
  <c r="D693" i="10"/>
  <c r="B693" i="10"/>
  <c r="F693" i="10"/>
  <c r="I693" i="10"/>
  <c r="J693" i="10"/>
  <c r="L693" i="10"/>
  <c r="M693" i="10"/>
  <c r="D694" i="10"/>
  <c r="B694" i="10"/>
  <c r="F694" i="10"/>
  <c r="I694" i="10"/>
  <c r="J694" i="10"/>
  <c r="L694" i="10"/>
  <c r="M694" i="10"/>
  <c r="D695" i="10"/>
  <c r="B695" i="10"/>
  <c r="F695" i="10"/>
  <c r="I695" i="10"/>
  <c r="J695" i="10"/>
  <c r="L695" i="10"/>
  <c r="M695" i="10"/>
  <c r="R695" i="10"/>
  <c r="AB221" i="10"/>
  <c r="U222" i="10"/>
  <c r="D696" i="10"/>
  <c r="B696" i="10"/>
  <c r="F696" i="10"/>
  <c r="I696" i="10"/>
  <c r="J696" i="10"/>
  <c r="L696" i="10"/>
  <c r="M696" i="10"/>
  <c r="D697" i="10"/>
  <c r="B697" i="10"/>
  <c r="F697" i="10"/>
  <c r="I697" i="10"/>
  <c r="J697" i="10"/>
  <c r="L697" i="10"/>
  <c r="M697" i="10"/>
  <c r="D698" i="10"/>
  <c r="B698" i="10"/>
  <c r="F698" i="10"/>
  <c r="I698" i="10"/>
  <c r="J698" i="10"/>
  <c r="L698" i="10"/>
  <c r="M698" i="10"/>
  <c r="R698" i="10"/>
  <c r="AB222" i="10"/>
  <c r="U223" i="10"/>
  <c r="D699" i="10"/>
  <c r="B699" i="10"/>
  <c r="F699" i="10"/>
  <c r="I699" i="10"/>
  <c r="J699" i="10"/>
  <c r="L699" i="10"/>
  <c r="M699" i="10"/>
  <c r="D700" i="10"/>
  <c r="B700" i="10"/>
  <c r="F700" i="10"/>
  <c r="I700" i="10"/>
  <c r="J700" i="10"/>
  <c r="L700" i="10"/>
  <c r="M700" i="10"/>
  <c r="D701" i="10"/>
  <c r="B701" i="10"/>
  <c r="F701" i="10"/>
  <c r="I701" i="10"/>
  <c r="J701" i="10"/>
  <c r="L701" i="10"/>
  <c r="M701" i="10"/>
  <c r="R701" i="10"/>
  <c r="AB223" i="10"/>
  <c r="U224" i="10"/>
  <c r="D702" i="10"/>
  <c r="B702" i="10"/>
  <c r="F702" i="10"/>
  <c r="I702" i="10"/>
  <c r="J702" i="10"/>
  <c r="L702" i="10"/>
  <c r="M702" i="10"/>
  <c r="D703" i="10"/>
  <c r="B703" i="10"/>
  <c r="F703" i="10"/>
  <c r="I703" i="10"/>
  <c r="J703" i="10"/>
  <c r="L703" i="10"/>
  <c r="M703" i="10"/>
  <c r="D704" i="10"/>
  <c r="B704" i="10"/>
  <c r="F704" i="10"/>
  <c r="I704" i="10"/>
  <c r="J704" i="10"/>
  <c r="L704" i="10"/>
  <c r="M704" i="10"/>
  <c r="R704" i="10"/>
  <c r="AB224" i="10"/>
  <c r="U225" i="10"/>
  <c r="D705" i="10"/>
  <c r="B705" i="10"/>
  <c r="F705" i="10"/>
  <c r="I705" i="10"/>
  <c r="J705" i="10"/>
  <c r="L705" i="10"/>
  <c r="M705" i="10"/>
  <c r="D706" i="10"/>
  <c r="B706" i="10"/>
  <c r="F706" i="10"/>
  <c r="I706" i="10"/>
  <c r="J706" i="10"/>
  <c r="L706" i="10"/>
  <c r="M706" i="10"/>
  <c r="D707" i="10"/>
  <c r="B707" i="10"/>
  <c r="F707" i="10"/>
  <c r="I707" i="10"/>
  <c r="J707" i="10"/>
  <c r="L707" i="10"/>
  <c r="M707" i="10"/>
  <c r="R707" i="10"/>
  <c r="AB225" i="10"/>
  <c r="U226" i="10"/>
  <c r="D708" i="10"/>
  <c r="B708" i="10"/>
  <c r="F708" i="10"/>
  <c r="I708" i="10"/>
  <c r="J708" i="10"/>
  <c r="L708" i="10"/>
  <c r="M708" i="10"/>
  <c r="D709" i="10"/>
  <c r="B709" i="10"/>
  <c r="F709" i="10"/>
  <c r="I709" i="10"/>
  <c r="J709" i="10"/>
  <c r="L709" i="10"/>
  <c r="M709" i="10"/>
  <c r="D710" i="10"/>
  <c r="B710" i="10"/>
  <c r="F710" i="10"/>
  <c r="I710" i="10"/>
  <c r="J710" i="10"/>
  <c r="L710" i="10"/>
  <c r="M710" i="10"/>
  <c r="R710" i="10"/>
  <c r="AB226" i="10"/>
  <c r="U227" i="10"/>
  <c r="D711" i="10"/>
  <c r="B711" i="10"/>
  <c r="F711" i="10"/>
  <c r="I711" i="10"/>
  <c r="J711" i="10"/>
  <c r="L711" i="10"/>
  <c r="M711" i="10"/>
  <c r="D712" i="10"/>
  <c r="B712" i="10"/>
  <c r="F712" i="10"/>
  <c r="I712" i="10"/>
  <c r="J712" i="10"/>
  <c r="L712" i="10"/>
  <c r="M712" i="10"/>
  <c r="D713" i="10"/>
  <c r="B713" i="10"/>
  <c r="F713" i="10"/>
  <c r="I713" i="10"/>
  <c r="J713" i="10"/>
  <c r="L713" i="10"/>
  <c r="M713" i="10"/>
  <c r="R713" i="10"/>
  <c r="AB227" i="10"/>
  <c r="U228" i="10"/>
  <c r="D714" i="10"/>
  <c r="B714" i="10"/>
  <c r="F714" i="10"/>
  <c r="I714" i="10"/>
  <c r="J714" i="10"/>
  <c r="L714" i="10"/>
  <c r="M714" i="10"/>
  <c r="D715" i="10"/>
  <c r="B715" i="10"/>
  <c r="F715" i="10"/>
  <c r="I715" i="10"/>
  <c r="J715" i="10"/>
  <c r="L715" i="10"/>
  <c r="M715" i="10"/>
  <c r="D716" i="10"/>
  <c r="B716" i="10"/>
  <c r="F716" i="10"/>
  <c r="I716" i="10"/>
  <c r="J716" i="10"/>
  <c r="L716" i="10"/>
  <c r="M716" i="10"/>
  <c r="R716" i="10"/>
  <c r="AB228" i="10"/>
  <c r="U229" i="10"/>
  <c r="D717" i="10"/>
  <c r="B717" i="10"/>
  <c r="F717" i="10"/>
  <c r="I717" i="10"/>
  <c r="J717" i="10"/>
  <c r="L717" i="10"/>
  <c r="M717" i="10"/>
  <c r="D718" i="10"/>
  <c r="B718" i="10"/>
  <c r="F718" i="10"/>
  <c r="I718" i="10"/>
  <c r="J718" i="10"/>
  <c r="L718" i="10"/>
  <c r="M718" i="10"/>
  <c r="D719" i="10"/>
  <c r="B719" i="10"/>
  <c r="F719" i="10"/>
  <c r="I719" i="10"/>
  <c r="J719" i="10"/>
  <c r="L719" i="10"/>
  <c r="M719" i="10"/>
  <c r="R719" i="10"/>
  <c r="AB229" i="10"/>
  <c r="U230" i="10"/>
  <c r="D720" i="10"/>
  <c r="B720" i="10"/>
  <c r="F720" i="10"/>
  <c r="I720" i="10"/>
  <c r="J720" i="10"/>
  <c r="L720" i="10"/>
  <c r="M720" i="10"/>
  <c r="D721" i="10"/>
  <c r="B721" i="10"/>
  <c r="F721" i="10"/>
  <c r="I721" i="10"/>
  <c r="J721" i="10"/>
  <c r="L721" i="10"/>
  <c r="M721" i="10"/>
  <c r="D722" i="10"/>
  <c r="B722" i="10"/>
  <c r="F722" i="10"/>
  <c r="I722" i="10"/>
  <c r="J722" i="10"/>
  <c r="L722" i="10"/>
  <c r="M722" i="10"/>
  <c r="R722" i="10"/>
  <c r="AB230" i="10"/>
  <c r="U231" i="10"/>
  <c r="D723" i="10"/>
  <c r="B723" i="10"/>
  <c r="F723" i="10"/>
  <c r="I723" i="10"/>
  <c r="J723" i="10"/>
  <c r="L723" i="10"/>
  <c r="M723" i="10"/>
  <c r="D724" i="10"/>
  <c r="B724" i="10"/>
  <c r="F724" i="10"/>
  <c r="I724" i="10"/>
  <c r="J724" i="10"/>
  <c r="L724" i="10"/>
  <c r="M724" i="10"/>
  <c r="D725" i="10"/>
  <c r="B725" i="10"/>
  <c r="F725" i="10"/>
  <c r="I725" i="10"/>
  <c r="J725" i="10"/>
  <c r="L725" i="10"/>
  <c r="M725" i="10"/>
  <c r="R725" i="10"/>
  <c r="AB231" i="10"/>
  <c r="U232" i="10"/>
  <c r="D726" i="10"/>
  <c r="B726" i="10"/>
  <c r="F726" i="10"/>
  <c r="I726" i="10"/>
  <c r="J726" i="10"/>
  <c r="L726" i="10"/>
  <c r="M726" i="10"/>
  <c r="D727" i="10"/>
  <c r="B727" i="10"/>
  <c r="F727" i="10"/>
  <c r="I727" i="10"/>
  <c r="J727" i="10"/>
  <c r="L727" i="10"/>
  <c r="M727" i="10"/>
  <c r="D728" i="10"/>
  <c r="B728" i="10"/>
  <c r="F728" i="10"/>
  <c r="I728" i="10"/>
  <c r="J728" i="10"/>
  <c r="L728" i="10"/>
  <c r="M728" i="10"/>
  <c r="R728" i="10"/>
  <c r="AB232" i="10"/>
  <c r="U233" i="10"/>
  <c r="D729" i="10"/>
  <c r="B729" i="10"/>
  <c r="F729" i="10"/>
  <c r="I729" i="10"/>
  <c r="J729" i="10"/>
  <c r="L729" i="10"/>
  <c r="M729" i="10"/>
  <c r="D730" i="10"/>
  <c r="B730" i="10"/>
  <c r="F730" i="10"/>
  <c r="I730" i="10"/>
  <c r="J730" i="10"/>
  <c r="L730" i="10"/>
  <c r="M730" i="10"/>
  <c r="D731" i="10"/>
  <c r="B731" i="10"/>
  <c r="F731" i="10"/>
  <c r="I731" i="10"/>
  <c r="J731" i="10"/>
  <c r="L731" i="10"/>
  <c r="M731" i="10"/>
  <c r="R731" i="10"/>
  <c r="AB233" i="10"/>
  <c r="U234" i="10"/>
  <c r="D732" i="10"/>
  <c r="B732" i="10"/>
  <c r="F732" i="10"/>
  <c r="I732" i="10"/>
  <c r="J732" i="10"/>
  <c r="L732" i="10"/>
  <c r="M732" i="10"/>
  <c r="D733" i="10"/>
  <c r="B733" i="10"/>
  <c r="F733" i="10"/>
  <c r="I733" i="10"/>
  <c r="J733" i="10"/>
  <c r="L733" i="10"/>
  <c r="M733" i="10"/>
  <c r="D734" i="10"/>
  <c r="B734" i="10"/>
  <c r="F734" i="10"/>
  <c r="I734" i="10"/>
  <c r="J734" i="10"/>
  <c r="L734" i="10"/>
  <c r="M734" i="10"/>
  <c r="R734" i="10"/>
  <c r="AB234" i="10"/>
  <c r="U235" i="10"/>
  <c r="D735" i="10"/>
  <c r="B735" i="10"/>
  <c r="F735" i="10"/>
  <c r="I735" i="10"/>
  <c r="J735" i="10"/>
  <c r="L735" i="10"/>
  <c r="M735" i="10"/>
  <c r="D736" i="10"/>
  <c r="B736" i="10"/>
  <c r="F736" i="10"/>
  <c r="I736" i="10"/>
  <c r="J736" i="10"/>
  <c r="L736" i="10"/>
  <c r="M736" i="10"/>
  <c r="D737" i="10"/>
  <c r="B737" i="10"/>
  <c r="F737" i="10"/>
  <c r="I737" i="10"/>
  <c r="J737" i="10"/>
  <c r="L737" i="10"/>
  <c r="M737" i="10"/>
  <c r="R737" i="10"/>
  <c r="AB235" i="10"/>
  <c r="U236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D738" i="10"/>
  <c r="B738" i="10"/>
  <c r="F738" i="10"/>
  <c r="I738" i="10"/>
  <c r="J738" i="10"/>
  <c r="L738" i="10"/>
  <c r="M738" i="10"/>
  <c r="D739" i="10"/>
  <c r="B739" i="10"/>
  <c r="F739" i="10"/>
  <c r="I739" i="10"/>
  <c r="J739" i="10"/>
  <c r="L739" i="10"/>
  <c r="M739" i="10"/>
  <c r="D740" i="10"/>
  <c r="B740" i="10"/>
  <c r="F740" i="10"/>
  <c r="I740" i="10"/>
  <c r="J740" i="10"/>
  <c r="L740" i="10"/>
  <c r="M740" i="10"/>
  <c r="R740" i="10"/>
  <c r="AB236" i="10"/>
  <c r="U237" i="10"/>
  <c r="D741" i="10"/>
  <c r="B741" i="10"/>
  <c r="F741" i="10"/>
  <c r="I741" i="10"/>
  <c r="J741" i="10"/>
  <c r="L741" i="10"/>
  <c r="M741" i="10"/>
  <c r="D742" i="10"/>
  <c r="B742" i="10"/>
  <c r="F742" i="10"/>
  <c r="I742" i="10"/>
  <c r="J742" i="10"/>
  <c r="L742" i="10"/>
  <c r="M742" i="10"/>
  <c r="D743" i="10"/>
  <c r="B743" i="10"/>
  <c r="F743" i="10"/>
  <c r="I743" i="10"/>
  <c r="J743" i="10"/>
  <c r="L743" i="10"/>
  <c r="M743" i="10"/>
  <c r="R743" i="10"/>
  <c r="AB237" i="10"/>
  <c r="U238" i="10"/>
  <c r="D744" i="10"/>
  <c r="B744" i="10"/>
  <c r="F744" i="10"/>
  <c r="I744" i="10"/>
  <c r="J744" i="10"/>
  <c r="L744" i="10"/>
  <c r="M744" i="10"/>
  <c r="D745" i="10"/>
  <c r="B745" i="10"/>
  <c r="F745" i="10"/>
  <c r="I745" i="10"/>
  <c r="J745" i="10"/>
  <c r="L745" i="10"/>
  <c r="M745" i="10"/>
  <c r="D746" i="10"/>
  <c r="B746" i="10"/>
  <c r="F746" i="10"/>
  <c r="I746" i="10"/>
  <c r="J746" i="10"/>
  <c r="L746" i="10"/>
  <c r="M746" i="10"/>
  <c r="R746" i="10"/>
  <c r="AB238" i="10"/>
  <c r="U239" i="10"/>
  <c r="D747" i="10"/>
  <c r="B747" i="10"/>
  <c r="F747" i="10"/>
  <c r="I747" i="10"/>
  <c r="J747" i="10"/>
  <c r="L747" i="10"/>
  <c r="M747" i="10"/>
  <c r="D748" i="10"/>
  <c r="B748" i="10"/>
  <c r="F748" i="10"/>
  <c r="I748" i="10"/>
  <c r="J748" i="10"/>
  <c r="L748" i="10"/>
  <c r="M748" i="10"/>
  <c r="D749" i="10"/>
  <c r="B749" i="10"/>
  <c r="F749" i="10"/>
  <c r="I749" i="10"/>
  <c r="J749" i="10"/>
  <c r="L749" i="10"/>
  <c r="M749" i="10"/>
  <c r="R749" i="10"/>
  <c r="AB239" i="10"/>
  <c r="U240" i="10"/>
  <c r="D750" i="10"/>
  <c r="B750" i="10"/>
  <c r="F750" i="10"/>
  <c r="I750" i="10"/>
  <c r="J750" i="10"/>
  <c r="L750" i="10"/>
  <c r="M750" i="10"/>
  <c r="D751" i="10"/>
  <c r="B751" i="10"/>
  <c r="F751" i="10"/>
  <c r="I751" i="10"/>
  <c r="J751" i="10"/>
  <c r="L751" i="10"/>
  <c r="M751" i="10"/>
  <c r="D752" i="10"/>
  <c r="B752" i="10"/>
  <c r="F752" i="10"/>
  <c r="I752" i="10"/>
  <c r="J752" i="10"/>
  <c r="L752" i="10"/>
  <c r="M752" i="10"/>
  <c r="R752" i="10"/>
  <c r="AB240" i="10"/>
  <c r="U241" i="10"/>
  <c r="D753" i="10"/>
  <c r="B753" i="10"/>
  <c r="F753" i="10"/>
  <c r="I753" i="10"/>
  <c r="J753" i="10"/>
  <c r="L753" i="10"/>
  <c r="M753" i="10"/>
  <c r="D754" i="10"/>
  <c r="B754" i="10"/>
  <c r="F754" i="10"/>
  <c r="I754" i="10"/>
  <c r="J754" i="10"/>
  <c r="L754" i="10"/>
  <c r="M754" i="10"/>
  <c r="D755" i="10"/>
  <c r="B755" i="10"/>
  <c r="F755" i="10"/>
  <c r="I755" i="10"/>
  <c r="J755" i="10"/>
  <c r="L755" i="10"/>
  <c r="M755" i="10"/>
  <c r="R755" i="10"/>
  <c r="AB241" i="10"/>
  <c r="U242" i="10"/>
  <c r="D756" i="10"/>
  <c r="B756" i="10"/>
  <c r="F756" i="10"/>
  <c r="I756" i="10"/>
  <c r="J756" i="10"/>
  <c r="L756" i="10"/>
  <c r="M756" i="10"/>
  <c r="D757" i="10"/>
  <c r="B757" i="10"/>
  <c r="F757" i="10"/>
  <c r="I757" i="10"/>
  <c r="J757" i="10"/>
  <c r="L757" i="10"/>
  <c r="M757" i="10"/>
  <c r="D758" i="10"/>
  <c r="B758" i="10"/>
  <c r="F758" i="10"/>
  <c r="I758" i="10"/>
  <c r="J758" i="10"/>
  <c r="L758" i="10"/>
  <c r="M758" i="10"/>
  <c r="R758" i="10"/>
  <c r="AB242" i="10"/>
  <c r="U243" i="10"/>
  <c r="D759" i="10"/>
  <c r="B759" i="10"/>
  <c r="F759" i="10"/>
  <c r="I759" i="10"/>
  <c r="J759" i="10"/>
  <c r="L759" i="10"/>
  <c r="M759" i="10"/>
  <c r="D760" i="10"/>
  <c r="B760" i="10"/>
  <c r="F760" i="10"/>
  <c r="J760" i="10"/>
  <c r="L760" i="10"/>
  <c r="M760" i="10"/>
  <c r="D761" i="10"/>
  <c r="B761" i="10"/>
  <c r="F761" i="10"/>
  <c r="I761" i="10"/>
  <c r="J761" i="10"/>
  <c r="L761" i="10"/>
  <c r="M761" i="10"/>
  <c r="R761" i="10"/>
  <c r="AB243" i="10"/>
  <c r="U244" i="10"/>
  <c r="A765" i="10"/>
  <c r="D762" i="10"/>
  <c r="B762" i="10"/>
  <c r="F762" i="10"/>
  <c r="I762" i="10"/>
  <c r="J762" i="10"/>
  <c r="L762" i="10"/>
  <c r="M762" i="10"/>
  <c r="D763" i="10"/>
  <c r="B763" i="10"/>
  <c r="F763" i="10"/>
  <c r="I763" i="10"/>
  <c r="J763" i="10"/>
  <c r="L763" i="10"/>
  <c r="M763" i="10"/>
  <c r="D764" i="10"/>
  <c r="B764" i="10"/>
  <c r="F764" i="10"/>
  <c r="I764" i="10"/>
  <c r="J764" i="10"/>
  <c r="L764" i="10"/>
  <c r="M764" i="10"/>
  <c r="R764" i="10"/>
  <c r="AB244" i="10"/>
  <c r="U245" i="10"/>
  <c r="A766" i="10"/>
  <c r="A767" i="10"/>
  <c r="A768" i="10"/>
  <c r="A769" i="10"/>
  <c r="A770" i="10"/>
  <c r="A771" i="10"/>
  <c r="A772" i="10"/>
  <c r="A773" i="10"/>
  <c r="A774" i="10"/>
  <c r="A775" i="10"/>
  <c r="A776" i="10"/>
  <c r="D765" i="10"/>
  <c r="B765" i="10"/>
  <c r="F765" i="10"/>
  <c r="I765" i="10"/>
  <c r="J765" i="10"/>
  <c r="L765" i="10"/>
  <c r="M765" i="10"/>
  <c r="D766" i="10"/>
  <c r="B766" i="10"/>
  <c r="F766" i="10"/>
  <c r="I766" i="10"/>
  <c r="J766" i="10"/>
  <c r="L766" i="10"/>
  <c r="M766" i="10"/>
  <c r="D767" i="10"/>
  <c r="B767" i="10"/>
  <c r="F767" i="10"/>
  <c r="I767" i="10"/>
  <c r="J767" i="10"/>
  <c r="L767" i="10"/>
  <c r="M767" i="10"/>
  <c r="R767" i="10"/>
  <c r="AB245" i="10"/>
  <c r="U246" i="10"/>
  <c r="D768" i="10"/>
  <c r="B768" i="10"/>
  <c r="F768" i="10"/>
  <c r="I768" i="10"/>
  <c r="J768" i="10"/>
  <c r="L768" i="10"/>
  <c r="M768" i="10"/>
  <c r="D769" i="10"/>
  <c r="B769" i="10"/>
  <c r="F769" i="10"/>
  <c r="I769" i="10"/>
  <c r="J769" i="10"/>
  <c r="L769" i="10"/>
  <c r="M769" i="10"/>
  <c r="D770" i="10"/>
  <c r="B770" i="10"/>
  <c r="F770" i="10"/>
  <c r="I770" i="10"/>
  <c r="J770" i="10"/>
  <c r="L770" i="10"/>
  <c r="M770" i="10"/>
  <c r="R770" i="10"/>
  <c r="AB246" i="10"/>
  <c r="U247" i="10"/>
  <c r="D771" i="10"/>
  <c r="B771" i="10"/>
  <c r="F771" i="10"/>
  <c r="I771" i="10"/>
  <c r="J771" i="10"/>
  <c r="L771" i="10"/>
  <c r="M771" i="10"/>
  <c r="D772" i="10"/>
  <c r="B772" i="10"/>
  <c r="F772" i="10"/>
  <c r="I772" i="10"/>
  <c r="J772" i="10"/>
  <c r="L772" i="10"/>
  <c r="M772" i="10"/>
  <c r="D773" i="10"/>
  <c r="B773" i="10"/>
  <c r="F773" i="10"/>
  <c r="I773" i="10"/>
  <c r="J773" i="10"/>
  <c r="L773" i="10"/>
  <c r="M773" i="10"/>
  <c r="R773" i="10"/>
  <c r="AB247" i="10"/>
  <c r="U248" i="10"/>
  <c r="A777" i="10"/>
  <c r="D774" i="10"/>
  <c r="B774" i="10"/>
  <c r="F774" i="10"/>
  <c r="I774" i="10"/>
  <c r="J774" i="10"/>
  <c r="L774" i="10"/>
  <c r="M774" i="10"/>
  <c r="D775" i="10"/>
  <c r="B775" i="10"/>
  <c r="F775" i="10"/>
  <c r="I775" i="10"/>
  <c r="J775" i="10"/>
  <c r="L775" i="10"/>
  <c r="M775" i="10"/>
  <c r="D776" i="10"/>
  <c r="B776" i="10"/>
  <c r="F776" i="10"/>
  <c r="I776" i="10"/>
  <c r="J776" i="10"/>
  <c r="L776" i="10"/>
  <c r="M776" i="10"/>
  <c r="R776" i="10"/>
  <c r="AB248" i="10"/>
  <c r="U249" i="10"/>
  <c r="A778" i="10"/>
  <c r="A779" i="10"/>
  <c r="A780" i="10"/>
  <c r="A781" i="10"/>
  <c r="A782" i="10"/>
  <c r="D777" i="10"/>
  <c r="B777" i="10"/>
  <c r="F777" i="10"/>
  <c r="I777" i="10"/>
  <c r="J777" i="10"/>
  <c r="L777" i="10"/>
  <c r="M777" i="10"/>
  <c r="D778" i="10"/>
  <c r="B778" i="10"/>
  <c r="F778" i="10"/>
  <c r="I778" i="10"/>
  <c r="J778" i="10"/>
  <c r="L778" i="10"/>
  <c r="M778" i="10"/>
  <c r="D779" i="10"/>
  <c r="B779" i="10"/>
  <c r="F779" i="10"/>
  <c r="I779" i="10"/>
  <c r="J779" i="10"/>
  <c r="L779" i="10"/>
  <c r="M779" i="10"/>
  <c r="R779" i="10"/>
  <c r="AB249" i="10"/>
  <c r="U250" i="10"/>
  <c r="A783" i="10"/>
  <c r="D780" i="10"/>
  <c r="B780" i="10"/>
  <c r="F780" i="10"/>
  <c r="I780" i="10"/>
  <c r="J780" i="10"/>
  <c r="L780" i="10"/>
  <c r="M780" i="10"/>
  <c r="D781" i="10"/>
  <c r="B781" i="10"/>
  <c r="F781" i="10"/>
  <c r="I781" i="10"/>
  <c r="J781" i="10"/>
  <c r="L781" i="10"/>
  <c r="M781" i="10"/>
  <c r="D782" i="10"/>
  <c r="B782" i="10"/>
  <c r="F782" i="10"/>
  <c r="I782" i="10"/>
  <c r="J782" i="10"/>
  <c r="L782" i="10"/>
  <c r="M782" i="10"/>
  <c r="R782" i="10"/>
  <c r="AB250" i="10"/>
  <c r="U251" i="10"/>
  <c r="A784" i="10"/>
  <c r="A785" i="10"/>
  <c r="A786" i="10"/>
  <c r="D783" i="10"/>
  <c r="B783" i="10"/>
  <c r="F783" i="10"/>
  <c r="I783" i="10"/>
  <c r="J783" i="10"/>
  <c r="L783" i="10"/>
  <c r="M783" i="10"/>
  <c r="D784" i="10"/>
  <c r="B784" i="10"/>
  <c r="F784" i="10"/>
  <c r="I784" i="10"/>
  <c r="J784" i="10"/>
  <c r="L784" i="10"/>
  <c r="M784" i="10"/>
  <c r="D785" i="10"/>
  <c r="B785" i="10"/>
  <c r="F785" i="10"/>
  <c r="I785" i="10"/>
  <c r="J785" i="10"/>
  <c r="L785" i="10"/>
  <c r="M785" i="10"/>
  <c r="R785" i="10"/>
  <c r="AB251" i="10"/>
  <c r="U252" i="10"/>
  <c r="A787" i="10"/>
  <c r="A788" i="10"/>
  <c r="D786" i="10"/>
  <c r="B786" i="10"/>
  <c r="F786" i="10"/>
  <c r="I786" i="10"/>
  <c r="J786" i="10"/>
  <c r="L786" i="10"/>
  <c r="M786" i="10"/>
  <c r="D787" i="10"/>
  <c r="B787" i="10"/>
  <c r="F787" i="10"/>
  <c r="I787" i="10"/>
  <c r="J787" i="10"/>
  <c r="L787" i="10"/>
  <c r="M787" i="10"/>
  <c r="D788" i="10"/>
  <c r="B788" i="10"/>
  <c r="F788" i="10"/>
  <c r="I788" i="10"/>
  <c r="J788" i="10"/>
  <c r="L788" i="10"/>
  <c r="M788" i="10"/>
  <c r="R788" i="10"/>
  <c r="AB252" i="10"/>
  <c r="U253" i="10"/>
  <c r="AB253" i="10"/>
  <c r="U254" i="10"/>
  <c r="AB254" i="10"/>
  <c r="D39" i="10"/>
  <c r="B39" i="10"/>
  <c r="F39" i="10"/>
  <c r="I38" i="10"/>
  <c r="J39" i="10"/>
  <c r="L39" i="10"/>
  <c r="M39" i="10"/>
  <c r="D40" i="10"/>
  <c r="B40" i="10"/>
  <c r="F40" i="10"/>
  <c r="M40" i="10"/>
  <c r="D41" i="10"/>
  <c r="B41" i="10"/>
  <c r="F41" i="10"/>
  <c r="M41" i="10"/>
  <c r="R41" i="10"/>
  <c r="AB3" i="10"/>
  <c r="AA1" i="10"/>
  <c r="Q44" i="10"/>
  <c r="AA4" i="10"/>
  <c r="Q47" i="10"/>
  <c r="AA5" i="10"/>
  <c r="Q50" i="10"/>
  <c r="AA6" i="10"/>
  <c r="Q53" i="10"/>
  <c r="AA7" i="10"/>
  <c r="Q56" i="10"/>
  <c r="AA8" i="10"/>
  <c r="Q59" i="10"/>
  <c r="AA9" i="10"/>
  <c r="Q62" i="10"/>
  <c r="AA10" i="10"/>
  <c r="Q65" i="10"/>
  <c r="AA11" i="10"/>
  <c r="Q68" i="10"/>
  <c r="AA12" i="10"/>
  <c r="Q71" i="10"/>
  <c r="AA13" i="10"/>
  <c r="Q74" i="10"/>
  <c r="AA14" i="10"/>
  <c r="Q77" i="10"/>
  <c r="AA15" i="10"/>
  <c r="Q80" i="10"/>
  <c r="AA16" i="10"/>
  <c r="Q83" i="10"/>
  <c r="AA17" i="10"/>
  <c r="Q86" i="10"/>
  <c r="AA18" i="10"/>
  <c r="Q89" i="10"/>
  <c r="AA19" i="10"/>
  <c r="Q92" i="10"/>
  <c r="AA20" i="10"/>
  <c r="Q95" i="10"/>
  <c r="AA21" i="10"/>
  <c r="Q98" i="10"/>
  <c r="AA22" i="10"/>
  <c r="Q101" i="10"/>
  <c r="AA23" i="10"/>
  <c r="Q104" i="10"/>
  <c r="AA24" i="10"/>
  <c r="Q107" i="10"/>
  <c r="AA25" i="10"/>
  <c r="Q110" i="10"/>
  <c r="AA26" i="10"/>
  <c r="Q113" i="10"/>
  <c r="AA27" i="10"/>
  <c r="Q116" i="10"/>
  <c r="AA28" i="10"/>
  <c r="Q119" i="10"/>
  <c r="AA29" i="10"/>
  <c r="Q122" i="10"/>
  <c r="AA30" i="10"/>
  <c r="Q125" i="10"/>
  <c r="AA31" i="10"/>
  <c r="Q128" i="10"/>
  <c r="AA32" i="10"/>
  <c r="Q131" i="10"/>
  <c r="AA33" i="10"/>
  <c r="Q134" i="10"/>
  <c r="AA34" i="10"/>
  <c r="Q137" i="10"/>
  <c r="AA35" i="10"/>
  <c r="Q140" i="10"/>
  <c r="AA36" i="10"/>
  <c r="Q143" i="10"/>
  <c r="AA37" i="10"/>
  <c r="Q146" i="10"/>
  <c r="AA38" i="10"/>
  <c r="Q149" i="10"/>
  <c r="AA39" i="10"/>
  <c r="Q152" i="10"/>
  <c r="AA40" i="10"/>
  <c r="Q155" i="10"/>
  <c r="AA41" i="10"/>
  <c r="Q158" i="10"/>
  <c r="AA42" i="10"/>
  <c r="Q161" i="10"/>
  <c r="AA43" i="10"/>
  <c r="Q164" i="10"/>
  <c r="AA44" i="10"/>
  <c r="Q167" i="10"/>
  <c r="AA45" i="10"/>
  <c r="Q170" i="10"/>
  <c r="AA46" i="10"/>
  <c r="Q173" i="10"/>
  <c r="AA47" i="10"/>
  <c r="Q176" i="10"/>
  <c r="AA48" i="10"/>
  <c r="Q179" i="10"/>
  <c r="AA49" i="10"/>
  <c r="Q182" i="10"/>
  <c r="AA50" i="10"/>
  <c r="Q185" i="10"/>
  <c r="AA51" i="10"/>
  <c r="Q188" i="10"/>
  <c r="AA52" i="10"/>
  <c r="Q191" i="10"/>
  <c r="AA53" i="10"/>
  <c r="Q194" i="10"/>
  <c r="AA54" i="10"/>
  <c r="Q197" i="10"/>
  <c r="AA55" i="10"/>
  <c r="Q200" i="10"/>
  <c r="AA56" i="10"/>
  <c r="Q203" i="10"/>
  <c r="AA57" i="10"/>
  <c r="Q206" i="10"/>
  <c r="AA58" i="10"/>
  <c r="Q209" i="10"/>
  <c r="AA59" i="10"/>
  <c r="Q212" i="10"/>
  <c r="AA60" i="10"/>
  <c r="Q215" i="10"/>
  <c r="AA61" i="10"/>
  <c r="Q218" i="10"/>
  <c r="AA62" i="10"/>
  <c r="Q221" i="10"/>
  <c r="AA63" i="10"/>
  <c r="Q224" i="10"/>
  <c r="AA64" i="10"/>
  <c r="Q227" i="10"/>
  <c r="AA65" i="10"/>
  <c r="Q230" i="10"/>
  <c r="AA66" i="10"/>
  <c r="Q233" i="10"/>
  <c r="AA67" i="10"/>
  <c r="Q236" i="10"/>
  <c r="AA68" i="10"/>
  <c r="Q239" i="10"/>
  <c r="AA69" i="10"/>
  <c r="Q242" i="10"/>
  <c r="AA70" i="10"/>
  <c r="Q245" i="10"/>
  <c r="AA71" i="10"/>
  <c r="Q248" i="10"/>
  <c r="AA72" i="10"/>
  <c r="Q251" i="10"/>
  <c r="AA73" i="10"/>
  <c r="Q254" i="10"/>
  <c r="AA74" i="10"/>
  <c r="Q257" i="10"/>
  <c r="AA75" i="10"/>
  <c r="Q260" i="10"/>
  <c r="AA76" i="10"/>
  <c r="Q263" i="10"/>
  <c r="AA77" i="10"/>
  <c r="Q266" i="10"/>
  <c r="AA78" i="10"/>
  <c r="Q269" i="10"/>
  <c r="AA79" i="10"/>
  <c r="Q272" i="10"/>
  <c r="AA80" i="10"/>
  <c r="Q275" i="10"/>
  <c r="AA81" i="10"/>
  <c r="Q278" i="10"/>
  <c r="AA82" i="10"/>
  <c r="Q281" i="10"/>
  <c r="AA83" i="10"/>
  <c r="Q284" i="10"/>
  <c r="AA84" i="10"/>
  <c r="Q287" i="10"/>
  <c r="AA85" i="10"/>
  <c r="Q290" i="10"/>
  <c r="AA86" i="10"/>
  <c r="Q293" i="10"/>
  <c r="AA87" i="10"/>
  <c r="Q296" i="10"/>
  <c r="AA88" i="10"/>
  <c r="Q299" i="10"/>
  <c r="AA89" i="10"/>
  <c r="Q302" i="10"/>
  <c r="AA90" i="10"/>
  <c r="Q305" i="10"/>
  <c r="AA91" i="10"/>
  <c r="Q308" i="10"/>
  <c r="AA92" i="10"/>
  <c r="Q311" i="10"/>
  <c r="AA93" i="10"/>
  <c r="Q314" i="10"/>
  <c r="AA94" i="10"/>
  <c r="Q317" i="10"/>
  <c r="AA95" i="10"/>
  <c r="Q320" i="10"/>
  <c r="AA96" i="10"/>
  <c r="Q323" i="10"/>
  <c r="AA97" i="10"/>
  <c r="Q326" i="10"/>
  <c r="AA98" i="10"/>
  <c r="Q329" i="10"/>
  <c r="AA99" i="10"/>
  <c r="Q332" i="10"/>
  <c r="AA100" i="10"/>
  <c r="Q335" i="10"/>
  <c r="AA101" i="10"/>
  <c r="Q338" i="10"/>
  <c r="AA102" i="10"/>
  <c r="Q341" i="10"/>
  <c r="AA103" i="10"/>
  <c r="Q344" i="10"/>
  <c r="AA104" i="10"/>
  <c r="Q347" i="10"/>
  <c r="AA105" i="10"/>
  <c r="Q350" i="10"/>
  <c r="AA106" i="10"/>
  <c r="Q353" i="10"/>
  <c r="AA107" i="10"/>
  <c r="Q356" i="10"/>
  <c r="AA108" i="10"/>
  <c r="Q359" i="10"/>
  <c r="AA109" i="10"/>
  <c r="Q362" i="10"/>
  <c r="AA110" i="10"/>
  <c r="Q365" i="10"/>
  <c r="AA111" i="10"/>
  <c r="Q368" i="10"/>
  <c r="AA112" i="10"/>
  <c r="Q371" i="10"/>
  <c r="AA113" i="10"/>
  <c r="Q374" i="10"/>
  <c r="AA114" i="10"/>
  <c r="Q377" i="10"/>
  <c r="AA115" i="10"/>
  <c r="Q380" i="10"/>
  <c r="AA116" i="10"/>
  <c r="Q383" i="10"/>
  <c r="AA117" i="10"/>
  <c r="Q386" i="10"/>
  <c r="AA118" i="10"/>
  <c r="Q389" i="10"/>
  <c r="AA119" i="10"/>
  <c r="Q392" i="10"/>
  <c r="AA120" i="10"/>
  <c r="Q395" i="10"/>
  <c r="AA121" i="10"/>
  <c r="Q398" i="10"/>
  <c r="AA122" i="10"/>
  <c r="Q401" i="10"/>
  <c r="AA123" i="10"/>
  <c r="Q404" i="10"/>
  <c r="AA124" i="10"/>
  <c r="Q407" i="10"/>
  <c r="AA125" i="10"/>
  <c r="Q410" i="10"/>
  <c r="AA126" i="10"/>
  <c r="Q413" i="10"/>
  <c r="AA127" i="10"/>
  <c r="Q416" i="10"/>
  <c r="AA128" i="10"/>
  <c r="Q419" i="10"/>
  <c r="AA129" i="10"/>
  <c r="Q422" i="10"/>
  <c r="AA130" i="10"/>
  <c r="Q425" i="10"/>
  <c r="AA131" i="10"/>
  <c r="Q428" i="10"/>
  <c r="AA132" i="10"/>
  <c r="Q431" i="10"/>
  <c r="AA133" i="10"/>
  <c r="Q434" i="10"/>
  <c r="AA134" i="10"/>
  <c r="Q437" i="10"/>
  <c r="AA135" i="10"/>
  <c r="Q440" i="10"/>
  <c r="AA136" i="10"/>
  <c r="Q443" i="10"/>
  <c r="AA137" i="10"/>
  <c r="Q446" i="10"/>
  <c r="AA138" i="10"/>
  <c r="Q449" i="10"/>
  <c r="AA139" i="10"/>
  <c r="Q452" i="10"/>
  <c r="AA140" i="10"/>
  <c r="Q455" i="10"/>
  <c r="AA141" i="10"/>
  <c r="Q458" i="10"/>
  <c r="AA142" i="10"/>
  <c r="Q461" i="10"/>
  <c r="AA143" i="10"/>
  <c r="Q464" i="10"/>
  <c r="AA144" i="10"/>
  <c r="Q467" i="10"/>
  <c r="AA145" i="10"/>
  <c r="Q470" i="10"/>
  <c r="AA146" i="10"/>
  <c r="Q473" i="10"/>
  <c r="AA147" i="10"/>
  <c r="Q476" i="10"/>
  <c r="AA148" i="10"/>
  <c r="Q479" i="10"/>
  <c r="AA149" i="10"/>
  <c r="Q482" i="10"/>
  <c r="AA150" i="10"/>
  <c r="Q485" i="10"/>
  <c r="AA151" i="10"/>
  <c r="Q488" i="10"/>
  <c r="AA152" i="10"/>
  <c r="Q491" i="10"/>
  <c r="AA153" i="10"/>
  <c r="Q494" i="10"/>
  <c r="AA154" i="10"/>
  <c r="Q497" i="10"/>
  <c r="AA155" i="10"/>
  <c r="Q500" i="10"/>
  <c r="AA156" i="10"/>
  <c r="Q503" i="10"/>
  <c r="AA157" i="10"/>
  <c r="Q506" i="10"/>
  <c r="AA158" i="10"/>
  <c r="Q509" i="10"/>
  <c r="AA159" i="10"/>
  <c r="Q512" i="10"/>
  <c r="AA160" i="10"/>
  <c r="Q515" i="10"/>
  <c r="AA161" i="10"/>
  <c r="Q518" i="10"/>
  <c r="AA162" i="10"/>
  <c r="Q521" i="10"/>
  <c r="AA163" i="10"/>
  <c r="Q524" i="10"/>
  <c r="AA164" i="10"/>
  <c r="Q527" i="10"/>
  <c r="AA165" i="10"/>
  <c r="Q530" i="10"/>
  <c r="AA166" i="10"/>
  <c r="Q533" i="10"/>
  <c r="AA167" i="10"/>
  <c r="Q536" i="10"/>
  <c r="AA168" i="10"/>
  <c r="Q539" i="10"/>
  <c r="AA169" i="10"/>
  <c r="Q542" i="10"/>
  <c r="AA170" i="10"/>
  <c r="Q545" i="10"/>
  <c r="AA171" i="10"/>
  <c r="Q548" i="10"/>
  <c r="AA172" i="10"/>
  <c r="Q551" i="10"/>
  <c r="AA173" i="10"/>
  <c r="Q554" i="10"/>
  <c r="AA174" i="10"/>
  <c r="Q557" i="10"/>
  <c r="AA175" i="10"/>
  <c r="Q560" i="10"/>
  <c r="AA176" i="10"/>
  <c r="Q563" i="10"/>
  <c r="AA177" i="10"/>
  <c r="Q566" i="10"/>
  <c r="AA178" i="10"/>
  <c r="Q569" i="10"/>
  <c r="AA179" i="10"/>
  <c r="Q572" i="10"/>
  <c r="AA180" i="10"/>
  <c r="Q575" i="10"/>
  <c r="AA181" i="10"/>
  <c r="Q578" i="10"/>
  <c r="AA182" i="10"/>
  <c r="Q581" i="10"/>
  <c r="AA183" i="10"/>
  <c r="Q584" i="10"/>
  <c r="AA184" i="10"/>
  <c r="Q587" i="10"/>
  <c r="AA185" i="10"/>
  <c r="Q590" i="10"/>
  <c r="AA186" i="10"/>
  <c r="Q593" i="10"/>
  <c r="AA187" i="10"/>
  <c r="Q596" i="10"/>
  <c r="AA188" i="10"/>
  <c r="Q599" i="10"/>
  <c r="AA189" i="10"/>
  <c r="Q602" i="10"/>
  <c r="AA190" i="10"/>
  <c r="Q605" i="10"/>
  <c r="AA191" i="10"/>
  <c r="Q608" i="10"/>
  <c r="AA192" i="10"/>
  <c r="Q611" i="10"/>
  <c r="AA193" i="10"/>
  <c r="Q614" i="10"/>
  <c r="AA194" i="10"/>
  <c r="Q617" i="10"/>
  <c r="AA195" i="10"/>
  <c r="Q620" i="10"/>
  <c r="AA196" i="10"/>
  <c r="Q623" i="10"/>
  <c r="AA197" i="10"/>
  <c r="Q626" i="10"/>
  <c r="AA198" i="10"/>
  <c r="Q629" i="10"/>
  <c r="AA199" i="10"/>
  <c r="Q632" i="10"/>
  <c r="AA200" i="10"/>
  <c r="Q635" i="10"/>
  <c r="AA201" i="10"/>
  <c r="Q638" i="10"/>
  <c r="AA202" i="10"/>
  <c r="Q641" i="10"/>
  <c r="AA203" i="10"/>
  <c r="Q644" i="10"/>
  <c r="AA204" i="10"/>
  <c r="Q647" i="10"/>
  <c r="AA205" i="10"/>
  <c r="Q650" i="10"/>
  <c r="AA206" i="10"/>
  <c r="Q653" i="10"/>
  <c r="AA207" i="10"/>
  <c r="Q656" i="10"/>
  <c r="AA208" i="10"/>
  <c r="Q659" i="10"/>
  <c r="AA209" i="10"/>
  <c r="Q662" i="10"/>
  <c r="AA210" i="10"/>
  <c r="Q665" i="10"/>
  <c r="AA211" i="10"/>
  <c r="Q668" i="10"/>
  <c r="AA212" i="10"/>
  <c r="Q671" i="10"/>
  <c r="AA213" i="10"/>
  <c r="Q674" i="10"/>
  <c r="AA214" i="10"/>
  <c r="Q677" i="10"/>
  <c r="AA215" i="10"/>
  <c r="Q680" i="10"/>
  <c r="AA216" i="10"/>
  <c r="Q683" i="10"/>
  <c r="AA217" i="10"/>
  <c r="Q686" i="10"/>
  <c r="AA218" i="10"/>
  <c r="Q689" i="10"/>
  <c r="AA219" i="10"/>
  <c r="Q692" i="10"/>
  <c r="AA220" i="10"/>
  <c r="Q695" i="10"/>
  <c r="AA221" i="10"/>
  <c r="Q698" i="10"/>
  <c r="AA222" i="10"/>
  <c r="Q701" i="10"/>
  <c r="AA223" i="10"/>
  <c r="Q704" i="10"/>
  <c r="AA224" i="10"/>
  <c r="Q707" i="10"/>
  <c r="AA225" i="10"/>
  <c r="Q710" i="10"/>
  <c r="AA226" i="10"/>
  <c r="Q713" i="10"/>
  <c r="AA227" i="10"/>
  <c r="Q716" i="10"/>
  <c r="AA228" i="10"/>
  <c r="Q719" i="10"/>
  <c r="AA229" i="10"/>
  <c r="Q722" i="10"/>
  <c r="AA230" i="10"/>
  <c r="Q725" i="10"/>
  <c r="AA231" i="10"/>
  <c r="Q728" i="10"/>
  <c r="AA232" i="10"/>
  <c r="Q731" i="10"/>
  <c r="AA233" i="10"/>
  <c r="Q734" i="10"/>
  <c r="AA234" i="10"/>
  <c r="Q737" i="10"/>
  <c r="AA235" i="10"/>
  <c r="Q740" i="10"/>
  <c r="AA236" i="10"/>
  <c r="Q743" i="10"/>
  <c r="AA237" i="10"/>
  <c r="Q746" i="10"/>
  <c r="AA238" i="10"/>
  <c r="Q749" i="10"/>
  <c r="AA239" i="10"/>
  <c r="Q752" i="10"/>
  <c r="AA240" i="10"/>
  <c r="Q755" i="10"/>
  <c r="AA241" i="10"/>
  <c r="Q758" i="10"/>
  <c r="AA242" i="10"/>
  <c r="Q761" i="10"/>
  <c r="AA243" i="10"/>
  <c r="Q764" i="10"/>
  <c r="AA244" i="10"/>
  <c r="Q767" i="10"/>
  <c r="AA245" i="10"/>
  <c r="Q770" i="10"/>
  <c r="AA246" i="10"/>
  <c r="Q773" i="10"/>
  <c r="AA247" i="10"/>
  <c r="Q776" i="10"/>
  <c r="AA248" i="10"/>
  <c r="Q779" i="10"/>
  <c r="AA249" i="10"/>
  <c r="Q782" i="10"/>
  <c r="AA250" i="10"/>
  <c r="Q785" i="10"/>
  <c r="AA251" i="10"/>
  <c r="Q788" i="10"/>
  <c r="AA252" i="10"/>
  <c r="AA253" i="10"/>
  <c r="AA254" i="10"/>
  <c r="Q41" i="10"/>
  <c r="AA3" i="10"/>
  <c r="V1" i="10"/>
  <c r="C42" i="10"/>
  <c r="E42" i="10"/>
  <c r="C43" i="10"/>
  <c r="E43" i="10"/>
  <c r="C44" i="10"/>
  <c r="E44" i="10"/>
  <c r="P44" i="10"/>
  <c r="V4" i="10"/>
  <c r="C45" i="10"/>
  <c r="E45" i="10"/>
  <c r="C46" i="10"/>
  <c r="E46" i="10"/>
  <c r="C47" i="10"/>
  <c r="E47" i="10"/>
  <c r="P47" i="10"/>
  <c r="V5" i="10"/>
  <c r="C48" i="10"/>
  <c r="E48" i="10"/>
  <c r="C49" i="10"/>
  <c r="E49" i="10"/>
  <c r="C50" i="10"/>
  <c r="E50" i="10"/>
  <c r="P50" i="10"/>
  <c r="V6" i="10"/>
  <c r="C51" i="10"/>
  <c r="E51" i="10"/>
  <c r="C52" i="10"/>
  <c r="E52" i="10"/>
  <c r="C53" i="10"/>
  <c r="E53" i="10"/>
  <c r="P53" i="10"/>
  <c r="V7" i="10"/>
  <c r="C54" i="10"/>
  <c r="E54" i="10"/>
  <c r="C55" i="10"/>
  <c r="E55" i="10"/>
  <c r="C56" i="10"/>
  <c r="E56" i="10"/>
  <c r="P56" i="10"/>
  <c r="V8" i="10"/>
  <c r="C57" i="10"/>
  <c r="E57" i="10"/>
  <c r="C58" i="10"/>
  <c r="E58" i="10"/>
  <c r="C59" i="10"/>
  <c r="E59" i="10"/>
  <c r="P59" i="10"/>
  <c r="V9" i="10"/>
  <c r="C60" i="10"/>
  <c r="E60" i="10"/>
  <c r="C61" i="10"/>
  <c r="E61" i="10"/>
  <c r="C62" i="10"/>
  <c r="E62" i="10"/>
  <c r="P62" i="10"/>
  <c r="V10" i="10"/>
  <c r="C63" i="10"/>
  <c r="E63" i="10"/>
  <c r="C64" i="10"/>
  <c r="E64" i="10"/>
  <c r="C65" i="10"/>
  <c r="E65" i="10"/>
  <c r="P65" i="10"/>
  <c r="V11" i="10"/>
  <c r="C66" i="10"/>
  <c r="E66" i="10"/>
  <c r="C67" i="10"/>
  <c r="E67" i="10"/>
  <c r="C68" i="10"/>
  <c r="E68" i="10"/>
  <c r="P68" i="10"/>
  <c r="V12" i="10"/>
  <c r="C69" i="10"/>
  <c r="E69" i="10"/>
  <c r="C70" i="10"/>
  <c r="E70" i="10"/>
  <c r="C71" i="10"/>
  <c r="E71" i="10"/>
  <c r="P71" i="10"/>
  <c r="V13" i="10"/>
  <c r="C72" i="10"/>
  <c r="E72" i="10"/>
  <c r="C73" i="10"/>
  <c r="E73" i="10"/>
  <c r="C74" i="10"/>
  <c r="E74" i="10"/>
  <c r="P74" i="10"/>
  <c r="V14" i="10"/>
  <c r="C75" i="10"/>
  <c r="E75" i="10"/>
  <c r="C76" i="10"/>
  <c r="E76" i="10"/>
  <c r="C77" i="10"/>
  <c r="E77" i="10"/>
  <c r="P77" i="10"/>
  <c r="V15" i="10"/>
  <c r="C78" i="10"/>
  <c r="E78" i="10"/>
  <c r="C79" i="10"/>
  <c r="E79" i="10"/>
  <c r="C80" i="10"/>
  <c r="E80" i="10"/>
  <c r="P80" i="10"/>
  <c r="V16" i="10"/>
  <c r="C81" i="10"/>
  <c r="E81" i="10"/>
  <c r="C82" i="10"/>
  <c r="E82" i="10"/>
  <c r="C83" i="10"/>
  <c r="E83" i="10"/>
  <c r="P83" i="10"/>
  <c r="V17" i="10"/>
  <c r="C84" i="10"/>
  <c r="E84" i="10"/>
  <c r="C85" i="10"/>
  <c r="E85" i="10"/>
  <c r="C86" i="10"/>
  <c r="E86" i="10"/>
  <c r="P86" i="10"/>
  <c r="V18" i="10"/>
  <c r="C87" i="10"/>
  <c r="E87" i="10"/>
  <c r="C88" i="10"/>
  <c r="E88" i="10"/>
  <c r="C89" i="10"/>
  <c r="E89" i="10"/>
  <c r="P89" i="10"/>
  <c r="V19" i="10"/>
  <c r="C90" i="10"/>
  <c r="E90" i="10"/>
  <c r="C91" i="10"/>
  <c r="E91" i="10"/>
  <c r="C92" i="10"/>
  <c r="E92" i="10"/>
  <c r="P92" i="10"/>
  <c r="V20" i="10"/>
  <c r="C93" i="10"/>
  <c r="E93" i="10"/>
  <c r="C94" i="10"/>
  <c r="E94" i="10"/>
  <c r="C95" i="10"/>
  <c r="E95" i="10"/>
  <c r="P95" i="10"/>
  <c r="V21" i="10"/>
  <c r="C96" i="10"/>
  <c r="E96" i="10"/>
  <c r="C97" i="10"/>
  <c r="E97" i="10"/>
  <c r="C98" i="10"/>
  <c r="E98" i="10"/>
  <c r="P98" i="10"/>
  <c r="V22" i="10"/>
  <c r="C99" i="10"/>
  <c r="E99" i="10"/>
  <c r="C100" i="10"/>
  <c r="E100" i="10"/>
  <c r="C101" i="10"/>
  <c r="E101" i="10"/>
  <c r="P101" i="10"/>
  <c r="V23" i="10"/>
  <c r="C102" i="10"/>
  <c r="E102" i="10"/>
  <c r="C103" i="10"/>
  <c r="E103" i="10"/>
  <c r="C104" i="10"/>
  <c r="E104" i="10"/>
  <c r="P104" i="10"/>
  <c r="V24" i="10"/>
  <c r="C105" i="10"/>
  <c r="E105" i="10"/>
  <c r="C106" i="10"/>
  <c r="E106" i="10"/>
  <c r="C107" i="10"/>
  <c r="E107" i="10"/>
  <c r="P107" i="10"/>
  <c r="V25" i="10"/>
  <c r="C108" i="10"/>
  <c r="E108" i="10"/>
  <c r="C109" i="10"/>
  <c r="E109" i="10"/>
  <c r="C110" i="10"/>
  <c r="E110" i="10"/>
  <c r="P110" i="10"/>
  <c r="V26" i="10"/>
  <c r="C111" i="10"/>
  <c r="E111" i="10"/>
  <c r="C112" i="10"/>
  <c r="E112" i="10"/>
  <c r="C113" i="10"/>
  <c r="E113" i="10"/>
  <c r="P113" i="10"/>
  <c r="V27" i="10"/>
  <c r="C114" i="10"/>
  <c r="E114" i="10"/>
  <c r="C115" i="10"/>
  <c r="E115" i="10"/>
  <c r="C116" i="10"/>
  <c r="E116" i="10"/>
  <c r="P116" i="10"/>
  <c r="V28" i="10"/>
  <c r="C117" i="10"/>
  <c r="E117" i="10"/>
  <c r="C118" i="10"/>
  <c r="E118" i="10"/>
  <c r="C119" i="10"/>
  <c r="E119" i="10"/>
  <c r="P119" i="10"/>
  <c r="V29" i="10"/>
  <c r="C120" i="10"/>
  <c r="E120" i="10"/>
  <c r="C121" i="10"/>
  <c r="E121" i="10"/>
  <c r="C122" i="10"/>
  <c r="E122" i="10"/>
  <c r="P122" i="10"/>
  <c r="V30" i="10"/>
  <c r="C123" i="10"/>
  <c r="E123" i="10"/>
  <c r="C124" i="10"/>
  <c r="E124" i="10"/>
  <c r="C125" i="10"/>
  <c r="E125" i="10"/>
  <c r="P125" i="10"/>
  <c r="V31" i="10"/>
  <c r="C126" i="10"/>
  <c r="E126" i="10"/>
  <c r="C127" i="10"/>
  <c r="E127" i="10"/>
  <c r="C128" i="10"/>
  <c r="E128" i="10"/>
  <c r="P128" i="10"/>
  <c r="V32" i="10"/>
  <c r="C129" i="10"/>
  <c r="E129" i="10"/>
  <c r="C130" i="10"/>
  <c r="E130" i="10"/>
  <c r="C131" i="10"/>
  <c r="E131" i="10"/>
  <c r="P131" i="10"/>
  <c r="V33" i="10"/>
  <c r="C132" i="10"/>
  <c r="E132" i="10"/>
  <c r="C133" i="10"/>
  <c r="E133" i="10"/>
  <c r="C134" i="10"/>
  <c r="E134" i="10"/>
  <c r="P134" i="10"/>
  <c r="V34" i="10"/>
  <c r="C135" i="10"/>
  <c r="E135" i="10"/>
  <c r="C136" i="10"/>
  <c r="E136" i="10"/>
  <c r="C137" i="10"/>
  <c r="E137" i="10"/>
  <c r="P137" i="10"/>
  <c r="V35" i="10"/>
  <c r="C138" i="10"/>
  <c r="E138" i="10"/>
  <c r="C139" i="10"/>
  <c r="E139" i="10"/>
  <c r="C140" i="10"/>
  <c r="E140" i="10"/>
  <c r="P140" i="10"/>
  <c r="V36" i="10"/>
  <c r="C141" i="10"/>
  <c r="E141" i="10"/>
  <c r="C142" i="10"/>
  <c r="E142" i="10"/>
  <c r="C143" i="10"/>
  <c r="E143" i="10"/>
  <c r="P143" i="10"/>
  <c r="V37" i="10"/>
  <c r="C144" i="10"/>
  <c r="E144" i="10"/>
  <c r="C145" i="10"/>
  <c r="E145" i="10"/>
  <c r="C146" i="10"/>
  <c r="E146" i="10"/>
  <c r="P146" i="10"/>
  <c r="V38" i="10"/>
  <c r="C147" i="10"/>
  <c r="E147" i="10"/>
  <c r="C148" i="10"/>
  <c r="E148" i="10"/>
  <c r="C149" i="10"/>
  <c r="E149" i="10"/>
  <c r="P149" i="10"/>
  <c r="V39" i="10"/>
  <c r="C150" i="10"/>
  <c r="E150" i="10"/>
  <c r="C151" i="10"/>
  <c r="E151" i="10"/>
  <c r="C152" i="10"/>
  <c r="E152" i="10"/>
  <c r="P152" i="10"/>
  <c r="V40" i="10"/>
  <c r="C153" i="10"/>
  <c r="E153" i="10"/>
  <c r="C154" i="10"/>
  <c r="E154" i="10"/>
  <c r="C155" i="10"/>
  <c r="E155" i="10"/>
  <c r="P155" i="10"/>
  <c r="V41" i="10"/>
  <c r="C156" i="10"/>
  <c r="E156" i="10"/>
  <c r="C157" i="10"/>
  <c r="E157" i="10"/>
  <c r="C158" i="10"/>
  <c r="E158" i="10"/>
  <c r="P158" i="10"/>
  <c r="V42" i="10"/>
  <c r="C159" i="10"/>
  <c r="E159" i="10"/>
  <c r="C160" i="10"/>
  <c r="E160" i="10"/>
  <c r="C161" i="10"/>
  <c r="E161" i="10"/>
  <c r="P161" i="10"/>
  <c r="V43" i="10"/>
  <c r="C162" i="10"/>
  <c r="E162" i="10"/>
  <c r="C163" i="10"/>
  <c r="E163" i="10"/>
  <c r="C164" i="10"/>
  <c r="E164" i="10"/>
  <c r="P164" i="10"/>
  <c r="V44" i="10"/>
  <c r="C165" i="10"/>
  <c r="E165" i="10"/>
  <c r="C166" i="10"/>
  <c r="E166" i="10"/>
  <c r="C167" i="10"/>
  <c r="E167" i="10"/>
  <c r="P167" i="10"/>
  <c r="V45" i="10"/>
  <c r="C168" i="10"/>
  <c r="E168" i="10"/>
  <c r="C169" i="10"/>
  <c r="E169" i="10"/>
  <c r="C170" i="10"/>
  <c r="E170" i="10"/>
  <c r="P170" i="10"/>
  <c r="V46" i="10"/>
  <c r="C171" i="10"/>
  <c r="E171" i="10"/>
  <c r="C172" i="10"/>
  <c r="E172" i="10"/>
  <c r="C173" i="10"/>
  <c r="E173" i="10"/>
  <c r="P173" i="10"/>
  <c r="V47" i="10"/>
  <c r="C174" i="10"/>
  <c r="E174" i="10"/>
  <c r="C175" i="10"/>
  <c r="E175" i="10"/>
  <c r="C176" i="10"/>
  <c r="E176" i="10"/>
  <c r="P176" i="10"/>
  <c r="V48" i="10"/>
  <c r="C177" i="10"/>
  <c r="E177" i="10"/>
  <c r="C178" i="10"/>
  <c r="E178" i="10"/>
  <c r="C179" i="10"/>
  <c r="E179" i="10"/>
  <c r="P179" i="10"/>
  <c r="V49" i="10"/>
  <c r="C180" i="10"/>
  <c r="E180" i="10"/>
  <c r="C181" i="10"/>
  <c r="E181" i="10"/>
  <c r="C182" i="10"/>
  <c r="E182" i="10"/>
  <c r="P182" i="10"/>
  <c r="V50" i="10"/>
  <c r="C183" i="10"/>
  <c r="E183" i="10"/>
  <c r="C184" i="10"/>
  <c r="E184" i="10"/>
  <c r="C185" i="10"/>
  <c r="E185" i="10"/>
  <c r="P185" i="10"/>
  <c r="V51" i="10"/>
  <c r="C186" i="10"/>
  <c r="E186" i="10"/>
  <c r="C187" i="10"/>
  <c r="E187" i="10"/>
  <c r="C188" i="10"/>
  <c r="E188" i="10"/>
  <c r="P188" i="10"/>
  <c r="V52" i="10"/>
  <c r="C189" i="10"/>
  <c r="E189" i="10"/>
  <c r="C190" i="10"/>
  <c r="E190" i="10"/>
  <c r="C191" i="10"/>
  <c r="E191" i="10"/>
  <c r="P191" i="10"/>
  <c r="V53" i="10"/>
  <c r="C192" i="10"/>
  <c r="E192" i="10"/>
  <c r="C193" i="10"/>
  <c r="E193" i="10"/>
  <c r="C194" i="10"/>
  <c r="E194" i="10"/>
  <c r="P194" i="10"/>
  <c r="V54" i="10"/>
  <c r="C195" i="10"/>
  <c r="E195" i="10"/>
  <c r="C196" i="10"/>
  <c r="E196" i="10"/>
  <c r="C197" i="10"/>
  <c r="E197" i="10"/>
  <c r="P197" i="10"/>
  <c r="V55" i="10"/>
  <c r="C198" i="10"/>
  <c r="E198" i="10"/>
  <c r="C199" i="10"/>
  <c r="E199" i="10"/>
  <c r="C200" i="10"/>
  <c r="E200" i="10"/>
  <c r="P200" i="10"/>
  <c r="V56" i="10"/>
  <c r="C201" i="10"/>
  <c r="E201" i="10"/>
  <c r="C202" i="10"/>
  <c r="E202" i="10"/>
  <c r="C203" i="10"/>
  <c r="E203" i="10"/>
  <c r="P203" i="10"/>
  <c r="V57" i="10"/>
  <c r="C204" i="10"/>
  <c r="E204" i="10"/>
  <c r="C205" i="10"/>
  <c r="E205" i="10"/>
  <c r="C206" i="10"/>
  <c r="E206" i="10"/>
  <c r="P206" i="10"/>
  <c r="V58" i="10"/>
  <c r="C207" i="10"/>
  <c r="E207" i="10"/>
  <c r="C208" i="10"/>
  <c r="E208" i="10"/>
  <c r="C209" i="10"/>
  <c r="E209" i="10"/>
  <c r="P209" i="10"/>
  <c r="V59" i="10"/>
  <c r="C210" i="10"/>
  <c r="E210" i="10"/>
  <c r="C211" i="10"/>
  <c r="E211" i="10"/>
  <c r="C212" i="10"/>
  <c r="E212" i="10"/>
  <c r="P212" i="10"/>
  <c r="V60" i="10"/>
  <c r="C213" i="10"/>
  <c r="E213" i="10"/>
  <c r="C214" i="10"/>
  <c r="E214" i="10"/>
  <c r="C215" i="10"/>
  <c r="E215" i="10"/>
  <c r="P215" i="10"/>
  <c r="V61" i="10"/>
  <c r="C216" i="10"/>
  <c r="E216" i="10"/>
  <c r="C217" i="10"/>
  <c r="E217" i="10"/>
  <c r="C218" i="10"/>
  <c r="E218" i="10"/>
  <c r="P218" i="10"/>
  <c r="V62" i="10"/>
  <c r="C219" i="10"/>
  <c r="E219" i="10"/>
  <c r="C220" i="10"/>
  <c r="E220" i="10"/>
  <c r="C221" i="10"/>
  <c r="E221" i="10"/>
  <c r="P221" i="10"/>
  <c r="V63" i="10"/>
  <c r="C222" i="10"/>
  <c r="E222" i="10"/>
  <c r="C223" i="10"/>
  <c r="E223" i="10"/>
  <c r="C224" i="10"/>
  <c r="E224" i="10"/>
  <c r="P224" i="10"/>
  <c r="V64" i="10"/>
  <c r="C225" i="10"/>
  <c r="E225" i="10"/>
  <c r="C226" i="10"/>
  <c r="E226" i="10"/>
  <c r="C227" i="10"/>
  <c r="E227" i="10"/>
  <c r="P227" i="10"/>
  <c r="V65" i="10"/>
  <c r="C228" i="10"/>
  <c r="E228" i="10"/>
  <c r="C229" i="10"/>
  <c r="E229" i="10"/>
  <c r="C230" i="10"/>
  <c r="E230" i="10"/>
  <c r="P230" i="10"/>
  <c r="V66" i="10"/>
  <c r="C231" i="10"/>
  <c r="E231" i="10"/>
  <c r="C232" i="10"/>
  <c r="E232" i="10"/>
  <c r="C233" i="10"/>
  <c r="E233" i="10"/>
  <c r="P233" i="10"/>
  <c r="V67" i="10"/>
  <c r="C234" i="10"/>
  <c r="E234" i="10"/>
  <c r="C235" i="10"/>
  <c r="E235" i="10"/>
  <c r="C236" i="10"/>
  <c r="E236" i="10"/>
  <c r="P236" i="10"/>
  <c r="V68" i="10"/>
  <c r="C237" i="10"/>
  <c r="E237" i="10"/>
  <c r="C238" i="10"/>
  <c r="E238" i="10"/>
  <c r="C239" i="10"/>
  <c r="E239" i="10"/>
  <c r="P239" i="10"/>
  <c r="V69" i="10"/>
  <c r="C240" i="10"/>
  <c r="E240" i="10"/>
  <c r="C241" i="10"/>
  <c r="E241" i="10"/>
  <c r="C242" i="10"/>
  <c r="E242" i="10"/>
  <c r="P242" i="10"/>
  <c r="V70" i="10"/>
  <c r="C243" i="10"/>
  <c r="E243" i="10"/>
  <c r="C244" i="10"/>
  <c r="E244" i="10"/>
  <c r="C245" i="10"/>
  <c r="E245" i="10"/>
  <c r="P245" i="10"/>
  <c r="V71" i="10"/>
  <c r="C246" i="10"/>
  <c r="E246" i="10"/>
  <c r="C247" i="10"/>
  <c r="E247" i="10"/>
  <c r="C248" i="10"/>
  <c r="E248" i="10"/>
  <c r="P248" i="10"/>
  <c r="V72" i="10"/>
  <c r="C249" i="10"/>
  <c r="E249" i="10"/>
  <c r="C250" i="10"/>
  <c r="E250" i="10"/>
  <c r="C251" i="10"/>
  <c r="E251" i="10"/>
  <c r="P251" i="10"/>
  <c r="V73" i="10"/>
  <c r="C252" i="10"/>
  <c r="E252" i="10"/>
  <c r="C253" i="10"/>
  <c r="E253" i="10"/>
  <c r="C254" i="10"/>
  <c r="E254" i="10"/>
  <c r="P254" i="10"/>
  <c r="V74" i="10"/>
  <c r="C255" i="10"/>
  <c r="E255" i="10"/>
  <c r="C256" i="10"/>
  <c r="E256" i="10"/>
  <c r="C257" i="10"/>
  <c r="E257" i="10"/>
  <c r="P257" i="10"/>
  <c r="V75" i="10"/>
  <c r="C258" i="10"/>
  <c r="E258" i="10"/>
  <c r="C259" i="10"/>
  <c r="E259" i="10"/>
  <c r="C260" i="10"/>
  <c r="E260" i="10"/>
  <c r="P260" i="10"/>
  <c r="V76" i="10"/>
  <c r="C261" i="10"/>
  <c r="E261" i="10"/>
  <c r="C262" i="10"/>
  <c r="E262" i="10"/>
  <c r="C263" i="10"/>
  <c r="E263" i="10"/>
  <c r="P263" i="10"/>
  <c r="V77" i="10"/>
  <c r="C264" i="10"/>
  <c r="E264" i="10"/>
  <c r="C265" i="10"/>
  <c r="E265" i="10"/>
  <c r="C266" i="10"/>
  <c r="E266" i="10"/>
  <c r="P266" i="10"/>
  <c r="V78" i="10"/>
  <c r="C267" i="10"/>
  <c r="E267" i="10"/>
  <c r="C268" i="10"/>
  <c r="E268" i="10"/>
  <c r="C269" i="10"/>
  <c r="E269" i="10"/>
  <c r="P269" i="10"/>
  <c r="V79" i="10"/>
  <c r="C270" i="10"/>
  <c r="E270" i="10"/>
  <c r="C271" i="10"/>
  <c r="E271" i="10"/>
  <c r="C272" i="10"/>
  <c r="E272" i="10"/>
  <c r="P272" i="10"/>
  <c r="V80" i="10"/>
  <c r="C273" i="10"/>
  <c r="E273" i="10"/>
  <c r="C274" i="10"/>
  <c r="E274" i="10"/>
  <c r="C275" i="10"/>
  <c r="E275" i="10"/>
  <c r="P275" i="10"/>
  <c r="V81" i="10"/>
  <c r="C276" i="10"/>
  <c r="E276" i="10"/>
  <c r="C277" i="10"/>
  <c r="E277" i="10"/>
  <c r="C278" i="10"/>
  <c r="E278" i="10"/>
  <c r="P278" i="10"/>
  <c r="V82" i="10"/>
  <c r="C279" i="10"/>
  <c r="E279" i="10"/>
  <c r="C280" i="10"/>
  <c r="E280" i="10"/>
  <c r="C281" i="10"/>
  <c r="E281" i="10"/>
  <c r="P281" i="10"/>
  <c r="V83" i="10"/>
  <c r="C282" i="10"/>
  <c r="E282" i="10"/>
  <c r="C283" i="10"/>
  <c r="E283" i="10"/>
  <c r="C284" i="10"/>
  <c r="E284" i="10"/>
  <c r="P284" i="10"/>
  <c r="V84" i="10"/>
  <c r="C285" i="10"/>
  <c r="E285" i="10"/>
  <c r="C286" i="10"/>
  <c r="E286" i="10"/>
  <c r="C287" i="10"/>
  <c r="E287" i="10"/>
  <c r="P287" i="10"/>
  <c r="V85" i="10"/>
  <c r="C288" i="10"/>
  <c r="E288" i="10"/>
  <c r="C289" i="10"/>
  <c r="E289" i="10"/>
  <c r="C290" i="10"/>
  <c r="E290" i="10"/>
  <c r="P290" i="10"/>
  <c r="V86" i="10"/>
  <c r="C291" i="10"/>
  <c r="E291" i="10"/>
  <c r="C292" i="10"/>
  <c r="E292" i="10"/>
  <c r="C293" i="10"/>
  <c r="E293" i="10"/>
  <c r="P293" i="10"/>
  <c r="V87" i="10"/>
  <c r="C294" i="10"/>
  <c r="E294" i="10"/>
  <c r="C295" i="10"/>
  <c r="E295" i="10"/>
  <c r="C296" i="10"/>
  <c r="E296" i="10"/>
  <c r="P296" i="10"/>
  <c r="V88" i="10"/>
  <c r="C297" i="10"/>
  <c r="E297" i="10"/>
  <c r="C298" i="10"/>
  <c r="E298" i="10"/>
  <c r="C299" i="10"/>
  <c r="E299" i="10"/>
  <c r="P299" i="10"/>
  <c r="V89" i="10"/>
  <c r="C300" i="10"/>
  <c r="E300" i="10"/>
  <c r="C301" i="10"/>
  <c r="E301" i="10"/>
  <c r="C302" i="10"/>
  <c r="E302" i="10"/>
  <c r="P302" i="10"/>
  <c r="V90" i="10"/>
  <c r="C303" i="10"/>
  <c r="E303" i="10"/>
  <c r="C304" i="10"/>
  <c r="E304" i="10"/>
  <c r="C305" i="10"/>
  <c r="E305" i="10"/>
  <c r="P305" i="10"/>
  <c r="V91" i="10"/>
  <c r="C306" i="10"/>
  <c r="E306" i="10"/>
  <c r="C307" i="10"/>
  <c r="E307" i="10"/>
  <c r="C308" i="10"/>
  <c r="E308" i="10"/>
  <c r="P308" i="10"/>
  <c r="V92" i="10"/>
  <c r="C309" i="10"/>
  <c r="E309" i="10"/>
  <c r="C310" i="10"/>
  <c r="E310" i="10"/>
  <c r="C311" i="10"/>
  <c r="E311" i="10"/>
  <c r="P311" i="10"/>
  <c r="V93" i="10"/>
  <c r="C312" i="10"/>
  <c r="E312" i="10"/>
  <c r="C313" i="10"/>
  <c r="E313" i="10"/>
  <c r="C314" i="10"/>
  <c r="E314" i="10"/>
  <c r="P314" i="10"/>
  <c r="V94" i="10"/>
  <c r="C315" i="10"/>
  <c r="E315" i="10"/>
  <c r="C316" i="10"/>
  <c r="E316" i="10"/>
  <c r="C317" i="10"/>
  <c r="E317" i="10"/>
  <c r="P317" i="10"/>
  <c r="V95" i="10"/>
  <c r="C318" i="10"/>
  <c r="E318" i="10"/>
  <c r="C319" i="10"/>
  <c r="E319" i="10"/>
  <c r="C320" i="10"/>
  <c r="E320" i="10"/>
  <c r="P320" i="10"/>
  <c r="V96" i="10"/>
  <c r="C321" i="10"/>
  <c r="E321" i="10"/>
  <c r="C322" i="10"/>
  <c r="E322" i="10"/>
  <c r="C323" i="10"/>
  <c r="E323" i="10"/>
  <c r="P323" i="10"/>
  <c r="V97" i="10"/>
  <c r="C324" i="10"/>
  <c r="E324" i="10"/>
  <c r="C325" i="10"/>
  <c r="E325" i="10"/>
  <c r="C326" i="10"/>
  <c r="E326" i="10"/>
  <c r="P326" i="10"/>
  <c r="V98" i="10"/>
  <c r="C327" i="10"/>
  <c r="E327" i="10"/>
  <c r="C328" i="10"/>
  <c r="E328" i="10"/>
  <c r="C329" i="10"/>
  <c r="E329" i="10"/>
  <c r="P329" i="10"/>
  <c r="V99" i="10"/>
  <c r="C330" i="10"/>
  <c r="E330" i="10"/>
  <c r="C331" i="10"/>
  <c r="E331" i="10"/>
  <c r="C332" i="10"/>
  <c r="E332" i="10"/>
  <c r="P332" i="10"/>
  <c r="V100" i="10"/>
  <c r="C333" i="10"/>
  <c r="E333" i="10"/>
  <c r="C334" i="10"/>
  <c r="E334" i="10"/>
  <c r="C335" i="10"/>
  <c r="E335" i="10"/>
  <c r="P335" i="10"/>
  <c r="V101" i="10"/>
  <c r="C336" i="10"/>
  <c r="E336" i="10"/>
  <c r="C337" i="10"/>
  <c r="E337" i="10"/>
  <c r="C338" i="10"/>
  <c r="E338" i="10"/>
  <c r="P338" i="10"/>
  <c r="V102" i="10"/>
  <c r="C339" i="10"/>
  <c r="E339" i="10"/>
  <c r="C340" i="10"/>
  <c r="E340" i="10"/>
  <c r="C341" i="10"/>
  <c r="E341" i="10"/>
  <c r="P341" i="10"/>
  <c r="V103" i="10"/>
  <c r="C342" i="10"/>
  <c r="E342" i="10"/>
  <c r="C343" i="10"/>
  <c r="E343" i="10"/>
  <c r="C344" i="10"/>
  <c r="E344" i="10"/>
  <c r="P344" i="10"/>
  <c r="V104" i="10"/>
  <c r="C345" i="10"/>
  <c r="E345" i="10"/>
  <c r="C346" i="10"/>
  <c r="E346" i="10"/>
  <c r="C347" i="10"/>
  <c r="E347" i="10"/>
  <c r="P347" i="10"/>
  <c r="V105" i="10"/>
  <c r="C348" i="10"/>
  <c r="E348" i="10"/>
  <c r="C349" i="10"/>
  <c r="E349" i="10"/>
  <c r="C350" i="10"/>
  <c r="E350" i="10"/>
  <c r="P350" i="10"/>
  <c r="V106" i="10"/>
  <c r="C351" i="10"/>
  <c r="E351" i="10"/>
  <c r="C352" i="10"/>
  <c r="E352" i="10"/>
  <c r="C353" i="10"/>
  <c r="E353" i="10"/>
  <c r="P353" i="10"/>
  <c r="V107" i="10"/>
  <c r="C354" i="10"/>
  <c r="E354" i="10"/>
  <c r="C355" i="10"/>
  <c r="E355" i="10"/>
  <c r="C356" i="10"/>
  <c r="E356" i="10"/>
  <c r="P356" i="10"/>
  <c r="V108" i="10"/>
  <c r="C357" i="10"/>
  <c r="E357" i="10"/>
  <c r="C358" i="10"/>
  <c r="E358" i="10"/>
  <c r="C359" i="10"/>
  <c r="E359" i="10"/>
  <c r="P359" i="10"/>
  <c r="V109" i="10"/>
  <c r="C360" i="10"/>
  <c r="E360" i="10"/>
  <c r="C361" i="10"/>
  <c r="E361" i="10"/>
  <c r="C362" i="10"/>
  <c r="E362" i="10"/>
  <c r="P362" i="10"/>
  <c r="V110" i="10"/>
  <c r="C363" i="10"/>
  <c r="E363" i="10"/>
  <c r="C364" i="10"/>
  <c r="E364" i="10"/>
  <c r="C365" i="10"/>
  <c r="E365" i="10"/>
  <c r="P365" i="10"/>
  <c r="V111" i="10"/>
  <c r="C366" i="10"/>
  <c r="E366" i="10"/>
  <c r="C367" i="10"/>
  <c r="E367" i="10"/>
  <c r="C368" i="10"/>
  <c r="E368" i="10"/>
  <c r="P368" i="10"/>
  <c r="V112" i="10"/>
  <c r="C369" i="10"/>
  <c r="E369" i="10"/>
  <c r="C370" i="10"/>
  <c r="E370" i="10"/>
  <c r="C371" i="10"/>
  <c r="E371" i="10"/>
  <c r="P371" i="10"/>
  <c r="V113" i="10"/>
  <c r="C372" i="10"/>
  <c r="E372" i="10"/>
  <c r="C373" i="10"/>
  <c r="E373" i="10"/>
  <c r="C374" i="10"/>
  <c r="E374" i="10"/>
  <c r="P374" i="10"/>
  <c r="V114" i="10"/>
  <c r="C375" i="10"/>
  <c r="E375" i="10"/>
  <c r="C376" i="10"/>
  <c r="E376" i="10"/>
  <c r="C377" i="10"/>
  <c r="E377" i="10"/>
  <c r="P377" i="10"/>
  <c r="V115" i="10"/>
  <c r="C378" i="10"/>
  <c r="E378" i="10"/>
  <c r="C379" i="10"/>
  <c r="E379" i="10"/>
  <c r="C380" i="10"/>
  <c r="E380" i="10"/>
  <c r="P380" i="10"/>
  <c r="V116" i="10"/>
  <c r="C381" i="10"/>
  <c r="E381" i="10"/>
  <c r="C382" i="10"/>
  <c r="E382" i="10"/>
  <c r="C383" i="10"/>
  <c r="E383" i="10"/>
  <c r="P383" i="10"/>
  <c r="V117" i="10"/>
  <c r="C384" i="10"/>
  <c r="E384" i="10"/>
  <c r="C385" i="10"/>
  <c r="E385" i="10"/>
  <c r="C386" i="10"/>
  <c r="E386" i="10"/>
  <c r="P386" i="10"/>
  <c r="V118" i="10"/>
  <c r="C387" i="10"/>
  <c r="E387" i="10"/>
  <c r="C388" i="10"/>
  <c r="E388" i="10"/>
  <c r="C389" i="10"/>
  <c r="E389" i="10"/>
  <c r="P389" i="10"/>
  <c r="V119" i="10"/>
  <c r="C390" i="10"/>
  <c r="E390" i="10"/>
  <c r="C391" i="10"/>
  <c r="E391" i="10"/>
  <c r="C392" i="10"/>
  <c r="E392" i="10"/>
  <c r="P392" i="10"/>
  <c r="V120" i="10"/>
  <c r="C393" i="10"/>
  <c r="E393" i="10"/>
  <c r="C394" i="10"/>
  <c r="E394" i="10"/>
  <c r="C395" i="10"/>
  <c r="E395" i="10"/>
  <c r="P395" i="10"/>
  <c r="V121" i="10"/>
  <c r="C396" i="10"/>
  <c r="E396" i="10"/>
  <c r="C397" i="10"/>
  <c r="E397" i="10"/>
  <c r="C398" i="10"/>
  <c r="E398" i="10"/>
  <c r="P398" i="10"/>
  <c r="V122" i="10"/>
  <c r="C399" i="10"/>
  <c r="E399" i="10"/>
  <c r="C400" i="10"/>
  <c r="E400" i="10"/>
  <c r="C401" i="10"/>
  <c r="E401" i="10"/>
  <c r="P401" i="10"/>
  <c r="V123" i="10"/>
  <c r="C402" i="10"/>
  <c r="E402" i="10"/>
  <c r="C403" i="10"/>
  <c r="E403" i="10"/>
  <c r="C404" i="10"/>
  <c r="E404" i="10"/>
  <c r="P404" i="10"/>
  <c r="V124" i="10"/>
  <c r="C405" i="10"/>
  <c r="E405" i="10"/>
  <c r="C406" i="10"/>
  <c r="E406" i="10"/>
  <c r="C407" i="10"/>
  <c r="E407" i="10"/>
  <c r="P407" i="10"/>
  <c r="V125" i="10"/>
  <c r="C408" i="10"/>
  <c r="E408" i="10"/>
  <c r="C409" i="10"/>
  <c r="E409" i="10"/>
  <c r="C410" i="10"/>
  <c r="E410" i="10"/>
  <c r="P410" i="10"/>
  <c r="V126" i="10"/>
  <c r="C411" i="10"/>
  <c r="E411" i="10"/>
  <c r="C412" i="10"/>
  <c r="E412" i="10"/>
  <c r="C413" i="10"/>
  <c r="E413" i="10"/>
  <c r="P413" i="10"/>
  <c r="V127" i="10"/>
  <c r="C414" i="10"/>
  <c r="E414" i="10"/>
  <c r="C415" i="10"/>
  <c r="E415" i="10"/>
  <c r="C416" i="10"/>
  <c r="E416" i="10"/>
  <c r="P416" i="10"/>
  <c r="V128" i="10"/>
  <c r="C417" i="10"/>
  <c r="E417" i="10"/>
  <c r="C418" i="10"/>
  <c r="E418" i="10"/>
  <c r="C419" i="10"/>
  <c r="E419" i="10"/>
  <c r="P419" i="10"/>
  <c r="V129" i="10"/>
  <c r="C420" i="10"/>
  <c r="E420" i="10"/>
  <c r="C421" i="10"/>
  <c r="E421" i="10"/>
  <c r="C422" i="10"/>
  <c r="E422" i="10"/>
  <c r="P422" i="10"/>
  <c r="V130" i="10"/>
  <c r="C423" i="10"/>
  <c r="E423" i="10"/>
  <c r="C424" i="10"/>
  <c r="E424" i="10"/>
  <c r="C425" i="10"/>
  <c r="E425" i="10"/>
  <c r="P425" i="10"/>
  <c r="V131" i="10"/>
  <c r="C426" i="10"/>
  <c r="E426" i="10"/>
  <c r="C427" i="10"/>
  <c r="E427" i="10"/>
  <c r="C428" i="10"/>
  <c r="E428" i="10"/>
  <c r="P428" i="10"/>
  <c r="V132" i="10"/>
  <c r="C429" i="10"/>
  <c r="E429" i="10"/>
  <c r="C430" i="10"/>
  <c r="E430" i="10"/>
  <c r="C431" i="10"/>
  <c r="E431" i="10"/>
  <c r="P431" i="10"/>
  <c r="V133" i="10"/>
  <c r="C432" i="10"/>
  <c r="E432" i="10"/>
  <c r="C433" i="10"/>
  <c r="E433" i="10"/>
  <c r="C434" i="10"/>
  <c r="E434" i="10"/>
  <c r="P434" i="10"/>
  <c r="V134" i="10"/>
  <c r="C435" i="10"/>
  <c r="E435" i="10"/>
  <c r="C436" i="10"/>
  <c r="E436" i="10"/>
  <c r="C437" i="10"/>
  <c r="E437" i="10"/>
  <c r="P437" i="10"/>
  <c r="V135" i="10"/>
  <c r="C438" i="10"/>
  <c r="E438" i="10"/>
  <c r="C439" i="10"/>
  <c r="E439" i="10"/>
  <c r="C440" i="10"/>
  <c r="E440" i="10"/>
  <c r="P440" i="10"/>
  <c r="V136" i="10"/>
  <c r="C441" i="10"/>
  <c r="E441" i="10"/>
  <c r="C442" i="10"/>
  <c r="E442" i="10"/>
  <c r="C443" i="10"/>
  <c r="E443" i="10"/>
  <c r="P443" i="10"/>
  <c r="V137" i="10"/>
  <c r="C444" i="10"/>
  <c r="E444" i="10"/>
  <c r="C445" i="10"/>
  <c r="E445" i="10"/>
  <c r="C446" i="10"/>
  <c r="E446" i="10"/>
  <c r="P446" i="10"/>
  <c r="V138" i="10"/>
  <c r="C447" i="10"/>
  <c r="E447" i="10"/>
  <c r="C448" i="10"/>
  <c r="E448" i="10"/>
  <c r="C449" i="10"/>
  <c r="E449" i="10"/>
  <c r="P449" i="10"/>
  <c r="V139" i="10"/>
  <c r="C450" i="10"/>
  <c r="E450" i="10"/>
  <c r="C451" i="10"/>
  <c r="E451" i="10"/>
  <c r="C452" i="10"/>
  <c r="E452" i="10"/>
  <c r="P452" i="10"/>
  <c r="V140" i="10"/>
  <c r="C453" i="10"/>
  <c r="E453" i="10"/>
  <c r="C454" i="10"/>
  <c r="E454" i="10"/>
  <c r="C455" i="10"/>
  <c r="E455" i="10"/>
  <c r="P455" i="10"/>
  <c r="V141" i="10"/>
  <c r="C456" i="10"/>
  <c r="E456" i="10"/>
  <c r="C457" i="10"/>
  <c r="E457" i="10"/>
  <c r="C458" i="10"/>
  <c r="E458" i="10"/>
  <c r="P458" i="10"/>
  <c r="V142" i="10"/>
  <c r="C459" i="10"/>
  <c r="E459" i="10"/>
  <c r="C460" i="10"/>
  <c r="E460" i="10"/>
  <c r="C461" i="10"/>
  <c r="E461" i="10"/>
  <c r="P461" i="10"/>
  <c r="V143" i="10"/>
  <c r="C462" i="10"/>
  <c r="E462" i="10"/>
  <c r="C463" i="10"/>
  <c r="E463" i="10"/>
  <c r="C464" i="10"/>
  <c r="E464" i="10"/>
  <c r="P464" i="10"/>
  <c r="V144" i="10"/>
  <c r="C465" i="10"/>
  <c r="E465" i="10"/>
  <c r="C466" i="10"/>
  <c r="E466" i="10"/>
  <c r="C467" i="10"/>
  <c r="E467" i="10"/>
  <c r="P467" i="10"/>
  <c r="V145" i="10"/>
  <c r="C468" i="10"/>
  <c r="E468" i="10"/>
  <c r="C469" i="10"/>
  <c r="E469" i="10"/>
  <c r="C470" i="10"/>
  <c r="E470" i="10"/>
  <c r="P470" i="10"/>
  <c r="V146" i="10"/>
  <c r="C471" i="10"/>
  <c r="E471" i="10"/>
  <c r="C472" i="10"/>
  <c r="E472" i="10"/>
  <c r="C473" i="10"/>
  <c r="E473" i="10"/>
  <c r="P473" i="10"/>
  <c r="V147" i="10"/>
  <c r="C474" i="10"/>
  <c r="E474" i="10"/>
  <c r="C475" i="10"/>
  <c r="E475" i="10"/>
  <c r="C476" i="10"/>
  <c r="E476" i="10"/>
  <c r="P476" i="10"/>
  <c r="V148" i="10"/>
  <c r="C477" i="10"/>
  <c r="E477" i="10"/>
  <c r="C478" i="10"/>
  <c r="E478" i="10"/>
  <c r="C479" i="10"/>
  <c r="E479" i="10"/>
  <c r="P479" i="10"/>
  <c r="V149" i="10"/>
  <c r="C480" i="10"/>
  <c r="E480" i="10"/>
  <c r="C481" i="10"/>
  <c r="E481" i="10"/>
  <c r="C482" i="10"/>
  <c r="E482" i="10"/>
  <c r="P482" i="10"/>
  <c r="V150" i="10"/>
  <c r="C483" i="10"/>
  <c r="E483" i="10"/>
  <c r="C484" i="10"/>
  <c r="E484" i="10"/>
  <c r="C485" i="10"/>
  <c r="E485" i="10"/>
  <c r="P485" i="10"/>
  <c r="V151" i="10"/>
  <c r="C486" i="10"/>
  <c r="E486" i="10"/>
  <c r="C487" i="10"/>
  <c r="E487" i="10"/>
  <c r="C488" i="10"/>
  <c r="E488" i="10"/>
  <c r="P488" i="10"/>
  <c r="V152" i="10"/>
  <c r="C489" i="10"/>
  <c r="E489" i="10"/>
  <c r="C490" i="10"/>
  <c r="E490" i="10"/>
  <c r="C491" i="10"/>
  <c r="E491" i="10"/>
  <c r="P491" i="10"/>
  <c r="V153" i="10"/>
  <c r="C492" i="10"/>
  <c r="E492" i="10"/>
  <c r="C493" i="10"/>
  <c r="E493" i="10"/>
  <c r="C494" i="10"/>
  <c r="E494" i="10"/>
  <c r="P494" i="10"/>
  <c r="V154" i="10"/>
  <c r="C495" i="10"/>
  <c r="E495" i="10"/>
  <c r="C496" i="10"/>
  <c r="E496" i="10"/>
  <c r="C497" i="10"/>
  <c r="E497" i="10"/>
  <c r="P497" i="10"/>
  <c r="V155" i="10"/>
  <c r="C498" i="10"/>
  <c r="E498" i="10"/>
  <c r="C499" i="10"/>
  <c r="E499" i="10"/>
  <c r="C500" i="10"/>
  <c r="E500" i="10"/>
  <c r="P500" i="10"/>
  <c r="V156" i="10"/>
  <c r="C501" i="10"/>
  <c r="E501" i="10"/>
  <c r="C502" i="10"/>
  <c r="E502" i="10"/>
  <c r="C503" i="10"/>
  <c r="E503" i="10"/>
  <c r="P503" i="10"/>
  <c r="V157" i="10"/>
  <c r="C504" i="10"/>
  <c r="E504" i="10"/>
  <c r="C505" i="10"/>
  <c r="E505" i="10"/>
  <c r="C506" i="10"/>
  <c r="E506" i="10"/>
  <c r="P506" i="10"/>
  <c r="V158" i="10"/>
  <c r="C507" i="10"/>
  <c r="E507" i="10"/>
  <c r="C508" i="10"/>
  <c r="E508" i="10"/>
  <c r="C509" i="10"/>
  <c r="E509" i="10"/>
  <c r="P509" i="10"/>
  <c r="V159" i="10"/>
  <c r="C510" i="10"/>
  <c r="E510" i="10"/>
  <c r="C511" i="10"/>
  <c r="E511" i="10"/>
  <c r="C512" i="10"/>
  <c r="E512" i="10"/>
  <c r="P512" i="10"/>
  <c r="V160" i="10"/>
  <c r="C513" i="10"/>
  <c r="E513" i="10"/>
  <c r="C514" i="10"/>
  <c r="E514" i="10"/>
  <c r="C515" i="10"/>
  <c r="E515" i="10"/>
  <c r="P515" i="10"/>
  <c r="V161" i="10"/>
  <c r="C516" i="10"/>
  <c r="E516" i="10"/>
  <c r="C517" i="10"/>
  <c r="E517" i="10"/>
  <c r="C518" i="10"/>
  <c r="E518" i="10"/>
  <c r="P518" i="10"/>
  <c r="V162" i="10"/>
  <c r="C519" i="10"/>
  <c r="E519" i="10"/>
  <c r="C520" i="10"/>
  <c r="E520" i="10"/>
  <c r="C521" i="10"/>
  <c r="E521" i="10"/>
  <c r="P521" i="10"/>
  <c r="V163" i="10"/>
  <c r="C522" i="10"/>
  <c r="E522" i="10"/>
  <c r="C523" i="10"/>
  <c r="E523" i="10"/>
  <c r="C524" i="10"/>
  <c r="E524" i="10"/>
  <c r="P524" i="10"/>
  <c r="V164" i="10"/>
  <c r="C525" i="10"/>
  <c r="E525" i="10"/>
  <c r="C526" i="10"/>
  <c r="E526" i="10"/>
  <c r="C527" i="10"/>
  <c r="E527" i="10"/>
  <c r="P527" i="10"/>
  <c r="V165" i="10"/>
  <c r="C528" i="10"/>
  <c r="E528" i="10"/>
  <c r="C529" i="10"/>
  <c r="E529" i="10"/>
  <c r="C530" i="10"/>
  <c r="E530" i="10"/>
  <c r="P530" i="10"/>
  <c r="V166" i="10"/>
  <c r="C531" i="10"/>
  <c r="E531" i="10"/>
  <c r="C532" i="10"/>
  <c r="E532" i="10"/>
  <c r="C533" i="10"/>
  <c r="E533" i="10"/>
  <c r="P533" i="10"/>
  <c r="V167" i="10"/>
  <c r="C534" i="10"/>
  <c r="E534" i="10"/>
  <c r="C535" i="10"/>
  <c r="E535" i="10"/>
  <c r="C536" i="10"/>
  <c r="E536" i="10"/>
  <c r="P536" i="10"/>
  <c r="V168" i="10"/>
  <c r="C537" i="10"/>
  <c r="E537" i="10"/>
  <c r="C538" i="10"/>
  <c r="E538" i="10"/>
  <c r="C539" i="10"/>
  <c r="E539" i="10"/>
  <c r="P539" i="10"/>
  <c r="V169" i="10"/>
  <c r="C540" i="10"/>
  <c r="E540" i="10"/>
  <c r="C541" i="10"/>
  <c r="E541" i="10"/>
  <c r="C542" i="10"/>
  <c r="E542" i="10"/>
  <c r="P542" i="10"/>
  <c r="V170" i="10"/>
  <c r="C543" i="10"/>
  <c r="E543" i="10"/>
  <c r="C544" i="10"/>
  <c r="E544" i="10"/>
  <c r="C545" i="10"/>
  <c r="E545" i="10"/>
  <c r="P545" i="10"/>
  <c r="V171" i="10"/>
  <c r="C546" i="10"/>
  <c r="E546" i="10"/>
  <c r="C547" i="10"/>
  <c r="E547" i="10"/>
  <c r="C548" i="10"/>
  <c r="E548" i="10"/>
  <c r="P548" i="10"/>
  <c r="V172" i="10"/>
  <c r="C549" i="10"/>
  <c r="E549" i="10"/>
  <c r="C550" i="10"/>
  <c r="E550" i="10"/>
  <c r="C551" i="10"/>
  <c r="E551" i="10"/>
  <c r="P551" i="10"/>
  <c r="V173" i="10"/>
  <c r="C552" i="10"/>
  <c r="E552" i="10"/>
  <c r="C553" i="10"/>
  <c r="E553" i="10"/>
  <c r="C554" i="10"/>
  <c r="E554" i="10"/>
  <c r="P554" i="10"/>
  <c r="V174" i="10"/>
  <c r="C555" i="10"/>
  <c r="E555" i="10"/>
  <c r="C556" i="10"/>
  <c r="E556" i="10"/>
  <c r="C557" i="10"/>
  <c r="E557" i="10"/>
  <c r="P557" i="10"/>
  <c r="V175" i="10"/>
  <c r="C558" i="10"/>
  <c r="E558" i="10"/>
  <c r="C559" i="10"/>
  <c r="E559" i="10"/>
  <c r="C560" i="10"/>
  <c r="E560" i="10"/>
  <c r="P560" i="10"/>
  <c r="V176" i="10"/>
  <c r="C561" i="10"/>
  <c r="E561" i="10"/>
  <c r="C562" i="10"/>
  <c r="E562" i="10"/>
  <c r="C563" i="10"/>
  <c r="E563" i="10"/>
  <c r="P563" i="10"/>
  <c r="V177" i="10"/>
  <c r="C564" i="10"/>
  <c r="E564" i="10"/>
  <c r="C565" i="10"/>
  <c r="E565" i="10"/>
  <c r="C566" i="10"/>
  <c r="E566" i="10"/>
  <c r="P566" i="10"/>
  <c r="V178" i="10"/>
  <c r="C567" i="10"/>
  <c r="E567" i="10"/>
  <c r="C568" i="10"/>
  <c r="E568" i="10"/>
  <c r="C569" i="10"/>
  <c r="E569" i="10"/>
  <c r="P569" i="10"/>
  <c r="V179" i="10"/>
  <c r="C570" i="10"/>
  <c r="E570" i="10"/>
  <c r="C571" i="10"/>
  <c r="E571" i="10"/>
  <c r="C572" i="10"/>
  <c r="E572" i="10"/>
  <c r="P572" i="10"/>
  <c r="V180" i="10"/>
  <c r="C573" i="10"/>
  <c r="E573" i="10"/>
  <c r="C574" i="10"/>
  <c r="E574" i="10"/>
  <c r="C575" i="10"/>
  <c r="E575" i="10"/>
  <c r="P575" i="10"/>
  <c r="V181" i="10"/>
  <c r="C576" i="10"/>
  <c r="E576" i="10"/>
  <c r="C577" i="10"/>
  <c r="E577" i="10"/>
  <c r="C578" i="10"/>
  <c r="E578" i="10"/>
  <c r="P578" i="10"/>
  <c r="V182" i="10"/>
  <c r="C579" i="10"/>
  <c r="E579" i="10"/>
  <c r="C580" i="10"/>
  <c r="E580" i="10"/>
  <c r="C581" i="10"/>
  <c r="E581" i="10"/>
  <c r="P581" i="10"/>
  <c r="V183" i="10"/>
  <c r="C582" i="10"/>
  <c r="E582" i="10"/>
  <c r="C583" i="10"/>
  <c r="E583" i="10"/>
  <c r="C584" i="10"/>
  <c r="E584" i="10"/>
  <c r="P584" i="10"/>
  <c r="V184" i="10"/>
  <c r="C585" i="10"/>
  <c r="E585" i="10"/>
  <c r="C586" i="10"/>
  <c r="E586" i="10"/>
  <c r="C587" i="10"/>
  <c r="E587" i="10"/>
  <c r="P587" i="10"/>
  <c r="V185" i="10"/>
  <c r="C588" i="10"/>
  <c r="E588" i="10"/>
  <c r="C589" i="10"/>
  <c r="E589" i="10"/>
  <c r="C590" i="10"/>
  <c r="E590" i="10"/>
  <c r="P590" i="10"/>
  <c r="V186" i="10"/>
  <c r="C591" i="10"/>
  <c r="E591" i="10"/>
  <c r="C592" i="10"/>
  <c r="E592" i="10"/>
  <c r="C593" i="10"/>
  <c r="E593" i="10"/>
  <c r="P593" i="10"/>
  <c r="V187" i="10"/>
  <c r="C594" i="10"/>
  <c r="E594" i="10"/>
  <c r="C595" i="10"/>
  <c r="E595" i="10"/>
  <c r="C596" i="10"/>
  <c r="E596" i="10"/>
  <c r="P596" i="10"/>
  <c r="V188" i="10"/>
  <c r="C597" i="10"/>
  <c r="E597" i="10"/>
  <c r="C598" i="10"/>
  <c r="E598" i="10"/>
  <c r="C599" i="10"/>
  <c r="E599" i="10"/>
  <c r="P599" i="10"/>
  <c r="V189" i="10"/>
  <c r="C600" i="10"/>
  <c r="E600" i="10"/>
  <c r="C601" i="10"/>
  <c r="E601" i="10"/>
  <c r="C602" i="10"/>
  <c r="E602" i="10"/>
  <c r="P602" i="10"/>
  <c r="V190" i="10"/>
  <c r="C603" i="10"/>
  <c r="E603" i="10"/>
  <c r="C604" i="10"/>
  <c r="E604" i="10"/>
  <c r="C605" i="10"/>
  <c r="E605" i="10"/>
  <c r="P605" i="10"/>
  <c r="V191" i="10"/>
  <c r="C606" i="10"/>
  <c r="E606" i="10"/>
  <c r="C607" i="10"/>
  <c r="E607" i="10"/>
  <c r="C608" i="10"/>
  <c r="E608" i="10"/>
  <c r="P608" i="10"/>
  <c r="V192" i="10"/>
  <c r="C609" i="10"/>
  <c r="E609" i="10"/>
  <c r="C610" i="10"/>
  <c r="E610" i="10"/>
  <c r="C611" i="10"/>
  <c r="E611" i="10"/>
  <c r="P611" i="10"/>
  <c r="V193" i="10"/>
  <c r="C612" i="10"/>
  <c r="E612" i="10"/>
  <c r="C613" i="10"/>
  <c r="E613" i="10"/>
  <c r="C614" i="10"/>
  <c r="E614" i="10"/>
  <c r="P614" i="10"/>
  <c r="V194" i="10"/>
  <c r="C615" i="10"/>
  <c r="E615" i="10"/>
  <c r="C616" i="10"/>
  <c r="E616" i="10"/>
  <c r="C617" i="10"/>
  <c r="E617" i="10"/>
  <c r="P617" i="10"/>
  <c r="V195" i="10"/>
  <c r="C618" i="10"/>
  <c r="E618" i="10"/>
  <c r="C619" i="10"/>
  <c r="E619" i="10"/>
  <c r="C620" i="10"/>
  <c r="E620" i="10"/>
  <c r="P620" i="10"/>
  <c r="V196" i="10"/>
  <c r="C621" i="10"/>
  <c r="E621" i="10"/>
  <c r="C622" i="10"/>
  <c r="E622" i="10"/>
  <c r="C623" i="10"/>
  <c r="E623" i="10"/>
  <c r="P623" i="10"/>
  <c r="V197" i="10"/>
  <c r="C624" i="10"/>
  <c r="E624" i="10"/>
  <c r="C625" i="10"/>
  <c r="E625" i="10"/>
  <c r="C626" i="10"/>
  <c r="E626" i="10"/>
  <c r="P626" i="10"/>
  <c r="V198" i="10"/>
  <c r="C627" i="10"/>
  <c r="E627" i="10"/>
  <c r="C628" i="10"/>
  <c r="E628" i="10"/>
  <c r="C629" i="10"/>
  <c r="E629" i="10"/>
  <c r="P629" i="10"/>
  <c r="V199" i="10"/>
  <c r="C630" i="10"/>
  <c r="E630" i="10"/>
  <c r="C631" i="10"/>
  <c r="E631" i="10"/>
  <c r="C632" i="10"/>
  <c r="E632" i="10"/>
  <c r="P632" i="10"/>
  <c r="V200" i="10"/>
  <c r="C633" i="10"/>
  <c r="E633" i="10"/>
  <c r="C634" i="10"/>
  <c r="E634" i="10"/>
  <c r="C635" i="10"/>
  <c r="E635" i="10"/>
  <c r="P635" i="10"/>
  <c r="V201" i="10"/>
  <c r="C636" i="10"/>
  <c r="E636" i="10"/>
  <c r="C637" i="10"/>
  <c r="E637" i="10"/>
  <c r="C638" i="10"/>
  <c r="E638" i="10"/>
  <c r="P638" i="10"/>
  <c r="V202" i="10"/>
  <c r="C639" i="10"/>
  <c r="E639" i="10"/>
  <c r="C640" i="10"/>
  <c r="E640" i="10"/>
  <c r="C641" i="10"/>
  <c r="E641" i="10"/>
  <c r="P641" i="10"/>
  <c r="V203" i="10"/>
  <c r="C642" i="10"/>
  <c r="E642" i="10"/>
  <c r="C643" i="10"/>
  <c r="E643" i="10"/>
  <c r="C644" i="10"/>
  <c r="E644" i="10"/>
  <c r="P644" i="10"/>
  <c r="V204" i="10"/>
  <c r="C645" i="10"/>
  <c r="E645" i="10"/>
  <c r="C646" i="10"/>
  <c r="E646" i="10"/>
  <c r="C647" i="10"/>
  <c r="E647" i="10"/>
  <c r="P647" i="10"/>
  <c r="V205" i="10"/>
  <c r="C648" i="10"/>
  <c r="E648" i="10"/>
  <c r="C649" i="10"/>
  <c r="E649" i="10"/>
  <c r="C650" i="10"/>
  <c r="E650" i="10"/>
  <c r="P650" i="10"/>
  <c r="V206" i="10"/>
  <c r="C651" i="10"/>
  <c r="E651" i="10"/>
  <c r="C652" i="10"/>
  <c r="E652" i="10"/>
  <c r="C653" i="10"/>
  <c r="E653" i="10"/>
  <c r="P653" i="10"/>
  <c r="V207" i="10"/>
  <c r="C654" i="10"/>
  <c r="E654" i="10"/>
  <c r="C655" i="10"/>
  <c r="E655" i="10"/>
  <c r="C656" i="10"/>
  <c r="E656" i="10"/>
  <c r="P656" i="10"/>
  <c r="V208" i="10"/>
  <c r="C657" i="10"/>
  <c r="E657" i="10"/>
  <c r="C658" i="10"/>
  <c r="E658" i="10"/>
  <c r="C659" i="10"/>
  <c r="E659" i="10"/>
  <c r="P659" i="10"/>
  <c r="V209" i="10"/>
  <c r="C660" i="10"/>
  <c r="E660" i="10"/>
  <c r="C661" i="10"/>
  <c r="E661" i="10"/>
  <c r="C662" i="10"/>
  <c r="E662" i="10"/>
  <c r="P662" i="10"/>
  <c r="V210" i="10"/>
  <c r="C663" i="10"/>
  <c r="E663" i="10"/>
  <c r="C664" i="10"/>
  <c r="E664" i="10"/>
  <c r="C665" i="10"/>
  <c r="E665" i="10"/>
  <c r="P665" i="10"/>
  <c r="V211" i="10"/>
  <c r="C666" i="10"/>
  <c r="E666" i="10"/>
  <c r="C667" i="10"/>
  <c r="E667" i="10"/>
  <c r="C668" i="10"/>
  <c r="E668" i="10"/>
  <c r="P668" i="10"/>
  <c r="V212" i="10"/>
  <c r="C669" i="10"/>
  <c r="E669" i="10"/>
  <c r="C670" i="10"/>
  <c r="E670" i="10"/>
  <c r="C671" i="10"/>
  <c r="E671" i="10"/>
  <c r="P671" i="10"/>
  <c r="V213" i="10"/>
  <c r="C672" i="10"/>
  <c r="E672" i="10"/>
  <c r="C673" i="10"/>
  <c r="E673" i="10"/>
  <c r="C674" i="10"/>
  <c r="E674" i="10"/>
  <c r="P674" i="10"/>
  <c r="V214" i="10"/>
  <c r="C675" i="10"/>
  <c r="E675" i="10"/>
  <c r="C676" i="10"/>
  <c r="E676" i="10"/>
  <c r="C677" i="10"/>
  <c r="E677" i="10"/>
  <c r="P677" i="10"/>
  <c r="V215" i="10"/>
  <c r="C678" i="10"/>
  <c r="E678" i="10"/>
  <c r="C679" i="10"/>
  <c r="E679" i="10"/>
  <c r="C680" i="10"/>
  <c r="E680" i="10"/>
  <c r="P680" i="10"/>
  <c r="V216" i="10"/>
  <c r="C681" i="10"/>
  <c r="E681" i="10"/>
  <c r="C682" i="10"/>
  <c r="E682" i="10"/>
  <c r="C683" i="10"/>
  <c r="E683" i="10"/>
  <c r="P683" i="10"/>
  <c r="V217" i="10"/>
  <c r="C684" i="10"/>
  <c r="E684" i="10"/>
  <c r="C685" i="10"/>
  <c r="E685" i="10"/>
  <c r="C686" i="10"/>
  <c r="E686" i="10"/>
  <c r="P686" i="10"/>
  <c r="V218" i="10"/>
  <c r="C687" i="10"/>
  <c r="E687" i="10"/>
  <c r="C688" i="10"/>
  <c r="E688" i="10"/>
  <c r="C689" i="10"/>
  <c r="E689" i="10"/>
  <c r="P689" i="10"/>
  <c r="V219" i="10"/>
  <c r="C690" i="10"/>
  <c r="E690" i="10"/>
  <c r="C691" i="10"/>
  <c r="E691" i="10"/>
  <c r="C692" i="10"/>
  <c r="E692" i="10"/>
  <c r="P692" i="10"/>
  <c r="V220" i="10"/>
  <c r="C693" i="10"/>
  <c r="E693" i="10"/>
  <c r="C694" i="10"/>
  <c r="E694" i="10"/>
  <c r="C695" i="10"/>
  <c r="E695" i="10"/>
  <c r="P695" i="10"/>
  <c r="V221" i="10"/>
  <c r="C696" i="10"/>
  <c r="E696" i="10"/>
  <c r="C697" i="10"/>
  <c r="E697" i="10"/>
  <c r="C698" i="10"/>
  <c r="E698" i="10"/>
  <c r="P698" i="10"/>
  <c r="V222" i="10"/>
  <c r="C699" i="10"/>
  <c r="E699" i="10"/>
  <c r="C700" i="10"/>
  <c r="E700" i="10"/>
  <c r="C701" i="10"/>
  <c r="E701" i="10"/>
  <c r="P701" i="10"/>
  <c r="V223" i="10"/>
  <c r="C702" i="10"/>
  <c r="E702" i="10"/>
  <c r="C703" i="10"/>
  <c r="E703" i="10"/>
  <c r="C704" i="10"/>
  <c r="E704" i="10"/>
  <c r="P704" i="10"/>
  <c r="V224" i="10"/>
  <c r="C705" i="10"/>
  <c r="E705" i="10"/>
  <c r="C706" i="10"/>
  <c r="E706" i="10"/>
  <c r="C707" i="10"/>
  <c r="E707" i="10"/>
  <c r="P707" i="10"/>
  <c r="V225" i="10"/>
  <c r="C708" i="10"/>
  <c r="E708" i="10"/>
  <c r="C709" i="10"/>
  <c r="E709" i="10"/>
  <c r="C710" i="10"/>
  <c r="E710" i="10"/>
  <c r="P710" i="10"/>
  <c r="V226" i="10"/>
  <c r="C711" i="10"/>
  <c r="E711" i="10"/>
  <c r="C712" i="10"/>
  <c r="E712" i="10"/>
  <c r="C713" i="10"/>
  <c r="E713" i="10"/>
  <c r="P713" i="10"/>
  <c r="V227" i="10"/>
  <c r="C714" i="10"/>
  <c r="E714" i="10"/>
  <c r="C715" i="10"/>
  <c r="E715" i="10"/>
  <c r="C716" i="10"/>
  <c r="E716" i="10"/>
  <c r="P716" i="10"/>
  <c r="V228" i="10"/>
  <c r="C717" i="10"/>
  <c r="E717" i="10"/>
  <c r="C718" i="10"/>
  <c r="E718" i="10"/>
  <c r="C719" i="10"/>
  <c r="E719" i="10"/>
  <c r="P719" i="10"/>
  <c r="V229" i="10"/>
  <c r="C720" i="10"/>
  <c r="E720" i="10"/>
  <c r="C721" i="10"/>
  <c r="E721" i="10"/>
  <c r="C722" i="10"/>
  <c r="E722" i="10"/>
  <c r="P722" i="10"/>
  <c r="V230" i="10"/>
  <c r="C723" i="10"/>
  <c r="E723" i="10"/>
  <c r="C724" i="10"/>
  <c r="E724" i="10"/>
  <c r="C725" i="10"/>
  <c r="E725" i="10"/>
  <c r="P725" i="10"/>
  <c r="V231" i="10"/>
  <c r="C726" i="10"/>
  <c r="E726" i="10"/>
  <c r="C727" i="10"/>
  <c r="E727" i="10"/>
  <c r="C728" i="10"/>
  <c r="E728" i="10"/>
  <c r="P728" i="10"/>
  <c r="V232" i="10"/>
  <c r="C729" i="10"/>
  <c r="E729" i="10"/>
  <c r="C730" i="10"/>
  <c r="E730" i="10"/>
  <c r="C731" i="10"/>
  <c r="E731" i="10"/>
  <c r="P731" i="10"/>
  <c r="V233" i="10"/>
  <c r="C732" i="10"/>
  <c r="E732" i="10"/>
  <c r="C733" i="10"/>
  <c r="E733" i="10"/>
  <c r="C734" i="10"/>
  <c r="E734" i="10"/>
  <c r="P734" i="10"/>
  <c r="V234" i="10"/>
  <c r="C735" i="10"/>
  <c r="E735" i="10"/>
  <c r="C736" i="10"/>
  <c r="E736" i="10"/>
  <c r="C737" i="10"/>
  <c r="E737" i="10"/>
  <c r="P737" i="10"/>
  <c r="V235" i="10"/>
  <c r="C738" i="10"/>
  <c r="E738" i="10"/>
  <c r="C739" i="10"/>
  <c r="E739" i="10"/>
  <c r="C740" i="10"/>
  <c r="E740" i="10"/>
  <c r="P740" i="10"/>
  <c r="V236" i="10"/>
  <c r="C741" i="10"/>
  <c r="E741" i="10"/>
  <c r="C742" i="10"/>
  <c r="E742" i="10"/>
  <c r="C743" i="10"/>
  <c r="E743" i="10"/>
  <c r="P743" i="10"/>
  <c r="V237" i="10"/>
  <c r="C744" i="10"/>
  <c r="E744" i="10"/>
  <c r="C745" i="10"/>
  <c r="E745" i="10"/>
  <c r="C746" i="10"/>
  <c r="E746" i="10"/>
  <c r="P746" i="10"/>
  <c r="V238" i="10"/>
  <c r="C747" i="10"/>
  <c r="E747" i="10"/>
  <c r="C748" i="10"/>
  <c r="E748" i="10"/>
  <c r="C749" i="10"/>
  <c r="E749" i="10"/>
  <c r="P749" i="10"/>
  <c r="V239" i="10"/>
  <c r="C750" i="10"/>
  <c r="E750" i="10"/>
  <c r="C751" i="10"/>
  <c r="E751" i="10"/>
  <c r="C752" i="10"/>
  <c r="E752" i="10"/>
  <c r="P752" i="10"/>
  <c r="V240" i="10"/>
  <c r="C753" i="10"/>
  <c r="E753" i="10"/>
  <c r="C754" i="10"/>
  <c r="E754" i="10"/>
  <c r="C755" i="10"/>
  <c r="E755" i="10"/>
  <c r="P755" i="10"/>
  <c r="V241" i="10"/>
  <c r="C756" i="10"/>
  <c r="E756" i="10"/>
  <c r="C757" i="10"/>
  <c r="E757" i="10"/>
  <c r="C758" i="10"/>
  <c r="E758" i="10"/>
  <c r="P758" i="10"/>
  <c r="V242" i="10"/>
  <c r="C759" i="10"/>
  <c r="E759" i="10"/>
  <c r="C760" i="10"/>
  <c r="E760" i="10"/>
  <c r="C761" i="10"/>
  <c r="E761" i="10"/>
  <c r="P761" i="10"/>
  <c r="V243" i="10"/>
  <c r="C762" i="10"/>
  <c r="E762" i="10"/>
  <c r="C763" i="10"/>
  <c r="E763" i="10"/>
  <c r="C764" i="10"/>
  <c r="E764" i="10"/>
  <c r="P764" i="10"/>
  <c r="V244" i="10"/>
  <c r="C765" i="10"/>
  <c r="E765" i="10"/>
  <c r="C766" i="10"/>
  <c r="E766" i="10"/>
  <c r="C767" i="10"/>
  <c r="E767" i="10"/>
  <c r="P767" i="10"/>
  <c r="V245" i="10"/>
  <c r="C768" i="10"/>
  <c r="E768" i="10"/>
  <c r="C769" i="10"/>
  <c r="E769" i="10"/>
  <c r="C770" i="10"/>
  <c r="E770" i="10"/>
  <c r="P770" i="10"/>
  <c r="V246" i="10"/>
  <c r="C771" i="10"/>
  <c r="E771" i="10"/>
  <c r="C772" i="10"/>
  <c r="E772" i="10"/>
  <c r="C773" i="10"/>
  <c r="E773" i="10"/>
  <c r="P773" i="10"/>
  <c r="V247" i="10"/>
  <c r="C774" i="10"/>
  <c r="E774" i="10"/>
  <c r="C775" i="10"/>
  <c r="E775" i="10"/>
  <c r="C776" i="10"/>
  <c r="E776" i="10"/>
  <c r="P776" i="10"/>
  <c r="V248" i="10"/>
  <c r="C777" i="10"/>
  <c r="E777" i="10"/>
  <c r="C778" i="10"/>
  <c r="E778" i="10"/>
  <c r="C779" i="10"/>
  <c r="E779" i="10"/>
  <c r="P779" i="10"/>
  <c r="V249" i="10"/>
  <c r="C780" i="10"/>
  <c r="E780" i="10"/>
  <c r="C781" i="10"/>
  <c r="E781" i="10"/>
  <c r="C782" i="10"/>
  <c r="E782" i="10"/>
  <c r="P782" i="10"/>
  <c r="V250" i="10"/>
  <c r="C783" i="10"/>
  <c r="E783" i="10"/>
  <c r="C784" i="10"/>
  <c r="E784" i="10"/>
  <c r="C785" i="10"/>
  <c r="E785" i="10"/>
  <c r="P785" i="10"/>
  <c r="V251" i="10"/>
  <c r="C786" i="10"/>
  <c r="E786" i="10"/>
  <c r="C787" i="10"/>
  <c r="E787" i="10"/>
  <c r="C788" i="10"/>
  <c r="E788" i="10"/>
  <c r="P788" i="10"/>
  <c r="V252" i="10"/>
  <c r="V253" i="10"/>
  <c r="V254" i="10"/>
  <c r="C39" i="10"/>
  <c r="E39" i="10"/>
  <c r="C40" i="10"/>
  <c r="E40" i="10"/>
  <c r="C41" i="10"/>
  <c r="E41" i="10"/>
  <c r="P41" i="10"/>
  <c r="V3" i="10"/>
  <c r="R4" i="10"/>
  <c r="R3" i="10"/>
  <c r="D3" i="10"/>
  <c r="B3" i="10"/>
  <c r="F3" i="10"/>
  <c r="J3" i="10"/>
  <c r="L3" i="10"/>
  <c r="M3" i="10"/>
  <c r="R5" i="10"/>
  <c r="D4" i="10"/>
  <c r="B4" i="10"/>
  <c r="F4" i="10"/>
  <c r="I4" i="10"/>
  <c r="I3" i="10"/>
  <c r="R6" i="10"/>
  <c r="D5" i="10"/>
  <c r="B5" i="10"/>
  <c r="F5" i="10"/>
  <c r="I5" i="10"/>
  <c r="J5" i="10"/>
  <c r="L5" i="10"/>
  <c r="M5" i="10"/>
  <c r="R7" i="10"/>
  <c r="D6" i="10"/>
  <c r="B6" i="10"/>
  <c r="F6" i="10"/>
  <c r="I6" i="10"/>
  <c r="J6" i="10"/>
  <c r="L6" i="10"/>
  <c r="R8" i="10"/>
  <c r="D7" i="10"/>
  <c r="B7" i="10"/>
  <c r="F7" i="10"/>
  <c r="I7" i="10"/>
  <c r="J7" i="10"/>
  <c r="L7" i="10"/>
  <c r="M7" i="10"/>
  <c r="R9" i="10"/>
  <c r="D8" i="10"/>
  <c r="B8" i="10"/>
  <c r="F8" i="10"/>
  <c r="I8" i="10"/>
  <c r="J8" i="10"/>
  <c r="L8" i="10"/>
  <c r="M8" i="10"/>
  <c r="R10" i="10"/>
  <c r="D9" i="10"/>
  <c r="B9" i="10"/>
  <c r="F9" i="10"/>
  <c r="I9" i="10"/>
  <c r="J9" i="10"/>
  <c r="L9" i="10"/>
  <c r="M9" i="10"/>
  <c r="R11" i="10"/>
  <c r="D10" i="10"/>
  <c r="B10" i="10"/>
  <c r="F10" i="10"/>
  <c r="I10" i="10"/>
  <c r="J10" i="10"/>
  <c r="L10" i="10"/>
  <c r="M10" i="10"/>
  <c r="R12" i="10"/>
  <c r="D11" i="10"/>
  <c r="B11" i="10"/>
  <c r="F11" i="10"/>
  <c r="I11" i="10"/>
  <c r="J11" i="10"/>
  <c r="L11" i="10"/>
  <c r="M11" i="10"/>
  <c r="R13" i="10"/>
  <c r="D12" i="10"/>
  <c r="B12" i="10"/>
  <c r="F12" i="10"/>
  <c r="I12" i="10"/>
  <c r="J12" i="10"/>
  <c r="L12" i="10"/>
  <c r="M12" i="10"/>
  <c r="R14" i="10"/>
  <c r="D13" i="10"/>
  <c r="B13" i="10"/>
  <c r="F13" i="10"/>
  <c r="I13" i="10"/>
  <c r="J13" i="10"/>
  <c r="L13" i="10"/>
  <c r="M13" i="10"/>
  <c r="R15" i="10"/>
  <c r="D14" i="10"/>
  <c r="B14" i="10"/>
  <c r="F14" i="10"/>
  <c r="I14" i="10"/>
  <c r="J14" i="10"/>
  <c r="L14" i="10"/>
  <c r="M14" i="10"/>
  <c r="R16" i="10"/>
  <c r="D15" i="10"/>
  <c r="B15" i="10"/>
  <c r="F15" i="10"/>
  <c r="I15" i="10"/>
  <c r="J15" i="10"/>
  <c r="L15" i="10"/>
  <c r="M15" i="10"/>
  <c r="R17" i="10"/>
  <c r="D16" i="10"/>
  <c r="B16" i="10"/>
  <c r="F16" i="10"/>
  <c r="I16" i="10"/>
  <c r="J16" i="10"/>
  <c r="L16" i="10"/>
  <c r="M16" i="10"/>
  <c r="R18" i="10"/>
  <c r="D17" i="10"/>
  <c r="B17" i="10"/>
  <c r="F17" i="10"/>
  <c r="I17" i="10"/>
  <c r="J17" i="10"/>
  <c r="L17" i="10"/>
  <c r="M17" i="10"/>
  <c r="R19" i="10"/>
  <c r="D18" i="10"/>
  <c r="B18" i="10"/>
  <c r="F18" i="10"/>
  <c r="I18" i="10"/>
  <c r="J18" i="10"/>
  <c r="L18" i="10"/>
  <c r="M18" i="10"/>
  <c r="R20" i="10"/>
  <c r="D19" i="10"/>
  <c r="B19" i="10"/>
  <c r="F19" i="10"/>
  <c r="I19" i="10"/>
  <c r="J19" i="10"/>
  <c r="L19" i="10"/>
  <c r="M19" i="10"/>
  <c r="R21" i="10"/>
  <c r="D20" i="10"/>
  <c r="B20" i="10"/>
  <c r="F20" i="10"/>
  <c r="I20" i="10"/>
  <c r="J20" i="10"/>
  <c r="L20" i="10"/>
  <c r="M20" i="10"/>
  <c r="R22" i="10"/>
  <c r="D21" i="10"/>
  <c r="B21" i="10"/>
  <c r="F21" i="10"/>
  <c r="I21" i="10"/>
  <c r="J21" i="10"/>
  <c r="L21" i="10"/>
  <c r="M21" i="10"/>
  <c r="R23" i="10"/>
  <c r="D22" i="10"/>
  <c r="B22" i="10"/>
  <c r="F22" i="10"/>
  <c r="I22" i="10"/>
  <c r="J22" i="10"/>
  <c r="L22" i="10"/>
  <c r="M22" i="10"/>
  <c r="R24" i="10"/>
  <c r="D23" i="10"/>
  <c r="B23" i="10"/>
  <c r="F23" i="10"/>
  <c r="I23" i="10"/>
  <c r="J23" i="10"/>
  <c r="L23" i="10"/>
  <c r="M23" i="10"/>
  <c r="R25" i="10"/>
  <c r="D24" i="10"/>
  <c r="B24" i="10"/>
  <c r="F24" i="10"/>
  <c r="I24" i="10"/>
  <c r="J24" i="10"/>
  <c r="L24" i="10"/>
  <c r="M24" i="10"/>
  <c r="R26" i="10"/>
  <c r="D25" i="10"/>
  <c r="B25" i="10"/>
  <c r="F25" i="10"/>
  <c r="I25" i="10"/>
  <c r="J25" i="10"/>
  <c r="L25" i="10"/>
  <c r="M25" i="10"/>
  <c r="R27" i="10"/>
  <c r="D26" i="10"/>
  <c r="B26" i="10"/>
  <c r="F26" i="10"/>
  <c r="I26" i="10"/>
  <c r="J26" i="10"/>
  <c r="L26" i="10"/>
  <c r="M26" i="10"/>
  <c r="R28" i="10"/>
  <c r="D27" i="10"/>
  <c r="B27" i="10"/>
  <c r="F27" i="10"/>
  <c r="I27" i="10"/>
  <c r="J27" i="10"/>
  <c r="L27" i="10"/>
  <c r="M27" i="10"/>
  <c r="R29" i="10"/>
  <c r="D28" i="10"/>
  <c r="B28" i="10"/>
  <c r="F28" i="10"/>
  <c r="I28" i="10"/>
  <c r="J28" i="10"/>
  <c r="L28" i="10"/>
  <c r="M28" i="10"/>
  <c r="R30" i="10"/>
  <c r="D29" i="10"/>
  <c r="B29" i="10"/>
  <c r="F29" i="10"/>
  <c r="I29" i="10"/>
  <c r="J29" i="10"/>
  <c r="L29" i="10"/>
  <c r="M29" i="10"/>
  <c r="R31" i="10"/>
  <c r="D30" i="10"/>
  <c r="B30" i="10"/>
  <c r="F30" i="10"/>
  <c r="I30" i="10"/>
  <c r="J30" i="10"/>
  <c r="L30" i="10"/>
  <c r="M30" i="10"/>
  <c r="R32" i="10"/>
  <c r="D31" i="10"/>
  <c r="B31" i="10"/>
  <c r="F31" i="10"/>
  <c r="I31" i="10"/>
  <c r="J31" i="10"/>
  <c r="L31" i="10"/>
  <c r="M31" i="10"/>
  <c r="R33" i="10"/>
  <c r="D32" i="10"/>
  <c r="B32" i="10"/>
  <c r="F32" i="10"/>
  <c r="I32" i="10"/>
  <c r="J32" i="10"/>
  <c r="L32" i="10"/>
  <c r="M32" i="10"/>
  <c r="R34" i="10"/>
  <c r="D33" i="10"/>
  <c r="B33" i="10"/>
  <c r="F33" i="10"/>
  <c r="I33" i="10"/>
  <c r="J33" i="10"/>
  <c r="L33" i="10"/>
  <c r="M33" i="10"/>
  <c r="R35" i="10"/>
  <c r="D34" i="10"/>
  <c r="B34" i="10"/>
  <c r="F34" i="10"/>
  <c r="I34" i="10"/>
  <c r="J34" i="10"/>
  <c r="L34" i="10"/>
  <c r="M34" i="10"/>
  <c r="R36" i="10"/>
  <c r="D35" i="10"/>
  <c r="B35" i="10"/>
  <c r="F35" i="10"/>
  <c r="I35" i="10"/>
  <c r="J35" i="10"/>
  <c r="L35" i="10"/>
  <c r="M35" i="10"/>
  <c r="R37" i="10"/>
  <c r="D36" i="10"/>
  <c r="B36" i="10"/>
  <c r="F36" i="10"/>
  <c r="I36" i="10"/>
  <c r="J36" i="10"/>
  <c r="L36" i="10"/>
  <c r="M36" i="10"/>
  <c r="R38" i="10"/>
  <c r="D37" i="10"/>
  <c r="B37" i="10"/>
  <c r="F37" i="10"/>
  <c r="I37" i="10"/>
  <c r="J37" i="10"/>
  <c r="L37" i="10"/>
  <c r="M37" i="10"/>
  <c r="R39" i="10"/>
  <c r="D38" i="10"/>
  <c r="B38" i="10"/>
  <c r="F38" i="10"/>
  <c r="J38" i="10"/>
  <c r="L38" i="10"/>
  <c r="M38" i="10"/>
  <c r="R40" i="10"/>
  <c r="Q4" i="10"/>
  <c r="Q3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P4" i="10"/>
  <c r="P3" i="10"/>
  <c r="C3" i="10"/>
  <c r="E3" i="10"/>
  <c r="C4" i="10"/>
  <c r="E4" i="10"/>
  <c r="C5" i="10"/>
  <c r="E5" i="10"/>
  <c r="P5" i="10"/>
  <c r="C6" i="10"/>
  <c r="E6" i="10"/>
  <c r="P6" i="10"/>
  <c r="C7" i="10"/>
  <c r="E7" i="10"/>
  <c r="P7" i="10"/>
  <c r="C8" i="10"/>
  <c r="E8" i="10"/>
  <c r="P8" i="10"/>
  <c r="C9" i="10"/>
  <c r="E9" i="10"/>
  <c r="P9" i="10"/>
  <c r="C10" i="10"/>
  <c r="E10" i="10"/>
  <c r="P10" i="10"/>
  <c r="C11" i="10"/>
  <c r="E11" i="10"/>
  <c r="P11" i="10"/>
  <c r="C12" i="10"/>
  <c r="E12" i="10"/>
  <c r="P12" i="10"/>
  <c r="C13" i="10"/>
  <c r="E13" i="10"/>
  <c r="P13" i="10"/>
  <c r="C14" i="10"/>
  <c r="E14" i="10"/>
  <c r="P14" i="10"/>
  <c r="C15" i="10"/>
  <c r="E15" i="10"/>
  <c r="P15" i="10"/>
  <c r="C16" i="10"/>
  <c r="E16" i="10"/>
  <c r="P16" i="10"/>
  <c r="C17" i="10"/>
  <c r="E17" i="10"/>
  <c r="P17" i="10"/>
  <c r="C18" i="10"/>
  <c r="E18" i="10"/>
  <c r="P18" i="10"/>
  <c r="C19" i="10"/>
  <c r="E19" i="10"/>
  <c r="P19" i="10"/>
  <c r="C20" i="10"/>
  <c r="E20" i="10"/>
  <c r="P20" i="10"/>
  <c r="C21" i="10"/>
  <c r="E21" i="10"/>
  <c r="P21" i="10"/>
  <c r="C22" i="10"/>
  <c r="E22" i="10"/>
  <c r="P22" i="10"/>
  <c r="C23" i="10"/>
  <c r="E23" i="10"/>
  <c r="P23" i="10"/>
  <c r="C24" i="10"/>
  <c r="E24" i="10"/>
  <c r="P24" i="10"/>
  <c r="C25" i="10"/>
  <c r="E25" i="10"/>
  <c r="P25" i="10"/>
  <c r="C26" i="10"/>
  <c r="E26" i="10"/>
  <c r="P26" i="10"/>
  <c r="C27" i="10"/>
  <c r="E27" i="10"/>
  <c r="P27" i="10"/>
  <c r="C28" i="10"/>
  <c r="E28" i="10"/>
  <c r="P28" i="10"/>
  <c r="C29" i="10"/>
  <c r="E29" i="10"/>
  <c r="P29" i="10"/>
  <c r="C30" i="10"/>
  <c r="E30" i="10"/>
  <c r="P30" i="10"/>
  <c r="C31" i="10"/>
  <c r="E31" i="10"/>
  <c r="P31" i="10"/>
  <c r="C32" i="10"/>
  <c r="E32" i="10"/>
  <c r="P32" i="10"/>
  <c r="C33" i="10"/>
  <c r="E33" i="10"/>
  <c r="P33" i="10"/>
  <c r="C34" i="10"/>
  <c r="E34" i="10"/>
  <c r="P34" i="10"/>
  <c r="C35" i="10"/>
  <c r="E35" i="10"/>
  <c r="P35" i="10"/>
  <c r="C36" i="10"/>
  <c r="E36" i="10"/>
  <c r="P36" i="10"/>
  <c r="C37" i="10"/>
  <c r="E37" i="10"/>
  <c r="P37" i="10"/>
  <c r="C38" i="10"/>
  <c r="E38" i="10"/>
  <c r="P38" i="10"/>
  <c r="P39" i="10"/>
  <c r="P40" i="10"/>
  <c r="O4" i="10"/>
  <c r="O3" i="10"/>
  <c r="H3" i="10"/>
  <c r="O5" i="10"/>
  <c r="H4" i="10"/>
  <c r="O6" i="10"/>
  <c r="H5" i="10"/>
  <c r="O7" i="10"/>
  <c r="H6" i="10"/>
  <c r="O8" i="10"/>
  <c r="H7" i="10"/>
  <c r="O9" i="10"/>
  <c r="H8" i="10"/>
  <c r="O10" i="10"/>
  <c r="H9" i="10"/>
  <c r="O11" i="10"/>
  <c r="H10" i="10"/>
  <c r="O12" i="10"/>
  <c r="H11" i="10"/>
  <c r="O13" i="10"/>
  <c r="H12" i="10"/>
  <c r="O14" i="10"/>
  <c r="H13" i="10"/>
  <c r="O15" i="10"/>
  <c r="H14" i="10"/>
  <c r="O16" i="10"/>
  <c r="H15" i="10"/>
  <c r="O17" i="10"/>
  <c r="H16" i="10"/>
  <c r="O18" i="10"/>
  <c r="H17" i="10"/>
  <c r="O19" i="10"/>
  <c r="H18" i="10"/>
  <c r="O20" i="10"/>
  <c r="H19" i="10"/>
  <c r="O21" i="10"/>
  <c r="H20" i="10"/>
  <c r="O22" i="10"/>
  <c r="H21" i="10"/>
  <c r="O23" i="10"/>
  <c r="H22" i="10"/>
  <c r="O24" i="10"/>
  <c r="H23" i="10"/>
  <c r="O25" i="10"/>
  <c r="H24" i="10"/>
  <c r="O26" i="10"/>
  <c r="H25" i="10"/>
  <c r="O27" i="10"/>
  <c r="H26" i="10"/>
  <c r="O28" i="10"/>
  <c r="H27" i="10"/>
  <c r="O29" i="10"/>
  <c r="H28" i="10"/>
  <c r="O30" i="10"/>
  <c r="H29" i="10"/>
  <c r="O31" i="10"/>
  <c r="H30" i="10"/>
  <c r="O32" i="10"/>
  <c r="H31" i="10"/>
  <c r="O33" i="10"/>
  <c r="H32" i="10"/>
  <c r="O34" i="10"/>
  <c r="H33" i="10"/>
  <c r="O35" i="10"/>
  <c r="H34" i="10"/>
  <c r="O36" i="10"/>
  <c r="H35" i="10"/>
  <c r="O37" i="10"/>
  <c r="H36" i="10"/>
  <c r="O38" i="10"/>
  <c r="H37" i="10"/>
  <c r="O39" i="10"/>
  <c r="H38" i="10"/>
  <c r="O40" i="10"/>
  <c r="N4" i="10"/>
  <c r="N3" i="10"/>
  <c r="E3" i="2"/>
  <c r="F2" i="2"/>
  <c r="G2" i="2"/>
  <c r="G3" i="10"/>
  <c r="E4" i="2"/>
  <c r="F3" i="2"/>
  <c r="G3" i="2"/>
  <c r="G4" i="10"/>
  <c r="E5" i="2"/>
  <c r="F4" i="2"/>
  <c r="G4" i="2"/>
  <c r="G5" i="10"/>
  <c r="N5" i="10"/>
  <c r="E6" i="2"/>
  <c r="F5" i="2"/>
  <c r="G5" i="2"/>
  <c r="G6" i="10"/>
  <c r="N6" i="10"/>
  <c r="E7" i="2"/>
  <c r="F6" i="2"/>
  <c r="G6" i="2"/>
  <c r="G7" i="10"/>
  <c r="N7" i="10"/>
  <c r="E8" i="2"/>
  <c r="F7" i="2"/>
  <c r="G7" i="2"/>
  <c r="G8" i="10"/>
  <c r="N8" i="10"/>
  <c r="E9" i="2"/>
  <c r="F8" i="2"/>
  <c r="G8" i="2"/>
  <c r="G9" i="10"/>
  <c r="N9" i="10"/>
  <c r="E10" i="2"/>
  <c r="F9" i="2"/>
  <c r="G9" i="2"/>
  <c r="G10" i="10"/>
  <c r="N10" i="10"/>
  <c r="E11" i="2"/>
  <c r="F10" i="2"/>
  <c r="G10" i="2"/>
  <c r="G11" i="10"/>
  <c r="N11" i="10"/>
  <c r="E12" i="2"/>
  <c r="F11" i="2"/>
  <c r="G11" i="2"/>
  <c r="G12" i="10"/>
  <c r="N12" i="10"/>
  <c r="E13" i="2"/>
  <c r="F12" i="2"/>
  <c r="G12" i="2"/>
  <c r="G13" i="10"/>
  <c r="N13" i="10"/>
  <c r="E14" i="2"/>
  <c r="F13" i="2"/>
  <c r="G13" i="2"/>
  <c r="G14" i="10"/>
  <c r="N14" i="10"/>
  <c r="E15" i="2"/>
  <c r="F14" i="2"/>
  <c r="G14" i="2"/>
  <c r="G15" i="10"/>
  <c r="N15" i="10"/>
  <c r="E16" i="2"/>
  <c r="F15" i="2"/>
  <c r="G15" i="2"/>
  <c r="G16" i="10"/>
  <c r="N16" i="10"/>
  <c r="E17" i="2"/>
  <c r="F16" i="2"/>
  <c r="G16" i="2"/>
  <c r="G17" i="10"/>
  <c r="N17" i="10"/>
  <c r="E18" i="2"/>
  <c r="F17" i="2"/>
  <c r="G17" i="2"/>
  <c r="G18" i="10"/>
  <c r="N18" i="10"/>
  <c r="E19" i="2"/>
  <c r="F18" i="2"/>
  <c r="G18" i="2"/>
  <c r="G19" i="10"/>
  <c r="N19" i="10"/>
  <c r="E20" i="2"/>
  <c r="F19" i="2"/>
  <c r="G19" i="2"/>
  <c r="G20" i="10"/>
  <c r="N20" i="10"/>
  <c r="E21" i="2"/>
  <c r="F20" i="2"/>
  <c r="G20" i="2"/>
  <c r="G21" i="10"/>
  <c r="N21" i="10"/>
  <c r="E22" i="2"/>
  <c r="F21" i="2"/>
  <c r="G21" i="2"/>
  <c r="G22" i="10"/>
  <c r="N22" i="10"/>
  <c r="E23" i="2"/>
  <c r="F22" i="2"/>
  <c r="G22" i="2"/>
  <c r="G23" i="10"/>
  <c r="N23" i="10"/>
  <c r="E24" i="2"/>
  <c r="F23" i="2"/>
  <c r="G23" i="2"/>
  <c r="G24" i="10"/>
  <c r="N24" i="10"/>
  <c r="E25" i="2"/>
  <c r="F24" i="2"/>
  <c r="G24" i="2"/>
  <c r="G25" i="10"/>
  <c r="N25" i="10"/>
  <c r="E26" i="2"/>
  <c r="F25" i="2"/>
  <c r="G25" i="2"/>
  <c r="G26" i="10"/>
  <c r="N26" i="10"/>
  <c r="E27" i="2"/>
  <c r="F26" i="2"/>
  <c r="G26" i="2"/>
  <c r="G27" i="10"/>
  <c r="N27" i="10"/>
  <c r="E28" i="2"/>
  <c r="F27" i="2"/>
  <c r="G27" i="2"/>
  <c r="G28" i="10"/>
  <c r="N28" i="10"/>
  <c r="E29" i="2"/>
  <c r="F28" i="2"/>
  <c r="G28" i="2"/>
  <c r="G29" i="10"/>
  <c r="N29" i="10"/>
  <c r="E30" i="2"/>
  <c r="F29" i="2"/>
  <c r="G29" i="2"/>
  <c r="G30" i="10"/>
  <c r="N30" i="10"/>
  <c r="E31" i="2"/>
  <c r="F30" i="2"/>
  <c r="G30" i="2"/>
  <c r="G31" i="10"/>
  <c r="N31" i="10"/>
  <c r="E32" i="2"/>
  <c r="F31" i="2"/>
  <c r="G31" i="2"/>
  <c r="G32" i="10"/>
  <c r="N32" i="10"/>
  <c r="E33" i="2"/>
  <c r="F32" i="2"/>
  <c r="G32" i="2"/>
  <c r="G33" i="10"/>
  <c r="N33" i="10"/>
  <c r="E34" i="2"/>
  <c r="F33" i="2"/>
  <c r="G33" i="2"/>
  <c r="G34" i="10"/>
  <c r="N34" i="10"/>
  <c r="E35" i="2"/>
  <c r="F34" i="2"/>
  <c r="G34" i="2"/>
  <c r="G35" i="10"/>
  <c r="N35" i="10"/>
  <c r="E36" i="2"/>
  <c r="F35" i="2"/>
  <c r="G35" i="2"/>
  <c r="G36" i="10"/>
  <c r="N36" i="10"/>
  <c r="E37" i="2"/>
  <c r="F36" i="2"/>
  <c r="G36" i="2"/>
  <c r="G37" i="10"/>
  <c r="N37" i="10"/>
  <c r="E38" i="2"/>
  <c r="F37" i="2"/>
  <c r="G37" i="2"/>
  <c r="G38" i="10"/>
  <c r="N38" i="10"/>
  <c r="E39" i="2"/>
  <c r="F38" i="2"/>
  <c r="G38" i="2"/>
  <c r="G39" i="10"/>
  <c r="N39" i="10"/>
  <c r="E40" i="2"/>
  <c r="F39" i="2"/>
  <c r="G39" i="2"/>
  <c r="G40" i="10"/>
  <c r="N40" i="10"/>
  <c r="H3" i="17"/>
  <c r="L3" i="17"/>
  <c r="H4" i="17"/>
  <c r="L4" i="17"/>
  <c r="H5" i="17"/>
  <c r="L5" i="17"/>
  <c r="H6" i="17"/>
  <c r="L6" i="17"/>
  <c r="H7" i="17"/>
  <c r="L7" i="17"/>
  <c r="H8" i="17"/>
  <c r="L8" i="17"/>
  <c r="H9" i="17"/>
  <c r="L9" i="17"/>
  <c r="H10" i="17"/>
  <c r="L10" i="17"/>
  <c r="H11" i="17"/>
  <c r="L11" i="17"/>
  <c r="H12" i="17"/>
  <c r="L12" i="17"/>
  <c r="H13" i="17"/>
  <c r="L13" i="17"/>
  <c r="H14" i="17"/>
  <c r="L14" i="17"/>
  <c r="H15" i="17"/>
  <c r="L15" i="17"/>
  <c r="H16" i="17"/>
  <c r="L16" i="17"/>
  <c r="H17" i="17"/>
  <c r="L17" i="17"/>
  <c r="H18" i="17"/>
  <c r="L18" i="17"/>
  <c r="H19" i="17"/>
  <c r="L19" i="17"/>
  <c r="H20" i="17"/>
  <c r="L20" i="17"/>
  <c r="H21" i="17"/>
  <c r="L21" i="17"/>
  <c r="H22" i="17"/>
  <c r="L22" i="17"/>
  <c r="H23" i="17"/>
  <c r="L23" i="17"/>
  <c r="H24" i="17"/>
  <c r="L24" i="17"/>
  <c r="H25" i="17"/>
  <c r="L25" i="17"/>
  <c r="H26" i="17"/>
  <c r="L26" i="17"/>
  <c r="H27" i="17"/>
  <c r="L27" i="17"/>
  <c r="H28" i="17"/>
  <c r="L28" i="17"/>
  <c r="H29" i="17"/>
  <c r="L29" i="17"/>
  <c r="H30" i="17"/>
  <c r="L30" i="17"/>
  <c r="H31" i="17"/>
  <c r="L31" i="17"/>
  <c r="H32" i="17"/>
  <c r="L32" i="17"/>
  <c r="H33" i="17"/>
  <c r="L33" i="17"/>
  <c r="H34" i="17"/>
  <c r="L34" i="17"/>
  <c r="H35" i="17"/>
  <c r="L35" i="17"/>
  <c r="H36" i="17"/>
  <c r="L36" i="17"/>
  <c r="H37" i="17"/>
  <c r="L37" i="17"/>
  <c r="H38" i="17"/>
  <c r="L38" i="17"/>
  <c r="H39" i="17"/>
  <c r="L39" i="17"/>
  <c r="H40" i="17"/>
  <c r="L40" i="17"/>
  <c r="H41" i="17"/>
  <c r="L41" i="17"/>
  <c r="H42" i="17"/>
  <c r="L42" i="17"/>
  <c r="H43" i="17"/>
  <c r="L43" i="17"/>
  <c r="H44" i="17"/>
  <c r="L44" i="17"/>
  <c r="H45" i="17"/>
  <c r="L45" i="17"/>
  <c r="H46" i="17"/>
  <c r="L46" i="17"/>
  <c r="H47" i="17"/>
  <c r="L47" i="17"/>
  <c r="H48" i="17"/>
  <c r="L48" i="17"/>
  <c r="H49" i="17"/>
  <c r="L49" i="17"/>
  <c r="H50" i="17"/>
  <c r="L50" i="17"/>
  <c r="H51" i="17"/>
  <c r="L51" i="17"/>
  <c r="H52" i="17"/>
  <c r="L52" i="17"/>
  <c r="H53" i="17"/>
  <c r="L53" i="17"/>
  <c r="H54" i="17"/>
  <c r="L54" i="17"/>
  <c r="H55" i="17"/>
  <c r="L55" i="17"/>
  <c r="H56" i="17"/>
  <c r="L56" i="17"/>
  <c r="H57" i="17"/>
  <c r="L57" i="17"/>
  <c r="H58" i="17"/>
  <c r="L58" i="17"/>
  <c r="H59" i="17"/>
  <c r="L59" i="17"/>
  <c r="H60" i="17"/>
  <c r="L60" i="17"/>
  <c r="H61" i="17"/>
  <c r="L61" i="17"/>
  <c r="H62" i="17"/>
  <c r="L62" i="17"/>
  <c r="H63" i="17"/>
  <c r="L63" i="17"/>
  <c r="H64" i="17"/>
  <c r="L64" i="17"/>
  <c r="H65" i="17"/>
  <c r="L65" i="17"/>
  <c r="H66" i="17"/>
  <c r="L66" i="17"/>
  <c r="H67" i="17"/>
  <c r="L67" i="17"/>
  <c r="H68" i="17"/>
  <c r="L68" i="17"/>
  <c r="H69" i="17"/>
  <c r="L69" i="17"/>
  <c r="H70" i="17"/>
  <c r="L70" i="17"/>
  <c r="H71" i="17"/>
  <c r="L71" i="17"/>
  <c r="H72" i="17"/>
  <c r="L72" i="17"/>
  <c r="H73" i="17"/>
  <c r="L73" i="17"/>
  <c r="H74" i="17"/>
  <c r="L74" i="17"/>
  <c r="H75" i="17"/>
  <c r="L75" i="17"/>
  <c r="H76" i="17"/>
  <c r="L76" i="17"/>
  <c r="H77" i="17"/>
  <c r="L77" i="17"/>
  <c r="H78" i="17"/>
  <c r="L78" i="17"/>
  <c r="H79" i="17"/>
  <c r="L79" i="17"/>
  <c r="H80" i="17"/>
  <c r="L80" i="17"/>
  <c r="H81" i="17"/>
  <c r="L81" i="17"/>
  <c r="H82" i="17"/>
  <c r="L82" i="17"/>
  <c r="H83" i="17"/>
  <c r="L83" i="17"/>
  <c r="H84" i="17"/>
  <c r="L84" i="17"/>
  <c r="H85" i="17"/>
  <c r="L85" i="17"/>
  <c r="H86" i="17"/>
  <c r="L86" i="17"/>
  <c r="H87" i="17"/>
  <c r="L87" i="17"/>
  <c r="H88" i="17"/>
  <c r="L88" i="17"/>
  <c r="H89" i="17"/>
  <c r="L89" i="17"/>
  <c r="H90" i="17"/>
  <c r="L90" i="17"/>
  <c r="H91" i="17"/>
  <c r="L91" i="17"/>
  <c r="H92" i="17"/>
  <c r="L92" i="17"/>
  <c r="H93" i="17"/>
  <c r="L93" i="17"/>
  <c r="H94" i="17"/>
  <c r="L94" i="17"/>
  <c r="H95" i="17"/>
  <c r="L95" i="17"/>
  <c r="H96" i="17"/>
  <c r="L96" i="17"/>
  <c r="H97" i="17"/>
  <c r="L97" i="17"/>
  <c r="H98" i="17"/>
  <c r="L98" i="17"/>
  <c r="H99" i="17"/>
  <c r="L99" i="17"/>
  <c r="H100" i="17"/>
  <c r="L100" i="17"/>
  <c r="H101" i="17"/>
  <c r="L101" i="17"/>
  <c r="H102" i="17"/>
  <c r="L102" i="17"/>
  <c r="H103" i="17"/>
  <c r="L103" i="17"/>
  <c r="H104" i="17"/>
  <c r="L104" i="17"/>
  <c r="H105" i="17"/>
  <c r="L105" i="17"/>
  <c r="H106" i="17"/>
  <c r="L106" i="17"/>
  <c r="H107" i="17"/>
  <c r="L107" i="17"/>
  <c r="H108" i="17"/>
  <c r="L108" i="17"/>
  <c r="H109" i="17"/>
  <c r="L109" i="17"/>
  <c r="H110" i="17"/>
  <c r="L110" i="17"/>
  <c r="H111" i="17"/>
  <c r="L111" i="17"/>
  <c r="H112" i="17"/>
  <c r="L112" i="17"/>
  <c r="H113" i="17"/>
  <c r="L113" i="17"/>
  <c r="H114" i="17"/>
  <c r="L114" i="17"/>
  <c r="H115" i="17"/>
  <c r="L115" i="17"/>
  <c r="H116" i="17"/>
  <c r="L116" i="17"/>
  <c r="H117" i="17"/>
  <c r="L117" i="17"/>
  <c r="H118" i="17"/>
  <c r="L118" i="17"/>
  <c r="H119" i="17"/>
  <c r="L119" i="17"/>
  <c r="H120" i="17"/>
  <c r="L120" i="17"/>
  <c r="H121" i="17"/>
  <c r="L121" i="17"/>
  <c r="H122" i="17"/>
  <c r="L122" i="17"/>
  <c r="H123" i="17"/>
  <c r="L123" i="17"/>
  <c r="H124" i="17"/>
  <c r="L124" i="17"/>
  <c r="H125" i="17"/>
  <c r="L125" i="17"/>
  <c r="H126" i="17"/>
  <c r="L126" i="17"/>
  <c r="H127" i="17"/>
  <c r="L127" i="17"/>
  <c r="H128" i="17"/>
  <c r="L128" i="17"/>
  <c r="H129" i="17"/>
  <c r="L129" i="17"/>
  <c r="H130" i="17"/>
  <c r="L130" i="17"/>
  <c r="H131" i="17"/>
  <c r="L131" i="17"/>
  <c r="H132" i="17"/>
  <c r="L132" i="17"/>
  <c r="H133" i="17"/>
  <c r="L133" i="17"/>
  <c r="H134" i="17"/>
  <c r="L134" i="17"/>
  <c r="H135" i="17"/>
  <c r="L135" i="17"/>
  <c r="H136" i="17"/>
  <c r="L136" i="17"/>
  <c r="H137" i="17"/>
  <c r="L137" i="17"/>
  <c r="H138" i="17"/>
  <c r="L138" i="17"/>
  <c r="H139" i="17"/>
  <c r="L139" i="17"/>
  <c r="H140" i="17"/>
  <c r="L140" i="17"/>
  <c r="H141" i="17"/>
  <c r="L141" i="17"/>
  <c r="H142" i="17"/>
  <c r="L142" i="17"/>
  <c r="H143" i="17"/>
  <c r="L143" i="17"/>
  <c r="H144" i="17"/>
  <c r="L144" i="17"/>
  <c r="H145" i="17"/>
  <c r="L145" i="17"/>
  <c r="H146" i="17"/>
  <c r="L146" i="17"/>
  <c r="H147" i="17"/>
  <c r="L147" i="17"/>
  <c r="H148" i="17"/>
  <c r="L148" i="17"/>
  <c r="H149" i="17"/>
  <c r="L149" i="17"/>
  <c r="H150" i="17"/>
  <c r="L150" i="17"/>
  <c r="H151" i="17"/>
  <c r="L151" i="17"/>
  <c r="H152" i="17"/>
  <c r="L152" i="17"/>
  <c r="H2" i="17"/>
  <c r="L2" i="17"/>
  <c r="L154" i="17"/>
  <c r="K154" i="17"/>
  <c r="Q3" i="17"/>
  <c r="Q2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4" i="17"/>
  <c r="Q1" i="17"/>
  <c r="L155" i="17"/>
  <c r="E41" i="2"/>
  <c r="F40" i="2"/>
  <c r="G40" i="2"/>
  <c r="G41" i="10"/>
  <c r="E42" i="2"/>
  <c r="F41" i="2"/>
  <c r="G41" i="2"/>
  <c r="G42" i="10"/>
  <c r="N42" i="10"/>
  <c r="H40" i="10"/>
  <c r="H41" i="10"/>
  <c r="H42" i="10"/>
  <c r="O42" i="10"/>
  <c r="E43" i="2"/>
  <c r="F42" i="2"/>
  <c r="G42" i="2"/>
  <c r="G43" i="10"/>
  <c r="N43" i="10"/>
  <c r="H43" i="10"/>
  <c r="O43" i="10"/>
  <c r="E44" i="2"/>
  <c r="F43" i="2"/>
  <c r="G43" i="2"/>
  <c r="G44" i="10"/>
  <c r="N44" i="10"/>
  <c r="H44" i="10"/>
  <c r="O44" i="10"/>
  <c r="E45" i="2"/>
  <c r="F44" i="2"/>
  <c r="G44" i="2"/>
  <c r="G45" i="10"/>
  <c r="N45" i="10"/>
  <c r="H45" i="10"/>
  <c r="O45" i="10"/>
  <c r="E46" i="2"/>
  <c r="F45" i="2"/>
  <c r="G45" i="2"/>
  <c r="G46" i="10"/>
  <c r="N46" i="10"/>
  <c r="H46" i="10"/>
  <c r="O46" i="10"/>
  <c r="E47" i="2"/>
  <c r="F46" i="2"/>
  <c r="G46" i="2"/>
  <c r="G47" i="10"/>
  <c r="N47" i="10"/>
  <c r="H47" i="10"/>
  <c r="O47" i="10"/>
  <c r="E48" i="2"/>
  <c r="F47" i="2"/>
  <c r="G47" i="2"/>
  <c r="G48" i="10"/>
  <c r="N48" i="10"/>
  <c r="H48" i="10"/>
  <c r="O48" i="10"/>
  <c r="E49" i="2"/>
  <c r="F48" i="2"/>
  <c r="G48" i="2"/>
  <c r="G49" i="10"/>
  <c r="N49" i="10"/>
  <c r="H49" i="10"/>
  <c r="O49" i="10"/>
  <c r="E50" i="2"/>
  <c r="F49" i="2"/>
  <c r="G49" i="2"/>
  <c r="G50" i="10"/>
  <c r="N50" i="10"/>
  <c r="H50" i="10"/>
  <c r="O50" i="10"/>
  <c r="E51" i="2"/>
  <c r="F50" i="2"/>
  <c r="G50" i="2"/>
  <c r="G51" i="10"/>
  <c r="N51" i="10"/>
  <c r="H51" i="10"/>
  <c r="O51" i="10"/>
  <c r="E52" i="2"/>
  <c r="F51" i="2"/>
  <c r="G51" i="2"/>
  <c r="G52" i="10"/>
  <c r="N52" i="10"/>
  <c r="H52" i="10"/>
  <c r="O52" i="10"/>
  <c r="E53" i="2"/>
  <c r="F52" i="2"/>
  <c r="G52" i="2"/>
  <c r="G53" i="10"/>
  <c r="N53" i="10"/>
  <c r="H53" i="10"/>
  <c r="O53" i="10"/>
  <c r="E54" i="2"/>
  <c r="F53" i="2"/>
  <c r="G53" i="2"/>
  <c r="G54" i="10"/>
  <c r="N54" i="10"/>
  <c r="H54" i="10"/>
  <c r="O54" i="10"/>
  <c r="E55" i="2"/>
  <c r="F54" i="2"/>
  <c r="G54" i="2"/>
  <c r="G55" i="10"/>
  <c r="N55" i="10"/>
  <c r="H55" i="10"/>
  <c r="O55" i="10"/>
  <c r="E56" i="2"/>
  <c r="F55" i="2"/>
  <c r="G55" i="2"/>
  <c r="G56" i="10"/>
  <c r="N56" i="10"/>
  <c r="H56" i="10"/>
  <c r="O56" i="10"/>
  <c r="E57" i="2"/>
  <c r="F56" i="2"/>
  <c r="G56" i="2"/>
  <c r="G57" i="10"/>
  <c r="N57" i="10"/>
  <c r="H57" i="10"/>
  <c r="O57" i="10"/>
  <c r="E58" i="2"/>
  <c r="F57" i="2"/>
  <c r="G57" i="2"/>
  <c r="G58" i="10"/>
  <c r="N58" i="10"/>
  <c r="H58" i="10"/>
  <c r="O58" i="10"/>
  <c r="E59" i="2"/>
  <c r="F58" i="2"/>
  <c r="G58" i="2"/>
  <c r="G59" i="10"/>
  <c r="N59" i="10"/>
  <c r="H59" i="10"/>
  <c r="O59" i="10"/>
  <c r="E60" i="2"/>
  <c r="F59" i="2"/>
  <c r="G59" i="2"/>
  <c r="G60" i="10"/>
  <c r="N60" i="10"/>
  <c r="H60" i="10"/>
  <c r="O60" i="10"/>
  <c r="E61" i="2"/>
  <c r="F60" i="2"/>
  <c r="G60" i="2"/>
  <c r="G61" i="10"/>
  <c r="N61" i="10"/>
  <c r="H61" i="10"/>
  <c r="O61" i="10"/>
  <c r="E62" i="2"/>
  <c r="F61" i="2"/>
  <c r="G61" i="2"/>
  <c r="G62" i="10"/>
  <c r="N62" i="10"/>
  <c r="H62" i="10"/>
  <c r="O62" i="10"/>
  <c r="E63" i="2"/>
  <c r="F62" i="2"/>
  <c r="G62" i="2"/>
  <c r="G63" i="10"/>
  <c r="N63" i="10"/>
  <c r="H63" i="10"/>
  <c r="O63" i="10"/>
  <c r="E64" i="2"/>
  <c r="F63" i="2"/>
  <c r="G63" i="2"/>
  <c r="G64" i="10"/>
  <c r="N64" i="10"/>
  <c r="H64" i="10"/>
  <c r="O64" i="10"/>
  <c r="E65" i="2"/>
  <c r="F64" i="2"/>
  <c r="G64" i="2"/>
  <c r="G65" i="10"/>
  <c r="N65" i="10"/>
  <c r="H65" i="10"/>
  <c r="O65" i="10"/>
  <c r="E66" i="2"/>
  <c r="F65" i="2"/>
  <c r="G65" i="2"/>
  <c r="G66" i="10"/>
  <c r="N66" i="10"/>
  <c r="H66" i="10"/>
  <c r="O66" i="10"/>
  <c r="E67" i="2"/>
  <c r="F66" i="2"/>
  <c r="G66" i="2"/>
  <c r="G67" i="10"/>
  <c r="N67" i="10"/>
  <c r="H67" i="10"/>
  <c r="O67" i="10"/>
  <c r="E68" i="2"/>
  <c r="F67" i="2"/>
  <c r="G67" i="2"/>
  <c r="G68" i="10"/>
  <c r="N68" i="10"/>
  <c r="H68" i="10"/>
  <c r="O68" i="10"/>
  <c r="E69" i="2"/>
  <c r="F68" i="2"/>
  <c r="G68" i="2"/>
  <c r="G69" i="10"/>
  <c r="N69" i="10"/>
  <c r="H69" i="10"/>
  <c r="O69" i="10"/>
  <c r="E70" i="2"/>
  <c r="F69" i="2"/>
  <c r="G69" i="2"/>
  <c r="G70" i="10"/>
  <c r="N70" i="10"/>
  <c r="H70" i="10"/>
  <c r="O70" i="10"/>
  <c r="E71" i="2"/>
  <c r="F70" i="2"/>
  <c r="G70" i="2"/>
  <c r="G71" i="10"/>
  <c r="N71" i="10"/>
  <c r="H71" i="10"/>
  <c r="O71" i="10"/>
  <c r="E72" i="2"/>
  <c r="F71" i="2"/>
  <c r="G71" i="2"/>
  <c r="G72" i="10"/>
  <c r="N72" i="10"/>
  <c r="H72" i="10"/>
  <c r="O72" i="10"/>
  <c r="E73" i="2"/>
  <c r="F72" i="2"/>
  <c r="G72" i="2"/>
  <c r="G73" i="10"/>
  <c r="N73" i="10"/>
  <c r="H73" i="10"/>
  <c r="O73" i="10"/>
  <c r="E74" i="2"/>
  <c r="F73" i="2"/>
  <c r="G73" i="2"/>
  <c r="G74" i="10"/>
  <c r="N74" i="10"/>
  <c r="H74" i="10"/>
  <c r="O74" i="10"/>
  <c r="E75" i="2"/>
  <c r="F74" i="2"/>
  <c r="G74" i="2"/>
  <c r="G75" i="10"/>
  <c r="N75" i="10"/>
  <c r="H75" i="10"/>
  <c r="O75" i="10"/>
  <c r="E76" i="2"/>
  <c r="F75" i="2"/>
  <c r="G75" i="2"/>
  <c r="G76" i="10"/>
  <c r="N76" i="10"/>
  <c r="H76" i="10"/>
  <c r="O76" i="10"/>
  <c r="E77" i="2"/>
  <c r="F76" i="2"/>
  <c r="G76" i="2"/>
  <c r="G77" i="10"/>
  <c r="N77" i="10"/>
  <c r="H77" i="10"/>
  <c r="O77" i="10"/>
  <c r="E78" i="2"/>
  <c r="F77" i="2"/>
  <c r="G77" i="2"/>
  <c r="G78" i="10"/>
  <c r="N78" i="10"/>
  <c r="H78" i="10"/>
  <c r="O78" i="10"/>
  <c r="E79" i="2"/>
  <c r="F78" i="2"/>
  <c r="G78" i="2"/>
  <c r="G79" i="10"/>
  <c r="N79" i="10"/>
  <c r="H79" i="10"/>
  <c r="O79" i="10"/>
  <c r="E80" i="2"/>
  <c r="F79" i="2"/>
  <c r="G79" i="2"/>
  <c r="G80" i="10"/>
  <c r="N80" i="10"/>
  <c r="H80" i="10"/>
  <c r="O80" i="10"/>
  <c r="E81" i="2"/>
  <c r="F80" i="2"/>
  <c r="G80" i="2"/>
  <c r="G81" i="10"/>
  <c r="N81" i="10"/>
  <c r="H81" i="10"/>
  <c r="O81" i="10"/>
  <c r="E82" i="2"/>
  <c r="F81" i="2"/>
  <c r="G81" i="2"/>
  <c r="G82" i="10"/>
  <c r="N82" i="10"/>
  <c r="H82" i="10"/>
  <c r="O82" i="10"/>
  <c r="E83" i="2"/>
  <c r="F82" i="2"/>
  <c r="G82" i="2"/>
  <c r="G83" i="10"/>
  <c r="N83" i="10"/>
  <c r="H83" i="10"/>
  <c r="O83" i="10"/>
  <c r="E84" i="2"/>
  <c r="F83" i="2"/>
  <c r="G83" i="2"/>
  <c r="G84" i="10"/>
  <c r="N84" i="10"/>
  <c r="H84" i="10"/>
  <c r="O84" i="10"/>
  <c r="E85" i="2"/>
  <c r="F84" i="2"/>
  <c r="G84" i="2"/>
  <c r="G85" i="10"/>
  <c r="N85" i="10"/>
  <c r="H85" i="10"/>
  <c r="O85" i="10"/>
  <c r="E86" i="2"/>
  <c r="F85" i="2"/>
  <c r="G85" i="2"/>
  <c r="G86" i="10"/>
  <c r="N86" i="10"/>
  <c r="H86" i="10"/>
  <c r="O86" i="10"/>
  <c r="E87" i="2"/>
  <c r="F86" i="2"/>
  <c r="G86" i="2"/>
  <c r="G87" i="10"/>
  <c r="N87" i="10"/>
  <c r="H87" i="10"/>
  <c r="O87" i="10"/>
  <c r="E88" i="2"/>
  <c r="F87" i="2"/>
  <c r="G87" i="2"/>
  <c r="G88" i="10"/>
  <c r="N88" i="10"/>
  <c r="H88" i="10"/>
  <c r="O88" i="10"/>
  <c r="E89" i="2"/>
  <c r="F88" i="2"/>
  <c r="G88" i="2"/>
  <c r="G89" i="10"/>
  <c r="N89" i="10"/>
  <c r="H89" i="10"/>
  <c r="O89" i="10"/>
  <c r="E90" i="2"/>
  <c r="F89" i="2"/>
  <c r="G89" i="2"/>
  <c r="G90" i="10"/>
  <c r="N90" i="10"/>
  <c r="H90" i="10"/>
  <c r="O90" i="10"/>
  <c r="E91" i="2"/>
  <c r="F90" i="2"/>
  <c r="G90" i="2"/>
  <c r="G91" i="10"/>
  <c r="N91" i="10"/>
  <c r="H91" i="10"/>
  <c r="O91" i="10"/>
  <c r="E92" i="2"/>
  <c r="F91" i="2"/>
  <c r="G91" i="2"/>
  <c r="G92" i="10"/>
  <c r="N92" i="10"/>
  <c r="H92" i="10"/>
  <c r="O92" i="10"/>
  <c r="E93" i="2"/>
  <c r="F92" i="2"/>
  <c r="G92" i="2"/>
  <c r="G93" i="10"/>
  <c r="N93" i="10"/>
  <c r="H93" i="10"/>
  <c r="O93" i="10"/>
  <c r="E94" i="2"/>
  <c r="F93" i="2"/>
  <c r="G93" i="2"/>
  <c r="G94" i="10"/>
  <c r="N94" i="10"/>
  <c r="H94" i="10"/>
  <c r="O94" i="10"/>
  <c r="E95" i="2"/>
  <c r="F94" i="2"/>
  <c r="G94" i="2"/>
  <c r="G95" i="10"/>
  <c r="N95" i="10"/>
  <c r="H95" i="10"/>
  <c r="O95" i="10"/>
  <c r="E96" i="2"/>
  <c r="F95" i="2"/>
  <c r="G95" i="2"/>
  <c r="G96" i="10"/>
  <c r="N96" i="10"/>
  <c r="H96" i="10"/>
  <c r="O96" i="10"/>
  <c r="E97" i="2"/>
  <c r="F96" i="2"/>
  <c r="G96" i="2"/>
  <c r="G97" i="10"/>
  <c r="N97" i="10"/>
  <c r="H97" i="10"/>
  <c r="O97" i="10"/>
  <c r="E98" i="2"/>
  <c r="F97" i="2"/>
  <c r="G97" i="2"/>
  <c r="G98" i="10"/>
  <c r="N98" i="10"/>
  <c r="H98" i="10"/>
  <c r="O98" i="10"/>
  <c r="E99" i="2"/>
  <c r="F98" i="2"/>
  <c r="G98" i="2"/>
  <c r="G99" i="10"/>
  <c r="N99" i="10"/>
  <c r="H99" i="10"/>
  <c r="O99" i="10"/>
  <c r="E100" i="2"/>
  <c r="F99" i="2"/>
  <c r="G99" i="2"/>
  <c r="G100" i="10"/>
  <c r="N100" i="10"/>
  <c r="H100" i="10"/>
  <c r="O100" i="10"/>
  <c r="E101" i="2"/>
  <c r="F100" i="2"/>
  <c r="G100" i="2"/>
  <c r="G101" i="10"/>
  <c r="N101" i="10"/>
  <c r="H101" i="10"/>
  <c r="O101" i="10"/>
  <c r="E102" i="2"/>
  <c r="F101" i="2"/>
  <c r="G101" i="2"/>
  <c r="G102" i="10"/>
  <c r="N102" i="10"/>
  <c r="H102" i="10"/>
  <c r="O102" i="10"/>
  <c r="E103" i="2"/>
  <c r="F102" i="2"/>
  <c r="G102" i="2"/>
  <c r="G103" i="10"/>
  <c r="N103" i="10"/>
  <c r="H103" i="10"/>
  <c r="O103" i="10"/>
  <c r="E104" i="2"/>
  <c r="F103" i="2"/>
  <c r="G103" i="2"/>
  <c r="G104" i="10"/>
  <c r="N104" i="10"/>
  <c r="H104" i="10"/>
  <c r="O104" i="10"/>
  <c r="E105" i="2"/>
  <c r="F104" i="2"/>
  <c r="G104" i="2"/>
  <c r="G105" i="10"/>
  <c r="N105" i="10"/>
  <c r="H105" i="10"/>
  <c r="O105" i="10"/>
  <c r="E106" i="2"/>
  <c r="F105" i="2"/>
  <c r="G105" i="2"/>
  <c r="G106" i="10"/>
  <c r="N106" i="10"/>
  <c r="H106" i="10"/>
  <c r="O106" i="10"/>
  <c r="E107" i="2"/>
  <c r="F106" i="2"/>
  <c r="G106" i="2"/>
  <c r="G107" i="10"/>
  <c r="N107" i="10"/>
  <c r="H107" i="10"/>
  <c r="O107" i="10"/>
  <c r="E108" i="2"/>
  <c r="F107" i="2"/>
  <c r="G107" i="2"/>
  <c r="G108" i="10"/>
  <c r="N108" i="10"/>
  <c r="H108" i="10"/>
  <c r="O108" i="10"/>
  <c r="E109" i="2"/>
  <c r="F108" i="2"/>
  <c r="G108" i="2"/>
  <c r="G109" i="10"/>
  <c r="N109" i="10"/>
  <c r="H109" i="10"/>
  <c r="O109" i="10"/>
  <c r="E110" i="2"/>
  <c r="F109" i="2"/>
  <c r="G109" i="2"/>
  <c r="G110" i="10"/>
  <c r="N110" i="10"/>
  <c r="H110" i="10"/>
  <c r="O110" i="10"/>
  <c r="E111" i="2"/>
  <c r="F110" i="2"/>
  <c r="G110" i="2"/>
  <c r="G111" i="10"/>
  <c r="N111" i="10"/>
  <c r="H111" i="10"/>
  <c r="O111" i="10"/>
  <c r="E112" i="2"/>
  <c r="F111" i="2"/>
  <c r="G111" i="2"/>
  <c r="G112" i="10"/>
  <c r="N112" i="10"/>
  <c r="H112" i="10"/>
  <c r="O112" i="10"/>
  <c r="E113" i="2"/>
  <c r="F112" i="2"/>
  <c r="G112" i="2"/>
  <c r="G113" i="10"/>
  <c r="N113" i="10"/>
  <c r="H113" i="10"/>
  <c r="O113" i="10"/>
  <c r="E114" i="2"/>
  <c r="F113" i="2"/>
  <c r="G113" i="2"/>
  <c r="G114" i="10"/>
  <c r="N114" i="10"/>
  <c r="H114" i="10"/>
  <c r="O114" i="10"/>
  <c r="E115" i="2"/>
  <c r="F114" i="2"/>
  <c r="G114" i="2"/>
  <c r="G115" i="10"/>
  <c r="N115" i="10"/>
  <c r="H115" i="10"/>
  <c r="O115" i="10"/>
  <c r="E116" i="2"/>
  <c r="F115" i="2"/>
  <c r="G115" i="2"/>
  <c r="G116" i="10"/>
  <c r="N116" i="10"/>
  <c r="H116" i="10"/>
  <c r="O116" i="10"/>
  <c r="E117" i="2"/>
  <c r="F116" i="2"/>
  <c r="G116" i="2"/>
  <c r="G117" i="10"/>
  <c r="N117" i="10"/>
  <c r="H117" i="10"/>
  <c r="O117" i="10"/>
  <c r="E118" i="2"/>
  <c r="F117" i="2"/>
  <c r="G117" i="2"/>
  <c r="G118" i="10"/>
  <c r="N118" i="10"/>
  <c r="H118" i="10"/>
  <c r="O118" i="10"/>
  <c r="E119" i="2"/>
  <c r="F118" i="2"/>
  <c r="G118" i="2"/>
  <c r="G119" i="10"/>
  <c r="N119" i="10"/>
  <c r="H119" i="10"/>
  <c r="O119" i="10"/>
  <c r="E120" i="2"/>
  <c r="F119" i="2"/>
  <c r="G119" i="2"/>
  <c r="G120" i="10"/>
  <c r="N120" i="10"/>
  <c r="H120" i="10"/>
  <c r="O120" i="10"/>
  <c r="E121" i="2"/>
  <c r="F120" i="2"/>
  <c r="G120" i="2"/>
  <c r="G121" i="10"/>
  <c r="N121" i="10"/>
  <c r="H121" i="10"/>
  <c r="O121" i="10"/>
  <c r="E122" i="2"/>
  <c r="F121" i="2"/>
  <c r="G121" i="2"/>
  <c r="G122" i="10"/>
  <c r="N122" i="10"/>
  <c r="H122" i="10"/>
  <c r="O122" i="10"/>
  <c r="E123" i="2"/>
  <c r="F122" i="2"/>
  <c r="G122" i="2"/>
  <c r="G123" i="10"/>
  <c r="N123" i="10"/>
  <c r="H123" i="10"/>
  <c r="O123" i="10"/>
  <c r="E124" i="2"/>
  <c r="F123" i="2"/>
  <c r="G123" i="2"/>
  <c r="G124" i="10"/>
  <c r="N124" i="10"/>
  <c r="H124" i="10"/>
  <c r="O124" i="10"/>
  <c r="E125" i="2"/>
  <c r="F124" i="2"/>
  <c r="G124" i="2"/>
  <c r="G125" i="10"/>
  <c r="N125" i="10"/>
  <c r="H125" i="10"/>
  <c r="O125" i="10"/>
  <c r="E126" i="2"/>
  <c r="F125" i="2"/>
  <c r="G125" i="2"/>
  <c r="G126" i="10"/>
  <c r="N126" i="10"/>
  <c r="H126" i="10"/>
  <c r="O126" i="10"/>
  <c r="E127" i="2"/>
  <c r="F126" i="2"/>
  <c r="G126" i="2"/>
  <c r="G127" i="10"/>
  <c r="N127" i="10"/>
  <c r="H127" i="10"/>
  <c r="O127" i="10"/>
  <c r="E128" i="2"/>
  <c r="F127" i="2"/>
  <c r="G127" i="2"/>
  <c r="G128" i="10"/>
  <c r="N128" i="10"/>
  <c r="H128" i="10"/>
  <c r="O128" i="10"/>
  <c r="E129" i="2"/>
  <c r="F128" i="2"/>
  <c r="G128" i="2"/>
  <c r="G129" i="10"/>
  <c r="N129" i="10"/>
  <c r="H129" i="10"/>
  <c r="O129" i="10"/>
  <c r="E130" i="2"/>
  <c r="F129" i="2"/>
  <c r="G129" i="2"/>
  <c r="G130" i="10"/>
  <c r="N130" i="10"/>
  <c r="H130" i="10"/>
  <c r="O130" i="10"/>
  <c r="E131" i="2"/>
  <c r="F130" i="2"/>
  <c r="G130" i="2"/>
  <c r="G131" i="10"/>
  <c r="N131" i="10"/>
  <c r="H131" i="10"/>
  <c r="O131" i="10"/>
  <c r="E132" i="2"/>
  <c r="F131" i="2"/>
  <c r="G131" i="2"/>
  <c r="G132" i="10"/>
  <c r="N132" i="10"/>
  <c r="H132" i="10"/>
  <c r="O132" i="10"/>
  <c r="E133" i="2"/>
  <c r="F132" i="2"/>
  <c r="G132" i="2"/>
  <c r="G133" i="10"/>
  <c r="N133" i="10"/>
  <c r="H133" i="10"/>
  <c r="O133" i="10"/>
  <c r="E134" i="2"/>
  <c r="F133" i="2"/>
  <c r="G133" i="2"/>
  <c r="G134" i="10"/>
  <c r="N134" i="10"/>
  <c r="H134" i="10"/>
  <c r="O134" i="10"/>
  <c r="E135" i="2"/>
  <c r="F134" i="2"/>
  <c r="G134" i="2"/>
  <c r="G135" i="10"/>
  <c r="N135" i="10"/>
  <c r="H135" i="10"/>
  <c r="O135" i="10"/>
  <c r="E136" i="2"/>
  <c r="F135" i="2"/>
  <c r="G135" i="2"/>
  <c r="G136" i="10"/>
  <c r="N136" i="10"/>
  <c r="H136" i="10"/>
  <c r="O136" i="10"/>
  <c r="E137" i="2"/>
  <c r="F136" i="2"/>
  <c r="G136" i="2"/>
  <c r="G137" i="10"/>
  <c r="N137" i="10"/>
  <c r="H137" i="10"/>
  <c r="O137" i="10"/>
  <c r="E138" i="2"/>
  <c r="F137" i="2"/>
  <c r="G137" i="2"/>
  <c r="G138" i="10"/>
  <c r="N138" i="10"/>
  <c r="H138" i="10"/>
  <c r="O138" i="10"/>
  <c r="E139" i="2"/>
  <c r="F138" i="2"/>
  <c r="G138" i="2"/>
  <c r="G139" i="10"/>
  <c r="N139" i="10"/>
  <c r="H139" i="10"/>
  <c r="O139" i="10"/>
  <c r="E140" i="2"/>
  <c r="F139" i="2"/>
  <c r="G139" i="2"/>
  <c r="G140" i="10"/>
  <c r="N140" i="10"/>
  <c r="H140" i="10"/>
  <c r="O140" i="10"/>
  <c r="E141" i="2"/>
  <c r="F140" i="2"/>
  <c r="G140" i="2"/>
  <c r="G141" i="10"/>
  <c r="N141" i="10"/>
  <c r="H141" i="10"/>
  <c r="O141" i="10"/>
  <c r="E142" i="2"/>
  <c r="F141" i="2"/>
  <c r="G141" i="2"/>
  <c r="G142" i="10"/>
  <c r="N142" i="10"/>
  <c r="H142" i="10"/>
  <c r="O142" i="10"/>
  <c r="E143" i="2"/>
  <c r="F142" i="2"/>
  <c r="G142" i="2"/>
  <c r="G143" i="10"/>
  <c r="N143" i="10"/>
  <c r="H143" i="10"/>
  <c r="O143" i="10"/>
  <c r="E144" i="2"/>
  <c r="F143" i="2"/>
  <c r="G143" i="2"/>
  <c r="G144" i="10"/>
  <c r="N144" i="10"/>
  <c r="H144" i="10"/>
  <c r="O144" i="10"/>
  <c r="E145" i="2"/>
  <c r="F144" i="2"/>
  <c r="G144" i="2"/>
  <c r="G145" i="10"/>
  <c r="N145" i="10"/>
  <c r="H145" i="10"/>
  <c r="O145" i="10"/>
  <c r="E146" i="2"/>
  <c r="F145" i="2"/>
  <c r="G145" i="2"/>
  <c r="G146" i="10"/>
  <c r="N146" i="10"/>
  <c r="H146" i="10"/>
  <c r="O146" i="10"/>
  <c r="E147" i="2"/>
  <c r="F146" i="2"/>
  <c r="G146" i="2"/>
  <c r="G147" i="10"/>
  <c r="N147" i="10"/>
  <c r="H147" i="10"/>
  <c r="O147" i="10"/>
  <c r="E148" i="2"/>
  <c r="F147" i="2"/>
  <c r="G147" i="2"/>
  <c r="G148" i="10"/>
  <c r="N148" i="10"/>
  <c r="H148" i="10"/>
  <c r="O148" i="10"/>
  <c r="E149" i="2"/>
  <c r="F148" i="2"/>
  <c r="G148" i="2"/>
  <c r="G149" i="10"/>
  <c r="N149" i="10"/>
  <c r="H149" i="10"/>
  <c r="O149" i="10"/>
  <c r="E150" i="2"/>
  <c r="F149" i="2"/>
  <c r="G149" i="2"/>
  <c r="G150" i="10"/>
  <c r="N150" i="10"/>
  <c r="H150" i="10"/>
  <c r="O150" i="10"/>
  <c r="E151" i="2"/>
  <c r="F150" i="2"/>
  <c r="G150" i="2"/>
  <c r="G151" i="10"/>
  <c r="N151" i="10"/>
  <c r="H151" i="10"/>
  <c r="O151" i="10"/>
  <c r="E152" i="2"/>
  <c r="F151" i="2"/>
  <c r="G151" i="2"/>
  <c r="G152" i="10"/>
  <c r="N152" i="10"/>
  <c r="H152" i="10"/>
  <c r="O152" i="10"/>
  <c r="E153" i="2"/>
  <c r="F152" i="2"/>
  <c r="G152" i="2"/>
  <c r="G153" i="10"/>
  <c r="N153" i="10"/>
  <c r="H153" i="10"/>
  <c r="O153" i="10"/>
  <c r="E154" i="2"/>
  <c r="F153" i="2"/>
  <c r="G153" i="2"/>
  <c r="G154" i="10"/>
  <c r="N154" i="10"/>
  <c r="H154" i="10"/>
  <c r="O154" i="10"/>
  <c r="E155" i="2"/>
  <c r="F154" i="2"/>
  <c r="G154" i="2"/>
  <c r="G155" i="10"/>
  <c r="N155" i="10"/>
  <c r="H155" i="10"/>
  <c r="O155" i="10"/>
  <c r="E156" i="2"/>
  <c r="F155" i="2"/>
  <c r="G155" i="2"/>
  <c r="G156" i="10"/>
  <c r="N156" i="10"/>
  <c r="H156" i="10"/>
  <c r="O156" i="10"/>
  <c r="E157" i="2"/>
  <c r="F156" i="2"/>
  <c r="G156" i="2"/>
  <c r="G157" i="10"/>
  <c r="N157" i="10"/>
  <c r="H157" i="10"/>
  <c r="O157" i="10"/>
  <c r="E158" i="2"/>
  <c r="F157" i="2"/>
  <c r="G157" i="2"/>
  <c r="G158" i="10"/>
  <c r="N158" i="10"/>
  <c r="H158" i="10"/>
  <c r="O158" i="10"/>
  <c r="E159" i="2"/>
  <c r="F158" i="2"/>
  <c r="G158" i="2"/>
  <c r="G159" i="10"/>
  <c r="N159" i="10"/>
  <c r="H159" i="10"/>
  <c r="O159" i="10"/>
  <c r="E160" i="2"/>
  <c r="F159" i="2"/>
  <c r="G159" i="2"/>
  <c r="G160" i="10"/>
  <c r="N160" i="10"/>
  <c r="H160" i="10"/>
  <c r="O160" i="10"/>
  <c r="E161" i="2"/>
  <c r="F160" i="2"/>
  <c r="G160" i="2"/>
  <c r="G161" i="10"/>
  <c r="N161" i="10"/>
  <c r="H161" i="10"/>
  <c r="O161" i="10"/>
  <c r="E162" i="2"/>
  <c r="F161" i="2"/>
  <c r="G161" i="2"/>
  <c r="G162" i="10"/>
  <c r="N162" i="10"/>
  <c r="H162" i="10"/>
  <c r="O162" i="10"/>
  <c r="E163" i="2"/>
  <c r="F162" i="2"/>
  <c r="G162" i="2"/>
  <c r="G163" i="10"/>
  <c r="N163" i="10"/>
  <c r="H163" i="10"/>
  <c r="O163" i="10"/>
  <c r="E164" i="2"/>
  <c r="F163" i="2"/>
  <c r="G163" i="2"/>
  <c r="G164" i="10"/>
  <c r="N164" i="10"/>
  <c r="H164" i="10"/>
  <c r="O164" i="10"/>
  <c r="E165" i="2"/>
  <c r="F164" i="2"/>
  <c r="G164" i="2"/>
  <c r="G165" i="10"/>
  <c r="N165" i="10"/>
  <c r="H165" i="10"/>
  <c r="O165" i="10"/>
  <c r="E166" i="2"/>
  <c r="F165" i="2"/>
  <c r="G165" i="2"/>
  <c r="G166" i="10"/>
  <c r="N166" i="10"/>
  <c r="H166" i="10"/>
  <c r="O166" i="10"/>
  <c r="E167" i="2"/>
  <c r="F166" i="2"/>
  <c r="G166" i="2"/>
  <c r="G167" i="10"/>
  <c r="N167" i="10"/>
  <c r="H167" i="10"/>
  <c r="O167" i="10"/>
  <c r="E168" i="2"/>
  <c r="F167" i="2"/>
  <c r="G167" i="2"/>
  <c r="G168" i="10"/>
  <c r="N168" i="10"/>
  <c r="H168" i="10"/>
  <c r="O168" i="10"/>
  <c r="E169" i="2"/>
  <c r="F168" i="2"/>
  <c r="G168" i="2"/>
  <c r="G169" i="10"/>
  <c r="N169" i="10"/>
  <c r="H169" i="10"/>
  <c r="O169" i="10"/>
  <c r="E170" i="2"/>
  <c r="F169" i="2"/>
  <c r="G169" i="2"/>
  <c r="G170" i="10"/>
  <c r="N170" i="10"/>
  <c r="H170" i="10"/>
  <c r="O170" i="10"/>
  <c r="E171" i="2"/>
  <c r="F170" i="2"/>
  <c r="G170" i="2"/>
  <c r="G171" i="10"/>
  <c r="N171" i="10"/>
  <c r="H171" i="10"/>
  <c r="O171" i="10"/>
  <c r="E172" i="2"/>
  <c r="F171" i="2"/>
  <c r="G171" i="2"/>
  <c r="G172" i="10"/>
  <c r="N172" i="10"/>
  <c r="H172" i="10"/>
  <c r="O172" i="10"/>
  <c r="E173" i="2"/>
  <c r="F172" i="2"/>
  <c r="G172" i="2"/>
  <c r="G173" i="10"/>
  <c r="N173" i="10"/>
  <c r="H173" i="10"/>
  <c r="O173" i="10"/>
  <c r="E174" i="2"/>
  <c r="F173" i="2"/>
  <c r="G173" i="2"/>
  <c r="G174" i="10"/>
  <c r="N174" i="10"/>
  <c r="H174" i="10"/>
  <c r="O174" i="10"/>
  <c r="E175" i="2"/>
  <c r="F174" i="2"/>
  <c r="G174" i="2"/>
  <c r="G175" i="10"/>
  <c r="N175" i="10"/>
  <c r="H175" i="10"/>
  <c r="O175" i="10"/>
  <c r="E176" i="2"/>
  <c r="F175" i="2"/>
  <c r="G175" i="2"/>
  <c r="G176" i="10"/>
  <c r="N176" i="10"/>
  <c r="H176" i="10"/>
  <c r="O176" i="10"/>
  <c r="E177" i="2"/>
  <c r="F176" i="2"/>
  <c r="G176" i="2"/>
  <c r="G177" i="10"/>
  <c r="N177" i="10"/>
  <c r="H177" i="10"/>
  <c r="O177" i="10"/>
  <c r="E178" i="2"/>
  <c r="F177" i="2"/>
  <c r="G177" i="2"/>
  <c r="G178" i="10"/>
  <c r="N178" i="10"/>
  <c r="H178" i="10"/>
  <c r="O178" i="10"/>
  <c r="E179" i="2"/>
  <c r="F178" i="2"/>
  <c r="G178" i="2"/>
  <c r="G179" i="10"/>
  <c r="N179" i="10"/>
  <c r="H179" i="10"/>
  <c r="O179" i="10"/>
  <c r="E180" i="2"/>
  <c r="F179" i="2"/>
  <c r="G179" i="2"/>
  <c r="G180" i="10"/>
  <c r="N180" i="10"/>
  <c r="H180" i="10"/>
  <c r="O180" i="10"/>
  <c r="E181" i="2"/>
  <c r="F180" i="2"/>
  <c r="G180" i="2"/>
  <c r="G181" i="10"/>
  <c r="N181" i="10"/>
  <c r="H181" i="10"/>
  <c r="O181" i="10"/>
  <c r="E182" i="2"/>
  <c r="F181" i="2"/>
  <c r="G181" i="2"/>
  <c r="G182" i="10"/>
  <c r="N182" i="10"/>
  <c r="H182" i="10"/>
  <c r="O182" i="10"/>
  <c r="E183" i="2"/>
  <c r="F182" i="2"/>
  <c r="G182" i="2"/>
  <c r="G183" i="10"/>
  <c r="N183" i="10"/>
  <c r="H183" i="10"/>
  <c r="O183" i="10"/>
  <c r="E184" i="2"/>
  <c r="F183" i="2"/>
  <c r="G183" i="2"/>
  <c r="G184" i="10"/>
  <c r="N184" i="10"/>
  <c r="H184" i="10"/>
  <c r="O184" i="10"/>
  <c r="E185" i="2"/>
  <c r="F184" i="2"/>
  <c r="G184" i="2"/>
  <c r="G185" i="10"/>
  <c r="N185" i="10"/>
  <c r="H185" i="10"/>
  <c r="O185" i="10"/>
  <c r="E186" i="2"/>
  <c r="F185" i="2"/>
  <c r="G185" i="2"/>
  <c r="G186" i="10"/>
  <c r="N186" i="10"/>
  <c r="H186" i="10"/>
  <c r="O186" i="10"/>
  <c r="E187" i="2"/>
  <c r="F186" i="2"/>
  <c r="G186" i="2"/>
  <c r="G187" i="10"/>
  <c r="N187" i="10"/>
  <c r="H187" i="10"/>
  <c r="O187" i="10"/>
  <c r="E188" i="2"/>
  <c r="F187" i="2"/>
  <c r="G187" i="2"/>
  <c r="G188" i="10"/>
  <c r="N188" i="10"/>
  <c r="H188" i="10"/>
  <c r="O188" i="10"/>
  <c r="E189" i="2"/>
  <c r="F188" i="2"/>
  <c r="G188" i="2"/>
  <c r="G189" i="10"/>
  <c r="N189" i="10"/>
  <c r="H189" i="10"/>
  <c r="O189" i="10"/>
  <c r="E190" i="2"/>
  <c r="F189" i="2"/>
  <c r="G189" i="2"/>
  <c r="G190" i="10"/>
  <c r="N190" i="10"/>
  <c r="H190" i="10"/>
  <c r="O190" i="10"/>
  <c r="E191" i="2"/>
  <c r="F190" i="2"/>
  <c r="G190" i="2"/>
  <c r="G191" i="10"/>
  <c r="N191" i="10"/>
  <c r="H191" i="10"/>
  <c r="O191" i="10"/>
  <c r="E192" i="2"/>
  <c r="F191" i="2"/>
  <c r="G191" i="2"/>
  <c r="G192" i="10"/>
  <c r="N192" i="10"/>
  <c r="H192" i="10"/>
  <c r="O192" i="10"/>
  <c r="E193" i="2"/>
  <c r="F192" i="2"/>
  <c r="G192" i="2"/>
  <c r="G193" i="10"/>
  <c r="N193" i="10"/>
  <c r="H193" i="10"/>
  <c r="O193" i="10"/>
  <c r="E194" i="2"/>
  <c r="F193" i="2"/>
  <c r="G193" i="2"/>
  <c r="G194" i="10"/>
  <c r="N194" i="10"/>
  <c r="H194" i="10"/>
  <c r="O194" i="10"/>
  <c r="E195" i="2"/>
  <c r="F194" i="2"/>
  <c r="G194" i="2"/>
  <c r="G195" i="10"/>
  <c r="N195" i="10"/>
  <c r="H195" i="10"/>
  <c r="O195" i="10"/>
  <c r="E196" i="2"/>
  <c r="F195" i="2"/>
  <c r="G195" i="2"/>
  <c r="G196" i="10"/>
  <c r="N196" i="10"/>
  <c r="H196" i="10"/>
  <c r="O196" i="10"/>
  <c r="E197" i="2"/>
  <c r="F196" i="2"/>
  <c r="G196" i="2"/>
  <c r="G197" i="10"/>
  <c r="N197" i="10"/>
  <c r="H197" i="10"/>
  <c r="O197" i="10"/>
  <c r="E198" i="2"/>
  <c r="F197" i="2"/>
  <c r="G197" i="2"/>
  <c r="G198" i="10"/>
  <c r="N198" i="10"/>
  <c r="H198" i="10"/>
  <c r="O198" i="10"/>
  <c r="E199" i="2"/>
  <c r="F198" i="2"/>
  <c r="G198" i="2"/>
  <c r="G199" i="10"/>
  <c r="N199" i="10"/>
  <c r="H199" i="10"/>
  <c r="O199" i="10"/>
  <c r="E200" i="2"/>
  <c r="F199" i="2"/>
  <c r="G199" i="2"/>
  <c r="G200" i="10"/>
  <c r="N200" i="10"/>
  <c r="H200" i="10"/>
  <c r="O200" i="10"/>
  <c r="E201" i="2"/>
  <c r="F200" i="2"/>
  <c r="G200" i="2"/>
  <c r="G201" i="10"/>
  <c r="N201" i="10"/>
  <c r="H201" i="10"/>
  <c r="O201" i="10"/>
  <c r="E202" i="2"/>
  <c r="F201" i="2"/>
  <c r="G201" i="2"/>
  <c r="G202" i="10"/>
  <c r="N202" i="10"/>
  <c r="H202" i="10"/>
  <c r="O202" i="10"/>
  <c r="E203" i="2"/>
  <c r="F202" i="2"/>
  <c r="G202" i="2"/>
  <c r="G203" i="10"/>
  <c r="N203" i="10"/>
  <c r="H203" i="10"/>
  <c r="O203" i="10"/>
  <c r="E204" i="2"/>
  <c r="F203" i="2"/>
  <c r="G203" i="2"/>
  <c r="G204" i="10"/>
  <c r="N204" i="10"/>
  <c r="H204" i="10"/>
  <c r="O204" i="10"/>
  <c r="E205" i="2"/>
  <c r="F204" i="2"/>
  <c r="G204" i="2"/>
  <c r="G205" i="10"/>
  <c r="N205" i="10"/>
  <c r="H205" i="10"/>
  <c r="O205" i="10"/>
  <c r="E206" i="2"/>
  <c r="F205" i="2"/>
  <c r="G205" i="2"/>
  <c r="G206" i="10"/>
  <c r="N206" i="10"/>
  <c r="H206" i="10"/>
  <c r="O206" i="10"/>
  <c r="E207" i="2"/>
  <c r="F206" i="2"/>
  <c r="G206" i="2"/>
  <c r="G207" i="10"/>
  <c r="N207" i="10"/>
  <c r="H207" i="10"/>
  <c r="O207" i="10"/>
  <c r="E208" i="2"/>
  <c r="F207" i="2"/>
  <c r="G207" i="2"/>
  <c r="G208" i="10"/>
  <c r="N208" i="10"/>
  <c r="H208" i="10"/>
  <c r="O208" i="10"/>
  <c r="E209" i="2"/>
  <c r="F208" i="2"/>
  <c r="G208" i="2"/>
  <c r="G209" i="10"/>
  <c r="N209" i="10"/>
  <c r="H209" i="10"/>
  <c r="O209" i="10"/>
  <c r="E210" i="2"/>
  <c r="F209" i="2"/>
  <c r="G209" i="2"/>
  <c r="G210" i="10"/>
  <c r="N210" i="10"/>
  <c r="H210" i="10"/>
  <c r="O210" i="10"/>
  <c r="E211" i="2"/>
  <c r="F210" i="2"/>
  <c r="G210" i="2"/>
  <c r="G211" i="10"/>
  <c r="N211" i="10"/>
  <c r="H211" i="10"/>
  <c r="O211" i="10"/>
  <c r="E212" i="2"/>
  <c r="F211" i="2"/>
  <c r="G211" i="2"/>
  <c r="G212" i="10"/>
  <c r="N212" i="10"/>
  <c r="H212" i="10"/>
  <c r="O212" i="10"/>
  <c r="E213" i="2"/>
  <c r="F212" i="2"/>
  <c r="G212" i="2"/>
  <c r="G213" i="10"/>
  <c r="N213" i="10"/>
  <c r="H213" i="10"/>
  <c r="O213" i="10"/>
  <c r="E214" i="2"/>
  <c r="F213" i="2"/>
  <c r="G213" i="2"/>
  <c r="G214" i="10"/>
  <c r="N214" i="10"/>
  <c r="H214" i="10"/>
  <c r="O214" i="10"/>
  <c r="E215" i="2"/>
  <c r="F214" i="2"/>
  <c r="G214" i="2"/>
  <c r="G215" i="10"/>
  <c r="N215" i="10"/>
  <c r="H215" i="10"/>
  <c r="O215" i="10"/>
  <c r="E216" i="2"/>
  <c r="F215" i="2"/>
  <c r="G215" i="2"/>
  <c r="G216" i="10"/>
  <c r="N216" i="10"/>
  <c r="H216" i="10"/>
  <c r="O216" i="10"/>
  <c r="E217" i="2"/>
  <c r="F216" i="2"/>
  <c r="G216" i="2"/>
  <c r="G217" i="10"/>
  <c r="N217" i="10"/>
  <c r="H217" i="10"/>
  <c r="O217" i="10"/>
  <c r="E218" i="2"/>
  <c r="F217" i="2"/>
  <c r="G217" i="2"/>
  <c r="G218" i="10"/>
  <c r="N218" i="10"/>
  <c r="H218" i="10"/>
  <c r="O218" i="10"/>
  <c r="E219" i="2"/>
  <c r="F218" i="2"/>
  <c r="G218" i="2"/>
  <c r="G219" i="10"/>
  <c r="N219" i="10"/>
  <c r="H219" i="10"/>
  <c r="O219" i="10"/>
  <c r="E220" i="2"/>
  <c r="F219" i="2"/>
  <c r="G219" i="2"/>
  <c r="G220" i="10"/>
  <c r="N220" i="10"/>
  <c r="H220" i="10"/>
  <c r="O220" i="10"/>
  <c r="E221" i="2"/>
  <c r="F220" i="2"/>
  <c r="G220" i="2"/>
  <c r="G221" i="10"/>
  <c r="N221" i="10"/>
  <c r="H221" i="10"/>
  <c r="O221" i="10"/>
  <c r="E222" i="2"/>
  <c r="F221" i="2"/>
  <c r="G221" i="2"/>
  <c r="G222" i="10"/>
  <c r="N222" i="10"/>
  <c r="H222" i="10"/>
  <c r="O222" i="10"/>
  <c r="E223" i="2"/>
  <c r="F222" i="2"/>
  <c r="G222" i="2"/>
  <c r="G223" i="10"/>
  <c r="N223" i="10"/>
  <c r="H223" i="10"/>
  <c r="O223" i="10"/>
  <c r="E224" i="2"/>
  <c r="F223" i="2"/>
  <c r="G223" i="2"/>
  <c r="G224" i="10"/>
  <c r="N224" i="10"/>
  <c r="H224" i="10"/>
  <c r="O224" i="10"/>
  <c r="E225" i="2"/>
  <c r="F224" i="2"/>
  <c r="G224" i="2"/>
  <c r="G225" i="10"/>
  <c r="N225" i="10"/>
  <c r="H225" i="10"/>
  <c r="O225" i="10"/>
  <c r="E226" i="2"/>
  <c r="F225" i="2"/>
  <c r="G225" i="2"/>
  <c r="G226" i="10"/>
  <c r="N226" i="10"/>
  <c r="H226" i="10"/>
  <c r="O226" i="10"/>
  <c r="E227" i="2"/>
  <c r="F226" i="2"/>
  <c r="G226" i="2"/>
  <c r="G227" i="10"/>
  <c r="N227" i="10"/>
  <c r="H227" i="10"/>
  <c r="O227" i="10"/>
  <c r="E228" i="2"/>
  <c r="F227" i="2"/>
  <c r="G227" i="2"/>
  <c r="G228" i="10"/>
  <c r="N228" i="10"/>
  <c r="H228" i="10"/>
  <c r="O228" i="10"/>
  <c r="E229" i="2"/>
  <c r="F228" i="2"/>
  <c r="G228" i="2"/>
  <c r="G229" i="10"/>
  <c r="N229" i="10"/>
  <c r="H229" i="10"/>
  <c r="O229" i="10"/>
  <c r="E230" i="2"/>
  <c r="F229" i="2"/>
  <c r="G229" i="2"/>
  <c r="G230" i="10"/>
  <c r="N230" i="10"/>
  <c r="H230" i="10"/>
  <c r="O230" i="10"/>
  <c r="E231" i="2"/>
  <c r="F230" i="2"/>
  <c r="G230" i="2"/>
  <c r="G231" i="10"/>
  <c r="N231" i="10"/>
  <c r="H231" i="10"/>
  <c r="O231" i="10"/>
  <c r="E232" i="2"/>
  <c r="F231" i="2"/>
  <c r="G231" i="2"/>
  <c r="G232" i="10"/>
  <c r="N232" i="10"/>
  <c r="H232" i="10"/>
  <c r="O232" i="10"/>
  <c r="E233" i="2"/>
  <c r="F232" i="2"/>
  <c r="G232" i="2"/>
  <c r="G233" i="10"/>
  <c r="N233" i="10"/>
  <c r="H233" i="10"/>
  <c r="O233" i="10"/>
  <c r="E234" i="2"/>
  <c r="F233" i="2"/>
  <c r="G233" i="2"/>
  <c r="G234" i="10"/>
  <c r="N234" i="10"/>
  <c r="H234" i="10"/>
  <c r="O234" i="10"/>
  <c r="E235" i="2"/>
  <c r="F234" i="2"/>
  <c r="G234" i="2"/>
  <c r="G235" i="10"/>
  <c r="N235" i="10"/>
  <c r="H235" i="10"/>
  <c r="O235" i="10"/>
  <c r="E236" i="2"/>
  <c r="F235" i="2"/>
  <c r="G235" i="2"/>
  <c r="G236" i="10"/>
  <c r="N236" i="10"/>
  <c r="H236" i="10"/>
  <c r="O236" i="10"/>
  <c r="E237" i="2"/>
  <c r="F236" i="2"/>
  <c r="G236" i="2"/>
  <c r="G237" i="10"/>
  <c r="N237" i="10"/>
  <c r="H237" i="10"/>
  <c r="O237" i="10"/>
  <c r="E238" i="2"/>
  <c r="F237" i="2"/>
  <c r="G237" i="2"/>
  <c r="G238" i="10"/>
  <c r="N238" i="10"/>
  <c r="H238" i="10"/>
  <c r="O238" i="10"/>
  <c r="E239" i="2"/>
  <c r="F238" i="2"/>
  <c r="G238" i="2"/>
  <c r="G239" i="10"/>
  <c r="N239" i="10"/>
  <c r="H239" i="10"/>
  <c r="O239" i="10"/>
  <c r="E240" i="2"/>
  <c r="F239" i="2"/>
  <c r="G239" i="2"/>
  <c r="G240" i="10"/>
  <c r="N240" i="10"/>
  <c r="H240" i="10"/>
  <c r="O240" i="10"/>
  <c r="E241" i="2"/>
  <c r="F240" i="2"/>
  <c r="G240" i="2"/>
  <c r="G241" i="10"/>
  <c r="N241" i="10"/>
  <c r="H241" i="10"/>
  <c r="O241" i="10"/>
  <c r="E242" i="2"/>
  <c r="F241" i="2"/>
  <c r="G241" i="2"/>
  <c r="G242" i="10"/>
  <c r="N242" i="10"/>
  <c r="H242" i="10"/>
  <c r="O242" i="10"/>
  <c r="E243" i="2"/>
  <c r="F242" i="2"/>
  <c r="G242" i="2"/>
  <c r="G243" i="10"/>
  <c r="N243" i="10"/>
  <c r="H243" i="10"/>
  <c r="O243" i="10"/>
  <c r="E244" i="2"/>
  <c r="F243" i="2"/>
  <c r="G243" i="2"/>
  <c r="G244" i="10"/>
  <c r="N244" i="10"/>
  <c r="H244" i="10"/>
  <c r="O244" i="10"/>
  <c r="E245" i="2"/>
  <c r="F244" i="2"/>
  <c r="G244" i="2"/>
  <c r="G245" i="10"/>
  <c r="N245" i="10"/>
  <c r="H245" i="10"/>
  <c r="O245" i="10"/>
  <c r="E246" i="2"/>
  <c r="F245" i="2"/>
  <c r="G245" i="2"/>
  <c r="G246" i="10"/>
  <c r="N246" i="10"/>
  <c r="H246" i="10"/>
  <c r="O246" i="10"/>
  <c r="E247" i="2"/>
  <c r="F246" i="2"/>
  <c r="G246" i="2"/>
  <c r="G247" i="10"/>
  <c r="N247" i="10"/>
  <c r="H247" i="10"/>
  <c r="O247" i="10"/>
  <c r="E248" i="2"/>
  <c r="F247" i="2"/>
  <c r="G247" i="2"/>
  <c r="G248" i="10"/>
  <c r="N248" i="10"/>
  <c r="H248" i="10"/>
  <c r="O248" i="10"/>
  <c r="E249" i="2"/>
  <c r="F248" i="2"/>
  <c r="G248" i="2"/>
  <c r="G249" i="10"/>
  <c r="N249" i="10"/>
  <c r="H249" i="10"/>
  <c r="O249" i="10"/>
  <c r="E250" i="2"/>
  <c r="F249" i="2"/>
  <c r="G249" i="2"/>
  <c r="G250" i="10"/>
  <c r="N250" i="10"/>
  <c r="H250" i="10"/>
  <c r="O250" i="10"/>
  <c r="E251" i="2"/>
  <c r="F250" i="2"/>
  <c r="G250" i="2"/>
  <c r="G251" i="10"/>
  <c r="N251" i="10"/>
  <c r="H251" i="10"/>
  <c r="O251" i="10"/>
  <c r="E252" i="2"/>
  <c r="F251" i="2"/>
  <c r="G251" i="2"/>
  <c r="G252" i="10"/>
  <c r="N252" i="10"/>
  <c r="H252" i="10"/>
  <c r="O252" i="10"/>
  <c r="E253" i="2"/>
  <c r="F252" i="2"/>
  <c r="G252" i="2"/>
  <c r="G253" i="10"/>
  <c r="N253" i="10"/>
  <c r="H253" i="10"/>
  <c r="O253" i="10"/>
  <c r="E254" i="2"/>
  <c r="F253" i="2"/>
  <c r="G253" i="2"/>
  <c r="G254" i="10"/>
  <c r="N254" i="10"/>
  <c r="H254" i="10"/>
  <c r="O254" i="10"/>
  <c r="E255" i="2"/>
  <c r="F254" i="2"/>
  <c r="G254" i="2"/>
  <c r="G255" i="10"/>
  <c r="N255" i="10"/>
  <c r="H255" i="10"/>
  <c r="O255" i="10"/>
  <c r="E256" i="2"/>
  <c r="F255" i="2"/>
  <c r="G255" i="2"/>
  <c r="G256" i="10"/>
  <c r="N256" i="10"/>
  <c r="H256" i="10"/>
  <c r="O256" i="10"/>
  <c r="E257" i="2"/>
  <c r="F256" i="2"/>
  <c r="G256" i="2"/>
  <c r="G257" i="10"/>
  <c r="N257" i="10"/>
  <c r="H257" i="10"/>
  <c r="O257" i="10"/>
  <c r="E258" i="2"/>
  <c r="F257" i="2"/>
  <c r="G257" i="2"/>
  <c r="G258" i="10"/>
  <c r="N258" i="10"/>
  <c r="H258" i="10"/>
  <c r="O258" i="10"/>
  <c r="E259" i="2"/>
  <c r="F258" i="2"/>
  <c r="G258" i="2"/>
  <c r="G259" i="10"/>
  <c r="N259" i="10"/>
  <c r="H259" i="10"/>
  <c r="O259" i="10"/>
  <c r="E260" i="2"/>
  <c r="F259" i="2"/>
  <c r="G259" i="2"/>
  <c r="G260" i="10"/>
  <c r="N260" i="10"/>
  <c r="H260" i="10"/>
  <c r="O260" i="10"/>
  <c r="E261" i="2"/>
  <c r="F260" i="2"/>
  <c r="G260" i="2"/>
  <c r="G261" i="10"/>
  <c r="N261" i="10"/>
  <c r="H261" i="10"/>
  <c r="O261" i="10"/>
  <c r="E262" i="2"/>
  <c r="F261" i="2"/>
  <c r="G261" i="2"/>
  <c r="G262" i="10"/>
  <c r="N262" i="10"/>
  <c r="H262" i="10"/>
  <c r="O262" i="10"/>
  <c r="E263" i="2"/>
  <c r="F262" i="2"/>
  <c r="G262" i="2"/>
  <c r="G263" i="10"/>
  <c r="N263" i="10"/>
  <c r="H263" i="10"/>
  <c r="O263" i="10"/>
  <c r="E264" i="2"/>
  <c r="F263" i="2"/>
  <c r="G263" i="2"/>
  <c r="G264" i="10"/>
  <c r="N264" i="10"/>
  <c r="H264" i="10"/>
  <c r="O264" i="10"/>
  <c r="E265" i="2"/>
  <c r="F264" i="2"/>
  <c r="G264" i="2"/>
  <c r="G265" i="10"/>
  <c r="N265" i="10"/>
  <c r="H265" i="10"/>
  <c r="O265" i="10"/>
  <c r="E266" i="2"/>
  <c r="F265" i="2"/>
  <c r="G265" i="2"/>
  <c r="G266" i="10"/>
  <c r="N266" i="10"/>
  <c r="H266" i="10"/>
  <c r="O266" i="10"/>
  <c r="E267" i="2"/>
  <c r="F266" i="2"/>
  <c r="G266" i="2"/>
  <c r="G267" i="10"/>
  <c r="N267" i="10"/>
  <c r="H267" i="10"/>
  <c r="O267" i="10"/>
  <c r="E268" i="2"/>
  <c r="F267" i="2"/>
  <c r="G267" i="2"/>
  <c r="G268" i="10"/>
  <c r="N268" i="10"/>
  <c r="H268" i="10"/>
  <c r="O268" i="10"/>
  <c r="E269" i="2"/>
  <c r="F268" i="2"/>
  <c r="G268" i="2"/>
  <c r="G269" i="10"/>
  <c r="N269" i="10"/>
  <c r="H269" i="10"/>
  <c r="O269" i="10"/>
  <c r="E270" i="2"/>
  <c r="F269" i="2"/>
  <c r="G269" i="2"/>
  <c r="G270" i="10"/>
  <c r="N270" i="10"/>
  <c r="H270" i="10"/>
  <c r="O270" i="10"/>
  <c r="E271" i="2"/>
  <c r="F270" i="2"/>
  <c r="G270" i="2"/>
  <c r="G271" i="10"/>
  <c r="N271" i="10"/>
  <c r="H271" i="10"/>
  <c r="O271" i="10"/>
  <c r="E272" i="2"/>
  <c r="F271" i="2"/>
  <c r="G271" i="2"/>
  <c r="G272" i="10"/>
  <c r="N272" i="10"/>
  <c r="H272" i="10"/>
  <c r="O272" i="10"/>
  <c r="E273" i="2"/>
  <c r="F272" i="2"/>
  <c r="G272" i="2"/>
  <c r="G273" i="10"/>
  <c r="N273" i="10"/>
  <c r="H273" i="10"/>
  <c r="O273" i="10"/>
  <c r="E274" i="2"/>
  <c r="F273" i="2"/>
  <c r="G273" i="2"/>
  <c r="G274" i="10"/>
  <c r="N274" i="10"/>
  <c r="H274" i="10"/>
  <c r="O274" i="10"/>
  <c r="E275" i="2"/>
  <c r="F274" i="2"/>
  <c r="G274" i="2"/>
  <c r="G275" i="10"/>
  <c r="N275" i="10"/>
  <c r="H275" i="10"/>
  <c r="O275" i="10"/>
  <c r="E276" i="2"/>
  <c r="F275" i="2"/>
  <c r="G275" i="2"/>
  <c r="G276" i="10"/>
  <c r="N276" i="10"/>
  <c r="H276" i="10"/>
  <c r="O276" i="10"/>
  <c r="E277" i="2"/>
  <c r="F276" i="2"/>
  <c r="G276" i="2"/>
  <c r="G277" i="10"/>
  <c r="N277" i="10"/>
  <c r="H277" i="10"/>
  <c r="O277" i="10"/>
  <c r="E278" i="2"/>
  <c r="F277" i="2"/>
  <c r="G277" i="2"/>
  <c r="G278" i="10"/>
  <c r="N278" i="10"/>
  <c r="H278" i="10"/>
  <c r="O278" i="10"/>
  <c r="E279" i="2"/>
  <c r="F278" i="2"/>
  <c r="G278" i="2"/>
  <c r="G279" i="10"/>
  <c r="N279" i="10"/>
  <c r="H279" i="10"/>
  <c r="O279" i="10"/>
  <c r="E280" i="2"/>
  <c r="F279" i="2"/>
  <c r="G279" i="2"/>
  <c r="G280" i="10"/>
  <c r="N280" i="10"/>
  <c r="H280" i="10"/>
  <c r="O280" i="10"/>
  <c r="E281" i="2"/>
  <c r="F280" i="2"/>
  <c r="G280" i="2"/>
  <c r="G281" i="10"/>
  <c r="N281" i="10"/>
  <c r="H281" i="10"/>
  <c r="O281" i="10"/>
  <c r="E282" i="2"/>
  <c r="F281" i="2"/>
  <c r="G281" i="2"/>
  <c r="G282" i="10"/>
  <c r="N282" i="10"/>
  <c r="H282" i="10"/>
  <c r="O282" i="10"/>
  <c r="E283" i="2"/>
  <c r="F282" i="2"/>
  <c r="G282" i="2"/>
  <c r="G283" i="10"/>
  <c r="N283" i="10"/>
  <c r="H283" i="10"/>
  <c r="O283" i="10"/>
  <c r="E284" i="2"/>
  <c r="F283" i="2"/>
  <c r="G283" i="2"/>
  <c r="G284" i="10"/>
  <c r="N284" i="10"/>
  <c r="H284" i="10"/>
  <c r="O284" i="10"/>
  <c r="E285" i="2"/>
  <c r="F284" i="2"/>
  <c r="G284" i="2"/>
  <c r="G285" i="10"/>
  <c r="N285" i="10"/>
  <c r="H285" i="10"/>
  <c r="O285" i="10"/>
  <c r="E286" i="2"/>
  <c r="F285" i="2"/>
  <c r="G285" i="2"/>
  <c r="G286" i="10"/>
  <c r="N286" i="10"/>
  <c r="H286" i="10"/>
  <c r="O286" i="10"/>
  <c r="E287" i="2"/>
  <c r="F286" i="2"/>
  <c r="G286" i="2"/>
  <c r="G287" i="10"/>
  <c r="N287" i="10"/>
  <c r="H287" i="10"/>
  <c r="O287" i="10"/>
  <c r="E288" i="2"/>
  <c r="F287" i="2"/>
  <c r="G287" i="2"/>
  <c r="G288" i="10"/>
  <c r="N288" i="10"/>
  <c r="H288" i="10"/>
  <c r="O288" i="10"/>
  <c r="E289" i="2"/>
  <c r="F288" i="2"/>
  <c r="G288" i="2"/>
  <c r="G289" i="10"/>
  <c r="N289" i="10"/>
  <c r="H289" i="10"/>
  <c r="O289" i="10"/>
  <c r="E290" i="2"/>
  <c r="F289" i="2"/>
  <c r="G289" i="2"/>
  <c r="G290" i="10"/>
  <c r="N290" i="10"/>
  <c r="H290" i="10"/>
  <c r="O290" i="10"/>
  <c r="E291" i="2"/>
  <c r="F290" i="2"/>
  <c r="G290" i="2"/>
  <c r="G291" i="10"/>
  <c r="N291" i="10"/>
  <c r="H291" i="10"/>
  <c r="O291" i="10"/>
  <c r="E292" i="2"/>
  <c r="F291" i="2"/>
  <c r="G291" i="2"/>
  <c r="G292" i="10"/>
  <c r="N292" i="10"/>
  <c r="H292" i="10"/>
  <c r="O292" i="10"/>
  <c r="E293" i="2"/>
  <c r="F292" i="2"/>
  <c r="G292" i="2"/>
  <c r="G293" i="10"/>
  <c r="N293" i="10"/>
  <c r="H293" i="10"/>
  <c r="O293" i="10"/>
  <c r="E294" i="2"/>
  <c r="F293" i="2"/>
  <c r="G293" i="2"/>
  <c r="G294" i="10"/>
  <c r="N294" i="10"/>
  <c r="H294" i="10"/>
  <c r="O294" i="10"/>
  <c r="E295" i="2"/>
  <c r="F294" i="2"/>
  <c r="G294" i="2"/>
  <c r="G295" i="10"/>
  <c r="N295" i="10"/>
  <c r="H295" i="10"/>
  <c r="O295" i="10"/>
  <c r="E296" i="2"/>
  <c r="F295" i="2"/>
  <c r="G295" i="2"/>
  <c r="G296" i="10"/>
  <c r="N296" i="10"/>
  <c r="H296" i="10"/>
  <c r="O296" i="10"/>
  <c r="E297" i="2"/>
  <c r="F296" i="2"/>
  <c r="G296" i="2"/>
  <c r="G297" i="10"/>
  <c r="N297" i="10"/>
  <c r="H297" i="10"/>
  <c r="O297" i="10"/>
  <c r="E298" i="2"/>
  <c r="F297" i="2"/>
  <c r="G297" i="2"/>
  <c r="G298" i="10"/>
  <c r="N298" i="10"/>
  <c r="H298" i="10"/>
  <c r="O298" i="10"/>
  <c r="E299" i="2"/>
  <c r="F298" i="2"/>
  <c r="G298" i="2"/>
  <c r="G299" i="10"/>
  <c r="N299" i="10"/>
  <c r="H299" i="10"/>
  <c r="O299" i="10"/>
  <c r="E300" i="2"/>
  <c r="F299" i="2"/>
  <c r="G299" i="2"/>
  <c r="G300" i="10"/>
  <c r="N300" i="10"/>
  <c r="H300" i="10"/>
  <c r="O300" i="10"/>
  <c r="E301" i="2"/>
  <c r="F300" i="2"/>
  <c r="G300" i="2"/>
  <c r="G301" i="10"/>
  <c r="N301" i="10"/>
  <c r="H301" i="10"/>
  <c r="O301" i="10"/>
  <c r="E302" i="2"/>
  <c r="F301" i="2"/>
  <c r="G301" i="2"/>
  <c r="G302" i="10"/>
  <c r="N302" i="10"/>
  <c r="H302" i="10"/>
  <c r="O302" i="10"/>
  <c r="E303" i="2"/>
  <c r="F302" i="2"/>
  <c r="G302" i="2"/>
  <c r="G303" i="10"/>
  <c r="N303" i="10"/>
  <c r="H303" i="10"/>
  <c r="O303" i="10"/>
  <c r="E304" i="2"/>
  <c r="F303" i="2"/>
  <c r="G303" i="2"/>
  <c r="G304" i="10"/>
  <c r="N304" i="10"/>
  <c r="H304" i="10"/>
  <c r="O304" i="10"/>
  <c r="E305" i="2"/>
  <c r="F304" i="2"/>
  <c r="G304" i="2"/>
  <c r="G305" i="10"/>
  <c r="N305" i="10"/>
  <c r="H305" i="10"/>
  <c r="O305" i="10"/>
  <c r="E306" i="2"/>
  <c r="F305" i="2"/>
  <c r="G305" i="2"/>
  <c r="G306" i="10"/>
  <c r="N306" i="10"/>
  <c r="H306" i="10"/>
  <c r="O306" i="10"/>
  <c r="E307" i="2"/>
  <c r="F306" i="2"/>
  <c r="G306" i="2"/>
  <c r="G307" i="10"/>
  <c r="N307" i="10"/>
  <c r="H307" i="10"/>
  <c r="O307" i="10"/>
  <c r="E308" i="2"/>
  <c r="F307" i="2"/>
  <c r="G307" i="2"/>
  <c r="G308" i="10"/>
  <c r="N308" i="10"/>
  <c r="H308" i="10"/>
  <c r="O308" i="10"/>
  <c r="E309" i="2"/>
  <c r="F308" i="2"/>
  <c r="G308" i="2"/>
  <c r="G309" i="10"/>
  <c r="N309" i="10"/>
  <c r="H309" i="10"/>
  <c r="O309" i="10"/>
  <c r="E310" i="2"/>
  <c r="F309" i="2"/>
  <c r="G309" i="2"/>
  <c r="G310" i="10"/>
  <c r="N310" i="10"/>
  <c r="H310" i="10"/>
  <c r="O310" i="10"/>
  <c r="E311" i="2"/>
  <c r="F310" i="2"/>
  <c r="G310" i="2"/>
  <c r="G311" i="10"/>
  <c r="N311" i="10"/>
  <c r="H311" i="10"/>
  <c r="O311" i="10"/>
  <c r="E312" i="2"/>
  <c r="F311" i="2"/>
  <c r="G311" i="2"/>
  <c r="G312" i="10"/>
  <c r="N312" i="10"/>
  <c r="H312" i="10"/>
  <c r="O312" i="10"/>
  <c r="E313" i="2"/>
  <c r="F312" i="2"/>
  <c r="G312" i="2"/>
  <c r="G313" i="10"/>
  <c r="N313" i="10"/>
  <c r="H313" i="10"/>
  <c r="O313" i="10"/>
  <c r="E314" i="2"/>
  <c r="F313" i="2"/>
  <c r="G313" i="2"/>
  <c r="G314" i="10"/>
  <c r="N314" i="10"/>
  <c r="H314" i="10"/>
  <c r="O314" i="10"/>
  <c r="E315" i="2"/>
  <c r="F314" i="2"/>
  <c r="G314" i="2"/>
  <c r="G315" i="10"/>
  <c r="N315" i="10"/>
  <c r="H315" i="10"/>
  <c r="O315" i="10"/>
  <c r="E316" i="2"/>
  <c r="F315" i="2"/>
  <c r="G315" i="2"/>
  <c r="G316" i="10"/>
  <c r="N316" i="10"/>
  <c r="H316" i="10"/>
  <c r="O316" i="10"/>
  <c r="E317" i="2"/>
  <c r="F316" i="2"/>
  <c r="G316" i="2"/>
  <c r="G317" i="10"/>
  <c r="N317" i="10"/>
  <c r="H317" i="10"/>
  <c r="O317" i="10"/>
  <c r="E318" i="2"/>
  <c r="F317" i="2"/>
  <c r="G317" i="2"/>
  <c r="G318" i="10"/>
  <c r="N318" i="10"/>
  <c r="H318" i="10"/>
  <c r="O318" i="10"/>
  <c r="E319" i="2"/>
  <c r="F318" i="2"/>
  <c r="G318" i="2"/>
  <c r="G319" i="10"/>
  <c r="N319" i="10"/>
  <c r="H319" i="10"/>
  <c r="O319" i="10"/>
  <c r="E320" i="2"/>
  <c r="F319" i="2"/>
  <c r="G319" i="2"/>
  <c r="G320" i="10"/>
  <c r="N320" i="10"/>
  <c r="H320" i="10"/>
  <c r="O320" i="10"/>
  <c r="E321" i="2"/>
  <c r="F320" i="2"/>
  <c r="G320" i="2"/>
  <c r="G321" i="10"/>
  <c r="N321" i="10"/>
  <c r="H321" i="10"/>
  <c r="O321" i="10"/>
  <c r="E322" i="2"/>
  <c r="F321" i="2"/>
  <c r="G321" i="2"/>
  <c r="G322" i="10"/>
  <c r="N322" i="10"/>
  <c r="H322" i="10"/>
  <c r="O322" i="10"/>
  <c r="E323" i="2"/>
  <c r="F322" i="2"/>
  <c r="G322" i="2"/>
  <c r="G323" i="10"/>
  <c r="N323" i="10"/>
  <c r="H323" i="10"/>
  <c r="O323" i="10"/>
  <c r="E324" i="2"/>
  <c r="F323" i="2"/>
  <c r="G323" i="2"/>
  <c r="G324" i="10"/>
  <c r="N324" i="10"/>
  <c r="H324" i="10"/>
  <c r="O324" i="10"/>
  <c r="E325" i="2"/>
  <c r="F324" i="2"/>
  <c r="G324" i="2"/>
  <c r="G325" i="10"/>
  <c r="N325" i="10"/>
  <c r="H325" i="10"/>
  <c r="O325" i="10"/>
  <c r="E326" i="2"/>
  <c r="F325" i="2"/>
  <c r="G325" i="2"/>
  <c r="G326" i="10"/>
  <c r="N326" i="10"/>
  <c r="H326" i="10"/>
  <c r="O326" i="10"/>
  <c r="E327" i="2"/>
  <c r="F326" i="2"/>
  <c r="G326" i="2"/>
  <c r="G327" i="10"/>
  <c r="N327" i="10"/>
  <c r="H327" i="10"/>
  <c r="O327" i="10"/>
  <c r="E328" i="2"/>
  <c r="F327" i="2"/>
  <c r="G327" i="2"/>
  <c r="G328" i="10"/>
  <c r="N328" i="10"/>
  <c r="H328" i="10"/>
  <c r="O328" i="10"/>
  <c r="E329" i="2"/>
  <c r="F328" i="2"/>
  <c r="G328" i="2"/>
  <c r="G329" i="10"/>
  <c r="N329" i="10"/>
  <c r="H329" i="10"/>
  <c r="O329" i="10"/>
  <c r="E330" i="2"/>
  <c r="F329" i="2"/>
  <c r="G329" i="2"/>
  <c r="G330" i="10"/>
  <c r="N330" i="10"/>
  <c r="H330" i="10"/>
  <c r="O330" i="10"/>
  <c r="E331" i="2"/>
  <c r="F330" i="2"/>
  <c r="G330" i="2"/>
  <c r="G331" i="10"/>
  <c r="N331" i="10"/>
  <c r="H331" i="10"/>
  <c r="O331" i="10"/>
  <c r="E332" i="2"/>
  <c r="F331" i="2"/>
  <c r="G331" i="2"/>
  <c r="G332" i="10"/>
  <c r="N332" i="10"/>
  <c r="H332" i="10"/>
  <c r="O332" i="10"/>
  <c r="E333" i="2"/>
  <c r="F332" i="2"/>
  <c r="G332" i="2"/>
  <c r="G333" i="10"/>
  <c r="N333" i="10"/>
  <c r="H333" i="10"/>
  <c r="O333" i="10"/>
  <c r="E334" i="2"/>
  <c r="F333" i="2"/>
  <c r="G333" i="2"/>
  <c r="G334" i="10"/>
  <c r="N334" i="10"/>
  <c r="H334" i="10"/>
  <c r="O334" i="10"/>
  <c r="E335" i="2"/>
  <c r="F334" i="2"/>
  <c r="G334" i="2"/>
  <c r="G335" i="10"/>
  <c r="N335" i="10"/>
  <c r="H335" i="10"/>
  <c r="O335" i="10"/>
  <c r="E336" i="2"/>
  <c r="F335" i="2"/>
  <c r="G335" i="2"/>
  <c r="G336" i="10"/>
  <c r="N336" i="10"/>
  <c r="H336" i="10"/>
  <c r="O336" i="10"/>
  <c r="E337" i="2"/>
  <c r="F336" i="2"/>
  <c r="G336" i="2"/>
  <c r="G337" i="10"/>
  <c r="N337" i="10"/>
  <c r="H337" i="10"/>
  <c r="O337" i="10"/>
  <c r="E338" i="2"/>
  <c r="F337" i="2"/>
  <c r="G337" i="2"/>
  <c r="G338" i="10"/>
  <c r="N338" i="10"/>
  <c r="H338" i="10"/>
  <c r="O338" i="10"/>
  <c r="E339" i="2"/>
  <c r="F338" i="2"/>
  <c r="G338" i="2"/>
  <c r="G339" i="10"/>
  <c r="N339" i="10"/>
  <c r="H339" i="10"/>
  <c r="O339" i="10"/>
  <c r="E340" i="2"/>
  <c r="F339" i="2"/>
  <c r="G339" i="2"/>
  <c r="G340" i="10"/>
  <c r="N340" i="10"/>
  <c r="H340" i="10"/>
  <c r="O340" i="10"/>
  <c r="E341" i="2"/>
  <c r="F340" i="2"/>
  <c r="G340" i="2"/>
  <c r="G341" i="10"/>
  <c r="N341" i="10"/>
  <c r="H341" i="10"/>
  <c r="O341" i="10"/>
  <c r="E342" i="2"/>
  <c r="F341" i="2"/>
  <c r="G341" i="2"/>
  <c r="G342" i="10"/>
  <c r="N342" i="10"/>
  <c r="H342" i="10"/>
  <c r="O342" i="10"/>
  <c r="E343" i="2"/>
  <c r="F342" i="2"/>
  <c r="G342" i="2"/>
  <c r="G343" i="10"/>
  <c r="N343" i="10"/>
  <c r="H343" i="10"/>
  <c r="O343" i="10"/>
  <c r="E344" i="2"/>
  <c r="F343" i="2"/>
  <c r="G343" i="2"/>
  <c r="G344" i="10"/>
  <c r="N344" i="10"/>
  <c r="H344" i="10"/>
  <c r="O344" i="10"/>
  <c r="E345" i="2"/>
  <c r="F344" i="2"/>
  <c r="G344" i="2"/>
  <c r="G345" i="10"/>
  <c r="N345" i="10"/>
  <c r="H345" i="10"/>
  <c r="O345" i="10"/>
  <c r="E346" i="2"/>
  <c r="F345" i="2"/>
  <c r="G345" i="2"/>
  <c r="G346" i="10"/>
  <c r="N346" i="10"/>
  <c r="H346" i="10"/>
  <c r="O346" i="10"/>
  <c r="E347" i="2"/>
  <c r="F346" i="2"/>
  <c r="G346" i="2"/>
  <c r="G347" i="10"/>
  <c r="N347" i="10"/>
  <c r="H347" i="10"/>
  <c r="O347" i="10"/>
  <c r="E348" i="2"/>
  <c r="F347" i="2"/>
  <c r="G347" i="2"/>
  <c r="G348" i="10"/>
  <c r="N348" i="10"/>
  <c r="H348" i="10"/>
  <c r="O348" i="10"/>
  <c r="E349" i="2"/>
  <c r="F348" i="2"/>
  <c r="G348" i="2"/>
  <c r="G349" i="10"/>
  <c r="N349" i="10"/>
  <c r="H349" i="10"/>
  <c r="O349" i="10"/>
  <c r="E350" i="2"/>
  <c r="F349" i="2"/>
  <c r="G349" i="2"/>
  <c r="G350" i="10"/>
  <c r="N350" i="10"/>
  <c r="H350" i="10"/>
  <c r="O350" i="10"/>
  <c r="E351" i="2"/>
  <c r="F350" i="2"/>
  <c r="G350" i="2"/>
  <c r="G351" i="10"/>
  <c r="N351" i="10"/>
  <c r="H351" i="10"/>
  <c r="O351" i="10"/>
  <c r="E352" i="2"/>
  <c r="F351" i="2"/>
  <c r="G351" i="2"/>
  <c r="G352" i="10"/>
  <c r="N352" i="10"/>
  <c r="H352" i="10"/>
  <c r="O352" i="10"/>
  <c r="E353" i="2"/>
  <c r="F352" i="2"/>
  <c r="G352" i="2"/>
  <c r="G353" i="10"/>
  <c r="N353" i="10"/>
  <c r="H353" i="10"/>
  <c r="O353" i="10"/>
  <c r="E354" i="2"/>
  <c r="F353" i="2"/>
  <c r="G353" i="2"/>
  <c r="G354" i="10"/>
  <c r="N354" i="10"/>
  <c r="H354" i="10"/>
  <c r="O354" i="10"/>
  <c r="E355" i="2"/>
  <c r="F354" i="2"/>
  <c r="G354" i="2"/>
  <c r="G355" i="10"/>
  <c r="N355" i="10"/>
  <c r="H355" i="10"/>
  <c r="O355" i="10"/>
  <c r="E356" i="2"/>
  <c r="F355" i="2"/>
  <c r="G355" i="2"/>
  <c r="G356" i="10"/>
  <c r="N356" i="10"/>
  <c r="H356" i="10"/>
  <c r="O356" i="10"/>
  <c r="E357" i="2"/>
  <c r="F356" i="2"/>
  <c r="G356" i="2"/>
  <c r="G357" i="10"/>
  <c r="N357" i="10"/>
  <c r="H357" i="10"/>
  <c r="O357" i="10"/>
  <c r="E358" i="2"/>
  <c r="F357" i="2"/>
  <c r="G357" i="2"/>
  <c r="G358" i="10"/>
  <c r="N358" i="10"/>
  <c r="H358" i="10"/>
  <c r="O358" i="10"/>
  <c r="E359" i="2"/>
  <c r="F358" i="2"/>
  <c r="G358" i="2"/>
  <c r="G359" i="10"/>
  <c r="N359" i="10"/>
  <c r="H359" i="10"/>
  <c r="O359" i="10"/>
  <c r="E360" i="2"/>
  <c r="F359" i="2"/>
  <c r="G359" i="2"/>
  <c r="G360" i="10"/>
  <c r="N360" i="10"/>
  <c r="H360" i="10"/>
  <c r="O360" i="10"/>
  <c r="E361" i="2"/>
  <c r="F360" i="2"/>
  <c r="G360" i="2"/>
  <c r="G361" i="10"/>
  <c r="N361" i="10"/>
  <c r="H361" i="10"/>
  <c r="O361" i="10"/>
  <c r="E362" i="2"/>
  <c r="F361" i="2"/>
  <c r="G361" i="2"/>
  <c r="G362" i="10"/>
  <c r="N362" i="10"/>
  <c r="H362" i="10"/>
  <c r="O362" i="10"/>
  <c r="E363" i="2"/>
  <c r="F362" i="2"/>
  <c r="G362" i="2"/>
  <c r="G363" i="10"/>
  <c r="N363" i="10"/>
  <c r="H363" i="10"/>
  <c r="O363" i="10"/>
  <c r="E364" i="2"/>
  <c r="F363" i="2"/>
  <c r="G363" i="2"/>
  <c r="G364" i="10"/>
  <c r="N364" i="10"/>
  <c r="H364" i="10"/>
  <c r="O364" i="10"/>
  <c r="E365" i="2"/>
  <c r="F364" i="2"/>
  <c r="G364" i="2"/>
  <c r="G365" i="10"/>
  <c r="N365" i="10"/>
  <c r="H365" i="10"/>
  <c r="O365" i="10"/>
  <c r="E366" i="2"/>
  <c r="F365" i="2"/>
  <c r="G365" i="2"/>
  <c r="G366" i="10"/>
  <c r="N366" i="10"/>
  <c r="H366" i="10"/>
  <c r="O366" i="10"/>
  <c r="E367" i="2"/>
  <c r="F366" i="2"/>
  <c r="G366" i="2"/>
  <c r="G367" i="10"/>
  <c r="N367" i="10"/>
  <c r="H367" i="10"/>
  <c r="O367" i="10"/>
  <c r="E368" i="2"/>
  <c r="F367" i="2"/>
  <c r="G367" i="2"/>
  <c r="G368" i="10"/>
  <c r="N368" i="10"/>
  <c r="H368" i="10"/>
  <c r="O368" i="10"/>
  <c r="E369" i="2"/>
  <c r="F368" i="2"/>
  <c r="G368" i="2"/>
  <c r="G369" i="10"/>
  <c r="N369" i="10"/>
  <c r="H369" i="10"/>
  <c r="O369" i="10"/>
  <c r="E370" i="2"/>
  <c r="F369" i="2"/>
  <c r="G369" i="2"/>
  <c r="G370" i="10"/>
  <c r="N370" i="10"/>
  <c r="H370" i="10"/>
  <c r="O370" i="10"/>
  <c r="E371" i="2"/>
  <c r="F370" i="2"/>
  <c r="G370" i="2"/>
  <c r="G371" i="10"/>
  <c r="N371" i="10"/>
  <c r="H371" i="10"/>
  <c r="O371" i="10"/>
  <c r="E372" i="2"/>
  <c r="F371" i="2"/>
  <c r="G371" i="2"/>
  <c r="G372" i="10"/>
  <c r="N372" i="10"/>
  <c r="H372" i="10"/>
  <c r="O372" i="10"/>
  <c r="E373" i="2"/>
  <c r="F372" i="2"/>
  <c r="G372" i="2"/>
  <c r="G373" i="10"/>
  <c r="N373" i="10"/>
  <c r="H373" i="10"/>
  <c r="O373" i="10"/>
  <c r="E374" i="2"/>
  <c r="F373" i="2"/>
  <c r="G373" i="2"/>
  <c r="G374" i="10"/>
  <c r="N374" i="10"/>
  <c r="H374" i="10"/>
  <c r="O374" i="10"/>
  <c r="E375" i="2"/>
  <c r="F374" i="2"/>
  <c r="G374" i="2"/>
  <c r="G375" i="10"/>
  <c r="N375" i="10"/>
  <c r="H375" i="10"/>
  <c r="O375" i="10"/>
  <c r="E376" i="2"/>
  <c r="F375" i="2"/>
  <c r="G375" i="2"/>
  <c r="G376" i="10"/>
  <c r="N376" i="10"/>
  <c r="H376" i="10"/>
  <c r="O376" i="10"/>
  <c r="E377" i="2"/>
  <c r="F376" i="2"/>
  <c r="G376" i="2"/>
  <c r="G377" i="10"/>
  <c r="N377" i="10"/>
  <c r="H377" i="10"/>
  <c r="O377" i="10"/>
  <c r="E378" i="2"/>
  <c r="F377" i="2"/>
  <c r="G377" i="2"/>
  <c r="G378" i="10"/>
  <c r="N378" i="10"/>
  <c r="H378" i="10"/>
  <c r="O378" i="10"/>
  <c r="E379" i="2"/>
  <c r="F378" i="2"/>
  <c r="G378" i="2"/>
  <c r="G379" i="10"/>
  <c r="N379" i="10"/>
  <c r="H379" i="10"/>
  <c r="O379" i="10"/>
  <c r="E380" i="2"/>
  <c r="F379" i="2"/>
  <c r="G379" i="2"/>
  <c r="G380" i="10"/>
  <c r="N380" i="10"/>
  <c r="H380" i="10"/>
  <c r="O380" i="10"/>
  <c r="E381" i="2"/>
  <c r="F380" i="2"/>
  <c r="G380" i="2"/>
  <c r="G381" i="10"/>
  <c r="N381" i="10"/>
  <c r="H381" i="10"/>
  <c r="O381" i="10"/>
  <c r="E382" i="2"/>
  <c r="F381" i="2"/>
  <c r="G381" i="2"/>
  <c r="G382" i="10"/>
  <c r="N382" i="10"/>
  <c r="H382" i="10"/>
  <c r="O382" i="10"/>
  <c r="E383" i="2"/>
  <c r="F382" i="2"/>
  <c r="G382" i="2"/>
  <c r="G383" i="10"/>
  <c r="N383" i="10"/>
  <c r="H383" i="10"/>
  <c r="O383" i="10"/>
  <c r="E384" i="2"/>
  <c r="F383" i="2"/>
  <c r="G383" i="2"/>
  <c r="G384" i="10"/>
  <c r="N384" i="10"/>
  <c r="H384" i="10"/>
  <c r="O384" i="10"/>
  <c r="E385" i="2"/>
  <c r="F384" i="2"/>
  <c r="G384" i="2"/>
  <c r="G385" i="10"/>
  <c r="N385" i="10"/>
  <c r="H385" i="10"/>
  <c r="O385" i="10"/>
  <c r="E386" i="2"/>
  <c r="F385" i="2"/>
  <c r="G385" i="2"/>
  <c r="G386" i="10"/>
  <c r="N386" i="10"/>
  <c r="H386" i="10"/>
  <c r="O386" i="10"/>
  <c r="E387" i="2"/>
  <c r="F386" i="2"/>
  <c r="G386" i="2"/>
  <c r="G387" i="10"/>
  <c r="N387" i="10"/>
  <c r="H387" i="10"/>
  <c r="O387" i="10"/>
  <c r="E388" i="2"/>
  <c r="F387" i="2"/>
  <c r="G387" i="2"/>
  <c r="G388" i="10"/>
  <c r="N388" i="10"/>
  <c r="H388" i="10"/>
  <c r="O388" i="10"/>
  <c r="E389" i="2"/>
  <c r="F388" i="2"/>
  <c r="G388" i="2"/>
  <c r="G389" i="10"/>
  <c r="N389" i="10"/>
  <c r="H389" i="10"/>
  <c r="O389" i="10"/>
  <c r="E390" i="2"/>
  <c r="F389" i="2"/>
  <c r="G389" i="2"/>
  <c r="G390" i="10"/>
  <c r="N390" i="10"/>
  <c r="H390" i="10"/>
  <c r="O390" i="10"/>
  <c r="E391" i="2"/>
  <c r="F390" i="2"/>
  <c r="G390" i="2"/>
  <c r="G391" i="10"/>
  <c r="N391" i="10"/>
  <c r="H391" i="10"/>
  <c r="O391" i="10"/>
  <c r="E392" i="2"/>
  <c r="F391" i="2"/>
  <c r="G391" i="2"/>
  <c r="G392" i="10"/>
  <c r="N392" i="10"/>
  <c r="H392" i="10"/>
  <c r="O392" i="10"/>
  <c r="E393" i="2"/>
  <c r="F392" i="2"/>
  <c r="G392" i="2"/>
  <c r="G393" i="10"/>
  <c r="N393" i="10"/>
  <c r="H393" i="10"/>
  <c r="O393" i="10"/>
  <c r="E394" i="2"/>
  <c r="F393" i="2"/>
  <c r="G393" i="2"/>
  <c r="G394" i="10"/>
  <c r="N394" i="10"/>
  <c r="H394" i="10"/>
  <c r="O394" i="10"/>
  <c r="E395" i="2"/>
  <c r="F394" i="2"/>
  <c r="G394" i="2"/>
  <c r="G395" i="10"/>
  <c r="N395" i="10"/>
  <c r="H395" i="10"/>
  <c r="O395" i="10"/>
  <c r="E396" i="2"/>
  <c r="F395" i="2"/>
  <c r="G395" i="2"/>
  <c r="G396" i="10"/>
  <c r="N396" i="10"/>
  <c r="H396" i="10"/>
  <c r="O396" i="10"/>
  <c r="E397" i="2"/>
  <c r="F396" i="2"/>
  <c r="G396" i="2"/>
  <c r="G397" i="10"/>
  <c r="N397" i="10"/>
  <c r="H397" i="10"/>
  <c r="O397" i="10"/>
  <c r="E398" i="2"/>
  <c r="F397" i="2"/>
  <c r="G397" i="2"/>
  <c r="G398" i="10"/>
  <c r="N398" i="10"/>
  <c r="H398" i="10"/>
  <c r="O398" i="10"/>
  <c r="E399" i="2"/>
  <c r="F398" i="2"/>
  <c r="G398" i="2"/>
  <c r="G399" i="10"/>
  <c r="N399" i="10"/>
  <c r="H399" i="10"/>
  <c r="O399" i="10"/>
  <c r="E400" i="2"/>
  <c r="F399" i="2"/>
  <c r="G399" i="2"/>
  <c r="G400" i="10"/>
  <c r="N400" i="10"/>
  <c r="H400" i="10"/>
  <c r="O400" i="10"/>
  <c r="E401" i="2"/>
  <c r="F400" i="2"/>
  <c r="G400" i="2"/>
  <c r="G401" i="10"/>
  <c r="N401" i="10"/>
  <c r="H401" i="10"/>
  <c r="O401" i="10"/>
  <c r="E402" i="2"/>
  <c r="F401" i="2"/>
  <c r="G401" i="2"/>
  <c r="G402" i="10"/>
  <c r="N402" i="10"/>
  <c r="H402" i="10"/>
  <c r="O402" i="10"/>
  <c r="E403" i="2"/>
  <c r="F402" i="2"/>
  <c r="G402" i="2"/>
  <c r="G403" i="10"/>
  <c r="N403" i="10"/>
  <c r="H403" i="10"/>
  <c r="O403" i="10"/>
  <c r="E404" i="2"/>
  <c r="F403" i="2"/>
  <c r="G403" i="2"/>
  <c r="G404" i="10"/>
  <c r="N404" i="10"/>
  <c r="H404" i="10"/>
  <c r="O404" i="10"/>
  <c r="E405" i="2"/>
  <c r="F404" i="2"/>
  <c r="G404" i="2"/>
  <c r="G405" i="10"/>
  <c r="N405" i="10"/>
  <c r="H405" i="10"/>
  <c r="O405" i="10"/>
  <c r="E406" i="2"/>
  <c r="F405" i="2"/>
  <c r="G405" i="2"/>
  <c r="G406" i="10"/>
  <c r="N406" i="10"/>
  <c r="H406" i="10"/>
  <c r="O406" i="10"/>
  <c r="E407" i="2"/>
  <c r="F406" i="2"/>
  <c r="G406" i="2"/>
  <c r="G407" i="10"/>
  <c r="N407" i="10"/>
  <c r="H407" i="10"/>
  <c r="O407" i="10"/>
  <c r="E408" i="2"/>
  <c r="F407" i="2"/>
  <c r="G407" i="2"/>
  <c r="G408" i="10"/>
  <c r="N408" i="10"/>
  <c r="H408" i="10"/>
  <c r="O408" i="10"/>
  <c r="E409" i="2"/>
  <c r="F408" i="2"/>
  <c r="G408" i="2"/>
  <c r="G409" i="10"/>
  <c r="N409" i="10"/>
  <c r="H409" i="10"/>
  <c r="O409" i="10"/>
  <c r="E410" i="2"/>
  <c r="F409" i="2"/>
  <c r="G409" i="2"/>
  <c r="G410" i="10"/>
  <c r="N410" i="10"/>
  <c r="H410" i="10"/>
  <c r="O410" i="10"/>
  <c r="E411" i="2"/>
  <c r="F410" i="2"/>
  <c r="G410" i="2"/>
  <c r="G411" i="10"/>
  <c r="N411" i="10"/>
  <c r="H411" i="10"/>
  <c r="O411" i="10"/>
  <c r="E412" i="2"/>
  <c r="F411" i="2"/>
  <c r="G411" i="2"/>
  <c r="G412" i="10"/>
  <c r="N412" i="10"/>
  <c r="H412" i="10"/>
  <c r="O412" i="10"/>
  <c r="E413" i="2"/>
  <c r="F412" i="2"/>
  <c r="G412" i="2"/>
  <c r="G413" i="10"/>
  <c r="N413" i="10"/>
  <c r="H413" i="10"/>
  <c r="O413" i="10"/>
  <c r="E414" i="2"/>
  <c r="F413" i="2"/>
  <c r="G413" i="2"/>
  <c r="G414" i="10"/>
  <c r="N414" i="10"/>
  <c r="H414" i="10"/>
  <c r="O414" i="10"/>
  <c r="E415" i="2"/>
  <c r="F414" i="2"/>
  <c r="G414" i="2"/>
  <c r="G415" i="10"/>
  <c r="N415" i="10"/>
  <c r="H415" i="10"/>
  <c r="O415" i="10"/>
  <c r="E416" i="2"/>
  <c r="F415" i="2"/>
  <c r="G415" i="2"/>
  <c r="G416" i="10"/>
  <c r="N416" i="10"/>
  <c r="H416" i="10"/>
  <c r="O416" i="10"/>
  <c r="E417" i="2"/>
  <c r="F416" i="2"/>
  <c r="G416" i="2"/>
  <c r="G417" i="10"/>
  <c r="N417" i="10"/>
  <c r="H417" i="10"/>
  <c r="O417" i="10"/>
  <c r="E418" i="2"/>
  <c r="F417" i="2"/>
  <c r="G417" i="2"/>
  <c r="G418" i="10"/>
  <c r="N418" i="10"/>
  <c r="H418" i="10"/>
  <c r="O418" i="10"/>
  <c r="E419" i="2"/>
  <c r="F418" i="2"/>
  <c r="G418" i="2"/>
  <c r="G419" i="10"/>
  <c r="N419" i="10"/>
  <c r="H419" i="10"/>
  <c r="O419" i="10"/>
  <c r="E420" i="2"/>
  <c r="F419" i="2"/>
  <c r="G419" i="2"/>
  <c r="G420" i="10"/>
  <c r="N420" i="10"/>
  <c r="H420" i="10"/>
  <c r="O420" i="10"/>
  <c r="E421" i="2"/>
  <c r="F420" i="2"/>
  <c r="G420" i="2"/>
  <c r="G421" i="10"/>
  <c r="N421" i="10"/>
  <c r="H421" i="10"/>
  <c r="O421" i="10"/>
  <c r="E422" i="2"/>
  <c r="F421" i="2"/>
  <c r="G421" i="2"/>
  <c r="G422" i="10"/>
  <c r="N422" i="10"/>
  <c r="H422" i="10"/>
  <c r="O422" i="10"/>
  <c r="E423" i="2"/>
  <c r="F422" i="2"/>
  <c r="G422" i="2"/>
  <c r="G423" i="10"/>
  <c r="N423" i="10"/>
  <c r="H423" i="10"/>
  <c r="O423" i="10"/>
  <c r="E424" i="2"/>
  <c r="F423" i="2"/>
  <c r="G423" i="2"/>
  <c r="G424" i="10"/>
  <c r="N424" i="10"/>
  <c r="H424" i="10"/>
  <c r="O424" i="10"/>
  <c r="E425" i="2"/>
  <c r="F424" i="2"/>
  <c r="G424" i="2"/>
  <c r="G425" i="10"/>
  <c r="N425" i="10"/>
  <c r="H425" i="10"/>
  <c r="O425" i="10"/>
  <c r="E426" i="2"/>
  <c r="F425" i="2"/>
  <c r="G425" i="2"/>
  <c r="G426" i="10"/>
  <c r="N426" i="10"/>
  <c r="H426" i="10"/>
  <c r="O426" i="10"/>
  <c r="E427" i="2"/>
  <c r="F426" i="2"/>
  <c r="G426" i="2"/>
  <c r="G427" i="10"/>
  <c r="N427" i="10"/>
  <c r="H427" i="10"/>
  <c r="O427" i="10"/>
  <c r="E428" i="2"/>
  <c r="F427" i="2"/>
  <c r="G427" i="2"/>
  <c r="G428" i="10"/>
  <c r="N428" i="10"/>
  <c r="H428" i="10"/>
  <c r="O428" i="10"/>
  <c r="E429" i="2"/>
  <c r="F428" i="2"/>
  <c r="G428" i="2"/>
  <c r="G429" i="10"/>
  <c r="N429" i="10"/>
  <c r="H429" i="10"/>
  <c r="O429" i="10"/>
  <c r="E430" i="2"/>
  <c r="F429" i="2"/>
  <c r="G429" i="2"/>
  <c r="G430" i="10"/>
  <c r="N430" i="10"/>
  <c r="H430" i="10"/>
  <c r="O430" i="10"/>
  <c r="E431" i="2"/>
  <c r="F430" i="2"/>
  <c r="G430" i="2"/>
  <c r="G431" i="10"/>
  <c r="N431" i="10"/>
  <c r="H431" i="10"/>
  <c r="O431" i="10"/>
  <c r="E432" i="2"/>
  <c r="F431" i="2"/>
  <c r="G431" i="2"/>
  <c r="G432" i="10"/>
  <c r="N432" i="10"/>
  <c r="H432" i="10"/>
  <c r="O432" i="10"/>
  <c r="E433" i="2"/>
  <c r="F432" i="2"/>
  <c r="G432" i="2"/>
  <c r="G433" i="10"/>
  <c r="N433" i="10"/>
  <c r="H433" i="10"/>
  <c r="O433" i="10"/>
  <c r="E434" i="2"/>
  <c r="F433" i="2"/>
  <c r="G433" i="2"/>
  <c r="G434" i="10"/>
  <c r="N434" i="10"/>
  <c r="H434" i="10"/>
  <c r="O434" i="10"/>
  <c r="E435" i="2"/>
  <c r="F434" i="2"/>
  <c r="G434" i="2"/>
  <c r="G435" i="10"/>
  <c r="N435" i="10"/>
  <c r="H435" i="10"/>
  <c r="O435" i="10"/>
  <c r="E436" i="2"/>
  <c r="F435" i="2"/>
  <c r="G435" i="2"/>
  <c r="G436" i="10"/>
  <c r="N436" i="10"/>
  <c r="H436" i="10"/>
  <c r="O436" i="10"/>
  <c r="E437" i="2"/>
  <c r="F436" i="2"/>
  <c r="G436" i="2"/>
  <c r="G437" i="10"/>
  <c r="N437" i="10"/>
  <c r="H437" i="10"/>
  <c r="O437" i="10"/>
  <c r="E438" i="2"/>
  <c r="F437" i="2"/>
  <c r="G437" i="2"/>
  <c r="G438" i="10"/>
  <c r="N438" i="10"/>
  <c r="H438" i="10"/>
  <c r="O438" i="10"/>
  <c r="E439" i="2"/>
  <c r="F438" i="2"/>
  <c r="G438" i="2"/>
  <c r="G439" i="10"/>
  <c r="N439" i="10"/>
  <c r="H439" i="10"/>
  <c r="O439" i="10"/>
  <c r="E440" i="2"/>
  <c r="F439" i="2"/>
  <c r="G439" i="2"/>
  <c r="G440" i="10"/>
  <c r="N440" i="10"/>
  <c r="H440" i="10"/>
  <c r="O440" i="10"/>
  <c r="E441" i="2"/>
  <c r="F440" i="2"/>
  <c r="G440" i="2"/>
  <c r="G441" i="10"/>
  <c r="N441" i="10"/>
  <c r="H441" i="10"/>
  <c r="O441" i="10"/>
  <c r="E442" i="2"/>
  <c r="F441" i="2"/>
  <c r="G441" i="2"/>
  <c r="G442" i="10"/>
  <c r="N442" i="10"/>
  <c r="H442" i="10"/>
  <c r="O442" i="10"/>
  <c r="E443" i="2"/>
  <c r="F442" i="2"/>
  <c r="G442" i="2"/>
  <c r="G443" i="10"/>
  <c r="N443" i="10"/>
  <c r="H443" i="10"/>
  <c r="O443" i="10"/>
  <c r="E444" i="2"/>
  <c r="F443" i="2"/>
  <c r="G443" i="2"/>
  <c r="G444" i="10"/>
  <c r="N444" i="10"/>
  <c r="H444" i="10"/>
  <c r="O444" i="10"/>
  <c r="E445" i="2"/>
  <c r="F444" i="2"/>
  <c r="G444" i="2"/>
  <c r="G445" i="10"/>
  <c r="N445" i="10"/>
  <c r="H445" i="10"/>
  <c r="O445" i="10"/>
  <c r="E446" i="2"/>
  <c r="F445" i="2"/>
  <c r="G445" i="2"/>
  <c r="G446" i="10"/>
  <c r="N446" i="10"/>
  <c r="H446" i="10"/>
  <c r="O446" i="10"/>
  <c r="E447" i="2"/>
  <c r="F446" i="2"/>
  <c r="G446" i="2"/>
  <c r="G447" i="10"/>
  <c r="N447" i="10"/>
  <c r="H447" i="10"/>
  <c r="O447" i="10"/>
  <c r="E448" i="2"/>
  <c r="F447" i="2"/>
  <c r="G447" i="2"/>
  <c r="G448" i="10"/>
  <c r="N448" i="10"/>
  <c r="H448" i="10"/>
  <c r="O448" i="10"/>
  <c r="E449" i="2"/>
  <c r="F448" i="2"/>
  <c r="G448" i="2"/>
  <c r="G449" i="10"/>
  <c r="N449" i="10"/>
  <c r="H449" i="10"/>
  <c r="O449" i="10"/>
  <c r="E450" i="2"/>
  <c r="F449" i="2"/>
  <c r="G449" i="2"/>
  <c r="G450" i="10"/>
  <c r="N450" i="10"/>
  <c r="H450" i="10"/>
  <c r="O450" i="10"/>
  <c r="E451" i="2"/>
  <c r="F450" i="2"/>
  <c r="G450" i="2"/>
  <c r="G451" i="10"/>
  <c r="N451" i="10"/>
  <c r="H451" i="10"/>
  <c r="O451" i="10"/>
  <c r="E452" i="2"/>
  <c r="F451" i="2"/>
  <c r="G451" i="2"/>
  <c r="G452" i="10"/>
  <c r="N452" i="10"/>
  <c r="H452" i="10"/>
  <c r="O452" i="10"/>
  <c r="E453" i="2"/>
  <c r="F452" i="2"/>
  <c r="G452" i="2"/>
  <c r="G453" i="10"/>
  <c r="N453" i="10"/>
  <c r="H453" i="10"/>
  <c r="O453" i="10"/>
  <c r="E454" i="2"/>
  <c r="F453" i="2"/>
  <c r="G453" i="2"/>
  <c r="G454" i="10"/>
  <c r="N454" i="10"/>
  <c r="H454" i="10"/>
  <c r="O454" i="10"/>
  <c r="E455" i="2"/>
  <c r="F454" i="2"/>
  <c r="G454" i="2"/>
  <c r="G455" i="10"/>
  <c r="N455" i="10"/>
  <c r="H455" i="10"/>
  <c r="O455" i="10"/>
  <c r="E456" i="2"/>
  <c r="F455" i="2"/>
  <c r="G455" i="2"/>
  <c r="G456" i="10"/>
  <c r="N456" i="10"/>
  <c r="H456" i="10"/>
  <c r="O456" i="10"/>
  <c r="E457" i="2"/>
  <c r="F456" i="2"/>
  <c r="G456" i="2"/>
  <c r="G457" i="10"/>
  <c r="N457" i="10"/>
  <c r="H457" i="10"/>
  <c r="O457" i="10"/>
  <c r="E458" i="2"/>
  <c r="F457" i="2"/>
  <c r="G457" i="2"/>
  <c r="G458" i="10"/>
  <c r="N458" i="10"/>
  <c r="H458" i="10"/>
  <c r="O458" i="10"/>
  <c r="E459" i="2"/>
  <c r="F458" i="2"/>
  <c r="G458" i="2"/>
  <c r="G459" i="10"/>
  <c r="N459" i="10"/>
  <c r="H459" i="10"/>
  <c r="O459" i="10"/>
  <c r="E460" i="2"/>
  <c r="F459" i="2"/>
  <c r="G459" i="2"/>
  <c r="G460" i="10"/>
  <c r="N460" i="10"/>
  <c r="H460" i="10"/>
  <c r="O460" i="10"/>
  <c r="E461" i="2"/>
  <c r="F460" i="2"/>
  <c r="G460" i="2"/>
  <c r="G461" i="10"/>
  <c r="N461" i="10"/>
  <c r="H461" i="10"/>
  <c r="O461" i="10"/>
  <c r="E462" i="2"/>
  <c r="F461" i="2"/>
  <c r="G461" i="2"/>
  <c r="G462" i="10"/>
  <c r="N462" i="10"/>
  <c r="H462" i="10"/>
  <c r="O462" i="10"/>
  <c r="E463" i="2"/>
  <c r="F462" i="2"/>
  <c r="G462" i="2"/>
  <c r="G463" i="10"/>
  <c r="N463" i="10"/>
  <c r="H463" i="10"/>
  <c r="O463" i="10"/>
  <c r="E464" i="2"/>
  <c r="F463" i="2"/>
  <c r="G463" i="2"/>
  <c r="G464" i="10"/>
  <c r="N464" i="10"/>
  <c r="H464" i="10"/>
  <c r="O464" i="10"/>
  <c r="E465" i="2"/>
  <c r="F464" i="2"/>
  <c r="G464" i="2"/>
  <c r="G465" i="10"/>
  <c r="N465" i="10"/>
  <c r="H465" i="10"/>
  <c r="O465" i="10"/>
  <c r="E466" i="2"/>
  <c r="F465" i="2"/>
  <c r="G465" i="2"/>
  <c r="G466" i="10"/>
  <c r="N466" i="10"/>
  <c r="H466" i="10"/>
  <c r="O466" i="10"/>
  <c r="E467" i="2"/>
  <c r="F466" i="2"/>
  <c r="G466" i="2"/>
  <c r="G467" i="10"/>
  <c r="N467" i="10"/>
  <c r="H467" i="10"/>
  <c r="O467" i="10"/>
  <c r="E468" i="2"/>
  <c r="F467" i="2"/>
  <c r="G467" i="2"/>
  <c r="G468" i="10"/>
  <c r="N468" i="10"/>
  <c r="H468" i="10"/>
  <c r="O468" i="10"/>
  <c r="E469" i="2"/>
  <c r="F468" i="2"/>
  <c r="G468" i="2"/>
  <c r="G469" i="10"/>
  <c r="N469" i="10"/>
  <c r="H469" i="10"/>
  <c r="O469" i="10"/>
  <c r="E470" i="2"/>
  <c r="F469" i="2"/>
  <c r="G469" i="2"/>
  <c r="G470" i="10"/>
  <c r="N470" i="10"/>
  <c r="H470" i="10"/>
  <c r="O470" i="10"/>
  <c r="E471" i="2"/>
  <c r="F470" i="2"/>
  <c r="G470" i="2"/>
  <c r="G471" i="10"/>
  <c r="N471" i="10"/>
  <c r="H471" i="10"/>
  <c r="O471" i="10"/>
  <c r="E472" i="2"/>
  <c r="F471" i="2"/>
  <c r="G471" i="2"/>
  <c r="G472" i="10"/>
  <c r="N472" i="10"/>
  <c r="H472" i="10"/>
  <c r="O472" i="10"/>
  <c r="E473" i="2"/>
  <c r="F472" i="2"/>
  <c r="G472" i="2"/>
  <c r="G473" i="10"/>
  <c r="N473" i="10"/>
  <c r="H473" i="10"/>
  <c r="O473" i="10"/>
  <c r="E474" i="2"/>
  <c r="F473" i="2"/>
  <c r="G473" i="2"/>
  <c r="G474" i="10"/>
  <c r="N474" i="10"/>
  <c r="H474" i="10"/>
  <c r="O474" i="10"/>
  <c r="E475" i="2"/>
  <c r="F474" i="2"/>
  <c r="G474" i="2"/>
  <c r="G475" i="10"/>
  <c r="N475" i="10"/>
  <c r="H475" i="10"/>
  <c r="O475" i="10"/>
  <c r="E476" i="2"/>
  <c r="F475" i="2"/>
  <c r="G475" i="2"/>
  <c r="G476" i="10"/>
  <c r="N476" i="10"/>
  <c r="H476" i="10"/>
  <c r="O476" i="10"/>
  <c r="E477" i="2"/>
  <c r="F476" i="2"/>
  <c r="G476" i="2"/>
  <c r="G477" i="10"/>
  <c r="N477" i="10"/>
  <c r="H477" i="10"/>
  <c r="O477" i="10"/>
  <c r="E478" i="2"/>
  <c r="F477" i="2"/>
  <c r="G477" i="2"/>
  <c r="G478" i="10"/>
  <c r="N478" i="10"/>
  <c r="H478" i="10"/>
  <c r="O478" i="10"/>
  <c r="E479" i="2"/>
  <c r="F478" i="2"/>
  <c r="G478" i="2"/>
  <c r="G479" i="10"/>
  <c r="N479" i="10"/>
  <c r="H479" i="10"/>
  <c r="O479" i="10"/>
  <c r="E480" i="2"/>
  <c r="F479" i="2"/>
  <c r="G479" i="2"/>
  <c r="G480" i="10"/>
  <c r="N480" i="10"/>
  <c r="H480" i="10"/>
  <c r="O480" i="10"/>
  <c r="E481" i="2"/>
  <c r="F480" i="2"/>
  <c r="G480" i="2"/>
  <c r="G481" i="10"/>
  <c r="N481" i="10"/>
  <c r="H481" i="10"/>
  <c r="O481" i="10"/>
  <c r="E482" i="2"/>
  <c r="F481" i="2"/>
  <c r="G481" i="2"/>
  <c r="G482" i="10"/>
  <c r="N482" i="10"/>
  <c r="H482" i="10"/>
  <c r="O482" i="10"/>
  <c r="E483" i="2"/>
  <c r="F482" i="2"/>
  <c r="G482" i="2"/>
  <c r="G483" i="10"/>
  <c r="N483" i="10"/>
  <c r="H483" i="10"/>
  <c r="O483" i="10"/>
  <c r="E484" i="2"/>
  <c r="F483" i="2"/>
  <c r="G483" i="2"/>
  <c r="G484" i="10"/>
  <c r="N484" i="10"/>
  <c r="H484" i="10"/>
  <c r="O484" i="10"/>
  <c r="E485" i="2"/>
  <c r="F484" i="2"/>
  <c r="G484" i="2"/>
  <c r="G485" i="10"/>
  <c r="N485" i="10"/>
  <c r="H485" i="10"/>
  <c r="O485" i="10"/>
  <c r="E486" i="2"/>
  <c r="F485" i="2"/>
  <c r="G485" i="2"/>
  <c r="G486" i="10"/>
  <c r="N486" i="10"/>
  <c r="H486" i="10"/>
  <c r="O486" i="10"/>
  <c r="E487" i="2"/>
  <c r="F486" i="2"/>
  <c r="G486" i="2"/>
  <c r="G487" i="10"/>
  <c r="N487" i="10"/>
  <c r="H487" i="10"/>
  <c r="O487" i="10"/>
  <c r="E488" i="2"/>
  <c r="F487" i="2"/>
  <c r="G487" i="2"/>
  <c r="G488" i="10"/>
  <c r="N488" i="10"/>
  <c r="H488" i="10"/>
  <c r="O488" i="10"/>
  <c r="E489" i="2"/>
  <c r="F488" i="2"/>
  <c r="G488" i="2"/>
  <c r="G489" i="10"/>
  <c r="N489" i="10"/>
  <c r="H489" i="10"/>
  <c r="O489" i="10"/>
  <c r="E490" i="2"/>
  <c r="F489" i="2"/>
  <c r="G489" i="2"/>
  <c r="G490" i="10"/>
  <c r="N490" i="10"/>
  <c r="H490" i="10"/>
  <c r="O490" i="10"/>
  <c r="E491" i="2"/>
  <c r="F490" i="2"/>
  <c r="G490" i="2"/>
  <c r="G491" i="10"/>
  <c r="N491" i="10"/>
  <c r="H491" i="10"/>
  <c r="O491" i="10"/>
  <c r="E492" i="2"/>
  <c r="F491" i="2"/>
  <c r="G491" i="2"/>
  <c r="G492" i="10"/>
  <c r="N492" i="10"/>
  <c r="H492" i="10"/>
  <c r="O492" i="10"/>
  <c r="E493" i="2"/>
  <c r="F492" i="2"/>
  <c r="G492" i="2"/>
  <c r="G493" i="10"/>
  <c r="N493" i="10"/>
  <c r="H493" i="10"/>
  <c r="O493" i="10"/>
  <c r="E494" i="2"/>
  <c r="F493" i="2"/>
  <c r="G493" i="2"/>
  <c r="G494" i="10"/>
  <c r="N494" i="10"/>
  <c r="H494" i="10"/>
  <c r="O494" i="10"/>
  <c r="E495" i="2"/>
  <c r="F494" i="2"/>
  <c r="G494" i="2"/>
  <c r="G495" i="10"/>
  <c r="N495" i="10"/>
  <c r="H495" i="10"/>
  <c r="O495" i="10"/>
  <c r="E496" i="2"/>
  <c r="F495" i="2"/>
  <c r="G495" i="2"/>
  <c r="G496" i="10"/>
  <c r="N496" i="10"/>
  <c r="H496" i="10"/>
  <c r="O496" i="10"/>
  <c r="E497" i="2"/>
  <c r="F496" i="2"/>
  <c r="G496" i="2"/>
  <c r="G497" i="10"/>
  <c r="N497" i="10"/>
  <c r="H497" i="10"/>
  <c r="O497" i="10"/>
  <c r="E498" i="2"/>
  <c r="F497" i="2"/>
  <c r="G497" i="2"/>
  <c r="G498" i="10"/>
  <c r="N498" i="10"/>
  <c r="H498" i="10"/>
  <c r="O498" i="10"/>
  <c r="E499" i="2"/>
  <c r="F498" i="2"/>
  <c r="G498" i="2"/>
  <c r="G499" i="10"/>
  <c r="N499" i="10"/>
  <c r="H499" i="10"/>
  <c r="O499" i="10"/>
  <c r="E500" i="2"/>
  <c r="F499" i="2"/>
  <c r="G499" i="2"/>
  <c r="G500" i="10"/>
  <c r="N500" i="10"/>
  <c r="H500" i="10"/>
  <c r="O500" i="10"/>
  <c r="E501" i="2"/>
  <c r="F500" i="2"/>
  <c r="G500" i="2"/>
  <c r="G501" i="10"/>
  <c r="N501" i="10"/>
  <c r="H501" i="10"/>
  <c r="O501" i="10"/>
  <c r="E502" i="2"/>
  <c r="F501" i="2"/>
  <c r="G501" i="2"/>
  <c r="G502" i="10"/>
  <c r="N502" i="10"/>
  <c r="H502" i="10"/>
  <c r="O502" i="10"/>
  <c r="E503" i="2"/>
  <c r="F502" i="2"/>
  <c r="G502" i="2"/>
  <c r="G503" i="10"/>
  <c r="N503" i="10"/>
  <c r="H503" i="10"/>
  <c r="O503" i="10"/>
  <c r="E504" i="2"/>
  <c r="F503" i="2"/>
  <c r="G503" i="2"/>
  <c r="G504" i="10"/>
  <c r="N504" i="10"/>
  <c r="H504" i="10"/>
  <c r="O504" i="10"/>
  <c r="E505" i="2"/>
  <c r="F504" i="2"/>
  <c r="G504" i="2"/>
  <c r="G505" i="10"/>
  <c r="N505" i="10"/>
  <c r="H505" i="10"/>
  <c r="O505" i="10"/>
  <c r="E506" i="2"/>
  <c r="F505" i="2"/>
  <c r="G505" i="2"/>
  <c r="G506" i="10"/>
  <c r="N506" i="10"/>
  <c r="H506" i="10"/>
  <c r="O506" i="10"/>
  <c r="E507" i="2"/>
  <c r="F506" i="2"/>
  <c r="G506" i="2"/>
  <c r="G507" i="10"/>
  <c r="N507" i="10"/>
  <c r="H507" i="10"/>
  <c r="O507" i="10"/>
  <c r="E508" i="2"/>
  <c r="F507" i="2"/>
  <c r="G507" i="2"/>
  <c r="G508" i="10"/>
  <c r="N508" i="10"/>
  <c r="H508" i="10"/>
  <c r="O508" i="10"/>
  <c r="E509" i="2"/>
  <c r="F508" i="2"/>
  <c r="G508" i="2"/>
  <c r="G509" i="10"/>
  <c r="N509" i="10"/>
  <c r="H509" i="10"/>
  <c r="O509" i="10"/>
  <c r="E510" i="2"/>
  <c r="F509" i="2"/>
  <c r="G509" i="2"/>
  <c r="G510" i="10"/>
  <c r="N510" i="10"/>
  <c r="H510" i="10"/>
  <c r="O510" i="10"/>
  <c r="E511" i="2"/>
  <c r="F510" i="2"/>
  <c r="G510" i="2"/>
  <c r="G511" i="10"/>
  <c r="N511" i="10"/>
  <c r="H511" i="10"/>
  <c r="O511" i="10"/>
  <c r="E512" i="2"/>
  <c r="F511" i="2"/>
  <c r="G511" i="2"/>
  <c r="G512" i="10"/>
  <c r="N512" i="10"/>
  <c r="H512" i="10"/>
  <c r="O512" i="10"/>
  <c r="E513" i="2"/>
  <c r="F512" i="2"/>
  <c r="G512" i="2"/>
  <c r="G513" i="10"/>
  <c r="N513" i="10"/>
  <c r="H513" i="10"/>
  <c r="O513" i="10"/>
  <c r="E514" i="2"/>
  <c r="F513" i="2"/>
  <c r="G513" i="2"/>
  <c r="G514" i="10"/>
  <c r="N514" i="10"/>
  <c r="H514" i="10"/>
  <c r="O514" i="10"/>
  <c r="E515" i="2"/>
  <c r="F514" i="2"/>
  <c r="G514" i="2"/>
  <c r="G515" i="10"/>
  <c r="N515" i="10"/>
  <c r="H515" i="10"/>
  <c r="O515" i="10"/>
  <c r="E516" i="2"/>
  <c r="F515" i="2"/>
  <c r="G515" i="2"/>
  <c r="G516" i="10"/>
  <c r="N516" i="10"/>
  <c r="H516" i="10"/>
  <c r="O516" i="10"/>
  <c r="E517" i="2"/>
  <c r="F516" i="2"/>
  <c r="G516" i="2"/>
  <c r="G517" i="10"/>
  <c r="N517" i="10"/>
  <c r="H517" i="10"/>
  <c r="O517" i="10"/>
  <c r="E518" i="2"/>
  <c r="F517" i="2"/>
  <c r="G517" i="2"/>
  <c r="G518" i="10"/>
  <c r="N518" i="10"/>
  <c r="H518" i="10"/>
  <c r="O518" i="10"/>
  <c r="E519" i="2"/>
  <c r="F518" i="2"/>
  <c r="G518" i="2"/>
  <c r="G519" i="10"/>
  <c r="N519" i="10"/>
  <c r="H519" i="10"/>
  <c r="O519" i="10"/>
  <c r="E520" i="2"/>
  <c r="F519" i="2"/>
  <c r="G519" i="2"/>
  <c r="G520" i="10"/>
  <c r="N520" i="10"/>
  <c r="H520" i="10"/>
  <c r="O520" i="10"/>
  <c r="E521" i="2"/>
  <c r="F520" i="2"/>
  <c r="G520" i="2"/>
  <c r="G521" i="10"/>
  <c r="N521" i="10"/>
  <c r="H521" i="10"/>
  <c r="O521" i="10"/>
  <c r="E522" i="2"/>
  <c r="F521" i="2"/>
  <c r="G521" i="2"/>
  <c r="G522" i="10"/>
  <c r="N522" i="10"/>
  <c r="H522" i="10"/>
  <c r="O522" i="10"/>
  <c r="E523" i="2"/>
  <c r="F522" i="2"/>
  <c r="G522" i="2"/>
  <c r="G523" i="10"/>
  <c r="N523" i="10"/>
  <c r="H523" i="10"/>
  <c r="O523" i="10"/>
  <c r="E524" i="2"/>
  <c r="F523" i="2"/>
  <c r="G523" i="2"/>
  <c r="G524" i="10"/>
  <c r="N524" i="10"/>
  <c r="H524" i="10"/>
  <c r="O524" i="10"/>
  <c r="E525" i="2"/>
  <c r="F524" i="2"/>
  <c r="G524" i="2"/>
  <c r="G525" i="10"/>
  <c r="N525" i="10"/>
  <c r="H525" i="10"/>
  <c r="O525" i="10"/>
  <c r="E526" i="2"/>
  <c r="F525" i="2"/>
  <c r="G525" i="2"/>
  <c r="G526" i="10"/>
  <c r="N526" i="10"/>
  <c r="H526" i="10"/>
  <c r="O526" i="10"/>
  <c r="E527" i="2"/>
  <c r="F526" i="2"/>
  <c r="G526" i="2"/>
  <c r="G527" i="10"/>
  <c r="N527" i="10"/>
  <c r="H527" i="10"/>
  <c r="O527" i="10"/>
  <c r="E528" i="2"/>
  <c r="F527" i="2"/>
  <c r="G527" i="2"/>
  <c r="G528" i="10"/>
  <c r="N528" i="10"/>
  <c r="H528" i="10"/>
  <c r="O528" i="10"/>
  <c r="E529" i="2"/>
  <c r="F528" i="2"/>
  <c r="G528" i="2"/>
  <c r="G529" i="10"/>
  <c r="N529" i="10"/>
  <c r="H529" i="10"/>
  <c r="O529" i="10"/>
  <c r="E530" i="2"/>
  <c r="F529" i="2"/>
  <c r="G529" i="2"/>
  <c r="G530" i="10"/>
  <c r="N530" i="10"/>
  <c r="H530" i="10"/>
  <c r="O530" i="10"/>
  <c r="E531" i="2"/>
  <c r="F530" i="2"/>
  <c r="G530" i="2"/>
  <c r="G531" i="10"/>
  <c r="N531" i="10"/>
  <c r="H531" i="10"/>
  <c r="O531" i="10"/>
  <c r="E532" i="2"/>
  <c r="F531" i="2"/>
  <c r="G531" i="2"/>
  <c r="G532" i="10"/>
  <c r="N532" i="10"/>
  <c r="H532" i="10"/>
  <c r="O532" i="10"/>
  <c r="E533" i="2"/>
  <c r="F532" i="2"/>
  <c r="G532" i="2"/>
  <c r="G533" i="10"/>
  <c r="N533" i="10"/>
  <c r="H533" i="10"/>
  <c r="O533" i="10"/>
  <c r="E534" i="2"/>
  <c r="F533" i="2"/>
  <c r="G533" i="2"/>
  <c r="G534" i="10"/>
  <c r="N534" i="10"/>
  <c r="H534" i="10"/>
  <c r="O534" i="10"/>
  <c r="E535" i="2"/>
  <c r="F534" i="2"/>
  <c r="G534" i="2"/>
  <c r="G535" i="10"/>
  <c r="N535" i="10"/>
  <c r="H535" i="10"/>
  <c r="O535" i="10"/>
  <c r="E536" i="2"/>
  <c r="F535" i="2"/>
  <c r="G535" i="2"/>
  <c r="G536" i="10"/>
  <c r="N536" i="10"/>
  <c r="H536" i="10"/>
  <c r="O536" i="10"/>
  <c r="E537" i="2"/>
  <c r="F536" i="2"/>
  <c r="G536" i="2"/>
  <c r="G537" i="10"/>
  <c r="N537" i="10"/>
  <c r="H537" i="10"/>
  <c r="O537" i="10"/>
  <c r="E538" i="2"/>
  <c r="F537" i="2"/>
  <c r="G537" i="2"/>
  <c r="G538" i="10"/>
  <c r="N538" i="10"/>
  <c r="H538" i="10"/>
  <c r="O538" i="10"/>
  <c r="E539" i="2"/>
  <c r="F538" i="2"/>
  <c r="G538" i="2"/>
  <c r="G539" i="10"/>
  <c r="N539" i="10"/>
  <c r="H539" i="10"/>
  <c r="O539" i="10"/>
  <c r="E540" i="2"/>
  <c r="F539" i="2"/>
  <c r="G539" i="2"/>
  <c r="G540" i="10"/>
  <c r="N540" i="10"/>
  <c r="H540" i="10"/>
  <c r="O540" i="10"/>
  <c r="E541" i="2"/>
  <c r="F540" i="2"/>
  <c r="G540" i="2"/>
  <c r="G541" i="10"/>
  <c r="N541" i="10"/>
  <c r="H541" i="10"/>
  <c r="O541" i="10"/>
  <c r="E542" i="2"/>
  <c r="F541" i="2"/>
  <c r="G541" i="2"/>
  <c r="G542" i="10"/>
  <c r="N542" i="10"/>
  <c r="H542" i="10"/>
  <c r="O542" i="10"/>
  <c r="E543" i="2"/>
  <c r="F542" i="2"/>
  <c r="G542" i="2"/>
  <c r="G543" i="10"/>
  <c r="N543" i="10"/>
  <c r="H543" i="10"/>
  <c r="O543" i="10"/>
  <c r="E544" i="2"/>
  <c r="F543" i="2"/>
  <c r="G543" i="2"/>
  <c r="G544" i="10"/>
  <c r="N544" i="10"/>
  <c r="H544" i="10"/>
  <c r="O544" i="10"/>
  <c r="E545" i="2"/>
  <c r="F544" i="2"/>
  <c r="G544" i="2"/>
  <c r="G545" i="10"/>
  <c r="N545" i="10"/>
  <c r="H545" i="10"/>
  <c r="O545" i="10"/>
  <c r="E546" i="2"/>
  <c r="F545" i="2"/>
  <c r="G545" i="2"/>
  <c r="G546" i="10"/>
  <c r="N546" i="10"/>
  <c r="H546" i="10"/>
  <c r="O546" i="10"/>
  <c r="E547" i="2"/>
  <c r="F546" i="2"/>
  <c r="G546" i="2"/>
  <c r="G547" i="10"/>
  <c r="N547" i="10"/>
  <c r="H547" i="10"/>
  <c r="O547" i="10"/>
  <c r="E548" i="2"/>
  <c r="F547" i="2"/>
  <c r="G547" i="2"/>
  <c r="G548" i="10"/>
  <c r="N548" i="10"/>
  <c r="H548" i="10"/>
  <c r="O548" i="10"/>
  <c r="E549" i="2"/>
  <c r="F548" i="2"/>
  <c r="G548" i="2"/>
  <c r="G549" i="10"/>
  <c r="N549" i="10"/>
  <c r="H549" i="10"/>
  <c r="O549" i="10"/>
  <c r="E550" i="2"/>
  <c r="F549" i="2"/>
  <c r="G549" i="2"/>
  <c r="G550" i="10"/>
  <c r="N550" i="10"/>
  <c r="H550" i="10"/>
  <c r="O550" i="10"/>
  <c r="E551" i="2"/>
  <c r="F550" i="2"/>
  <c r="G550" i="2"/>
  <c r="G551" i="10"/>
  <c r="N551" i="10"/>
  <c r="H551" i="10"/>
  <c r="O551" i="10"/>
  <c r="E552" i="2"/>
  <c r="F551" i="2"/>
  <c r="G551" i="2"/>
  <c r="G552" i="10"/>
  <c r="N552" i="10"/>
  <c r="H552" i="10"/>
  <c r="O552" i="10"/>
  <c r="E553" i="2"/>
  <c r="F552" i="2"/>
  <c r="G552" i="2"/>
  <c r="G553" i="10"/>
  <c r="N553" i="10"/>
  <c r="H553" i="10"/>
  <c r="O553" i="10"/>
  <c r="E554" i="2"/>
  <c r="F553" i="2"/>
  <c r="G553" i="2"/>
  <c r="G554" i="10"/>
  <c r="N554" i="10"/>
  <c r="H554" i="10"/>
  <c r="O554" i="10"/>
  <c r="E555" i="2"/>
  <c r="F554" i="2"/>
  <c r="G554" i="2"/>
  <c r="G555" i="10"/>
  <c r="N555" i="10"/>
  <c r="H555" i="10"/>
  <c r="O555" i="10"/>
  <c r="E556" i="2"/>
  <c r="F555" i="2"/>
  <c r="G555" i="2"/>
  <c r="G556" i="10"/>
  <c r="N556" i="10"/>
  <c r="H556" i="10"/>
  <c r="O556" i="10"/>
  <c r="E557" i="2"/>
  <c r="F556" i="2"/>
  <c r="G556" i="2"/>
  <c r="G557" i="10"/>
  <c r="N557" i="10"/>
  <c r="H557" i="10"/>
  <c r="O557" i="10"/>
  <c r="E558" i="2"/>
  <c r="F557" i="2"/>
  <c r="G557" i="2"/>
  <c r="G558" i="10"/>
  <c r="N558" i="10"/>
  <c r="H558" i="10"/>
  <c r="O558" i="10"/>
  <c r="E559" i="2"/>
  <c r="F558" i="2"/>
  <c r="G558" i="2"/>
  <c r="G559" i="10"/>
  <c r="N559" i="10"/>
  <c r="H559" i="10"/>
  <c r="O559" i="10"/>
  <c r="E560" i="2"/>
  <c r="F559" i="2"/>
  <c r="G559" i="2"/>
  <c r="G560" i="10"/>
  <c r="N560" i="10"/>
  <c r="H560" i="10"/>
  <c r="O560" i="10"/>
  <c r="E561" i="2"/>
  <c r="F560" i="2"/>
  <c r="G560" i="2"/>
  <c r="G561" i="10"/>
  <c r="N561" i="10"/>
  <c r="H561" i="10"/>
  <c r="O561" i="10"/>
  <c r="E562" i="2"/>
  <c r="F561" i="2"/>
  <c r="G561" i="2"/>
  <c r="G562" i="10"/>
  <c r="N562" i="10"/>
  <c r="H562" i="10"/>
  <c r="O562" i="10"/>
  <c r="E563" i="2"/>
  <c r="F562" i="2"/>
  <c r="G562" i="2"/>
  <c r="G563" i="10"/>
  <c r="N563" i="10"/>
  <c r="H563" i="10"/>
  <c r="O563" i="10"/>
  <c r="E564" i="2"/>
  <c r="F563" i="2"/>
  <c r="G563" i="2"/>
  <c r="G564" i="10"/>
  <c r="N564" i="10"/>
  <c r="H564" i="10"/>
  <c r="O564" i="10"/>
  <c r="E565" i="2"/>
  <c r="F564" i="2"/>
  <c r="G564" i="2"/>
  <c r="G565" i="10"/>
  <c r="N565" i="10"/>
  <c r="H565" i="10"/>
  <c r="O565" i="10"/>
  <c r="E566" i="2"/>
  <c r="F565" i="2"/>
  <c r="G565" i="2"/>
  <c r="G566" i="10"/>
  <c r="N566" i="10"/>
  <c r="H566" i="10"/>
  <c r="O566" i="10"/>
  <c r="E567" i="2"/>
  <c r="F566" i="2"/>
  <c r="G566" i="2"/>
  <c r="G567" i="10"/>
  <c r="N567" i="10"/>
  <c r="H567" i="10"/>
  <c r="O567" i="10"/>
  <c r="E568" i="2"/>
  <c r="F567" i="2"/>
  <c r="G567" i="2"/>
  <c r="G568" i="10"/>
  <c r="N568" i="10"/>
  <c r="H568" i="10"/>
  <c r="O568" i="10"/>
  <c r="E569" i="2"/>
  <c r="F568" i="2"/>
  <c r="G568" i="2"/>
  <c r="G569" i="10"/>
  <c r="N569" i="10"/>
  <c r="H569" i="10"/>
  <c r="O569" i="10"/>
  <c r="E570" i="2"/>
  <c r="F569" i="2"/>
  <c r="G569" i="2"/>
  <c r="G570" i="10"/>
  <c r="N570" i="10"/>
  <c r="H570" i="10"/>
  <c r="O570" i="10"/>
  <c r="E571" i="2"/>
  <c r="F570" i="2"/>
  <c r="G570" i="2"/>
  <c r="G571" i="10"/>
  <c r="N571" i="10"/>
  <c r="H571" i="10"/>
  <c r="O571" i="10"/>
  <c r="E572" i="2"/>
  <c r="F571" i="2"/>
  <c r="G571" i="2"/>
  <c r="G572" i="10"/>
  <c r="N572" i="10"/>
  <c r="H572" i="10"/>
  <c r="O572" i="10"/>
  <c r="E573" i="2"/>
  <c r="F572" i="2"/>
  <c r="G572" i="2"/>
  <c r="G573" i="10"/>
  <c r="N573" i="10"/>
  <c r="H573" i="10"/>
  <c r="O573" i="10"/>
  <c r="E574" i="2"/>
  <c r="F573" i="2"/>
  <c r="G573" i="2"/>
  <c r="G574" i="10"/>
  <c r="N574" i="10"/>
  <c r="H574" i="10"/>
  <c r="O574" i="10"/>
  <c r="E575" i="2"/>
  <c r="F574" i="2"/>
  <c r="G574" i="2"/>
  <c r="G575" i="10"/>
  <c r="N575" i="10"/>
  <c r="H575" i="10"/>
  <c r="O575" i="10"/>
  <c r="E576" i="2"/>
  <c r="F575" i="2"/>
  <c r="G575" i="2"/>
  <c r="G576" i="10"/>
  <c r="N576" i="10"/>
  <c r="H576" i="10"/>
  <c r="O576" i="10"/>
  <c r="E577" i="2"/>
  <c r="F576" i="2"/>
  <c r="G576" i="2"/>
  <c r="G577" i="10"/>
  <c r="N577" i="10"/>
  <c r="H577" i="10"/>
  <c r="O577" i="10"/>
  <c r="E578" i="2"/>
  <c r="F577" i="2"/>
  <c r="G577" i="2"/>
  <c r="G578" i="10"/>
  <c r="N578" i="10"/>
  <c r="H578" i="10"/>
  <c r="O578" i="10"/>
  <c r="E579" i="2"/>
  <c r="F578" i="2"/>
  <c r="G578" i="2"/>
  <c r="G579" i="10"/>
  <c r="N579" i="10"/>
  <c r="H579" i="10"/>
  <c r="O579" i="10"/>
  <c r="E580" i="2"/>
  <c r="F579" i="2"/>
  <c r="G579" i="2"/>
  <c r="G580" i="10"/>
  <c r="N580" i="10"/>
  <c r="H580" i="10"/>
  <c r="O580" i="10"/>
  <c r="E581" i="2"/>
  <c r="F580" i="2"/>
  <c r="G580" i="2"/>
  <c r="G581" i="10"/>
  <c r="N581" i="10"/>
  <c r="H581" i="10"/>
  <c r="O581" i="10"/>
  <c r="E582" i="2"/>
  <c r="F581" i="2"/>
  <c r="G581" i="2"/>
  <c r="G582" i="10"/>
  <c r="N582" i="10"/>
  <c r="H582" i="10"/>
  <c r="O582" i="10"/>
  <c r="E583" i="2"/>
  <c r="F582" i="2"/>
  <c r="G582" i="2"/>
  <c r="G583" i="10"/>
  <c r="N583" i="10"/>
  <c r="H583" i="10"/>
  <c r="O583" i="10"/>
  <c r="E584" i="2"/>
  <c r="F583" i="2"/>
  <c r="G583" i="2"/>
  <c r="G584" i="10"/>
  <c r="N584" i="10"/>
  <c r="H584" i="10"/>
  <c r="O584" i="10"/>
  <c r="E585" i="2"/>
  <c r="F584" i="2"/>
  <c r="G584" i="2"/>
  <c r="G585" i="10"/>
  <c r="N585" i="10"/>
  <c r="H585" i="10"/>
  <c r="O585" i="10"/>
  <c r="E586" i="2"/>
  <c r="F585" i="2"/>
  <c r="G585" i="2"/>
  <c r="G586" i="10"/>
  <c r="N586" i="10"/>
  <c r="H586" i="10"/>
  <c r="O586" i="10"/>
  <c r="E587" i="2"/>
  <c r="F586" i="2"/>
  <c r="G586" i="2"/>
  <c r="G587" i="10"/>
  <c r="N587" i="10"/>
  <c r="H587" i="10"/>
  <c r="O587" i="10"/>
  <c r="E588" i="2"/>
  <c r="F587" i="2"/>
  <c r="G587" i="2"/>
  <c r="G588" i="10"/>
  <c r="N588" i="10"/>
  <c r="H588" i="10"/>
  <c r="O588" i="10"/>
  <c r="E589" i="2"/>
  <c r="F588" i="2"/>
  <c r="G588" i="2"/>
  <c r="G589" i="10"/>
  <c r="N589" i="10"/>
  <c r="H589" i="10"/>
  <c r="O589" i="10"/>
  <c r="E590" i="2"/>
  <c r="F589" i="2"/>
  <c r="G589" i="2"/>
  <c r="G590" i="10"/>
  <c r="N590" i="10"/>
  <c r="H590" i="10"/>
  <c r="O590" i="10"/>
  <c r="E591" i="2"/>
  <c r="F590" i="2"/>
  <c r="G590" i="2"/>
  <c r="G591" i="10"/>
  <c r="N591" i="10"/>
  <c r="H591" i="10"/>
  <c r="O591" i="10"/>
  <c r="E592" i="2"/>
  <c r="F591" i="2"/>
  <c r="G591" i="2"/>
  <c r="G592" i="10"/>
  <c r="N592" i="10"/>
  <c r="H592" i="10"/>
  <c r="O592" i="10"/>
  <c r="E593" i="2"/>
  <c r="F592" i="2"/>
  <c r="G592" i="2"/>
  <c r="G593" i="10"/>
  <c r="N593" i="10"/>
  <c r="H593" i="10"/>
  <c r="O593" i="10"/>
  <c r="E594" i="2"/>
  <c r="F593" i="2"/>
  <c r="G593" i="2"/>
  <c r="G594" i="10"/>
  <c r="N594" i="10"/>
  <c r="H594" i="10"/>
  <c r="O594" i="10"/>
  <c r="E595" i="2"/>
  <c r="F594" i="2"/>
  <c r="G594" i="2"/>
  <c r="G595" i="10"/>
  <c r="N595" i="10"/>
  <c r="H595" i="10"/>
  <c r="O595" i="10"/>
  <c r="E596" i="2"/>
  <c r="F595" i="2"/>
  <c r="G595" i="2"/>
  <c r="G596" i="10"/>
  <c r="N596" i="10"/>
  <c r="H596" i="10"/>
  <c r="O596" i="10"/>
  <c r="E597" i="2"/>
  <c r="F596" i="2"/>
  <c r="G596" i="2"/>
  <c r="G597" i="10"/>
  <c r="N597" i="10"/>
  <c r="H597" i="10"/>
  <c r="O597" i="10"/>
  <c r="E598" i="2"/>
  <c r="F597" i="2"/>
  <c r="G597" i="2"/>
  <c r="G598" i="10"/>
  <c r="N598" i="10"/>
  <c r="H598" i="10"/>
  <c r="O598" i="10"/>
  <c r="E599" i="2"/>
  <c r="F598" i="2"/>
  <c r="G598" i="2"/>
  <c r="G599" i="10"/>
  <c r="N599" i="10"/>
  <c r="H599" i="10"/>
  <c r="O599" i="10"/>
  <c r="E600" i="2"/>
  <c r="F599" i="2"/>
  <c r="G599" i="2"/>
  <c r="G600" i="10"/>
  <c r="N600" i="10"/>
  <c r="H600" i="10"/>
  <c r="O600" i="10"/>
  <c r="E601" i="2"/>
  <c r="F600" i="2"/>
  <c r="G600" i="2"/>
  <c r="G601" i="10"/>
  <c r="N601" i="10"/>
  <c r="H601" i="10"/>
  <c r="O601" i="10"/>
  <c r="E602" i="2"/>
  <c r="F601" i="2"/>
  <c r="G601" i="2"/>
  <c r="G602" i="10"/>
  <c r="N602" i="10"/>
  <c r="H602" i="10"/>
  <c r="O602" i="10"/>
  <c r="E603" i="2"/>
  <c r="F602" i="2"/>
  <c r="G602" i="2"/>
  <c r="G603" i="10"/>
  <c r="N603" i="10"/>
  <c r="H603" i="10"/>
  <c r="O603" i="10"/>
  <c r="E604" i="2"/>
  <c r="F603" i="2"/>
  <c r="G603" i="2"/>
  <c r="G604" i="10"/>
  <c r="N604" i="10"/>
  <c r="H604" i="10"/>
  <c r="O604" i="10"/>
  <c r="E605" i="2"/>
  <c r="F604" i="2"/>
  <c r="G604" i="2"/>
  <c r="G605" i="10"/>
  <c r="N605" i="10"/>
  <c r="H605" i="10"/>
  <c r="O605" i="10"/>
  <c r="E606" i="2"/>
  <c r="F605" i="2"/>
  <c r="G605" i="2"/>
  <c r="G606" i="10"/>
  <c r="N606" i="10"/>
  <c r="H606" i="10"/>
  <c r="O606" i="10"/>
  <c r="E607" i="2"/>
  <c r="F606" i="2"/>
  <c r="G606" i="2"/>
  <c r="G607" i="10"/>
  <c r="N607" i="10"/>
  <c r="H607" i="10"/>
  <c r="O607" i="10"/>
  <c r="E608" i="2"/>
  <c r="F607" i="2"/>
  <c r="G607" i="2"/>
  <c r="G608" i="10"/>
  <c r="N608" i="10"/>
  <c r="H608" i="10"/>
  <c r="O608" i="10"/>
  <c r="E609" i="2"/>
  <c r="F608" i="2"/>
  <c r="G608" i="2"/>
  <c r="G609" i="10"/>
  <c r="N609" i="10"/>
  <c r="H609" i="10"/>
  <c r="O609" i="10"/>
  <c r="E610" i="2"/>
  <c r="F609" i="2"/>
  <c r="G609" i="2"/>
  <c r="G610" i="10"/>
  <c r="N610" i="10"/>
  <c r="H610" i="10"/>
  <c r="O610" i="10"/>
  <c r="E611" i="2"/>
  <c r="F610" i="2"/>
  <c r="G610" i="2"/>
  <c r="G611" i="10"/>
  <c r="N611" i="10"/>
  <c r="H611" i="10"/>
  <c r="O611" i="10"/>
  <c r="E612" i="2"/>
  <c r="F611" i="2"/>
  <c r="G611" i="2"/>
  <c r="G612" i="10"/>
  <c r="N612" i="10"/>
  <c r="H612" i="10"/>
  <c r="O612" i="10"/>
  <c r="E613" i="2"/>
  <c r="F612" i="2"/>
  <c r="G612" i="2"/>
  <c r="G613" i="10"/>
  <c r="N613" i="10"/>
  <c r="H613" i="10"/>
  <c r="O613" i="10"/>
  <c r="E614" i="2"/>
  <c r="F613" i="2"/>
  <c r="G613" i="2"/>
  <c r="G614" i="10"/>
  <c r="N614" i="10"/>
  <c r="H614" i="10"/>
  <c r="O614" i="10"/>
  <c r="E615" i="2"/>
  <c r="F614" i="2"/>
  <c r="G614" i="2"/>
  <c r="G615" i="10"/>
  <c r="N615" i="10"/>
  <c r="H615" i="10"/>
  <c r="O615" i="10"/>
  <c r="E616" i="2"/>
  <c r="F615" i="2"/>
  <c r="G615" i="2"/>
  <c r="G616" i="10"/>
  <c r="N616" i="10"/>
  <c r="H616" i="10"/>
  <c r="O616" i="10"/>
  <c r="E617" i="2"/>
  <c r="F616" i="2"/>
  <c r="G616" i="2"/>
  <c r="G617" i="10"/>
  <c r="N617" i="10"/>
  <c r="H617" i="10"/>
  <c r="O617" i="10"/>
  <c r="E618" i="2"/>
  <c r="F617" i="2"/>
  <c r="G617" i="2"/>
  <c r="G618" i="10"/>
  <c r="N618" i="10"/>
  <c r="H618" i="10"/>
  <c r="O618" i="10"/>
  <c r="E619" i="2"/>
  <c r="F618" i="2"/>
  <c r="G618" i="2"/>
  <c r="G619" i="10"/>
  <c r="N619" i="10"/>
  <c r="H619" i="10"/>
  <c r="O619" i="10"/>
  <c r="E620" i="2"/>
  <c r="F619" i="2"/>
  <c r="G619" i="2"/>
  <c r="G620" i="10"/>
  <c r="N620" i="10"/>
  <c r="H620" i="10"/>
  <c r="O620" i="10"/>
  <c r="E621" i="2"/>
  <c r="F620" i="2"/>
  <c r="G620" i="2"/>
  <c r="G621" i="10"/>
  <c r="N621" i="10"/>
  <c r="H621" i="10"/>
  <c r="O621" i="10"/>
  <c r="E622" i="2"/>
  <c r="F621" i="2"/>
  <c r="G621" i="2"/>
  <c r="G622" i="10"/>
  <c r="N622" i="10"/>
  <c r="H622" i="10"/>
  <c r="O622" i="10"/>
  <c r="E623" i="2"/>
  <c r="F622" i="2"/>
  <c r="G622" i="2"/>
  <c r="G623" i="10"/>
  <c r="N623" i="10"/>
  <c r="H623" i="10"/>
  <c r="O623" i="10"/>
  <c r="E624" i="2"/>
  <c r="F623" i="2"/>
  <c r="G623" i="2"/>
  <c r="G624" i="10"/>
  <c r="N624" i="10"/>
  <c r="H624" i="10"/>
  <c r="O624" i="10"/>
  <c r="E625" i="2"/>
  <c r="F624" i="2"/>
  <c r="G624" i="2"/>
  <c r="G625" i="10"/>
  <c r="N625" i="10"/>
  <c r="H625" i="10"/>
  <c r="O625" i="10"/>
  <c r="E626" i="2"/>
  <c r="F625" i="2"/>
  <c r="G625" i="2"/>
  <c r="G626" i="10"/>
  <c r="N626" i="10"/>
  <c r="H626" i="10"/>
  <c r="O626" i="10"/>
  <c r="E627" i="2"/>
  <c r="F626" i="2"/>
  <c r="G626" i="2"/>
  <c r="G627" i="10"/>
  <c r="N627" i="10"/>
  <c r="H627" i="10"/>
  <c r="O627" i="10"/>
  <c r="E628" i="2"/>
  <c r="F627" i="2"/>
  <c r="G627" i="2"/>
  <c r="G628" i="10"/>
  <c r="N628" i="10"/>
  <c r="H628" i="10"/>
  <c r="O628" i="10"/>
  <c r="E629" i="2"/>
  <c r="F628" i="2"/>
  <c r="G628" i="2"/>
  <c r="G629" i="10"/>
  <c r="N629" i="10"/>
  <c r="H629" i="10"/>
  <c r="O629" i="10"/>
  <c r="E630" i="2"/>
  <c r="F629" i="2"/>
  <c r="G629" i="2"/>
  <c r="G630" i="10"/>
  <c r="N630" i="10"/>
  <c r="H630" i="10"/>
  <c r="O630" i="10"/>
  <c r="E631" i="2"/>
  <c r="F630" i="2"/>
  <c r="G630" i="2"/>
  <c r="G631" i="10"/>
  <c r="N631" i="10"/>
  <c r="H631" i="10"/>
  <c r="O631" i="10"/>
  <c r="E632" i="2"/>
  <c r="F631" i="2"/>
  <c r="G631" i="2"/>
  <c r="G632" i="10"/>
  <c r="N632" i="10"/>
  <c r="H632" i="10"/>
  <c r="O632" i="10"/>
  <c r="E633" i="2"/>
  <c r="F632" i="2"/>
  <c r="G632" i="2"/>
  <c r="G633" i="10"/>
  <c r="N633" i="10"/>
  <c r="H633" i="10"/>
  <c r="O633" i="10"/>
  <c r="E634" i="2"/>
  <c r="F633" i="2"/>
  <c r="G633" i="2"/>
  <c r="G634" i="10"/>
  <c r="N634" i="10"/>
  <c r="H634" i="10"/>
  <c r="O634" i="10"/>
  <c r="E635" i="2"/>
  <c r="F634" i="2"/>
  <c r="G634" i="2"/>
  <c r="G635" i="10"/>
  <c r="N635" i="10"/>
  <c r="H635" i="10"/>
  <c r="O635" i="10"/>
  <c r="E636" i="2"/>
  <c r="F635" i="2"/>
  <c r="G635" i="2"/>
  <c r="G636" i="10"/>
  <c r="N636" i="10"/>
  <c r="H636" i="10"/>
  <c r="O636" i="10"/>
  <c r="E637" i="2"/>
  <c r="F636" i="2"/>
  <c r="G636" i="2"/>
  <c r="G637" i="10"/>
  <c r="N637" i="10"/>
  <c r="H637" i="10"/>
  <c r="O637" i="10"/>
  <c r="E638" i="2"/>
  <c r="F637" i="2"/>
  <c r="G637" i="2"/>
  <c r="G638" i="10"/>
  <c r="N638" i="10"/>
  <c r="H638" i="10"/>
  <c r="O638" i="10"/>
  <c r="E639" i="2"/>
  <c r="F638" i="2"/>
  <c r="G638" i="2"/>
  <c r="G639" i="10"/>
  <c r="N639" i="10"/>
  <c r="H639" i="10"/>
  <c r="O639" i="10"/>
  <c r="E640" i="2"/>
  <c r="F639" i="2"/>
  <c r="G639" i="2"/>
  <c r="G640" i="10"/>
  <c r="N640" i="10"/>
  <c r="H640" i="10"/>
  <c r="O640" i="10"/>
  <c r="E641" i="2"/>
  <c r="F640" i="2"/>
  <c r="G640" i="2"/>
  <c r="G641" i="10"/>
  <c r="N641" i="10"/>
  <c r="H641" i="10"/>
  <c r="O641" i="10"/>
  <c r="E642" i="2"/>
  <c r="F641" i="2"/>
  <c r="G641" i="2"/>
  <c r="G642" i="10"/>
  <c r="N642" i="10"/>
  <c r="H642" i="10"/>
  <c r="O642" i="10"/>
  <c r="E643" i="2"/>
  <c r="F642" i="2"/>
  <c r="G642" i="2"/>
  <c r="G643" i="10"/>
  <c r="N643" i="10"/>
  <c r="H643" i="10"/>
  <c r="O643" i="10"/>
  <c r="E644" i="2"/>
  <c r="F643" i="2"/>
  <c r="G643" i="2"/>
  <c r="G644" i="10"/>
  <c r="N644" i="10"/>
  <c r="H644" i="10"/>
  <c r="O644" i="10"/>
  <c r="E645" i="2"/>
  <c r="F644" i="2"/>
  <c r="G644" i="2"/>
  <c r="G645" i="10"/>
  <c r="N645" i="10"/>
  <c r="H645" i="10"/>
  <c r="O645" i="10"/>
  <c r="E646" i="2"/>
  <c r="F645" i="2"/>
  <c r="G645" i="2"/>
  <c r="G646" i="10"/>
  <c r="N646" i="10"/>
  <c r="H646" i="10"/>
  <c r="O646" i="10"/>
  <c r="E647" i="2"/>
  <c r="F646" i="2"/>
  <c r="G646" i="2"/>
  <c r="G647" i="10"/>
  <c r="N647" i="10"/>
  <c r="H647" i="10"/>
  <c r="O647" i="10"/>
  <c r="E648" i="2"/>
  <c r="F647" i="2"/>
  <c r="G647" i="2"/>
  <c r="G648" i="10"/>
  <c r="N648" i="10"/>
  <c r="H648" i="10"/>
  <c r="O648" i="10"/>
  <c r="E649" i="2"/>
  <c r="F648" i="2"/>
  <c r="G648" i="2"/>
  <c r="G649" i="10"/>
  <c r="N649" i="10"/>
  <c r="H649" i="10"/>
  <c r="O649" i="10"/>
  <c r="E650" i="2"/>
  <c r="F649" i="2"/>
  <c r="G649" i="2"/>
  <c r="G650" i="10"/>
  <c r="N650" i="10"/>
  <c r="H650" i="10"/>
  <c r="O650" i="10"/>
  <c r="E651" i="2"/>
  <c r="F650" i="2"/>
  <c r="G650" i="2"/>
  <c r="G651" i="10"/>
  <c r="N651" i="10"/>
  <c r="H651" i="10"/>
  <c r="O651" i="10"/>
  <c r="E652" i="2"/>
  <c r="F651" i="2"/>
  <c r="G651" i="2"/>
  <c r="G652" i="10"/>
  <c r="N652" i="10"/>
  <c r="H652" i="10"/>
  <c r="O652" i="10"/>
  <c r="E653" i="2"/>
  <c r="F652" i="2"/>
  <c r="G652" i="2"/>
  <c r="G653" i="10"/>
  <c r="N653" i="10"/>
  <c r="H653" i="10"/>
  <c r="O653" i="10"/>
  <c r="E654" i="2"/>
  <c r="F653" i="2"/>
  <c r="G653" i="2"/>
  <c r="G654" i="10"/>
  <c r="N654" i="10"/>
  <c r="H654" i="10"/>
  <c r="O654" i="10"/>
  <c r="E655" i="2"/>
  <c r="F654" i="2"/>
  <c r="G654" i="2"/>
  <c r="G655" i="10"/>
  <c r="N655" i="10"/>
  <c r="H655" i="10"/>
  <c r="O655" i="10"/>
  <c r="E656" i="2"/>
  <c r="F655" i="2"/>
  <c r="G655" i="2"/>
  <c r="G656" i="10"/>
  <c r="N656" i="10"/>
  <c r="H656" i="10"/>
  <c r="O656" i="10"/>
  <c r="E657" i="2"/>
  <c r="F656" i="2"/>
  <c r="G656" i="2"/>
  <c r="G657" i="10"/>
  <c r="N657" i="10"/>
  <c r="H657" i="10"/>
  <c r="O657" i="10"/>
  <c r="E658" i="2"/>
  <c r="F657" i="2"/>
  <c r="G657" i="2"/>
  <c r="G658" i="10"/>
  <c r="N658" i="10"/>
  <c r="H658" i="10"/>
  <c r="O658" i="10"/>
  <c r="E659" i="2"/>
  <c r="F658" i="2"/>
  <c r="G658" i="2"/>
  <c r="G659" i="10"/>
  <c r="N659" i="10"/>
  <c r="H659" i="10"/>
  <c r="O659" i="10"/>
  <c r="E660" i="2"/>
  <c r="F659" i="2"/>
  <c r="G659" i="2"/>
  <c r="G660" i="10"/>
  <c r="N660" i="10"/>
  <c r="H660" i="10"/>
  <c r="O660" i="10"/>
  <c r="E661" i="2"/>
  <c r="F660" i="2"/>
  <c r="G660" i="2"/>
  <c r="G661" i="10"/>
  <c r="N661" i="10"/>
  <c r="H661" i="10"/>
  <c r="O661" i="10"/>
  <c r="E662" i="2"/>
  <c r="F661" i="2"/>
  <c r="G661" i="2"/>
  <c r="G662" i="10"/>
  <c r="N662" i="10"/>
  <c r="H662" i="10"/>
  <c r="O662" i="10"/>
  <c r="E663" i="2"/>
  <c r="F662" i="2"/>
  <c r="G662" i="2"/>
  <c r="G663" i="10"/>
  <c r="N663" i="10"/>
  <c r="H663" i="10"/>
  <c r="O663" i="10"/>
  <c r="E664" i="2"/>
  <c r="F663" i="2"/>
  <c r="G663" i="2"/>
  <c r="G664" i="10"/>
  <c r="N664" i="10"/>
  <c r="H664" i="10"/>
  <c r="O664" i="10"/>
  <c r="E665" i="2"/>
  <c r="F664" i="2"/>
  <c r="G664" i="2"/>
  <c r="G665" i="10"/>
  <c r="N665" i="10"/>
  <c r="H665" i="10"/>
  <c r="O665" i="10"/>
  <c r="E666" i="2"/>
  <c r="F665" i="2"/>
  <c r="G665" i="2"/>
  <c r="G666" i="10"/>
  <c r="N666" i="10"/>
  <c r="H666" i="10"/>
  <c r="O666" i="10"/>
  <c r="E667" i="2"/>
  <c r="F666" i="2"/>
  <c r="G666" i="2"/>
  <c r="G667" i="10"/>
  <c r="N667" i="10"/>
  <c r="H667" i="10"/>
  <c r="O667" i="10"/>
  <c r="E668" i="2"/>
  <c r="F667" i="2"/>
  <c r="G667" i="2"/>
  <c r="G668" i="10"/>
  <c r="N668" i="10"/>
  <c r="H668" i="10"/>
  <c r="O668" i="10"/>
  <c r="E669" i="2"/>
  <c r="F668" i="2"/>
  <c r="G668" i="2"/>
  <c r="G669" i="10"/>
  <c r="N669" i="10"/>
  <c r="H669" i="10"/>
  <c r="O669" i="10"/>
  <c r="E670" i="2"/>
  <c r="F669" i="2"/>
  <c r="G669" i="2"/>
  <c r="G670" i="10"/>
  <c r="N670" i="10"/>
  <c r="H670" i="10"/>
  <c r="O670" i="10"/>
  <c r="E671" i="2"/>
  <c r="F670" i="2"/>
  <c r="G670" i="2"/>
  <c r="G671" i="10"/>
  <c r="N671" i="10"/>
  <c r="H671" i="10"/>
  <c r="O671" i="10"/>
  <c r="E672" i="2"/>
  <c r="F671" i="2"/>
  <c r="G671" i="2"/>
  <c r="G672" i="10"/>
  <c r="N672" i="10"/>
  <c r="H672" i="10"/>
  <c r="O672" i="10"/>
  <c r="E673" i="2"/>
  <c r="F672" i="2"/>
  <c r="G672" i="2"/>
  <c r="G673" i="10"/>
  <c r="N673" i="10"/>
  <c r="H673" i="10"/>
  <c r="O673" i="10"/>
  <c r="E674" i="2"/>
  <c r="F673" i="2"/>
  <c r="G673" i="2"/>
  <c r="G674" i="10"/>
  <c r="N674" i="10"/>
  <c r="H674" i="10"/>
  <c r="O674" i="10"/>
  <c r="E675" i="2"/>
  <c r="F674" i="2"/>
  <c r="G674" i="2"/>
  <c r="G675" i="10"/>
  <c r="N675" i="10"/>
  <c r="H675" i="10"/>
  <c r="O675" i="10"/>
  <c r="E676" i="2"/>
  <c r="F675" i="2"/>
  <c r="G675" i="2"/>
  <c r="G676" i="10"/>
  <c r="N676" i="10"/>
  <c r="H676" i="10"/>
  <c r="O676" i="10"/>
  <c r="E677" i="2"/>
  <c r="F676" i="2"/>
  <c r="G676" i="2"/>
  <c r="G677" i="10"/>
  <c r="N677" i="10"/>
  <c r="H677" i="10"/>
  <c r="O677" i="10"/>
  <c r="E678" i="2"/>
  <c r="F677" i="2"/>
  <c r="G677" i="2"/>
  <c r="G678" i="10"/>
  <c r="N678" i="10"/>
  <c r="H678" i="10"/>
  <c r="O678" i="10"/>
  <c r="E679" i="2"/>
  <c r="F678" i="2"/>
  <c r="G678" i="2"/>
  <c r="G679" i="10"/>
  <c r="N679" i="10"/>
  <c r="H679" i="10"/>
  <c r="O679" i="10"/>
  <c r="E680" i="2"/>
  <c r="F679" i="2"/>
  <c r="G679" i="2"/>
  <c r="G680" i="10"/>
  <c r="N680" i="10"/>
  <c r="H680" i="10"/>
  <c r="O680" i="10"/>
  <c r="E681" i="2"/>
  <c r="F680" i="2"/>
  <c r="G680" i="2"/>
  <c r="G681" i="10"/>
  <c r="N681" i="10"/>
  <c r="H681" i="10"/>
  <c r="O681" i="10"/>
  <c r="E682" i="2"/>
  <c r="F681" i="2"/>
  <c r="G681" i="2"/>
  <c r="G682" i="10"/>
  <c r="N682" i="10"/>
  <c r="H682" i="10"/>
  <c r="O682" i="10"/>
  <c r="E683" i="2"/>
  <c r="F682" i="2"/>
  <c r="G682" i="2"/>
  <c r="G683" i="10"/>
  <c r="N683" i="10"/>
  <c r="H683" i="10"/>
  <c r="O683" i="10"/>
  <c r="E684" i="2"/>
  <c r="F683" i="2"/>
  <c r="G683" i="2"/>
  <c r="G684" i="10"/>
  <c r="N684" i="10"/>
  <c r="H684" i="10"/>
  <c r="O684" i="10"/>
  <c r="E685" i="2"/>
  <c r="F684" i="2"/>
  <c r="G684" i="2"/>
  <c r="G685" i="10"/>
  <c r="N685" i="10"/>
  <c r="H685" i="10"/>
  <c r="O685" i="10"/>
  <c r="E686" i="2"/>
  <c r="F685" i="2"/>
  <c r="G685" i="2"/>
  <c r="G686" i="10"/>
  <c r="N686" i="10"/>
  <c r="H686" i="10"/>
  <c r="O686" i="10"/>
  <c r="E687" i="2"/>
  <c r="F686" i="2"/>
  <c r="G686" i="2"/>
  <c r="G687" i="10"/>
  <c r="N687" i="10"/>
  <c r="H687" i="10"/>
  <c r="O687" i="10"/>
  <c r="E688" i="2"/>
  <c r="F687" i="2"/>
  <c r="G687" i="2"/>
  <c r="G688" i="10"/>
  <c r="N688" i="10"/>
  <c r="H688" i="10"/>
  <c r="O688" i="10"/>
  <c r="E689" i="2"/>
  <c r="F688" i="2"/>
  <c r="G688" i="2"/>
  <c r="G689" i="10"/>
  <c r="N689" i="10"/>
  <c r="H689" i="10"/>
  <c r="O689" i="10"/>
  <c r="E690" i="2"/>
  <c r="F689" i="2"/>
  <c r="G689" i="2"/>
  <c r="G690" i="10"/>
  <c r="N690" i="10"/>
  <c r="H690" i="10"/>
  <c r="O690" i="10"/>
  <c r="E691" i="2"/>
  <c r="F690" i="2"/>
  <c r="G690" i="2"/>
  <c r="G691" i="10"/>
  <c r="N691" i="10"/>
  <c r="H691" i="10"/>
  <c r="O691" i="10"/>
  <c r="E692" i="2"/>
  <c r="F691" i="2"/>
  <c r="G691" i="2"/>
  <c r="G692" i="10"/>
  <c r="N692" i="10"/>
  <c r="H692" i="10"/>
  <c r="O692" i="10"/>
  <c r="E693" i="2"/>
  <c r="F692" i="2"/>
  <c r="G692" i="2"/>
  <c r="G693" i="10"/>
  <c r="N693" i="10"/>
  <c r="H693" i="10"/>
  <c r="O693" i="10"/>
  <c r="E694" i="2"/>
  <c r="F693" i="2"/>
  <c r="G693" i="2"/>
  <c r="G694" i="10"/>
  <c r="N694" i="10"/>
  <c r="H694" i="10"/>
  <c r="O694" i="10"/>
  <c r="E695" i="2"/>
  <c r="F694" i="2"/>
  <c r="G694" i="2"/>
  <c r="G695" i="10"/>
  <c r="N695" i="10"/>
  <c r="H695" i="10"/>
  <c r="O695" i="10"/>
  <c r="E696" i="2"/>
  <c r="F695" i="2"/>
  <c r="G695" i="2"/>
  <c r="G696" i="10"/>
  <c r="N696" i="10"/>
  <c r="H696" i="10"/>
  <c r="O696" i="10"/>
  <c r="E697" i="2"/>
  <c r="F696" i="2"/>
  <c r="G696" i="2"/>
  <c r="G697" i="10"/>
  <c r="N697" i="10"/>
  <c r="H697" i="10"/>
  <c r="O697" i="10"/>
  <c r="E698" i="2"/>
  <c r="F697" i="2"/>
  <c r="G697" i="2"/>
  <c r="G698" i="10"/>
  <c r="N698" i="10"/>
  <c r="H698" i="10"/>
  <c r="O698" i="10"/>
  <c r="E699" i="2"/>
  <c r="F698" i="2"/>
  <c r="G698" i="2"/>
  <c r="G699" i="10"/>
  <c r="N699" i="10"/>
  <c r="H699" i="10"/>
  <c r="O699" i="10"/>
  <c r="E700" i="2"/>
  <c r="F699" i="2"/>
  <c r="G699" i="2"/>
  <c r="G700" i="10"/>
  <c r="N700" i="10"/>
  <c r="H700" i="10"/>
  <c r="O700" i="10"/>
  <c r="E701" i="2"/>
  <c r="F700" i="2"/>
  <c r="G700" i="2"/>
  <c r="G701" i="10"/>
  <c r="N701" i="10"/>
  <c r="H701" i="10"/>
  <c r="O701" i="10"/>
  <c r="E702" i="2"/>
  <c r="F701" i="2"/>
  <c r="G701" i="2"/>
  <c r="G702" i="10"/>
  <c r="N702" i="10"/>
  <c r="H702" i="10"/>
  <c r="O702" i="10"/>
  <c r="E703" i="2"/>
  <c r="F702" i="2"/>
  <c r="G702" i="2"/>
  <c r="G703" i="10"/>
  <c r="N703" i="10"/>
  <c r="H703" i="10"/>
  <c r="O703" i="10"/>
  <c r="E704" i="2"/>
  <c r="F703" i="2"/>
  <c r="G703" i="2"/>
  <c r="G704" i="10"/>
  <c r="N704" i="10"/>
  <c r="H704" i="10"/>
  <c r="O704" i="10"/>
  <c r="E705" i="2"/>
  <c r="F704" i="2"/>
  <c r="G704" i="2"/>
  <c r="G705" i="10"/>
  <c r="N705" i="10"/>
  <c r="H705" i="10"/>
  <c r="O705" i="10"/>
  <c r="E706" i="2"/>
  <c r="F705" i="2"/>
  <c r="G705" i="2"/>
  <c r="G706" i="10"/>
  <c r="N706" i="10"/>
  <c r="H706" i="10"/>
  <c r="O706" i="10"/>
  <c r="E707" i="2"/>
  <c r="F706" i="2"/>
  <c r="G706" i="2"/>
  <c r="G707" i="10"/>
  <c r="N707" i="10"/>
  <c r="H707" i="10"/>
  <c r="O707" i="10"/>
  <c r="E708" i="2"/>
  <c r="F707" i="2"/>
  <c r="G707" i="2"/>
  <c r="G708" i="10"/>
  <c r="N708" i="10"/>
  <c r="H708" i="10"/>
  <c r="O708" i="10"/>
  <c r="E709" i="2"/>
  <c r="F708" i="2"/>
  <c r="G708" i="2"/>
  <c r="G709" i="10"/>
  <c r="N709" i="10"/>
  <c r="H709" i="10"/>
  <c r="O709" i="10"/>
  <c r="E710" i="2"/>
  <c r="F709" i="2"/>
  <c r="G709" i="2"/>
  <c r="G710" i="10"/>
  <c r="N710" i="10"/>
  <c r="H710" i="10"/>
  <c r="O710" i="10"/>
  <c r="E711" i="2"/>
  <c r="F710" i="2"/>
  <c r="G710" i="2"/>
  <c r="G711" i="10"/>
  <c r="N711" i="10"/>
  <c r="H711" i="10"/>
  <c r="O711" i="10"/>
  <c r="E712" i="2"/>
  <c r="F711" i="2"/>
  <c r="G711" i="2"/>
  <c r="G712" i="10"/>
  <c r="N712" i="10"/>
  <c r="H712" i="10"/>
  <c r="O712" i="10"/>
  <c r="E713" i="2"/>
  <c r="F712" i="2"/>
  <c r="G712" i="2"/>
  <c r="G713" i="10"/>
  <c r="N713" i="10"/>
  <c r="H713" i="10"/>
  <c r="O713" i="10"/>
  <c r="E714" i="2"/>
  <c r="F713" i="2"/>
  <c r="G713" i="2"/>
  <c r="G714" i="10"/>
  <c r="N714" i="10"/>
  <c r="H714" i="10"/>
  <c r="O714" i="10"/>
  <c r="E715" i="2"/>
  <c r="F714" i="2"/>
  <c r="G714" i="2"/>
  <c r="G715" i="10"/>
  <c r="N715" i="10"/>
  <c r="H715" i="10"/>
  <c r="O715" i="10"/>
  <c r="E716" i="2"/>
  <c r="F715" i="2"/>
  <c r="G715" i="2"/>
  <c r="G716" i="10"/>
  <c r="N716" i="10"/>
  <c r="H716" i="10"/>
  <c r="O716" i="10"/>
  <c r="E717" i="2"/>
  <c r="F716" i="2"/>
  <c r="G716" i="2"/>
  <c r="G717" i="10"/>
  <c r="N717" i="10"/>
  <c r="H717" i="10"/>
  <c r="O717" i="10"/>
  <c r="E718" i="2"/>
  <c r="F717" i="2"/>
  <c r="G717" i="2"/>
  <c r="G718" i="10"/>
  <c r="N718" i="10"/>
  <c r="H718" i="10"/>
  <c r="O718" i="10"/>
  <c r="E719" i="2"/>
  <c r="F718" i="2"/>
  <c r="G718" i="2"/>
  <c r="G719" i="10"/>
  <c r="N719" i="10"/>
  <c r="H719" i="10"/>
  <c r="O719" i="10"/>
  <c r="E720" i="2"/>
  <c r="F719" i="2"/>
  <c r="G719" i="2"/>
  <c r="G720" i="10"/>
  <c r="N720" i="10"/>
  <c r="H720" i="10"/>
  <c r="O720" i="10"/>
  <c r="E721" i="2"/>
  <c r="F720" i="2"/>
  <c r="G720" i="2"/>
  <c r="G721" i="10"/>
  <c r="N721" i="10"/>
  <c r="H721" i="10"/>
  <c r="O721" i="10"/>
  <c r="E722" i="2"/>
  <c r="F721" i="2"/>
  <c r="G721" i="2"/>
  <c r="G722" i="10"/>
  <c r="N722" i="10"/>
  <c r="H722" i="10"/>
  <c r="O722" i="10"/>
  <c r="E723" i="2"/>
  <c r="F722" i="2"/>
  <c r="G722" i="2"/>
  <c r="G723" i="10"/>
  <c r="N723" i="10"/>
  <c r="H723" i="10"/>
  <c r="O723" i="10"/>
  <c r="E724" i="2"/>
  <c r="F723" i="2"/>
  <c r="G723" i="2"/>
  <c r="G724" i="10"/>
  <c r="N724" i="10"/>
  <c r="H724" i="10"/>
  <c r="O724" i="10"/>
  <c r="E725" i="2"/>
  <c r="F724" i="2"/>
  <c r="G724" i="2"/>
  <c r="G725" i="10"/>
  <c r="N725" i="10"/>
  <c r="H725" i="10"/>
  <c r="O725" i="10"/>
  <c r="E726" i="2"/>
  <c r="F725" i="2"/>
  <c r="G725" i="2"/>
  <c r="G726" i="10"/>
  <c r="N726" i="10"/>
  <c r="H726" i="10"/>
  <c r="O726" i="10"/>
  <c r="E727" i="2"/>
  <c r="F726" i="2"/>
  <c r="G726" i="2"/>
  <c r="G727" i="10"/>
  <c r="N727" i="10"/>
  <c r="H727" i="10"/>
  <c r="O727" i="10"/>
  <c r="E728" i="2"/>
  <c r="F727" i="2"/>
  <c r="G727" i="2"/>
  <c r="G728" i="10"/>
  <c r="N728" i="10"/>
  <c r="H728" i="10"/>
  <c r="O728" i="10"/>
  <c r="E729" i="2"/>
  <c r="F728" i="2"/>
  <c r="G728" i="2"/>
  <c r="G729" i="10"/>
  <c r="N729" i="10"/>
  <c r="H729" i="10"/>
  <c r="O729" i="10"/>
  <c r="E730" i="2"/>
  <c r="F729" i="2"/>
  <c r="G729" i="2"/>
  <c r="G730" i="10"/>
  <c r="N730" i="10"/>
  <c r="H730" i="10"/>
  <c r="O730" i="10"/>
  <c r="E731" i="2"/>
  <c r="F730" i="2"/>
  <c r="G730" i="2"/>
  <c r="G731" i="10"/>
  <c r="N731" i="10"/>
  <c r="H731" i="10"/>
  <c r="O731" i="10"/>
  <c r="E732" i="2"/>
  <c r="F731" i="2"/>
  <c r="G731" i="2"/>
  <c r="G732" i="10"/>
  <c r="N732" i="10"/>
  <c r="H732" i="10"/>
  <c r="O732" i="10"/>
  <c r="E733" i="2"/>
  <c r="F732" i="2"/>
  <c r="G732" i="2"/>
  <c r="G733" i="10"/>
  <c r="N733" i="10"/>
  <c r="H733" i="10"/>
  <c r="O733" i="10"/>
  <c r="E734" i="2"/>
  <c r="F733" i="2"/>
  <c r="G733" i="2"/>
  <c r="G734" i="10"/>
  <c r="N734" i="10"/>
  <c r="H734" i="10"/>
  <c r="O734" i="10"/>
  <c r="E735" i="2"/>
  <c r="F734" i="2"/>
  <c r="G734" i="2"/>
  <c r="G735" i="10"/>
  <c r="N735" i="10"/>
  <c r="H735" i="10"/>
  <c r="O735" i="10"/>
  <c r="E736" i="2"/>
  <c r="F735" i="2"/>
  <c r="G735" i="2"/>
  <c r="G736" i="10"/>
  <c r="N736" i="10"/>
  <c r="H736" i="10"/>
  <c r="O736" i="10"/>
  <c r="E737" i="2"/>
  <c r="F736" i="2"/>
  <c r="G736" i="2"/>
  <c r="G737" i="10"/>
  <c r="N737" i="10"/>
  <c r="H737" i="10"/>
  <c r="O737" i="10"/>
  <c r="E738" i="2"/>
  <c r="F737" i="2"/>
  <c r="G737" i="2"/>
  <c r="G738" i="10"/>
  <c r="N738" i="10"/>
  <c r="H738" i="10"/>
  <c r="O738" i="10"/>
  <c r="E739" i="2"/>
  <c r="F738" i="2"/>
  <c r="G738" i="2"/>
  <c r="G739" i="10"/>
  <c r="N739" i="10"/>
  <c r="H739" i="10"/>
  <c r="O739" i="10"/>
  <c r="E740" i="2"/>
  <c r="F739" i="2"/>
  <c r="G739" i="2"/>
  <c r="G740" i="10"/>
  <c r="N740" i="10"/>
  <c r="H740" i="10"/>
  <c r="O740" i="10"/>
  <c r="E741" i="2"/>
  <c r="F740" i="2"/>
  <c r="G740" i="2"/>
  <c r="G741" i="10"/>
  <c r="N741" i="10"/>
  <c r="H741" i="10"/>
  <c r="O741" i="10"/>
  <c r="E742" i="2"/>
  <c r="F741" i="2"/>
  <c r="G741" i="2"/>
  <c r="G742" i="10"/>
  <c r="N742" i="10"/>
  <c r="H742" i="10"/>
  <c r="O742" i="10"/>
  <c r="E743" i="2"/>
  <c r="F742" i="2"/>
  <c r="G742" i="2"/>
  <c r="G743" i="10"/>
  <c r="N743" i="10"/>
  <c r="H743" i="10"/>
  <c r="O743" i="10"/>
  <c r="E744" i="2"/>
  <c r="F743" i="2"/>
  <c r="G743" i="2"/>
  <c r="G744" i="10"/>
  <c r="N744" i="10"/>
  <c r="H744" i="10"/>
  <c r="O744" i="10"/>
  <c r="E745" i="2"/>
  <c r="F744" i="2"/>
  <c r="G744" i="2"/>
  <c r="G745" i="10"/>
  <c r="N745" i="10"/>
  <c r="H745" i="10"/>
  <c r="O745" i="10"/>
  <c r="E746" i="2"/>
  <c r="F745" i="2"/>
  <c r="G745" i="2"/>
  <c r="G746" i="10"/>
  <c r="N746" i="10"/>
  <c r="H746" i="10"/>
  <c r="O746" i="10"/>
  <c r="E747" i="2"/>
  <c r="F746" i="2"/>
  <c r="G746" i="2"/>
  <c r="G747" i="10"/>
  <c r="N747" i="10"/>
  <c r="H747" i="10"/>
  <c r="O747" i="10"/>
  <c r="E748" i="2"/>
  <c r="F747" i="2"/>
  <c r="G747" i="2"/>
  <c r="G748" i="10"/>
  <c r="N748" i="10"/>
  <c r="H748" i="10"/>
  <c r="O748" i="10"/>
  <c r="E749" i="2"/>
  <c r="F748" i="2"/>
  <c r="G748" i="2"/>
  <c r="G749" i="10"/>
  <c r="N749" i="10"/>
  <c r="H749" i="10"/>
  <c r="O749" i="10"/>
  <c r="E750" i="2"/>
  <c r="F749" i="2"/>
  <c r="G749" i="2"/>
  <c r="G750" i="10"/>
  <c r="N750" i="10"/>
  <c r="H750" i="10"/>
  <c r="O750" i="10"/>
  <c r="E751" i="2"/>
  <c r="F750" i="2"/>
  <c r="G750" i="2"/>
  <c r="G751" i="10"/>
  <c r="N751" i="10"/>
  <c r="H751" i="10"/>
  <c r="O751" i="10"/>
  <c r="E752" i="2"/>
  <c r="F751" i="2"/>
  <c r="G751" i="2"/>
  <c r="G752" i="10"/>
  <c r="N752" i="10"/>
  <c r="H752" i="10"/>
  <c r="O752" i="10"/>
  <c r="E753" i="2"/>
  <c r="F752" i="2"/>
  <c r="G752" i="2"/>
  <c r="G753" i="10"/>
  <c r="N753" i="10"/>
  <c r="H753" i="10"/>
  <c r="O753" i="10"/>
  <c r="E754" i="2"/>
  <c r="F753" i="2"/>
  <c r="G753" i="2"/>
  <c r="G754" i="10"/>
  <c r="N754" i="10"/>
  <c r="H754" i="10"/>
  <c r="O754" i="10"/>
  <c r="E755" i="2"/>
  <c r="F754" i="2"/>
  <c r="G754" i="2"/>
  <c r="G755" i="10"/>
  <c r="N755" i="10"/>
  <c r="H755" i="10"/>
  <c r="O755" i="10"/>
  <c r="E756" i="2"/>
  <c r="F755" i="2"/>
  <c r="G755" i="2"/>
  <c r="G756" i="10"/>
  <c r="N756" i="10"/>
  <c r="H756" i="10"/>
  <c r="O756" i="10"/>
  <c r="E757" i="2"/>
  <c r="F756" i="2"/>
  <c r="G756" i="2"/>
  <c r="G757" i="10"/>
  <c r="N757" i="10"/>
  <c r="H757" i="10"/>
  <c r="O757" i="10"/>
  <c r="E758" i="2"/>
  <c r="F757" i="2"/>
  <c r="G757" i="2"/>
  <c r="G758" i="10"/>
  <c r="N758" i="10"/>
  <c r="H758" i="10"/>
  <c r="O758" i="10"/>
  <c r="E759" i="2"/>
  <c r="F758" i="2"/>
  <c r="G758" i="2"/>
  <c r="G759" i="10"/>
  <c r="N759" i="10"/>
  <c r="H759" i="10"/>
  <c r="O759" i="10"/>
  <c r="E760" i="2"/>
  <c r="F759" i="2"/>
  <c r="G759" i="2"/>
  <c r="G760" i="10"/>
  <c r="N760" i="10"/>
  <c r="H760" i="10"/>
  <c r="O760" i="10"/>
  <c r="E761" i="2"/>
  <c r="F760" i="2"/>
  <c r="G760" i="2"/>
  <c r="G761" i="10"/>
  <c r="N761" i="10"/>
  <c r="H761" i="10"/>
  <c r="O761" i="10"/>
  <c r="E762" i="2"/>
  <c r="F761" i="2"/>
  <c r="G761" i="2"/>
  <c r="G762" i="10"/>
  <c r="N762" i="10"/>
  <c r="H762" i="10"/>
  <c r="O762" i="10"/>
  <c r="E763" i="2"/>
  <c r="F762" i="2"/>
  <c r="G762" i="2"/>
  <c r="G763" i="10"/>
  <c r="N763" i="10"/>
  <c r="H763" i="10"/>
  <c r="O763" i="10"/>
  <c r="E764" i="2"/>
  <c r="F763" i="2"/>
  <c r="G763" i="2"/>
  <c r="G764" i="10"/>
  <c r="N764" i="10"/>
  <c r="H764" i="10"/>
  <c r="O764" i="10"/>
  <c r="E765" i="2"/>
  <c r="F764" i="2"/>
  <c r="G764" i="2"/>
  <c r="G765" i="10"/>
  <c r="N765" i="10"/>
  <c r="H765" i="10"/>
  <c r="O765" i="10"/>
  <c r="E766" i="2"/>
  <c r="F765" i="2"/>
  <c r="G765" i="2"/>
  <c r="G766" i="10"/>
  <c r="N766" i="10"/>
  <c r="H766" i="10"/>
  <c r="O766" i="10"/>
  <c r="E767" i="2"/>
  <c r="F766" i="2"/>
  <c r="G766" i="2"/>
  <c r="G767" i="10"/>
  <c r="N767" i="10"/>
  <c r="H767" i="10"/>
  <c r="O767" i="10"/>
  <c r="E768" i="2"/>
  <c r="F767" i="2"/>
  <c r="G767" i="2"/>
  <c r="G768" i="10"/>
  <c r="N768" i="10"/>
  <c r="H768" i="10"/>
  <c r="O768" i="10"/>
  <c r="E769" i="2"/>
  <c r="F768" i="2"/>
  <c r="G768" i="2"/>
  <c r="G769" i="10"/>
  <c r="N769" i="10"/>
  <c r="H769" i="10"/>
  <c r="O769" i="10"/>
  <c r="E770" i="2"/>
  <c r="F769" i="2"/>
  <c r="G769" i="2"/>
  <c r="G770" i="10"/>
  <c r="N770" i="10"/>
  <c r="H770" i="10"/>
  <c r="O770" i="10"/>
  <c r="E771" i="2"/>
  <c r="F770" i="2"/>
  <c r="G770" i="2"/>
  <c r="G771" i="10"/>
  <c r="N771" i="10"/>
  <c r="H771" i="10"/>
  <c r="O771" i="10"/>
  <c r="E772" i="2"/>
  <c r="F771" i="2"/>
  <c r="G771" i="2"/>
  <c r="G772" i="10"/>
  <c r="N772" i="10"/>
  <c r="H772" i="10"/>
  <c r="O772" i="10"/>
  <c r="E773" i="2"/>
  <c r="F772" i="2"/>
  <c r="G772" i="2"/>
  <c r="G773" i="10"/>
  <c r="N773" i="10"/>
  <c r="H773" i="10"/>
  <c r="O773" i="10"/>
  <c r="E774" i="2"/>
  <c r="F773" i="2"/>
  <c r="G773" i="2"/>
  <c r="G774" i="10"/>
  <c r="N774" i="10"/>
  <c r="H774" i="10"/>
  <c r="O774" i="10"/>
  <c r="E775" i="2"/>
  <c r="F774" i="2"/>
  <c r="G774" i="2"/>
  <c r="G775" i="10"/>
  <c r="N775" i="10"/>
  <c r="H775" i="10"/>
  <c r="O775" i="10"/>
  <c r="E776" i="2"/>
  <c r="F775" i="2"/>
  <c r="G775" i="2"/>
  <c r="G776" i="10"/>
  <c r="N776" i="10"/>
  <c r="H776" i="10"/>
  <c r="O776" i="10"/>
  <c r="E777" i="2"/>
  <c r="F776" i="2"/>
  <c r="G776" i="2"/>
  <c r="G777" i="10"/>
  <c r="N777" i="10"/>
  <c r="H777" i="10"/>
  <c r="O777" i="10"/>
  <c r="E778" i="2"/>
  <c r="F777" i="2"/>
  <c r="G777" i="2"/>
  <c r="G778" i="10"/>
  <c r="N778" i="10"/>
  <c r="H778" i="10"/>
  <c r="O778" i="10"/>
  <c r="E779" i="2"/>
  <c r="F778" i="2"/>
  <c r="G778" i="2"/>
  <c r="G779" i="10"/>
  <c r="N779" i="10"/>
  <c r="H779" i="10"/>
  <c r="O779" i="10"/>
  <c r="E780" i="2"/>
  <c r="F779" i="2"/>
  <c r="G779" i="2"/>
  <c r="G780" i="10"/>
  <c r="N780" i="10"/>
  <c r="H780" i="10"/>
  <c r="O780" i="10"/>
  <c r="E781" i="2"/>
  <c r="F780" i="2"/>
  <c r="G780" i="2"/>
  <c r="G781" i="10"/>
  <c r="N781" i="10"/>
  <c r="H781" i="10"/>
  <c r="O781" i="10"/>
  <c r="E782" i="2"/>
  <c r="F781" i="2"/>
  <c r="G781" i="2"/>
  <c r="G782" i="10"/>
  <c r="N782" i="10"/>
  <c r="H782" i="10"/>
  <c r="O782" i="10"/>
  <c r="E783" i="2"/>
  <c r="F782" i="2"/>
  <c r="G782" i="2"/>
  <c r="G783" i="10"/>
  <c r="N783" i="10"/>
  <c r="H783" i="10"/>
  <c r="O783" i="10"/>
  <c r="E784" i="2"/>
  <c r="F783" i="2"/>
  <c r="G783" i="2"/>
  <c r="G784" i="10"/>
  <c r="N784" i="10"/>
  <c r="H784" i="10"/>
  <c r="O784" i="10"/>
  <c r="E785" i="2"/>
  <c r="F784" i="2"/>
  <c r="G784" i="2"/>
  <c r="G785" i="10"/>
  <c r="N785" i="10"/>
  <c r="H785" i="10"/>
  <c r="O785" i="10"/>
  <c r="E786" i="2"/>
  <c r="F785" i="2"/>
  <c r="G785" i="2"/>
  <c r="G786" i="10"/>
  <c r="N786" i="10"/>
  <c r="H786" i="10"/>
  <c r="O786" i="10"/>
  <c r="E787" i="2"/>
  <c r="F786" i="2"/>
  <c r="G786" i="2"/>
  <c r="G787" i="10"/>
  <c r="N787" i="10"/>
  <c r="H787" i="10"/>
  <c r="O787" i="10"/>
  <c r="E788" i="2"/>
  <c r="F787" i="2"/>
  <c r="G787" i="2"/>
  <c r="G788" i="10"/>
  <c r="N788" i="10"/>
  <c r="H788" i="10"/>
  <c r="O788" i="10"/>
  <c r="H39" i="10"/>
  <c r="O41" i="10"/>
  <c r="N41" i="10"/>
  <c r="H790" i="10"/>
  <c r="G790" i="10"/>
  <c r="H791" i="10"/>
  <c r="O3" i="17"/>
  <c r="O2" i="17"/>
  <c r="N3" i="17"/>
  <c r="N4" i="17"/>
  <c r="N5" i="17"/>
  <c r="O5" i="17"/>
  <c r="N6" i="17"/>
  <c r="O6" i="17"/>
  <c r="N7" i="17"/>
  <c r="O7" i="17"/>
  <c r="N8" i="17"/>
  <c r="O8" i="17"/>
  <c r="N9" i="17"/>
  <c r="O9" i="17"/>
  <c r="N10" i="17"/>
  <c r="O10" i="17"/>
  <c r="N11" i="17"/>
  <c r="O11" i="17"/>
  <c r="N12" i="17"/>
  <c r="O12" i="17"/>
  <c r="N13" i="17"/>
  <c r="O13" i="17"/>
  <c r="N14" i="17"/>
  <c r="O14" i="17"/>
  <c r="N15" i="17"/>
  <c r="O15" i="17"/>
  <c r="N16" i="17"/>
  <c r="O16" i="17"/>
  <c r="N17" i="17"/>
  <c r="O17" i="17"/>
  <c r="N18" i="17"/>
  <c r="O18" i="17"/>
  <c r="N19" i="17"/>
  <c r="O19" i="17"/>
  <c r="N20" i="17"/>
  <c r="O20" i="17"/>
  <c r="N21" i="17"/>
  <c r="O21" i="17"/>
  <c r="N22" i="17"/>
  <c r="O22" i="17"/>
  <c r="N23" i="17"/>
  <c r="O23" i="17"/>
  <c r="N24" i="17"/>
  <c r="O24" i="17"/>
  <c r="N25" i="17"/>
  <c r="O25" i="17"/>
  <c r="N26" i="17"/>
  <c r="O26" i="17"/>
  <c r="N27" i="17"/>
  <c r="O27" i="17"/>
  <c r="N28" i="17"/>
  <c r="O28" i="17"/>
  <c r="N29" i="17"/>
  <c r="O29" i="17"/>
  <c r="N30" i="17"/>
  <c r="O30" i="17"/>
  <c r="N31" i="17"/>
  <c r="O31" i="17"/>
  <c r="N32" i="17"/>
  <c r="O32" i="17"/>
  <c r="N33" i="17"/>
  <c r="O33" i="17"/>
  <c r="N34" i="17"/>
  <c r="O34" i="17"/>
  <c r="N35" i="17"/>
  <c r="O35" i="17"/>
  <c r="N36" i="17"/>
  <c r="O36" i="17"/>
  <c r="N37" i="17"/>
  <c r="O37" i="17"/>
  <c r="N38" i="17"/>
  <c r="O38" i="17"/>
  <c r="N39" i="17"/>
  <c r="O39" i="17"/>
  <c r="N40" i="17"/>
  <c r="O40" i="17"/>
  <c r="N41" i="17"/>
  <c r="O41" i="17"/>
  <c r="N42" i="17"/>
  <c r="O42" i="17"/>
  <c r="N43" i="17"/>
  <c r="O43" i="17"/>
  <c r="N44" i="17"/>
  <c r="O44" i="17"/>
  <c r="N45" i="17"/>
  <c r="O45" i="17"/>
  <c r="N46" i="17"/>
  <c r="O46" i="17"/>
  <c r="N47" i="17"/>
  <c r="O47" i="17"/>
  <c r="N48" i="17"/>
  <c r="O48" i="17"/>
  <c r="N49" i="17"/>
  <c r="O49" i="17"/>
  <c r="N50" i="17"/>
  <c r="O50" i="17"/>
  <c r="N51" i="17"/>
  <c r="O51" i="17"/>
  <c r="N52" i="17"/>
  <c r="O52" i="17"/>
  <c r="N53" i="17"/>
  <c r="O53" i="17"/>
  <c r="N54" i="17"/>
  <c r="O54" i="17"/>
  <c r="N55" i="17"/>
  <c r="O55" i="17"/>
  <c r="N56" i="17"/>
  <c r="O56" i="17"/>
  <c r="N57" i="17"/>
  <c r="O57" i="17"/>
  <c r="N58" i="17"/>
  <c r="O58" i="17"/>
  <c r="N59" i="17"/>
  <c r="O59" i="17"/>
  <c r="N60" i="17"/>
  <c r="O60" i="17"/>
  <c r="N61" i="17"/>
  <c r="O61" i="17"/>
  <c r="N62" i="17"/>
  <c r="O62" i="17"/>
  <c r="N63" i="17"/>
  <c r="O63" i="17"/>
  <c r="N64" i="17"/>
  <c r="O64" i="17"/>
  <c r="N65" i="17"/>
  <c r="O65" i="17"/>
  <c r="N66" i="17"/>
  <c r="O66" i="17"/>
  <c r="N67" i="17"/>
  <c r="O67" i="17"/>
  <c r="N68" i="17"/>
  <c r="O68" i="17"/>
  <c r="N69" i="17"/>
  <c r="O69" i="17"/>
  <c r="N70" i="17"/>
  <c r="O70" i="17"/>
  <c r="N71" i="17"/>
  <c r="O71" i="17"/>
  <c r="N72" i="17"/>
  <c r="O72" i="17"/>
  <c r="N73" i="17"/>
  <c r="O73" i="17"/>
  <c r="N74" i="17"/>
  <c r="O74" i="17"/>
  <c r="N75" i="17"/>
  <c r="O75" i="17"/>
  <c r="N76" i="17"/>
  <c r="O76" i="17"/>
  <c r="N77" i="17"/>
  <c r="O77" i="17"/>
  <c r="N78" i="17"/>
  <c r="O78" i="17"/>
  <c r="N79" i="17"/>
  <c r="O79" i="17"/>
  <c r="N80" i="17"/>
  <c r="O80" i="17"/>
  <c r="N81" i="17"/>
  <c r="O81" i="17"/>
  <c r="N82" i="17"/>
  <c r="O82" i="17"/>
  <c r="N83" i="17"/>
  <c r="O83" i="17"/>
  <c r="N84" i="17"/>
  <c r="O84" i="17"/>
  <c r="N85" i="17"/>
  <c r="O85" i="17"/>
  <c r="N86" i="17"/>
  <c r="O86" i="17"/>
  <c r="N87" i="17"/>
  <c r="O87" i="17"/>
  <c r="N88" i="17"/>
  <c r="O88" i="17"/>
  <c r="N89" i="17"/>
  <c r="O89" i="17"/>
  <c r="N90" i="17"/>
  <c r="O90" i="17"/>
  <c r="N91" i="17"/>
  <c r="O91" i="17"/>
  <c r="N92" i="17"/>
  <c r="O92" i="17"/>
  <c r="N93" i="17"/>
  <c r="O93" i="17"/>
  <c r="N94" i="17"/>
  <c r="O94" i="17"/>
  <c r="N95" i="17"/>
  <c r="O95" i="17"/>
  <c r="N96" i="17"/>
  <c r="O96" i="17"/>
  <c r="N97" i="17"/>
  <c r="O97" i="17"/>
  <c r="N98" i="17"/>
  <c r="O98" i="17"/>
  <c r="N99" i="17"/>
  <c r="O99" i="17"/>
  <c r="N100" i="17"/>
  <c r="O100" i="17"/>
  <c r="N101" i="17"/>
  <c r="O101" i="17"/>
  <c r="N102" i="17"/>
  <c r="O102" i="17"/>
  <c r="N103" i="17"/>
  <c r="O103" i="17"/>
  <c r="N104" i="17"/>
  <c r="O104" i="17"/>
  <c r="N105" i="17"/>
  <c r="O105" i="17"/>
  <c r="N106" i="17"/>
  <c r="O106" i="17"/>
  <c r="N107" i="17"/>
  <c r="O107" i="17"/>
  <c r="N108" i="17"/>
  <c r="O108" i="17"/>
  <c r="N109" i="17"/>
  <c r="O109" i="17"/>
  <c r="N110" i="17"/>
  <c r="O110" i="17"/>
  <c r="N111" i="17"/>
  <c r="O111" i="17"/>
  <c r="N112" i="17"/>
  <c r="O112" i="17"/>
  <c r="N113" i="17"/>
  <c r="O113" i="17"/>
  <c r="N114" i="17"/>
  <c r="O114" i="17"/>
  <c r="N115" i="17"/>
  <c r="O115" i="17"/>
  <c r="N116" i="17"/>
  <c r="O116" i="17"/>
  <c r="N117" i="17"/>
  <c r="O117" i="17"/>
  <c r="N118" i="17"/>
  <c r="O118" i="17"/>
  <c r="N119" i="17"/>
  <c r="O119" i="17"/>
  <c r="N120" i="17"/>
  <c r="O120" i="17"/>
  <c r="N121" i="17"/>
  <c r="O121" i="17"/>
  <c r="N122" i="17"/>
  <c r="O122" i="17"/>
  <c r="N123" i="17"/>
  <c r="O123" i="17"/>
  <c r="N124" i="17"/>
  <c r="O124" i="17"/>
  <c r="N125" i="17"/>
  <c r="O125" i="17"/>
  <c r="N126" i="17"/>
  <c r="O126" i="17"/>
  <c r="N127" i="17"/>
  <c r="O127" i="17"/>
  <c r="N128" i="17"/>
  <c r="O128" i="17"/>
  <c r="N129" i="17"/>
  <c r="O129" i="17"/>
  <c r="N130" i="17"/>
  <c r="O130" i="17"/>
  <c r="N131" i="17"/>
  <c r="O131" i="17"/>
  <c r="N132" i="17"/>
  <c r="O132" i="17"/>
  <c r="N133" i="17"/>
  <c r="O133" i="17"/>
  <c r="N134" i="17"/>
  <c r="O134" i="17"/>
  <c r="N135" i="17"/>
  <c r="O135" i="17"/>
  <c r="N136" i="17"/>
  <c r="O136" i="17"/>
  <c r="N137" i="17"/>
  <c r="O137" i="17"/>
  <c r="N138" i="17"/>
  <c r="O138" i="17"/>
  <c r="N139" i="17"/>
  <c r="O139" i="17"/>
  <c r="N140" i="17"/>
  <c r="O140" i="17"/>
  <c r="N141" i="17"/>
  <c r="O141" i="17"/>
  <c r="N142" i="17"/>
  <c r="O142" i="17"/>
  <c r="N143" i="17"/>
  <c r="O143" i="17"/>
  <c r="N144" i="17"/>
  <c r="O144" i="17"/>
  <c r="N145" i="17"/>
  <c r="O145" i="17"/>
  <c r="N146" i="17"/>
  <c r="O146" i="17"/>
  <c r="N147" i="17"/>
  <c r="O147" i="17"/>
  <c r="N148" i="17"/>
  <c r="O148" i="17"/>
  <c r="N149" i="17"/>
  <c r="O149" i="17"/>
  <c r="N150" i="17"/>
  <c r="O150" i="17"/>
  <c r="N151" i="17"/>
  <c r="O151" i="17"/>
  <c r="N152" i="17"/>
  <c r="O152" i="17"/>
  <c r="N2" i="17"/>
  <c r="O4" i="17"/>
  <c r="P1" i="17"/>
  <c r="K2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R3" i="17"/>
  <c r="R2" i="17"/>
  <c r="J3" i="17"/>
  <c r="J4" i="17"/>
  <c r="J5" i="17"/>
  <c r="R5" i="17"/>
  <c r="J6" i="17"/>
  <c r="R6" i="17"/>
  <c r="J7" i="17"/>
  <c r="R7" i="17"/>
  <c r="J8" i="17"/>
  <c r="R8" i="17"/>
  <c r="J9" i="17"/>
  <c r="R9" i="17"/>
  <c r="J10" i="17"/>
  <c r="R10" i="17"/>
  <c r="J11" i="17"/>
  <c r="R11" i="17"/>
  <c r="J12" i="17"/>
  <c r="R12" i="17"/>
  <c r="J13" i="17"/>
  <c r="R13" i="17"/>
  <c r="J14" i="17"/>
  <c r="R14" i="17"/>
  <c r="J15" i="17"/>
  <c r="R15" i="17"/>
  <c r="J16" i="17"/>
  <c r="R16" i="17"/>
  <c r="J17" i="17"/>
  <c r="R17" i="17"/>
  <c r="J18" i="17"/>
  <c r="R18" i="17"/>
  <c r="J19" i="17"/>
  <c r="R19" i="17"/>
  <c r="J20" i="17"/>
  <c r="R20" i="17"/>
  <c r="J21" i="17"/>
  <c r="R21" i="17"/>
  <c r="J22" i="17"/>
  <c r="R22" i="17"/>
  <c r="J23" i="17"/>
  <c r="R23" i="17"/>
  <c r="J24" i="17"/>
  <c r="R24" i="17"/>
  <c r="J25" i="17"/>
  <c r="R25" i="17"/>
  <c r="J26" i="17"/>
  <c r="R26" i="17"/>
  <c r="J27" i="17"/>
  <c r="R27" i="17"/>
  <c r="J28" i="17"/>
  <c r="R28" i="17"/>
  <c r="J29" i="17"/>
  <c r="R29" i="17"/>
  <c r="J30" i="17"/>
  <c r="R30" i="17"/>
  <c r="J31" i="17"/>
  <c r="R31" i="17"/>
  <c r="J32" i="17"/>
  <c r="R32" i="17"/>
  <c r="J33" i="17"/>
  <c r="R33" i="17"/>
  <c r="J34" i="17"/>
  <c r="R34" i="17"/>
  <c r="J35" i="17"/>
  <c r="R35" i="17"/>
  <c r="J36" i="17"/>
  <c r="R36" i="17"/>
  <c r="J37" i="17"/>
  <c r="R37" i="17"/>
  <c r="J38" i="17"/>
  <c r="R38" i="17"/>
  <c r="J39" i="17"/>
  <c r="R39" i="17"/>
  <c r="J40" i="17"/>
  <c r="R40" i="17"/>
  <c r="J41" i="17"/>
  <c r="R41" i="17"/>
  <c r="J42" i="17"/>
  <c r="R42" i="17"/>
  <c r="J43" i="17"/>
  <c r="R43" i="17"/>
  <c r="J44" i="17"/>
  <c r="R44" i="17"/>
  <c r="J45" i="17"/>
  <c r="R45" i="17"/>
  <c r="J46" i="17"/>
  <c r="R46" i="17"/>
  <c r="J47" i="17"/>
  <c r="R47" i="17"/>
  <c r="J48" i="17"/>
  <c r="R48" i="17"/>
  <c r="J49" i="17"/>
  <c r="R49" i="17"/>
  <c r="J50" i="17"/>
  <c r="R50" i="17"/>
  <c r="J51" i="17"/>
  <c r="R51" i="17"/>
  <c r="J52" i="17"/>
  <c r="R52" i="17"/>
  <c r="J53" i="17"/>
  <c r="R53" i="17"/>
  <c r="J54" i="17"/>
  <c r="R54" i="17"/>
  <c r="J55" i="17"/>
  <c r="R55" i="17"/>
  <c r="J56" i="17"/>
  <c r="R56" i="17"/>
  <c r="J57" i="17"/>
  <c r="R57" i="17"/>
  <c r="J58" i="17"/>
  <c r="R58" i="17"/>
  <c r="J59" i="17"/>
  <c r="R59" i="17"/>
  <c r="J60" i="17"/>
  <c r="R60" i="17"/>
  <c r="J61" i="17"/>
  <c r="R61" i="17"/>
  <c r="J62" i="17"/>
  <c r="R62" i="17"/>
  <c r="J63" i="17"/>
  <c r="R63" i="17"/>
  <c r="J64" i="17"/>
  <c r="R64" i="17"/>
  <c r="J65" i="17"/>
  <c r="R65" i="17"/>
  <c r="J66" i="17"/>
  <c r="R66" i="17"/>
  <c r="J67" i="17"/>
  <c r="R67" i="17"/>
  <c r="J68" i="17"/>
  <c r="R68" i="17"/>
  <c r="J69" i="17"/>
  <c r="R69" i="17"/>
  <c r="J70" i="17"/>
  <c r="R70" i="17"/>
  <c r="J71" i="17"/>
  <c r="R71" i="17"/>
  <c r="J72" i="17"/>
  <c r="R72" i="17"/>
  <c r="J73" i="17"/>
  <c r="R73" i="17"/>
  <c r="J74" i="17"/>
  <c r="R74" i="17"/>
  <c r="J75" i="17"/>
  <c r="R75" i="17"/>
  <c r="J76" i="17"/>
  <c r="R76" i="17"/>
  <c r="J77" i="17"/>
  <c r="R77" i="17"/>
  <c r="J78" i="17"/>
  <c r="R78" i="17"/>
  <c r="J79" i="17"/>
  <c r="R79" i="17"/>
  <c r="J80" i="17"/>
  <c r="R80" i="17"/>
  <c r="J81" i="17"/>
  <c r="R81" i="17"/>
  <c r="J82" i="17"/>
  <c r="R82" i="17"/>
  <c r="J83" i="17"/>
  <c r="R83" i="17"/>
  <c r="J84" i="17"/>
  <c r="R84" i="17"/>
  <c r="J85" i="17"/>
  <c r="R85" i="17"/>
  <c r="J86" i="17"/>
  <c r="R86" i="17"/>
  <c r="J87" i="17"/>
  <c r="R87" i="17"/>
  <c r="J88" i="17"/>
  <c r="R88" i="17"/>
  <c r="J89" i="17"/>
  <c r="R89" i="17"/>
  <c r="J90" i="17"/>
  <c r="R90" i="17"/>
  <c r="J91" i="17"/>
  <c r="R91" i="17"/>
  <c r="J92" i="17"/>
  <c r="R92" i="17"/>
  <c r="J93" i="17"/>
  <c r="R93" i="17"/>
  <c r="J94" i="17"/>
  <c r="R94" i="17"/>
  <c r="J95" i="17"/>
  <c r="R95" i="17"/>
  <c r="J96" i="17"/>
  <c r="R96" i="17"/>
  <c r="J97" i="17"/>
  <c r="R97" i="17"/>
  <c r="J98" i="17"/>
  <c r="R98" i="17"/>
  <c r="J99" i="17"/>
  <c r="R99" i="17"/>
  <c r="J100" i="17"/>
  <c r="R100" i="17"/>
  <c r="J101" i="17"/>
  <c r="R101" i="17"/>
  <c r="J102" i="17"/>
  <c r="R102" i="17"/>
  <c r="J103" i="17"/>
  <c r="R103" i="17"/>
  <c r="J104" i="17"/>
  <c r="R104" i="17"/>
  <c r="J105" i="17"/>
  <c r="R105" i="17"/>
  <c r="J106" i="17"/>
  <c r="R106" i="17"/>
  <c r="J107" i="17"/>
  <c r="R107" i="17"/>
  <c r="J108" i="17"/>
  <c r="R108" i="17"/>
  <c r="J109" i="17"/>
  <c r="R109" i="17"/>
  <c r="J110" i="17"/>
  <c r="R110" i="17"/>
  <c r="J111" i="17"/>
  <c r="R111" i="17"/>
  <c r="J112" i="17"/>
  <c r="R112" i="17"/>
  <c r="J113" i="17"/>
  <c r="R113" i="17"/>
  <c r="J114" i="17"/>
  <c r="R114" i="17"/>
  <c r="J115" i="17"/>
  <c r="R115" i="17"/>
  <c r="J116" i="17"/>
  <c r="R116" i="17"/>
  <c r="J117" i="17"/>
  <c r="R117" i="17"/>
  <c r="J118" i="17"/>
  <c r="R118" i="17"/>
  <c r="J119" i="17"/>
  <c r="R119" i="17"/>
  <c r="J120" i="17"/>
  <c r="R120" i="17"/>
  <c r="J121" i="17"/>
  <c r="R121" i="17"/>
  <c r="J122" i="17"/>
  <c r="R122" i="17"/>
  <c r="J123" i="17"/>
  <c r="R123" i="17"/>
  <c r="J124" i="17"/>
  <c r="R124" i="17"/>
  <c r="J125" i="17"/>
  <c r="R125" i="17"/>
  <c r="J126" i="17"/>
  <c r="R126" i="17"/>
  <c r="J127" i="17"/>
  <c r="R127" i="17"/>
  <c r="J128" i="17"/>
  <c r="R128" i="17"/>
  <c r="J129" i="17"/>
  <c r="R129" i="17"/>
  <c r="J130" i="17"/>
  <c r="R130" i="17"/>
  <c r="J131" i="17"/>
  <c r="R131" i="17"/>
  <c r="J132" i="17"/>
  <c r="R132" i="17"/>
  <c r="J133" i="17"/>
  <c r="R133" i="17"/>
  <c r="J134" i="17"/>
  <c r="R134" i="17"/>
  <c r="J135" i="17"/>
  <c r="R135" i="17"/>
  <c r="J136" i="17"/>
  <c r="R136" i="17"/>
  <c r="J137" i="17"/>
  <c r="R137" i="17"/>
  <c r="J138" i="17"/>
  <c r="R138" i="17"/>
  <c r="J139" i="17"/>
  <c r="R139" i="17"/>
  <c r="J140" i="17"/>
  <c r="R140" i="17"/>
  <c r="J141" i="17"/>
  <c r="R141" i="17"/>
  <c r="J142" i="17"/>
  <c r="R142" i="17"/>
  <c r="J143" i="17"/>
  <c r="R143" i="17"/>
  <c r="J144" i="17"/>
  <c r="R144" i="17"/>
  <c r="J145" i="17"/>
  <c r="R145" i="17"/>
  <c r="J146" i="17"/>
  <c r="R146" i="17"/>
  <c r="J147" i="17"/>
  <c r="R147" i="17"/>
  <c r="J148" i="17"/>
  <c r="R148" i="17"/>
  <c r="J149" i="17"/>
  <c r="R149" i="17"/>
  <c r="J150" i="17"/>
  <c r="R150" i="17"/>
  <c r="J151" i="17"/>
  <c r="R151" i="17"/>
  <c r="J152" i="17"/>
  <c r="R152" i="17"/>
  <c r="I2" i="17"/>
  <c r="J2" i="17"/>
  <c r="R4" i="17"/>
  <c r="P3" i="17"/>
  <c r="P2" i="17"/>
  <c r="R1" i="17"/>
  <c r="M152" i="17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M151" i="17"/>
  <c r="M150" i="17"/>
  <c r="M149" i="17"/>
  <c r="M148" i="17"/>
  <c r="M147" i="17"/>
  <c r="M146" i="17"/>
  <c r="M145" i="17"/>
  <c r="M144" i="17"/>
  <c r="M143" i="17"/>
  <c r="M142" i="17"/>
  <c r="M141" i="17"/>
  <c r="M140" i="17"/>
  <c r="M139" i="17"/>
  <c r="M138" i="17"/>
  <c r="M137" i="17"/>
  <c r="M136" i="17"/>
  <c r="M135" i="17"/>
  <c r="M134" i="17"/>
  <c r="M133" i="17"/>
  <c r="M132" i="17"/>
  <c r="M131" i="17"/>
  <c r="M130" i="17"/>
  <c r="M129" i="17"/>
  <c r="M128" i="17"/>
  <c r="M127" i="17"/>
  <c r="M126" i="17"/>
  <c r="M125" i="17"/>
  <c r="M124" i="17"/>
  <c r="M123" i="17"/>
  <c r="M122" i="17"/>
  <c r="M121" i="17"/>
  <c r="M120" i="17"/>
  <c r="M119" i="17"/>
  <c r="M118" i="17"/>
  <c r="M117" i="17"/>
  <c r="M116" i="17"/>
  <c r="M115" i="17"/>
  <c r="M114" i="17"/>
  <c r="M113" i="17"/>
  <c r="M112" i="17"/>
  <c r="M111" i="17"/>
  <c r="M110" i="17"/>
  <c r="M109" i="17"/>
  <c r="M108" i="17"/>
  <c r="M107" i="17"/>
  <c r="M106" i="17"/>
  <c r="M105" i="17"/>
  <c r="M104" i="17"/>
  <c r="M103" i="17"/>
  <c r="M102" i="17"/>
  <c r="M101" i="17"/>
  <c r="M100" i="17"/>
  <c r="M99" i="17"/>
  <c r="M98" i="17"/>
  <c r="M97" i="17"/>
  <c r="M96" i="17"/>
  <c r="M95" i="17"/>
  <c r="M94" i="17"/>
  <c r="M93" i="17"/>
  <c r="M92" i="17"/>
  <c r="M91" i="17"/>
  <c r="M90" i="17"/>
  <c r="M89" i="17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70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7" i="17"/>
  <c r="M6" i="17"/>
  <c r="M5" i="17"/>
  <c r="M4" i="17"/>
  <c r="M3" i="17"/>
  <c r="M2" i="17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Z194" i="10"/>
  <c r="Z195" i="10"/>
  <c r="Z196" i="10"/>
  <c r="Z197" i="10"/>
  <c r="Z198" i="10"/>
  <c r="Z199" i="10"/>
  <c r="Z200" i="10"/>
  <c r="Z201" i="10"/>
  <c r="Z202" i="10"/>
  <c r="Z203" i="10"/>
  <c r="Z204" i="10"/>
  <c r="Z205" i="10"/>
  <c r="Z206" i="10"/>
  <c r="Z207" i="10"/>
  <c r="Z208" i="10"/>
  <c r="Z209" i="10"/>
  <c r="Z210" i="10"/>
  <c r="Z211" i="10"/>
  <c r="Z212" i="10"/>
  <c r="Z213" i="10"/>
  <c r="Z214" i="10"/>
  <c r="Z215" i="10"/>
  <c r="Z216" i="10"/>
  <c r="Z217" i="10"/>
  <c r="Z218" i="10"/>
  <c r="Z219" i="10"/>
  <c r="Z220" i="10"/>
  <c r="Z221" i="10"/>
  <c r="Z222" i="10"/>
  <c r="Z223" i="10"/>
  <c r="Z224" i="10"/>
  <c r="Z225" i="10"/>
  <c r="Z226" i="10"/>
  <c r="Z227" i="10"/>
  <c r="Z228" i="10"/>
  <c r="Z229" i="10"/>
  <c r="Z230" i="10"/>
  <c r="Z231" i="10"/>
  <c r="Z232" i="10"/>
  <c r="Z233" i="10"/>
  <c r="Z234" i="10"/>
  <c r="Z235" i="10"/>
  <c r="Z236" i="10"/>
  <c r="Z237" i="10"/>
  <c r="Z238" i="10"/>
  <c r="Z239" i="10"/>
  <c r="Z240" i="10"/>
  <c r="Z241" i="10"/>
  <c r="Z242" i="10"/>
  <c r="Z243" i="10"/>
  <c r="Z244" i="10"/>
  <c r="Z245" i="10"/>
  <c r="Z246" i="10"/>
  <c r="Z247" i="10"/>
  <c r="Z248" i="10"/>
  <c r="Z249" i="10"/>
  <c r="Z250" i="10"/>
  <c r="Z251" i="10"/>
  <c r="Z252" i="10"/>
  <c r="Z253" i="10"/>
  <c r="Z254" i="10"/>
  <c r="Z3" i="10"/>
  <c r="Y4" i="10"/>
  <c r="Y5" i="10"/>
  <c r="Y6" i="10"/>
  <c r="Y7" i="10"/>
  <c r="Y8" i="10"/>
  <c r="Y9" i="10"/>
  <c r="Y10" i="10"/>
  <c r="Y11" i="10"/>
  <c r="Y12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7" i="10"/>
  <c r="Y98" i="10"/>
  <c r="Y99" i="10"/>
  <c r="Y100" i="10"/>
  <c r="Y101" i="10"/>
  <c r="Y102" i="10"/>
  <c r="Y103" i="10"/>
  <c r="Y104" i="10"/>
  <c r="Y105" i="10"/>
  <c r="Y106" i="10"/>
  <c r="Y107" i="10"/>
  <c r="Y108" i="10"/>
  <c r="Y109" i="10"/>
  <c r="Y110" i="10"/>
  <c r="Y111" i="10"/>
  <c r="Y112" i="10"/>
  <c r="Y113" i="10"/>
  <c r="Y114" i="10"/>
  <c r="Y115" i="10"/>
  <c r="Y116" i="10"/>
  <c r="Y117" i="10"/>
  <c r="Y118" i="10"/>
  <c r="Y119" i="10"/>
  <c r="Y120" i="10"/>
  <c r="Y121" i="10"/>
  <c r="Y122" i="10"/>
  <c r="Y123" i="10"/>
  <c r="Y124" i="10"/>
  <c r="Y125" i="10"/>
  <c r="Y126" i="10"/>
  <c r="Y127" i="10"/>
  <c r="Y128" i="10"/>
  <c r="Y129" i="10"/>
  <c r="Y130" i="10"/>
  <c r="Y131" i="10"/>
  <c r="Y132" i="10"/>
  <c r="Y133" i="10"/>
  <c r="Y134" i="10"/>
  <c r="Y135" i="10"/>
  <c r="Y136" i="10"/>
  <c r="Y137" i="10"/>
  <c r="Y138" i="10"/>
  <c r="Y139" i="10"/>
  <c r="Y140" i="10"/>
  <c r="Y141" i="10"/>
  <c r="Y142" i="10"/>
  <c r="Y143" i="10"/>
  <c r="Y144" i="10"/>
  <c r="Y145" i="10"/>
  <c r="Y146" i="10"/>
  <c r="Y147" i="10"/>
  <c r="Y148" i="10"/>
  <c r="Y149" i="10"/>
  <c r="Y150" i="10"/>
  <c r="Y151" i="10"/>
  <c r="Y152" i="10"/>
  <c r="Y153" i="10"/>
  <c r="Y154" i="10"/>
  <c r="Y155" i="10"/>
  <c r="Y156" i="10"/>
  <c r="Y157" i="10"/>
  <c r="Y158" i="10"/>
  <c r="Y159" i="10"/>
  <c r="Y160" i="10"/>
  <c r="Y161" i="10"/>
  <c r="Y162" i="10"/>
  <c r="Y163" i="10"/>
  <c r="Y164" i="10"/>
  <c r="Y165" i="10"/>
  <c r="Y166" i="10"/>
  <c r="Y167" i="10"/>
  <c r="Y168" i="10"/>
  <c r="Y169" i="10"/>
  <c r="Y170" i="10"/>
  <c r="Y171" i="10"/>
  <c r="Y172" i="10"/>
  <c r="Y173" i="10"/>
  <c r="Y174" i="10"/>
  <c r="Y175" i="10"/>
  <c r="Y176" i="10"/>
  <c r="Y177" i="10"/>
  <c r="Y178" i="10"/>
  <c r="Y179" i="10"/>
  <c r="Y180" i="10"/>
  <c r="Y181" i="10"/>
  <c r="Y182" i="10"/>
  <c r="Y183" i="10"/>
  <c r="Y184" i="10"/>
  <c r="Y185" i="10"/>
  <c r="Y186" i="10"/>
  <c r="Y187" i="10"/>
  <c r="Y188" i="10"/>
  <c r="Y189" i="10"/>
  <c r="Y190" i="10"/>
  <c r="Y191" i="10"/>
  <c r="Y192" i="10"/>
  <c r="Y193" i="10"/>
  <c r="Y194" i="10"/>
  <c r="Y195" i="10"/>
  <c r="Y196" i="10"/>
  <c r="Y197" i="10"/>
  <c r="Y198" i="10"/>
  <c r="Y199" i="10"/>
  <c r="Y200" i="10"/>
  <c r="Y201" i="10"/>
  <c r="Y202" i="10"/>
  <c r="Y203" i="10"/>
  <c r="Y204" i="10"/>
  <c r="Y205" i="10"/>
  <c r="Y206" i="10"/>
  <c r="Y207" i="10"/>
  <c r="Y208" i="10"/>
  <c r="Y209" i="10"/>
  <c r="Y210" i="10"/>
  <c r="Y211" i="10"/>
  <c r="Y212" i="10"/>
  <c r="Y213" i="10"/>
  <c r="Y214" i="10"/>
  <c r="Y215" i="10"/>
  <c r="Y216" i="10"/>
  <c r="Y217" i="10"/>
  <c r="Y218" i="10"/>
  <c r="Y219" i="10"/>
  <c r="Y220" i="10"/>
  <c r="Y221" i="10"/>
  <c r="Y222" i="10"/>
  <c r="Y223" i="10"/>
  <c r="Y224" i="10"/>
  <c r="Y225" i="10"/>
  <c r="Y226" i="10"/>
  <c r="Y227" i="10"/>
  <c r="Y228" i="10"/>
  <c r="Y229" i="10"/>
  <c r="Y230" i="10"/>
  <c r="Y231" i="10"/>
  <c r="Y232" i="10"/>
  <c r="Y233" i="10"/>
  <c r="Y234" i="10"/>
  <c r="Y235" i="10"/>
  <c r="Y236" i="10"/>
  <c r="Y237" i="10"/>
  <c r="Y238" i="10"/>
  <c r="Y239" i="10"/>
  <c r="Y240" i="10"/>
  <c r="Y241" i="10"/>
  <c r="Y242" i="10"/>
  <c r="Y243" i="10"/>
  <c r="Y244" i="10"/>
  <c r="Y245" i="10"/>
  <c r="Y246" i="10"/>
  <c r="Y247" i="10"/>
  <c r="Y248" i="10"/>
  <c r="Y249" i="10"/>
  <c r="Y250" i="10"/>
  <c r="Y251" i="10"/>
  <c r="Y252" i="10"/>
  <c r="Y253" i="10"/>
  <c r="Y254" i="10"/>
  <c r="Y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3" i="10"/>
  <c r="W4" i="10"/>
  <c r="W5" i="10"/>
  <c r="W6" i="10"/>
  <c r="W7" i="10"/>
  <c r="W8" i="10"/>
  <c r="W9" i="10"/>
  <c r="W10" i="10"/>
  <c r="W11" i="10"/>
  <c r="W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05" i="10"/>
  <c r="W106" i="10"/>
  <c r="W107" i="10"/>
  <c r="W108" i="10"/>
  <c r="W109" i="10"/>
  <c r="W110" i="10"/>
  <c r="W111" i="10"/>
  <c r="W112" i="10"/>
  <c r="W113" i="10"/>
  <c r="W114" i="10"/>
  <c r="W115" i="10"/>
  <c r="W116" i="10"/>
  <c r="W117" i="10"/>
  <c r="W118" i="10"/>
  <c r="W119" i="10"/>
  <c r="W120" i="10"/>
  <c r="W121" i="10"/>
  <c r="W122" i="10"/>
  <c r="W123" i="10"/>
  <c r="W124" i="10"/>
  <c r="W125" i="10"/>
  <c r="W126" i="10"/>
  <c r="W127" i="10"/>
  <c r="W128" i="10"/>
  <c r="W129" i="10"/>
  <c r="W130" i="10"/>
  <c r="W131" i="10"/>
  <c r="W132" i="10"/>
  <c r="W133" i="10"/>
  <c r="W134" i="10"/>
  <c r="W135" i="10"/>
  <c r="W136" i="10"/>
  <c r="W137" i="10"/>
  <c r="W138" i="10"/>
  <c r="W139" i="10"/>
  <c r="W140" i="10"/>
  <c r="W141" i="10"/>
  <c r="W142" i="10"/>
  <c r="W143" i="10"/>
  <c r="W144" i="10"/>
  <c r="W145" i="10"/>
  <c r="W146" i="10"/>
  <c r="W147" i="10"/>
  <c r="W148" i="10"/>
  <c r="W149" i="10"/>
  <c r="W150" i="10"/>
  <c r="W151" i="10"/>
  <c r="W152" i="10"/>
  <c r="W153" i="10"/>
  <c r="W154" i="10"/>
  <c r="W155" i="10"/>
  <c r="W156" i="10"/>
  <c r="W157" i="10"/>
  <c r="W158" i="10"/>
  <c r="W159" i="10"/>
  <c r="W160" i="10"/>
  <c r="W161" i="10"/>
  <c r="W162" i="10"/>
  <c r="W163" i="10"/>
  <c r="W164" i="10"/>
  <c r="W165" i="10"/>
  <c r="W166" i="10"/>
  <c r="W167" i="10"/>
  <c r="W168" i="10"/>
  <c r="W169" i="10"/>
  <c r="W170" i="10"/>
  <c r="W171" i="10"/>
  <c r="W172" i="10"/>
  <c r="W173" i="10"/>
  <c r="W174" i="10"/>
  <c r="W175" i="10"/>
  <c r="W176" i="10"/>
  <c r="W177" i="10"/>
  <c r="W178" i="10"/>
  <c r="W179" i="10"/>
  <c r="W180" i="10"/>
  <c r="W181" i="10"/>
  <c r="W182" i="10"/>
  <c r="W183" i="10"/>
  <c r="W184" i="10"/>
  <c r="W185" i="10"/>
  <c r="W186" i="10"/>
  <c r="W187" i="10"/>
  <c r="W188" i="10"/>
  <c r="W189" i="10"/>
  <c r="W190" i="10"/>
  <c r="W191" i="10"/>
  <c r="W192" i="10"/>
  <c r="W193" i="10"/>
  <c r="W194" i="10"/>
  <c r="W195" i="10"/>
  <c r="W196" i="10"/>
  <c r="W197" i="10"/>
  <c r="W198" i="10"/>
  <c r="W199" i="10"/>
  <c r="W200" i="10"/>
  <c r="W201" i="10"/>
  <c r="W202" i="10"/>
  <c r="W203" i="10"/>
  <c r="W204" i="10"/>
  <c r="W205" i="10"/>
  <c r="W206" i="10"/>
  <c r="W207" i="10"/>
  <c r="W208" i="10"/>
  <c r="W209" i="10"/>
  <c r="W210" i="10"/>
  <c r="W211" i="10"/>
  <c r="W212" i="10"/>
  <c r="W213" i="10"/>
  <c r="W214" i="10"/>
  <c r="W215" i="10"/>
  <c r="W216" i="10"/>
  <c r="W217" i="10"/>
  <c r="W218" i="10"/>
  <c r="W219" i="10"/>
  <c r="W220" i="10"/>
  <c r="W221" i="10"/>
  <c r="W222" i="10"/>
  <c r="W223" i="10"/>
  <c r="W224" i="10"/>
  <c r="W225" i="10"/>
  <c r="W226" i="10"/>
  <c r="W227" i="10"/>
  <c r="W228" i="10"/>
  <c r="W229" i="10"/>
  <c r="W230" i="10"/>
  <c r="W231" i="10"/>
  <c r="W232" i="10"/>
  <c r="W233" i="10"/>
  <c r="W234" i="10"/>
  <c r="W235" i="10"/>
  <c r="W236" i="10"/>
  <c r="W237" i="10"/>
  <c r="W238" i="10"/>
  <c r="W239" i="10"/>
  <c r="W240" i="10"/>
  <c r="W241" i="10"/>
  <c r="W242" i="10"/>
  <c r="W243" i="10"/>
  <c r="W244" i="10"/>
  <c r="W245" i="10"/>
  <c r="W246" i="10"/>
  <c r="W247" i="10"/>
  <c r="W248" i="10"/>
  <c r="W249" i="10"/>
  <c r="W250" i="10"/>
  <c r="W251" i="10"/>
  <c r="W252" i="10"/>
  <c r="W253" i="10"/>
  <c r="W254" i="10"/>
  <c r="W3" i="10"/>
  <c r="D790" i="10"/>
  <c r="D791" i="10"/>
  <c r="D792" i="10"/>
  <c r="R42" i="10"/>
  <c r="R43" i="10"/>
  <c r="R45" i="10"/>
  <c r="R46" i="10"/>
  <c r="R48" i="10"/>
  <c r="R49" i="10"/>
  <c r="R51" i="10"/>
  <c r="R52" i="10"/>
  <c r="R54" i="10"/>
  <c r="R55" i="10"/>
  <c r="R57" i="10"/>
  <c r="R58" i="10"/>
  <c r="R60" i="10"/>
  <c r="R61" i="10"/>
  <c r="R63" i="10"/>
  <c r="R64" i="10"/>
  <c r="R66" i="10"/>
  <c r="R67" i="10"/>
  <c r="R69" i="10"/>
  <c r="R70" i="10"/>
  <c r="R72" i="10"/>
  <c r="R73" i="10"/>
  <c r="R75" i="10"/>
  <c r="R76" i="10"/>
  <c r="R78" i="10"/>
  <c r="R79" i="10"/>
  <c r="R81" i="10"/>
  <c r="R82" i="10"/>
  <c r="R84" i="10"/>
  <c r="R85" i="10"/>
  <c r="R87" i="10"/>
  <c r="R88" i="10"/>
  <c r="R90" i="10"/>
  <c r="R91" i="10"/>
  <c r="R93" i="10"/>
  <c r="R94" i="10"/>
  <c r="R96" i="10"/>
  <c r="R97" i="10"/>
  <c r="R99" i="10"/>
  <c r="R100" i="10"/>
  <c r="R102" i="10"/>
  <c r="R103" i="10"/>
  <c r="R105" i="10"/>
  <c r="R106" i="10"/>
  <c r="R108" i="10"/>
  <c r="R109" i="10"/>
  <c r="R111" i="10"/>
  <c r="R112" i="10"/>
  <c r="R114" i="10"/>
  <c r="R115" i="10"/>
  <c r="R117" i="10"/>
  <c r="R118" i="10"/>
  <c r="R120" i="10"/>
  <c r="R121" i="10"/>
  <c r="R123" i="10"/>
  <c r="R124" i="10"/>
  <c r="R126" i="10"/>
  <c r="R127" i="10"/>
  <c r="R129" i="10"/>
  <c r="R130" i="10"/>
  <c r="R132" i="10"/>
  <c r="R133" i="10"/>
  <c r="R135" i="10"/>
  <c r="R136" i="10"/>
  <c r="R138" i="10"/>
  <c r="R139" i="10"/>
  <c r="R141" i="10"/>
  <c r="R142" i="10"/>
  <c r="R144" i="10"/>
  <c r="R145" i="10"/>
  <c r="R147" i="10"/>
  <c r="R148" i="10"/>
  <c r="R150" i="10"/>
  <c r="R151" i="10"/>
  <c r="R153" i="10"/>
  <c r="R154" i="10"/>
  <c r="R156" i="10"/>
  <c r="R157" i="10"/>
  <c r="R159" i="10"/>
  <c r="R160" i="10"/>
  <c r="R162" i="10"/>
  <c r="R163" i="10"/>
  <c r="R165" i="10"/>
  <c r="R166" i="10"/>
  <c r="R168" i="10"/>
  <c r="R169" i="10"/>
  <c r="R171" i="10"/>
  <c r="R172" i="10"/>
  <c r="R174" i="10"/>
  <c r="R175" i="10"/>
  <c r="R177" i="10"/>
  <c r="R178" i="10"/>
  <c r="R180" i="10"/>
  <c r="R181" i="10"/>
  <c r="R183" i="10"/>
  <c r="R184" i="10"/>
  <c r="R186" i="10"/>
  <c r="R187" i="10"/>
  <c r="R189" i="10"/>
  <c r="R190" i="10"/>
  <c r="R192" i="10"/>
  <c r="R193" i="10"/>
  <c r="R195" i="10"/>
  <c r="R196" i="10"/>
  <c r="R198" i="10"/>
  <c r="R199" i="10"/>
  <c r="R201" i="10"/>
  <c r="R202" i="10"/>
  <c r="R204" i="10"/>
  <c r="R205" i="10"/>
  <c r="R207" i="10"/>
  <c r="R208" i="10"/>
  <c r="R210" i="10"/>
  <c r="R211" i="10"/>
  <c r="R213" i="10"/>
  <c r="R214" i="10"/>
  <c r="R216" i="10"/>
  <c r="R217" i="10"/>
  <c r="R219" i="10"/>
  <c r="R220" i="10"/>
  <c r="R222" i="10"/>
  <c r="R223" i="10"/>
  <c r="R225" i="10"/>
  <c r="R226" i="10"/>
  <c r="R228" i="10"/>
  <c r="R229" i="10"/>
  <c r="R231" i="10"/>
  <c r="R232" i="10"/>
  <c r="R234" i="10"/>
  <c r="R235" i="10"/>
  <c r="R237" i="10"/>
  <c r="R238" i="10"/>
  <c r="R240" i="10"/>
  <c r="R241" i="10"/>
  <c r="R243" i="10"/>
  <c r="R244" i="10"/>
  <c r="R246" i="10"/>
  <c r="R247" i="10"/>
  <c r="R249" i="10"/>
  <c r="R250" i="10"/>
  <c r="R252" i="10"/>
  <c r="R253" i="10"/>
  <c r="R255" i="10"/>
  <c r="R256" i="10"/>
  <c r="R258" i="10"/>
  <c r="R259" i="10"/>
  <c r="R261" i="10"/>
  <c r="R262" i="10"/>
  <c r="R264" i="10"/>
  <c r="R265" i="10"/>
  <c r="R267" i="10"/>
  <c r="R268" i="10"/>
  <c r="R270" i="10"/>
  <c r="R271" i="10"/>
  <c r="R273" i="10"/>
  <c r="R274" i="10"/>
  <c r="R276" i="10"/>
  <c r="R277" i="10"/>
  <c r="R279" i="10"/>
  <c r="R280" i="10"/>
  <c r="R282" i="10"/>
  <c r="R283" i="10"/>
  <c r="R285" i="10"/>
  <c r="R286" i="10"/>
  <c r="R288" i="10"/>
  <c r="R289" i="10"/>
  <c r="R291" i="10"/>
  <c r="R292" i="10"/>
  <c r="R294" i="10"/>
  <c r="R295" i="10"/>
  <c r="R297" i="10"/>
  <c r="R298" i="10"/>
  <c r="R300" i="10"/>
  <c r="R301" i="10"/>
  <c r="R303" i="10"/>
  <c r="R304" i="10"/>
  <c r="R306" i="10"/>
  <c r="R307" i="10"/>
  <c r="R309" i="10"/>
  <c r="R310" i="10"/>
  <c r="R312" i="10"/>
  <c r="R313" i="10"/>
  <c r="R315" i="10"/>
  <c r="R316" i="10"/>
  <c r="R318" i="10"/>
  <c r="R319" i="10"/>
  <c r="R321" i="10"/>
  <c r="R322" i="10"/>
  <c r="R324" i="10"/>
  <c r="R325" i="10"/>
  <c r="R327" i="10"/>
  <c r="R328" i="10"/>
  <c r="R330" i="10"/>
  <c r="R331" i="10"/>
  <c r="R333" i="10"/>
  <c r="R334" i="10"/>
  <c r="R336" i="10"/>
  <c r="R337" i="10"/>
  <c r="R339" i="10"/>
  <c r="R340" i="10"/>
  <c r="R342" i="10"/>
  <c r="R343" i="10"/>
  <c r="R345" i="10"/>
  <c r="R346" i="10"/>
  <c r="R348" i="10"/>
  <c r="R349" i="10"/>
  <c r="R351" i="10"/>
  <c r="R352" i="10"/>
  <c r="R354" i="10"/>
  <c r="R355" i="10"/>
  <c r="R357" i="10"/>
  <c r="R358" i="10"/>
  <c r="R360" i="10"/>
  <c r="R361" i="10"/>
  <c r="R363" i="10"/>
  <c r="R364" i="10"/>
  <c r="R366" i="10"/>
  <c r="R367" i="10"/>
  <c r="R369" i="10"/>
  <c r="R370" i="10"/>
  <c r="R372" i="10"/>
  <c r="R373" i="10"/>
  <c r="R375" i="10"/>
  <c r="R376" i="10"/>
  <c r="R378" i="10"/>
  <c r="R379" i="10"/>
  <c r="R381" i="10"/>
  <c r="R382" i="10"/>
  <c r="R384" i="10"/>
  <c r="R385" i="10"/>
  <c r="R387" i="10"/>
  <c r="R388" i="10"/>
  <c r="R390" i="10"/>
  <c r="R391" i="10"/>
  <c r="R393" i="10"/>
  <c r="R394" i="10"/>
  <c r="R396" i="10"/>
  <c r="R397" i="10"/>
  <c r="R399" i="10"/>
  <c r="R400" i="10"/>
  <c r="R402" i="10"/>
  <c r="R403" i="10"/>
  <c r="R405" i="10"/>
  <c r="R406" i="10"/>
  <c r="R408" i="10"/>
  <c r="R409" i="10"/>
  <c r="R411" i="10"/>
  <c r="R412" i="10"/>
  <c r="R414" i="10"/>
  <c r="R415" i="10"/>
  <c r="R417" i="10"/>
  <c r="R418" i="10"/>
  <c r="R420" i="10"/>
  <c r="R421" i="10"/>
  <c r="R423" i="10"/>
  <c r="R424" i="10"/>
  <c r="R426" i="10"/>
  <c r="R427" i="10"/>
  <c r="R429" i="10"/>
  <c r="R430" i="10"/>
  <c r="R432" i="10"/>
  <c r="R433" i="10"/>
  <c r="R435" i="10"/>
  <c r="R436" i="10"/>
  <c r="R438" i="10"/>
  <c r="R439" i="10"/>
  <c r="R441" i="10"/>
  <c r="R442" i="10"/>
  <c r="R444" i="10"/>
  <c r="R445" i="10"/>
  <c r="R447" i="10"/>
  <c r="R448" i="10"/>
  <c r="R450" i="10"/>
  <c r="R451" i="10"/>
  <c r="R453" i="10"/>
  <c r="R454" i="10"/>
  <c r="R456" i="10"/>
  <c r="R457" i="10"/>
  <c r="R459" i="10"/>
  <c r="R460" i="10"/>
  <c r="R462" i="10"/>
  <c r="R463" i="10"/>
  <c r="R465" i="10"/>
  <c r="R466" i="10"/>
  <c r="R468" i="10"/>
  <c r="R469" i="10"/>
  <c r="R471" i="10"/>
  <c r="R472" i="10"/>
  <c r="R474" i="10"/>
  <c r="R475" i="10"/>
  <c r="R477" i="10"/>
  <c r="R478" i="10"/>
  <c r="R480" i="10"/>
  <c r="R481" i="10"/>
  <c r="R483" i="10"/>
  <c r="R484" i="10"/>
  <c r="R486" i="10"/>
  <c r="R487" i="10"/>
  <c r="R489" i="10"/>
  <c r="R490" i="10"/>
  <c r="R492" i="10"/>
  <c r="R493" i="10"/>
  <c r="R495" i="10"/>
  <c r="R496" i="10"/>
  <c r="R498" i="10"/>
  <c r="R499" i="10"/>
  <c r="R501" i="10"/>
  <c r="R502" i="10"/>
  <c r="R504" i="10"/>
  <c r="R505" i="10"/>
  <c r="R507" i="10"/>
  <c r="R508" i="10"/>
  <c r="R510" i="10"/>
  <c r="R511" i="10"/>
  <c r="R513" i="10"/>
  <c r="R514" i="10"/>
  <c r="R516" i="10"/>
  <c r="R517" i="10"/>
  <c r="R519" i="10"/>
  <c r="R520" i="10"/>
  <c r="R522" i="10"/>
  <c r="R523" i="10"/>
  <c r="R525" i="10"/>
  <c r="R526" i="10"/>
  <c r="R528" i="10"/>
  <c r="R529" i="10"/>
  <c r="R531" i="10"/>
  <c r="R532" i="10"/>
  <c r="R534" i="10"/>
  <c r="R535" i="10"/>
  <c r="R537" i="10"/>
  <c r="R538" i="10"/>
  <c r="R540" i="10"/>
  <c r="R541" i="10"/>
  <c r="R543" i="10"/>
  <c r="R544" i="10"/>
  <c r="R546" i="10"/>
  <c r="R547" i="10"/>
  <c r="R549" i="10"/>
  <c r="R550" i="10"/>
  <c r="R552" i="10"/>
  <c r="R553" i="10"/>
  <c r="R555" i="10"/>
  <c r="R556" i="10"/>
  <c r="R558" i="10"/>
  <c r="R559" i="10"/>
  <c r="R561" i="10"/>
  <c r="R562" i="10"/>
  <c r="R564" i="10"/>
  <c r="R565" i="10"/>
  <c r="R567" i="10"/>
  <c r="R568" i="10"/>
  <c r="R570" i="10"/>
  <c r="R571" i="10"/>
  <c r="R573" i="10"/>
  <c r="R574" i="10"/>
  <c r="R576" i="10"/>
  <c r="R577" i="10"/>
  <c r="R579" i="10"/>
  <c r="R580" i="10"/>
  <c r="R582" i="10"/>
  <c r="R583" i="10"/>
  <c r="R585" i="10"/>
  <c r="R586" i="10"/>
  <c r="R588" i="10"/>
  <c r="R589" i="10"/>
  <c r="R591" i="10"/>
  <c r="R592" i="10"/>
  <c r="R594" i="10"/>
  <c r="R595" i="10"/>
  <c r="R597" i="10"/>
  <c r="R598" i="10"/>
  <c r="R600" i="10"/>
  <c r="R601" i="10"/>
  <c r="R603" i="10"/>
  <c r="R604" i="10"/>
  <c r="R606" i="10"/>
  <c r="R607" i="10"/>
  <c r="R609" i="10"/>
  <c r="R610" i="10"/>
  <c r="R612" i="10"/>
  <c r="R613" i="10"/>
  <c r="R615" i="10"/>
  <c r="R616" i="10"/>
  <c r="R618" i="10"/>
  <c r="R619" i="10"/>
  <c r="R621" i="10"/>
  <c r="R622" i="10"/>
  <c r="R624" i="10"/>
  <c r="R625" i="10"/>
  <c r="R627" i="10"/>
  <c r="R628" i="10"/>
  <c r="R630" i="10"/>
  <c r="R631" i="10"/>
  <c r="R633" i="10"/>
  <c r="R634" i="10"/>
  <c r="R636" i="10"/>
  <c r="R637" i="10"/>
  <c r="R639" i="10"/>
  <c r="R640" i="10"/>
  <c r="R642" i="10"/>
  <c r="R643" i="10"/>
  <c r="R645" i="10"/>
  <c r="R646" i="10"/>
  <c r="R648" i="10"/>
  <c r="R649" i="10"/>
  <c r="R651" i="10"/>
  <c r="R652" i="10"/>
  <c r="R654" i="10"/>
  <c r="R655" i="10"/>
  <c r="R657" i="10"/>
  <c r="R658" i="10"/>
  <c r="R660" i="10"/>
  <c r="R661" i="10"/>
  <c r="R663" i="10"/>
  <c r="R664" i="10"/>
  <c r="R666" i="10"/>
  <c r="R667" i="10"/>
  <c r="R669" i="10"/>
  <c r="R670" i="10"/>
  <c r="R672" i="10"/>
  <c r="R673" i="10"/>
  <c r="R675" i="10"/>
  <c r="R676" i="10"/>
  <c r="R678" i="10"/>
  <c r="R679" i="10"/>
  <c r="R681" i="10"/>
  <c r="R682" i="10"/>
  <c r="R684" i="10"/>
  <c r="R685" i="10"/>
  <c r="R687" i="10"/>
  <c r="R688" i="10"/>
  <c r="R690" i="10"/>
  <c r="R691" i="10"/>
  <c r="R693" i="10"/>
  <c r="R694" i="10"/>
  <c r="R696" i="10"/>
  <c r="R697" i="10"/>
  <c r="R699" i="10"/>
  <c r="R700" i="10"/>
  <c r="R702" i="10"/>
  <c r="R703" i="10"/>
  <c r="R705" i="10"/>
  <c r="R706" i="10"/>
  <c r="R708" i="10"/>
  <c r="R709" i="10"/>
  <c r="R711" i="10"/>
  <c r="R712" i="10"/>
  <c r="R714" i="10"/>
  <c r="R715" i="10"/>
  <c r="R717" i="10"/>
  <c r="R718" i="10"/>
  <c r="R720" i="10"/>
  <c r="R721" i="10"/>
  <c r="R723" i="10"/>
  <c r="R724" i="10"/>
  <c r="R726" i="10"/>
  <c r="R727" i="10"/>
  <c r="R729" i="10"/>
  <c r="R730" i="10"/>
  <c r="R732" i="10"/>
  <c r="R733" i="10"/>
  <c r="R735" i="10"/>
  <c r="R736" i="10"/>
  <c r="R738" i="10"/>
  <c r="R739" i="10"/>
  <c r="R741" i="10"/>
  <c r="R742" i="10"/>
  <c r="R744" i="10"/>
  <c r="R745" i="10"/>
  <c r="R747" i="10"/>
  <c r="R748" i="10"/>
  <c r="R750" i="10"/>
  <c r="R751" i="10"/>
  <c r="R753" i="10"/>
  <c r="R754" i="10"/>
  <c r="R756" i="10"/>
  <c r="R757" i="10"/>
  <c r="R759" i="10"/>
  <c r="R760" i="10"/>
  <c r="R762" i="10"/>
  <c r="R763" i="10"/>
  <c r="R765" i="10"/>
  <c r="R766" i="10"/>
  <c r="R768" i="10"/>
  <c r="R769" i="10"/>
  <c r="R771" i="10"/>
  <c r="R772" i="10"/>
  <c r="R774" i="10"/>
  <c r="R775" i="10"/>
  <c r="R777" i="10"/>
  <c r="R778" i="10"/>
  <c r="R780" i="10"/>
  <c r="R781" i="10"/>
  <c r="R783" i="10"/>
  <c r="R784" i="10"/>
  <c r="R786" i="10"/>
  <c r="R787" i="10"/>
  <c r="Q42" i="10"/>
  <c r="Q43" i="10"/>
  <c r="Q45" i="10"/>
  <c r="Q46" i="10"/>
  <c r="Q48" i="10"/>
  <c r="Q49" i="10"/>
  <c r="Q51" i="10"/>
  <c r="Q52" i="10"/>
  <c r="Q54" i="10"/>
  <c r="Q55" i="10"/>
  <c r="Q57" i="10"/>
  <c r="Q58" i="10"/>
  <c r="Q60" i="10"/>
  <c r="Q61" i="10"/>
  <c r="Q63" i="10"/>
  <c r="Q64" i="10"/>
  <c r="Q66" i="10"/>
  <c r="Q67" i="10"/>
  <c r="Q69" i="10"/>
  <c r="Q70" i="10"/>
  <c r="Q72" i="10"/>
  <c r="Q73" i="10"/>
  <c r="Q75" i="10"/>
  <c r="Q76" i="10"/>
  <c r="Q78" i="10"/>
  <c r="Q79" i="10"/>
  <c r="Q81" i="10"/>
  <c r="Q82" i="10"/>
  <c r="Q84" i="10"/>
  <c r="Q85" i="10"/>
  <c r="Q87" i="10"/>
  <c r="Q88" i="10"/>
  <c r="Q90" i="10"/>
  <c r="Q91" i="10"/>
  <c r="Q93" i="10"/>
  <c r="Q94" i="10"/>
  <c r="Q96" i="10"/>
  <c r="Q97" i="10"/>
  <c r="Q99" i="10"/>
  <c r="Q100" i="10"/>
  <c r="Q102" i="10"/>
  <c r="Q103" i="10"/>
  <c r="Q105" i="10"/>
  <c r="Q106" i="10"/>
  <c r="Q108" i="10"/>
  <c r="Q109" i="10"/>
  <c r="Q111" i="10"/>
  <c r="Q112" i="10"/>
  <c r="Q114" i="10"/>
  <c r="Q115" i="10"/>
  <c r="Q117" i="10"/>
  <c r="Q118" i="10"/>
  <c r="Q120" i="10"/>
  <c r="Q121" i="10"/>
  <c r="Q123" i="10"/>
  <c r="Q124" i="10"/>
  <c r="Q126" i="10"/>
  <c r="Q127" i="10"/>
  <c r="Q129" i="10"/>
  <c r="Q130" i="10"/>
  <c r="Q132" i="10"/>
  <c r="Q133" i="10"/>
  <c r="Q135" i="10"/>
  <c r="Q136" i="10"/>
  <c r="Q138" i="10"/>
  <c r="Q139" i="10"/>
  <c r="Q141" i="10"/>
  <c r="Q142" i="10"/>
  <c r="Q144" i="10"/>
  <c r="Q145" i="10"/>
  <c r="Q147" i="10"/>
  <c r="Q148" i="10"/>
  <c r="Q150" i="10"/>
  <c r="Q151" i="10"/>
  <c r="Q153" i="10"/>
  <c r="Q154" i="10"/>
  <c r="Q156" i="10"/>
  <c r="Q157" i="10"/>
  <c r="Q159" i="10"/>
  <c r="Q160" i="10"/>
  <c r="Q162" i="10"/>
  <c r="Q163" i="10"/>
  <c r="Q165" i="10"/>
  <c r="Q166" i="10"/>
  <c r="Q168" i="10"/>
  <c r="Q169" i="10"/>
  <c r="Q171" i="10"/>
  <c r="Q172" i="10"/>
  <c r="Q174" i="10"/>
  <c r="Q175" i="10"/>
  <c r="Q177" i="10"/>
  <c r="Q178" i="10"/>
  <c r="Q180" i="10"/>
  <c r="Q181" i="10"/>
  <c r="Q183" i="10"/>
  <c r="Q184" i="10"/>
  <c r="Q186" i="10"/>
  <c r="Q187" i="10"/>
  <c r="Q189" i="10"/>
  <c r="Q190" i="10"/>
  <c r="Q192" i="10"/>
  <c r="Q193" i="10"/>
  <c r="Q195" i="10"/>
  <c r="Q196" i="10"/>
  <c r="Q198" i="10"/>
  <c r="Q199" i="10"/>
  <c r="Q201" i="10"/>
  <c r="Q202" i="10"/>
  <c r="Q204" i="10"/>
  <c r="Q205" i="10"/>
  <c r="Q207" i="10"/>
  <c r="Q208" i="10"/>
  <c r="Q210" i="10"/>
  <c r="Q211" i="10"/>
  <c r="Q213" i="10"/>
  <c r="Q214" i="10"/>
  <c r="Q216" i="10"/>
  <c r="Q217" i="10"/>
  <c r="Q219" i="10"/>
  <c r="Q220" i="10"/>
  <c r="Q222" i="10"/>
  <c r="Q223" i="10"/>
  <c r="Q225" i="10"/>
  <c r="Q226" i="10"/>
  <c r="Q228" i="10"/>
  <c r="Q229" i="10"/>
  <c r="Q231" i="10"/>
  <c r="Q232" i="10"/>
  <c r="Q234" i="10"/>
  <c r="Q235" i="10"/>
  <c r="Q237" i="10"/>
  <c r="Q238" i="10"/>
  <c r="Q240" i="10"/>
  <c r="Q241" i="10"/>
  <c r="Q243" i="10"/>
  <c r="Q244" i="10"/>
  <c r="Q246" i="10"/>
  <c r="Q247" i="10"/>
  <c r="Q249" i="10"/>
  <c r="Q250" i="10"/>
  <c r="Q252" i="10"/>
  <c r="Q253" i="10"/>
  <c r="Q255" i="10"/>
  <c r="Q256" i="10"/>
  <c r="Q258" i="10"/>
  <c r="Q259" i="10"/>
  <c r="Q261" i="10"/>
  <c r="Q262" i="10"/>
  <c r="Q264" i="10"/>
  <c r="Q265" i="10"/>
  <c r="Q267" i="10"/>
  <c r="Q268" i="10"/>
  <c r="Q270" i="10"/>
  <c r="Q271" i="10"/>
  <c r="Q273" i="10"/>
  <c r="Q274" i="10"/>
  <c r="Q276" i="10"/>
  <c r="Q277" i="10"/>
  <c r="Q279" i="10"/>
  <c r="Q280" i="10"/>
  <c r="Q282" i="10"/>
  <c r="Q283" i="10"/>
  <c r="Q285" i="10"/>
  <c r="Q286" i="10"/>
  <c r="Q288" i="10"/>
  <c r="Q289" i="10"/>
  <c r="Q291" i="10"/>
  <c r="Q292" i="10"/>
  <c r="Q294" i="10"/>
  <c r="Q295" i="10"/>
  <c r="Q297" i="10"/>
  <c r="Q298" i="10"/>
  <c r="Q300" i="10"/>
  <c r="Q301" i="10"/>
  <c r="Q303" i="10"/>
  <c r="Q304" i="10"/>
  <c r="Q306" i="10"/>
  <c r="Q307" i="10"/>
  <c r="Q309" i="10"/>
  <c r="Q310" i="10"/>
  <c r="Q312" i="10"/>
  <c r="Q313" i="10"/>
  <c r="Q315" i="10"/>
  <c r="Q316" i="10"/>
  <c r="Q318" i="10"/>
  <c r="Q319" i="10"/>
  <c r="Q321" i="10"/>
  <c r="Q322" i="10"/>
  <c r="Q324" i="10"/>
  <c r="Q325" i="10"/>
  <c r="Q327" i="10"/>
  <c r="Q328" i="10"/>
  <c r="Q330" i="10"/>
  <c r="Q331" i="10"/>
  <c r="Q333" i="10"/>
  <c r="Q334" i="10"/>
  <c r="Q336" i="10"/>
  <c r="Q337" i="10"/>
  <c r="Q339" i="10"/>
  <c r="Q340" i="10"/>
  <c r="Q342" i="10"/>
  <c r="Q343" i="10"/>
  <c r="Q345" i="10"/>
  <c r="Q346" i="10"/>
  <c r="Q348" i="10"/>
  <c r="Q349" i="10"/>
  <c r="Q351" i="10"/>
  <c r="Q352" i="10"/>
  <c r="Q354" i="10"/>
  <c r="Q355" i="10"/>
  <c r="Q357" i="10"/>
  <c r="Q358" i="10"/>
  <c r="Q360" i="10"/>
  <c r="Q361" i="10"/>
  <c r="Q363" i="10"/>
  <c r="Q364" i="10"/>
  <c r="Q366" i="10"/>
  <c r="Q367" i="10"/>
  <c r="Q369" i="10"/>
  <c r="Q370" i="10"/>
  <c r="Q372" i="10"/>
  <c r="Q373" i="10"/>
  <c r="Q375" i="10"/>
  <c r="Q376" i="10"/>
  <c r="Q378" i="10"/>
  <c r="Q379" i="10"/>
  <c r="Q381" i="10"/>
  <c r="Q382" i="10"/>
  <c r="Q384" i="10"/>
  <c r="Q385" i="10"/>
  <c r="Q387" i="10"/>
  <c r="Q388" i="10"/>
  <c r="Q390" i="10"/>
  <c r="Q391" i="10"/>
  <c r="Q393" i="10"/>
  <c r="Q394" i="10"/>
  <c r="Q396" i="10"/>
  <c r="Q397" i="10"/>
  <c r="Q399" i="10"/>
  <c r="Q400" i="10"/>
  <c r="Q402" i="10"/>
  <c r="Q403" i="10"/>
  <c r="Q405" i="10"/>
  <c r="Q406" i="10"/>
  <c r="Q408" i="10"/>
  <c r="Q409" i="10"/>
  <c r="Q411" i="10"/>
  <c r="Q412" i="10"/>
  <c r="Q414" i="10"/>
  <c r="Q415" i="10"/>
  <c r="Q417" i="10"/>
  <c r="Q418" i="10"/>
  <c r="Q420" i="10"/>
  <c r="Q421" i="10"/>
  <c r="Q423" i="10"/>
  <c r="Q424" i="10"/>
  <c r="Q426" i="10"/>
  <c r="Q427" i="10"/>
  <c r="Q429" i="10"/>
  <c r="Q430" i="10"/>
  <c r="Q432" i="10"/>
  <c r="Q433" i="10"/>
  <c r="Q435" i="10"/>
  <c r="Q436" i="10"/>
  <c r="Q438" i="10"/>
  <c r="Q439" i="10"/>
  <c r="Q441" i="10"/>
  <c r="Q442" i="10"/>
  <c r="Q444" i="10"/>
  <c r="Q445" i="10"/>
  <c r="Q447" i="10"/>
  <c r="Q448" i="10"/>
  <c r="Q450" i="10"/>
  <c r="Q451" i="10"/>
  <c r="Q453" i="10"/>
  <c r="Q454" i="10"/>
  <c r="Q456" i="10"/>
  <c r="Q457" i="10"/>
  <c r="Q459" i="10"/>
  <c r="Q460" i="10"/>
  <c r="Q462" i="10"/>
  <c r="Q463" i="10"/>
  <c r="Q465" i="10"/>
  <c r="Q466" i="10"/>
  <c r="Q468" i="10"/>
  <c r="Q469" i="10"/>
  <c r="Q471" i="10"/>
  <c r="Q472" i="10"/>
  <c r="Q474" i="10"/>
  <c r="Q475" i="10"/>
  <c r="Q477" i="10"/>
  <c r="Q478" i="10"/>
  <c r="Q480" i="10"/>
  <c r="Q481" i="10"/>
  <c r="Q483" i="10"/>
  <c r="Q484" i="10"/>
  <c r="Q486" i="10"/>
  <c r="Q487" i="10"/>
  <c r="Q489" i="10"/>
  <c r="Q490" i="10"/>
  <c r="Q492" i="10"/>
  <c r="Q493" i="10"/>
  <c r="Q495" i="10"/>
  <c r="Q496" i="10"/>
  <c r="Q498" i="10"/>
  <c r="Q499" i="10"/>
  <c r="Q501" i="10"/>
  <c r="Q502" i="10"/>
  <c r="Q504" i="10"/>
  <c r="Q505" i="10"/>
  <c r="Q507" i="10"/>
  <c r="Q508" i="10"/>
  <c r="Q510" i="10"/>
  <c r="Q511" i="10"/>
  <c r="Q513" i="10"/>
  <c r="Q514" i="10"/>
  <c r="Q516" i="10"/>
  <c r="Q517" i="10"/>
  <c r="Q519" i="10"/>
  <c r="Q520" i="10"/>
  <c r="Q522" i="10"/>
  <c r="Q523" i="10"/>
  <c r="Q525" i="10"/>
  <c r="Q526" i="10"/>
  <c r="Q528" i="10"/>
  <c r="Q529" i="10"/>
  <c r="Q531" i="10"/>
  <c r="Q532" i="10"/>
  <c r="Q534" i="10"/>
  <c r="Q535" i="10"/>
  <c r="Q537" i="10"/>
  <c r="Q538" i="10"/>
  <c r="Q540" i="10"/>
  <c r="Q541" i="10"/>
  <c r="Q543" i="10"/>
  <c r="Q544" i="10"/>
  <c r="Q546" i="10"/>
  <c r="Q547" i="10"/>
  <c r="Q549" i="10"/>
  <c r="Q550" i="10"/>
  <c r="Q552" i="10"/>
  <c r="Q553" i="10"/>
  <c r="Q555" i="10"/>
  <c r="Q556" i="10"/>
  <c r="Q558" i="10"/>
  <c r="Q559" i="10"/>
  <c r="Q561" i="10"/>
  <c r="Q562" i="10"/>
  <c r="Q564" i="10"/>
  <c r="Q565" i="10"/>
  <c r="Q567" i="10"/>
  <c r="Q568" i="10"/>
  <c r="Q570" i="10"/>
  <c r="Q571" i="10"/>
  <c r="Q573" i="10"/>
  <c r="Q574" i="10"/>
  <c r="Q576" i="10"/>
  <c r="Q577" i="10"/>
  <c r="Q579" i="10"/>
  <c r="Q580" i="10"/>
  <c r="Q582" i="10"/>
  <c r="Q583" i="10"/>
  <c r="Q585" i="10"/>
  <c r="Q586" i="10"/>
  <c r="Q588" i="10"/>
  <c r="Q589" i="10"/>
  <c r="Q591" i="10"/>
  <c r="Q592" i="10"/>
  <c r="Q594" i="10"/>
  <c r="Q595" i="10"/>
  <c r="Q597" i="10"/>
  <c r="Q598" i="10"/>
  <c r="Q600" i="10"/>
  <c r="Q601" i="10"/>
  <c r="Q603" i="10"/>
  <c r="Q604" i="10"/>
  <c r="Q606" i="10"/>
  <c r="Q607" i="10"/>
  <c r="Q609" i="10"/>
  <c r="Q610" i="10"/>
  <c r="Q612" i="10"/>
  <c r="Q613" i="10"/>
  <c r="Q615" i="10"/>
  <c r="Q616" i="10"/>
  <c r="Q618" i="10"/>
  <c r="Q619" i="10"/>
  <c r="Q621" i="10"/>
  <c r="Q622" i="10"/>
  <c r="Q624" i="10"/>
  <c r="Q625" i="10"/>
  <c r="Q627" i="10"/>
  <c r="Q628" i="10"/>
  <c r="Q630" i="10"/>
  <c r="Q631" i="10"/>
  <c r="Q633" i="10"/>
  <c r="Q634" i="10"/>
  <c r="Q636" i="10"/>
  <c r="Q637" i="10"/>
  <c r="Q639" i="10"/>
  <c r="Q640" i="10"/>
  <c r="Q642" i="10"/>
  <c r="Q643" i="10"/>
  <c r="Q645" i="10"/>
  <c r="Q646" i="10"/>
  <c r="Q648" i="10"/>
  <c r="Q649" i="10"/>
  <c r="Q651" i="10"/>
  <c r="Q652" i="10"/>
  <c r="Q654" i="10"/>
  <c r="Q655" i="10"/>
  <c r="Q657" i="10"/>
  <c r="Q658" i="10"/>
  <c r="Q660" i="10"/>
  <c r="Q661" i="10"/>
  <c r="Q663" i="10"/>
  <c r="Q664" i="10"/>
  <c r="Q666" i="10"/>
  <c r="Q667" i="10"/>
  <c r="Q669" i="10"/>
  <c r="Q670" i="10"/>
  <c r="Q672" i="10"/>
  <c r="Q673" i="10"/>
  <c r="Q675" i="10"/>
  <c r="Q676" i="10"/>
  <c r="Q678" i="10"/>
  <c r="Q679" i="10"/>
  <c r="Q681" i="10"/>
  <c r="Q682" i="10"/>
  <c r="Q684" i="10"/>
  <c r="Q685" i="10"/>
  <c r="Q687" i="10"/>
  <c r="Q688" i="10"/>
  <c r="Q690" i="10"/>
  <c r="Q691" i="10"/>
  <c r="Q693" i="10"/>
  <c r="Q694" i="10"/>
  <c r="Q696" i="10"/>
  <c r="Q697" i="10"/>
  <c r="Q699" i="10"/>
  <c r="Q700" i="10"/>
  <c r="Q702" i="10"/>
  <c r="Q703" i="10"/>
  <c r="Q705" i="10"/>
  <c r="Q706" i="10"/>
  <c r="Q708" i="10"/>
  <c r="Q709" i="10"/>
  <c r="Q711" i="10"/>
  <c r="Q712" i="10"/>
  <c r="Q714" i="10"/>
  <c r="Q715" i="10"/>
  <c r="Q717" i="10"/>
  <c r="Q718" i="10"/>
  <c r="Q720" i="10"/>
  <c r="Q721" i="10"/>
  <c r="Q723" i="10"/>
  <c r="Q724" i="10"/>
  <c r="Q726" i="10"/>
  <c r="Q727" i="10"/>
  <c r="Q729" i="10"/>
  <c r="Q730" i="10"/>
  <c r="Q732" i="10"/>
  <c r="Q733" i="10"/>
  <c r="Q735" i="10"/>
  <c r="Q736" i="10"/>
  <c r="Q738" i="10"/>
  <c r="Q739" i="10"/>
  <c r="Q741" i="10"/>
  <c r="Q742" i="10"/>
  <c r="Q744" i="10"/>
  <c r="Q745" i="10"/>
  <c r="Q747" i="10"/>
  <c r="Q748" i="10"/>
  <c r="Q750" i="10"/>
  <c r="Q751" i="10"/>
  <c r="Q753" i="10"/>
  <c r="Q754" i="10"/>
  <c r="Q756" i="10"/>
  <c r="Q757" i="10"/>
  <c r="Q759" i="10"/>
  <c r="Q760" i="10"/>
  <c r="Q762" i="10"/>
  <c r="Q763" i="10"/>
  <c r="Q765" i="10"/>
  <c r="Q766" i="10"/>
  <c r="Q768" i="10"/>
  <c r="Q769" i="10"/>
  <c r="Q771" i="10"/>
  <c r="Q772" i="10"/>
  <c r="Q774" i="10"/>
  <c r="Q775" i="10"/>
  <c r="Q777" i="10"/>
  <c r="Q778" i="10"/>
  <c r="Q780" i="10"/>
  <c r="Q781" i="10"/>
  <c r="Q783" i="10"/>
  <c r="Q784" i="10"/>
  <c r="Q786" i="10"/>
  <c r="Q787" i="10"/>
  <c r="P42" i="10"/>
  <c r="P43" i="10"/>
  <c r="P45" i="10"/>
  <c r="P46" i="10"/>
  <c r="P48" i="10"/>
  <c r="P49" i="10"/>
  <c r="P51" i="10"/>
  <c r="P52" i="10"/>
  <c r="P54" i="10"/>
  <c r="P55" i="10"/>
  <c r="P57" i="10"/>
  <c r="P58" i="10"/>
  <c r="P60" i="10"/>
  <c r="P61" i="10"/>
  <c r="P63" i="10"/>
  <c r="P64" i="10"/>
  <c r="P66" i="10"/>
  <c r="P67" i="10"/>
  <c r="P69" i="10"/>
  <c r="P70" i="10"/>
  <c r="P72" i="10"/>
  <c r="P73" i="10"/>
  <c r="P75" i="10"/>
  <c r="P76" i="10"/>
  <c r="P78" i="10"/>
  <c r="P79" i="10"/>
  <c r="P81" i="10"/>
  <c r="P82" i="10"/>
  <c r="P84" i="10"/>
  <c r="P85" i="10"/>
  <c r="P87" i="10"/>
  <c r="P88" i="10"/>
  <c r="P90" i="10"/>
  <c r="P91" i="10"/>
  <c r="P93" i="10"/>
  <c r="P94" i="10"/>
  <c r="P96" i="10"/>
  <c r="P97" i="10"/>
  <c r="P99" i="10"/>
  <c r="P100" i="10"/>
  <c r="P102" i="10"/>
  <c r="P103" i="10"/>
  <c r="P105" i="10"/>
  <c r="P106" i="10"/>
  <c r="P108" i="10"/>
  <c r="P109" i="10"/>
  <c r="P111" i="10"/>
  <c r="P112" i="10"/>
  <c r="P114" i="10"/>
  <c r="P115" i="10"/>
  <c r="P117" i="10"/>
  <c r="P118" i="10"/>
  <c r="P120" i="10"/>
  <c r="P121" i="10"/>
  <c r="P123" i="10"/>
  <c r="P124" i="10"/>
  <c r="P126" i="10"/>
  <c r="P127" i="10"/>
  <c r="P129" i="10"/>
  <c r="P130" i="10"/>
  <c r="P132" i="10"/>
  <c r="P133" i="10"/>
  <c r="P135" i="10"/>
  <c r="P136" i="10"/>
  <c r="P138" i="10"/>
  <c r="P139" i="10"/>
  <c r="P141" i="10"/>
  <c r="P142" i="10"/>
  <c r="P144" i="10"/>
  <c r="P145" i="10"/>
  <c r="P147" i="10"/>
  <c r="P148" i="10"/>
  <c r="P150" i="10"/>
  <c r="P151" i="10"/>
  <c r="P153" i="10"/>
  <c r="P154" i="10"/>
  <c r="P156" i="10"/>
  <c r="P157" i="10"/>
  <c r="P159" i="10"/>
  <c r="P160" i="10"/>
  <c r="P162" i="10"/>
  <c r="P163" i="10"/>
  <c r="P165" i="10"/>
  <c r="P166" i="10"/>
  <c r="P168" i="10"/>
  <c r="P169" i="10"/>
  <c r="P171" i="10"/>
  <c r="P172" i="10"/>
  <c r="P174" i="10"/>
  <c r="P175" i="10"/>
  <c r="P177" i="10"/>
  <c r="P178" i="10"/>
  <c r="P180" i="10"/>
  <c r="P181" i="10"/>
  <c r="P183" i="10"/>
  <c r="P184" i="10"/>
  <c r="P186" i="10"/>
  <c r="P187" i="10"/>
  <c r="P189" i="10"/>
  <c r="P190" i="10"/>
  <c r="P192" i="10"/>
  <c r="P193" i="10"/>
  <c r="P195" i="10"/>
  <c r="P196" i="10"/>
  <c r="P198" i="10"/>
  <c r="P199" i="10"/>
  <c r="P201" i="10"/>
  <c r="P202" i="10"/>
  <c r="P204" i="10"/>
  <c r="P205" i="10"/>
  <c r="P207" i="10"/>
  <c r="P208" i="10"/>
  <c r="P210" i="10"/>
  <c r="P211" i="10"/>
  <c r="P213" i="10"/>
  <c r="P214" i="10"/>
  <c r="P216" i="10"/>
  <c r="P217" i="10"/>
  <c r="P219" i="10"/>
  <c r="P220" i="10"/>
  <c r="P222" i="10"/>
  <c r="P223" i="10"/>
  <c r="P225" i="10"/>
  <c r="P226" i="10"/>
  <c r="P228" i="10"/>
  <c r="P229" i="10"/>
  <c r="P231" i="10"/>
  <c r="P232" i="10"/>
  <c r="P234" i="10"/>
  <c r="P235" i="10"/>
  <c r="P237" i="10"/>
  <c r="P238" i="10"/>
  <c r="P240" i="10"/>
  <c r="P241" i="10"/>
  <c r="P243" i="10"/>
  <c r="P244" i="10"/>
  <c r="P246" i="10"/>
  <c r="P247" i="10"/>
  <c r="P249" i="10"/>
  <c r="P250" i="10"/>
  <c r="P252" i="10"/>
  <c r="P253" i="10"/>
  <c r="P255" i="10"/>
  <c r="P256" i="10"/>
  <c r="P258" i="10"/>
  <c r="P259" i="10"/>
  <c r="P261" i="10"/>
  <c r="P262" i="10"/>
  <c r="P264" i="10"/>
  <c r="P265" i="10"/>
  <c r="P267" i="10"/>
  <c r="P268" i="10"/>
  <c r="P270" i="10"/>
  <c r="P271" i="10"/>
  <c r="P273" i="10"/>
  <c r="P274" i="10"/>
  <c r="P276" i="10"/>
  <c r="P277" i="10"/>
  <c r="P279" i="10"/>
  <c r="P280" i="10"/>
  <c r="P282" i="10"/>
  <c r="P283" i="10"/>
  <c r="P285" i="10"/>
  <c r="P286" i="10"/>
  <c r="P288" i="10"/>
  <c r="P289" i="10"/>
  <c r="P291" i="10"/>
  <c r="P292" i="10"/>
  <c r="P294" i="10"/>
  <c r="P295" i="10"/>
  <c r="P297" i="10"/>
  <c r="P298" i="10"/>
  <c r="P300" i="10"/>
  <c r="P301" i="10"/>
  <c r="P303" i="10"/>
  <c r="P304" i="10"/>
  <c r="P306" i="10"/>
  <c r="P307" i="10"/>
  <c r="P309" i="10"/>
  <c r="P310" i="10"/>
  <c r="P312" i="10"/>
  <c r="P313" i="10"/>
  <c r="P315" i="10"/>
  <c r="P316" i="10"/>
  <c r="P318" i="10"/>
  <c r="P319" i="10"/>
  <c r="P321" i="10"/>
  <c r="P322" i="10"/>
  <c r="P324" i="10"/>
  <c r="P325" i="10"/>
  <c r="P327" i="10"/>
  <c r="P328" i="10"/>
  <c r="P330" i="10"/>
  <c r="P331" i="10"/>
  <c r="P333" i="10"/>
  <c r="P334" i="10"/>
  <c r="P336" i="10"/>
  <c r="P337" i="10"/>
  <c r="P339" i="10"/>
  <c r="P340" i="10"/>
  <c r="P342" i="10"/>
  <c r="P343" i="10"/>
  <c r="P345" i="10"/>
  <c r="P346" i="10"/>
  <c r="P348" i="10"/>
  <c r="P349" i="10"/>
  <c r="P351" i="10"/>
  <c r="P352" i="10"/>
  <c r="P354" i="10"/>
  <c r="P355" i="10"/>
  <c r="P357" i="10"/>
  <c r="P358" i="10"/>
  <c r="P360" i="10"/>
  <c r="P361" i="10"/>
  <c r="P363" i="10"/>
  <c r="P364" i="10"/>
  <c r="P366" i="10"/>
  <c r="P367" i="10"/>
  <c r="P369" i="10"/>
  <c r="P370" i="10"/>
  <c r="P372" i="10"/>
  <c r="P373" i="10"/>
  <c r="P375" i="10"/>
  <c r="P376" i="10"/>
  <c r="P378" i="10"/>
  <c r="P379" i="10"/>
  <c r="P381" i="10"/>
  <c r="P382" i="10"/>
  <c r="P384" i="10"/>
  <c r="P385" i="10"/>
  <c r="P387" i="10"/>
  <c r="P388" i="10"/>
  <c r="P390" i="10"/>
  <c r="P391" i="10"/>
  <c r="P393" i="10"/>
  <c r="P394" i="10"/>
  <c r="P396" i="10"/>
  <c r="P397" i="10"/>
  <c r="P399" i="10"/>
  <c r="P400" i="10"/>
  <c r="P402" i="10"/>
  <c r="P403" i="10"/>
  <c r="P405" i="10"/>
  <c r="P406" i="10"/>
  <c r="P408" i="10"/>
  <c r="P409" i="10"/>
  <c r="P411" i="10"/>
  <c r="P412" i="10"/>
  <c r="P414" i="10"/>
  <c r="P415" i="10"/>
  <c r="P417" i="10"/>
  <c r="P418" i="10"/>
  <c r="P420" i="10"/>
  <c r="P421" i="10"/>
  <c r="P423" i="10"/>
  <c r="P424" i="10"/>
  <c r="P426" i="10"/>
  <c r="P427" i="10"/>
  <c r="P429" i="10"/>
  <c r="P430" i="10"/>
  <c r="P432" i="10"/>
  <c r="P433" i="10"/>
  <c r="P435" i="10"/>
  <c r="P436" i="10"/>
  <c r="P438" i="10"/>
  <c r="P439" i="10"/>
  <c r="P441" i="10"/>
  <c r="P442" i="10"/>
  <c r="P444" i="10"/>
  <c r="P445" i="10"/>
  <c r="P447" i="10"/>
  <c r="P448" i="10"/>
  <c r="P450" i="10"/>
  <c r="P451" i="10"/>
  <c r="P453" i="10"/>
  <c r="P454" i="10"/>
  <c r="P456" i="10"/>
  <c r="P457" i="10"/>
  <c r="P459" i="10"/>
  <c r="P460" i="10"/>
  <c r="P462" i="10"/>
  <c r="P463" i="10"/>
  <c r="P465" i="10"/>
  <c r="P466" i="10"/>
  <c r="P468" i="10"/>
  <c r="P469" i="10"/>
  <c r="P471" i="10"/>
  <c r="P472" i="10"/>
  <c r="P474" i="10"/>
  <c r="P475" i="10"/>
  <c r="P477" i="10"/>
  <c r="P478" i="10"/>
  <c r="P480" i="10"/>
  <c r="P481" i="10"/>
  <c r="P483" i="10"/>
  <c r="P484" i="10"/>
  <c r="P486" i="10"/>
  <c r="P487" i="10"/>
  <c r="P489" i="10"/>
  <c r="P490" i="10"/>
  <c r="P492" i="10"/>
  <c r="P493" i="10"/>
  <c r="P495" i="10"/>
  <c r="P496" i="10"/>
  <c r="P498" i="10"/>
  <c r="P499" i="10"/>
  <c r="P501" i="10"/>
  <c r="P502" i="10"/>
  <c r="P504" i="10"/>
  <c r="P505" i="10"/>
  <c r="P507" i="10"/>
  <c r="P508" i="10"/>
  <c r="P510" i="10"/>
  <c r="P511" i="10"/>
  <c r="P513" i="10"/>
  <c r="P514" i="10"/>
  <c r="P516" i="10"/>
  <c r="P517" i="10"/>
  <c r="P519" i="10"/>
  <c r="P520" i="10"/>
  <c r="P522" i="10"/>
  <c r="P523" i="10"/>
  <c r="P525" i="10"/>
  <c r="P526" i="10"/>
  <c r="P528" i="10"/>
  <c r="P529" i="10"/>
  <c r="P531" i="10"/>
  <c r="P532" i="10"/>
  <c r="P534" i="10"/>
  <c r="P535" i="10"/>
  <c r="P537" i="10"/>
  <c r="P538" i="10"/>
  <c r="P540" i="10"/>
  <c r="P541" i="10"/>
  <c r="P543" i="10"/>
  <c r="P544" i="10"/>
  <c r="P546" i="10"/>
  <c r="P547" i="10"/>
  <c r="P549" i="10"/>
  <c r="P550" i="10"/>
  <c r="P552" i="10"/>
  <c r="P553" i="10"/>
  <c r="P555" i="10"/>
  <c r="P556" i="10"/>
  <c r="P558" i="10"/>
  <c r="P559" i="10"/>
  <c r="P561" i="10"/>
  <c r="P562" i="10"/>
  <c r="P564" i="10"/>
  <c r="P565" i="10"/>
  <c r="P567" i="10"/>
  <c r="P568" i="10"/>
  <c r="P570" i="10"/>
  <c r="P571" i="10"/>
  <c r="P573" i="10"/>
  <c r="P574" i="10"/>
  <c r="P576" i="10"/>
  <c r="P577" i="10"/>
  <c r="P579" i="10"/>
  <c r="P580" i="10"/>
  <c r="P582" i="10"/>
  <c r="P583" i="10"/>
  <c r="P585" i="10"/>
  <c r="P586" i="10"/>
  <c r="P588" i="10"/>
  <c r="P589" i="10"/>
  <c r="P591" i="10"/>
  <c r="P592" i="10"/>
  <c r="P594" i="10"/>
  <c r="P595" i="10"/>
  <c r="P597" i="10"/>
  <c r="P598" i="10"/>
  <c r="P600" i="10"/>
  <c r="P601" i="10"/>
  <c r="P603" i="10"/>
  <c r="P604" i="10"/>
  <c r="P606" i="10"/>
  <c r="P607" i="10"/>
  <c r="P609" i="10"/>
  <c r="P610" i="10"/>
  <c r="P612" i="10"/>
  <c r="P613" i="10"/>
  <c r="P615" i="10"/>
  <c r="P616" i="10"/>
  <c r="P618" i="10"/>
  <c r="P619" i="10"/>
  <c r="P621" i="10"/>
  <c r="P622" i="10"/>
  <c r="P624" i="10"/>
  <c r="P625" i="10"/>
  <c r="P627" i="10"/>
  <c r="P628" i="10"/>
  <c r="P630" i="10"/>
  <c r="P631" i="10"/>
  <c r="P633" i="10"/>
  <c r="P634" i="10"/>
  <c r="P636" i="10"/>
  <c r="P637" i="10"/>
  <c r="P639" i="10"/>
  <c r="P640" i="10"/>
  <c r="P642" i="10"/>
  <c r="P643" i="10"/>
  <c r="P645" i="10"/>
  <c r="P646" i="10"/>
  <c r="P648" i="10"/>
  <c r="P649" i="10"/>
  <c r="P651" i="10"/>
  <c r="P652" i="10"/>
  <c r="P654" i="10"/>
  <c r="P655" i="10"/>
  <c r="P657" i="10"/>
  <c r="P658" i="10"/>
  <c r="P660" i="10"/>
  <c r="P661" i="10"/>
  <c r="P663" i="10"/>
  <c r="P664" i="10"/>
  <c r="P666" i="10"/>
  <c r="P667" i="10"/>
  <c r="P669" i="10"/>
  <c r="P670" i="10"/>
  <c r="P672" i="10"/>
  <c r="P673" i="10"/>
  <c r="P675" i="10"/>
  <c r="P676" i="10"/>
  <c r="P678" i="10"/>
  <c r="P679" i="10"/>
  <c r="P681" i="10"/>
  <c r="P682" i="10"/>
  <c r="P684" i="10"/>
  <c r="P685" i="10"/>
  <c r="P687" i="10"/>
  <c r="P688" i="10"/>
  <c r="P690" i="10"/>
  <c r="P691" i="10"/>
  <c r="P693" i="10"/>
  <c r="P694" i="10"/>
  <c r="P696" i="10"/>
  <c r="P697" i="10"/>
  <c r="P699" i="10"/>
  <c r="P700" i="10"/>
  <c r="P702" i="10"/>
  <c r="P703" i="10"/>
  <c r="P705" i="10"/>
  <c r="P706" i="10"/>
  <c r="P708" i="10"/>
  <c r="P709" i="10"/>
  <c r="P711" i="10"/>
  <c r="P712" i="10"/>
  <c r="P714" i="10"/>
  <c r="P715" i="10"/>
  <c r="P717" i="10"/>
  <c r="P718" i="10"/>
  <c r="P720" i="10"/>
  <c r="P721" i="10"/>
  <c r="P723" i="10"/>
  <c r="P724" i="10"/>
  <c r="P726" i="10"/>
  <c r="P727" i="10"/>
  <c r="P729" i="10"/>
  <c r="P730" i="10"/>
  <c r="P732" i="10"/>
  <c r="P733" i="10"/>
  <c r="P735" i="10"/>
  <c r="P736" i="10"/>
  <c r="P738" i="10"/>
  <c r="P739" i="10"/>
  <c r="P741" i="10"/>
  <c r="P742" i="10"/>
  <c r="P744" i="10"/>
  <c r="P745" i="10"/>
  <c r="P747" i="10"/>
  <c r="P748" i="10"/>
  <c r="P750" i="10"/>
  <c r="P751" i="10"/>
  <c r="P753" i="10"/>
  <c r="P754" i="10"/>
  <c r="P756" i="10"/>
  <c r="P757" i="10"/>
  <c r="P759" i="10"/>
  <c r="P760" i="10"/>
  <c r="P762" i="10"/>
  <c r="P763" i="10"/>
  <c r="P765" i="10"/>
  <c r="P766" i="10"/>
  <c r="P768" i="10"/>
  <c r="P769" i="10"/>
  <c r="P771" i="10"/>
  <c r="P772" i="10"/>
  <c r="P774" i="10"/>
  <c r="P775" i="10"/>
  <c r="P777" i="10"/>
  <c r="P778" i="10"/>
  <c r="P780" i="10"/>
  <c r="P781" i="10"/>
  <c r="P783" i="10"/>
  <c r="P784" i="10"/>
  <c r="P786" i="10"/>
  <c r="P787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L5" i="2"/>
  <c r="M5" i="2"/>
  <c r="L6" i="2"/>
  <c r="M6" i="2"/>
  <c r="L7" i="2"/>
  <c r="M7" i="2"/>
  <c r="L8" i="2"/>
  <c r="M8" i="2"/>
  <c r="L9" i="2"/>
  <c r="M9" i="2"/>
  <c r="L10" i="2"/>
  <c r="M10" i="2"/>
  <c r="L11" i="2"/>
  <c r="M11" i="2"/>
  <c r="L12" i="2"/>
  <c r="M12" i="2"/>
  <c r="L13" i="2"/>
  <c r="M13" i="2"/>
  <c r="L14" i="2"/>
  <c r="M14" i="2"/>
  <c r="L15" i="2"/>
  <c r="M15" i="2"/>
  <c r="L16" i="2"/>
  <c r="M16" i="2"/>
  <c r="L17" i="2"/>
  <c r="M17" i="2"/>
  <c r="L18" i="2"/>
  <c r="M18" i="2"/>
  <c r="L19" i="2"/>
  <c r="M19" i="2"/>
  <c r="L20" i="2"/>
  <c r="M20" i="2"/>
  <c r="L21" i="2"/>
  <c r="M21" i="2"/>
  <c r="L22" i="2"/>
  <c r="M22" i="2"/>
  <c r="L23" i="2"/>
  <c r="M23" i="2"/>
  <c r="L24" i="2"/>
  <c r="M24" i="2"/>
  <c r="L25" i="2"/>
  <c r="M25" i="2"/>
  <c r="L26" i="2"/>
  <c r="M26" i="2"/>
  <c r="L27" i="2"/>
  <c r="M27" i="2"/>
  <c r="L28" i="2"/>
  <c r="M28" i="2"/>
  <c r="L29" i="2"/>
  <c r="M29" i="2"/>
  <c r="L30" i="2"/>
  <c r="M30" i="2"/>
  <c r="L31" i="2"/>
  <c r="M31" i="2"/>
  <c r="L32" i="2"/>
  <c r="M32" i="2"/>
  <c r="L33" i="2"/>
  <c r="M33" i="2"/>
  <c r="L34" i="2"/>
  <c r="M34" i="2"/>
  <c r="L35" i="2"/>
  <c r="M35" i="2"/>
  <c r="L36" i="2"/>
  <c r="M36" i="2"/>
  <c r="L37" i="2"/>
  <c r="M37" i="2"/>
  <c r="L38" i="2"/>
  <c r="M38" i="2"/>
  <c r="L39" i="2"/>
  <c r="M39" i="2"/>
  <c r="L40" i="2"/>
  <c r="M40" i="2"/>
  <c r="L41" i="2"/>
  <c r="M41" i="2"/>
  <c r="L42" i="2"/>
  <c r="M42" i="2"/>
  <c r="L43" i="2"/>
  <c r="M43" i="2"/>
  <c r="L44" i="2"/>
  <c r="M44" i="2"/>
  <c r="L45" i="2"/>
  <c r="M45" i="2"/>
  <c r="L46" i="2"/>
  <c r="M46" i="2"/>
  <c r="L47" i="2"/>
  <c r="M47" i="2"/>
  <c r="L48" i="2"/>
  <c r="M48" i="2"/>
  <c r="L49" i="2"/>
  <c r="M49" i="2"/>
  <c r="L50" i="2"/>
  <c r="M50" i="2"/>
  <c r="L51" i="2"/>
  <c r="M51" i="2"/>
  <c r="L52" i="2"/>
  <c r="M52" i="2"/>
  <c r="L53" i="2"/>
  <c r="M53" i="2"/>
  <c r="L54" i="2"/>
  <c r="M54" i="2"/>
  <c r="L55" i="2"/>
  <c r="M55" i="2"/>
  <c r="L56" i="2"/>
  <c r="M56" i="2"/>
  <c r="L57" i="2"/>
  <c r="M57" i="2"/>
  <c r="L58" i="2"/>
  <c r="M58" i="2"/>
  <c r="L59" i="2"/>
  <c r="M59" i="2"/>
  <c r="L60" i="2"/>
  <c r="M60" i="2"/>
  <c r="L61" i="2"/>
  <c r="M61" i="2"/>
  <c r="L62" i="2"/>
  <c r="M62" i="2"/>
  <c r="L63" i="2"/>
  <c r="M63" i="2"/>
  <c r="L64" i="2"/>
  <c r="M64" i="2"/>
  <c r="L65" i="2"/>
  <c r="M65" i="2"/>
  <c r="L66" i="2"/>
  <c r="M66" i="2"/>
  <c r="L67" i="2"/>
  <c r="M67" i="2"/>
  <c r="L68" i="2"/>
  <c r="M68" i="2"/>
  <c r="L69" i="2"/>
  <c r="M69" i="2"/>
  <c r="L70" i="2"/>
  <c r="M70" i="2"/>
  <c r="L71" i="2"/>
  <c r="M71" i="2"/>
  <c r="L72" i="2"/>
  <c r="M72" i="2"/>
  <c r="L73" i="2"/>
  <c r="M73" i="2"/>
  <c r="L74" i="2"/>
  <c r="M74" i="2"/>
  <c r="L75" i="2"/>
  <c r="M75" i="2"/>
  <c r="L76" i="2"/>
  <c r="M76" i="2"/>
  <c r="L77" i="2"/>
  <c r="M77" i="2"/>
  <c r="L78" i="2"/>
  <c r="M78" i="2"/>
  <c r="L79" i="2"/>
  <c r="M79" i="2"/>
  <c r="L80" i="2"/>
  <c r="M80" i="2"/>
  <c r="L81" i="2"/>
  <c r="M81" i="2"/>
  <c r="L82" i="2"/>
  <c r="M82" i="2"/>
  <c r="L83" i="2"/>
  <c r="M83" i="2"/>
  <c r="L84" i="2"/>
  <c r="M84" i="2"/>
  <c r="L85" i="2"/>
  <c r="M85" i="2"/>
  <c r="L86" i="2"/>
  <c r="M86" i="2"/>
  <c r="L87" i="2"/>
  <c r="M87" i="2"/>
  <c r="L88" i="2"/>
  <c r="M88" i="2"/>
  <c r="L89" i="2"/>
  <c r="M89" i="2"/>
  <c r="L90" i="2"/>
  <c r="M90" i="2"/>
  <c r="L91" i="2"/>
  <c r="M91" i="2"/>
  <c r="L92" i="2"/>
  <c r="M92" i="2"/>
  <c r="L93" i="2"/>
  <c r="M93" i="2"/>
  <c r="L94" i="2"/>
  <c r="M94" i="2"/>
  <c r="L95" i="2"/>
  <c r="M95" i="2"/>
  <c r="L96" i="2"/>
  <c r="M96" i="2"/>
  <c r="L97" i="2"/>
  <c r="M97" i="2"/>
  <c r="L98" i="2"/>
  <c r="M98" i="2"/>
  <c r="L99" i="2"/>
  <c r="M99" i="2"/>
  <c r="L100" i="2"/>
  <c r="M100" i="2"/>
  <c r="L101" i="2"/>
  <c r="M101" i="2"/>
  <c r="L102" i="2"/>
  <c r="M102" i="2"/>
  <c r="L103" i="2"/>
  <c r="M103" i="2"/>
  <c r="L104" i="2"/>
  <c r="M104" i="2"/>
  <c r="L105" i="2"/>
  <c r="M105" i="2"/>
  <c r="L106" i="2"/>
  <c r="M106" i="2"/>
  <c r="L107" i="2"/>
  <c r="M107" i="2"/>
  <c r="L108" i="2"/>
  <c r="M108" i="2"/>
  <c r="L109" i="2"/>
  <c r="M109" i="2"/>
  <c r="L110" i="2"/>
  <c r="M110" i="2"/>
  <c r="L111" i="2"/>
  <c r="M111" i="2"/>
  <c r="L112" i="2"/>
  <c r="M112" i="2"/>
  <c r="L113" i="2"/>
  <c r="M113" i="2"/>
  <c r="L114" i="2"/>
  <c r="M114" i="2"/>
  <c r="L115" i="2"/>
  <c r="M115" i="2"/>
  <c r="L116" i="2"/>
  <c r="M116" i="2"/>
  <c r="L117" i="2"/>
  <c r="M117" i="2"/>
  <c r="L118" i="2"/>
  <c r="M118" i="2"/>
  <c r="L119" i="2"/>
  <c r="M119" i="2"/>
  <c r="L120" i="2"/>
  <c r="M120" i="2"/>
  <c r="L121" i="2"/>
  <c r="M121" i="2"/>
  <c r="L122" i="2"/>
  <c r="M122" i="2"/>
  <c r="L123" i="2"/>
  <c r="M123" i="2"/>
  <c r="L124" i="2"/>
  <c r="M124" i="2"/>
  <c r="L125" i="2"/>
  <c r="M125" i="2"/>
  <c r="L126" i="2"/>
  <c r="M126" i="2"/>
  <c r="L127" i="2"/>
  <c r="M127" i="2"/>
  <c r="L128" i="2"/>
  <c r="M128" i="2"/>
  <c r="L129" i="2"/>
  <c r="M129" i="2"/>
  <c r="L130" i="2"/>
  <c r="M130" i="2"/>
  <c r="L131" i="2"/>
  <c r="M131" i="2"/>
  <c r="L132" i="2"/>
  <c r="M132" i="2"/>
  <c r="L133" i="2"/>
  <c r="M133" i="2"/>
  <c r="L134" i="2"/>
  <c r="M134" i="2"/>
  <c r="L135" i="2"/>
  <c r="M135" i="2"/>
  <c r="L136" i="2"/>
  <c r="M136" i="2"/>
  <c r="L137" i="2"/>
  <c r="M137" i="2"/>
  <c r="L138" i="2"/>
  <c r="M138" i="2"/>
  <c r="L139" i="2"/>
  <c r="M139" i="2"/>
  <c r="L140" i="2"/>
  <c r="M140" i="2"/>
  <c r="L141" i="2"/>
  <c r="M141" i="2"/>
  <c r="L142" i="2"/>
  <c r="M142" i="2"/>
  <c r="L143" i="2"/>
  <c r="M143" i="2"/>
  <c r="L144" i="2"/>
  <c r="M144" i="2"/>
  <c r="L145" i="2"/>
  <c r="M145" i="2"/>
  <c r="L146" i="2"/>
  <c r="M146" i="2"/>
  <c r="L147" i="2"/>
  <c r="M147" i="2"/>
  <c r="L148" i="2"/>
  <c r="M148" i="2"/>
  <c r="L149" i="2"/>
  <c r="M149" i="2"/>
  <c r="L150" i="2"/>
  <c r="M150" i="2"/>
  <c r="L151" i="2"/>
  <c r="M151" i="2"/>
  <c r="L152" i="2"/>
  <c r="M152" i="2"/>
  <c r="L153" i="2"/>
  <c r="M153" i="2"/>
  <c r="L154" i="2"/>
  <c r="M154" i="2"/>
  <c r="L155" i="2"/>
  <c r="M155" i="2"/>
  <c r="L156" i="2"/>
  <c r="M156" i="2"/>
  <c r="L157" i="2"/>
  <c r="M157" i="2"/>
  <c r="L158" i="2"/>
  <c r="M158" i="2"/>
  <c r="L159" i="2"/>
  <c r="M159" i="2"/>
  <c r="L160" i="2"/>
  <c r="M160" i="2"/>
  <c r="L161" i="2"/>
  <c r="M161" i="2"/>
  <c r="L162" i="2"/>
  <c r="M162" i="2"/>
  <c r="L163" i="2"/>
  <c r="M163" i="2"/>
  <c r="L164" i="2"/>
  <c r="M164" i="2"/>
  <c r="L165" i="2"/>
  <c r="M165" i="2"/>
  <c r="L166" i="2"/>
  <c r="M166" i="2"/>
  <c r="L167" i="2"/>
  <c r="M167" i="2"/>
  <c r="L168" i="2"/>
  <c r="M168" i="2"/>
  <c r="L169" i="2"/>
  <c r="M169" i="2"/>
  <c r="L170" i="2"/>
  <c r="M170" i="2"/>
  <c r="L171" i="2"/>
  <c r="M171" i="2"/>
  <c r="L172" i="2"/>
  <c r="M172" i="2"/>
  <c r="L173" i="2"/>
  <c r="M173" i="2"/>
  <c r="L174" i="2"/>
  <c r="M174" i="2"/>
  <c r="L175" i="2"/>
  <c r="M175" i="2"/>
  <c r="L176" i="2"/>
  <c r="M176" i="2"/>
  <c r="L177" i="2"/>
  <c r="M177" i="2"/>
  <c r="L178" i="2"/>
  <c r="M178" i="2"/>
  <c r="L179" i="2"/>
  <c r="M179" i="2"/>
  <c r="L180" i="2"/>
  <c r="M180" i="2"/>
  <c r="L181" i="2"/>
  <c r="M181" i="2"/>
  <c r="L182" i="2"/>
  <c r="M182" i="2"/>
  <c r="L183" i="2"/>
  <c r="M183" i="2"/>
  <c r="L184" i="2"/>
  <c r="M184" i="2"/>
  <c r="L185" i="2"/>
  <c r="M185" i="2"/>
  <c r="L186" i="2"/>
  <c r="M186" i="2"/>
  <c r="L187" i="2"/>
  <c r="M187" i="2"/>
  <c r="L188" i="2"/>
  <c r="M188" i="2"/>
  <c r="L189" i="2"/>
  <c r="M189" i="2"/>
  <c r="L190" i="2"/>
  <c r="M190" i="2"/>
  <c r="L191" i="2"/>
  <c r="M191" i="2"/>
  <c r="L192" i="2"/>
  <c r="M192" i="2"/>
  <c r="L193" i="2"/>
  <c r="M193" i="2"/>
  <c r="L194" i="2"/>
  <c r="M194" i="2"/>
  <c r="L195" i="2"/>
  <c r="M195" i="2"/>
  <c r="L196" i="2"/>
  <c r="M196" i="2"/>
  <c r="L197" i="2"/>
  <c r="M197" i="2"/>
  <c r="L198" i="2"/>
  <c r="M198" i="2"/>
  <c r="L199" i="2"/>
  <c r="M199" i="2"/>
  <c r="L200" i="2"/>
  <c r="M200" i="2"/>
  <c r="L201" i="2"/>
  <c r="M201" i="2"/>
  <c r="L202" i="2"/>
  <c r="M202" i="2"/>
  <c r="L203" i="2"/>
  <c r="M203" i="2"/>
  <c r="L204" i="2"/>
  <c r="M204" i="2"/>
  <c r="L205" i="2"/>
  <c r="M205" i="2"/>
  <c r="L206" i="2"/>
  <c r="M206" i="2"/>
  <c r="L207" i="2"/>
  <c r="M207" i="2"/>
  <c r="L208" i="2"/>
  <c r="M208" i="2"/>
  <c r="L209" i="2"/>
  <c r="M209" i="2"/>
  <c r="L210" i="2"/>
  <c r="M210" i="2"/>
  <c r="L211" i="2"/>
  <c r="M211" i="2"/>
  <c r="L212" i="2"/>
  <c r="M212" i="2"/>
  <c r="L213" i="2"/>
  <c r="M213" i="2"/>
  <c r="L214" i="2"/>
  <c r="M214" i="2"/>
  <c r="L215" i="2"/>
  <c r="M215" i="2"/>
  <c r="L216" i="2"/>
  <c r="M216" i="2"/>
  <c r="L217" i="2"/>
  <c r="M217" i="2"/>
  <c r="L218" i="2"/>
  <c r="M218" i="2"/>
  <c r="L219" i="2"/>
  <c r="M219" i="2"/>
  <c r="L220" i="2"/>
  <c r="M220" i="2"/>
  <c r="L221" i="2"/>
  <c r="M221" i="2"/>
  <c r="L222" i="2"/>
  <c r="M222" i="2"/>
  <c r="L223" i="2"/>
  <c r="M223" i="2"/>
  <c r="L224" i="2"/>
  <c r="M224" i="2"/>
  <c r="L225" i="2"/>
  <c r="M225" i="2"/>
  <c r="L226" i="2"/>
  <c r="M226" i="2"/>
  <c r="L227" i="2"/>
  <c r="M227" i="2"/>
  <c r="L228" i="2"/>
  <c r="M228" i="2"/>
  <c r="L229" i="2"/>
  <c r="M229" i="2"/>
  <c r="L230" i="2"/>
  <c r="M230" i="2"/>
  <c r="L231" i="2"/>
  <c r="M231" i="2"/>
  <c r="L232" i="2"/>
  <c r="M232" i="2"/>
  <c r="L233" i="2"/>
  <c r="M233" i="2"/>
  <c r="L234" i="2"/>
  <c r="M234" i="2"/>
  <c r="L235" i="2"/>
  <c r="M235" i="2"/>
  <c r="L236" i="2"/>
  <c r="M236" i="2"/>
  <c r="L237" i="2"/>
  <c r="M237" i="2"/>
  <c r="L238" i="2"/>
  <c r="M238" i="2"/>
  <c r="L239" i="2"/>
  <c r="M239" i="2"/>
  <c r="L240" i="2"/>
  <c r="M240" i="2"/>
  <c r="L241" i="2"/>
  <c r="M241" i="2"/>
  <c r="L242" i="2"/>
  <c r="M242" i="2"/>
  <c r="L243" i="2"/>
  <c r="M243" i="2"/>
  <c r="L244" i="2"/>
  <c r="M244" i="2"/>
  <c r="L245" i="2"/>
  <c r="M245" i="2"/>
  <c r="L246" i="2"/>
  <c r="M246" i="2"/>
  <c r="L247" i="2"/>
  <c r="M247" i="2"/>
  <c r="L248" i="2"/>
  <c r="M248" i="2"/>
  <c r="L249" i="2"/>
  <c r="M249" i="2"/>
  <c r="L250" i="2"/>
  <c r="M250" i="2"/>
  <c r="L251" i="2"/>
  <c r="M251" i="2"/>
  <c r="L252" i="2"/>
  <c r="M252" i="2"/>
  <c r="L253" i="2"/>
  <c r="M253" i="2"/>
  <c r="L254" i="2"/>
  <c r="M254" i="2"/>
  <c r="L255" i="2"/>
  <c r="M255" i="2"/>
  <c r="L256" i="2"/>
  <c r="M256" i="2"/>
  <c r="L257" i="2"/>
  <c r="M257" i="2"/>
  <c r="L258" i="2"/>
  <c r="M258" i="2"/>
  <c r="L259" i="2"/>
  <c r="M259" i="2"/>
  <c r="L260" i="2"/>
  <c r="M260" i="2"/>
  <c r="L261" i="2"/>
  <c r="M261" i="2"/>
  <c r="L262" i="2"/>
  <c r="M262" i="2"/>
  <c r="L263" i="2"/>
  <c r="M263" i="2"/>
  <c r="L264" i="2"/>
  <c r="M264" i="2"/>
  <c r="L265" i="2"/>
  <c r="M265" i="2"/>
  <c r="L266" i="2"/>
  <c r="M266" i="2"/>
  <c r="L267" i="2"/>
  <c r="M267" i="2"/>
  <c r="L268" i="2"/>
  <c r="M268" i="2"/>
  <c r="L269" i="2"/>
  <c r="M269" i="2"/>
  <c r="L270" i="2"/>
  <c r="M270" i="2"/>
  <c r="L271" i="2"/>
  <c r="M271" i="2"/>
  <c r="L272" i="2"/>
  <c r="M272" i="2"/>
  <c r="L273" i="2"/>
  <c r="M273" i="2"/>
  <c r="L274" i="2"/>
  <c r="M274" i="2"/>
  <c r="L275" i="2"/>
  <c r="M275" i="2"/>
  <c r="L276" i="2"/>
  <c r="M276" i="2"/>
  <c r="L277" i="2"/>
  <c r="M277" i="2"/>
  <c r="L278" i="2"/>
  <c r="M278" i="2"/>
  <c r="L279" i="2"/>
  <c r="M279" i="2"/>
  <c r="L280" i="2"/>
  <c r="M280" i="2"/>
  <c r="L281" i="2"/>
  <c r="M281" i="2"/>
  <c r="L282" i="2"/>
  <c r="M282" i="2"/>
  <c r="L283" i="2"/>
  <c r="M283" i="2"/>
  <c r="L284" i="2"/>
  <c r="M284" i="2"/>
  <c r="L285" i="2"/>
  <c r="M285" i="2"/>
  <c r="L286" i="2"/>
  <c r="M286" i="2"/>
  <c r="L287" i="2"/>
  <c r="M287" i="2"/>
  <c r="L288" i="2"/>
  <c r="M288" i="2"/>
  <c r="L289" i="2"/>
  <c r="M289" i="2"/>
  <c r="L290" i="2"/>
  <c r="M290" i="2"/>
  <c r="L291" i="2"/>
  <c r="M291" i="2"/>
  <c r="L292" i="2"/>
  <c r="M292" i="2"/>
  <c r="L293" i="2"/>
  <c r="M293" i="2"/>
  <c r="L294" i="2"/>
  <c r="M294" i="2"/>
  <c r="L295" i="2"/>
  <c r="M295" i="2"/>
  <c r="L296" i="2"/>
  <c r="M296" i="2"/>
  <c r="L297" i="2"/>
  <c r="M297" i="2"/>
  <c r="L298" i="2"/>
  <c r="M298" i="2"/>
  <c r="L299" i="2"/>
  <c r="M299" i="2"/>
  <c r="L300" i="2"/>
  <c r="M300" i="2"/>
  <c r="L301" i="2"/>
  <c r="M301" i="2"/>
  <c r="L302" i="2"/>
  <c r="M302" i="2"/>
  <c r="L303" i="2"/>
  <c r="M303" i="2"/>
  <c r="L304" i="2"/>
  <c r="M304" i="2"/>
  <c r="L305" i="2"/>
  <c r="M305" i="2"/>
  <c r="L306" i="2"/>
  <c r="M306" i="2"/>
  <c r="L307" i="2"/>
  <c r="M307" i="2"/>
  <c r="L308" i="2"/>
  <c r="M308" i="2"/>
  <c r="L309" i="2"/>
  <c r="M309" i="2"/>
  <c r="L310" i="2"/>
  <c r="M310" i="2"/>
  <c r="L311" i="2"/>
  <c r="M311" i="2"/>
  <c r="L312" i="2"/>
  <c r="M312" i="2"/>
  <c r="L313" i="2"/>
  <c r="M313" i="2"/>
  <c r="L314" i="2"/>
  <c r="M314" i="2"/>
  <c r="L315" i="2"/>
  <c r="M315" i="2"/>
  <c r="L316" i="2"/>
  <c r="M316" i="2"/>
  <c r="L317" i="2"/>
  <c r="M317" i="2"/>
  <c r="L318" i="2"/>
  <c r="M318" i="2"/>
  <c r="L319" i="2"/>
  <c r="M319" i="2"/>
  <c r="L320" i="2"/>
  <c r="M320" i="2"/>
  <c r="L321" i="2"/>
  <c r="M321" i="2"/>
  <c r="L322" i="2"/>
  <c r="M322" i="2"/>
  <c r="L323" i="2"/>
  <c r="M323" i="2"/>
  <c r="L324" i="2"/>
  <c r="M324" i="2"/>
  <c r="L325" i="2"/>
  <c r="M325" i="2"/>
  <c r="L326" i="2"/>
  <c r="M326" i="2"/>
  <c r="L327" i="2"/>
  <c r="M327" i="2"/>
  <c r="L328" i="2"/>
  <c r="M328" i="2"/>
  <c r="L329" i="2"/>
  <c r="M329" i="2"/>
  <c r="L330" i="2"/>
  <c r="M330" i="2"/>
  <c r="L331" i="2"/>
  <c r="M331" i="2"/>
  <c r="L332" i="2"/>
  <c r="M332" i="2"/>
  <c r="L333" i="2"/>
  <c r="M333" i="2"/>
  <c r="L334" i="2"/>
  <c r="M334" i="2"/>
  <c r="L335" i="2"/>
  <c r="M335" i="2"/>
  <c r="L336" i="2"/>
  <c r="M336" i="2"/>
  <c r="L337" i="2"/>
  <c r="M337" i="2"/>
  <c r="L338" i="2"/>
  <c r="M338" i="2"/>
  <c r="L339" i="2"/>
  <c r="M339" i="2"/>
  <c r="L340" i="2"/>
  <c r="M340" i="2"/>
  <c r="L341" i="2"/>
  <c r="M341" i="2"/>
  <c r="L342" i="2"/>
  <c r="M342" i="2"/>
  <c r="L343" i="2"/>
  <c r="M343" i="2"/>
  <c r="L344" i="2"/>
  <c r="M344" i="2"/>
  <c r="L345" i="2"/>
  <c r="M345" i="2"/>
  <c r="L346" i="2"/>
  <c r="M346" i="2"/>
  <c r="L347" i="2"/>
  <c r="M347" i="2"/>
  <c r="L348" i="2"/>
  <c r="M348" i="2"/>
  <c r="L349" i="2"/>
  <c r="M349" i="2"/>
  <c r="L350" i="2"/>
  <c r="M350" i="2"/>
  <c r="L351" i="2"/>
  <c r="M351" i="2"/>
  <c r="L352" i="2"/>
  <c r="M352" i="2"/>
  <c r="L353" i="2"/>
  <c r="M353" i="2"/>
  <c r="L354" i="2"/>
  <c r="M354" i="2"/>
  <c r="L355" i="2"/>
  <c r="M355" i="2"/>
  <c r="L356" i="2"/>
  <c r="M356" i="2"/>
  <c r="L357" i="2"/>
  <c r="M357" i="2"/>
  <c r="L358" i="2"/>
  <c r="M358" i="2"/>
  <c r="L359" i="2"/>
  <c r="M359" i="2"/>
  <c r="L360" i="2"/>
  <c r="M360" i="2"/>
  <c r="L361" i="2"/>
  <c r="M361" i="2"/>
  <c r="L362" i="2"/>
  <c r="M362" i="2"/>
  <c r="L363" i="2"/>
  <c r="M363" i="2"/>
  <c r="L364" i="2"/>
  <c r="M364" i="2"/>
  <c r="L365" i="2"/>
  <c r="M365" i="2"/>
  <c r="L366" i="2"/>
  <c r="M366" i="2"/>
  <c r="L367" i="2"/>
  <c r="M367" i="2"/>
  <c r="L368" i="2"/>
  <c r="M368" i="2"/>
  <c r="L369" i="2"/>
  <c r="M369" i="2"/>
  <c r="L370" i="2"/>
  <c r="M370" i="2"/>
  <c r="L371" i="2"/>
  <c r="M371" i="2"/>
  <c r="L372" i="2"/>
  <c r="M372" i="2"/>
  <c r="L373" i="2"/>
  <c r="M373" i="2"/>
  <c r="L374" i="2"/>
  <c r="M374" i="2"/>
  <c r="L375" i="2"/>
  <c r="M375" i="2"/>
  <c r="L376" i="2"/>
  <c r="M376" i="2"/>
  <c r="L377" i="2"/>
  <c r="M377" i="2"/>
  <c r="L378" i="2"/>
  <c r="M378" i="2"/>
  <c r="L379" i="2"/>
  <c r="M379" i="2"/>
  <c r="L380" i="2"/>
  <c r="M380" i="2"/>
  <c r="L381" i="2"/>
  <c r="M381" i="2"/>
  <c r="L382" i="2"/>
  <c r="M382" i="2"/>
  <c r="L383" i="2"/>
  <c r="M383" i="2"/>
  <c r="L384" i="2"/>
  <c r="M384" i="2"/>
  <c r="L385" i="2"/>
  <c r="M385" i="2"/>
  <c r="L386" i="2"/>
  <c r="M386" i="2"/>
  <c r="L387" i="2"/>
  <c r="M387" i="2"/>
  <c r="L388" i="2"/>
  <c r="M388" i="2"/>
  <c r="L389" i="2"/>
  <c r="M389" i="2"/>
  <c r="L390" i="2"/>
  <c r="M390" i="2"/>
  <c r="L391" i="2"/>
  <c r="M391" i="2"/>
  <c r="L392" i="2"/>
  <c r="M392" i="2"/>
  <c r="L393" i="2"/>
  <c r="M393" i="2"/>
  <c r="L394" i="2"/>
  <c r="M394" i="2"/>
  <c r="L395" i="2"/>
  <c r="M395" i="2"/>
  <c r="L396" i="2"/>
  <c r="M396" i="2"/>
  <c r="L397" i="2"/>
  <c r="M397" i="2"/>
  <c r="L398" i="2"/>
  <c r="M398" i="2"/>
  <c r="L399" i="2"/>
  <c r="M399" i="2"/>
  <c r="L400" i="2"/>
  <c r="M400" i="2"/>
  <c r="L401" i="2"/>
  <c r="M401" i="2"/>
  <c r="L402" i="2"/>
  <c r="M402" i="2"/>
  <c r="L403" i="2"/>
  <c r="M403" i="2"/>
  <c r="L404" i="2"/>
  <c r="M404" i="2"/>
  <c r="L405" i="2"/>
  <c r="M405" i="2"/>
  <c r="L406" i="2"/>
  <c r="M406" i="2"/>
  <c r="L407" i="2"/>
  <c r="M407" i="2"/>
  <c r="L408" i="2"/>
  <c r="M408" i="2"/>
  <c r="L409" i="2"/>
  <c r="M409" i="2"/>
  <c r="L410" i="2"/>
  <c r="M410" i="2"/>
  <c r="L411" i="2"/>
  <c r="M411" i="2"/>
  <c r="L412" i="2"/>
  <c r="M412" i="2"/>
  <c r="L413" i="2"/>
  <c r="M413" i="2"/>
  <c r="L414" i="2"/>
  <c r="M414" i="2"/>
  <c r="L415" i="2"/>
  <c r="M415" i="2"/>
  <c r="L416" i="2"/>
  <c r="M416" i="2"/>
  <c r="L417" i="2"/>
  <c r="M417" i="2"/>
  <c r="L418" i="2"/>
  <c r="M418" i="2"/>
  <c r="L419" i="2"/>
  <c r="M419" i="2"/>
  <c r="L420" i="2"/>
  <c r="M420" i="2"/>
  <c r="L421" i="2"/>
  <c r="M421" i="2"/>
  <c r="L422" i="2"/>
  <c r="M422" i="2"/>
  <c r="L423" i="2"/>
  <c r="M423" i="2"/>
  <c r="L424" i="2"/>
  <c r="M424" i="2"/>
  <c r="L425" i="2"/>
  <c r="M425" i="2"/>
  <c r="L426" i="2"/>
  <c r="M426" i="2"/>
  <c r="L427" i="2"/>
  <c r="M427" i="2"/>
  <c r="L428" i="2"/>
  <c r="M428" i="2"/>
  <c r="L429" i="2"/>
  <c r="M429" i="2"/>
  <c r="L430" i="2"/>
  <c r="M430" i="2"/>
  <c r="L431" i="2"/>
  <c r="M431" i="2"/>
  <c r="L432" i="2"/>
  <c r="M432" i="2"/>
  <c r="L433" i="2"/>
  <c r="M433" i="2"/>
  <c r="L434" i="2"/>
  <c r="M434" i="2"/>
  <c r="L435" i="2"/>
  <c r="M435" i="2"/>
  <c r="L436" i="2"/>
  <c r="M436" i="2"/>
  <c r="L437" i="2"/>
  <c r="M437" i="2"/>
  <c r="L438" i="2"/>
  <c r="M438" i="2"/>
  <c r="L439" i="2"/>
  <c r="M439" i="2"/>
  <c r="L440" i="2"/>
  <c r="M440" i="2"/>
  <c r="L441" i="2"/>
  <c r="M441" i="2"/>
  <c r="L442" i="2"/>
  <c r="M442" i="2"/>
  <c r="L443" i="2"/>
  <c r="M443" i="2"/>
  <c r="L444" i="2"/>
  <c r="M444" i="2"/>
  <c r="L445" i="2"/>
  <c r="M445" i="2"/>
  <c r="L446" i="2"/>
  <c r="M446" i="2"/>
  <c r="L447" i="2"/>
  <c r="M447" i="2"/>
  <c r="L448" i="2"/>
  <c r="M448" i="2"/>
  <c r="L449" i="2"/>
  <c r="M449" i="2"/>
  <c r="L450" i="2"/>
  <c r="M450" i="2"/>
  <c r="L451" i="2"/>
  <c r="M451" i="2"/>
  <c r="L452" i="2"/>
  <c r="M452" i="2"/>
  <c r="L453" i="2"/>
  <c r="M453" i="2"/>
  <c r="L454" i="2"/>
  <c r="M454" i="2"/>
  <c r="L455" i="2"/>
  <c r="M455" i="2"/>
  <c r="L456" i="2"/>
  <c r="M456" i="2"/>
  <c r="L457" i="2"/>
  <c r="M457" i="2"/>
  <c r="L458" i="2"/>
  <c r="M458" i="2"/>
  <c r="L459" i="2"/>
  <c r="M459" i="2"/>
  <c r="L460" i="2"/>
  <c r="M460" i="2"/>
  <c r="L461" i="2"/>
  <c r="M461" i="2"/>
  <c r="L462" i="2"/>
  <c r="M462" i="2"/>
  <c r="L463" i="2"/>
  <c r="M463" i="2"/>
  <c r="L464" i="2"/>
  <c r="M464" i="2"/>
  <c r="L465" i="2"/>
  <c r="M465" i="2"/>
  <c r="L466" i="2"/>
  <c r="M466" i="2"/>
  <c r="L467" i="2"/>
  <c r="M467" i="2"/>
  <c r="L468" i="2"/>
  <c r="M468" i="2"/>
  <c r="L469" i="2"/>
  <c r="M469" i="2"/>
  <c r="L470" i="2"/>
  <c r="M470" i="2"/>
  <c r="L471" i="2"/>
  <c r="M471" i="2"/>
  <c r="L472" i="2"/>
  <c r="M472" i="2"/>
  <c r="L473" i="2"/>
  <c r="M473" i="2"/>
  <c r="L474" i="2"/>
  <c r="M474" i="2"/>
  <c r="L475" i="2"/>
  <c r="M475" i="2"/>
  <c r="L476" i="2"/>
  <c r="M476" i="2"/>
  <c r="L477" i="2"/>
  <c r="M477" i="2"/>
  <c r="L478" i="2"/>
  <c r="M478" i="2"/>
  <c r="L479" i="2"/>
  <c r="M479" i="2"/>
  <c r="L480" i="2"/>
  <c r="M480" i="2"/>
  <c r="L481" i="2"/>
  <c r="M481" i="2"/>
  <c r="L482" i="2"/>
  <c r="M482" i="2"/>
  <c r="L483" i="2"/>
  <c r="M483" i="2"/>
  <c r="L484" i="2"/>
  <c r="M484" i="2"/>
  <c r="L485" i="2"/>
  <c r="M485" i="2"/>
  <c r="L486" i="2"/>
  <c r="M486" i="2"/>
  <c r="L487" i="2"/>
  <c r="M487" i="2"/>
  <c r="L488" i="2"/>
  <c r="M488" i="2"/>
  <c r="L489" i="2"/>
  <c r="M489" i="2"/>
  <c r="L490" i="2"/>
  <c r="M490" i="2"/>
  <c r="L491" i="2"/>
  <c r="M491" i="2"/>
  <c r="L492" i="2"/>
  <c r="M492" i="2"/>
  <c r="L493" i="2"/>
  <c r="M493" i="2"/>
  <c r="L494" i="2"/>
  <c r="M494" i="2"/>
  <c r="L495" i="2"/>
  <c r="M495" i="2"/>
  <c r="L496" i="2"/>
  <c r="M496" i="2"/>
  <c r="L497" i="2"/>
  <c r="M497" i="2"/>
  <c r="L498" i="2"/>
  <c r="M498" i="2"/>
  <c r="L499" i="2"/>
  <c r="M499" i="2"/>
  <c r="L500" i="2"/>
  <c r="M500" i="2"/>
  <c r="L501" i="2"/>
  <c r="M501" i="2"/>
  <c r="L502" i="2"/>
  <c r="M502" i="2"/>
  <c r="L503" i="2"/>
  <c r="M503" i="2"/>
  <c r="L504" i="2"/>
  <c r="M504" i="2"/>
  <c r="L505" i="2"/>
  <c r="M505" i="2"/>
  <c r="L506" i="2"/>
  <c r="M506" i="2"/>
  <c r="L507" i="2"/>
  <c r="M507" i="2"/>
  <c r="L508" i="2"/>
  <c r="M508" i="2"/>
  <c r="L509" i="2"/>
  <c r="M509" i="2"/>
  <c r="L510" i="2"/>
  <c r="M510" i="2"/>
  <c r="L511" i="2"/>
  <c r="M511" i="2"/>
  <c r="L512" i="2"/>
  <c r="M512" i="2"/>
  <c r="L513" i="2"/>
  <c r="M513" i="2"/>
  <c r="L514" i="2"/>
  <c r="M514" i="2"/>
  <c r="L515" i="2"/>
  <c r="M515" i="2"/>
  <c r="L516" i="2"/>
  <c r="M516" i="2"/>
  <c r="L517" i="2"/>
  <c r="M517" i="2"/>
  <c r="L518" i="2"/>
  <c r="M518" i="2"/>
  <c r="L519" i="2"/>
  <c r="M519" i="2"/>
  <c r="L520" i="2"/>
  <c r="M520" i="2"/>
  <c r="L521" i="2"/>
  <c r="M521" i="2"/>
  <c r="L522" i="2"/>
  <c r="M522" i="2"/>
  <c r="L523" i="2"/>
  <c r="M523" i="2"/>
  <c r="L524" i="2"/>
  <c r="M524" i="2"/>
  <c r="L525" i="2"/>
  <c r="M525" i="2"/>
  <c r="L526" i="2"/>
  <c r="M526" i="2"/>
  <c r="L527" i="2"/>
  <c r="M527" i="2"/>
  <c r="L528" i="2"/>
  <c r="M528" i="2"/>
  <c r="L529" i="2"/>
  <c r="M529" i="2"/>
  <c r="L530" i="2"/>
  <c r="M530" i="2"/>
  <c r="L531" i="2"/>
  <c r="M531" i="2"/>
  <c r="L532" i="2"/>
  <c r="M532" i="2"/>
  <c r="L533" i="2"/>
  <c r="M533" i="2"/>
  <c r="L534" i="2"/>
  <c r="M534" i="2"/>
  <c r="L535" i="2"/>
  <c r="M535" i="2"/>
  <c r="L536" i="2"/>
  <c r="M536" i="2"/>
  <c r="L537" i="2"/>
  <c r="M537" i="2"/>
  <c r="L538" i="2"/>
  <c r="M538" i="2"/>
  <c r="L539" i="2"/>
  <c r="M539" i="2"/>
  <c r="L540" i="2"/>
  <c r="M540" i="2"/>
  <c r="L541" i="2"/>
  <c r="M541" i="2"/>
  <c r="L542" i="2"/>
  <c r="M542" i="2"/>
  <c r="L543" i="2"/>
  <c r="M543" i="2"/>
  <c r="L544" i="2"/>
  <c r="M544" i="2"/>
  <c r="L545" i="2"/>
  <c r="M545" i="2"/>
  <c r="L546" i="2"/>
  <c r="M546" i="2"/>
  <c r="L547" i="2"/>
  <c r="M547" i="2"/>
  <c r="L548" i="2"/>
  <c r="M548" i="2"/>
  <c r="L549" i="2"/>
  <c r="M549" i="2"/>
  <c r="L550" i="2"/>
  <c r="M550" i="2"/>
  <c r="L551" i="2"/>
  <c r="M551" i="2"/>
  <c r="L552" i="2"/>
  <c r="M552" i="2"/>
  <c r="L553" i="2"/>
  <c r="M553" i="2"/>
  <c r="L554" i="2"/>
  <c r="M554" i="2"/>
  <c r="L555" i="2"/>
  <c r="M555" i="2"/>
  <c r="L556" i="2"/>
  <c r="M556" i="2"/>
  <c r="L557" i="2"/>
  <c r="M557" i="2"/>
  <c r="L558" i="2"/>
  <c r="M558" i="2"/>
  <c r="L559" i="2"/>
  <c r="M559" i="2"/>
  <c r="L560" i="2"/>
  <c r="M560" i="2"/>
  <c r="L561" i="2"/>
  <c r="M561" i="2"/>
  <c r="L562" i="2"/>
  <c r="M562" i="2"/>
  <c r="L563" i="2"/>
  <c r="M563" i="2"/>
  <c r="L564" i="2"/>
  <c r="M564" i="2"/>
  <c r="L565" i="2"/>
  <c r="M565" i="2"/>
  <c r="L566" i="2"/>
  <c r="M566" i="2"/>
  <c r="L567" i="2"/>
  <c r="M567" i="2"/>
  <c r="L568" i="2"/>
  <c r="M568" i="2"/>
  <c r="L569" i="2"/>
  <c r="M569" i="2"/>
  <c r="L570" i="2"/>
  <c r="M570" i="2"/>
  <c r="L571" i="2"/>
  <c r="M571" i="2"/>
  <c r="L572" i="2"/>
  <c r="M572" i="2"/>
  <c r="L573" i="2"/>
  <c r="M573" i="2"/>
  <c r="L574" i="2"/>
  <c r="M574" i="2"/>
  <c r="L575" i="2"/>
  <c r="M575" i="2"/>
  <c r="L576" i="2"/>
  <c r="M576" i="2"/>
  <c r="L577" i="2"/>
  <c r="M577" i="2"/>
  <c r="L578" i="2"/>
  <c r="M578" i="2"/>
  <c r="L579" i="2"/>
  <c r="M579" i="2"/>
  <c r="L580" i="2"/>
  <c r="M580" i="2"/>
  <c r="L581" i="2"/>
  <c r="M581" i="2"/>
  <c r="L582" i="2"/>
  <c r="M582" i="2"/>
  <c r="L583" i="2"/>
  <c r="M583" i="2"/>
  <c r="L584" i="2"/>
  <c r="M584" i="2"/>
  <c r="L585" i="2"/>
  <c r="M585" i="2"/>
  <c r="L586" i="2"/>
  <c r="M586" i="2"/>
  <c r="L587" i="2"/>
  <c r="M587" i="2"/>
  <c r="L588" i="2"/>
  <c r="M588" i="2"/>
  <c r="L589" i="2"/>
  <c r="M589" i="2"/>
  <c r="L590" i="2"/>
  <c r="M590" i="2"/>
  <c r="L591" i="2"/>
  <c r="M591" i="2"/>
  <c r="L592" i="2"/>
  <c r="M592" i="2"/>
  <c r="L593" i="2"/>
  <c r="M593" i="2"/>
  <c r="L594" i="2"/>
  <c r="M594" i="2"/>
  <c r="L595" i="2"/>
  <c r="M595" i="2"/>
  <c r="L596" i="2"/>
  <c r="M596" i="2"/>
  <c r="L597" i="2"/>
  <c r="M597" i="2"/>
  <c r="L598" i="2"/>
  <c r="M598" i="2"/>
  <c r="L599" i="2"/>
  <c r="M599" i="2"/>
  <c r="L600" i="2"/>
  <c r="M600" i="2"/>
  <c r="L601" i="2"/>
  <c r="M601" i="2"/>
  <c r="L602" i="2"/>
  <c r="M602" i="2"/>
  <c r="L603" i="2"/>
  <c r="M603" i="2"/>
  <c r="L604" i="2"/>
  <c r="M604" i="2"/>
  <c r="L605" i="2"/>
  <c r="M605" i="2"/>
  <c r="L606" i="2"/>
  <c r="M606" i="2"/>
  <c r="L607" i="2"/>
  <c r="M607" i="2"/>
  <c r="L608" i="2"/>
  <c r="M608" i="2"/>
  <c r="L609" i="2"/>
  <c r="M609" i="2"/>
  <c r="L610" i="2"/>
  <c r="M610" i="2"/>
  <c r="L611" i="2"/>
  <c r="M611" i="2"/>
  <c r="L612" i="2"/>
  <c r="M612" i="2"/>
  <c r="L613" i="2"/>
  <c r="M613" i="2"/>
  <c r="L614" i="2"/>
  <c r="M614" i="2"/>
  <c r="L615" i="2"/>
  <c r="M615" i="2"/>
  <c r="L616" i="2"/>
  <c r="M616" i="2"/>
  <c r="L617" i="2"/>
  <c r="M617" i="2"/>
  <c r="L618" i="2"/>
  <c r="M618" i="2"/>
  <c r="L619" i="2"/>
  <c r="M619" i="2"/>
  <c r="L620" i="2"/>
  <c r="M620" i="2"/>
  <c r="L621" i="2"/>
  <c r="M621" i="2"/>
  <c r="L622" i="2"/>
  <c r="M622" i="2"/>
  <c r="L623" i="2"/>
  <c r="M623" i="2"/>
  <c r="L624" i="2"/>
  <c r="M624" i="2"/>
  <c r="L625" i="2"/>
  <c r="M625" i="2"/>
  <c r="L626" i="2"/>
  <c r="M626" i="2"/>
  <c r="L627" i="2"/>
  <c r="M627" i="2"/>
  <c r="L628" i="2"/>
  <c r="M628" i="2"/>
  <c r="L629" i="2"/>
  <c r="M629" i="2"/>
  <c r="L630" i="2"/>
  <c r="M630" i="2"/>
  <c r="L631" i="2"/>
  <c r="M631" i="2"/>
  <c r="L632" i="2"/>
  <c r="M632" i="2"/>
  <c r="L633" i="2"/>
  <c r="M633" i="2"/>
  <c r="L634" i="2"/>
  <c r="M634" i="2"/>
  <c r="L635" i="2"/>
  <c r="M635" i="2"/>
  <c r="L636" i="2"/>
  <c r="M636" i="2"/>
  <c r="L637" i="2"/>
  <c r="M637" i="2"/>
  <c r="L638" i="2"/>
  <c r="M638" i="2"/>
  <c r="L639" i="2"/>
  <c r="M639" i="2"/>
  <c r="L640" i="2"/>
  <c r="M640" i="2"/>
  <c r="L641" i="2"/>
  <c r="M641" i="2"/>
  <c r="L642" i="2"/>
  <c r="M642" i="2"/>
  <c r="L643" i="2"/>
  <c r="M643" i="2"/>
  <c r="L644" i="2"/>
  <c r="M644" i="2"/>
  <c r="L645" i="2"/>
  <c r="M645" i="2"/>
  <c r="L646" i="2"/>
  <c r="M646" i="2"/>
  <c r="L647" i="2"/>
  <c r="M647" i="2"/>
  <c r="L648" i="2"/>
  <c r="M648" i="2"/>
  <c r="L649" i="2"/>
  <c r="M649" i="2"/>
  <c r="L650" i="2"/>
  <c r="M650" i="2"/>
  <c r="L651" i="2"/>
  <c r="M651" i="2"/>
  <c r="L652" i="2"/>
  <c r="M652" i="2"/>
  <c r="L653" i="2"/>
  <c r="M653" i="2"/>
  <c r="L654" i="2"/>
  <c r="M654" i="2"/>
  <c r="L655" i="2"/>
  <c r="M655" i="2"/>
  <c r="L656" i="2"/>
  <c r="M656" i="2"/>
  <c r="L657" i="2"/>
  <c r="M657" i="2"/>
  <c r="L658" i="2"/>
  <c r="M658" i="2"/>
  <c r="L659" i="2"/>
  <c r="M659" i="2"/>
  <c r="L660" i="2"/>
  <c r="M660" i="2"/>
  <c r="L661" i="2"/>
  <c r="M661" i="2"/>
  <c r="L662" i="2"/>
  <c r="M662" i="2"/>
  <c r="L663" i="2"/>
  <c r="M663" i="2"/>
  <c r="L664" i="2"/>
  <c r="M664" i="2"/>
  <c r="L665" i="2"/>
  <c r="M665" i="2"/>
  <c r="L666" i="2"/>
  <c r="M666" i="2"/>
  <c r="L667" i="2"/>
  <c r="M667" i="2"/>
  <c r="L668" i="2"/>
  <c r="M668" i="2"/>
  <c r="L669" i="2"/>
  <c r="M669" i="2"/>
  <c r="L670" i="2"/>
  <c r="M670" i="2"/>
  <c r="L671" i="2"/>
  <c r="M671" i="2"/>
  <c r="L672" i="2"/>
  <c r="M672" i="2"/>
  <c r="L673" i="2"/>
  <c r="M673" i="2"/>
  <c r="L674" i="2"/>
  <c r="M674" i="2"/>
  <c r="L675" i="2"/>
  <c r="M675" i="2"/>
  <c r="L676" i="2"/>
  <c r="M676" i="2"/>
  <c r="L677" i="2"/>
  <c r="M677" i="2"/>
  <c r="L678" i="2"/>
  <c r="M678" i="2"/>
  <c r="L679" i="2"/>
  <c r="M679" i="2"/>
  <c r="L680" i="2"/>
  <c r="M680" i="2"/>
  <c r="L681" i="2"/>
  <c r="M681" i="2"/>
  <c r="L682" i="2"/>
  <c r="M682" i="2"/>
  <c r="L683" i="2"/>
  <c r="M683" i="2"/>
  <c r="L684" i="2"/>
  <c r="M684" i="2"/>
  <c r="L685" i="2"/>
  <c r="M685" i="2"/>
  <c r="L686" i="2"/>
  <c r="M686" i="2"/>
  <c r="L687" i="2"/>
  <c r="M687" i="2"/>
  <c r="L688" i="2"/>
  <c r="M688" i="2"/>
  <c r="L689" i="2"/>
  <c r="M689" i="2"/>
  <c r="L690" i="2"/>
  <c r="M690" i="2"/>
  <c r="L691" i="2"/>
  <c r="M691" i="2"/>
  <c r="L692" i="2"/>
  <c r="M692" i="2"/>
  <c r="L693" i="2"/>
  <c r="M693" i="2"/>
  <c r="L694" i="2"/>
  <c r="M694" i="2"/>
  <c r="L695" i="2"/>
  <c r="M695" i="2"/>
  <c r="L696" i="2"/>
  <c r="M696" i="2"/>
  <c r="L697" i="2"/>
  <c r="M697" i="2"/>
  <c r="L698" i="2"/>
  <c r="M698" i="2"/>
  <c r="L699" i="2"/>
  <c r="M699" i="2"/>
  <c r="L700" i="2"/>
  <c r="M700" i="2"/>
  <c r="L701" i="2"/>
  <c r="M701" i="2"/>
  <c r="L702" i="2"/>
  <c r="M702" i="2"/>
  <c r="L703" i="2"/>
  <c r="M703" i="2"/>
  <c r="L704" i="2"/>
  <c r="M704" i="2"/>
  <c r="L705" i="2"/>
  <c r="M705" i="2"/>
  <c r="L706" i="2"/>
  <c r="M706" i="2"/>
  <c r="L707" i="2"/>
  <c r="M707" i="2"/>
  <c r="L708" i="2"/>
  <c r="M708" i="2"/>
  <c r="L709" i="2"/>
  <c r="M709" i="2"/>
  <c r="L710" i="2"/>
  <c r="M710" i="2"/>
  <c r="L711" i="2"/>
  <c r="M711" i="2"/>
  <c r="L712" i="2"/>
  <c r="M712" i="2"/>
  <c r="L713" i="2"/>
  <c r="M713" i="2"/>
  <c r="L714" i="2"/>
  <c r="M714" i="2"/>
  <c r="L715" i="2"/>
  <c r="M715" i="2"/>
  <c r="L716" i="2"/>
  <c r="M716" i="2"/>
  <c r="L717" i="2"/>
  <c r="M717" i="2"/>
  <c r="L718" i="2"/>
  <c r="M718" i="2"/>
  <c r="L719" i="2"/>
  <c r="M719" i="2"/>
  <c r="L720" i="2"/>
  <c r="M720" i="2"/>
  <c r="L721" i="2"/>
  <c r="M721" i="2"/>
  <c r="L722" i="2"/>
  <c r="M722" i="2"/>
  <c r="L723" i="2"/>
  <c r="M723" i="2"/>
  <c r="L724" i="2"/>
  <c r="M724" i="2"/>
  <c r="L725" i="2"/>
  <c r="M725" i="2"/>
  <c r="L726" i="2"/>
  <c r="M726" i="2"/>
  <c r="L727" i="2"/>
  <c r="M727" i="2"/>
  <c r="L728" i="2"/>
  <c r="M728" i="2"/>
  <c r="L729" i="2"/>
  <c r="M729" i="2"/>
  <c r="L730" i="2"/>
  <c r="M730" i="2"/>
  <c r="L731" i="2"/>
  <c r="M731" i="2"/>
  <c r="L732" i="2"/>
  <c r="M732" i="2"/>
  <c r="L733" i="2"/>
  <c r="M733" i="2"/>
  <c r="L734" i="2"/>
  <c r="M734" i="2"/>
  <c r="L735" i="2"/>
  <c r="M735" i="2"/>
  <c r="L736" i="2"/>
  <c r="M736" i="2"/>
  <c r="L737" i="2"/>
  <c r="M737" i="2"/>
  <c r="L738" i="2"/>
  <c r="M738" i="2"/>
  <c r="L739" i="2"/>
  <c r="M739" i="2"/>
  <c r="L740" i="2"/>
  <c r="M740" i="2"/>
  <c r="L741" i="2"/>
  <c r="M741" i="2"/>
  <c r="L742" i="2"/>
  <c r="M742" i="2"/>
  <c r="L743" i="2"/>
  <c r="M743" i="2"/>
  <c r="L744" i="2"/>
  <c r="M744" i="2"/>
  <c r="L745" i="2"/>
  <c r="M745" i="2"/>
  <c r="L746" i="2"/>
  <c r="M746" i="2"/>
  <c r="L747" i="2"/>
  <c r="M747" i="2"/>
  <c r="L748" i="2"/>
  <c r="M748" i="2"/>
  <c r="L749" i="2"/>
  <c r="M749" i="2"/>
  <c r="L750" i="2"/>
  <c r="M750" i="2"/>
  <c r="L751" i="2"/>
  <c r="M751" i="2"/>
  <c r="L752" i="2"/>
  <c r="M752" i="2"/>
  <c r="L753" i="2"/>
  <c r="M753" i="2"/>
  <c r="L754" i="2"/>
  <c r="M754" i="2"/>
  <c r="L755" i="2"/>
  <c r="M755" i="2"/>
  <c r="L756" i="2"/>
  <c r="M756" i="2"/>
  <c r="L757" i="2"/>
  <c r="M757" i="2"/>
  <c r="L758" i="2"/>
  <c r="M758" i="2"/>
  <c r="L759" i="2"/>
  <c r="M759" i="2"/>
  <c r="L760" i="2"/>
  <c r="M760" i="2"/>
  <c r="L761" i="2"/>
  <c r="M761" i="2"/>
  <c r="L762" i="2"/>
  <c r="M762" i="2"/>
  <c r="L763" i="2"/>
  <c r="M763" i="2"/>
  <c r="L764" i="2"/>
  <c r="M764" i="2"/>
  <c r="L765" i="2"/>
  <c r="M765" i="2"/>
  <c r="L766" i="2"/>
  <c r="M766" i="2"/>
  <c r="L767" i="2"/>
  <c r="M767" i="2"/>
  <c r="L768" i="2"/>
  <c r="M768" i="2"/>
  <c r="L769" i="2"/>
  <c r="M769" i="2"/>
  <c r="L770" i="2"/>
  <c r="M770" i="2"/>
  <c r="L771" i="2"/>
  <c r="M771" i="2"/>
  <c r="L772" i="2"/>
  <c r="M772" i="2"/>
  <c r="L773" i="2"/>
  <c r="M773" i="2"/>
  <c r="L774" i="2"/>
  <c r="M774" i="2"/>
  <c r="L775" i="2"/>
  <c r="M775" i="2"/>
  <c r="L776" i="2"/>
  <c r="M776" i="2"/>
  <c r="L777" i="2"/>
  <c r="M777" i="2"/>
  <c r="L778" i="2"/>
  <c r="M778" i="2"/>
  <c r="L779" i="2"/>
  <c r="M779" i="2"/>
  <c r="L780" i="2"/>
  <c r="M780" i="2"/>
  <c r="L781" i="2"/>
  <c r="M781" i="2"/>
  <c r="L782" i="2"/>
  <c r="M782" i="2"/>
  <c r="L783" i="2"/>
  <c r="M783" i="2"/>
  <c r="L784" i="2"/>
  <c r="M784" i="2"/>
  <c r="L785" i="2"/>
  <c r="M785" i="2"/>
  <c r="L786" i="2"/>
  <c r="M786" i="2"/>
  <c r="L787" i="2"/>
  <c r="M787" i="2"/>
  <c r="E789" i="2"/>
  <c r="F788" i="2"/>
  <c r="G788" i="2"/>
  <c r="L788" i="2"/>
  <c r="M788" i="2"/>
  <c r="F789" i="2"/>
  <c r="G789" i="2"/>
  <c r="L789" i="2"/>
  <c r="H789" i="2"/>
  <c r="M789" i="2"/>
  <c r="M4" i="2"/>
  <c r="L4" i="2"/>
  <c r="L3" i="2"/>
  <c r="M3" i="2"/>
  <c r="M2" i="2"/>
  <c r="L2" i="2"/>
  <c r="D3" i="3"/>
  <c r="B3" i="3"/>
  <c r="F3" i="3"/>
  <c r="H3" i="3"/>
  <c r="H2" i="3"/>
  <c r="I3" i="3"/>
  <c r="K3" i="3"/>
  <c r="L3" i="3"/>
  <c r="D4" i="3"/>
  <c r="B4" i="3"/>
  <c r="F4" i="3"/>
  <c r="H4" i="3"/>
  <c r="I4" i="3"/>
  <c r="K4" i="3"/>
  <c r="L4" i="3"/>
  <c r="D5" i="3"/>
  <c r="B5" i="3"/>
  <c r="F5" i="3"/>
  <c r="H5" i="3"/>
  <c r="I5" i="3"/>
  <c r="K5" i="3"/>
  <c r="L5" i="3"/>
  <c r="O5" i="3"/>
  <c r="D6" i="3"/>
  <c r="B6" i="3"/>
  <c r="F6" i="3"/>
  <c r="H6" i="3"/>
  <c r="I6" i="3"/>
  <c r="K6" i="3"/>
  <c r="L6" i="3"/>
  <c r="O6" i="3"/>
  <c r="D7" i="3"/>
  <c r="B7" i="3"/>
  <c r="F7" i="3"/>
  <c r="H7" i="3"/>
  <c r="I7" i="3"/>
  <c r="K7" i="3"/>
  <c r="L7" i="3"/>
  <c r="O7" i="3"/>
  <c r="D8" i="3"/>
  <c r="B8" i="3"/>
  <c r="F8" i="3"/>
  <c r="H8" i="3"/>
  <c r="I8" i="3"/>
  <c r="K8" i="3"/>
  <c r="L8" i="3"/>
  <c r="O8" i="3"/>
  <c r="D9" i="3"/>
  <c r="B9" i="3"/>
  <c r="F9" i="3"/>
  <c r="H9" i="3"/>
  <c r="I9" i="3"/>
  <c r="K9" i="3"/>
  <c r="L9" i="3"/>
  <c r="O9" i="3"/>
  <c r="D10" i="3"/>
  <c r="B10" i="3"/>
  <c r="F10" i="3"/>
  <c r="H10" i="3"/>
  <c r="I10" i="3"/>
  <c r="K10" i="3"/>
  <c r="L10" i="3"/>
  <c r="O10" i="3"/>
  <c r="D11" i="3"/>
  <c r="B11" i="3"/>
  <c r="F11" i="3"/>
  <c r="H11" i="3"/>
  <c r="I11" i="3"/>
  <c r="K11" i="3"/>
  <c r="L11" i="3"/>
  <c r="O11" i="3"/>
  <c r="D12" i="3"/>
  <c r="B12" i="3"/>
  <c r="F12" i="3"/>
  <c r="H12" i="3"/>
  <c r="I12" i="3"/>
  <c r="K12" i="3"/>
  <c r="L12" i="3"/>
  <c r="O12" i="3"/>
  <c r="D13" i="3"/>
  <c r="B13" i="3"/>
  <c r="F13" i="3"/>
  <c r="H13" i="3"/>
  <c r="I13" i="3"/>
  <c r="K13" i="3"/>
  <c r="L13" i="3"/>
  <c r="O13" i="3"/>
  <c r="D14" i="3"/>
  <c r="B14" i="3"/>
  <c r="F14" i="3"/>
  <c r="H14" i="3"/>
  <c r="I14" i="3"/>
  <c r="K14" i="3"/>
  <c r="L14" i="3"/>
  <c r="O14" i="3"/>
  <c r="D15" i="3"/>
  <c r="B15" i="3"/>
  <c r="F15" i="3"/>
  <c r="H15" i="3"/>
  <c r="I15" i="3"/>
  <c r="K15" i="3"/>
  <c r="L15" i="3"/>
  <c r="O15" i="3"/>
  <c r="D16" i="3"/>
  <c r="B16" i="3"/>
  <c r="F16" i="3"/>
  <c r="H16" i="3"/>
  <c r="I16" i="3"/>
  <c r="K16" i="3"/>
  <c r="L16" i="3"/>
  <c r="O16" i="3"/>
  <c r="D17" i="3"/>
  <c r="B17" i="3"/>
  <c r="F17" i="3"/>
  <c r="H17" i="3"/>
  <c r="I17" i="3"/>
  <c r="K17" i="3"/>
  <c r="L17" i="3"/>
  <c r="O17" i="3"/>
  <c r="D18" i="3"/>
  <c r="B18" i="3"/>
  <c r="F18" i="3"/>
  <c r="H18" i="3"/>
  <c r="I18" i="3"/>
  <c r="K18" i="3"/>
  <c r="L18" i="3"/>
  <c r="O18" i="3"/>
  <c r="D19" i="3"/>
  <c r="B19" i="3"/>
  <c r="F19" i="3"/>
  <c r="H19" i="3"/>
  <c r="I19" i="3"/>
  <c r="K19" i="3"/>
  <c r="L19" i="3"/>
  <c r="O19" i="3"/>
  <c r="D20" i="3"/>
  <c r="B20" i="3"/>
  <c r="F20" i="3"/>
  <c r="H20" i="3"/>
  <c r="I20" i="3"/>
  <c r="K20" i="3"/>
  <c r="L20" i="3"/>
  <c r="O20" i="3"/>
  <c r="D21" i="3"/>
  <c r="B21" i="3"/>
  <c r="F21" i="3"/>
  <c r="H21" i="3"/>
  <c r="I21" i="3"/>
  <c r="K21" i="3"/>
  <c r="L21" i="3"/>
  <c r="O21" i="3"/>
  <c r="D22" i="3"/>
  <c r="B22" i="3"/>
  <c r="F22" i="3"/>
  <c r="H22" i="3"/>
  <c r="I22" i="3"/>
  <c r="K22" i="3"/>
  <c r="L22" i="3"/>
  <c r="O22" i="3"/>
  <c r="D23" i="3"/>
  <c r="B23" i="3"/>
  <c r="F23" i="3"/>
  <c r="H23" i="3"/>
  <c r="I23" i="3"/>
  <c r="K23" i="3"/>
  <c r="L23" i="3"/>
  <c r="O23" i="3"/>
  <c r="D24" i="3"/>
  <c r="B24" i="3"/>
  <c r="F24" i="3"/>
  <c r="H24" i="3"/>
  <c r="I24" i="3"/>
  <c r="K24" i="3"/>
  <c r="L24" i="3"/>
  <c r="O24" i="3"/>
  <c r="D25" i="3"/>
  <c r="B25" i="3"/>
  <c r="F25" i="3"/>
  <c r="H25" i="3"/>
  <c r="I25" i="3"/>
  <c r="K25" i="3"/>
  <c r="L25" i="3"/>
  <c r="O25" i="3"/>
  <c r="D26" i="3"/>
  <c r="B26" i="3"/>
  <c r="F26" i="3"/>
  <c r="H26" i="3"/>
  <c r="I26" i="3"/>
  <c r="K26" i="3"/>
  <c r="L26" i="3"/>
  <c r="O26" i="3"/>
  <c r="D27" i="3"/>
  <c r="B27" i="3"/>
  <c r="F27" i="3"/>
  <c r="H27" i="3"/>
  <c r="I27" i="3"/>
  <c r="K27" i="3"/>
  <c r="L27" i="3"/>
  <c r="O27" i="3"/>
  <c r="D28" i="3"/>
  <c r="B28" i="3"/>
  <c r="F28" i="3"/>
  <c r="H28" i="3"/>
  <c r="I28" i="3"/>
  <c r="K28" i="3"/>
  <c r="L28" i="3"/>
  <c r="O28" i="3"/>
  <c r="D29" i="3"/>
  <c r="B29" i="3"/>
  <c r="F29" i="3"/>
  <c r="H29" i="3"/>
  <c r="I29" i="3"/>
  <c r="K29" i="3"/>
  <c r="L29" i="3"/>
  <c r="O29" i="3"/>
  <c r="D30" i="3"/>
  <c r="B30" i="3"/>
  <c r="F30" i="3"/>
  <c r="H30" i="3"/>
  <c r="I30" i="3"/>
  <c r="K30" i="3"/>
  <c r="L30" i="3"/>
  <c r="O30" i="3"/>
  <c r="D31" i="3"/>
  <c r="B31" i="3"/>
  <c r="F31" i="3"/>
  <c r="H31" i="3"/>
  <c r="I31" i="3"/>
  <c r="K31" i="3"/>
  <c r="L31" i="3"/>
  <c r="O31" i="3"/>
  <c r="D32" i="3"/>
  <c r="B32" i="3"/>
  <c r="F32" i="3"/>
  <c r="H32" i="3"/>
  <c r="I32" i="3"/>
  <c r="K32" i="3"/>
  <c r="L32" i="3"/>
  <c r="O32" i="3"/>
  <c r="D33" i="3"/>
  <c r="B33" i="3"/>
  <c r="F33" i="3"/>
  <c r="H33" i="3"/>
  <c r="I33" i="3"/>
  <c r="K33" i="3"/>
  <c r="L33" i="3"/>
  <c r="O33" i="3"/>
  <c r="D34" i="3"/>
  <c r="B34" i="3"/>
  <c r="F34" i="3"/>
  <c r="H34" i="3"/>
  <c r="I34" i="3"/>
  <c r="K34" i="3"/>
  <c r="L34" i="3"/>
  <c r="O34" i="3"/>
  <c r="D35" i="3"/>
  <c r="B35" i="3"/>
  <c r="F35" i="3"/>
  <c r="H35" i="3"/>
  <c r="I35" i="3"/>
  <c r="K35" i="3"/>
  <c r="L35" i="3"/>
  <c r="O35" i="3"/>
  <c r="D36" i="3"/>
  <c r="B36" i="3"/>
  <c r="F36" i="3"/>
  <c r="H36" i="3"/>
  <c r="I36" i="3"/>
  <c r="K36" i="3"/>
  <c r="L36" i="3"/>
  <c r="O36" i="3"/>
  <c r="D37" i="3"/>
  <c r="B37" i="3"/>
  <c r="F37" i="3"/>
  <c r="H37" i="3"/>
  <c r="I37" i="3"/>
  <c r="K37" i="3"/>
  <c r="L37" i="3"/>
  <c r="O37" i="3"/>
  <c r="D38" i="3"/>
  <c r="B38" i="3"/>
  <c r="F38" i="3"/>
  <c r="H38" i="3"/>
  <c r="I38" i="3"/>
  <c r="K38" i="3"/>
  <c r="L38" i="3"/>
  <c r="O38" i="3"/>
  <c r="D39" i="3"/>
  <c r="B39" i="3"/>
  <c r="F39" i="3"/>
  <c r="H39" i="3"/>
  <c r="I39" i="3"/>
  <c r="K39" i="3"/>
  <c r="L39" i="3"/>
  <c r="O39" i="3"/>
  <c r="D40" i="3"/>
  <c r="B40" i="3"/>
  <c r="F40" i="3"/>
  <c r="H40" i="3"/>
  <c r="I40" i="3"/>
  <c r="K40" i="3"/>
  <c r="L40" i="3"/>
  <c r="O40" i="3"/>
  <c r="D41" i="3"/>
  <c r="B41" i="3"/>
  <c r="F41" i="3"/>
  <c r="H41" i="3"/>
  <c r="I41" i="3"/>
  <c r="K41" i="3"/>
  <c r="L41" i="3"/>
  <c r="O41" i="3"/>
  <c r="D42" i="3"/>
  <c r="B42" i="3"/>
  <c r="F42" i="3"/>
  <c r="H42" i="3"/>
  <c r="I42" i="3"/>
  <c r="K42" i="3"/>
  <c r="L42" i="3"/>
  <c r="O42" i="3"/>
  <c r="D43" i="3"/>
  <c r="B43" i="3"/>
  <c r="F43" i="3"/>
  <c r="H43" i="3"/>
  <c r="I43" i="3"/>
  <c r="K43" i="3"/>
  <c r="L43" i="3"/>
  <c r="O43" i="3"/>
  <c r="D44" i="3"/>
  <c r="B44" i="3"/>
  <c r="F44" i="3"/>
  <c r="H44" i="3"/>
  <c r="I44" i="3"/>
  <c r="K44" i="3"/>
  <c r="L44" i="3"/>
  <c r="O44" i="3"/>
  <c r="D45" i="3"/>
  <c r="B45" i="3"/>
  <c r="F45" i="3"/>
  <c r="H45" i="3"/>
  <c r="I45" i="3"/>
  <c r="K45" i="3"/>
  <c r="L45" i="3"/>
  <c r="O45" i="3"/>
  <c r="D46" i="3"/>
  <c r="B46" i="3"/>
  <c r="F46" i="3"/>
  <c r="H46" i="3"/>
  <c r="I46" i="3"/>
  <c r="K46" i="3"/>
  <c r="L46" i="3"/>
  <c r="O46" i="3"/>
  <c r="D47" i="3"/>
  <c r="B47" i="3"/>
  <c r="F47" i="3"/>
  <c r="H47" i="3"/>
  <c r="I47" i="3"/>
  <c r="K47" i="3"/>
  <c r="L47" i="3"/>
  <c r="O47" i="3"/>
  <c r="D48" i="3"/>
  <c r="B48" i="3"/>
  <c r="F48" i="3"/>
  <c r="H48" i="3"/>
  <c r="I48" i="3"/>
  <c r="K48" i="3"/>
  <c r="L48" i="3"/>
  <c r="O48" i="3"/>
  <c r="D49" i="3"/>
  <c r="B49" i="3"/>
  <c r="F49" i="3"/>
  <c r="H49" i="3"/>
  <c r="I49" i="3"/>
  <c r="K49" i="3"/>
  <c r="L49" i="3"/>
  <c r="O49" i="3"/>
  <c r="D50" i="3"/>
  <c r="B50" i="3"/>
  <c r="F50" i="3"/>
  <c r="H50" i="3"/>
  <c r="I50" i="3"/>
  <c r="K50" i="3"/>
  <c r="L50" i="3"/>
  <c r="O50" i="3"/>
  <c r="D51" i="3"/>
  <c r="B51" i="3"/>
  <c r="F51" i="3"/>
  <c r="H51" i="3"/>
  <c r="I51" i="3"/>
  <c r="K51" i="3"/>
  <c r="L51" i="3"/>
  <c r="O51" i="3"/>
  <c r="D52" i="3"/>
  <c r="B52" i="3"/>
  <c r="F52" i="3"/>
  <c r="H52" i="3"/>
  <c r="I52" i="3"/>
  <c r="K52" i="3"/>
  <c r="L52" i="3"/>
  <c r="O52" i="3"/>
  <c r="D53" i="3"/>
  <c r="B53" i="3"/>
  <c r="F53" i="3"/>
  <c r="H53" i="3"/>
  <c r="I53" i="3"/>
  <c r="K53" i="3"/>
  <c r="L53" i="3"/>
  <c r="O53" i="3"/>
  <c r="D54" i="3"/>
  <c r="B54" i="3"/>
  <c r="F54" i="3"/>
  <c r="H54" i="3"/>
  <c r="I54" i="3"/>
  <c r="K54" i="3"/>
  <c r="L54" i="3"/>
  <c r="O54" i="3"/>
  <c r="D55" i="3"/>
  <c r="B55" i="3"/>
  <c r="F55" i="3"/>
  <c r="H55" i="3"/>
  <c r="I55" i="3"/>
  <c r="K55" i="3"/>
  <c r="L55" i="3"/>
  <c r="O55" i="3"/>
  <c r="D56" i="3"/>
  <c r="B56" i="3"/>
  <c r="F56" i="3"/>
  <c r="H56" i="3"/>
  <c r="I56" i="3"/>
  <c r="K56" i="3"/>
  <c r="L56" i="3"/>
  <c r="O56" i="3"/>
  <c r="D57" i="3"/>
  <c r="B57" i="3"/>
  <c r="F57" i="3"/>
  <c r="H57" i="3"/>
  <c r="I57" i="3"/>
  <c r="K57" i="3"/>
  <c r="L57" i="3"/>
  <c r="O57" i="3"/>
  <c r="D58" i="3"/>
  <c r="B58" i="3"/>
  <c r="F58" i="3"/>
  <c r="H58" i="3"/>
  <c r="I58" i="3"/>
  <c r="K58" i="3"/>
  <c r="L58" i="3"/>
  <c r="O58" i="3"/>
  <c r="D59" i="3"/>
  <c r="B59" i="3"/>
  <c r="F59" i="3"/>
  <c r="H59" i="3"/>
  <c r="I59" i="3"/>
  <c r="K59" i="3"/>
  <c r="L59" i="3"/>
  <c r="O59" i="3"/>
  <c r="D60" i="3"/>
  <c r="B60" i="3"/>
  <c r="F60" i="3"/>
  <c r="H60" i="3"/>
  <c r="I60" i="3"/>
  <c r="K60" i="3"/>
  <c r="L60" i="3"/>
  <c r="O60" i="3"/>
  <c r="D61" i="3"/>
  <c r="B61" i="3"/>
  <c r="F61" i="3"/>
  <c r="H61" i="3"/>
  <c r="I61" i="3"/>
  <c r="K61" i="3"/>
  <c r="L61" i="3"/>
  <c r="O61" i="3"/>
  <c r="D62" i="3"/>
  <c r="B62" i="3"/>
  <c r="F62" i="3"/>
  <c r="H62" i="3"/>
  <c r="I62" i="3"/>
  <c r="K62" i="3"/>
  <c r="L62" i="3"/>
  <c r="O62" i="3"/>
  <c r="D63" i="3"/>
  <c r="B63" i="3"/>
  <c r="F63" i="3"/>
  <c r="H63" i="3"/>
  <c r="I63" i="3"/>
  <c r="K63" i="3"/>
  <c r="L63" i="3"/>
  <c r="O63" i="3"/>
  <c r="D64" i="3"/>
  <c r="B64" i="3"/>
  <c r="F64" i="3"/>
  <c r="H64" i="3"/>
  <c r="I64" i="3"/>
  <c r="K64" i="3"/>
  <c r="L64" i="3"/>
  <c r="O64" i="3"/>
  <c r="D65" i="3"/>
  <c r="B65" i="3"/>
  <c r="F65" i="3"/>
  <c r="H65" i="3"/>
  <c r="I65" i="3"/>
  <c r="K65" i="3"/>
  <c r="L65" i="3"/>
  <c r="O65" i="3"/>
  <c r="D66" i="3"/>
  <c r="B66" i="3"/>
  <c r="F66" i="3"/>
  <c r="H66" i="3"/>
  <c r="I66" i="3"/>
  <c r="K66" i="3"/>
  <c r="L66" i="3"/>
  <c r="O66" i="3"/>
  <c r="D67" i="3"/>
  <c r="B67" i="3"/>
  <c r="F67" i="3"/>
  <c r="H67" i="3"/>
  <c r="I67" i="3"/>
  <c r="K67" i="3"/>
  <c r="L67" i="3"/>
  <c r="O67" i="3"/>
  <c r="D68" i="3"/>
  <c r="B68" i="3"/>
  <c r="F68" i="3"/>
  <c r="H68" i="3"/>
  <c r="I68" i="3"/>
  <c r="K68" i="3"/>
  <c r="L68" i="3"/>
  <c r="O68" i="3"/>
  <c r="D69" i="3"/>
  <c r="B69" i="3"/>
  <c r="F69" i="3"/>
  <c r="H69" i="3"/>
  <c r="I69" i="3"/>
  <c r="K69" i="3"/>
  <c r="L69" i="3"/>
  <c r="O69" i="3"/>
  <c r="D70" i="3"/>
  <c r="B70" i="3"/>
  <c r="F70" i="3"/>
  <c r="H70" i="3"/>
  <c r="I70" i="3"/>
  <c r="K70" i="3"/>
  <c r="L70" i="3"/>
  <c r="O70" i="3"/>
  <c r="D71" i="3"/>
  <c r="B71" i="3"/>
  <c r="F71" i="3"/>
  <c r="H71" i="3"/>
  <c r="I71" i="3"/>
  <c r="K71" i="3"/>
  <c r="L71" i="3"/>
  <c r="O71" i="3"/>
  <c r="D72" i="3"/>
  <c r="B72" i="3"/>
  <c r="F72" i="3"/>
  <c r="H72" i="3"/>
  <c r="I72" i="3"/>
  <c r="K72" i="3"/>
  <c r="L72" i="3"/>
  <c r="O72" i="3"/>
  <c r="D73" i="3"/>
  <c r="B73" i="3"/>
  <c r="F73" i="3"/>
  <c r="H73" i="3"/>
  <c r="I73" i="3"/>
  <c r="K73" i="3"/>
  <c r="L73" i="3"/>
  <c r="O73" i="3"/>
  <c r="D74" i="3"/>
  <c r="B74" i="3"/>
  <c r="F74" i="3"/>
  <c r="H74" i="3"/>
  <c r="I74" i="3"/>
  <c r="K74" i="3"/>
  <c r="L74" i="3"/>
  <c r="O74" i="3"/>
  <c r="D75" i="3"/>
  <c r="B75" i="3"/>
  <c r="F75" i="3"/>
  <c r="H75" i="3"/>
  <c r="I75" i="3"/>
  <c r="K75" i="3"/>
  <c r="L75" i="3"/>
  <c r="O75" i="3"/>
  <c r="D76" i="3"/>
  <c r="B76" i="3"/>
  <c r="F76" i="3"/>
  <c r="H76" i="3"/>
  <c r="I76" i="3"/>
  <c r="K76" i="3"/>
  <c r="L76" i="3"/>
  <c r="O76" i="3"/>
  <c r="D77" i="3"/>
  <c r="B77" i="3"/>
  <c r="F77" i="3"/>
  <c r="H77" i="3"/>
  <c r="I77" i="3"/>
  <c r="K77" i="3"/>
  <c r="L77" i="3"/>
  <c r="O77" i="3"/>
  <c r="D78" i="3"/>
  <c r="B78" i="3"/>
  <c r="F78" i="3"/>
  <c r="H78" i="3"/>
  <c r="I78" i="3"/>
  <c r="K78" i="3"/>
  <c r="L78" i="3"/>
  <c r="O78" i="3"/>
  <c r="D79" i="3"/>
  <c r="B79" i="3"/>
  <c r="F79" i="3"/>
  <c r="H79" i="3"/>
  <c r="I79" i="3"/>
  <c r="K79" i="3"/>
  <c r="L79" i="3"/>
  <c r="O79" i="3"/>
  <c r="D80" i="3"/>
  <c r="B80" i="3"/>
  <c r="F80" i="3"/>
  <c r="H80" i="3"/>
  <c r="I80" i="3"/>
  <c r="K80" i="3"/>
  <c r="L80" i="3"/>
  <c r="O80" i="3"/>
  <c r="D81" i="3"/>
  <c r="B81" i="3"/>
  <c r="F81" i="3"/>
  <c r="H81" i="3"/>
  <c r="I81" i="3"/>
  <c r="K81" i="3"/>
  <c r="L81" i="3"/>
  <c r="O81" i="3"/>
  <c r="D82" i="3"/>
  <c r="B82" i="3"/>
  <c r="F82" i="3"/>
  <c r="H82" i="3"/>
  <c r="I82" i="3"/>
  <c r="K82" i="3"/>
  <c r="L82" i="3"/>
  <c r="O82" i="3"/>
  <c r="D83" i="3"/>
  <c r="B83" i="3"/>
  <c r="F83" i="3"/>
  <c r="H83" i="3"/>
  <c r="I83" i="3"/>
  <c r="K83" i="3"/>
  <c r="L83" i="3"/>
  <c r="O83" i="3"/>
  <c r="D84" i="3"/>
  <c r="B84" i="3"/>
  <c r="F84" i="3"/>
  <c r="H84" i="3"/>
  <c r="I84" i="3"/>
  <c r="K84" i="3"/>
  <c r="L84" i="3"/>
  <c r="O84" i="3"/>
  <c r="D85" i="3"/>
  <c r="B85" i="3"/>
  <c r="F85" i="3"/>
  <c r="H85" i="3"/>
  <c r="I85" i="3"/>
  <c r="K85" i="3"/>
  <c r="L85" i="3"/>
  <c r="O85" i="3"/>
  <c r="D86" i="3"/>
  <c r="B86" i="3"/>
  <c r="F86" i="3"/>
  <c r="H86" i="3"/>
  <c r="I86" i="3"/>
  <c r="K86" i="3"/>
  <c r="L86" i="3"/>
  <c r="O86" i="3"/>
  <c r="D87" i="3"/>
  <c r="B87" i="3"/>
  <c r="F87" i="3"/>
  <c r="H87" i="3"/>
  <c r="I87" i="3"/>
  <c r="K87" i="3"/>
  <c r="L87" i="3"/>
  <c r="O87" i="3"/>
  <c r="D88" i="3"/>
  <c r="B88" i="3"/>
  <c r="F88" i="3"/>
  <c r="H88" i="3"/>
  <c r="I88" i="3"/>
  <c r="K88" i="3"/>
  <c r="L88" i="3"/>
  <c r="O88" i="3"/>
  <c r="D89" i="3"/>
  <c r="B89" i="3"/>
  <c r="F89" i="3"/>
  <c r="H89" i="3"/>
  <c r="I89" i="3"/>
  <c r="K89" i="3"/>
  <c r="L89" i="3"/>
  <c r="O89" i="3"/>
  <c r="D90" i="3"/>
  <c r="B90" i="3"/>
  <c r="F90" i="3"/>
  <c r="H90" i="3"/>
  <c r="I90" i="3"/>
  <c r="K90" i="3"/>
  <c r="L90" i="3"/>
  <c r="O90" i="3"/>
  <c r="D91" i="3"/>
  <c r="B91" i="3"/>
  <c r="F91" i="3"/>
  <c r="H91" i="3"/>
  <c r="I91" i="3"/>
  <c r="K91" i="3"/>
  <c r="L91" i="3"/>
  <c r="O91" i="3"/>
  <c r="D92" i="3"/>
  <c r="B92" i="3"/>
  <c r="F92" i="3"/>
  <c r="H92" i="3"/>
  <c r="I92" i="3"/>
  <c r="K92" i="3"/>
  <c r="L92" i="3"/>
  <c r="O92" i="3"/>
  <c r="D93" i="3"/>
  <c r="B93" i="3"/>
  <c r="F93" i="3"/>
  <c r="H93" i="3"/>
  <c r="I93" i="3"/>
  <c r="K93" i="3"/>
  <c r="L93" i="3"/>
  <c r="O93" i="3"/>
  <c r="D94" i="3"/>
  <c r="B94" i="3"/>
  <c r="F94" i="3"/>
  <c r="H94" i="3"/>
  <c r="I94" i="3"/>
  <c r="K94" i="3"/>
  <c r="L94" i="3"/>
  <c r="O94" i="3"/>
  <c r="D95" i="3"/>
  <c r="B95" i="3"/>
  <c r="F95" i="3"/>
  <c r="H95" i="3"/>
  <c r="I95" i="3"/>
  <c r="K95" i="3"/>
  <c r="L95" i="3"/>
  <c r="O95" i="3"/>
  <c r="D96" i="3"/>
  <c r="B96" i="3"/>
  <c r="F96" i="3"/>
  <c r="H96" i="3"/>
  <c r="I96" i="3"/>
  <c r="K96" i="3"/>
  <c r="L96" i="3"/>
  <c r="O96" i="3"/>
  <c r="D97" i="3"/>
  <c r="B97" i="3"/>
  <c r="F97" i="3"/>
  <c r="H97" i="3"/>
  <c r="I97" i="3"/>
  <c r="K97" i="3"/>
  <c r="L97" i="3"/>
  <c r="O97" i="3"/>
  <c r="D98" i="3"/>
  <c r="B98" i="3"/>
  <c r="F98" i="3"/>
  <c r="H98" i="3"/>
  <c r="I98" i="3"/>
  <c r="K98" i="3"/>
  <c r="L98" i="3"/>
  <c r="O98" i="3"/>
  <c r="D99" i="3"/>
  <c r="B99" i="3"/>
  <c r="F99" i="3"/>
  <c r="H99" i="3"/>
  <c r="I99" i="3"/>
  <c r="K99" i="3"/>
  <c r="L99" i="3"/>
  <c r="O99" i="3"/>
  <c r="D100" i="3"/>
  <c r="B100" i="3"/>
  <c r="F100" i="3"/>
  <c r="H100" i="3"/>
  <c r="I100" i="3"/>
  <c r="K100" i="3"/>
  <c r="L100" i="3"/>
  <c r="O100" i="3"/>
  <c r="D101" i="3"/>
  <c r="B101" i="3"/>
  <c r="F101" i="3"/>
  <c r="H101" i="3"/>
  <c r="I101" i="3"/>
  <c r="K101" i="3"/>
  <c r="L101" i="3"/>
  <c r="O101" i="3"/>
  <c r="D102" i="3"/>
  <c r="B102" i="3"/>
  <c r="F102" i="3"/>
  <c r="H102" i="3"/>
  <c r="I102" i="3"/>
  <c r="K102" i="3"/>
  <c r="L102" i="3"/>
  <c r="O102" i="3"/>
  <c r="D103" i="3"/>
  <c r="B103" i="3"/>
  <c r="F103" i="3"/>
  <c r="H103" i="3"/>
  <c r="I103" i="3"/>
  <c r="K103" i="3"/>
  <c r="L103" i="3"/>
  <c r="O103" i="3"/>
  <c r="D104" i="3"/>
  <c r="B104" i="3"/>
  <c r="F104" i="3"/>
  <c r="H104" i="3"/>
  <c r="I104" i="3"/>
  <c r="K104" i="3"/>
  <c r="L104" i="3"/>
  <c r="O104" i="3"/>
  <c r="D105" i="3"/>
  <c r="B105" i="3"/>
  <c r="F105" i="3"/>
  <c r="H105" i="3"/>
  <c r="I105" i="3"/>
  <c r="K105" i="3"/>
  <c r="L105" i="3"/>
  <c r="O105" i="3"/>
  <c r="D106" i="3"/>
  <c r="B106" i="3"/>
  <c r="F106" i="3"/>
  <c r="H106" i="3"/>
  <c r="I106" i="3"/>
  <c r="K106" i="3"/>
  <c r="L106" i="3"/>
  <c r="O106" i="3"/>
  <c r="D107" i="3"/>
  <c r="B107" i="3"/>
  <c r="F107" i="3"/>
  <c r="H107" i="3"/>
  <c r="I107" i="3"/>
  <c r="K107" i="3"/>
  <c r="L107" i="3"/>
  <c r="O107" i="3"/>
  <c r="D108" i="3"/>
  <c r="B108" i="3"/>
  <c r="F108" i="3"/>
  <c r="H108" i="3"/>
  <c r="I108" i="3"/>
  <c r="K108" i="3"/>
  <c r="L108" i="3"/>
  <c r="O108" i="3"/>
  <c r="D109" i="3"/>
  <c r="B109" i="3"/>
  <c r="F109" i="3"/>
  <c r="H109" i="3"/>
  <c r="I109" i="3"/>
  <c r="K109" i="3"/>
  <c r="L109" i="3"/>
  <c r="O109" i="3"/>
  <c r="D110" i="3"/>
  <c r="B110" i="3"/>
  <c r="F110" i="3"/>
  <c r="H110" i="3"/>
  <c r="I110" i="3"/>
  <c r="K110" i="3"/>
  <c r="L110" i="3"/>
  <c r="O110" i="3"/>
  <c r="D111" i="3"/>
  <c r="B111" i="3"/>
  <c r="F111" i="3"/>
  <c r="H111" i="3"/>
  <c r="I111" i="3"/>
  <c r="K111" i="3"/>
  <c r="L111" i="3"/>
  <c r="O111" i="3"/>
  <c r="D112" i="3"/>
  <c r="B112" i="3"/>
  <c r="F112" i="3"/>
  <c r="H112" i="3"/>
  <c r="I112" i="3"/>
  <c r="K112" i="3"/>
  <c r="L112" i="3"/>
  <c r="O112" i="3"/>
  <c r="D113" i="3"/>
  <c r="B113" i="3"/>
  <c r="F113" i="3"/>
  <c r="H113" i="3"/>
  <c r="I113" i="3"/>
  <c r="K113" i="3"/>
  <c r="L113" i="3"/>
  <c r="O113" i="3"/>
  <c r="D114" i="3"/>
  <c r="B114" i="3"/>
  <c r="F114" i="3"/>
  <c r="H114" i="3"/>
  <c r="I114" i="3"/>
  <c r="K114" i="3"/>
  <c r="L114" i="3"/>
  <c r="O114" i="3"/>
  <c r="D115" i="3"/>
  <c r="B115" i="3"/>
  <c r="F115" i="3"/>
  <c r="H115" i="3"/>
  <c r="I115" i="3"/>
  <c r="K115" i="3"/>
  <c r="L115" i="3"/>
  <c r="O115" i="3"/>
  <c r="D116" i="3"/>
  <c r="B116" i="3"/>
  <c r="F116" i="3"/>
  <c r="H116" i="3"/>
  <c r="I116" i="3"/>
  <c r="K116" i="3"/>
  <c r="L116" i="3"/>
  <c r="O116" i="3"/>
  <c r="D117" i="3"/>
  <c r="B117" i="3"/>
  <c r="F117" i="3"/>
  <c r="H117" i="3"/>
  <c r="I117" i="3"/>
  <c r="K117" i="3"/>
  <c r="L117" i="3"/>
  <c r="O117" i="3"/>
  <c r="D118" i="3"/>
  <c r="B118" i="3"/>
  <c r="F118" i="3"/>
  <c r="H118" i="3"/>
  <c r="I118" i="3"/>
  <c r="K118" i="3"/>
  <c r="L118" i="3"/>
  <c r="O118" i="3"/>
  <c r="D119" i="3"/>
  <c r="B119" i="3"/>
  <c r="F119" i="3"/>
  <c r="H119" i="3"/>
  <c r="I119" i="3"/>
  <c r="K119" i="3"/>
  <c r="L119" i="3"/>
  <c r="O119" i="3"/>
  <c r="D120" i="3"/>
  <c r="B120" i="3"/>
  <c r="F120" i="3"/>
  <c r="H120" i="3"/>
  <c r="I120" i="3"/>
  <c r="K120" i="3"/>
  <c r="L120" i="3"/>
  <c r="O120" i="3"/>
  <c r="D121" i="3"/>
  <c r="B121" i="3"/>
  <c r="F121" i="3"/>
  <c r="H121" i="3"/>
  <c r="I121" i="3"/>
  <c r="K121" i="3"/>
  <c r="L121" i="3"/>
  <c r="O121" i="3"/>
  <c r="D122" i="3"/>
  <c r="B122" i="3"/>
  <c r="F122" i="3"/>
  <c r="H122" i="3"/>
  <c r="I122" i="3"/>
  <c r="K122" i="3"/>
  <c r="L122" i="3"/>
  <c r="O122" i="3"/>
  <c r="D123" i="3"/>
  <c r="B123" i="3"/>
  <c r="F123" i="3"/>
  <c r="H123" i="3"/>
  <c r="I123" i="3"/>
  <c r="K123" i="3"/>
  <c r="L123" i="3"/>
  <c r="O123" i="3"/>
  <c r="D124" i="3"/>
  <c r="B124" i="3"/>
  <c r="F124" i="3"/>
  <c r="H124" i="3"/>
  <c r="I124" i="3"/>
  <c r="K124" i="3"/>
  <c r="L124" i="3"/>
  <c r="O124" i="3"/>
  <c r="D125" i="3"/>
  <c r="B125" i="3"/>
  <c r="F125" i="3"/>
  <c r="H125" i="3"/>
  <c r="I125" i="3"/>
  <c r="K125" i="3"/>
  <c r="L125" i="3"/>
  <c r="O125" i="3"/>
  <c r="D126" i="3"/>
  <c r="B126" i="3"/>
  <c r="F126" i="3"/>
  <c r="H126" i="3"/>
  <c r="I126" i="3"/>
  <c r="K126" i="3"/>
  <c r="L126" i="3"/>
  <c r="O126" i="3"/>
  <c r="D127" i="3"/>
  <c r="B127" i="3"/>
  <c r="F127" i="3"/>
  <c r="H127" i="3"/>
  <c r="I127" i="3"/>
  <c r="K127" i="3"/>
  <c r="L127" i="3"/>
  <c r="O127" i="3"/>
  <c r="D128" i="3"/>
  <c r="B128" i="3"/>
  <c r="F128" i="3"/>
  <c r="H128" i="3"/>
  <c r="I128" i="3"/>
  <c r="K128" i="3"/>
  <c r="L128" i="3"/>
  <c r="O128" i="3"/>
  <c r="D129" i="3"/>
  <c r="B129" i="3"/>
  <c r="F129" i="3"/>
  <c r="H129" i="3"/>
  <c r="I129" i="3"/>
  <c r="K129" i="3"/>
  <c r="L129" i="3"/>
  <c r="O129" i="3"/>
  <c r="D130" i="3"/>
  <c r="B130" i="3"/>
  <c r="F130" i="3"/>
  <c r="H130" i="3"/>
  <c r="I130" i="3"/>
  <c r="K130" i="3"/>
  <c r="L130" i="3"/>
  <c r="O130" i="3"/>
  <c r="D131" i="3"/>
  <c r="B131" i="3"/>
  <c r="F131" i="3"/>
  <c r="H131" i="3"/>
  <c r="I131" i="3"/>
  <c r="K131" i="3"/>
  <c r="L131" i="3"/>
  <c r="O131" i="3"/>
  <c r="D132" i="3"/>
  <c r="B132" i="3"/>
  <c r="F132" i="3"/>
  <c r="H132" i="3"/>
  <c r="I132" i="3"/>
  <c r="K132" i="3"/>
  <c r="L132" i="3"/>
  <c r="O132" i="3"/>
  <c r="D133" i="3"/>
  <c r="B133" i="3"/>
  <c r="F133" i="3"/>
  <c r="H133" i="3"/>
  <c r="I133" i="3"/>
  <c r="K133" i="3"/>
  <c r="L133" i="3"/>
  <c r="O133" i="3"/>
  <c r="D134" i="3"/>
  <c r="B134" i="3"/>
  <c r="F134" i="3"/>
  <c r="H134" i="3"/>
  <c r="I134" i="3"/>
  <c r="K134" i="3"/>
  <c r="L134" i="3"/>
  <c r="O134" i="3"/>
  <c r="D135" i="3"/>
  <c r="B135" i="3"/>
  <c r="F135" i="3"/>
  <c r="H135" i="3"/>
  <c r="I135" i="3"/>
  <c r="K135" i="3"/>
  <c r="L135" i="3"/>
  <c r="O135" i="3"/>
  <c r="D136" i="3"/>
  <c r="B136" i="3"/>
  <c r="F136" i="3"/>
  <c r="H136" i="3"/>
  <c r="I136" i="3"/>
  <c r="K136" i="3"/>
  <c r="L136" i="3"/>
  <c r="O136" i="3"/>
  <c r="D137" i="3"/>
  <c r="B137" i="3"/>
  <c r="F137" i="3"/>
  <c r="H137" i="3"/>
  <c r="I137" i="3"/>
  <c r="K137" i="3"/>
  <c r="L137" i="3"/>
  <c r="O137" i="3"/>
  <c r="D138" i="3"/>
  <c r="B138" i="3"/>
  <c r="F138" i="3"/>
  <c r="H138" i="3"/>
  <c r="I138" i="3"/>
  <c r="K138" i="3"/>
  <c r="L138" i="3"/>
  <c r="O138" i="3"/>
  <c r="D139" i="3"/>
  <c r="B139" i="3"/>
  <c r="F139" i="3"/>
  <c r="H139" i="3"/>
  <c r="I139" i="3"/>
  <c r="K139" i="3"/>
  <c r="L139" i="3"/>
  <c r="O139" i="3"/>
  <c r="D140" i="3"/>
  <c r="B140" i="3"/>
  <c r="F140" i="3"/>
  <c r="H140" i="3"/>
  <c r="I140" i="3"/>
  <c r="K140" i="3"/>
  <c r="L140" i="3"/>
  <c r="O140" i="3"/>
  <c r="D141" i="3"/>
  <c r="B141" i="3"/>
  <c r="F141" i="3"/>
  <c r="H141" i="3"/>
  <c r="I141" i="3"/>
  <c r="K141" i="3"/>
  <c r="L141" i="3"/>
  <c r="O141" i="3"/>
  <c r="D142" i="3"/>
  <c r="B142" i="3"/>
  <c r="F142" i="3"/>
  <c r="H142" i="3"/>
  <c r="I142" i="3"/>
  <c r="K142" i="3"/>
  <c r="L142" i="3"/>
  <c r="O142" i="3"/>
  <c r="D143" i="3"/>
  <c r="B143" i="3"/>
  <c r="F143" i="3"/>
  <c r="H143" i="3"/>
  <c r="I143" i="3"/>
  <c r="K143" i="3"/>
  <c r="L143" i="3"/>
  <c r="O143" i="3"/>
  <c r="D144" i="3"/>
  <c r="B144" i="3"/>
  <c r="F144" i="3"/>
  <c r="H144" i="3"/>
  <c r="I144" i="3"/>
  <c r="K144" i="3"/>
  <c r="L144" i="3"/>
  <c r="O144" i="3"/>
  <c r="D145" i="3"/>
  <c r="B145" i="3"/>
  <c r="F145" i="3"/>
  <c r="H145" i="3"/>
  <c r="I145" i="3"/>
  <c r="K145" i="3"/>
  <c r="L145" i="3"/>
  <c r="O145" i="3"/>
  <c r="D146" i="3"/>
  <c r="B146" i="3"/>
  <c r="F146" i="3"/>
  <c r="H146" i="3"/>
  <c r="I146" i="3"/>
  <c r="K146" i="3"/>
  <c r="L146" i="3"/>
  <c r="O146" i="3"/>
  <c r="D147" i="3"/>
  <c r="B147" i="3"/>
  <c r="F147" i="3"/>
  <c r="H147" i="3"/>
  <c r="I147" i="3"/>
  <c r="K147" i="3"/>
  <c r="L147" i="3"/>
  <c r="O147" i="3"/>
  <c r="D148" i="3"/>
  <c r="B148" i="3"/>
  <c r="F148" i="3"/>
  <c r="H148" i="3"/>
  <c r="I148" i="3"/>
  <c r="K148" i="3"/>
  <c r="L148" i="3"/>
  <c r="O148" i="3"/>
  <c r="D149" i="3"/>
  <c r="B149" i="3"/>
  <c r="F149" i="3"/>
  <c r="H149" i="3"/>
  <c r="I149" i="3"/>
  <c r="K149" i="3"/>
  <c r="L149" i="3"/>
  <c r="O149" i="3"/>
  <c r="D150" i="3"/>
  <c r="B150" i="3"/>
  <c r="F150" i="3"/>
  <c r="H150" i="3"/>
  <c r="I150" i="3"/>
  <c r="K150" i="3"/>
  <c r="L150" i="3"/>
  <c r="O150" i="3"/>
  <c r="D151" i="3"/>
  <c r="B151" i="3"/>
  <c r="F151" i="3"/>
  <c r="H151" i="3"/>
  <c r="I151" i="3"/>
  <c r="K151" i="3"/>
  <c r="L151" i="3"/>
  <c r="O151" i="3"/>
  <c r="D152" i="3"/>
  <c r="B152" i="3"/>
  <c r="F152" i="3"/>
  <c r="H152" i="3"/>
  <c r="I152" i="3"/>
  <c r="K152" i="3"/>
  <c r="L152" i="3"/>
  <c r="O152" i="3"/>
  <c r="D153" i="3"/>
  <c r="B153" i="3"/>
  <c r="F153" i="3"/>
  <c r="H153" i="3"/>
  <c r="I153" i="3"/>
  <c r="K153" i="3"/>
  <c r="L153" i="3"/>
  <c r="O153" i="3"/>
  <c r="D154" i="3"/>
  <c r="B154" i="3"/>
  <c r="F154" i="3"/>
  <c r="H154" i="3"/>
  <c r="I154" i="3"/>
  <c r="K154" i="3"/>
  <c r="L154" i="3"/>
  <c r="O154" i="3"/>
  <c r="D2" i="3"/>
  <c r="B2" i="3"/>
  <c r="F2" i="3"/>
  <c r="K2" i="3"/>
  <c r="L2" i="3"/>
  <c r="O4" i="3"/>
  <c r="O3" i="3"/>
  <c r="O2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4" i="3"/>
  <c r="N2" i="3"/>
  <c r="N3" i="3"/>
  <c r="M3" i="3"/>
  <c r="M2" i="3"/>
  <c r="C3" i="3"/>
  <c r="E3" i="3"/>
  <c r="C4" i="3"/>
  <c r="E4" i="3"/>
  <c r="C5" i="3"/>
  <c r="E5" i="3"/>
  <c r="M5" i="3"/>
  <c r="C6" i="3"/>
  <c r="E6" i="3"/>
  <c r="M6" i="3"/>
  <c r="C7" i="3"/>
  <c r="E7" i="3"/>
  <c r="M7" i="3"/>
  <c r="C8" i="3"/>
  <c r="E8" i="3"/>
  <c r="M8" i="3"/>
  <c r="C9" i="3"/>
  <c r="E9" i="3"/>
  <c r="M9" i="3"/>
  <c r="C10" i="3"/>
  <c r="E10" i="3"/>
  <c r="M10" i="3"/>
  <c r="C11" i="3"/>
  <c r="E11" i="3"/>
  <c r="M11" i="3"/>
  <c r="C12" i="3"/>
  <c r="E12" i="3"/>
  <c r="M12" i="3"/>
  <c r="C13" i="3"/>
  <c r="E13" i="3"/>
  <c r="M13" i="3"/>
  <c r="C14" i="3"/>
  <c r="E14" i="3"/>
  <c r="M14" i="3"/>
  <c r="C15" i="3"/>
  <c r="E15" i="3"/>
  <c r="M15" i="3"/>
  <c r="C16" i="3"/>
  <c r="E16" i="3"/>
  <c r="M16" i="3"/>
  <c r="C17" i="3"/>
  <c r="E17" i="3"/>
  <c r="M17" i="3"/>
  <c r="C18" i="3"/>
  <c r="E18" i="3"/>
  <c r="M18" i="3"/>
  <c r="C19" i="3"/>
  <c r="E19" i="3"/>
  <c r="M19" i="3"/>
  <c r="C20" i="3"/>
  <c r="E20" i="3"/>
  <c r="M20" i="3"/>
  <c r="C21" i="3"/>
  <c r="E21" i="3"/>
  <c r="M21" i="3"/>
  <c r="C22" i="3"/>
  <c r="E22" i="3"/>
  <c r="M22" i="3"/>
  <c r="C23" i="3"/>
  <c r="E23" i="3"/>
  <c r="M23" i="3"/>
  <c r="C24" i="3"/>
  <c r="E24" i="3"/>
  <c r="M24" i="3"/>
  <c r="C25" i="3"/>
  <c r="E25" i="3"/>
  <c r="M25" i="3"/>
  <c r="C26" i="3"/>
  <c r="E26" i="3"/>
  <c r="M26" i="3"/>
  <c r="C27" i="3"/>
  <c r="E27" i="3"/>
  <c r="M27" i="3"/>
  <c r="C28" i="3"/>
  <c r="E28" i="3"/>
  <c r="M28" i="3"/>
  <c r="C29" i="3"/>
  <c r="E29" i="3"/>
  <c r="M29" i="3"/>
  <c r="C30" i="3"/>
  <c r="E30" i="3"/>
  <c r="M30" i="3"/>
  <c r="C31" i="3"/>
  <c r="E31" i="3"/>
  <c r="M31" i="3"/>
  <c r="C32" i="3"/>
  <c r="E32" i="3"/>
  <c r="M32" i="3"/>
  <c r="C33" i="3"/>
  <c r="E33" i="3"/>
  <c r="M33" i="3"/>
  <c r="C34" i="3"/>
  <c r="E34" i="3"/>
  <c r="M34" i="3"/>
  <c r="C35" i="3"/>
  <c r="E35" i="3"/>
  <c r="M35" i="3"/>
  <c r="C36" i="3"/>
  <c r="E36" i="3"/>
  <c r="M36" i="3"/>
  <c r="C37" i="3"/>
  <c r="E37" i="3"/>
  <c r="M37" i="3"/>
  <c r="C38" i="3"/>
  <c r="E38" i="3"/>
  <c r="M38" i="3"/>
  <c r="C39" i="3"/>
  <c r="E39" i="3"/>
  <c r="M39" i="3"/>
  <c r="C40" i="3"/>
  <c r="E40" i="3"/>
  <c r="M40" i="3"/>
  <c r="C41" i="3"/>
  <c r="E41" i="3"/>
  <c r="M41" i="3"/>
  <c r="C42" i="3"/>
  <c r="E42" i="3"/>
  <c r="M42" i="3"/>
  <c r="C43" i="3"/>
  <c r="E43" i="3"/>
  <c r="M43" i="3"/>
  <c r="C44" i="3"/>
  <c r="E44" i="3"/>
  <c r="M44" i="3"/>
  <c r="C45" i="3"/>
  <c r="E45" i="3"/>
  <c r="M45" i="3"/>
  <c r="C46" i="3"/>
  <c r="E46" i="3"/>
  <c r="M46" i="3"/>
  <c r="C47" i="3"/>
  <c r="E47" i="3"/>
  <c r="M47" i="3"/>
  <c r="C48" i="3"/>
  <c r="E48" i="3"/>
  <c r="M48" i="3"/>
  <c r="C49" i="3"/>
  <c r="E49" i="3"/>
  <c r="M49" i="3"/>
  <c r="C50" i="3"/>
  <c r="E50" i="3"/>
  <c r="M50" i="3"/>
  <c r="C51" i="3"/>
  <c r="E51" i="3"/>
  <c r="M51" i="3"/>
  <c r="C52" i="3"/>
  <c r="E52" i="3"/>
  <c r="M52" i="3"/>
  <c r="C53" i="3"/>
  <c r="E53" i="3"/>
  <c r="M53" i="3"/>
  <c r="C54" i="3"/>
  <c r="E54" i="3"/>
  <c r="M54" i="3"/>
  <c r="C55" i="3"/>
  <c r="E55" i="3"/>
  <c r="M55" i="3"/>
  <c r="C56" i="3"/>
  <c r="E56" i="3"/>
  <c r="M56" i="3"/>
  <c r="C57" i="3"/>
  <c r="E57" i="3"/>
  <c r="M57" i="3"/>
  <c r="C58" i="3"/>
  <c r="E58" i="3"/>
  <c r="M58" i="3"/>
  <c r="C59" i="3"/>
  <c r="E59" i="3"/>
  <c r="M59" i="3"/>
  <c r="C60" i="3"/>
  <c r="E60" i="3"/>
  <c r="M60" i="3"/>
  <c r="C61" i="3"/>
  <c r="E61" i="3"/>
  <c r="M61" i="3"/>
  <c r="C62" i="3"/>
  <c r="E62" i="3"/>
  <c r="M62" i="3"/>
  <c r="C63" i="3"/>
  <c r="E63" i="3"/>
  <c r="M63" i="3"/>
  <c r="C64" i="3"/>
  <c r="E64" i="3"/>
  <c r="M64" i="3"/>
  <c r="C65" i="3"/>
  <c r="E65" i="3"/>
  <c r="M65" i="3"/>
  <c r="C66" i="3"/>
  <c r="E66" i="3"/>
  <c r="M66" i="3"/>
  <c r="C67" i="3"/>
  <c r="E67" i="3"/>
  <c r="M67" i="3"/>
  <c r="C68" i="3"/>
  <c r="E68" i="3"/>
  <c r="M68" i="3"/>
  <c r="C69" i="3"/>
  <c r="E69" i="3"/>
  <c r="M69" i="3"/>
  <c r="C70" i="3"/>
  <c r="E70" i="3"/>
  <c r="M70" i="3"/>
  <c r="C71" i="3"/>
  <c r="E71" i="3"/>
  <c r="M71" i="3"/>
  <c r="C72" i="3"/>
  <c r="E72" i="3"/>
  <c r="M72" i="3"/>
  <c r="C73" i="3"/>
  <c r="E73" i="3"/>
  <c r="M73" i="3"/>
  <c r="C74" i="3"/>
  <c r="E74" i="3"/>
  <c r="M74" i="3"/>
  <c r="C75" i="3"/>
  <c r="E75" i="3"/>
  <c r="M75" i="3"/>
  <c r="C76" i="3"/>
  <c r="E76" i="3"/>
  <c r="M76" i="3"/>
  <c r="C77" i="3"/>
  <c r="E77" i="3"/>
  <c r="M77" i="3"/>
  <c r="C78" i="3"/>
  <c r="E78" i="3"/>
  <c r="M78" i="3"/>
  <c r="C79" i="3"/>
  <c r="E79" i="3"/>
  <c r="M79" i="3"/>
  <c r="C80" i="3"/>
  <c r="E80" i="3"/>
  <c r="M80" i="3"/>
  <c r="C81" i="3"/>
  <c r="E81" i="3"/>
  <c r="M81" i="3"/>
  <c r="C82" i="3"/>
  <c r="E82" i="3"/>
  <c r="M82" i="3"/>
  <c r="C83" i="3"/>
  <c r="E83" i="3"/>
  <c r="M83" i="3"/>
  <c r="C84" i="3"/>
  <c r="E84" i="3"/>
  <c r="M84" i="3"/>
  <c r="C85" i="3"/>
  <c r="E85" i="3"/>
  <c r="M85" i="3"/>
  <c r="C86" i="3"/>
  <c r="E86" i="3"/>
  <c r="M86" i="3"/>
  <c r="C87" i="3"/>
  <c r="E87" i="3"/>
  <c r="M87" i="3"/>
  <c r="C88" i="3"/>
  <c r="E88" i="3"/>
  <c r="M88" i="3"/>
  <c r="C89" i="3"/>
  <c r="E89" i="3"/>
  <c r="M89" i="3"/>
  <c r="C90" i="3"/>
  <c r="E90" i="3"/>
  <c r="M90" i="3"/>
  <c r="C91" i="3"/>
  <c r="E91" i="3"/>
  <c r="M91" i="3"/>
  <c r="C92" i="3"/>
  <c r="E92" i="3"/>
  <c r="M92" i="3"/>
  <c r="C93" i="3"/>
  <c r="E93" i="3"/>
  <c r="M93" i="3"/>
  <c r="C94" i="3"/>
  <c r="E94" i="3"/>
  <c r="M94" i="3"/>
  <c r="C95" i="3"/>
  <c r="E95" i="3"/>
  <c r="M95" i="3"/>
  <c r="C96" i="3"/>
  <c r="E96" i="3"/>
  <c r="M96" i="3"/>
  <c r="C97" i="3"/>
  <c r="E97" i="3"/>
  <c r="M97" i="3"/>
  <c r="C98" i="3"/>
  <c r="E98" i="3"/>
  <c r="M98" i="3"/>
  <c r="C99" i="3"/>
  <c r="E99" i="3"/>
  <c r="M99" i="3"/>
  <c r="C100" i="3"/>
  <c r="E100" i="3"/>
  <c r="M100" i="3"/>
  <c r="C101" i="3"/>
  <c r="E101" i="3"/>
  <c r="M101" i="3"/>
  <c r="C102" i="3"/>
  <c r="E102" i="3"/>
  <c r="M102" i="3"/>
  <c r="C103" i="3"/>
  <c r="E103" i="3"/>
  <c r="M103" i="3"/>
  <c r="C104" i="3"/>
  <c r="E104" i="3"/>
  <c r="M104" i="3"/>
  <c r="C105" i="3"/>
  <c r="E105" i="3"/>
  <c r="M105" i="3"/>
  <c r="C106" i="3"/>
  <c r="E106" i="3"/>
  <c r="M106" i="3"/>
  <c r="C107" i="3"/>
  <c r="E107" i="3"/>
  <c r="M107" i="3"/>
  <c r="C108" i="3"/>
  <c r="E108" i="3"/>
  <c r="M108" i="3"/>
  <c r="C109" i="3"/>
  <c r="E109" i="3"/>
  <c r="M109" i="3"/>
  <c r="C110" i="3"/>
  <c r="E110" i="3"/>
  <c r="M110" i="3"/>
  <c r="C111" i="3"/>
  <c r="E111" i="3"/>
  <c r="M111" i="3"/>
  <c r="C112" i="3"/>
  <c r="E112" i="3"/>
  <c r="M112" i="3"/>
  <c r="C113" i="3"/>
  <c r="E113" i="3"/>
  <c r="M113" i="3"/>
  <c r="C114" i="3"/>
  <c r="E114" i="3"/>
  <c r="M114" i="3"/>
  <c r="C115" i="3"/>
  <c r="E115" i="3"/>
  <c r="M115" i="3"/>
  <c r="C116" i="3"/>
  <c r="E116" i="3"/>
  <c r="M116" i="3"/>
  <c r="C117" i="3"/>
  <c r="E117" i="3"/>
  <c r="M117" i="3"/>
  <c r="C118" i="3"/>
  <c r="E118" i="3"/>
  <c r="M118" i="3"/>
  <c r="C119" i="3"/>
  <c r="E119" i="3"/>
  <c r="M119" i="3"/>
  <c r="C120" i="3"/>
  <c r="E120" i="3"/>
  <c r="M120" i="3"/>
  <c r="C121" i="3"/>
  <c r="E121" i="3"/>
  <c r="M121" i="3"/>
  <c r="C122" i="3"/>
  <c r="E122" i="3"/>
  <c r="M122" i="3"/>
  <c r="C123" i="3"/>
  <c r="E123" i="3"/>
  <c r="M123" i="3"/>
  <c r="C124" i="3"/>
  <c r="E124" i="3"/>
  <c r="M124" i="3"/>
  <c r="C125" i="3"/>
  <c r="E125" i="3"/>
  <c r="M125" i="3"/>
  <c r="C126" i="3"/>
  <c r="E126" i="3"/>
  <c r="M126" i="3"/>
  <c r="C127" i="3"/>
  <c r="E127" i="3"/>
  <c r="M127" i="3"/>
  <c r="C128" i="3"/>
  <c r="E128" i="3"/>
  <c r="M128" i="3"/>
  <c r="C129" i="3"/>
  <c r="E129" i="3"/>
  <c r="M129" i="3"/>
  <c r="C130" i="3"/>
  <c r="E130" i="3"/>
  <c r="M130" i="3"/>
  <c r="C131" i="3"/>
  <c r="E131" i="3"/>
  <c r="M131" i="3"/>
  <c r="C132" i="3"/>
  <c r="E132" i="3"/>
  <c r="M132" i="3"/>
  <c r="C133" i="3"/>
  <c r="E133" i="3"/>
  <c r="M133" i="3"/>
  <c r="C134" i="3"/>
  <c r="E134" i="3"/>
  <c r="M134" i="3"/>
  <c r="C135" i="3"/>
  <c r="E135" i="3"/>
  <c r="M135" i="3"/>
  <c r="C136" i="3"/>
  <c r="E136" i="3"/>
  <c r="M136" i="3"/>
  <c r="C137" i="3"/>
  <c r="E137" i="3"/>
  <c r="M137" i="3"/>
  <c r="C138" i="3"/>
  <c r="E138" i="3"/>
  <c r="M138" i="3"/>
  <c r="C139" i="3"/>
  <c r="E139" i="3"/>
  <c r="M139" i="3"/>
  <c r="C140" i="3"/>
  <c r="E140" i="3"/>
  <c r="M140" i="3"/>
  <c r="C141" i="3"/>
  <c r="E141" i="3"/>
  <c r="M141" i="3"/>
  <c r="C142" i="3"/>
  <c r="E142" i="3"/>
  <c r="M142" i="3"/>
  <c r="C143" i="3"/>
  <c r="E143" i="3"/>
  <c r="M143" i="3"/>
  <c r="C144" i="3"/>
  <c r="E144" i="3"/>
  <c r="M144" i="3"/>
  <c r="C145" i="3"/>
  <c r="E145" i="3"/>
  <c r="M145" i="3"/>
  <c r="C146" i="3"/>
  <c r="E146" i="3"/>
  <c r="M146" i="3"/>
  <c r="C147" i="3"/>
  <c r="E147" i="3"/>
  <c r="M147" i="3"/>
  <c r="C148" i="3"/>
  <c r="E148" i="3"/>
  <c r="M148" i="3"/>
  <c r="C149" i="3"/>
  <c r="E149" i="3"/>
  <c r="M149" i="3"/>
  <c r="C150" i="3"/>
  <c r="E150" i="3"/>
  <c r="M150" i="3"/>
  <c r="C151" i="3"/>
  <c r="E151" i="3"/>
  <c r="M151" i="3"/>
  <c r="C152" i="3"/>
  <c r="E152" i="3"/>
  <c r="M152" i="3"/>
  <c r="C153" i="3"/>
  <c r="E153" i="3"/>
  <c r="M153" i="3"/>
  <c r="C154" i="3"/>
  <c r="E154" i="3"/>
  <c r="M154" i="3"/>
  <c r="C2" i="3"/>
  <c r="E2" i="3"/>
  <c r="M4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E2" i="2"/>
  <c r="J5" i="2"/>
  <c r="J387" i="2"/>
  <c r="J391" i="2"/>
  <c r="J395" i="2"/>
  <c r="J399" i="2"/>
  <c r="J2" i="2"/>
  <c r="J784" i="2"/>
  <c r="J776" i="2"/>
  <c r="J770" i="2"/>
  <c r="J762" i="2"/>
  <c r="J754" i="2"/>
  <c r="J746" i="2"/>
  <c r="J738" i="2"/>
  <c r="K738" i="2"/>
  <c r="J730" i="2"/>
  <c r="K730" i="2"/>
  <c r="J722" i="2"/>
  <c r="J714" i="2"/>
  <c r="K714" i="2"/>
  <c r="J706" i="2"/>
  <c r="K706" i="2"/>
  <c r="J698" i="2"/>
  <c r="J690" i="2"/>
  <c r="J682" i="2"/>
  <c r="K682" i="2"/>
  <c r="J674" i="2"/>
  <c r="J666" i="2"/>
  <c r="J658" i="2"/>
  <c r="J650" i="2"/>
  <c r="J642" i="2"/>
  <c r="K642" i="2"/>
  <c r="J634" i="2"/>
  <c r="J626" i="2"/>
  <c r="J618" i="2"/>
  <c r="K618" i="2"/>
  <c r="J610" i="2"/>
  <c r="K610" i="2"/>
  <c r="J602" i="2"/>
  <c r="K602" i="2"/>
  <c r="J594" i="2"/>
  <c r="J586" i="2"/>
  <c r="J578" i="2"/>
  <c r="K578" i="2"/>
  <c r="J574" i="2"/>
  <c r="J566" i="2"/>
  <c r="J558" i="2"/>
  <c r="J550" i="2"/>
  <c r="K550" i="2"/>
  <c r="J542" i="2"/>
  <c r="K542" i="2"/>
  <c r="J534" i="2"/>
  <c r="J526" i="2"/>
  <c r="J518" i="2"/>
  <c r="K518" i="2"/>
  <c r="J510" i="2"/>
  <c r="K510" i="2"/>
  <c r="J506" i="2"/>
  <c r="J498" i="2"/>
  <c r="J490" i="2"/>
  <c r="J486" i="2"/>
  <c r="K486" i="2"/>
  <c r="J478" i="2"/>
  <c r="J470" i="2"/>
  <c r="J458" i="2"/>
  <c r="J410" i="2"/>
  <c r="K410" i="2"/>
  <c r="J787" i="2"/>
  <c r="J783" i="2"/>
  <c r="J779" i="2"/>
  <c r="K779" i="2"/>
  <c r="J775" i="2"/>
  <c r="J771" i="2"/>
  <c r="J769" i="2"/>
  <c r="J765" i="2"/>
  <c r="K765" i="2"/>
  <c r="J761" i="2"/>
  <c r="J757" i="2"/>
  <c r="J753" i="2"/>
  <c r="J749" i="2"/>
  <c r="K749" i="2"/>
  <c r="J745" i="2"/>
  <c r="J741" i="2"/>
  <c r="J737" i="2"/>
  <c r="J733" i="2"/>
  <c r="K733" i="2"/>
  <c r="J729" i="2"/>
  <c r="J725" i="2"/>
  <c r="K725" i="2"/>
  <c r="J721" i="2"/>
  <c r="J717" i="2"/>
  <c r="K717" i="2"/>
  <c r="J713" i="2"/>
  <c r="K713" i="2"/>
  <c r="J709" i="2"/>
  <c r="J705" i="2"/>
  <c r="J701" i="2"/>
  <c r="K701" i="2"/>
  <c r="J697" i="2"/>
  <c r="J693" i="2"/>
  <c r="J689" i="2"/>
  <c r="J685" i="2"/>
  <c r="J681" i="2"/>
  <c r="J677" i="2"/>
  <c r="J673" i="2"/>
  <c r="J669" i="2"/>
  <c r="J665" i="2"/>
  <c r="J661" i="2"/>
  <c r="J657" i="2"/>
  <c r="J653" i="2"/>
  <c r="J649" i="2"/>
  <c r="J645" i="2"/>
  <c r="J641" i="2"/>
  <c r="J637" i="2"/>
  <c r="J633" i="2"/>
  <c r="J629" i="2"/>
  <c r="J625" i="2"/>
  <c r="J621" i="2"/>
  <c r="J617" i="2"/>
  <c r="J613" i="2"/>
  <c r="J609" i="2"/>
  <c r="J605" i="2"/>
  <c r="J601" i="2"/>
  <c r="J597" i="2"/>
  <c r="J593" i="2"/>
  <c r="J589" i="2"/>
  <c r="J585" i="2"/>
  <c r="K585" i="2"/>
  <c r="J581" i="2"/>
  <c r="J577" i="2"/>
  <c r="J573" i="2"/>
  <c r="K573" i="2"/>
  <c r="J569" i="2"/>
  <c r="J565" i="2"/>
  <c r="J561" i="2"/>
  <c r="J557" i="2"/>
  <c r="J553" i="2"/>
  <c r="J549" i="2"/>
  <c r="J545" i="2"/>
  <c r="J541" i="2"/>
  <c r="K541" i="2"/>
  <c r="J537" i="2"/>
  <c r="K537" i="2"/>
  <c r="J533" i="2"/>
  <c r="J529" i="2"/>
  <c r="J525" i="2"/>
  <c r="K525" i="2"/>
  <c r="J521" i="2"/>
  <c r="K521" i="2"/>
  <c r="J517" i="2"/>
  <c r="J513" i="2"/>
  <c r="J509" i="2"/>
  <c r="K509" i="2"/>
  <c r="J505" i="2"/>
  <c r="K505" i="2"/>
  <c r="J501" i="2"/>
  <c r="J497" i="2"/>
  <c r="J493" i="2"/>
  <c r="K493" i="2"/>
  <c r="J489" i="2"/>
  <c r="J485" i="2"/>
  <c r="J481" i="2"/>
  <c r="J477" i="2"/>
  <c r="J473" i="2"/>
  <c r="K473" i="2"/>
  <c r="J469" i="2"/>
  <c r="J465" i="2"/>
  <c r="J461" i="2"/>
  <c r="J457" i="2"/>
  <c r="J453" i="2"/>
  <c r="J449" i="2"/>
  <c r="J445" i="2"/>
  <c r="K445" i="2"/>
  <c r="J441" i="2"/>
  <c r="K441" i="2"/>
  <c r="J437" i="2"/>
  <c r="J433" i="2"/>
  <c r="J429" i="2"/>
  <c r="J425" i="2"/>
  <c r="K425" i="2"/>
  <c r="J421" i="2"/>
  <c r="J417" i="2"/>
  <c r="J413" i="2"/>
  <c r="J409" i="2"/>
  <c r="K409" i="2"/>
  <c r="J405" i="2"/>
  <c r="J401" i="2"/>
  <c r="J397" i="2"/>
  <c r="J393" i="2"/>
  <c r="K393" i="2"/>
  <c r="J389" i="2"/>
  <c r="J385" i="2"/>
  <c r="J381" i="2"/>
  <c r="J377" i="2"/>
  <c r="K377" i="2"/>
  <c r="J373" i="2"/>
  <c r="J369" i="2"/>
  <c r="J365" i="2"/>
  <c r="J361" i="2"/>
  <c r="K361" i="2"/>
  <c r="J357" i="2"/>
  <c r="J353" i="2"/>
  <c r="J349" i="2"/>
  <c r="K349" i="2"/>
  <c r="J345" i="2"/>
  <c r="J341" i="2"/>
  <c r="J337" i="2"/>
  <c r="J333" i="2"/>
  <c r="J329" i="2"/>
  <c r="K329" i="2"/>
  <c r="J325" i="2"/>
  <c r="J321" i="2"/>
  <c r="J317" i="2"/>
  <c r="K317" i="2"/>
  <c r="J313" i="2"/>
  <c r="K313" i="2"/>
  <c r="J309" i="2"/>
  <c r="J305" i="2"/>
  <c r="J301" i="2"/>
  <c r="J297" i="2"/>
  <c r="J293" i="2"/>
  <c r="J289" i="2"/>
  <c r="J285" i="2"/>
  <c r="J281" i="2"/>
  <c r="J277" i="2"/>
  <c r="J273" i="2"/>
  <c r="J269" i="2"/>
  <c r="J265" i="2"/>
  <c r="J261" i="2"/>
  <c r="J257" i="2"/>
  <c r="J253" i="2"/>
  <c r="J249" i="2"/>
  <c r="J245" i="2"/>
  <c r="J241" i="2"/>
  <c r="J237" i="2"/>
  <c r="J233" i="2"/>
  <c r="K233" i="2"/>
  <c r="J229" i="2"/>
  <c r="J225" i="2"/>
  <c r="J221" i="2"/>
  <c r="J217" i="2"/>
  <c r="J213" i="2"/>
  <c r="J209" i="2"/>
  <c r="J205" i="2"/>
  <c r="J201" i="2"/>
  <c r="J197" i="2"/>
  <c r="J193" i="2"/>
  <c r="J189" i="2"/>
  <c r="J185" i="2"/>
  <c r="J181" i="2"/>
  <c r="J177" i="2"/>
  <c r="J173" i="2"/>
  <c r="J169" i="2"/>
  <c r="K169" i="2"/>
  <c r="J165" i="2"/>
  <c r="J161" i="2"/>
  <c r="J157" i="2"/>
  <c r="J153" i="2"/>
  <c r="J149" i="2"/>
  <c r="J145" i="2"/>
  <c r="J141" i="2"/>
  <c r="J137" i="2"/>
  <c r="J133" i="2"/>
  <c r="J129" i="2"/>
  <c r="J125" i="2"/>
  <c r="J121" i="2"/>
  <c r="J117" i="2"/>
  <c r="J113" i="2"/>
  <c r="J109" i="2"/>
  <c r="J105" i="2"/>
  <c r="J101" i="2"/>
  <c r="K101" i="2"/>
  <c r="J97" i="2"/>
  <c r="J93" i="2"/>
  <c r="J89" i="2"/>
  <c r="K89" i="2"/>
  <c r="J85" i="2"/>
  <c r="J81" i="2"/>
  <c r="J77" i="2"/>
  <c r="J73" i="2"/>
  <c r="J69" i="2"/>
  <c r="J65" i="2"/>
  <c r="J61" i="2"/>
  <c r="J57" i="2"/>
  <c r="K57" i="2"/>
  <c r="J53" i="2"/>
  <c r="J49" i="2"/>
  <c r="J45" i="2"/>
  <c r="J41" i="2"/>
  <c r="J37" i="2"/>
  <c r="J33" i="2"/>
  <c r="J29" i="2"/>
  <c r="J782" i="2"/>
  <c r="J774" i="2"/>
  <c r="J768" i="2"/>
  <c r="J760" i="2"/>
  <c r="J752" i="2"/>
  <c r="J744" i="2"/>
  <c r="J736" i="2"/>
  <c r="J728" i="2"/>
  <c r="K728" i="2"/>
  <c r="J720" i="2"/>
  <c r="K720" i="2"/>
  <c r="J712" i="2"/>
  <c r="K712" i="2"/>
  <c r="J704" i="2"/>
  <c r="J696" i="2"/>
  <c r="J688" i="2"/>
  <c r="K688" i="2"/>
  <c r="J680" i="2"/>
  <c r="J668" i="2"/>
  <c r="J660" i="2"/>
  <c r="K660" i="2"/>
  <c r="J652" i="2"/>
  <c r="J644" i="2"/>
  <c r="K644" i="2"/>
  <c r="J636" i="2"/>
  <c r="J628" i="2"/>
  <c r="K628" i="2"/>
  <c r="J620" i="2"/>
  <c r="K620" i="2"/>
  <c r="J612" i="2"/>
  <c r="J600" i="2"/>
  <c r="J592" i="2"/>
  <c r="J584" i="2"/>
  <c r="J572" i="2"/>
  <c r="J564" i="2"/>
  <c r="J556" i="2"/>
  <c r="J548" i="2"/>
  <c r="K548" i="2"/>
  <c r="J540" i="2"/>
  <c r="J532" i="2"/>
  <c r="J528" i="2"/>
  <c r="K528" i="2"/>
  <c r="J524" i="2"/>
  <c r="K524" i="2"/>
  <c r="J520" i="2"/>
  <c r="J516" i="2"/>
  <c r="J512" i="2"/>
  <c r="K512" i="2"/>
  <c r="J504" i="2"/>
  <c r="K504" i="2"/>
  <c r="J500" i="2"/>
  <c r="J496" i="2"/>
  <c r="J492" i="2"/>
  <c r="K492" i="2"/>
  <c r="J488" i="2"/>
  <c r="K488" i="2"/>
  <c r="J484" i="2"/>
  <c r="J480" i="2"/>
  <c r="J476" i="2"/>
  <c r="K476" i="2"/>
  <c r="J472" i="2"/>
  <c r="K472" i="2"/>
  <c r="J468" i="2"/>
  <c r="J464" i="2"/>
  <c r="J460" i="2"/>
  <c r="J456" i="2"/>
  <c r="K456" i="2"/>
  <c r="J452" i="2"/>
  <c r="J448" i="2"/>
  <c r="J444" i="2"/>
  <c r="J440" i="2"/>
  <c r="K440" i="2"/>
  <c r="J436" i="2"/>
  <c r="J432" i="2"/>
  <c r="J428" i="2"/>
  <c r="J424" i="2"/>
  <c r="K424" i="2"/>
  <c r="J420" i="2"/>
  <c r="J416" i="2"/>
  <c r="J412" i="2"/>
  <c r="J408" i="2"/>
  <c r="K408" i="2"/>
  <c r="J404" i="2"/>
  <c r="J400" i="2"/>
  <c r="K400" i="2"/>
  <c r="J396" i="2"/>
  <c r="J392" i="2"/>
  <c r="J388" i="2"/>
  <c r="J384" i="2"/>
  <c r="J380" i="2"/>
  <c r="J376" i="2"/>
  <c r="K376" i="2"/>
  <c r="J372" i="2"/>
  <c r="J368" i="2"/>
  <c r="J364" i="2"/>
  <c r="J360" i="2"/>
  <c r="K360" i="2"/>
  <c r="J356" i="2"/>
  <c r="J352" i="2"/>
  <c r="J348" i="2"/>
  <c r="K348" i="2"/>
  <c r="J344" i="2"/>
  <c r="K344" i="2"/>
  <c r="J340" i="2"/>
  <c r="J336" i="2"/>
  <c r="J332" i="2"/>
  <c r="K332" i="2"/>
  <c r="J328" i="2"/>
  <c r="K328" i="2"/>
  <c r="J324" i="2"/>
  <c r="J320" i="2"/>
  <c r="J316" i="2"/>
  <c r="K316" i="2"/>
  <c r="J312" i="2"/>
  <c r="K312" i="2"/>
  <c r="J308" i="2"/>
  <c r="K308" i="2"/>
  <c r="J304" i="2"/>
  <c r="K304" i="2"/>
  <c r="J300" i="2"/>
  <c r="J296" i="2"/>
  <c r="J292" i="2"/>
  <c r="J288" i="2"/>
  <c r="J284" i="2"/>
  <c r="J280" i="2"/>
  <c r="J276" i="2"/>
  <c r="J272" i="2"/>
  <c r="J268" i="2"/>
  <c r="J264" i="2"/>
  <c r="K264" i="2"/>
  <c r="J260" i="2"/>
  <c r="J256" i="2"/>
  <c r="J252" i="2"/>
  <c r="J248" i="2"/>
  <c r="J244" i="2"/>
  <c r="J240" i="2"/>
  <c r="J236" i="2"/>
  <c r="K236" i="2"/>
  <c r="J232" i="2"/>
  <c r="J228" i="2"/>
  <c r="J224" i="2"/>
  <c r="J220" i="2"/>
  <c r="J216" i="2"/>
  <c r="J212" i="2"/>
  <c r="J208" i="2"/>
  <c r="J204" i="2"/>
  <c r="J200" i="2"/>
  <c r="J196" i="2"/>
  <c r="J192" i="2"/>
  <c r="J188" i="2"/>
  <c r="J184" i="2"/>
  <c r="J180" i="2"/>
  <c r="J176" i="2"/>
  <c r="J172" i="2"/>
  <c r="J168" i="2"/>
  <c r="K168" i="2"/>
  <c r="J164" i="2"/>
  <c r="J160" i="2"/>
  <c r="J156" i="2"/>
  <c r="J152" i="2"/>
  <c r="K152" i="2"/>
  <c r="J148" i="2"/>
  <c r="J144" i="2"/>
  <c r="J140" i="2"/>
  <c r="K140" i="2"/>
  <c r="J136" i="2"/>
  <c r="J132" i="2"/>
  <c r="J128" i="2"/>
  <c r="J124" i="2"/>
  <c r="J120" i="2"/>
  <c r="J116" i="2"/>
  <c r="J112" i="2"/>
  <c r="J108" i="2"/>
  <c r="J104" i="2"/>
  <c r="J100" i="2"/>
  <c r="J96" i="2"/>
  <c r="J92" i="2"/>
  <c r="K92" i="2"/>
  <c r="J88" i="2"/>
  <c r="K88" i="2"/>
  <c r="J84" i="2"/>
  <c r="J80" i="2"/>
  <c r="J76" i="2"/>
  <c r="J72" i="2"/>
  <c r="J68" i="2"/>
  <c r="J64" i="2"/>
  <c r="J60" i="2"/>
  <c r="J56" i="2"/>
  <c r="J52" i="2"/>
  <c r="J48" i="2"/>
  <c r="J44" i="2"/>
  <c r="J40" i="2"/>
  <c r="J36" i="2"/>
  <c r="K36" i="2"/>
  <c r="J786" i="2"/>
  <c r="J778" i="2"/>
  <c r="J764" i="2"/>
  <c r="J756" i="2"/>
  <c r="J748" i="2"/>
  <c r="K748" i="2"/>
  <c r="J740" i="2"/>
  <c r="K740" i="2"/>
  <c r="J732" i="2"/>
  <c r="K732" i="2"/>
  <c r="J724" i="2"/>
  <c r="J716" i="2"/>
  <c r="J708" i="2"/>
  <c r="K708" i="2"/>
  <c r="J700" i="2"/>
  <c r="K700" i="2"/>
  <c r="J692" i="2"/>
  <c r="J684" i="2"/>
  <c r="J676" i="2"/>
  <c r="K676" i="2"/>
  <c r="J672" i="2"/>
  <c r="K672" i="2"/>
  <c r="J664" i="2"/>
  <c r="J656" i="2"/>
  <c r="K656" i="2"/>
  <c r="J648" i="2"/>
  <c r="J640" i="2"/>
  <c r="K640" i="2"/>
  <c r="J632" i="2"/>
  <c r="J624" i="2"/>
  <c r="J616" i="2"/>
  <c r="J608" i="2"/>
  <c r="J604" i="2"/>
  <c r="K604" i="2"/>
  <c r="J596" i="2"/>
  <c r="J588" i="2"/>
  <c r="J580" i="2"/>
  <c r="J576" i="2"/>
  <c r="J568" i="2"/>
  <c r="J560" i="2"/>
  <c r="J552" i="2"/>
  <c r="K552" i="2"/>
  <c r="J544" i="2"/>
  <c r="J536" i="2"/>
  <c r="J508" i="2"/>
  <c r="K508" i="2"/>
  <c r="J785" i="2"/>
  <c r="J781" i="2"/>
  <c r="J777" i="2"/>
  <c r="J773" i="2"/>
  <c r="J789" i="2"/>
  <c r="J767" i="2"/>
  <c r="J763" i="2"/>
  <c r="J759" i="2"/>
  <c r="K759" i="2"/>
  <c r="J755" i="2"/>
  <c r="J751" i="2"/>
  <c r="J747" i="2"/>
  <c r="J743" i="2"/>
  <c r="J739" i="2"/>
  <c r="J735" i="2"/>
  <c r="J731" i="2"/>
  <c r="J727" i="2"/>
  <c r="K727" i="2"/>
  <c r="J723" i="2"/>
  <c r="J719" i="2"/>
  <c r="K719" i="2"/>
  <c r="J715" i="2"/>
  <c r="J711" i="2"/>
  <c r="J707" i="2"/>
  <c r="J703" i="2"/>
  <c r="K703" i="2"/>
  <c r="J699" i="2"/>
  <c r="J695" i="2"/>
  <c r="K695" i="2"/>
  <c r="J691" i="2"/>
  <c r="J687" i="2"/>
  <c r="J683" i="2"/>
  <c r="J679" i="2"/>
  <c r="K679" i="2"/>
  <c r="J675" i="2"/>
  <c r="J671" i="2"/>
  <c r="J667" i="2"/>
  <c r="J663" i="2"/>
  <c r="K663" i="2"/>
  <c r="J659" i="2"/>
  <c r="J655" i="2"/>
  <c r="J651" i="2"/>
  <c r="J647" i="2"/>
  <c r="K647" i="2"/>
  <c r="J643" i="2"/>
  <c r="J639" i="2"/>
  <c r="J635" i="2"/>
  <c r="J631" i="2"/>
  <c r="J627" i="2"/>
  <c r="J623" i="2"/>
  <c r="J619" i="2"/>
  <c r="K619" i="2"/>
  <c r="J615" i="2"/>
  <c r="J611" i="2"/>
  <c r="J607" i="2"/>
  <c r="J603" i="2"/>
  <c r="J599" i="2"/>
  <c r="J595" i="2"/>
  <c r="J591" i="2"/>
  <c r="J587" i="2"/>
  <c r="J583" i="2"/>
  <c r="J579" i="2"/>
  <c r="J575" i="2"/>
  <c r="J571" i="2"/>
  <c r="J567" i="2"/>
  <c r="K567" i="2"/>
  <c r="J563" i="2"/>
  <c r="J559" i="2"/>
  <c r="J555" i="2"/>
  <c r="J551" i="2"/>
  <c r="K551" i="2"/>
  <c r="J547" i="2"/>
  <c r="K547" i="2"/>
  <c r="J543" i="2"/>
  <c r="J539" i="2"/>
  <c r="J535" i="2"/>
  <c r="K535" i="2"/>
  <c r="J531" i="2"/>
  <c r="K531" i="2"/>
  <c r="J527" i="2"/>
  <c r="J523" i="2"/>
  <c r="J519" i="2"/>
  <c r="K519" i="2"/>
  <c r="J515" i="2"/>
  <c r="K515" i="2"/>
  <c r="J511" i="2"/>
  <c r="J507" i="2"/>
  <c r="J503" i="2"/>
  <c r="K503" i="2"/>
  <c r="J499" i="2"/>
  <c r="J495" i="2"/>
  <c r="J491" i="2"/>
  <c r="J487" i="2"/>
  <c r="J483" i="2"/>
  <c r="K483" i="2"/>
  <c r="J479" i="2"/>
  <c r="J475" i="2"/>
  <c r="J471" i="2"/>
  <c r="J467" i="2"/>
  <c r="K467" i="2"/>
  <c r="J463" i="2"/>
  <c r="J459" i="2"/>
  <c r="J455" i="2"/>
  <c r="J451" i="2"/>
  <c r="K451" i="2"/>
  <c r="J447" i="2"/>
  <c r="J443" i="2"/>
  <c r="J439" i="2"/>
  <c r="J435" i="2"/>
  <c r="K435" i="2"/>
  <c r="J431" i="2"/>
  <c r="J427" i="2"/>
  <c r="J423" i="2"/>
  <c r="K423" i="2"/>
  <c r="J419" i="2"/>
  <c r="K419" i="2"/>
  <c r="J415" i="2"/>
  <c r="J411" i="2"/>
  <c r="J407" i="2"/>
  <c r="J403" i="2"/>
  <c r="K403" i="2"/>
  <c r="J788" i="2"/>
  <c r="J780" i="2"/>
  <c r="J772" i="2"/>
  <c r="J766" i="2"/>
  <c r="J758" i="2"/>
  <c r="J750" i="2"/>
  <c r="J742" i="2"/>
  <c r="J734" i="2"/>
  <c r="J726" i="2"/>
  <c r="J718" i="2"/>
  <c r="J710" i="2"/>
  <c r="J702" i="2"/>
  <c r="J694" i="2"/>
  <c r="J686" i="2"/>
  <c r="J678" i="2"/>
  <c r="K678" i="2"/>
  <c r="J670" i="2"/>
  <c r="J662" i="2"/>
  <c r="J654" i="2"/>
  <c r="J646" i="2"/>
  <c r="K646" i="2"/>
  <c r="J638" i="2"/>
  <c r="J630" i="2"/>
  <c r="J622" i="2"/>
  <c r="J614" i="2"/>
  <c r="J606" i="2"/>
  <c r="J598" i="2"/>
  <c r="J590" i="2"/>
  <c r="J582" i="2"/>
  <c r="J570" i="2"/>
  <c r="J562" i="2"/>
  <c r="J554" i="2"/>
  <c r="J546" i="2"/>
  <c r="K546" i="2"/>
  <c r="J538" i="2"/>
  <c r="K538" i="2"/>
  <c r="J530" i="2"/>
  <c r="J522" i="2"/>
  <c r="J514" i="2"/>
  <c r="K514" i="2"/>
  <c r="J502" i="2"/>
  <c r="K502" i="2"/>
  <c r="J494" i="2"/>
  <c r="J482" i="2"/>
  <c r="J474" i="2"/>
  <c r="K474" i="2"/>
  <c r="J466" i="2"/>
  <c r="K466" i="2"/>
  <c r="J462" i="2"/>
  <c r="J454" i="2"/>
  <c r="J450" i="2"/>
  <c r="K450" i="2"/>
  <c r="J446" i="2"/>
  <c r="K446" i="2"/>
  <c r="J442" i="2"/>
  <c r="K442" i="2"/>
  <c r="J438" i="2"/>
  <c r="K438" i="2"/>
  <c r="J434" i="2"/>
  <c r="K434" i="2"/>
  <c r="J430" i="2"/>
  <c r="K430" i="2"/>
  <c r="J426" i="2"/>
  <c r="K426" i="2"/>
  <c r="J422" i="2"/>
  <c r="K422" i="2"/>
  <c r="J418" i="2"/>
  <c r="K418" i="2"/>
  <c r="J414" i="2"/>
  <c r="K414" i="2"/>
  <c r="J406" i="2"/>
  <c r="K406" i="2"/>
  <c r="J402" i="2"/>
  <c r="K402" i="2"/>
  <c r="J398" i="2"/>
  <c r="K398" i="2"/>
  <c r="J394" i="2"/>
  <c r="K394" i="2"/>
  <c r="J390" i="2"/>
  <c r="K390" i="2"/>
  <c r="J386" i="2"/>
  <c r="K386" i="2"/>
  <c r="J382" i="2"/>
  <c r="K382" i="2"/>
  <c r="J378" i="2"/>
  <c r="K378" i="2"/>
  <c r="J374" i="2"/>
  <c r="K374" i="2"/>
  <c r="J370" i="2"/>
  <c r="K370" i="2"/>
  <c r="J366" i="2"/>
  <c r="K366" i="2"/>
  <c r="J362" i="2"/>
  <c r="K362" i="2"/>
  <c r="J358" i="2"/>
  <c r="K358" i="2"/>
  <c r="J354" i="2"/>
  <c r="K354" i="2"/>
  <c r="J350" i="2"/>
  <c r="K350" i="2"/>
  <c r="J346" i="2"/>
  <c r="K346" i="2"/>
  <c r="J342" i="2"/>
  <c r="K342" i="2"/>
  <c r="J338" i="2"/>
  <c r="K338" i="2"/>
  <c r="J334" i="2"/>
  <c r="K334" i="2"/>
  <c r="J330" i="2"/>
  <c r="K330" i="2"/>
  <c r="J326" i="2"/>
  <c r="K326" i="2"/>
  <c r="J322" i="2"/>
  <c r="K322" i="2"/>
  <c r="J318" i="2"/>
  <c r="K318" i="2"/>
  <c r="J314" i="2"/>
  <c r="K314" i="2"/>
  <c r="J310" i="2"/>
  <c r="J306" i="2"/>
  <c r="J302" i="2"/>
  <c r="K302" i="2"/>
  <c r="J298" i="2"/>
  <c r="J294" i="2"/>
  <c r="J290" i="2"/>
  <c r="J286" i="2"/>
  <c r="J282" i="2"/>
  <c r="K282" i="2"/>
  <c r="J278" i="2"/>
  <c r="J274" i="2"/>
  <c r="J270" i="2"/>
  <c r="J266" i="2"/>
  <c r="J262" i="2"/>
  <c r="J258" i="2"/>
  <c r="J254" i="2"/>
  <c r="K254" i="2"/>
  <c r="J250" i="2"/>
  <c r="J246" i="2"/>
  <c r="J242" i="2"/>
  <c r="J238" i="2"/>
  <c r="K238" i="2"/>
  <c r="J234" i="2"/>
  <c r="K234" i="2"/>
  <c r="J230" i="2"/>
  <c r="J226" i="2"/>
  <c r="J222" i="2"/>
  <c r="K222" i="2"/>
  <c r="J218" i="2"/>
  <c r="J214" i="2"/>
  <c r="J210" i="2"/>
  <c r="J206" i="2"/>
  <c r="K206" i="2"/>
  <c r="J202" i="2"/>
  <c r="K202" i="2"/>
  <c r="J198" i="2"/>
  <c r="J194" i="2"/>
  <c r="J190" i="2"/>
  <c r="K190" i="2"/>
  <c r="J186" i="2"/>
  <c r="K186" i="2"/>
  <c r="J182" i="2"/>
  <c r="J178" i="2"/>
  <c r="K178" i="2"/>
  <c r="J174" i="2"/>
  <c r="K174" i="2"/>
  <c r="J170" i="2"/>
  <c r="K170" i="2"/>
  <c r="J166" i="2"/>
  <c r="J162" i="2"/>
  <c r="J158" i="2"/>
  <c r="K158" i="2"/>
  <c r="J154" i="2"/>
  <c r="K154" i="2"/>
  <c r="J150" i="2"/>
  <c r="K150" i="2"/>
  <c r="J146" i="2"/>
  <c r="K146" i="2"/>
  <c r="J142" i="2"/>
  <c r="K142" i="2"/>
  <c r="J138" i="2"/>
  <c r="K138" i="2"/>
  <c r="J134" i="2"/>
  <c r="K134" i="2"/>
  <c r="J130" i="2"/>
  <c r="K130" i="2"/>
  <c r="J126" i="2"/>
  <c r="K126" i="2"/>
  <c r="J122" i="2"/>
  <c r="K122" i="2"/>
  <c r="J118" i="2"/>
  <c r="K118" i="2"/>
  <c r="J114" i="2"/>
  <c r="K114" i="2"/>
  <c r="J110" i="2"/>
  <c r="K110" i="2"/>
  <c r="J106" i="2"/>
  <c r="K106" i="2"/>
  <c r="J102" i="2"/>
  <c r="K102" i="2"/>
  <c r="J98" i="2"/>
  <c r="K98" i="2"/>
  <c r="J94" i="2"/>
  <c r="K94" i="2"/>
  <c r="J90" i="2"/>
  <c r="J86" i="2"/>
  <c r="J82" i="2"/>
  <c r="K82" i="2"/>
  <c r="J78" i="2"/>
  <c r="K78" i="2"/>
  <c r="J74" i="2"/>
  <c r="K74" i="2"/>
  <c r="J70" i="2"/>
  <c r="J66" i="2"/>
  <c r="K66" i="2"/>
  <c r="J62" i="2"/>
  <c r="J58" i="2"/>
  <c r="K58" i="2"/>
  <c r="J54" i="2"/>
  <c r="K54" i="2"/>
  <c r="J50" i="2"/>
  <c r="K50" i="2"/>
  <c r="J46" i="2"/>
  <c r="J42" i="2"/>
  <c r="J38" i="2"/>
  <c r="J34" i="2"/>
  <c r="K34" i="2"/>
  <c r="J383" i="2"/>
  <c r="K383" i="2"/>
  <c r="J379" i="2"/>
  <c r="K379" i="2"/>
  <c r="J375" i="2"/>
  <c r="J371" i="2"/>
  <c r="K371" i="2"/>
  <c r="J367" i="2"/>
  <c r="K367" i="2"/>
  <c r="J363" i="2"/>
  <c r="K363" i="2"/>
  <c r="J359" i="2"/>
  <c r="J355" i="2"/>
  <c r="J351" i="2"/>
  <c r="K351" i="2"/>
  <c r="J347" i="2"/>
  <c r="K347" i="2"/>
  <c r="J343" i="2"/>
  <c r="J339" i="2"/>
  <c r="J335" i="2"/>
  <c r="K335" i="2"/>
  <c r="J331" i="2"/>
  <c r="K331" i="2"/>
  <c r="J327" i="2"/>
  <c r="J323" i="2"/>
  <c r="J319" i="2"/>
  <c r="K319" i="2"/>
  <c r="J315" i="2"/>
  <c r="K315" i="2"/>
  <c r="J311" i="2"/>
  <c r="J307" i="2"/>
  <c r="J303" i="2"/>
  <c r="K303" i="2"/>
  <c r="J299" i="2"/>
  <c r="K299" i="2"/>
  <c r="J295" i="2"/>
  <c r="J291" i="2"/>
  <c r="J287" i="2"/>
  <c r="K287" i="2"/>
  <c r="J283" i="2"/>
  <c r="K283" i="2"/>
  <c r="J279" i="2"/>
  <c r="J275" i="2"/>
  <c r="J271" i="2"/>
  <c r="J267" i="2"/>
  <c r="K267" i="2"/>
  <c r="J263" i="2"/>
  <c r="J259" i="2"/>
  <c r="J255" i="2"/>
  <c r="K255" i="2"/>
  <c r="J251" i="2"/>
  <c r="K251" i="2"/>
  <c r="J247" i="2"/>
  <c r="J243" i="2"/>
  <c r="J239" i="2"/>
  <c r="J235" i="2"/>
  <c r="K235" i="2"/>
  <c r="J231" i="2"/>
  <c r="J227" i="2"/>
  <c r="J223" i="2"/>
  <c r="K223" i="2"/>
  <c r="J219" i="2"/>
  <c r="K219" i="2"/>
  <c r="J215" i="2"/>
  <c r="J211" i="2"/>
  <c r="J207" i="2"/>
  <c r="K207" i="2"/>
  <c r="J203" i="2"/>
  <c r="K203" i="2"/>
  <c r="J199" i="2"/>
  <c r="J195" i="2"/>
  <c r="J191" i="2"/>
  <c r="K191" i="2"/>
  <c r="J187" i="2"/>
  <c r="K187" i="2"/>
  <c r="J183" i="2"/>
  <c r="J179" i="2"/>
  <c r="J175" i="2"/>
  <c r="K175" i="2"/>
  <c r="J171" i="2"/>
  <c r="K171" i="2"/>
  <c r="J167" i="2"/>
  <c r="J163" i="2"/>
  <c r="J159" i="2"/>
  <c r="K159" i="2"/>
  <c r="J155" i="2"/>
  <c r="K155" i="2"/>
  <c r="J151" i="2"/>
  <c r="J147" i="2"/>
  <c r="K147" i="2"/>
  <c r="J143" i="2"/>
  <c r="K143" i="2"/>
  <c r="J139" i="2"/>
  <c r="K139" i="2"/>
  <c r="J135" i="2"/>
  <c r="K135" i="2"/>
  <c r="J131" i="2"/>
  <c r="K131" i="2"/>
  <c r="J127" i="2"/>
  <c r="K127" i="2"/>
  <c r="J123" i="2"/>
  <c r="K123" i="2"/>
  <c r="J119" i="2"/>
  <c r="J115" i="2"/>
  <c r="K115" i="2"/>
  <c r="J111" i="2"/>
  <c r="K111" i="2"/>
  <c r="J107" i="2"/>
  <c r="K107" i="2"/>
  <c r="J103" i="2"/>
  <c r="K103" i="2"/>
  <c r="J99" i="2"/>
  <c r="K99" i="2"/>
  <c r="J95" i="2"/>
  <c r="K95" i="2"/>
  <c r="J91" i="2"/>
  <c r="K91" i="2"/>
  <c r="J87" i="2"/>
  <c r="K87" i="2"/>
  <c r="J83" i="2"/>
  <c r="K83" i="2"/>
  <c r="J79" i="2"/>
  <c r="K79" i="2"/>
  <c r="J75" i="2"/>
  <c r="K75" i="2"/>
  <c r="J71" i="2"/>
  <c r="J67" i="2"/>
  <c r="K67" i="2"/>
  <c r="J63" i="2"/>
  <c r="K63" i="2"/>
  <c r="J59" i="2"/>
  <c r="K59" i="2"/>
  <c r="J55" i="2"/>
  <c r="J51" i="2"/>
  <c r="K51" i="2"/>
  <c r="J47" i="2"/>
  <c r="K47" i="2"/>
  <c r="J43" i="2"/>
  <c r="J39" i="2"/>
  <c r="K39" i="2"/>
  <c r="J35" i="2"/>
  <c r="K35" i="2"/>
  <c r="J31" i="2"/>
  <c r="K31" i="2"/>
  <c r="J27" i="2"/>
  <c r="K27" i="2"/>
  <c r="J23" i="2"/>
  <c r="J19" i="2"/>
  <c r="K19" i="2"/>
  <c r="J15" i="2"/>
  <c r="K15" i="2"/>
  <c r="J11" i="2"/>
  <c r="J7" i="2"/>
  <c r="J3" i="2"/>
  <c r="J30" i="2"/>
  <c r="K30" i="2"/>
  <c r="J26" i="2"/>
  <c r="K26" i="2"/>
  <c r="J22" i="2"/>
  <c r="J18" i="2"/>
  <c r="K18" i="2"/>
  <c r="J14" i="2"/>
  <c r="K14" i="2"/>
  <c r="J10" i="2"/>
  <c r="K10" i="2"/>
  <c r="J6" i="2"/>
  <c r="J25" i="2"/>
  <c r="J21" i="2"/>
  <c r="J17" i="2"/>
  <c r="J13" i="2"/>
  <c r="K13" i="2"/>
  <c r="J9" i="2"/>
  <c r="J32" i="2"/>
  <c r="K32" i="2"/>
  <c r="J28" i="2"/>
  <c r="K28" i="2"/>
  <c r="J24" i="2"/>
  <c r="K24" i="2"/>
  <c r="J20" i="2"/>
  <c r="K20" i="2"/>
  <c r="J16" i="2"/>
  <c r="K16" i="2"/>
  <c r="J12" i="2"/>
  <c r="K12" i="2"/>
  <c r="J8" i="2"/>
  <c r="K8" i="2"/>
  <c r="J4" i="2"/>
  <c r="I2" i="2"/>
  <c r="K2" i="2"/>
  <c r="K784" i="2"/>
  <c r="K774" i="2"/>
  <c r="K771" i="2"/>
  <c r="K770" i="2"/>
  <c r="K767" i="2"/>
  <c r="K760" i="2"/>
  <c r="K754" i="2"/>
  <c r="K746" i="2"/>
  <c r="K745" i="2"/>
  <c r="K744" i="2"/>
  <c r="K741" i="2"/>
  <c r="K737" i="2"/>
  <c r="K736" i="2"/>
  <c r="K735" i="2"/>
  <c r="K722" i="2"/>
  <c r="K721" i="2"/>
  <c r="K709" i="2"/>
  <c r="K699" i="2"/>
  <c r="K698" i="2"/>
  <c r="K694" i="2"/>
  <c r="K692" i="2"/>
  <c r="K690" i="2"/>
  <c r="K687" i="2"/>
  <c r="K684" i="2"/>
  <c r="K674" i="2"/>
  <c r="K671" i="2"/>
  <c r="K668" i="2"/>
  <c r="K666" i="2"/>
  <c r="K662" i="2"/>
  <c r="K658" i="2"/>
  <c r="K651" i="2"/>
  <c r="K650" i="2"/>
  <c r="K639" i="2"/>
  <c r="K626" i="2"/>
  <c r="K598" i="2"/>
  <c r="K597" i="2"/>
  <c r="K594" i="2"/>
  <c r="K593" i="2"/>
  <c r="K591" i="2"/>
  <c r="K590" i="2"/>
  <c r="K586" i="2"/>
  <c r="K581" i="2"/>
  <c r="K569" i="2"/>
  <c r="K566" i="2"/>
  <c r="K561" i="2"/>
  <c r="K558" i="2"/>
  <c r="K553" i="2"/>
  <c r="K549" i="2"/>
  <c r="K545" i="2"/>
  <c r="K544" i="2"/>
  <c r="K543" i="2"/>
  <c r="K540" i="2"/>
  <c r="K539" i="2"/>
  <c r="K536" i="2"/>
  <c r="K534" i="2"/>
  <c r="K533" i="2"/>
  <c r="K532" i="2"/>
  <c r="K530" i="2"/>
  <c r="K529" i="2"/>
  <c r="K527" i="2"/>
  <c r="K526" i="2"/>
  <c r="K523" i="2"/>
  <c r="K522" i="2"/>
  <c r="K520" i="2"/>
  <c r="K517" i="2"/>
  <c r="K516" i="2"/>
  <c r="K513" i="2"/>
  <c r="K511" i="2"/>
  <c r="K507" i="2"/>
  <c r="K506" i="2"/>
  <c r="K501" i="2"/>
  <c r="K500" i="2"/>
  <c r="K499" i="2"/>
  <c r="K498" i="2"/>
  <c r="K497" i="2"/>
  <c r="K496" i="2"/>
  <c r="K495" i="2"/>
  <c r="K494" i="2"/>
  <c r="K491" i="2"/>
  <c r="K490" i="2"/>
  <c r="K489" i="2"/>
  <c r="K487" i="2"/>
  <c r="K485" i="2"/>
  <c r="K484" i="2"/>
  <c r="K482" i="2"/>
  <c r="K481" i="2"/>
  <c r="K480" i="2"/>
  <c r="K479" i="2"/>
  <c r="K478" i="2"/>
  <c r="K477" i="2"/>
  <c r="K475" i="2"/>
  <c r="K471" i="2"/>
  <c r="K470" i="2"/>
  <c r="K469" i="2"/>
  <c r="K468" i="2"/>
  <c r="K465" i="2"/>
  <c r="K464" i="2"/>
  <c r="K463" i="2"/>
  <c r="K462" i="2"/>
  <c r="K461" i="2"/>
  <c r="K460" i="2"/>
  <c r="K459" i="2"/>
  <c r="K458" i="2"/>
  <c r="K457" i="2"/>
  <c r="K455" i="2"/>
  <c r="K454" i="2"/>
  <c r="K453" i="2"/>
  <c r="K452" i="2"/>
  <c r="K449" i="2"/>
  <c r="K448" i="2"/>
  <c r="K447" i="2"/>
  <c r="K444" i="2"/>
  <c r="K443" i="2"/>
  <c r="K439" i="2"/>
  <c r="K437" i="2"/>
  <c r="K436" i="2"/>
  <c r="K433" i="2"/>
  <c r="K432" i="2"/>
  <c r="K431" i="2"/>
  <c r="K429" i="2"/>
  <c r="K428" i="2"/>
  <c r="K427" i="2"/>
  <c r="K421" i="2"/>
  <c r="K420" i="2"/>
  <c r="K417" i="2"/>
  <c r="K416" i="2"/>
  <c r="K415" i="2"/>
  <c r="K413" i="2"/>
  <c r="K412" i="2"/>
  <c r="K411" i="2"/>
  <c r="K407" i="2"/>
  <c r="K405" i="2"/>
  <c r="K404" i="2"/>
  <c r="K401" i="2"/>
  <c r="K399" i="2"/>
  <c r="K397" i="2"/>
  <c r="K396" i="2"/>
  <c r="K395" i="2"/>
  <c r="K392" i="2"/>
  <c r="K391" i="2"/>
  <c r="K389" i="2"/>
  <c r="K388" i="2"/>
  <c r="K387" i="2"/>
  <c r="K385" i="2"/>
  <c r="K384" i="2"/>
  <c r="K381" i="2"/>
  <c r="K380" i="2"/>
  <c r="K375" i="2"/>
  <c r="K373" i="2"/>
  <c r="K372" i="2"/>
  <c r="K369" i="2"/>
  <c r="K368" i="2"/>
  <c r="K365" i="2"/>
  <c r="K364" i="2"/>
  <c r="K359" i="2"/>
  <c r="K357" i="2"/>
  <c r="K356" i="2"/>
  <c r="K355" i="2"/>
  <c r="K353" i="2"/>
  <c r="K352" i="2"/>
  <c r="K345" i="2"/>
  <c r="K343" i="2"/>
  <c r="K341" i="2"/>
  <c r="K340" i="2"/>
  <c r="K339" i="2"/>
  <c r="K337" i="2"/>
  <c r="K336" i="2"/>
  <c r="K333" i="2"/>
  <c r="K327" i="2"/>
  <c r="K325" i="2"/>
  <c r="K324" i="2"/>
  <c r="K323" i="2"/>
  <c r="K321" i="2"/>
  <c r="K320" i="2"/>
  <c r="K311" i="2"/>
  <c r="K310" i="2"/>
  <c r="K309" i="2"/>
  <c r="K307" i="2"/>
  <c r="K306" i="2"/>
  <c r="K305" i="2"/>
  <c r="K301" i="2"/>
  <c r="K300" i="2"/>
  <c r="K298" i="2"/>
  <c r="K297" i="2"/>
  <c r="K296" i="2"/>
  <c r="K295" i="2"/>
  <c r="K294" i="2"/>
  <c r="K293" i="2"/>
  <c r="K292" i="2"/>
  <c r="K291" i="2"/>
  <c r="K290" i="2"/>
  <c r="K289" i="2"/>
  <c r="K288" i="2"/>
  <c r="K286" i="2"/>
  <c r="K285" i="2"/>
  <c r="K284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6" i="2"/>
  <c r="K265" i="2"/>
  <c r="K263" i="2"/>
  <c r="K262" i="2"/>
  <c r="K261" i="2"/>
  <c r="K260" i="2"/>
  <c r="K259" i="2"/>
  <c r="K258" i="2"/>
  <c r="K257" i="2"/>
  <c r="K256" i="2"/>
  <c r="K253" i="2"/>
  <c r="K252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7" i="2"/>
  <c r="K232" i="2"/>
  <c r="K231" i="2"/>
  <c r="K230" i="2"/>
  <c r="K229" i="2"/>
  <c r="K228" i="2"/>
  <c r="K227" i="2"/>
  <c r="K226" i="2"/>
  <c r="K225" i="2"/>
  <c r="K224" i="2"/>
  <c r="K221" i="2"/>
  <c r="K220" i="2"/>
  <c r="K218" i="2"/>
  <c r="K217" i="2"/>
  <c r="K216" i="2"/>
  <c r="K215" i="2"/>
  <c r="K214" i="2"/>
  <c r="K213" i="2"/>
  <c r="K212" i="2"/>
  <c r="K211" i="2"/>
  <c r="K210" i="2"/>
  <c r="K209" i="2"/>
  <c r="K208" i="2"/>
  <c r="K205" i="2"/>
  <c r="K204" i="2"/>
  <c r="K201" i="2"/>
  <c r="K4" i="2"/>
  <c r="K200" i="2"/>
  <c r="K199" i="2"/>
  <c r="K198" i="2"/>
  <c r="K197" i="2"/>
  <c r="K196" i="2"/>
  <c r="K195" i="2"/>
  <c r="K194" i="2"/>
  <c r="K193" i="2"/>
  <c r="K192" i="2"/>
  <c r="K189" i="2"/>
  <c r="K188" i="2"/>
  <c r="K185" i="2"/>
  <c r="K184" i="2"/>
  <c r="K183" i="2"/>
  <c r="K182" i="2"/>
  <c r="K181" i="2"/>
  <c r="K180" i="2"/>
  <c r="K179" i="2"/>
  <c r="K177" i="2"/>
  <c r="K176" i="2"/>
  <c r="K173" i="2"/>
  <c r="K172" i="2"/>
  <c r="K167" i="2"/>
  <c r="K166" i="2"/>
  <c r="K165" i="2"/>
  <c r="K164" i="2"/>
  <c r="K163" i="2"/>
  <c r="K162" i="2"/>
  <c r="K161" i="2"/>
  <c r="K160" i="2"/>
  <c r="K157" i="2"/>
  <c r="K156" i="2"/>
  <c r="K153" i="2"/>
  <c r="K151" i="2"/>
  <c r="K149" i="2"/>
  <c r="K148" i="2"/>
  <c r="K145" i="2"/>
  <c r="K144" i="2"/>
  <c r="K141" i="2"/>
  <c r="K137" i="2"/>
  <c r="K136" i="2"/>
  <c r="K133" i="2"/>
  <c r="K132" i="2"/>
  <c r="K129" i="2"/>
  <c r="K128" i="2"/>
  <c r="K125" i="2"/>
  <c r="K124" i="2"/>
  <c r="K121" i="2"/>
  <c r="K120" i="2"/>
  <c r="K119" i="2"/>
  <c r="K117" i="2"/>
  <c r="K116" i="2"/>
  <c r="K113" i="2"/>
  <c r="K112" i="2"/>
  <c r="K109" i="2"/>
  <c r="K108" i="2"/>
  <c r="K105" i="2"/>
  <c r="K104" i="2"/>
  <c r="K100" i="2"/>
  <c r="K97" i="2"/>
  <c r="K96" i="2"/>
  <c r="K93" i="2"/>
  <c r="K90" i="2"/>
  <c r="K86" i="2"/>
  <c r="K85" i="2"/>
  <c r="K84" i="2"/>
  <c r="K81" i="2"/>
  <c r="K80" i="2"/>
  <c r="K77" i="2"/>
  <c r="K76" i="2"/>
  <c r="K73" i="2"/>
  <c r="K72" i="2"/>
  <c r="K71" i="2"/>
  <c r="K70" i="2"/>
  <c r="K69" i="2"/>
  <c r="K68" i="2"/>
  <c r="K65" i="2"/>
  <c r="K64" i="2"/>
  <c r="K62" i="2"/>
  <c r="K61" i="2"/>
  <c r="K60" i="2"/>
  <c r="K56" i="2"/>
  <c r="K55" i="2"/>
  <c r="K53" i="2"/>
  <c r="K52" i="2"/>
  <c r="K49" i="2"/>
  <c r="K48" i="2"/>
  <c r="K46" i="2"/>
  <c r="K45" i="2"/>
  <c r="K44" i="2"/>
  <c r="K43" i="2"/>
  <c r="K42" i="2"/>
  <c r="K41" i="2"/>
  <c r="K40" i="2"/>
  <c r="K38" i="2"/>
  <c r="K37" i="2"/>
  <c r="K33" i="2"/>
  <c r="K29" i="2"/>
  <c r="K25" i="2"/>
  <c r="K23" i="2"/>
  <c r="K22" i="2"/>
  <c r="K21" i="2"/>
  <c r="K17" i="2"/>
  <c r="K11" i="2"/>
  <c r="K9" i="2"/>
  <c r="K7" i="2"/>
  <c r="K6" i="2"/>
  <c r="K5" i="2"/>
  <c r="K3" i="2"/>
  <c r="K789" i="2"/>
  <c r="K773" i="2"/>
  <c r="K778" i="2"/>
  <c r="K787" i="2"/>
  <c r="K755" i="2"/>
  <c r="K753" i="2"/>
  <c r="K769" i="2"/>
  <c r="K785" i="2"/>
  <c r="K768" i="2"/>
  <c r="K783" i="2"/>
  <c r="K776" i="2"/>
  <c r="K772" i="2"/>
  <c r="K764" i="2"/>
  <c r="K775" i="2"/>
  <c r="K782" i="2"/>
  <c r="K786" i="2"/>
  <c r="K780" i="2"/>
  <c r="K777" i="2"/>
  <c r="K761" i="2"/>
  <c r="K762" i="2"/>
  <c r="K756" i="2"/>
  <c r="K763" i="2"/>
  <c r="K781" i="2"/>
  <c r="K766" i="2"/>
  <c r="K757" i="2"/>
  <c r="K758" i="2"/>
  <c r="K731" i="2"/>
  <c r="K723" i="2"/>
  <c r="K667" i="2"/>
  <c r="K751" i="2"/>
  <c r="K716" i="2"/>
  <c r="K739" i="2"/>
  <c r="K683" i="2"/>
  <c r="K652" i="2"/>
  <c r="K636" i="2"/>
  <c r="K752" i="2"/>
  <c r="K729" i="2"/>
  <c r="K710" i="2"/>
  <c r="K635" i="2"/>
  <c r="K645" i="2"/>
  <c r="K653" i="2"/>
  <c r="K661" i="2"/>
  <c r="K669" i="2"/>
  <c r="K677" i="2"/>
  <c r="K750" i="2"/>
  <c r="K747" i="2"/>
  <c r="K743" i="2"/>
  <c r="K734" i="2"/>
  <c r="K726" i="2"/>
  <c r="K724" i="2"/>
  <c r="K718" i="2"/>
  <c r="K715" i="2"/>
  <c r="K711" i="2"/>
  <c r="K707" i="2"/>
  <c r="K705" i="2"/>
  <c r="K704" i="2"/>
  <c r="K702" i="2"/>
  <c r="K696" i="2"/>
  <c r="K691" i="2"/>
  <c r="K686" i="2"/>
  <c r="K680" i="2"/>
  <c r="K675" i="2"/>
  <c r="K670" i="2"/>
  <c r="K664" i="2"/>
  <c r="K659" i="2"/>
  <c r="K655" i="2"/>
  <c r="K654" i="2"/>
  <c r="K648" i="2"/>
  <c r="K643" i="2"/>
  <c r="K638" i="2"/>
  <c r="K637" i="2"/>
  <c r="K685" i="2"/>
  <c r="K742" i="2"/>
  <c r="K574" i="2"/>
  <c r="K624" i="2"/>
  <c r="K577" i="2"/>
  <c r="K614" i="2"/>
  <c r="K603" i="2"/>
  <c r="K587" i="2"/>
  <c r="K555" i="2"/>
  <c r="K634" i="2"/>
  <c r="K571" i="2"/>
  <c r="K562" i="2"/>
  <c r="K582" i="2"/>
  <c r="K630" i="2"/>
  <c r="K559" i="2"/>
  <c r="K575" i="2"/>
  <c r="K583" i="2"/>
  <c r="K599" i="2"/>
  <c r="K607" i="2"/>
  <c r="K615" i="2"/>
  <c r="K623" i="2"/>
  <c r="K631" i="2"/>
  <c r="K612" i="2"/>
  <c r="K557" i="2"/>
  <c r="K565" i="2"/>
  <c r="K589" i="2"/>
  <c r="K595" i="2"/>
  <c r="K570" i="2"/>
  <c r="K605" i="2"/>
  <c r="K613" i="2"/>
  <c r="K621" i="2"/>
  <c r="K622" i="2"/>
  <c r="K554" i="2"/>
  <c r="K563" i="2"/>
  <c r="K632" i="2"/>
  <c r="K629" i="2"/>
  <c r="K627" i="2"/>
  <c r="K616" i="2"/>
  <c r="K611" i="2"/>
  <c r="K608" i="2"/>
  <c r="K606" i="2"/>
  <c r="K600" i="2"/>
  <c r="K596" i="2"/>
  <c r="K592" i="2"/>
  <c r="K588" i="2"/>
  <c r="K584" i="2"/>
  <c r="K579" i="2"/>
  <c r="K580" i="2"/>
  <c r="K576" i="2"/>
  <c r="K572" i="2"/>
  <c r="K568" i="2"/>
  <c r="K564" i="2"/>
  <c r="K560" i="2"/>
  <c r="K556" i="2"/>
  <c r="K601" i="2"/>
  <c r="K609" i="2"/>
  <c r="K617" i="2"/>
  <c r="K625" i="2"/>
  <c r="K633" i="2"/>
  <c r="K641" i="2"/>
  <c r="K649" i="2"/>
  <c r="K657" i="2"/>
  <c r="K665" i="2"/>
  <c r="K673" i="2"/>
  <c r="K681" i="2"/>
  <c r="K689" i="2"/>
  <c r="K697" i="2"/>
  <c r="K693" i="2"/>
  <c r="K791" i="2"/>
</calcChain>
</file>

<file path=xl/sharedStrings.xml><?xml version="1.0" encoding="utf-8"?>
<sst xmlns="http://schemas.openxmlformats.org/spreadsheetml/2006/main" count="484" uniqueCount="166">
  <si>
    <t>Data extracted on: October 9, 2013 (10:27:31 AM)</t>
  </si>
  <si>
    <t>Labor Force Statistics from the Current Population Survey</t>
  </si>
  <si>
    <t>Original Data Value</t>
  </si>
  <si>
    <t>Download:</t>
  </si>
  <si>
    <t>Series ID</t>
  </si>
  <si>
    <t>Annual 1948</t>
  </si>
  <si>
    <t>Annual 1949</t>
  </si>
  <si>
    <t>Annual 1950</t>
  </si>
  <si>
    <t>Annual 1951</t>
  </si>
  <si>
    <t>Annual 1952</t>
  </si>
  <si>
    <t>Annual 1953</t>
  </si>
  <si>
    <t>Annual 1954</t>
  </si>
  <si>
    <t>Annual 1955</t>
  </si>
  <si>
    <t>Annual 1956</t>
  </si>
  <si>
    <t>Annual 1957</t>
  </si>
  <si>
    <t>Annual 1958</t>
  </si>
  <si>
    <t>Annual 1959</t>
  </si>
  <si>
    <t>Annual 1960</t>
  </si>
  <si>
    <t>Annual 1961</t>
  </si>
  <si>
    <t>Annual 1962</t>
  </si>
  <si>
    <t>Annual 1963</t>
  </si>
  <si>
    <t>Annual 1964</t>
  </si>
  <si>
    <t>Annual 1965</t>
  </si>
  <si>
    <t>Annual 1966</t>
  </si>
  <si>
    <t>Annual 1967</t>
  </si>
  <si>
    <t>Annual 1968</t>
  </si>
  <si>
    <t>Annual 1969</t>
  </si>
  <si>
    <t>Annual 1970</t>
  </si>
  <si>
    <t>Annual 1971</t>
  </si>
  <si>
    <t>Annual 1972</t>
  </si>
  <si>
    <t>Annual 1973</t>
  </si>
  <si>
    <t>Annual 1974</t>
  </si>
  <si>
    <t>Annual 1975</t>
  </si>
  <si>
    <t>Annual 1976</t>
  </si>
  <si>
    <t>Annual 1977</t>
  </si>
  <si>
    <t>Annual 1978</t>
  </si>
  <si>
    <t>Annual 1979</t>
  </si>
  <si>
    <t>Annual 1980</t>
  </si>
  <si>
    <t>Annual 1981</t>
  </si>
  <si>
    <t>Annual 1982</t>
  </si>
  <si>
    <t>Annual 1983</t>
  </si>
  <si>
    <t>Annual 1984</t>
  </si>
  <si>
    <t>Annual 1985</t>
  </si>
  <si>
    <t>Annual 1986</t>
  </si>
  <si>
    <t>Annual 1987</t>
  </si>
  <si>
    <t>Annual 1988</t>
  </si>
  <si>
    <t>Annual 1989</t>
  </si>
  <si>
    <t>Annual 1990</t>
  </si>
  <si>
    <t>Annual 1991</t>
  </si>
  <si>
    <t>Annual 1992</t>
  </si>
  <si>
    <t>Annual 1993</t>
  </si>
  <si>
    <t>Annual 1994</t>
  </si>
  <si>
    <t>Annual 1995</t>
  </si>
  <si>
    <t>Annual 1996</t>
  </si>
  <si>
    <t>Annual 1997</t>
  </si>
  <si>
    <t>Annual 1998</t>
  </si>
  <si>
    <t>Annual 1999</t>
  </si>
  <si>
    <t>Annual 2000</t>
  </si>
  <si>
    <t>Annual 2001</t>
  </si>
  <si>
    <t>Annual 2002</t>
  </si>
  <si>
    <t>Annual 2003</t>
  </si>
  <si>
    <t>Annual 2004</t>
  </si>
  <si>
    <t>Annual 2005</t>
  </si>
  <si>
    <t>Annual 2006</t>
  </si>
  <si>
    <t>Annual 2007</t>
  </si>
  <si>
    <t>Annual 2008</t>
  </si>
  <si>
    <t>Annual 2009</t>
  </si>
  <si>
    <t>Annual 2010</t>
  </si>
  <si>
    <t>Annual 2011</t>
  </si>
  <si>
    <t>Annual 2012</t>
  </si>
  <si>
    <t>Annual 2013</t>
  </si>
  <si>
    <t>LNS11000000</t>
  </si>
  <si>
    <t>142267(1)</t>
  </si>
  <si>
    <t>145937(1)</t>
  </si>
  <si>
    <t>146842(1)</t>
  </si>
  <si>
    <t>148029(1)</t>
  </si>
  <si>
    <t>150214(1)</t>
  </si>
  <si>
    <t>153144(1)</t>
  </si>
  <si>
    <t>154063(1)</t>
  </si>
  <si>
    <t>154232(1)</t>
  </si>
  <si>
    <t>153455(1)</t>
  </si>
  <si>
    <t>153244(1)</t>
  </si>
  <si>
    <t>154356(1)</t>
  </si>
  <si>
    <t>155654(1)</t>
  </si>
  <si>
    <t>LNS13000000</t>
  </si>
  <si>
    <t>LNS13008396</t>
  </si>
  <si>
    <t>1 : Data affected by changes in population controls.</t>
  </si>
  <si>
    <t>L</t>
  </si>
  <si>
    <t>U</t>
  </si>
  <si>
    <t>U[&lt;5 weeks]</t>
  </si>
  <si>
    <t>F</t>
  </si>
  <si>
    <t>f</t>
  </si>
  <si>
    <t>s</t>
  </si>
  <si>
    <t>U*</t>
  </si>
  <si>
    <t>rate of convergence</t>
  </si>
  <si>
    <t>deviation^2</t>
  </si>
  <si>
    <t>SUM</t>
  </si>
  <si>
    <t>U[&lt;5 weeks] redesign adjusted</t>
  </si>
  <si>
    <t>Data extracted on: November 1, 2013 (5:12:10 AM)</t>
  </si>
  <si>
    <t>Job Openings and Labor Turnover Survey</t>
  </si>
  <si>
    <t>Series Id:     JTS00000000JOL</t>
  </si>
  <si>
    <t>Seasonally adjusted</t>
  </si>
  <si>
    <t>Industry:      Total nonfarm</t>
  </si>
  <si>
    <t>Region:        Total US</t>
  </si>
  <si>
    <t>Data Element:  Job openings</t>
  </si>
  <si>
    <t>Rate/Level:    Level - In Thousands</t>
  </si>
  <si>
    <t xml:space="preserve">Download: </t>
  </si>
  <si>
    <t>Series Id</t>
  </si>
  <si>
    <t>Year</t>
  </si>
  <si>
    <t>Period</t>
  </si>
  <si>
    <t>Value</t>
  </si>
  <si>
    <t>JTS00000000JOL</t>
  </si>
  <si>
    <t>M12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</si>
  <si>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</si>
  <si>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</si>
  <si>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</si>
  <si>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</si>
  <si>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</si>
  <si>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</si>
  <si>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</si>
  <si>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</si>
  <si>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</si>
  <si>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</si>
  <si>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</si>
  <si>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P : preliminary</t>
  </si>
  <si>
    <t>V</t>
  </si>
  <si>
    <t>U/L</t>
  </si>
  <si>
    <t>V/L</t>
  </si>
  <si>
    <t>d ln s</t>
  </si>
  <si>
    <t>Matching elasticity</t>
  </si>
  <si>
    <t>Cumulative vertical shift</t>
  </si>
  <si>
    <t>Counterfactual V/L</t>
  </si>
  <si>
    <t>U/L, 3m MA</t>
  </si>
  <si>
    <t>V/L, 3m MA</t>
  </si>
  <si>
    <t>Counterfactual V/L, 3m MA</t>
  </si>
  <si>
    <t>f, 3m MA</t>
  </si>
  <si>
    <t>s, 3m MA</t>
  </si>
  <si>
    <t xml:space="preserve">Date </t>
  </si>
  <si>
    <t>composite HWI</t>
  </si>
  <si>
    <t>Avg (12/2000+)</t>
  </si>
  <si>
    <t>Avg (JOLTS)</t>
  </si>
  <si>
    <t>Ratio</t>
  </si>
  <si>
    <t>V (composite HWI, normalized)</t>
  </si>
  <si>
    <t>Quarterly averages</t>
  </si>
  <si>
    <t>1960s</t>
  </si>
  <si>
    <t>1975-86</t>
  </si>
  <si>
    <t>1990-2000</t>
  </si>
  <si>
    <t>2001-2013</t>
  </si>
  <si>
    <t>Hires</t>
  </si>
  <si>
    <t>Job openings</t>
  </si>
  <si>
    <t>Layoffs</t>
  </si>
  <si>
    <t>Employment (CES)</t>
  </si>
  <si>
    <t>Labor force (CPS)</t>
  </si>
  <si>
    <t>Monthly flow of new vacancies/E</t>
  </si>
  <si>
    <t>Monthly flow of new vacancies/L</t>
  </si>
  <si>
    <t>Daily job filling rate</t>
  </si>
  <si>
    <t>Layoff rate</t>
  </si>
  <si>
    <t>V/U</t>
  </si>
  <si>
    <t>V/U, 3m MA</t>
  </si>
  <si>
    <t>Implied f (alpha=0.5)</t>
  </si>
  <si>
    <t>Avg --&gt;</t>
  </si>
  <si>
    <t>Ratio --&gt;</t>
  </si>
  <si>
    <t>--&gt;</t>
  </si>
  <si>
    <t>Implied f (alpha=0.5), 3m Ma</t>
  </si>
  <si>
    <t>Implied daily job filling rate (alpha=0.5)</t>
  </si>
  <si>
    <t>Avg (pre 2008) 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</si>
</sst>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333333"/>
      <name val="Tahoma"/>
      <family val="2"/>
    </font>
    <font>
      <b/>
      <sz val="11.75"/>
      <color rgb="FF000000"/>
      <name val="Arial"/>
      <family val="2"/>
    </font>
    <font>
      <b/>
      <sz val="10"/>
      <color theme="1"/>
      <name val="Tahoma"/>
      <family val="2"/>
    </font>
    <font>
      <b/>
      <sz val="10.1"/>
      <color theme="1"/>
      <name val="Tahoma"/>
      <family val="2"/>
    </font>
    <font>
      <sz val="10.1"/>
      <color theme="1"/>
      <name val="Tahoma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medium">
        <color rgb="FFAAAAAA"/>
      </left>
      <right/>
      <top style="medium">
        <color rgb="FFAAAAAA"/>
      </top>
      <bottom style="medium">
        <color rgb="FF999999"/>
      </bottom>
      <diagonal/>
    </border>
    <border>
      <left style="medium">
        <color rgb="FF999999"/>
      </left>
      <right/>
      <top style="medium">
        <color rgb="FFAAAAAA"/>
      </top>
      <bottom style="medium">
        <color rgb="FF999999"/>
      </bottom>
      <diagonal/>
    </border>
    <border>
      <left style="medium">
        <color rgb="FF999999"/>
      </left>
      <right style="medium">
        <color rgb="FFAAAAAA"/>
      </right>
      <top style="medium">
        <color rgb="FFAAAAAA"/>
      </top>
      <bottom style="medium">
        <color rgb="FF999999"/>
      </bottom>
      <diagonal/>
    </border>
    <border>
      <left style="medium">
        <color rgb="FFAAAAAA"/>
      </left>
      <right/>
      <top/>
      <bottom style="medium">
        <color rgb="FF999999"/>
      </bottom>
      <diagonal/>
    </border>
    <border>
      <left style="medium">
        <color rgb="FF999999"/>
      </left>
      <right style="medium">
        <color rgb="FFAAAAAA"/>
      </right>
      <top/>
      <bottom style="medium">
        <color rgb="FF999999"/>
      </bottom>
      <diagonal/>
    </border>
    <border>
      <left style="medium">
        <color rgb="FFAAAAAA"/>
      </left>
      <right/>
      <top style="medium">
        <color rgb="FF999999"/>
      </top>
      <bottom style="medium">
        <color rgb="FFAAAAAA"/>
      </bottom>
      <diagonal/>
    </border>
    <border>
      <left/>
      <right/>
      <top style="medium">
        <color rgb="FF999999"/>
      </top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/>
      <right style="medium">
        <color rgb="FFAAAAAA"/>
      </right>
      <top/>
      <bottom style="medium">
        <color rgb="FFAAAAAA"/>
      </bottom>
      <diagonal/>
    </border>
  </borders>
  <cellStyleXfs count="21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left" vertical="center" indent="1"/>
    </xf>
    <xf numFmtId="0" fontId="0" fillId="2" borderId="0" xfId="0" applyFill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 indent="1"/>
    </xf>
    <xf numFmtId="0" fontId="3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 indent="1"/>
    </xf>
    <xf numFmtId="0" fontId="5" fillId="6" borderId="2" xfId="0" applyFont="1" applyFill="1" applyBorder="1" applyAlignment="1">
      <alignment horizontal="right" vertical="center" indent="1"/>
    </xf>
    <xf numFmtId="0" fontId="4" fillId="3" borderId="3" xfId="0" applyFont="1" applyFill="1" applyBorder="1" applyAlignment="1">
      <alignment horizontal="center" wrapText="1"/>
    </xf>
    <xf numFmtId="17" fontId="4" fillId="3" borderId="4" xfId="0" applyNumberFormat="1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4" borderId="6" xfId="0" applyFont="1" applyFill="1" applyBorder="1" applyAlignment="1">
      <alignment horizontal="left" vertical="center" indent="1"/>
    </xf>
    <xf numFmtId="0" fontId="5" fillId="2" borderId="7" xfId="0" applyFont="1" applyFill="1" applyBorder="1" applyAlignment="1">
      <alignment horizontal="right" vertical="center" indent="1"/>
    </xf>
    <xf numFmtId="0" fontId="4" fillId="5" borderId="6" xfId="0" applyFont="1" applyFill="1" applyBorder="1" applyAlignment="1">
      <alignment horizontal="left" vertical="center" indent="1"/>
    </xf>
    <xf numFmtId="0" fontId="5" fillId="6" borderId="7" xfId="0" applyFont="1" applyFill="1" applyBorder="1" applyAlignment="1">
      <alignment horizontal="right" vertical="center" indent="1"/>
    </xf>
    <xf numFmtId="0" fontId="0" fillId="2" borderId="10" xfId="0" applyFill="1" applyBorder="1"/>
    <xf numFmtId="0" fontId="0" fillId="2" borderId="11" xfId="0" applyFill="1" applyBorder="1"/>
    <xf numFmtId="14" fontId="0" fillId="0" borderId="0" xfId="0" applyNumberFormat="1"/>
    <xf numFmtId="0" fontId="0" fillId="0" borderId="0" xfId="0" quotePrefix="1"/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</cellXfs>
  <cellStyles count="21">
    <cellStyle name="Collegamento ipertestuale" xfId="1" builtinId="8" hidden="1"/>
    <cellStyle name="Collegamento ipertestuale" xfId="3" builtinId="8" hidden="1"/>
    <cellStyle name="Collegamento ipertestuale" xfId="5" builtinId="8" hidden="1"/>
    <cellStyle name="Collegamento ipertestuale" xfId="7" builtinId="8" hidden="1"/>
    <cellStyle name="Collegamento ipertestuale" xfId="9" builtinId="8" hidden="1"/>
    <cellStyle name="Collegamento ipertestuale" xfId="11" builtinId="8" hidden="1"/>
    <cellStyle name="Collegamento ipertestuale" xfId="13" builtinId="8" hidden="1"/>
    <cellStyle name="Collegamento ipertestuale" xfId="15" builtinId="8" hidden="1"/>
    <cellStyle name="Collegamento ipertestuale" xfId="17" builtinId="8" hidden="1"/>
    <cellStyle name="Collegamento ipertestuale" xfId="19" builtinId="8" hidden="1"/>
    <cellStyle name="Collegamento ipertestuale visitato" xfId="2" builtinId="9" hidden="1"/>
    <cellStyle name="Collegamento ipertestuale visitato" xfId="4" builtinId="9" hidden="1"/>
    <cellStyle name="Collegamento ipertestuale visitato" xfId="6" builtinId="9" hidden="1"/>
    <cellStyle name="Collegamento ipertestuale visitato" xfId="8" builtinId="9" hidden="1"/>
    <cellStyle name="Collegamento ipertestuale visitato" xfId="10" builtinId="9" hidden="1"/>
    <cellStyle name="Collegamento ipertestuale visitato" xfId="12" builtinId="9" hidden="1"/>
    <cellStyle name="Collegamento ipertestuale visitato" xfId="14" builtinId="9" hidden="1"/>
    <cellStyle name="Collegamento ipertestuale visitato" xfId="16" builtinId="9" hidden="1"/>
    <cellStyle name="Collegamento ipertestuale visitato" xfId="18" builtinId="9" hidden="1"/>
    <cellStyle name="Collegamento ipertestuale visitato" xfId="20" builtinId="9" hidden="1"/>
    <cellStyle name="Normale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2.xml"/><Relationship Id="rId12" Type="http://schemas.openxmlformats.org/officeDocument/2006/relationships/chartsheet" Target="chartsheets/sheet5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hartsheet" Target="chartsheets/sheet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3.xml"/><Relationship Id="rId1" Type="http://schemas.openxmlformats.org/officeDocument/2006/relationships/image" Target="../media/image17.emf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5.xml"/><Relationship Id="rId1" Type="http://schemas.openxmlformats.org/officeDocument/2006/relationships/image" Target="../media/image18.emf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7.xml"/><Relationship Id="rId1" Type="http://schemas.openxmlformats.org/officeDocument/2006/relationships/image" Target="../media/image19.emf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1.49980181573716E-2"/>
          <c:y val="5.0127529864928098E-2"/>
          <c:w val="0.97000396368525699"/>
          <c:h val="0.94987247013507203"/>
        </c:manualLayout>
      </c:layout>
      <c:lineChart>
        <c:grouping val="standard"/>
        <c:varyColors val="0"/>
        <c:ser>
          <c:idx val="0"/>
          <c:order val="0"/>
          <c:tx>
            <c:v>Unemployment inflow rate</c:v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'2-state flows'!$A:$A</c:f>
              <c:numCache>
                <c:formatCode>m/d/yyyy</c:formatCode>
                <c:ptCount val="1048576"/>
                <c:pt idx="1">
                  <c:v>17533</c:v>
                </c:pt>
                <c:pt idx="2">
                  <c:v>17564</c:v>
                </c:pt>
                <c:pt idx="3">
                  <c:v>17593</c:v>
                </c:pt>
                <c:pt idx="4">
                  <c:v>17624</c:v>
                </c:pt>
                <c:pt idx="5">
                  <c:v>17654</c:v>
                </c:pt>
                <c:pt idx="6">
                  <c:v>17685</c:v>
                </c:pt>
                <c:pt idx="7">
                  <c:v>17715</c:v>
                </c:pt>
                <c:pt idx="8">
                  <c:v>17746</c:v>
                </c:pt>
                <c:pt idx="9">
                  <c:v>17777</c:v>
                </c:pt>
                <c:pt idx="10">
                  <c:v>17807</c:v>
                </c:pt>
                <c:pt idx="11">
                  <c:v>17838</c:v>
                </c:pt>
                <c:pt idx="12">
                  <c:v>17868</c:v>
                </c:pt>
                <c:pt idx="13">
                  <c:v>17899</c:v>
                </c:pt>
                <c:pt idx="14">
                  <c:v>17930</c:v>
                </c:pt>
                <c:pt idx="15">
                  <c:v>17958</c:v>
                </c:pt>
                <c:pt idx="16">
                  <c:v>17989</c:v>
                </c:pt>
                <c:pt idx="17">
                  <c:v>18019</c:v>
                </c:pt>
                <c:pt idx="18">
                  <c:v>18050</c:v>
                </c:pt>
                <c:pt idx="19">
                  <c:v>18080</c:v>
                </c:pt>
                <c:pt idx="20">
                  <c:v>18111</c:v>
                </c:pt>
                <c:pt idx="21">
                  <c:v>18142</c:v>
                </c:pt>
                <c:pt idx="22">
                  <c:v>18172</c:v>
                </c:pt>
                <c:pt idx="23">
                  <c:v>18203</c:v>
                </c:pt>
                <c:pt idx="24">
                  <c:v>18233</c:v>
                </c:pt>
                <c:pt idx="25">
                  <c:v>18264</c:v>
                </c:pt>
                <c:pt idx="26">
                  <c:v>18295</c:v>
                </c:pt>
                <c:pt idx="27">
                  <c:v>18323</c:v>
                </c:pt>
                <c:pt idx="28">
                  <c:v>18354</c:v>
                </c:pt>
                <c:pt idx="29">
                  <c:v>18384</c:v>
                </c:pt>
                <c:pt idx="30">
                  <c:v>18415</c:v>
                </c:pt>
                <c:pt idx="31">
                  <c:v>18445</c:v>
                </c:pt>
                <c:pt idx="32">
                  <c:v>18476</c:v>
                </c:pt>
                <c:pt idx="33">
                  <c:v>18507</c:v>
                </c:pt>
                <c:pt idx="34">
                  <c:v>18537</c:v>
                </c:pt>
                <c:pt idx="35">
                  <c:v>18568</c:v>
                </c:pt>
                <c:pt idx="36">
                  <c:v>18598</c:v>
                </c:pt>
                <c:pt idx="37">
                  <c:v>18629</c:v>
                </c:pt>
                <c:pt idx="38">
                  <c:v>18660</c:v>
                </c:pt>
                <c:pt idx="39">
                  <c:v>18688</c:v>
                </c:pt>
                <c:pt idx="40">
                  <c:v>18719</c:v>
                </c:pt>
                <c:pt idx="41">
                  <c:v>18749</c:v>
                </c:pt>
                <c:pt idx="42">
                  <c:v>18780</c:v>
                </c:pt>
                <c:pt idx="43">
                  <c:v>18810</c:v>
                </c:pt>
                <c:pt idx="44">
                  <c:v>18841</c:v>
                </c:pt>
                <c:pt idx="45">
                  <c:v>18872</c:v>
                </c:pt>
                <c:pt idx="46">
                  <c:v>18902</c:v>
                </c:pt>
                <c:pt idx="47">
                  <c:v>18933</c:v>
                </c:pt>
                <c:pt idx="48">
                  <c:v>18963</c:v>
                </c:pt>
                <c:pt idx="49">
                  <c:v>18994</c:v>
                </c:pt>
                <c:pt idx="50">
                  <c:v>19025</c:v>
                </c:pt>
                <c:pt idx="51">
                  <c:v>19054</c:v>
                </c:pt>
                <c:pt idx="52">
                  <c:v>19085</c:v>
                </c:pt>
                <c:pt idx="53">
                  <c:v>19115</c:v>
                </c:pt>
                <c:pt idx="54">
                  <c:v>19146</c:v>
                </c:pt>
                <c:pt idx="55">
                  <c:v>19176</c:v>
                </c:pt>
                <c:pt idx="56">
                  <c:v>19207</c:v>
                </c:pt>
                <c:pt idx="57">
                  <c:v>19238</c:v>
                </c:pt>
                <c:pt idx="58">
                  <c:v>19268</c:v>
                </c:pt>
                <c:pt idx="59">
                  <c:v>19299</c:v>
                </c:pt>
                <c:pt idx="60">
                  <c:v>19329</c:v>
                </c:pt>
                <c:pt idx="61">
                  <c:v>19360</c:v>
                </c:pt>
                <c:pt idx="62">
                  <c:v>19391</c:v>
                </c:pt>
                <c:pt idx="63">
                  <c:v>19419</c:v>
                </c:pt>
                <c:pt idx="64">
                  <c:v>19450</c:v>
                </c:pt>
                <c:pt idx="65">
                  <c:v>19480</c:v>
                </c:pt>
                <c:pt idx="66">
                  <c:v>19511</c:v>
                </c:pt>
                <c:pt idx="67">
                  <c:v>19541</c:v>
                </c:pt>
                <c:pt idx="68">
                  <c:v>19572</c:v>
                </c:pt>
                <c:pt idx="69">
                  <c:v>19603</c:v>
                </c:pt>
                <c:pt idx="70">
                  <c:v>19633</c:v>
                </c:pt>
                <c:pt idx="71">
                  <c:v>19664</c:v>
                </c:pt>
                <c:pt idx="72">
                  <c:v>19694</c:v>
                </c:pt>
                <c:pt idx="73">
                  <c:v>19725</c:v>
                </c:pt>
                <c:pt idx="74">
                  <c:v>19756</c:v>
                </c:pt>
                <c:pt idx="75">
                  <c:v>19784</c:v>
                </c:pt>
                <c:pt idx="76">
                  <c:v>19815</c:v>
                </c:pt>
                <c:pt idx="77">
                  <c:v>19845</c:v>
                </c:pt>
                <c:pt idx="78">
                  <c:v>19876</c:v>
                </c:pt>
                <c:pt idx="79">
                  <c:v>19906</c:v>
                </c:pt>
                <c:pt idx="80">
                  <c:v>19937</c:v>
                </c:pt>
                <c:pt idx="81">
                  <c:v>19968</c:v>
                </c:pt>
                <c:pt idx="82">
                  <c:v>19998</c:v>
                </c:pt>
                <c:pt idx="83">
                  <c:v>20029</c:v>
                </c:pt>
                <c:pt idx="84">
                  <c:v>20059</c:v>
                </c:pt>
                <c:pt idx="85">
                  <c:v>20090</c:v>
                </c:pt>
                <c:pt idx="86">
                  <c:v>20121</c:v>
                </c:pt>
                <c:pt idx="87">
                  <c:v>20149</c:v>
                </c:pt>
                <c:pt idx="88">
                  <c:v>20180</c:v>
                </c:pt>
                <c:pt idx="89">
                  <c:v>20210</c:v>
                </c:pt>
                <c:pt idx="90">
                  <c:v>20241</c:v>
                </c:pt>
                <c:pt idx="91">
                  <c:v>20271</c:v>
                </c:pt>
                <c:pt idx="92">
                  <c:v>20302</c:v>
                </c:pt>
                <c:pt idx="93">
                  <c:v>20333</c:v>
                </c:pt>
                <c:pt idx="94">
                  <c:v>20363</c:v>
                </c:pt>
                <c:pt idx="95">
                  <c:v>20394</c:v>
                </c:pt>
                <c:pt idx="96">
                  <c:v>20424</c:v>
                </c:pt>
                <c:pt idx="97">
                  <c:v>20455</c:v>
                </c:pt>
                <c:pt idx="98">
                  <c:v>20486</c:v>
                </c:pt>
                <c:pt idx="99">
                  <c:v>20515</c:v>
                </c:pt>
                <c:pt idx="100">
                  <c:v>20546</c:v>
                </c:pt>
                <c:pt idx="101">
                  <c:v>20576</c:v>
                </c:pt>
                <c:pt idx="102">
                  <c:v>20607</c:v>
                </c:pt>
                <c:pt idx="103">
                  <c:v>20637</c:v>
                </c:pt>
                <c:pt idx="104">
                  <c:v>20668</c:v>
                </c:pt>
                <c:pt idx="105">
                  <c:v>20699</c:v>
                </c:pt>
                <c:pt idx="106">
                  <c:v>20729</c:v>
                </c:pt>
                <c:pt idx="107">
                  <c:v>20760</c:v>
                </c:pt>
                <c:pt idx="108">
                  <c:v>20790</c:v>
                </c:pt>
                <c:pt idx="109">
                  <c:v>20821</c:v>
                </c:pt>
                <c:pt idx="110">
                  <c:v>20852</c:v>
                </c:pt>
                <c:pt idx="111">
                  <c:v>20880</c:v>
                </c:pt>
                <c:pt idx="112">
                  <c:v>20911</c:v>
                </c:pt>
                <c:pt idx="113">
                  <c:v>20941</c:v>
                </c:pt>
                <c:pt idx="114">
                  <c:v>20972</c:v>
                </c:pt>
                <c:pt idx="115">
                  <c:v>21002</c:v>
                </c:pt>
                <c:pt idx="116">
                  <c:v>21033</c:v>
                </c:pt>
                <c:pt idx="117">
                  <c:v>21064</c:v>
                </c:pt>
                <c:pt idx="118">
                  <c:v>21094</c:v>
                </c:pt>
                <c:pt idx="119">
                  <c:v>21125</c:v>
                </c:pt>
                <c:pt idx="120">
                  <c:v>21155</c:v>
                </c:pt>
                <c:pt idx="121">
                  <c:v>21186</c:v>
                </c:pt>
                <c:pt idx="122">
                  <c:v>21217</c:v>
                </c:pt>
                <c:pt idx="123">
                  <c:v>21245</c:v>
                </c:pt>
                <c:pt idx="124">
                  <c:v>21276</c:v>
                </c:pt>
                <c:pt idx="125">
                  <c:v>21306</c:v>
                </c:pt>
                <c:pt idx="126">
                  <c:v>21337</c:v>
                </c:pt>
                <c:pt idx="127">
                  <c:v>21367</c:v>
                </c:pt>
                <c:pt idx="128">
                  <c:v>21398</c:v>
                </c:pt>
                <c:pt idx="129">
                  <c:v>21429</c:v>
                </c:pt>
                <c:pt idx="130">
                  <c:v>21459</c:v>
                </c:pt>
                <c:pt idx="131">
                  <c:v>21490</c:v>
                </c:pt>
                <c:pt idx="132">
                  <c:v>21520</c:v>
                </c:pt>
                <c:pt idx="133">
                  <c:v>21551</c:v>
                </c:pt>
                <c:pt idx="134">
                  <c:v>21582</c:v>
                </c:pt>
                <c:pt idx="135">
                  <c:v>21610</c:v>
                </c:pt>
                <c:pt idx="136">
                  <c:v>21641</c:v>
                </c:pt>
                <c:pt idx="137">
                  <c:v>21671</c:v>
                </c:pt>
                <c:pt idx="138">
                  <c:v>21702</c:v>
                </c:pt>
                <c:pt idx="139">
                  <c:v>21732</c:v>
                </c:pt>
                <c:pt idx="140">
                  <c:v>21763</c:v>
                </c:pt>
                <c:pt idx="141">
                  <c:v>21794</c:v>
                </c:pt>
                <c:pt idx="142">
                  <c:v>21824</c:v>
                </c:pt>
                <c:pt idx="143">
                  <c:v>21855</c:v>
                </c:pt>
                <c:pt idx="144">
                  <c:v>21885</c:v>
                </c:pt>
                <c:pt idx="145">
                  <c:v>21916</c:v>
                </c:pt>
                <c:pt idx="146">
                  <c:v>21947</c:v>
                </c:pt>
                <c:pt idx="147">
                  <c:v>21976</c:v>
                </c:pt>
                <c:pt idx="148">
                  <c:v>22007</c:v>
                </c:pt>
                <c:pt idx="149">
                  <c:v>22037</c:v>
                </c:pt>
                <c:pt idx="150">
                  <c:v>22068</c:v>
                </c:pt>
                <c:pt idx="151">
                  <c:v>22098</c:v>
                </c:pt>
                <c:pt idx="152">
                  <c:v>22129</c:v>
                </c:pt>
                <c:pt idx="153">
                  <c:v>22160</c:v>
                </c:pt>
                <c:pt idx="154">
                  <c:v>22190</c:v>
                </c:pt>
                <c:pt idx="155">
                  <c:v>22221</c:v>
                </c:pt>
                <c:pt idx="156">
                  <c:v>22251</c:v>
                </c:pt>
                <c:pt idx="157">
                  <c:v>22282</c:v>
                </c:pt>
                <c:pt idx="158">
                  <c:v>22313</c:v>
                </c:pt>
                <c:pt idx="159">
                  <c:v>22341</c:v>
                </c:pt>
                <c:pt idx="160">
                  <c:v>22372</c:v>
                </c:pt>
                <c:pt idx="161">
                  <c:v>22402</c:v>
                </c:pt>
                <c:pt idx="162">
                  <c:v>22433</c:v>
                </c:pt>
                <c:pt idx="163">
                  <c:v>22463</c:v>
                </c:pt>
                <c:pt idx="164">
                  <c:v>22494</c:v>
                </c:pt>
                <c:pt idx="165">
                  <c:v>22525</c:v>
                </c:pt>
                <c:pt idx="166">
                  <c:v>22555</c:v>
                </c:pt>
                <c:pt idx="167">
                  <c:v>22586</c:v>
                </c:pt>
                <c:pt idx="168">
                  <c:v>22616</c:v>
                </c:pt>
                <c:pt idx="169">
                  <c:v>22647</c:v>
                </c:pt>
                <c:pt idx="170">
                  <c:v>22678</c:v>
                </c:pt>
                <c:pt idx="171">
                  <c:v>22706</c:v>
                </c:pt>
                <c:pt idx="172">
                  <c:v>22737</c:v>
                </c:pt>
                <c:pt idx="173">
                  <c:v>22767</c:v>
                </c:pt>
                <c:pt idx="174">
                  <c:v>22798</c:v>
                </c:pt>
                <c:pt idx="175">
                  <c:v>22828</c:v>
                </c:pt>
                <c:pt idx="176">
                  <c:v>22859</c:v>
                </c:pt>
                <c:pt idx="177">
                  <c:v>22890</c:v>
                </c:pt>
                <c:pt idx="178">
                  <c:v>22920</c:v>
                </c:pt>
                <c:pt idx="179">
                  <c:v>22951</c:v>
                </c:pt>
                <c:pt idx="180">
                  <c:v>22981</c:v>
                </c:pt>
                <c:pt idx="181">
                  <c:v>23012</c:v>
                </c:pt>
                <c:pt idx="182">
                  <c:v>23043</c:v>
                </c:pt>
                <c:pt idx="183">
                  <c:v>23071</c:v>
                </c:pt>
                <c:pt idx="184">
                  <c:v>23102</c:v>
                </c:pt>
                <c:pt idx="185">
                  <c:v>23132</c:v>
                </c:pt>
                <c:pt idx="186">
                  <c:v>23163</c:v>
                </c:pt>
                <c:pt idx="187">
                  <c:v>23193</c:v>
                </c:pt>
                <c:pt idx="188">
                  <c:v>23224</c:v>
                </c:pt>
                <c:pt idx="189">
                  <c:v>23255</c:v>
                </c:pt>
                <c:pt idx="190">
                  <c:v>23285</c:v>
                </c:pt>
                <c:pt idx="191">
                  <c:v>23316</c:v>
                </c:pt>
                <c:pt idx="192">
                  <c:v>23346</c:v>
                </c:pt>
                <c:pt idx="193">
                  <c:v>23377</c:v>
                </c:pt>
                <c:pt idx="194">
                  <c:v>23408</c:v>
                </c:pt>
                <c:pt idx="195">
                  <c:v>23437</c:v>
                </c:pt>
                <c:pt idx="196">
                  <c:v>23468</c:v>
                </c:pt>
                <c:pt idx="197">
                  <c:v>23498</c:v>
                </c:pt>
                <c:pt idx="198">
                  <c:v>23529</c:v>
                </c:pt>
                <c:pt idx="199">
                  <c:v>23559</c:v>
                </c:pt>
                <c:pt idx="200">
                  <c:v>23590</c:v>
                </c:pt>
                <c:pt idx="201">
                  <c:v>23621</c:v>
                </c:pt>
                <c:pt idx="202">
                  <c:v>23651</c:v>
                </c:pt>
                <c:pt idx="203">
                  <c:v>23682</c:v>
                </c:pt>
                <c:pt idx="204">
                  <c:v>23712</c:v>
                </c:pt>
                <c:pt idx="205">
                  <c:v>23743</c:v>
                </c:pt>
                <c:pt idx="206">
                  <c:v>23774</c:v>
                </c:pt>
                <c:pt idx="207">
                  <c:v>23802</c:v>
                </c:pt>
                <c:pt idx="208">
                  <c:v>23833</c:v>
                </c:pt>
                <c:pt idx="209">
                  <c:v>23863</c:v>
                </c:pt>
                <c:pt idx="210">
                  <c:v>23894</c:v>
                </c:pt>
                <c:pt idx="211">
                  <c:v>23924</c:v>
                </c:pt>
                <c:pt idx="212">
                  <c:v>23955</c:v>
                </c:pt>
                <c:pt idx="213">
                  <c:v>23986</c:v>
                </c:pt>
                <c:pt idx="214">
                  <c:v>24016</c:v>
                </c:pt>
                <c:pt idx="215">
                  <c:v>24047</c:v>
                </c:pt>
                <c:pt idx="216">
                  <c:v>24077</c:v>
                </c:pt>
                <c:pt idx="217">
                  <c:v>24108</c:v>
                </c:pt>
                <c:pt idx="218">
                  <c:v>24139</c:v>
                </c:pt>
                <c:pt idx="219">
                  <c:v>24167</c:v>
                </c:pt>
                <c:pt idx="220">
                  <c:v>24198</c:v>
                </c:pt>
                <c:pt idx="221">
                  <c:v>24228</c:v>
                </c:pt>
                <c:pt idx="222">
                  <c:v>24259</c:v>
                </c:pt>
                <c:pt idx="223">
                  <c:v>24289</c:v>
                </c:pt>
                <c:pt idx="224">
                  <c:v>24320</c:v>
                </c:pt>
                <c:pt idx="225">
                  <c:v>24351</c:v>
                </c:pt>
                <c:pt idx="226">
                  <c:v>24381</c:v>
                </c:pt>
                <c:pt idx="227">
                  <c:v>24412</c:v>
                </c:pt>
                <c:pt idx="228">
                  <c:v>24442</c:v>
                </c:pt>
                <c:pt idx="229">
                  <c:v>24473</c:v>
                </c:pt>
                <c:pt idx="230">
                  <c:v>24504</c:v>
                </c:pt>
                <c:pt idx="231">
                  <c:v>24532</c:v>
                </c:pt>
                <c:pt idx="232">
                  <c:v>24563</c:v>
                </c:pt>
                <c:pt idx="233">
                  <c:v>24593</c:v>
                </c:pt>
                <c:pt idx="234">
                  <c:v>24624</c:v>
                </c:pt>
                <c:pt idx="235">
                  <c:v>24654</c:v>
                </c:pt>
                <c:pt idx="236">
                  <c:v>24685</c:v>
                </c:pt>
                <c:pt idx="237">
                  <c:v>24716</c:v>
                </c:pt>
                <c:pt idx="238">
                  <c:v>24746</c:v>
                </c:pt>
                <c:pt idx="239">
                  <c:v>24777</c:v>
                </c:pt>
                <c:pt idx="240">
                  <c:v>24807</c:v>
                </c:pt>
                <c:pt idx="241">
                  <c:v>24838</c:v>
                </c:pt>
                <c:pt idx="242">
                  <c:v>24869</c:v>
                </c:pt>
                <c:pt idx="243">
                  <c:v>24898</c:v>
                </c:pt>
                <c:pt idx="244">
                  <c:v>24929</c:v>
                </c:pt>
                <c:pt idx="245">
                  <c:v>24959</c:v>
                </c:pt>
                <c:pt idx="246">
                  <c:v>24990</c:v>
                </c:pt>
                <c:pt idx="247">
                  <c:v>25020</c:v>
                </c:pt>
                <c:pt idx="248">
                  <c:v>25051</c:v>
                </c:pt>
                <c:pt idx="249">
                  <c:v>25082</c:v>
                </c:pt>
                <c:pt idx="250">
                  <c:v>25112</c:v>
                </c:pt>
                <c:pt idx="251">
                  <c:v>25143</c:v>
                </c:pt>
                <c:pt idx="252">
                  <c:v>25173</c:v>
                </c:pt>
                <c:pt idx="253">
                  <c:v>25204</c:v>
                </c:pt>
                <c:pt idx="254">
                  <c:v>25235</c:v>
                </c:pt>
                <c:pt idx="255">
                  <c:v>25263</c:v>
                </c:pt>
                <c:pt idx="256">
                  <c:v>25294</c:v>
                </c:pt>
                <c:pt idx="257">
                  <c:v>25324</c:v>
                </c:pt>
                <c:pt idx="258">
                  <c:v>25355</c:v>
                </c:pt>
                <c:pt idx="259">
                  <c:v>25385</c:v>
                </c:pt>
                <c:pt idx="260">
                  <c:v>25416</c:v>
                </c:pt>
                <c:pt idx="261">
                  <c:v>25447</c:v>
                </c:pt>
                <c:pt idx="262">
                  <c:v>25477</c:v>
                </c:pt>
                <c:pt idx="263">
                  <c:v>25508</c:v>
                </c:pt>
                <c:pt idx="264">
                  <c:v>25538</c:v>
                </c:pt>
                <c:pt idx="265">
                  <c:v>25569</c:v>
                </c:pt>
                <c:pt idx="266">
                  <c:v>25600</c:v>
                </c:pt>
                <c:pt idx="267">
                  <c:v>25628</c:v>
                </c:pt>
                <c:pt idx="268">
                  <c:v>25659</c:v>
                </c:pt>
                <c:pt idx="269">
                  <c:v>25689</c:v>
                </c:pt>
                <c:pt idx="270">
                  <c:v>25720</c:v>
                </c:pt>
                <c:pt idx="271">
                  <c:v>25750</c:v>
                </c:pt>
                <c:pt idx="272">
                  <c:v>25781</c:v>
                </c:pt>
                <c:pt idx="273">
                  <c:v>25812</c:v>
                </c:pt>
                <c:pt idx="274">
                  <c:v>25842</c:v>
                </c:pt>
                <c:pt idx="275">
                  <c:v>25873</c:v>
                </c:pt>
                <c:pt idx="276">
                  <c:v>25903</c:v>
                </c:pt>
                <c:pt idx="277">
                  <c:v>25934</c:v>
                </c:pt>
                <c:pt idx="278">
                  <c:v>25965</c:v>
                </c:pt>
                <c:pt idx="279">
                  <c:v>25993</c:v>
                </c:pt>
                <c:pt idx="280">
                  <c:v>26024</c:v>
                </c:pt>
                <c:pt idx="281">
                  <c:v>26054</c:v>
                </c:pt>
                <c:pt idx="282">
                  <c:v>26085</c:v>
                </c:pt>
                <c:pt idx="283">
                  <c:v>26115</c:v>
                </c:pt>
                <c:pt idx="284">
                  <c:v>26146</c:v>
                </c:pt>
                <c:pt idx="285">
                  <c:v>26177</c:v>
                </c:pt>
                <c:pt idx="286">
                  <c:v>26207</c:v>
                </c:pt>
                <c:pt idx="287">
                  <c:v>26238</c:v>
                </c:pt>
                <c:pt idx="288">
                  <c:v>26268</c:v>
                </c:pt>
                <c:pt idx="289">
                  <c:v>26299</c:v>
                </c:pt>
                <c:pt idx="290">
                  <c:v>26330</c:v>
                </c:pt>
                <c:pt idx="291">
                  <c:v>26359</c:v>
                </c:pt>
                <c:pt idx="292">
                  <c:v>26390</c:v>
                </c:pt>
                <c:pt idx="293">
                  <c:v>26420</c:v>
                </c:pt>
                <c:pt idx="294">
                  <c:v>26451</c:v>
                </c:pt>
                <c:pt idx="295">
                  <c:v>26481</c:v>
                </c:pt>
                <c:pt idx="296">
                  <c:v>26512</c:v>
                </c:pt>
                <c:pt idx="297">
                  <c:v>26543</c:v>
                </c:pt>
                <c:pt idx="298">
                  <c:v>26573</c:v>
                </c:pt>
                <c:pt idx="299">
                  <c:v>26604</c:v>
                </c:pt>
                <c:pt idx="300">
                  <c:v>26634</c:v>
                </c:pt>
                <c:pt idx="301">
                  <c:v>26665</c:v>
                </c:pt>
                <c:pt idx="302">
                  <c:v>26696</c:v>
                </c:pt>
                <c:pt idx="303">
                  <c:v>26724</c:v>
                </c:pt>
                <c:pt idx="304">
                  <c:v>26755</c:v>
                </c:pt>
                <c:pt idx="305">
                  <c:v>26785</c:v>
                </c:pt>
                <c:pt idx="306">
                  <c:v>26816</c:v>
                </c:pt>
                <c:pt idx="307">
                  <c:v>26846</c:v>
                </c:pt>
                <c:pt idx="308">
                  <c:v>26877</c:v>
                </c:pt>
                <c:pt idx="309">
                  <c:v>26908</c:v>
                </c:pt>
                <c:pt idx="310">
                  <c:v>26938</c:v>
                </c:pt>
                <c:pt idx="311">
                  <c:v>26969</c:v>
                </c:pt>
                <c:pt idx="312">
                  <c:v>26999</c:v>
                </c:pt>
                <c:pt idx="313">
                  <c:v>27030</c:v>
                </c:pt>
                <c:pt idx="314">
                  <c:v>27061</c:v>
                </c:pt>
                <c:pt idx="315">
                  <c:v>27089</c:v>
                </c:pt>
                <c:pt idx="316">
                  <c:v>27120</c:v>
                </c:pt>
                <c:pt idx="317">
                  <c:v>27150</c:v>
                </c:pt>
                <c:pt idx="318">
                  <c:v>27181</c:v>
                </c:pt>
                <c:pt idx="319">
                  <c:v>27211</c:v>
                </c:pt>
                <c:pt idx="320">
                  <c:v>27242</c:v>
                </c:pt>
                <c:pt idx="321">
                  <c:v>27273</c:v>
                </c:pt>
                <c:pt idx="322">
                  <c:v>27303</c:v>
                </c:pt>
                <c:pt idx="323">
                  <c:v>27334</c:v>
                </c:pt>
                <c:pt idx="324">
                  <c:v>27364</c:v>
                </c:pt>
                <c:pt idx="325">
                  <c:v>27395</c:v>
                </c:pt>
                <c:pt idx="326">
                  <c:v>27426</c:v>
                </c:pt>
                <c:pt idx="327">
                  <c:v>27454</c:v>
                </c:pt>
                <c:pt idx="328">
                  <c:v>27485</c:v>
                </c:pt>
                <c:pt idx="329">
                  <c:v>27515</c:v>
                </c:pt>
                <c:pt idx="330">
                  <c:v>27546</c:v>
                </c:pt>
                <c:pt idx="331">
                  <c:v>27576</c:v>
                </c:pt>
                <c:pt idx="332">
                  <c:v>27607</c:v>
                </c:pt>
                <c:pt idx="333">
                  <c:v>27638</c:v>
                </c:pt>
                <c:pt idx="334">
                  <c:v>27668</c:v>
                </c:pt>
                <c:pt idx="335">
                  <c:v>27699</c:v>
                </c:pt>
                <c:pt idx="336">
                  <c:v>27729</c:v>
                </c:pt>
                <c:pt idx="337">
                  <c:v>27760</c:v>
                </c:pt>
                <c:pt idx="338">
                  <c:v>27791</c:v>
                </c:pt>
                <c:pt idx="339">
                  <c:v>27820</c:v>
                </c:pt>
                <c:pt idx="340">
                  <c:v>27851</c:v>
                </c:pt>
                <c:pt idx="341">
                  <c:v>27881</c:v>
                </c:pt>
                <c:pt idx="342">
                  <c:v>27912</c:v>
                </c:pt>
                <c:pt idx="343">
                  <c:v>27942</c:v>
                </c:pt>
                <c:pt idx="344">
                  <c:v>27973</c:v>
                </c:pt>
                <c:pt idx="345">
                  <c:v>28004</c:v>
                </c:pt>
                <c:pt idx="346">
                  <c:v>28034</c:v>
                </c:pt>
                <c:pt idx="347">
                  <c:v>28065</c:v>
                </c:pt>
                <c:pt idx="348">
                  <c:v>28095</c:v>
                </c:pt>
                <c:pt idx="349">
                  <c:v>28126</c:v>
                </c:pt>
                <c:pt idx="350">
                  <c:v>28157</c:v>
                </c:pt>
                <c:pt idx="351">
                  <c:v>28185</c:v>
                </c:pt>
                <c:pt idx="352">
                  <c:v>28216</c:v>
                </c:pt>
                <c:pt idx="353">
                  <c:v>28246</c:v>
                </c:pt>
                <c:pt idx="354">
                  <c:v>28277</c:v>
                </c:pt>
                <c:pt idx="355">
                  <c:v>28307</c:v>
                </c:pt>
                <c:pt idx="356">
                  <c:v>28338</c:v>
                </c:pt>
                <c:pt idx="357">
                  <c:v>28369</c:v>
                </c:pt>
                <c:pt idx="358">
                  <c:v>28399</c:v>
                </c:pt>
                <c:pt idx="359">
                  <c:v>28430</c:v>
                </c:pt>
                <c:pt idx="360">
                  <c:v>28460</c:v>
                </c:pt>
                <c:pt idx="361">
                  <c:v>28491</c:v>
                </c:pt>
                <c:pt idx="362">
                  <c:v>28522</c:v>
                </c:pt>
                <c:pt idx="363">
                  <c:v>28550</c:v>
                </c:pt>
                <c:pt idx="364">
                  <c:v>28581</c:v>
                </c:pt>
                <c:pt idx="365">
                  <c:v>28611</c:v>
                </c:pt>
                <c:pt idx="366">
                  <c:v>28642</c:v>
                </c:pt>
                <c:pt idx="367">
                  <c:v>28672</c:v>
                </c:pt>
                <c:pt idx="368">
                  <c:v>28703</c:v>
                </c:pt>
                <c:pt idx="369">
                  <c:v>28734</c:v>
                </c:pt>
                <c:pt idx="370">
                  <c:v>28764</c:v>
                </c:pt>
                <c:pt idx="371">
                  <c:v>28795</c:v>
                </c:pt>
                <c:pt idx="372">
                  <c:v>28825</c:v>
                </c:pt>
                <c:pt idx="373">
                  <c:v>28856</c:v>
                </c:pt>
                <c:pt idx="374">
                  <c:v>28887</c:v>
                </c:pt>
                <c:pt idx="375">
                  <c:v>28915</c:v>
                </c:pt>
                <c:pt idx="376">
                  <c:v>28946</c:v>
                </c:pt>
                <c:pt idx="377">
                  <c:v>28976</c:v>
                </c:pt>
                <c:pt idx="378">
                  <c:v>29007</c:v>
                </c:pt>
                <c:pt idx="379">
                  <c:v>29037</c:v>
                </c:pt>
                <c:pt idx="380">
                  <c:v>29068</c:v>
                </c:pt>
                <c:pt idx="381">
                  <c:v>29099</c:v>
                </c:pt>
                <c:pt idx="382">
                  <c:v>29129</c:v>
                </c:pt>
                <c:pt idx="383">
                  <c:v>29160</c:v>
                </c:pt>
                <c:pt idx="384">
                  <c:v>29190</c:v>
                </c:pt>
                <c:pt idx="385">
                  <c:v>29221</c:v>
                </c:pt>
                <c:pt idx="386">
                  <c:v>29252</c:v>
                </c:pt>
                <c:pt idx="387">
                  <c:v>29281</c:v>
                </c:pt>
                <c:pt idx="388">
                  <c:v>29312</c:v>
                </c:pt>
                <c:pt idx="389">
                  <c:v>29342</c:v>
                </c:pt>
                <c:pt idx="390">
                  <c:v>29373</c:v>
                </c:pt>
                <c:pt idx="391">
                  <c:v>29403</c:v>
                </c:pt>
                <c:pt idx="392">
                  <c:v>29434</c:v>
                </c:pt>
                <c:pt idx="393">
                  <c:v>29465</c:v>
                </c:pt>
                <c:pt idx="394">
                  <c:v>29495</c:v>
                </c:pt>
                <c:pt idx="395">
                  <c:v>29526</c:v>
                </c:pt>
                <c:pt idx="396">
                  <c:v>29556</c:v>
                </c:pt>
                <c:pt idx="397">
                  <c:v>29587</c:v>
                </c:pt>
                <c:pt idx="398">
                  <c:v>29618</c:v>
                </c:pt>
                <c:pt idx="399">
                  <c:v>29646</c:v>
                </c:pt>
                <c:pt idx="400">
                  <c:v>29677</c:v>
                </c:pt>
                <c:pt idx="401">
                  <c:v>29707</c:v>
                </c:pt>
                <c:pt idx="402">
                  <c:v>29738</c:v>
                </c:pt>
                <c:pt idx="403">
                  <c:v>29768</c:v>
                </c:pt>
                <c:pt idx="404">
                  <c:v>29799</c:v>
                </c:pt>
                <c:pt idx="405">
                  <c:v>29830</c:v>
                </c:pt>
                <c:pt idx="406">
                  <c:v>29860</c:v>
                </c:pt>
                <c:pt idx="407">
                  <c:v>29891</c:v>
                </c:pt>
                <c:pt idx="408">
                  <c:v>29921</c:v>
                </c:pt>
                <c:pt idx="409">
                  <c:v>29952</c:v>
                </c:pt>
                <c:pt idx="410">
                  <c:v>29983</c:v>
                </c:pt>
                <c:pt idx="411">
                  <c:v>30011</c:v>
                </c:pt>
                <c:pt idx="412">
                  <c:v>30042</c:v>
                </c:pt>
                <c:pt idx="413">
                  <c:v>30072</c:v>
                </c:pt>
                <c:pt idx="414">
                  <c:v>30103</c:v>
                </c:pt>
                <c:pt idx="415">
                  <c:v>30133</c:v>
                </c:pt>
                <c:pt idx="416">
                  <c:v>30164</c:v>
                </c:pt>
                <c:pt idx="417">
                  <c:v>30195</c:v>
                </c:pt>
                <c:pt idx="418">
                  <c:v>30225</c:v>
                </c:pt>
                <c:pt idx="419">
                  <c:v>30256</c:v>
                </c:pt>
                <c:pt idx="420">
                  <c:v>30286</c:v>
                </c:pt>
                <c:pt idx="421">
                  <c:v>30317</c:v>
                </c:pt>
                <c:pt idx="422">
                  <c:v>30348</c:v>
                </c:pt>
                <c:pt idx="423">
                  <c:v>30376</c:v>
                </c:pt>
                <c:pt idx="424">
                  <c:v>30407</c:v>
                </c:pt>
                <c:pt idx="425">
                  <c:v>30437</c:v>
                </c:pt>
                <c:pt idx="426">
                  <c:v>30468</c:v>
                </c:pt>
                <c:pt idx="427">
                  <c:v>30498</c:v>
                </c:pt>
                <c:pt idx="428">
                  <c:v>30529</c:v>
                </c:pt>
                <c:pt idx="429">
                  <c:v>30560</c:v>
                </c:pt>
                <c:pt idx="430">
                  <c:v>30590</c:v>
                </c:pt>
                <c:pt idx="431">
                  <c:v>30621</c:v>
                </c:pt>
                <c:pt idx="432">
                  <c:v>30651</c:v>
                </c:pt>
                <c:pt idx="433">
                  <c:v>30682</c:v>
                </c:pt>
                <c:pt idx="434">
                  <c:v>30713</c:v>
                </c:pt>
                <c:pt idx="435">
                  <c:v>30742</c:v>
                </c:pt>
                <c:pt idx="436">
                  <c:v>30773</c:v>
                </c:pt>
                <c:pt idx="437">
                  <c:v>30803</c:v>
                </c:pt>
                <c:pt idx="438">
                  <c:v>30834</c:v>
                </c:pt>
                <c:pt idx="439">
                  <c:v>30864</c:v>
                </c:pt>
                <c:pt idx="440">
                  <c:v>30895</c:v>
                </c:pt>
                <c:pt idx="441">
                  <c:v>30926</c:v>
                </c:pt>
                <c:pt idx="442">
                  <c:v>30956</c:v>
                </c:pt>
                <c:pt idx="443">
                  <c:v>30987</c:v>
                </c:pt>
                <c:pt idx="444">
                  <c:v>31017</c:v>
                </c:pt>
                <c:pt idx="445">
                  <c:v>31048</c:v>
                </c:pt>
                <c:pt idx="446">
                  <c:v>31079</c:v>
                </c:pt>
                <c:pt idx="447">
                  <c:v>31107</c:v>
                </c:pt>
                <c:pt idx="448">
                  <c:v>31138</c:v>
                </c:pt>
                <c:pt idx="449">
                  <c:v>31168</c:v>
                </c:pt>
                <c:pt idx="450">
                  <c:v>31199</c:v>
                </c:pt>
                <c:pt idx="451">
                  <c:v>31229</c:v>
                </c:pt>
                <c:pt idx="452">
                  <c:v>31260</c:v>
                </c:pt>
                <c:pt idx="453">
                  <c:v>31291</c:v>
                </c:pt>
                <c:pt idx="454">
                  <c:v>31321</c:v>
                </c:pt>
                <c:pt idx="455">
                  <c:v>31352</c:v>
                </c:pt>
                <c:pt idx="456">
                  <c:v>31382</c:v>
                </c:pt>
                <c:pt idx="457">
                  <c:v>31413</c:v>
                </c:pt>
                <c:pt idx="458">
                  <c:v>31444</c:v>
                </c:pt>
                <c:pt idx="459">
                  <c:v>31472</c:v>
                </c:pt>
                <c:pt idx="460">
                  <c:v>31503</c:v>
                </c:pt>
                <c:pt idx="461">
                  <c:v>31533</c:v>
                </c:pt>
                <c:pt idx="462">
                  <c:v>31564</c:v>
                </c:pt>
                <c:pt idx="463">
                  <c:v>31594</c:v>
                </c:pt>
                <c:pt idx="464">
                  <c:v>31625</c:v>
                </c:pt>
                <c:pt idx="465">
                  <c:v>31656</c:v>
                </c:pt>
                <c:pt idx="466">
                  <c:v>31686</c:v>
                </c:pt>
                <c:pt idx="467">
                  <c:v>31717</c:v>
                </c:pt>
                <c:pt idx="468">
                  <c:v>31747</c:v>
                </c:pt>
                <c:pt idx="469">
                  <c:v>31778</c:v>
                </c:pt>
                <c:pt idx="470">
                  <c:v>31809</c:v>
                </c:pt>
                <c:pt idx="471">
                  <c:v>31837</c:v>
                </c:pt>
                <c:pt idx="472">
                  <c:v>31868</c:v>
                </c:pt>
                <c:pt idx="473">
                  <c:v>31898</c:v>
                </c:pt>
                <c:pt idx="474">
                  <c:v>31929</c:v>
                </c:pt>
                <c:pt idx="475">
                  <c:v>31959</c:v>
                </c:pt>
                <c:pt idx="476">
                  <c:v>31990</c:v>
                </c:pt>
                <c:pt idx="477">
                  <c:v>32021</c:v>
                </c:pt>
                <c:pt idx="478">
                  <c:v>32051</c:v>
                </c:pt>
                <c:pt idx="479">
                  <c:v>32082</c:v>
                </c:pt>
                <c:pt idx="480">
                  <c:v>32112</c:v>
                </c:pt>
                <c:pt idx="481">
                  <c:v>32143</c:v>
                </c:pt>
                <c:pt idx="482">
                  <c:v>32174</c:v>
                </c:pt>
                <c:pt idx="483">
                  <c:v>32203</c:v>
                </c:pt>
                <c:pt idx="484">
                  <c:v>32234</c:v>
                </c:pt>
                <c:pt idx="485">
                  <c:v>32264</c:v>
                </c:pt>
                <c:pt idx="486">
                  <c:v>32295</c:v>
                </c:pt>
                <c:pt idx="487">
                  <c:v>32325</c:v>
                </c:pt>
                <c:pt idx="488">
                  <c:v>32356</c:v>
                </c:pt>
                <c:pt idx="489">
                  <c:v>32387</c:v>
                </c:pt>
                <c:pt idx="490">
                  <c:v>32417</c:v>
                </c:pt>
                <c:pt idx="491">
                  <c:v>32448</c:v>
                </c:pt>
                <c:pt idx="492">
                  <c:v>32478</c:v>
                </c:pt>
                <c:pt idx="493">
                  <c:v>32509</c:v>
                </c:pt>
                <c:pt idx="494">
                  <c:v>32540</c:v>
                </c:pt>
                <c:pt idx="495">
                  <c:v>32568</c:v>
                </c:pt>
                <c:pt idx="496">
                  <c:v>32599</c:v>
                </c:pt>
                <c:pt idx="497">
                  <c:v>32629</c:v>
                </c:pt>
                <c:pt idx="498">
                  <c:v>32660</c:v>
                </c:pt>
                <c:pt idx="499">
                  <c:v>32690</c:v>
                </c:pt>
                <c:pt idx="500">
                  <c:v>32721</c:v>
                </c:pt>
                <c:pt idx="501">
                  <c:v>32752</c:v>
                </c:pt>
                <c:pt idx="502">
                  <c:v>32782</c:v>
                </c:pt>
                <c:pt idx="503">
                  <c:v>32813</c:v>
                </c:pt>
                <c:pt idx="504">
                  <c:v>32843</c:v>
                </c:pt>
                <c:pt idx="505">
                  <c:v>32874</c:v>
                </c:pt>
                <c:pt idx="506">
                  <c:v>32905</c:v>
                </c:pt>
                <c:pt idx="507">
                  <c:v>32933</c:v>
                </c:pt>
                <c:pt idx="508">
                  <c:v>32964</c:v>
                </c:pt>
                <c:pt idx="509">
                  <c:v>32994</c:v>
                </c:pt>
                <c:pt idx="510">
                  <c:v>33025</c:v>
                </c:pt>
                <c:pt idx="511">
                  <c:v>33055</c:v>
                </c:pt>
                <c:pt idx="512">
                  <c:v>33086</c:v>
                </c:pt>
                <c:pt idx="513">
                  <c:v>33117</c:v>
                </c:pt>
                <c:pt idx="514">
                  <c:v>33147</c:v>
                </c:pt>
                <c:pt idx="515">
                  <c:v>33178</c:v>
                </c:pt>
                <c:pt idx="516">
                  <c:v>33208</c:v>
                </c:pt>
                <c:pt idx="517">
                  <c:v>33239</c:v>
                </c:pt>
                <c:pt idx="518">
                  <c:v>33270</c:v>
                </c:pt>
                <c:pt idx="519">
                  <c:v>33298</c:v>
                </c:pt>
                <c:pt idx="520">
                  <c:v>33329</c:v>
                </c:pt>
                <c:pt idx="521">
                  <c:v>33359</c:v>
                </c:pt>
                <c:pt idx="522">
                  <c:v>33390</c:v>
                </c:pt>
                <c:pt idx="523">
                  <c:v>33420</c:v>
                </c:pt>
                <c:pt idx="524">
                  <c:v>33451</c:v>
                </c:pt>
                <c:pt idx="525">
                  <c:v>33482</c:v>
                </c:pt>
                <c:pt idx="526">
                  <c:v>33512</c:v>
                </c:pt>
                <c:pt idx="527">
                  <c:v>33543</c:v>
                </c:pt>
                <c:pt idx="528">
                  <c:v>33573</c:v>
                </c:pt>
                <c:pt idx="529">
                  <c:v>33604</c:v>
                </c:pt>
                <c:pt idx="530">
                  <c:v>33635</c:v>
                </c:pt>
                <c:pt idx="531">
                  <c:v>33664</c:v>
                </c:pt>
                <c:pt idx="532">
                  <c:v>33695</c:v>
                </c:pt>
                <c:pt idx="533">
                  <c:v>33725</c:v>
                </c:pt>
                <c:pt idx="534">
                  <c:v>33756</c:v>
                </c:pt>
                <c:pt idx="535">
                  <c:v>33786</c:v>
                </c:pt>
                <c:pt idx="536">
                  <c:v>33817</c:v>
                </c:pt>
                <c:pt idx="537">
                  <c:v>33848</c:v>
                </c:pt>
                <c:pt idx="538">
                  <c:v>33878</c:v>
                </c:pt>
                <c:pt idx="539">
                  <c:v>33909</c:v>
                </c:pt>
                <c:pt idx="540">
                  <c:v>33939</c:v>
                </c:pt>
                <c:pt idx="541">
                  <c:v>33970</c:v>
                </c:pt>
                <c:pt idx="542">
                  <c:v>34001</c:v>
                </c:pt>
                <c:pt idx="543">
                  <c:v>34029</c:v>
                </c:pt>
                <c:pt idx="544">
                  <c:v>34060</c:v>
                </c:pt>
                <c:pt idx="545">
                  <c:v>34090</c:v>
                </c:pt>
                <c:pt idx="546">
                  <c:v>34121</c:v>
                </c:pt>
                <c:pt idx="547">
                  <c:v>34151</c:v>
                </c:pt>
                <c:pt idx="548">
                  <c:v>34182</c:v>
                </c:pt>
                <c:pt idx="549">
                  <c:v>34213</c:v>
                </c:pt>
                <c:pt idx="550">
                  <c:v>34243</c:v>
                </c:pt>
                <c:pt idx="551">
                  <c:v>34274</c:v>
                </c:pt>
                <c:pt idx="552">
                  <c:v>34304</c:v>
                </c:pt>
                <c:pt idx="553">
                  <c:v>34335</c:v>
                </c:pt>
                <c:pt idx="554">
                  <c:v>34366</c:v>
                </c:pt>
                <c:pt idx="555">
                  <c:v>34394</c:v>
                </c:pt>
                <c:pt idx="556">
                  <c:v>34425</c:v>
                </c:pt>
                <c:pt idx="557">
                  <c:v>34455</c:v>
                </c:pt>
                <c:pt idx="558">
                  <c:v>34486</c:v>
                </c:pt>
                <c:pt idx="559">
                  <c:v>34516</c:v>
                </c:pt>
                <c:pt idx="560">
                  <c:v>34547</c:v>
                </c:pt>
                <c:pt idx="561">
                  <c:v>34578</c:v>
                </c:pt>
                <c:pt idx="562">
                  <c:v>34608</c:v>
                </c:pt>
                <c:pt idx="563">
                  <c:v>34639</c:v>
                </c:pt>
                <c:pt idx="564">
                  <c:v>34669</c:v>
                </c:pt>
                <c:pt idx="565">
                  <c:v>34700</c:v>
                </c:pt>
                <c:pt idx="566">
                  <c:v>34731</c:v>
                </c:pt>
                <c:pt idx="567">
                  <c:v>34759</c:v>
                </c:pt>
                <c:pt idx="568">
                  <c:v>34790</c:v>
                </c:pt>
                <c:pt idx="569">
                  <c:v>34820</c:v>
                </c:pt>
                <c:pt idx="570">
                  <c:v>34851</c:v>
                </c:pt>
                <c:pt idx="571">
                  <c:v>34881</c:v>
                </c:pt>
                <c:pt idx="572">
                  <c:v>34912</c:v>
                </c:pt>
                <c:pt idx="573">
                  <c:v>34943</c:v>
                </c:pt>
                <c:pt idx="574">
                  <c:v>34973</c:v>
                </c:pt>
                <c:pt idx="575">
                  <c:v>35004</c:v>
                </c:pt>
                <c:pt idx="576">
                  <c:v>35034</c:v>
                </c:pt>
                <c:pt idx="577">
                  <c:v>35065</c:v>
                </c:pt>
                <c:pt idx="578">
                  <c:v>35096</c:v>
                </c:pt>
                <c:pt idx="579">
                  <c:v>35125</c:v>
                </c:pt>
                <c:pt idx="580">
                  <c:v>35156</c:v>
                </c:pt>
                <c:pt idx="581">
                  <c:v>35186</c:v>
                </c:pt>
                <c:pt idx="582">
                  <c:v>35217</c:v>
                </c:pt>
                <c:pt idx="583">
                  <c:v>35247</c:v>
                </c:pt>
                <c:pt idx="584">
                  <c:v>35278</c:v>
                </c:pt>
                <c:pt idx="585">
                  <c:v>35309</c:v>
                </c:pt>
                <c:pt idx="586">
                  <c:v>35339</c:v>
                </c:pt>
                <c:pt idx="587">
                  <c:v>35370</c:v>
                </c:pt>
                <c:pt idx="588">
                  <c:v>35400</c:v>
                </c:pt>
                <c:pt idx="589">
                  <c:v>35431</c:v>
                </c:pt>
                <c:pt idx="590">
                  <c:v>35462</c:v>
                </c:pt>
                <c:pt idx="591">
                  <c:v>35490</c:v>
                </c:pt>
                <c:pt idx="592">
                  <c:v>35521</c:v>
                </c:pt>
                <c:pt idx="593">
                  <c:v>35551</c:v>
                </c:pt>
                <c:pt idx="594">
                  <c:v>35582</c:v>
                </c:pt>
                <c:pt idx="595">
                  <c:v>35612</c:v>
                </c:pt>
                <c:pt idx="596">
                  <c:v>35643</c:v>
                </c:pt>
                <c:pt idx="597">
                  <c:v>35674</c:v>
                </c:pt>
                <c:pt idx="598">
                  <c:v>35704</c:v>
                </c:pt>
                <c:pt idx="599">
                  <c:v>35735</c:v>
                </c:pt>
                <c:pt idx="600">
                  <c:v>35765</c:v>
                </c:pt>
                <c:pt idx="601">
                  <c:v>35796</c:v>
                </c:pt>
                <c:pt idx="602">
                  <c:v>35827</c:v>
                </c:pt>
                <c:pt idx="603">
                  <c:v>35855</c:v>
                </c:pt>
                <c:pt idx="604">
                  <c:v>35886</c:v>
                </c:pt>
                <c:pt idx="605">
                  <c:v>35916</c:v>
                </c:pt>
                <c:pt idx="606">
                  <c:v>35947</c:v>
                </c:pt>
                <c:pt idx="607">
                  <c:v>35977</c:v>
                </c:pt>
                <c:pt idx="608">
                  <c:v>36008</c:v>
                </c:pt>
                <c:pt idx="609">
                  <c:v>36039</c:v>
                </c:pt>
                <c:pt idx="610">
                  <c:v>36069</c:v>
                </c:pt>
                <c:pt idx="611">
                  <c:v>36100</c:v>
                </c:pt>
                <c:pt idx="612">
                  <c:v>36130</c:v>
                </c:pt>
                <c:pt idx="613">
                  <c:v>36161</c:v>
                </c:pt>
                <c:pt idx="614">
                  <c:v>36192</c:v>
                </c:pt>
                <c:pt idx="615">
                  <c:v>36220</c:v>
                </c:pt>
                <c:pt idx="616">
                  <c:v>36251</c:v>
                </c:pt>
                <c:pt idx="617">
                  <c:v>36281</c:v>
                </c:pt>
                <c:pt idx="618">
                  <c:v>36312</c:v>
                </c:pt>
                <c:pt idx="619">
                  <c:v>36342</c:v>
                </c:pt>
                <c:pt idx="620">
                  <c:v>36373</c:v>
                </c:pt>
                <c:pt idx="621">
                  <c:v>36404</c:v>
                </c:pt>
                <c:pt idx="622">
                  <c:v>36434</c:v>
                </c:pt>
                <c:pt idx="623">
                  <c:v>36465</c:v>
                </c:pt>
                <c:pt idx="624">
                  <c:v>36495</c:v>
                </c:pt>
                <c:pt idx="625">
                  <c:v>36526</c:v>
                </c:pt>
                <c:pt idx="626">
                  <c:v>36557</c:v>
                </c:pt>
                <c:pt idx="627">
                  <c:v>36586</c:v>
                </c:pt>
                <c:pt idx="628">
                  <c:v>36617</c:v>
                </c:pt>
                <c:pt idx="629">
                  <c:v>36647</c:v>
                </c:pt>
                <c:pt idx="630">
                  <c:v>36678</c:v>
                </c:pt>
                <c:pt idx="631">
                  <c:v>36708</c:v>
                </c:pt>
                <c:pt idx="632">
                  <c:v>36739</c:v>
                </c:pt>
                <c:pt idx="633">
                  <c:v>36770</c:v>
                </c:pt>
                <c:pt idx="634">
                  <c:v>36800</c:v>
                </c:pt>
                <c:pt idx="635">
                  <c:v>36831</c:v>
                </c:pt>
                <c:pt idx="636">
                  <c:v>36861</c:v>
                </c:pt>
                <c:pt idx="637">
                  <c:v>36892</c:v>
                </c:pt>
                <c:pt idx="638">
                  <c:v>36923</c:v>
                </c:pt>
                <c:pt idx="639">
                  <c:v>36951</c:v>
                </c:pt>
                <c:pt idx="640">
                  <c:v>36982</c:v>
                </c:pt>
                <c:pt idx="641">
                  <c:v>37012</c:v>
                </c:pt>
                <c:pt idx="642">
                  <c:v>37043</c:v>
                </c:pt>
                <c:pt idx="643">
                  <c:v>37073</c:v>
                </c:pt>
                <c:pt idx="644">
                  <c:v>37104</c:v>
                </c:pt>
                <c:pt idx="645">
                  <c:v>37135</c:v>
                </c:pt>
                <c:pt idx="646">
                  <c:v>37165</c:v>
                </c:pt>
                <c:pt idx="647">
                  <c:v>37196</c:v>
                </c:pt>
                <c:pt idx="648">
                  <c:v>37226</c:v>
                </c:pt>
                <c:pt idx="649">
                  <c:v>37257</c:v>
                </c:pt>
                <c:pt idx="650">
                  <c:v>37288</c:v>
                </c:pt>
                <c:pt idx="651">
                  <c:v>37316</c:v>
                </c:pt>
                <c:pt idx="652">
                  <c:v>37347</c:v>
                </c:pt>
                <c:pt idx="653">
                  <c:v>37377</c:v>
                </c:pt>
                <c:pt idx="654">
                  <c:v>37408</c:v>
                </c:pt>
                <c:pt idx="655">
                  <c:v>37438</c:v>
                </c:pt>
                <c:pt idx="656">
                  <c:v>37469</c:v>
                </c:pt>
                <c:pt idx="657">
                  <c:v>37500</c:v>
                </c:pt>
                <c:pt idx="658">
                  <c:v>37530</c:v>
                </c:pt>
                <c:pt idx="659">
                  <c:v>37561</c:v>
                </c:pt>
                <c:pt idx="660">
                  <c:v>37591</c:v>
                </c:pt>
                <c:pt idx="661">
                  <c:v>37622</c:v>
                </c:pt>
                <c:pt idx="662">
                  <c:v>37653</c:v>
                </c:pt>
                <c:pt idx="663">
                  <c:v>37681</c:v>
                </c:pt>
                <c:pt idx="664">
                  <c:v>37712</c:v>
                </c:pt>
                <c:pt idx="665">
                  <c:v>37742</c:v>
                </c:pt>
                <c:pt idx="666">
                  <c:v>37773</c:v>
                </c:pt>
                <c:pt idx="667">
                  <c:v>37803</c:v>
                </c:pt>
                <c:pt idx="668">
                  <c:v>37834</c:v>
                </c:pt>
                <c:pt idx="669">
                  <c:v>37865</c:v>
                </c:pt>
                <c:pt idx="670">
                  <c:v>37895</c:v>
                </c:pt>
                <c:pt idx="671">
                  <c:v>37926</c:v>
                </c:pt>
                <c:pt idx="672">
                  <c:v>37956</c:v>
                </c:pt>
                <c:pt idx="673">
                  <c:v>37987</c:v>
                </c:pt>
                <c:pt idx="674">
                  <c:v>38018</c:v>
                </c:pt>
                <c:pt idx="675">
                  <c:v>38047</c:v>
                </c:pt>
                <c:pt idx="676">
                  <c:v>38078</c:v>
                </c:pt>
                <c:pt idx="677">
                  <c:v>38108</c:v>
                </c:pt>
                <c:pt idx="678">
                  <c:v>38139</c:v>
                </c:pt>
                <c:pt idx="679">
                  <c:v>38169</c:v>
                </c:pt>
                <c:pt idx="680">
                  <c:v>38200</c:v>
                </c:pt>
                <c:pt idx="681">
                  <c:v>38231</c:v>
                </c:pt>
                <c:pt idx="682">
                  <c:v>38261</c:v>
                </c:pt>
                <c:pt idx="683">
                  <c:v>38292</c:v>
                </c:pt>
                <c:pt idx="684">
                  <c:v>38322</c:v>
                </c:pt>
                <c:pt idx="685">
                  <c:v>38353</c:v>
                </c:pt>
                <c:pt idx="686">
                  <c:v>38384</c:v>
                </c:pt>
                <c:pt idx="687">
                  <c:v>38412</c:v>
                </c:pt>
                <c:pt idx="688">
                  <c:v>38443</c:v>
                </c:pt>
                <c:pt idx="689">
                  <c:v>38473</c:v>
                </c:pt>
                <c:pt idx="690">
                  <c:v>38504</c:v>
                </c:pt>
                <c:pt idx="691">
                  <c:v>38534</c:v>
                </c:pt>
                <c:pt idx="692">
                  <c:v>38565</c:v>
                </c:pt>
                <c:pt idx="693">
                  <c:v>38596</c:v>
                </c:pt>
                <c:pt idx="694">
                  <c:v>38626</c:v>
                </c:pt>
                <c:pt idx="695">
                  <c:v>38657</c:v>
                </c:pt>
                <c:pt idx="696">
                  <c:v>38687</c:v>
                </c:pt>
                <c:pt idx="697">
                  <c:v>38718</c:v>
                </c:pt>
                <c:pt idx="698">
                  <c:v>38749</c:v>
                </c:pt>
                <c:pt idx="699">
                  <c:v>38777</c:v>
                </c:pt>
                <c:pt idx="700">
                  <c:v>38808</c:v>
                </c:pt>
                <c:pt idx="701">
                  <c:v>38838</c:v>
                </c:pt>
                <c:pt idx="702">
                  <c:v>38869</c:v>
                </c:pt>
                <c:pt idx="703">
                  <c:v>38899</c:v>
                </c:pt>
                <c:pt idx="704">
                  <c:v>38930</c:v>
                </c:pt>
                <c:pt idx="705">
                  <c:v>38961</c:v>
                </c:pt>
                <c:pt idx="706">
                  <c:v>38991</c:v>
                </c:pt>
                <c:pt idx="707">
                  <c:v>39022</c:v>
                </c:pt>
                <c:pt idx="708">
                  <c:v>39052</c:v>
                </c:pt>
                <c:pt idx="709">
                  <c:v>39083</c:v>
                </c:pt>
                <c:pt idx="710">
                  <c:v>39114</c:v>
                </c:pt>
                <c:pt idx="711">
                  <c:v>39142</c:v>
                </c:pt>
                <c:pt idx="712">
                  <c:v>39173</c:v>
                </c:pt>
                <c:pt idx="713">
                  <c:v>39203</c:v>
                </c:pt>
                <c:pt idx="714">
                  <c:v>39234</c:v>
                </c:pt>
                <c:pt idx="715">
                  <c:v>39264</c:v>
                </c:pt>
                <c:pt idx="716">
                  <c:v>39295</c:v>
                </c:pt>
                <c:pt idx="717">
                  <c:v>39326</c:v>
                </c:pt>
                <c:pt idx="718">
                  <c:v>39356</c:v>
                </c:pt>
                <c:pt idx="719">
                  <c:v>39387</c:v>
                </c:pt>
                <c:pt idx="720">
                  <c:v>39417</c:v>
                </c:pt>
                <c:pt idx="721">
                  <c:v>39448</c:v>
                </c:pt>
                <c:pt idx="722">
                  <c:v>39479</c:v>
                </c:pt>
                <c:pt idx="723">
                  <c:v>39508</c:v>
                </c:pt>
                <c:pt idx="724">
                  <c:v>39539</c:v>
                </c:pt>
                <c:pt idx="725">
                  <c:v>39569</c:v>
                </c:pt>
                <c:pt idx="726">
                  <c:v>39600</c:v>
                </c:pt>
                <c:pt idx="727">
                  <c:v>39630</c:v>
                </c:pt>
                <c:pt idx="728">
                  <c:v>39661</c:v>
                </c:pt>
                <c:pt idx="729">
                  <c:v>39692</c:v>
                </c:pt>
                <c:pt idx="730">
                  <c:v>39722</c:v>
                </c:pt>
                <c:pt idx="731">
                  <c:v>39753</c:v>
                </c:pt>
                <c:pt idx="732">
                  <c:v>39783</c:v>
                </c:pt>
                <c:pt idx="733">
                  <c:v>39814</c:v>
                </c:pt>
                <c:pt idx="734">
                  <c:v>39845</c:v>
                </c:pt>
                <c:pt idx="735">
                  <c:v>39873</c:v>
                </c:pt>
                <c:pt idx="736">
                  <c:v>39904</c:v>
                </c:pt>
                <c:pt idx="737">
                  <c:v>39934</c:v>
                </c:pt>
                <c:pt idx="738">
                  <c:v>39965</c:v>
                </c:pt>
                <c:pt idx="739">
                  <c:v>39995</c:v>
                </c:pt>
                <c:pt idx="740">
                  <c:v>40026</c:v>
                </c:pt>
                <c:pt idx="741">
                  <c:v>40057</c:v>
                </c:pt>
                <c:pt idx="742">
                  <c:v>40087</c:v>
                </c:pt>
                <c:pt idx="743">
                  <c:v>40118</c:v>
                </c:pt>
                <c:pt idx="744">
                  <c:v>40148</c:v>
                </c:pt>
                <c:pt idx="745">
                  <c:v>40179</c:v>
                </c:pt>
                <c:pt idx="746">
                  <c:v>40210</c:v>
                </c:pt>
                <c:pt idx="747">
                  <c:v>40238</c:v>
                </c:pt>
                <c:pt idx="748">
                  <c:v>40269</c:v>
                </c:pt>
                <c:pt idx="749">
                  <c:v>40299</c:v>
                </c:pt>
                <c:pt idx="750">
                  <c:v>40330</c:v>
                </c:pt>
                <c:pt idx="751">
                  <c:v>40360</c:v>
                </c:pt>
                <c:pt idx="752">
                  <c:v>40391</c:v>
                </c:pt>
                <c:pt idx="753">
                  <c:v>40422</c:v>
                </c:pt>
                <c:pt idx="754">
                  <c:v>40452</c:v>
                </c:pt>
                <c:pt idx="755">
                  <c:v>40483</c:v>
                </c:pt>
                <c:pt idx="756">
                  <c:v>40513</c:v>
                </c:pt>
                <c:pt idx="757">
                  <c:v>40544</c:v>
                </c:pt>
                <c:pt idx="758">
                  <c:v>40575</c:v>
                </c:pt>
                <c:pt idx="759">
                  <c:v>40603</c:v>
                </c:pt>
                <c:pt idx="760">
                  <c:v>40634</c:v>
                </c:pt>
                <c:pt idx="761">
                  <c:v>40664</c:v>
                </c:pt>
                <c:pt idx="762">
                  <c:v>40695</c:v>
                </c:pt>
                <c:pt idx="763">
                  <c:v>40725</c:v>
                </c:pt>
                <c:pt idx="764">
                  <c:v>40756</c:v>
                </c:pt>
                <c:pt idx="765">
                  <c:v>40787</c:v>
                </c:pt>
                <c:pt idx="766">
                  <c:v>40817</c:v>
                </c:pt>
                <c:pt idx="767">
                  <c:v>40848</c:v>
                </c:pt>
                <c:pt idx="768">
                  <c:v>40878</c:v>
                </c:pt>
                <c:pt idx="769">
                  <c:v>40909</c:v>
                </c:pt>
                <c:pt idx="770">
                  <c:v>40940</c:v>
                </c:pt>
                <c:pt idx="771">
                  <c:v>40969</c:v>
                </c:pt>
                <c:pt idx="772">
                  <c:v>41000</c:v>
                </c:pt>
                <c:pt idx="773">
                  <c:v>41030</c:v>
                </c:pt>
                <c:pt idx="774">
                  <c:v>41061</c:v>
                </c:pt>
                <c:pt idx="775">
                  <c:v>41091</c:v>
                </c:pt>
                <c:pt idx="776">
                  <c:v>41122</c:v>
                </c:pt>
                <c:pt idx="777">
                  <c:v>41153</c:v>
                </c:pt>
                <c:pt idx="778">
                  <c:v>41183</c:v>
                </c:pt>
                <c:pt idx="779">
                  <c:v>41214</c:v>
                </c:pt>
                <c:pt idx="780">
                  <c:v>41244</c:v>
                </c:pt>
                <c:pt idx="781">
                  <c:v>41275</c:v>
                </c:pt>
                <c:pt idx="782">
                  <c:v>41306</c:v>
                </c:pt>
                <c:pt idx="783">
                  <c:v>41334</c:v>
                </c:pt>
                <c:pt idx="784">
                  <c:v>41365</c:v>
                </c:pt>
                <c:pt idx="785">
                  <c:v>41395</c:v>
                </c:pt>
                <c:pt idx="786">
                  <c:v>41426</c:v>
                </c:pt>
                <c:pt idx="787">
                  <c:v>41456</c:v>
                </c:pt>
                <c:pt idx="788">
                  <c:v>41487</c:v>
                </c:pt>
              </c:numCache>
            </c:numRef>
          </c:cat>
          <c:val>
            <c:numRef>
              <c:f>'2-state flows'!$M$2:$M$791</c:f>
              <c:numCache>
                <c:formatCode>General</c:formatCode>
                <c:ptCount val="790"/>
                <c:pt idx="0">
                  <c:v>#N/A</c:v>
                </c:pt>
                <c:pt idx="1">
                  <c:v>#N/A</c:v>
                </c:pt>
                <c:pt idx="2">
                  <c:v>3.4757330657455655E-2</c:v>
                </c:pt>
                <c:pt idx="3">
                  <c:v>3.3334629887569293E-2</c:v>
                </c:pt>
                <c:pt idx="4">
                  <c:v>3.3904344044081304E-2</c:v>
                </c:pt>
                <c:pt idx="5">
                  <c:v>3.1376687546026572E-2</c:v>
                </c:pt>
                <c:pt idx="6">
                  <c:v>3.4839003695514119E-2</c:v>
                </c:pt>
                <c:pt idx="7">
                  <c:v>3.4235431653321921E-2</c:v>
                </c:pt>
                <c:pt idx="8">
                  <c:v>3.3615512071894074E-2</c:v>
                </c:pt>
                <c:pt idx="9">
                  <c:v>3.0547686733676582E-2</c:v>
                </c:pt>
                <c:pt idx="10">
                  <c:v>3.2285470459539369E-2</c:v>
                </c:pt>
                <c:pt idx="11">
                  <c:v>3.4835060313677141E-2</c:v>
                </c:pt>
                <c:pt idx="12">
                  <c:v>3.7539584335128634E-2</c:v>
                </c:pt>
                <c:pt idx="13">
                  <c:v>3.8575026201972389E-2</c:v>
                </c:pt>
                <c:pt idx="14">
                  <c:v>3.8915787627912257E-2</c:v>
                </c:pt>
                <c:pt idx="15">
                  <c:v>4.0322682221419041E-2</c:v>
                </c:pt>
                <c:pt idx="16">
                  <c:v>4.0535341556032965E-2</c:v>
                </c:pt>
                <c:pt idx="17">
                  <c:v>4.1552248368469179E-2</c:v>
                </c:pt>
                <c:pt idx="18">
                  <c:v>4.150389735397874E-2</c:v>
                </c:pt>
                <c:pt idx="19">
                  <c:v>4.0710749258700808E-2</c:v>
                </c:pt>
                <c:pt idx="20">
                  <c:v>4.3759008714123686E-2</c:v>
                </c:pt>
                <c:pt idx="21">
                  <c:v>4.3910671784336129E-2</c:v>
                </c:pt>
                <c:pt idx="22">
                  <c:v>4.4457195572122077E-2</c:v>
                </c:pt>
                <c:pt idx="23">
                  <c:v>4.1144034307738914E-2</c:v>
                </c:pt>
                <c:pt idx="24">
                  <c:v>3.8622324419649412E-2</c:v>
                </c:pt>
                <c:pt idx="25">
                  <c:v>3.6626852836182028E-2</c:v>
                </c:pt>
                <c:pt idx="26">
                  <c:v>3.4361732905476304E-2</c:v>
                </c:pt>
                <c:pt idx="27">
                  <c:v>3.3414541780327121E-2</c:v>
                </c:pt>
                <c:pt idx="28">
                  <c:v>3.3416659917884388E-2</c:v>
                </c:pt>
                <c:pt idx="29">
                  <c:v>3.3031019626309825E-2</c:v>
                </c:pt>
                <c:pt idx="30">
                  <c:v>3.1788275708803639E-2</c:v>
                </c:pt>
                <c:pt idx="31">
                  <c:v>3.0261104289914298E-2</c:v>
                </c:pt>
                <c:pt idx="32">
                  <c:v>2.9170443488231029E-2</c:v>
                </c:pt>
                <c:pt idx="33">
                  <c:v>3.0114368415145296E-2</c:v>
                </c:pt>
                <c:pt idx="34">
                  <c:v>3.2360282076055957E-2</c:v>
                </c:pt>
                <c:pt idx="35">
                  <c:v>3.1550380119682774E-2</c:v>
                </c:pt>
                <c:pt idx="36">
                  <c:v>2.9877193113774219E-2</c:v>
                </c:pt>
                <c:pt idx="37">
                  <c:v>2.8162214599387333E-2</c:v>
                </c:pt>
                <c:pt idx="38">
                  <c:v>2.9352132353969589E-2</c:v>
                </c:pt>
                <c:pt idx="39">
                  <c:v>3.0038069243410612E-2</c:v>
                </c:pt>
                <c:pt idx="40">
                  <c:v>2.8883533203913847E-2</c:v>
                </c:pt>
                <c:pt idx="41">
                  <c:v>2.8920566022942185E-2</c:v>
                </c:pt>
                <c:pt idx="42">
                  <c:v>2.9356097038849071E-2</c:v>
                </c:pt>
                <c:pt idx="43">
                  <c:v>3.1453943020992088E-2</c:v>
                </c:pt>
                <c:pt idx="44">
                  <c:v>3.164136140365504E-2</c:v>
                </c:pt>
                <c:pt idx="45">
                  <c:v>3.1582379526871922E-2</c:v>
                </c:pt>
                <c:pt idx="46">
                  <c:v>3.0483873869978546E-2</c:v>
                </c:pt>
                <c:pt idx="47">
                  <c:v>2.8459462726253205E-2</c:v>
                </c:pt>
                <c:pt idx="48">
                  <c:v>2.8338910481300928E-2</c:v>
                </c:pt>
                <c:pt idx="49">
                  <c:v>2.8802441193450073E-2</c:v>
                </c:pt>
                <c:pt idx="50">
                  <c:v>3.0337120132709439E-2</c:v>
                </c:pt>
                <c:pt idx="51">
                  <c:v>3.0595662712371016E-2</c:v>
                </c:pt>
                <c:pt idx="52">
                  <c:v>3.0696710515840307E-2</c:v>
                </c:pt>
                <c:pt idx="53">
                  <c:v>3.0504071594431924E-2</c:v>
                </c:pt>
                <c:pt idx="54">
                  <c:v>3.0908960711398606E-2</c:v>
                </c:pt>
                <c:pt idx="55">
                  <c:v>3.0194746025730357E-2</c:v>
                </c:pt>
                <c:pt idx="56">
                  <c:v>2.9175988255112348E-2</c:v>
                </c:pt>
                <c:pt idx="57">
                  <c:v>2.7149942263802487E-2</c:v>
                </c:pt>
                <c:pt idx="58">
                  <c:v>2.6565621727906847E-2</c:v>
                </c:pt>
                <c:pt idx="59">
                  <c:v>2.6093724988691405E-2</c:v>
                </c:pt>
                <c:pt idx="60">
                  <c:v>2.7246936176555058E-2</c:v>
                </c:pt>
                <c:pt idx="61">
                  <c:v>2.6755144697996835E-2</c:v>
                </c:pt>
                <c:pt idx="62">
                  <c:v>2.8193706472130448E-2</c:v>
                </c:pt>
                <c:pt idx="63">
                  <c:v>2.679129440446272E-2</c:v>
                </c:pt>
                <c:pt idx="64">
                  <c:v>2.6428165177340358E-2</c:v>
                </c:pt>
                <c:pt idx="65">
                  <c:v>2.4930963648414146E-2</c:v>
                </c:pt>
                <c:pt idx="66">
                  <c:v>2.5913863236871285E-2</c:v>
                </c:pt>
                <c:pt idx="67">
                  <c:v>2.7351788439073172E-2</c:v>
                </c:pt>
                <c:pt idx="68">
                  <c:v>2.9505439664910149E-2</c:v>
                </c:pt>
                <c:pt idx="69">
                  <c:v>3.0456999611176847E-2</c:v>
                </c:pt>
                <c:pt idx="70">
                  <c:v>3.4460819397353008E-2</c:v>
                </c:pt>
                <c:pt idx="71">
                  <c:v>3.654041619812548E-2</c:v>
                </c:pt>
                <c:pt idx="72">
                  <c:v>3.9057620447632689E-2</c:v>
                </c:pt>
                <c:pt idx="73">
                  <c:v>3.7821851716410129E-2</c:v>
                </c:pt>
                <c:pt idx="74">
                  <c:v>3.7962329994659948E-2</c:v>
                </c:pt>
                <c:pt idx="75">
                  <c:v>3.7041836382661349E-2</c:v>
                </c:pt>
                <c:pt idx="76">
                  <c:v>3.6372420974068502E-2</c:v>
                </c:pt>
                <c:pt idx="77">
                  <c:v>3.5585788254805982E-2</c:v>
                </c:pt>
                <c:pt idx="78">
                  <c:v>3.4837770514337486E-2</c:v>
                </c:pt>
                <c:pt idx="79">
                  <c:v>3.472329763409527E-2</c:v>
                </c:pt>
                <c:pt idx="80">
                  <c:v>3.4229288811369878E-2</c:v>
                </c:pt>
                <c:pt idx="81">
                  <c:v>3.3897905364037466E-2</c:v>
                </c:pt>
                <c:pt idx="82">
                  <c:v>3.2748492131182035E-2</c:v>
                </c:pt>
                <c:pt idx="83">
                  <c:v>3.1724373872569371E-2</c:v>
                </c:pt>
                <c:pt idx="84">
                  <c:v>3.0461033198231832E-2</c:v>
                </c:pt>
                <c:pt idx="85">
                  <c:v>2.8277247919620243E-2</c:v>
                </c:pt>
                <c:pt idx="86">
                  <c:v>2.7088625044154709E-2</c:v>
                </c:pt>
                <c:pt idx="87">
                  <c:v>2.7409634936506569E-2</c:v>
                </c:pt>
                <c:pt idx="88">
                  <c:v>2.8720811819439456E-2</c:v>
                </c:pt>
                <c:pt idx="89">
                  <c:v>2.9202142988584198E-2</c:v>
                </c:pt>
                <c:pt idx="90">
                  <c:v>2.990892221705245E-2</c:v>
                </c:pt>
                <c:pt idx="91">
                  <c:v>3.0407278378710229E-2</c:v>
                </c:pt>
                <c:pt idx="92">
                  <c:v>3.1119496877910446E-2</c:v>
                </c:pt>
                <c:pt idx="93">
                  <c:v>3.0733941821277158E-2</c:v>
                </c:pt>
                <c:pt idx="94">
                  <c:v>3.0197299253286108E-2</c:v>
                </c:pt>
                <c:pt idx="95">
                  <c:v>2.9746967184083928E-2</c:v>
                </c:pt>
                <c:pt idx="96">
                  <c:v>2.8904514496072689E-2</c:v>
                </c:pt>
                <c:pt idx="97">
                  <c:v>3.0332915508093802E-2</c:v>
                </c:pt>
                <c:pt idx="98">
                  <c:v>3.0614910440531006E-2</c:v>
                </c:pt>
                <c:pt idx="99">
                  <c:v>3.1835365207919512E-2</c:v>
                </c:pt>
                <c:pt idx="100">
                  <c:v>3.1812862099226118E-2</c:v>
                </c:pt>
                <c:pt idx="101">
                  <c:v>3.2193920010091977E-2</c:v>
                </c:pt>
                <c:pt idx="102">
                  <c:v>3.2008964207391362E-2</c:v>
                </c:pt>
                <c:pt idx="103">
                  <c:v>3.0957909065281061E-2</c:v>
                </c:pt>
                <c:pt idx="104">
                  <c:v>3.0171017448451732E-2</c:v>
                </c:pt>
                <c:pt idx="105">
                  <c:v>3.0141029533812449E-2</c:v>
                </c:pt>
                <c:pt idx="106">
                  <c:v>3.0872930855651976E-2</c:v>
                </c:pt>
                <c:pt idx="107">
                  <c:v>3.0991900748906304E-2</c:v>
                </c:pt>
                <c:pt idx="108">
                  <c:v>3.0184060466926056E-2</c:v>
                </c:pt>
                <c:pt idx="109">
                  <c:v>2.8473079530808815E-2</c:v>
                </c:pt>
                <c:pt idx="110">
                  <c:v>2.8183819602108261E-2</c:v>
                </c:pt>
                <c:pt idx="111">
                  <c:v>2.8922196101801152E-2</c:v>
                </c:pt>
                <c:pt idx="112">
                  <c:v>2.9600733448458694E-2</c:v>
                </c:pt>
                <c:pt idx="113">
                  <c:v>2.9870180793666008E-2</c:v>
                </c:pt>
                <c:pt idx="114">
                  <c:v>2.9678383824436678E-2</c:v>
                </c:pt>
                <c:pt idx="115">
                  <c:v>3.0409686786398511E-2</c:v>
                </c:pt>
                <c:pt idx="116">
                  <c:v>3.0251279203670007E-2</c:v>
                </c:pt>
                <c:pt idx="117">
                  <c:v>3.066617073809429E-2</c:v>
                </c:pt>
                <c:pt idx="118">
                  <c:v>3.1258740820813376E-2</c:v>
                </c:pt>
                <c:pt idx="119">
                  <c:v>3.2750354978550646E-2</c:v>
                </c:pt>
                <c:pt idx="120">
                  <c:v>3.4700795090970953E-2</c:v>
                </c:pt>
                <c:pt idx="121">
                  <c:v>3.6810237448530229E-2</c:v>
                </c:pt>
                <c:pt idx="122">
                  <c:v>3.7612202794157057E-2</c:v>
                </c:pt>
                <c:pt idx="123">
                  <c:v>3.7433378157597848E-2</c:v>
                </c:pt>
                <c:pt idx="124">
                  <c:v>3.5841613410036423E-2</c:v>
                </c:pt>
                <c:pt idx="125">
                  <c:v>3.5709456751522185E-2</c:v>
                </c:pt>
                <c:pt idx="126">
                  <c:v>3.4952716492622327E-2</c:v>
                </c:pt>
                <c:pt idx="127">
                  <c:v>3.4061265429348439E-2</c:v>
                </c:pt>
                <c:pt idx="128">
                  <c:v>3.3221744083569628E-2</c:v>
                </c:pt>
                <c:pt idx="129">
                  <c:v>3.2039263826655867E-2</c:v>
                </c:pt>
                <c:pt idx="130">
                  <c:v>3.274068899741045E-2</c:v>
                </c:pt>
                <c:pt idx="131">
                  <c:v>3.2327406187956841E-2</c:v>
                </c:pt>
                <c:pt idx="132">
                  <c:v>3.2354341676791493E-2</c:v>
                </c:pt>
                <c:pt idx="133">
                  <c:v>3.0785034657852903E-2</c:v>
                </c:pt>
                <c:pt idx="134">
                  <c:v>3.0516409684835766E-2</c:v>
                </c:pt>
                <c:pt idx="135">
                  <c:v>3.0131887633321575E-2</c:v>
                </c:pt>
                <c:pt idx="136">
                  <c:v>3.075272210053076E-2</c:v>
                </c:pt>
                <c:pt idx="137">
                  <c:v>3.1194279267613468E-2</c:v>
                </c:pt>
                <c:pt idx="138">
                  <c:v>3.2023488497250549E-2</c:v>
                </c:pt>
                <c:pt idx="139">
                  <c:v>3.2084554928013535E-2</c:v>
                </c:pt>
                <c:pt idx="140">
                  <c:v>3.3107957134389396E-2</c:v>
                </c:pt>
                <c:pt idx="141">
                  <c:v>3.3912171985182961E-2</c:v>
                </c:pt>
                <c:pt idx="142">
                  <c:v>3.5263121877835875E-2</c:v>
                </c:pt>
                <c:pt idx="143">
                  <c:v>3.4673831084464653E-2</c:v>
                </c:pt>
                <c:pt idx="144">
                  <c:v>3.2894369012948906E-2</c:v>
                </c:pt>
                <c:pt idx="145">
                  <c:v>3.1747091873467442E-2</c:v>
                </c:pt>
                <c:pt idx="146">
                  <c:v>3.2888874126607293E-2</c:v>
                </c:pt>
                <c:pt idx="147">
                  <c:v>3.4924775937740314E-2</c:v>
                </c:pt>
                <c:pt idx="148">
                  <c:v>3.5732996658074945E-2</c:v>
                </c:pt>
                <c:pt idx="149">
                  <c:v>3.4721628601931086E-2</c:v>
                </c:pt>
                <c:pt idx="150">
                  <c:v>3.4333051619739818E-2</c:v>
                </c:pt>
                <c:pt idx="151">
                  <c:v>3.4010436275726495E-2</c:v>
                </c:pt>
                <c:pt idx="152">
                  <c:v>3.3749048373054404E-2</c:v>
                </c:pt>
                <c:pt idx="153">
                  <c:v>3.3257103360625935E-2</c:v>
                </c:pt>
                <c:pt idx="154">
                  <c:v>3.5850829526987628E-2</c:v>
                </c:pt>
                <c:pt idx="155">
                  <c:v>3.6968117161197224E-2</c:v>
                </c:pt>
                <c:pt idx="156">
                  <c:v>3.9155693663998715E-2</c:v>
                </c:pt>
                <c:pt idx="157">
                  <c:v>3.7306865132313086E-2</c:v>
                </c:pt>
                <c:pt idx="158">
                  <c:v>3.5903184143071983E-2</c:v>
                </c:pt>
                <c:pt idx="159">
                  <c:v>3.3547545502536691E-2</c:v>
                </c:pt>
                <c:pt idx="160">
                  <c:v>3.3508933558968557E-2</c:v>
                </c:pt>
                <c:pt idx="161">
                  <c:v>3.3933540736578845E-2</c:v>
                </c:pt>
                <c:pt idx="162">
                  <c:v>3.4042216719498114E-2</c:v>
                </c:pt>
                <c:pt idx="163">
                  <c:v>3.4158295409695498E-2</c:v>
                </c:pt>
                <c:pt idx="164">
                  <c:v>3.4808691790404661E-2</c:v>
                </c:pt>
                <c:pt idx="165">
                  <c:v>3.4544559450005626E-2</c:v>
                </c:pt>
                <c:pt idx="166">
                  <c:v>3.3976376312603966E-2</c:v>
                </c:pt>
                <c:pt idx="167">
                  <c:v>3.3380127627668336E-2</c:v>
                </c:pt>
                <c:pt idx="168">
                  <c:v>3.2489910477088352E-2</c:v>
                </c:pt>
                <c:pt idx="169">
                  <c:v>3.2347552732893824E-2</c:v>
                </c:pt>
                <c:pt idx="170">
                  <c:v>3.1691884305825452E-2</c:v>
                </c:pt>
                <c:pt idx="171">
                  <c:v>3.1813160786424557E-2</c:v>
                </c:pt>
                <c:pt idx="172">
                  <c:v>3.0868686840603631E-2</c:v>
                </c:pt>
                <c:pt idx="173">
                  <c:v>3.0611039890483218E-2</c:v>
                </c:pt>
                <c:pt idx="174">
                  <c:v>3.1796103087196E-2</c:v>
                </c:pt>
                <c:pt idx="175">
                  <c:v>3.2998709170879409E-2</c:v>
                </c:pt>
                <c:pt idx="176">
                  <c:v>3.3465276969009979E-2</c:v>
                </c:pt>
                <c:pt idx="177">
                  <c:v>3.4253294805809555E-2</c:v>
                </c:pt>
                <c:pt idx="178">
                  <c:v>3.4256420091274407E-2</c:v>
                </c:pt>
                <c:pt idx="179">
                  <c:v>3.4480386856472423E-2</c:v>
                </c:pt>
                <c:pt idx="180">
                  <c:v>3.4523036942006646E-2</c:v>
                </c:pt>
                <c:pt idx="181">
                  <c:v>3.4107257722989857E-2</c:v>
                </c:pt>
                <c:pt idx="182">
                  <c:v>3.4160790546738588E-2</c:v>
                </c:pt>
                <c:pt idx="183">
                  <c:v>3.4186826644167619E-2</c:v>
                </c:pt>
                <c:pt idx="184">
                  <c:v>3.4421157506831467E-2</c:v>
                </c:pt>
                <c:pt idx="185">
                  <c:v>3.4069040977539898E-2</c:v>
                </c:pt>
                <c:pt idx="186">
                  <c:v>3.3068829593276006E-2</c:v>
                </c:pt>
                <c:pt idx="187">
                  <c:v>3.246884449851347E-2</c:v>
                </c:pt>
                <c:pt idx="188">
                  <c:v>3.2876813339521617E-2</c:v>
                </c:pt>
                <c:pt idx="189">
                  <c:v>3.3729438490138604E-2</c:v>
                </c:pt>
                <c:pt idx="190">
                  <c:v>3.4639050760657653E-2</c:v>
                </c:pt>
                <c:pt idx="191">
                  <c:v>3.5146254868149471E-2</c:v>
                </c:pt>
                <c:pt idx="192">
                  <c:v>3.4356105707443164E-2</c:v>
                </c:pt>
                <c:pt idx="193">
                  <c:v>3.4151971679191762E-2</c:v>
                </c:pt>
                <c:pt idx="194">
                  <c:v>3.3946016026711372E-2</c:v>
                </c:pt>
                <c:pt idx="195">
                  <c:v>3.3787037630014158E-2</c:v>
                </c:pt>
                <c:pt idx="196">
                  <c:v>3.3189697757794262E-2</c:v>
                </c:pt>
                <c:pt idx="197">
                  <c:v>3.1203191021333315E-2</c:v>
                </c:pt>
                <c:pt idx="198">
                  <c:v>3.1209449774165787E-2</c:v>
                </c:pt>
                <c:pt idx="199">
                  <c:v>3.1196161918953136E-2</c:v>
                </c:pt>
                <c:pt idx="200">
                  <c:v>3.3095413289927801E-2</c:v>
                </c:pt>
                <c:pt idx="201">
                  <c:v>3.2564217497036835E-2</c:v>
                </c:pt>
                <c:pt idx="202">
                  <c:v>3.2262657313858079E-2</c:v>
                </c:pt>
                <c:pt idx="203">
                  <c:v>3.1375646591378155E-2</c:v>
                </c:pt>
                <c:pt idx="204">
                  <c:v>3.2003001838482807E-2</c:v>
                </c:pt>
                <c:pt idx="205">
                  <c:v>3.2787000055597433E-2</c:v>
                </c:pt>
                <c:pt idx="206">
                  <c:v>3.3542497886455171E-2</c:v>
                </c:pt>
                <c:pt idx="207">
                  <c:v>3.3563160541999322E-2</c:v>
                </c:pt>
                <c:pt idx="208">
                  <c:v>3.2942466159106204E-2</c:v>
                </c:pt>
                <c:pt idx="209">
                  <c:v>3.2619765830535392E-2</c:v>
                </c:pt>
                <c:pt idx="210">
                  <c:v>3.2066172388688446E-2</c:v>
                </c:pt>
                <c:pt idx="211">
                  <c:v>3.1981556487044448E-2</c:v>
                </c:pt>
                <c:pt idx="212">
                  <c:v>3.1021137389308919E-2</c:v>
                </c:pt>
                <c:pt idx="213">
                  <c:v>3.0512974365932911E-2</c:v>
                </c:pt>
                <c:pt idx="214">
                  <c:v>2.8966642004881804E-2</c:v>
                </c:pt>
                <c:pt idx="215">
                  <c:v>2.8950723765419236E-2</c:v>
                </c:pt>
                <c:pt idx="216">
                  <c:v>2.9176683741358077E-2</c:v>
                </c:pt>
                <c:pt idx="217">
                  <c:v>2.9986568540867297E-2</c:v>
                </c:pt>
                <c:pt idx="218">
                  <c:v>3.0671154448497138E-2</c:v>
                </c:pt>
                <c:pt idx="219">
                  <c:v>3.1228814641351927E-2</c:v>
                </c:pt>
                <c:pt idx="220">
                  <c:v>3.2696524365612024E-2</c:v>
                </c:pt>
                <c:pt idx="221">
                  <c:v>3.3220807974728921E-2</c:v>
                </c:pt>
                <c:pt idx="222">
                  <c:v>3.3327184934124003E-2</c:v>
                </c:pt>
                <c:pt idx="223">
                  <c:v>3.2450830267491605E-2</c:v>
                </c:pt>
                <c:pt idx="224">
                  <c:v>3.1519482402256639E-2</c:v>
                </c:pt>
                <c:pt idx="225">
                  <c:v>3.0525158303182535E-2</c:v>
                </c:pt>
                <c:pt idx="226">
                  <c:v>3.0118634874182194E-2</c:v>
                </c:pt>
                <c:pt idx="227">
                  <c:v>3.0321490046697496E-2</c:v>
                </c:pt>
                <c:pt idx="228">
                  <c:v>3.1017350089041041E-2</c:v>
                </c:pt>
                <c:pt idx="229">
                  <c:v>3.1382030769992436E-2</c:v>
                </c:pt>
                <c:pt idx="230">
                  <c:v>3.1027177903474767E-2</c:v>
                </c:pt>
                <c:pt idx="231">
                  <c:v>3.0696860479968873E-2</c:v>
                </c:pt>
                <c:pt idx="232">
                  <c:v>3.1526857642954466E-2</c:v>
                </c:pt>
                <c:pt idx="233">
                  <c:v>3.2341651257164344E-2</c:v>
                </c:pt>
                <c:pt idx="234">
                  <c:v>3.2409372708211086E-2</c:v>
                </c:pt>
                <c:pt idx="235">
                  <c:v>3.2038023476111656E-2</c:v>
                </c:pt>
                <c:pt idx="236">
                  <c:v>3.2101745485246629E-2</c:v>
                </c:pt>
                <c:pt idx="237">
                  <c:v>3.2749352899444924E-2</c:v>
                </c:pt>
                <c:pt idx="238">
                  <c:v>3.2168651736088023E-2</c:v>
                </c:pt>
                <c:pt idx="239">
                  <c:v>3.0413256968732941E-2</c:v>
                </c:pt>
                <c:pt idx="240">
                  <c:v>3.0597009573757796E-2</c:v>
                </c:pt>
                <c:pt idx="241">
                  <c:v>3.1323565212289135E-2</c:v>
                </c:pt>
                <c:pt idx="242">
                  <c:v>3.1439022438148029E-2</c:v>
                </c:pt>
                <c:pt idx="243">
                  <c:v>3.0541340397907013E-2</c:v>
                </c:pt>
                <c:pt idx="244">
                  <c:v>3.0861336003336588E-2</c:v>
                </c:pt>
                <c:pt idx="245">
                  <c:v>3.2353450060781386E-2</c:v>
                </c:pt>
                <c:pt idx="246">
                  <c:v>3.3265131211767773E-2</c:v>
                </c:pt>
                <c:pt idx="247">
                  <c:v>3.1974813584140206E-2</c:v>
                </c:pt>
                <c:pt idx="248">
                  <c:v>3.0876642233596069E-2</c:v>
                </c:pt>
                <c:pt idx="249">
                  <c:v>3.0208609364606748E-2</c:v>
                </c:pt>
                <c:pt idx="250">
                  <c:v>3.0003260523452313E-2</c:v>
                </c:pt>
                <c:pt idx="251">
                  <c:v>3.0292720468764078E-2</c:v>
                </c:pt>
                <c:pt idx="252">
                  <c:v>2.8840138998422565E-2</c:v>
                </c:pt>
                <c:pt idx="253">
                  <c:v>2.9378546603806104E-2</c:v>
                </c:pt>
                <c:pt idx="254">
                  <c:v>2.9663016275398819E-2</c:v>
                </c:pt>
                <c:pt idx="255">
                  <c:v>3.1655516455772935E-2</c:v>
                </c:pt>
                <c:pt idx="256">
                  <c:v>3.1908395627274676E-2</c:v>
                </c:pt>
                <c:pt idx="257">
                  <c:v>3.2467388605538432E-2</c:v>
                </c:pt>
                <c:pt idx="258">
                  <c:v>3.1890952206496473E-2</c:v>
                </c:pt>
                <c:pt idx="259">
                  <c:v>3.1488597709727589E-2</c:v>
                </c:pt>
                <c:pt idx="260">
                  <c:v>3.2412067813707451E-2</c:v>
                </c:pt>
                <c:pt idx="261">
                  <c:v>3.2038879841158503E-2</c:v>
                </c:pt>
                <c:pt idx="262">
                  <c:v>3.1488728853667873E-2</c:v>
                </c:pt>
                <c:pt idx="263">
                  <c:v>3.0490337914637317E-2</c:v>
                </c:pt>
                <c:pt idx="264">
                  <c:v>3.2231525921359139E-2</c:v>
                </c:pt>
                <c:pt idx="265">
                  <c:v>3.4352154253311458E-2</c:v>
                </c:pt>
                <c:pt idx="266">
                  <c:v>3.6692455777270989E-2</c:v>
                </c:pt>
                <c:pt idx="267">
                  <c:v>3.7531858028105457E-2</c:v>
                </c:pt>
                <c:pt idx="268">
                  <c:v>3.8022524714931151E-2</c:v>
                </c:pt>
                <c:pt idx="269">
                  <c:v>3.7510405413033979E-2</c:v>
                </c:pt>
                <c:pt idx="270">
                  <c:v>3.7741154052085675E-2</c:v>
                </c:pt>
                <c:pt idx="271">
                  <c:v>3.8315111991333382E-2</c:v>
                </c:pt>
                <c:pt idx="272">
                  <c:v>3.9886569559302802E-2</c:v>
                </c:pt>
                <c:pt idx="273">
                  <c:v>4.0141572101697692E-2</c:v>
                </c:pt>
                <c:pt idx="274">
                  <c:v>4.0560856090543967E-2</c:v>
                </c:pt>
                <c:pt idx="275">
                  <c:v>3.9628294620922426E-2</c:v>
                </c:pt>
                <c:pt idx="276">
                  <c:v>3.8777786906492862E-2</c:v>
                </c:pt>
                <c:pt idx="277">
                  <c:v>3.7236533659270488E-2</c:v>
                </c:pt>
                <c:pt idx="278">
                  <c:v>3.6451117377695602E-2</c:v>
                </c:pt>
                <c:pt idx="279">
                  <c:v>3.6613476800717477E-2</c:v>
                </c:pt>
                <c:pt idx="280">
                  <c:v>3.6979195163801402E-2</c:v>
                </c:pt>
                <c:pt idx="281">
                  <c:v>3.6799316580369529E-2</c:v>
                </c:pt>
                <c:pt idx="282">
                  <c:v>3.738088705314211E-2</c:v>
                </c:pt>
                <c:pt idx="283">
                  <c:v>3.8202874431749398E-2</c:v>
                </c:pt>
                <c:pt idx="284">
                  <c:v>3.8398190722782784E-2</c:v>
                </c:pt>
                <c:pt idx="285">
                  <c:v>3.7912338223777708E-2</c:v>
                </c:pt>
                <c:pt idx="286">
                  <c:v>3.7741633290344211E-2</c:v>
                </c:pt>
                <c:pt idx="287">
                  <c:v>3.8387784187728653E-2</c:v>
                </c:pt>
                <c:pt idx="288">
                  <c:v>3.7306733968511085E-2</c:v>
                </c:pt>
                <c:pt idx="289">
                  <c:v>3.7036485436676654E-2</c:v>
                </c:pt>
                <c:pt idx="290">
                  <c:v>3.6142312590113433E-2</c:v>
                </c:pt>
                <c:pt idx="291">
                  <c:v>3.6587820088282728E-2</c:v>
                </c:pt>
                <c:pt idx="292">
                  <c:v>3.6510776868864996E-2</c:v>
                </c:pt>
                <c:pt idx="293">
                  <c:v>3.6550023609976202E-2</c:v>
                </c:pt>
                <c:pt idx="294">
                  <c:v>3.7078259853513956E-2</c:v>
                </c:pt>
                <c:pt idx="295">
                  <c:v>3.7718289790075132E-2</c:v>
                </c:pt>
                <c:pt idx="296">
                  <c:v>3.8435082259200413E-2</c:v>
                </c:pt>
                <c:pt idx="297">
                  <c:v>3.8316393011488932E-2</c:v>
                </c:pt>
                <c:pt idx="298">
                  <c:v>3.58869002576091E-2</c:v>
                </c:pt>
                <c:pt idx="299">
                  <c:v>3.4170846782486587E-2</c:v>
                </c:pt>
                <c:pt idx="300">
                  <c:v>3.4369330302789984E-2</c:v>
                </c:pt>
                <c:pt idx="301">
                  <c:v>3.5386255418954009E-2</c:v>
                </c:pt>
                <c:pt idx="302">
                  <c:v>3.6538393039524053E-2</c:v>
                </c:pt>
                <c:pt idx="303">
                  <c:v>3.6495667750821588E-2</c:v>
                </c:pt>
                <c:pt idx="304">
                  <c:v>3.7823371729101531E-2</c:v>
                </c:pt>
                <c:pt idx="305">
                  <c:v>3.8155573048346318E-2</c:v>
                </c:pt>
                <c:pt idx="306">
                  <c:v>3.8482009669098698E-2</c:v>
                </c:pt>
                <c:pt idx="307">
                  <c:v>3.7499193278225769E-2</c:v>
                </c:pt>
                <c:pt idx="308">
                  <c:v>3.6153668494065323E-2</c:v>
                </c:pt>
                <c:pt idx="309">
                  <c:v>3.5606478099688504E-2</c:v>
                </c:pt>
                <c:pt idx="310">
                  <c:v>3.6174576057961566E-2</c:v>
                </c:pt>
                <c:pt idx="311">
                  <c:v>3.767230859742101E-2</c:v>
                </c:pt>
                <c:pt idx="312">
                  <c:v>3.849736807532441E-2</c:v>
                </c:pt>
                <c:pt idx="313">
                  <c:v>3.9105949829523666E-2</c:v>
                </c:pt>
                <c:pt idx="314">
                  <c:v>3.8778318287811274E-2</c:v>
                </c:pt>
                <c:pt idx="315">
                  <c:v>3.8993208333161583E-2</c:v>
                </c:pt>
                <c:pt idx="316">
                  <c:v>3.8898098386554482E-2</c:v>
                </c:pt>
                <c:pt idx="317">
                  <c:v>3.9638849942783667E-2</c:v>
                </c:pt>
                <c:pt idx="318">
                  <c:v>4.0499853436839685E-2</c:v>
                </c:pt>
                <c:pt idx="319">
                  <c:v>4.1394563352636367E-2</c:v>
                </c:pt>
                <c:pt idx="320">
                  <c:v>4.2405051463844191E-2</c:v>
                </c:pt>
                <c:pt idx="321">
                  <c:v>4.3766900897022398E-2</c:v>
                </c:pt>
                <c:pt idx="322">
                  <c:v>4.551260723296343E-2</c:v>
                </c:pt>
                <c:pt idx="323">
                  <c:v>4.7194412072865698E-2</c:v>
                </c:pt>
                <c:pt idx="324">
                  <c:v>4.6253269525100123E-2</c:v>
                </c:pt>
                <c:pt idx="325">
                  <c:v>4.6068859189761203E-2</c:v>
                </c:pt>
                <c:pt idx="326">
                  <c:v>4.4037133636154836E-2</c:v>
                </c:pt>
                <c:pt idx="327">
                  <c:v>4.4148972663140364E-2</c:v>
                </c:pt>
                <c:pt idx="328">
                  <c:v>4.2510186623379832E-2</c:v>
                </c:pt>
                <c:pt idx="329">
                  <c:v>4.2548363504626908E-2</c:v>
                </c:pt>
                <c:pt idx="330">
                  <c:v>4.1480124973558387E-2</c:v>
                </c:pt>
                <c:pt idx="331">
                  <c:v>4.1380061745146302E-2</c:v>
                </c:pt>
                <c:pt idx="332">
                  <c:v>4.1779488635551143E-2</c:v>
                </c:pt>
                <c:pt idx="333">
                  <c:v>4.1159025130580673E-2</c:v>
                </c:pt>
                <c:pt idx="334">
                  <c:v>4.0536258284082312E-2</c:v>
                </c:pt>
                <c:pt idx="335">
                  <c:v>3.9476657749796557E-2</c:v>
                </c:pt>
                <c:pt idx="336">
                  <c:v>4.0112215413709587E-2</c:v>
                </c:pt>
                <c:pt idx="337">
                  <c:v>3.9393686791082856E-2</c:v>
                </c:pt>
                <c:pt idx="338">
                  <c:v>4.0234280727523726E-2</c:v>
                </c:pt>
                <c:pt idx="339">
                  <c:v>4.0261273862589257E-2</c:v>
                </c:pt>
                <c:pt idx="340">
                  <c:v>4.0740082263105937E-2</c:v>
                </c:pt>
                <c:pt idx="341">
                  <c:v>4.0671585637101403E-2</c:v>
                </c:pt>
                <c:pt idx="342">
                  <c:v>4.0684262880919038E-2</c:v>
                </c:pt>
                <c:pt idx="343">
                  <c:v>4.164834722067922E-2</c:v>
                </c:pt>
                <c:pt idx="344">
                  <c:v>4.1554255190779883E-2</c:v>
                </c:pt>
                <c:pt idx="345">
                  <c:v>4.0957712874422042E-2</c:v>
                </c:pt>
                <c:pt idx="346">
                  <c:v>4.0822742307126347E-2</c:v>
                </c:pt>
                <c:pt idx="347">
                  <c:v>4.0735114337451604E-2</c:v>
                </c:pt>
                <c:pt idx="348">
                  <c:v>4.1885479510427863E-2</c:v>
                </c:pt>
                <c:pt idx="349">
                  <c:v>4.2405938333023453E-2</c:v>
                </c:pt>
                <c:pt idx="350">
                  <c:v>4.3150375588435576E-2</c:v>
                </c:pt>
                <c:pt idx="351">
                  <c:v>4.1894643434294825E-2</c:v>
                </c:pt>
                <c:pt idx="352">
                  <c:v>4.2408004166608615E-2</c:v>
                </c:pt>
                <c:pt idx="353">
                  <c:v>4.1438205366899364E-2</c:v>
                </c:pt>
                <c:pt idx="354">
                  <c:v>4.199521285022409E-2</c:v>
                </c:pt>
                <c:pt idx="355">
                  <c:v>4.0867312344561486E-2</c:v>
                </c:pt>
                <c:pt idx="356">
                  <c:v>4.0701240490649139E-2</c:v>
                </c:pt>
                <c:pt idx="357">
                  <c:v>4.08413464538675E-2</c:v>
                </c:pt>
                <c:pt idx="358">
                  <c:v>4.0138411161956371E-2</c:v>
                </c:pt>
                <c:pt idx="359">
                  <c:v>3.9680830560981074E-2</c:v>
                </c:pt>
                <c:pt idx="360">
                  <c:v>3.9020187556649655E-2</c:v>
                </c:pt>
                <c:pt idx="361">
                  <c:v>3.9491731665302433E-2</c:v>
                </c:pt>
                <c:pt idx="362">
                  <c:v>3.9379478993939482E-2</c:v>
                </c:pt>
                <c:pt idx="363">
                  <c:v>3.9976876423539698E-2</c:v>
                </c:pt>
                <c:pt idx="364">
                  <c:v>3.9621501172658398E-2</c:v>
                </c:pt>
                <c:pt idx="365">
                  <c:v>4.0967875746106074E-2</c:v>
                </c:pt>
                <c:pt idx="366">
                  <c:v>4.0987446628174266E-2</c:v>
                </c:pt>
                <c:pt idx="367">
                  <c:v>4.1684593414713506E-2</c:v>
                </c:pt>
                <c:pt idx="368">
                  <c:v>4.0522901800504774E-2</c:v>
                </c:pt>
                <c:pt idx="369">
                  <c:v>4.0353078694506495E-2</c:v>
                </c:pt>
                <c:pt idx="370">
                  <c:v>4.0255210312136191E-2</c:v>
                </c:pt>
                <c:pt idx="371">
                  <c:v>3.9977491781421293E-2</c:v>
                </c:pt>
                <c:pt idx="372">
                  <c:v>3.9817241405293004E-2</c:v>
                </c:pt>
                <c:pt idx="373">
                  <c:v>3.9128558756967739E-2</c:v>
                </c:pt>
                <c:pt idx="374">
                  <c:v>3.9921509820725308E-2</c:v>
                </c:pt>
                <c:pt idx="375">
                  <c:v>3.9637379346568559E-2</c:v>
                </c:pt>
                <c:pt idx="376">
                  <c:v>4.0283597603386033E-2</c:v>
                </c:pt>
                <c:pt idx="377">
                  <c:v>3.994016694444804E-2</c:v>
                </c:pt>
                <c:pt idx="378">
                  <c:v>4.2314441167946075E-2</c:v>
                </c:pt>
                <c:pt idx="379">
                  <c:v>4.2256166686377723E-2</c:v>
                </c:pt>
                <c:pt idx="380">
                  <c:v>4.2795763769790642E-2</c:v>
                </c:pt>
                <c:pt idx="381">
                  <c:v>4.1402960823755226E-2</c:v>
                </c:pt>
                <c:pt idx="382">
                  <c:v>4.1412417826851566E-2</c:v>
                </c:pt>
                <c:pt idx="383">
                  <c:v>4.1881788266523917E-2</c:v>
                </c:pt>
                <c:pt idx="384">
                  <c:v>4.2002630989047531E-2</c:v>
                </c:pt>
                <c:pt idx="385">
                  <c:v>4.2190866836277291E-2</c:v>
                </c:pt>
                <c:pt idx="386">
                  <c:v>4.2439342468439695E-2</c:v>
                </c:pt>
                <c:pt idx="387">
                  <c:v>4.483815379202797E-2</c:v>
                </c:pt>
                <c:pt idx="388">
                  <c:v>4.5849410234358047E-2</c:v>
                </c:pt>
                <c:pt idx="389">
                  <c:v>4.6179094728082681E-2</c:v>
                </c:pt>
                <c:pt idx="390">
                  <c:v>4.4611159674151822E-2</c:v>
                </c:pt>
                <c:pt idx="391">
                  <c:v>4.3461617073668947E-2</c:v>
                </c:pt>
                <c:pt idx="392">
                  <c:v>4.2443080076930928E-2</c:v>
                </c:pt>
                <c:pt idx="393">
                  <c:v>4.0976686606476333E-2</c:v>
                </c:pt>
                <c:pt idx="394">
                  <c:v>4.0774104176198138E-2</c:v>
                </c:pt>
                <c:pt idx="395">
                  <c:v>4.0953709939062104E-2</c:v>
                </c:pt>
                <c:pt idx="396">
                  <c:v>4.1607371768055935E-2</c:v>
                </c:pt>
                <c:pt idx="397">
                  <c:v>4.2515189014826961E-2</c:v>
                </c:pt>
                <c:pt idx="398">
                  <c:v>4.2087900368048325E-2</c:v>
                </c:pt>
                <c:pt idx="399">
                  <c:v>4.2310921702020797E-2</c:v>
                </c:pt>
                <c:pt idx="400">
                  <c:v>4.2194793539937908E-2</c:v>
                </c:pt>
                <c:pt idx="401">
                  <c:v>4.3017627828251546E-2</c:v>
                </c:pt>
                <c:pt idx="402">
                  <c:v>4.2744760866780106E-2</c:v>
                </c:pt>
                <c:pt idx="403">
                  <c:v>4.338906722760396E-2</c:v>
                </c:pt>
                <c:pt idx="404">
                  <c:v>4.4473225640487467E-2</c:v>
                </c:pt>
                <c:pt idx="405">
                  <c:v>4.6581571011934546E-2</c:v>
                </c:pt>
                <c:pt idx="406">
                  <c:v>4.8619174610999148E-2</c:v>
                </c:pt>
                <c:pt idx="407">
                  <c:v>5.0000657677207551E-2</c:v>
                </c:pt>
                <c:pt idx="408">
                  <c:v>4.979716024607634E-2</c:v>
                </c:pt>
                <c:pt idx="409">
                  <c:v>4.9272157344029482E-2</c:v>
                </c:pt>
                <c:pt idx="410">
                  <c:v>4.8835710243381181E-2</c:v>
                </c:pt>
                <c:pt idx="411">
                  <c:v>4.9131686910750129E-2</c:v>
                </c:pt>
                <c:pt idx="412">
                  <c:v>4.7294289145902522E-2</c:v>
                </c:pt>
                <c:pt idx="413">
                  <c:v>4.6978452790324192E-2</c:v>
                </c:pt>
                <c:pt idx="414">
                  <c:v>4.6859871878694427E-2</c:v>
                </c:pt>
                <c:pt idx="415">
                  <c:v>4.8454498584950462E-2</c:v>
                </c:pt>
                <c:pt idx="416">
                  <c:v>4.7945938469473426E-2</c:v>
                </c:pt>
                <c:pt idx="417">
                  <c:v>4.7821763148253538E-2</c:v>
                </c:pt>
                <c:pt idx="418">
                  <c:v>4.7629229372732791E-2</c:v>
                </c:pt>
                <c:pt idx="419">
                  <c:v>4.7042811541591338E-2</c:v>
                </c:pt>
                <c:pt idx="420">
                  <c:v>4.6105785901880303E-2</c:v>
                </c:pt>
                <c:pt idx="421">
                  <c:v>4.4264314218769647E-2</c:v>
                </c:pt>
                <c:pt idx="422">
                  <c:v>4.3561631426221666E-2</c:v>
                </c:pt>
                <c:pt idx="423">
                  <c:v>4.2761176492375062E-2</c:v>
                </c:pt>
                <c:pt idx="424">
                  <c:v>4.3512488603844129E-2</c:v>
                </c:pt>
                <c:pt idx="425">
                  <c:v>4.3410780890964729E-2</c:v>
                </c:pt>
                <c:pt idx="426">
                  <c:v>4.3734586951628213E-2</c:v>
                </c:pt>
                <c:pt idx="427">
                  <c:v>4.4441802420317332E-2</c:v>
                </c:pt>
                <c:pt idx="428">
                  <c:v>4.449080670077038E-2</c:v>
                </c:pt>
                <c:pt idx="429">
                  <c:v>4.3595656084265265E-2</c:v>
                </c:pt>
                <c:pt idx="430">
                  <c:v>4.2101176377746852E-2</c:v>
                </c:pt>
                <c:pt idx="431">
                  <c:v>4.1346236182059924E-2</c:v>
                </c:pt>
                <c:pt idx="432">
                  <c:v>4.1283016309508751E-2</c:v>
                </c:pt>
                <c:pt idx="433">
                  <c:v>4.0689923570436402E-2</c:v>
                </c:pt>
                <c:pt idx="434">
                  <c:v>4.0736596693686622E-2</c:v>
                </c:pt>
                <c:pt idx="435">
                  <c:v>3.9961868641664337E-2</c:v>
                </c:pt>
                <c:pt idx="436">
                  <c:v>3.9760917802983534E-2</c:v>
                </c:pt>
                <c:pt idx="437">
                  <c:v>3.9613027195041221E-2</c:v>
                </c:pt>
                <c:pt idx="438">
                  <c:v>4.1373346369218508E-2</c:v>
                </c:pt>
                <c:pt idx="439">
                  <c:v>4.1595142380195939E-2</c:v>
                </c:pt>
                <c:pt idx="440">
                  <c:v>4.2048881154921315E-2</c:v>
                </c:pt>
                <c:pt idx="441">
                  <c:v>4.1364355779847518E-2</c:v>
                </c:pt>
                <c:pt idx="442">
                  <c:v>4.1300307687426638E-2</c:v>
                </c:pt>
                <c:pt idx="443">
                  <c:v>4.2467232954780394E-2</c:v>
                </c:pt>
                <c:pt idx="444">
                  <c:v>4.2682835514561347E-2</c:v>
                </c:pt>
                <c:pt idx="445">
                  <c:v>4.3502149020064558E-2</c:v>
                </c:pt>
                <c:pt idx="446">
                  <c:v>4.2507063290243931E-2</c:v>
                </c:pt>
                <c:pt idx="447">
                  <c:v>4.2600367996794869E-2</c:v>
                </c:pt>
                <c:pt idx="448">
                  <c:v>4.2487098485484161E-2</c:v>
                </c:pt>
                <c:pt idx="449">
                  <c:v>4.2788847673072485E-2</c:v>
                </c:pt>
                <c:pt idx="450">
                  <c:v>4.2672590893610612E-2</c:v>
                </c:pt>
                <c:pt idx="451">
                  <c:v>4.2606826501369849E-2</c:v>
                </c:pt>
                <c:pt idx="452">
                  <c:v>4.1877421506065653E-2</c:v>
                </c:pt>
                <c:pt idx="453">
                  <c:v>4.1812056912731689E-2</c:v>
                </c:pt>
                <c:pt idx="454">
                  <c:v>4.124565400726516E-2</c:v>
                </c:pt>
                <c:pt idx="455">
                  <c:v>4.1240891312366364E-2</c:v>
                </c:pt>
                <c:pt idx="456">
                  <c:v>4.0690342530295458E-2</c:v>
                </c:pt>
                <c:pt idx="457">
                  <c:v>4.1294754708853125E-2</c:v>
                </c:pt>
                <c:pt idx="458">
                  <c:v>4.2083012373759367E-2</c:v>
                </c:pt>
                <c:pt idx="459">
                  <c:v>4.2799572454037906E-2</c:v>
                </c:pt>
                <c:pt idx="460">
                  <c:v>4.2328126379003239E-2</c:v>
                </c:pt>
                <c:pt idx="461">
                  <c:v>4.156719991035069E-2</c:v>
                </c:pt>
                <c:pt idx="462">
                  <c:v>4.1027789963248164E-2</c:v>
                </c:pt>
                <c:pt idx="463">
                  <c:v>4.0510859720520619E-2</c:v>
                </c:pt>
                <c:pt idx="464">
                  <c:v>4.0252398966252989E-2</c:v>
                </c:pt>
                <c:pt idx="465">
                  <c:v>3.9615971223265926E-2</c:v>
                </c:pt>
                <c:pt idx="466">
                  <c:v>3.9525698056906984E-2</c:v>
                </c:pt>
                <c:pt idx="467">
                  <c:v>3.9454133954759989E-2</c:v>
                </c:pt>
                <c:pt idx="468">
                  <c:v>3.9389118087857333E-2</c:v>
                </c:pt>
                <c:pt idx="469">
                  <c:v>3.9592397812153332E-2</c:v>
                </c:pt>
                <c:pt idx="470">
                  <c:v>3.8737413350242444E-2</c:v>
                </c:pt>
                <c:pt idx="471">
                  <c:v>3.8723853129873163E-2</c:v>
                </c:pt>
                <c:pt idx="472">
                  <c:v>3.7827933375969701E-2</c:v>
                </c:pt>
                <c:pt idx="473">
                  <c:v>3.8061524948468942E-2</c:v>
                </c:pt>
                <c:pt idx="474">
                  <c:v>3.7527421993387884E-2</c:v>
                </c:pt>
                <c:pt idx="475">
                  <c:v>3.7937557869249607E-2</c:v>
                </c:pt>
                <c:pt idx="476">
                  <c:v>3.7833517215861569E-2</c:v>
                </c:pt>
                <c:pt idx="477">
                  <c:v>3.7936575957645755E-2</c:v>
                </c:pt>
                <c:pt idx="478">
                  <c:v>3.7707425897799803E-2</c:v>
                </c:pt>
                <c:pt idx="479">
                  <c:v>3.7040432844487409E-2</c:v>
                </c:pt>
                <c:pt idx="480">
                  <c:v>3.6298892697557768E-2</c:v>
                </c:pt>
                <c:pt idx="481">
                  <c:v>3.5501034831907495E-2</c:v>
                </c:pt>
                <c:pt idx="482">
                  <c:v>3.6045498922642194E-2</c:v>
                </c:pt>
                <c:pt idx="483">
                  <c:v>3.6127010082259631E-2</c:v>
                </c:pt>
                <c:pt idx="484">
                  <c:v>3.6801127680278933E-2</c:v>
                </c:pt>
                <c:pt idx="485">
                  <c:v>3.5865290053072769E-2</c:v>
                </c:pt>
                <c:pt idx="486">
                  <c:v>3.6144114428473213E-2</c:v>
                </c:pt>
                <c:pt idx="487">
                  <c:v>3.6280780601873133E-2</c:v>
                </c:pt>
                <c:pt idx="488">
                  <c:v>3.6915657713796401E-2</c:v>
                </c:pt>
                <c:pt idx="489">
                  <c:v>3.6870845595048579E-2</c:v>
                </c:pt>
                <c:pt idx="490">
                  <c:v>3.5707670189786232E-2</c:v>
                </c:pt>
                <c:pt idx="491">
                  <c:v>3.5610975147537444E-2</c:v>
                </c:pt>
                <c:pt idx="492">
                  <c:v>3.6419006231846629E-2</c:v>
                </c:pt>
                <c:pt idx="493">
                  <c:v>3.706879855255537E-2</c:v>
                </c:pt>
                <c:pt idx="494">
                  <c:v>3.6855794936907306E-2</c:v>
                </c:pt>
                <c:pt idx="495">
                  <c:v>3.582066940777863E-2</c:v>
                </c:pt>
                <c:pt idx="496">
                  <c:v>3.6659157193376285E-2</c:v>
                </c:pt>
                <c:pt idx="497">
                  <c:v>3.7214088985708098E-2</c:v>
                </c:pt>
                <c:pt idx="498">
                  <c:v>3.7197953741697258E-2</c:v>
                </c:pt>
                <c:pt idx="499">
                  <c:v>3.6730091168015996E-2</c:v>
                </c:pt>
                <c:pt idx="500">
                  <c:v>3.6783143003476328E-2</c:v>
                </c:pt>
                <c:pt idx="501">
                  <c:v>3.7402762942236344E-2</c:v>
                </c:pt>
                <c:pt idx="502">
                  <c:v>3.775791931381791E-2</c:v>
                </c:pt>
                <c:pt idx="503">
                  <c:v>3.7425119750159601E-2</c:v>
                </c:pt>
                <c:pt idx="504">
                  <c:v>3.7343632931555466E-2</c:v>
                </c:pt>
                <c:pt idx="505">
                  <c:v>3.6893465625281834E-2</c:v>
                </c:pt>
                <c:pt idx="506">
                  <c:v>3.7058900937540669E-2</c:v>
                </c:pt>
                <c:pt idx="507">
                  <c:v>3.6415248954608098E-2</c:v>
                </c:pt>
                <c:pt idx="508">
                  <c:v>3.618725883412368E-2</c:v>
                </c:pt>
                <c:pt idx="509">
                  <c:v>3.5771126895446148E-2</c:v>
                </c:pt>
                <c:pt idx="510">
                  <c:v>3.6301646172824047E-2</c:v>
                </c:pt>
                <c:pt idx="511">
                  <c:v>3.6252227580953027E-2</c:v>
                </c:pt>
                <c:pt idx="512">
                  <c:v>3.6785689730408695E-2</c:v>
                </c:pt>
                <c:pt idx="513">
                  <c:v>3.706117951176003E-2</c:v>
                </c:pt>
                <c:pt idx="514">
                  <c:v>3.7750029392399402E-2</c:v>
                </c:pt>
                <c:pt idx="515">
                  <c:v>3.8063166644280104E-2</c:v>
                </c:pt>
                <c:pt idx="516">
                  <c:v>3.8602409052978334E-2</c:v>
                </c:pt>
                <c:pt idx="517">
                  <c:v>3.8570951545801278E-2</c:v>
                </c:pt>
                <c:pt idx="518">
                  <c:v>3.8246249913236545E-2</c:v>
                </c:pt>
                <c:pt idx="519">
                  <c:v>3.8138109543931632E-2</c:v>
                </c:pt>
                <c:pt idx="520">
                  <c:v>3.7825591823024647E-2</c:v>
                </c:pt>
                <c:pt idx="521">
                  <c:v>3.7840321815838567E-2</c:v>
                </c:pt>
                <c:pt idx="522">
                  <c:v>3.7237807228841749E-2</c:v>
                </c:pt>
                <c:pt idx="523">
                  <c:v>3.7395811738678598E-2</c:v>
                </c:pt>
                <c:pt idx="524">
                  <c:v>3.7361086179013014E-2</c:v>
                </c:pt>
                <c:pt idx="525">
                  <c:v>3.7287439184295022E-2</c:v>
                </c:pt>
                <c:pt idx="526">
                  <c:v>3.6923721670815299E-2</c:v>
                </c:pt>
                <c:pt idx="527">
                  <c:v>3.6486520989745835E-2</c:v>
                </c:pt>
                <c:pt idx="528">
                  <c:v>3.5434772767799071E-2</c:v>
                </c:pt>
                <c:pt idx="529">
                  <c:v>3.5218255564872396E-2</c:v>
                </c:pt>
                <c:pt idx="530">
                  <c:v>3.4727215983244894E-2</c:v>
                </c:pt>
                <c:pt idx="531">
                  <c:v>3.51196273554788E-2</c:v>
                </c:pt>
                <c:pt idx="532">
                  <c:v>3.5188034341355666E-2</c:v>
                </c:pt>
                <c:pt idx="533">
                  <c:v>3.5716506775578631E-2</c:v>
                </c:pt>
                <c:pt idx="534">
                  <c:v>3.5958180450342575E-2</c:v>
                </c:pt>
                <c:pt idx="535">
                  <c:v>3.5756267770344324E-2</c:v>
                </c:pt>
                <c:pt idx="536">
                  <c:v>3.5609999573653357E-2</c:v>
                </c:pt>
                <c:pt idx="537">
                  <c:v>3.5055460797180034E-2</c:v>
                </c:pt>
                <c:pt idx="538">
                  <c:v>3.4096188812728349E-2</c:v>
                </c:pt>
                <c:pt idx="539">
                  <c:v>3.3767028571211229E-2</c:v>
                </c:pt>
                <c:pt idx="540">
                  <c:v>3.4643617315191423E-2</c:v>
                </c:pt>
                <c:pt idx="541">
                  <c:v>3.5120113886037703E-2</c:v>
                </c:pt>
                <c:pt idx="542">
                  <c:v>3.5214297894027059E-2</c:v>
                </c:pt>
                <c:pt idx="543">
                  <c:v>3.4651711634455913E-2</c:v>
                </c:pt>
                <c:pt idx="544">
                  <c:v>3.4319464721198047E-2</c:v>
                </c:pt>
                <c:pt idx="545">
                  <c:v>3.4184172145363949E-2</c:v>
                </c:pt>
                <c:pt idx="546">
                  <c:v>3.3509368690244234E-2</c:v>
                </c:pt>
                <c:pt idx="547">
                  <c:v>3.3189661373102697E-2</c:v>
                </c:pt>
                <c:pt idx="548">
                  <c:v>3.330310210129795E-2</c:v>
                </c:pt>
                <c:pt idx="549">
                  <c:v>3.297869897182857E-2</c:v>
                </c:pt>
                <c:pt idx="550">
                  <c:v>3.3564462051373416E-2</c:v>
                </c:pt>
                <c:pt idx="551">
                  <c:v>3.2790761848544299E-2</c:v>
                </c:pt>
                <c:pt idx="552">
                  <c:v>3.2549748577581729E-2</c:v>
                </c:pt>
                <c:pt idx="553">
                  <c:v>3.2446109374296206E-2</c:v>
                </c:pt>
                <c:pt idx="554">
                  <c:v>3.317685318602337E-2</c:v>
                </c:pt>
                <c:pt idx="555">
                  <c:v>3.3588727894785141E-2</c:v>
                </c:pt>
                <c:pt idx="556">
                  <c:v>3.3501195968256285E-2</c:v>
                </c:pt>
                <c:pt idx="557">
                  <c:v>3.3395496707465305E-2</c:v>
                </c:pt>
                <c:pt idx="558">
                  <c:v>3.3228234943370107E-2</c:v>
                </c:pt>
                <c:pt idx="559">
                  <c:v>3.2938313809825238E-2</c:v>
                </c:pt>
                <c:pt idx="560">
                  <c:v>3.0997749527534493E-2</c:v>
                </c:pt>
                <c:pt idx="561">
                  <c:v>3.0986262547434446E-2</c:v>
                </c:pt>
                <c:pt idx="562">
                  <c:v>3.0607459688607664E-2</c:v>
                </c:pt>
                <c:pt idx="563">
                  <c:v>3.2253418623939628E-2</c:v>
                </c:pt>
                <c:pt idx="564">
                  <c:v>3.2037173912665397E-2</c:v>
                </c:pt>
                <c:pt idx="565">
                  <c:v>3.1925056355054486E-2</c:v>
                </c:pt>
                <c:pt idx="566">
                  <c:v>3.1377688172942474E-2</c:v>
                </c:pt>
                <c:pt idx="567">
                  <c:v>3.1388294387876249E-2</c:v>
                </c:pt>
                <c:pt idx="568">
                  <c:v>3.2203424083200816E-2</c:v>
                </c:pt>
                <c:pt idx="569">
                  <c:v>3.1996779486080429E-2</c:v>
                </c:pt>
                <c:pt idx="570">
                  <c:v>3.2567454892220814E-2</c:v>
                </c:pt>
                <c:pt idx="571">
                  <c:v>3.3124180701957794E-2</c:v>
                </c:pt>
                <c:pt idx="572">
                  <c:v>3.3839797408775067E-2</c:v>
                </c:pt>
                <c:pt idx="573">
                  <c:v>3.4163786198266884E-2</c:v>
                </c:pt>
                <c:pt idx="574">
                  <c:v>3.3102283050235402E-2</c:v>
                </c:pt>
                <c:pt idx="575">
                  <c:v>3.288935449649865E-2</c:v>
                </c:pt>
                <c:pt idx="576">
                  <c:v>3.260551946383871E-2</c:v>
                </c:pt>
                <c:pt idx="577">
                  <c:v>3.2253500959401452E-2</c:v>
                </c:pt>
                <c:pt idx="578">
                  <c:v>3.1192605581718821E-2</c:v>
                </c:pt>
                <c:pt idx="579">
                  <c:v>3.1225662083460348E-2</c:v>
                </c:pt>
                <c:pt idx="580">
                  <c:v>3.1254549296811936E-2</c:v>
                </c:pt>
                <c:pt idx="581">
                  <c:v>3.1870939978263783E-2</c:v>
                </c:pt>
                <c:pt idx="582">
                  <c:v>3.0898283163639139E-2</c:v>
                </c:pt>
                <c:pt idx="583">
                  <c:v>3.0485109080258938E-2</c:v>
                </c:pt>
                <c:pt idx="584">
                  <c:v>2.9653697667627561E-2</c:v>
                </c:pt>
                <c:pt idx="585">
                  <c:v>3.1285223660571043E-2</c:v>
                </c:pt>
                <c:pt idx="586">
                  <c:v>3.1659860122125467E-2</c:v>
                </c:pt>
                <c:pt idx="587">
                  <c:v>3.314970320664163E-2</c:v>
                </c:pt>
                <c:pt idx="588">
                  <c:v>3.1352653102003039E-2</c:v>
                </c:pt>
                <c:pt idx="589">
                  <c:v>3.1405701992480634E-2</c:v>
                </c:pt>
                <c:pt idx="590">
                  <c:v>2.979325903580023E-2</c:v>
                </c:pt>
                <c:pt idx="591">
                  <c:v>2.9934891242462004E-2</c:v>
                </c:pt>
                <c:pt idx="592">
                  <c:v>2.9580664086036153E-2</c:v>
                </c:pt>
                <c:pt idx="593">
                  <c:v>2.9462326770719569E-2</c:v>
                </c:pt>
                <c:pt idx="594">
                  <c:v>2.9318699057997302E-2</c:v>
                </c:pt>
                <c:pt idx="595">
                  <c:v>2.89475552142965E-2</c:v>
                </c:pt>
                <c:pt idx="596">
                  <c:v>2.9928952119098125E-2</c:v>
                </c:pt>
                <c:pt idx="597">
                  <c:v>2.9887230235072008E-2</c:v>
                </c:pt>
                <c:pt idx="598">
                  <c:v>3.0173840519296447E-2</c:v>
                </c:pt>
                <c:pt idx="599">
                  <c:v>3.0232941556255982E-2</c:v>
                </c:pt>
                <c:pt idx="600">
                  <c:v>3.0654141285676714E-2</c:v>
                </c:pt>
                <c:pt idx="601">
                  <c:v>3.2150796071097672E-2</c:v>
                </c:pt>
                <c:pt idx="602">
                  <c:v>3.29742971090961E-2</c:v>
                </c:pt>
                <c:pt idx="603">
                  <c:v>3.3402709113289707E-2</c:v>
                </c:pt>
                <c:pt idx="604">
                  <c:v>3.2079718130316258E-2</c:v>
                </c:pt>
                <c:pt idx="605">
                  <c:v>3.1212520694361163E-2</c:v>
                </c:pt>
                <c:pt idx="606">
                  <c:v>3.0979477450404625E-2</c:v>
                </c:pt>
                <c:pt idx="607">
                  <c:v>3.1384607647620584E-2</c:v>
                </c:pt>
                <c:pt idx="608">
                  <c:v>3.2708629985056782E-2</c:v>
                </c:pt>
                <c:pt idx="609">
                  <c:v>3.2283164092962162E-2</c:v>
                </c:pt>
                <c:pt idx="610">
                  <c:v>3.232820764686032E-2</c:v>
                </c:pt>
                <c:pt idx="611">
                  <c:v>3.04252959843751E-2</c:v>
                </c:pt>
                <c:pt idx="612">
                  <c:v>3.0438136625236822E-2</c:v>
                </c:pt>
                <c:pt idx="613">
                  <c:v>3.01018184142504E-2</c:v>
                </c:pt>
                <c:pt idx="614">
                  <c:v>3.1725085519277711E-2</c:v>
                </c:pt>
                <c:pt idx="615">
                  <c:v>3.1892151233191314E-2</c:v>
                </c:pt>
                <c:pt idx="616">
                  <c:v>3.1669768670076655E-2</c:v>
                </c:pt>
                <c:pt idx="617">
                  <c:v>3.0896992793692919E-2</c:v>
                </c:pt>
                <c:pt idx="618">
                  <c:v>3.101937705901606E-2</c:v>
                </c:pt>
                <c:pt idx="619">
                  <c:v>3.1602108099685118E-2</c:v>
                </c:pt>
                <c:pt idx="620">
                  <c:v>3.1300225837497204E-2</c:v>
                </c:pt>
                <c:pt idx="621">
                  <c:v>3.1363658671786816E-2</c:v>
                </c:pt>
                <c:pt idx="622">
                  <c:v>3.1840650284581211E-2</c:v>
                </c:pt>
                <c:pt idx="623">
                  <c:v>3.1724905876258848E-2</c:v>
                </c:pt>
                <c:pt idx="624">
                  <c:v>3.1498580176378799E-2</c:v>
                </c:pt>
                <c:pt idx="625">
                  <c:v>3.2155161642536866E-2</c:v>
                </c:pt>
                <c:pt idx="626">
                  <c:v>3.2234867733983354E-2</c:v>
                </c:pt>
                <c:pt idx="627">
                  <c:v>3.1935342284546385E-2</c:v>
                </c:pt>
                <c:pt idx="628">
                  <c:v>3.0741043832437736E-2</c:v>
                </c:pt>
                <c:pt idx="629">
                  <c:v>3.0173365160356833E-2</c:v>
                </c:pt>
                <c:pt idx="630">
                  <c:v>3.0201306919731625E-2</c:v>
                </c:pt>
                <c:pt idx="631">
                  <c:v>3.0264053554126976E-2</c:v>
                </c:pt>
                <c:pt idx="632">
                  <c:v>3.0571819478125203E-2</c:v>
                </c:pt>
                <c:pt idx="633">
                  <c:v>3.048199449931463E-2</c:v>
                </c:pt>
                <c:pt idx="634">
                  <c:v>2.9706360189765645E-2</c:v>
                </c:pt>
                <c:pt idx="635">
                  <c:v>2.9773090265088314E-2</c:v>
                </c:pt>
                <c:pt idx="636">
                  <c:v>3.1368650258563495E-2</c:v>
                </c:pt>
                <c:pt idx="637">
                  <c:v>3.2075646118608574E-2</c:v>
                </c:pt>
                <c:pt idx="638">
                  <c:v>3.3958556239155495E-2</c:v>
                </c:pt>
                <c:pt idx="639">
                  <c:v>3.3076575352764231E-2</c:v>
                </c:pt>
                <c:pt idx="640">
                  <c:v>3.3428675516977778E-2</c:v>
                </c:pt>
                <c:pt idx="641">
                  <c:v>3.1405834124472169E-2</c:v>
                </c:pt>
                <c:pt idx="642">
                  <c:v>3.1963530623303989E-2</c:v>
                </c:pt>
                <c:pt idx="643">
                  <c:v>3.1874387399471932E-2</c:v>
                </c:pt>
                <c:pt idx="644">
                  <c:v>3.3394254183965098E-2</c:v>
                </c:pt>
                <c:pt idx="645">
                  <c:v>3.3657575047065548E-2</c:v>
                </c:pt>
                <c:pt idx="646">
                  <c:v>3.4019123056366472E-2</c:v>
                </c:pt>
                <c:pt idx="647">
                  <c:v>3.3886212803656134E-2</c:v>
                </c:pt>
                <c:pt idx="648">
                  <c:v>3.3478909360052121E-2</c:v>
                </c:pt>
                <c:pt idx="649">
                  <c:v>3.3720274447644041E-2</c:v>
                </c:pt>
                <c:pt idx="650">
                  <c:v>3.2792966320741718E-2</c:v>
                </c:pt>
                <c:pt idx="651">
                  <c:v>3.2129935710487049E-2</c:v>
                </c:pt>
                <c:pt idx="652">
                  <c:v>3.0420977959278967E-2</c:v>
                </c:pt>
                <c:pt idx="653">
                  <c:v>3.044493290474623E-2</c:v>
                </c:pt>
                <c:pt idx="654">
                  <c:v>3.0801234673343687E-2</c:v>
                </c:pt>
                <c:pt idx="655">
                  <c:v>3.1140325400578196E-2</c:v>
                </c:pt>
                <c:pt idx="656">
                  <c:v>3.0488328924827692E-2</c:v>
                </c:pt>
                <c:pt idx="657">
                  <c:v>3.0306675560380514E-2</c:v>
                </c:pt>
                <c:pt idx="658">
                  <c:v>3.0404157832256463E-2</c:v>
                </c:pt>
                <c:pt idx="659">
                  <c:v>3.0903088898657005E-2</c:v>
                </c:pt>
                <c:pt idx="660">
                  <c:v>3.020221688977312E-2</c:v>
                </c:pt>
                <c:pt idx="661">
                  <c:v>3.0191561536425576E-2</c:v>
                </c:pt>
                <c:pt idx="662">
                  <c:v>2.955083290126051E-2</c:v>
                </c:pt>
                <c:pt idx="663">
                  <c:v>3.0276839929967578E-2</c:v>
                </c:pt>
                <c:pt idx="664">
                  <c:v>3.0237754040998432E-2</c:v>
                </c:pt>
                <c:pt idx="665">
                  <c:v>3.0075009322740237E-2</c:v>
                </c:pt>
                <c:pt idx="666">
                  <c:v>2.9374767397429821E-2</c:v>
                </c:pt>
                <c:pt idx="667">
                  <c:v>2.8720114858124798E-2</c:v>
                </c:pt>
                <c:pt idx="668">
                  <c:v>2.8738810624819294E-2</c:v>
                </c:pt>
                <c:pt idx="669">
                  <c:v>2.8174370694640811E-2</c:v>
                </c:pt>
                <c:pt idx="670">
                  <c:v>2.775542423859095E-2</c:v>
                </c:pt>
                <c:pt idx="671">
                  <c:v>2.7584828060558373E-2</c:v>
                </c:pt>
                <c:pt idx="672">
                  <c:v>2.6681499382958006E-2</c:v>
                </c:pt>
                <c:pt idx="673">
                  <c:v>2.6719276850861565E-2</c:v>
                </c:pt>
                <c:pt idx="674">
                  <c:v>2.7400367631896527E-2</c:v>
                </c:pt>
                <c:pt idx="675">
                  <c:v>2.857400568150209E-2</c:v>
                </c:pt>
                <c:pt idx="676">
                  <c:v>2.8905937074898622E-2</c:v>
                </c:pt>
                <c:pt idx="677">
                  <c:v>2.8967964262538736E-2</c:v>
                </c:pt>
                <c:pt idx="678">
                  <c:v>2.8791014048609207E-2</c:v>
                </c:pt>
                <c:pt idx="679">
                  <c:v>2.9302233639086312E-2</c:v>
                </c:pt>
                <c:pt idx="680">
                  <c:v>2.8756219709177282E-2</c:v>
                </c:pt>
                <c:pt idx="681">
                  <c:v>2.8656400996027315E-2</c:v>
                </c:pt>
                <c:pt idx="682">
                  <c:v>2.8620355357647221E-2</c:v>
                </c:pt>
                <c:pt idx="683">
                  <c:v>2.8376951846382364E-2</c:v>
                </c:pt>
                <c:pt idx="684">
                  <c:v>2.8664833153673575E-2</c:v>
                </c:pt>
                <c:pt idx="685">
                  <c:v>2.7551987934259826E-2</c:v>
                </c:pt>
                <c:pt idx="686">
                  <c:v>2.7759943700496392E-2</c:v>
                </c:pt>
                <c:pt idx="687">
                  <c:v>2.795576984676278E-2</c:v>
                </c:pt>
                <c:pt idx="688">
                  <c:v>2.8697095611133955E-2</c:v>
                </c:pt>
                <c:pt idx="689">
                  <c:v>2.8203560272329425E-2</c:v>
                </c:pt>
                <c:pt idx="690">
                  <c:v>2.7440887250395025E-2</c:v>
                </c:pt>
                <c:pt idx="691">
                  <c:v>2.7677755164902479E-2</c:v>
                </c:pt>
                <c:pt idx="692">
                  <c:v>2.8307684537164039E-2</c:v>
                </c:pt>
                <c:pt idx="693">
                  <c:v>2.9269473720490793E-2</c:v>
                </c:pt>
                <c:pt idx="694">
                  <c:v>2.882670014846107E-2</c:v>
                </c:pt>
                <c:pt idx="695">
                  <c:v>2.8128849762328583E-2</c:v>
                </c:pt>
                <c:pt idx="696">
                  <c:v>2.7095689219654703E-2</c:v>
                </c:pt>
                <c:pt idx="697">
                  <c:v>2.7369757573894798E-2</c:v>
                </c:pt>
                <c:pt idx="698">
                  <c:v>2.7789853747156212E-2</c:v>
                </c:pt>
                <c:pt idx="699">
                  <c:v>2.7827689963032073E-2</c:v>
                </c:pt>
                <c:pt idx="700">
                  <c:v>2.7967163840549033E-2</c:v>
                </c:pt>
                <c:pt idx="701">
                  <c:v>2.8095639229862551E-2</c:v>
                </c:pt>
                <c:pt idx="702">
                  <c:v>2.8261373318003057E-2</c:v>
                </c:pt>
                <c:pt idx="703">
                  <c:v>2.7982909548933083E-2</c:v>
                </c:pt>
                <c:pt idx="704">
                  <c:v>2.7835882877516944E-2</c:v>
                </c:pt>
                <c:pt idx="705">
                  <c:v>2.7309448585931023E-2</c:v>
                </c:pt>
                <c:pt idx="706">
                  <c:v>2.7161455334845475E-2</c:v>
                </c:pt>
                <c:pt idx="707">
                  <c:v>2.6394816856801968E-2</c:v>
                </c:pt>
                <c:pt idx="708">
                  <c:v>2.6801057593906136E-2</c:v>
                </c:pt>
                <c:pt idx="709">
                  <c:v>2.5492097471801339E-2</c:v>
                </c:pt>
                <c:pt idx="710">
                  <c:v>2.5229199564950899E-2</c:v>
                </c:pt>
                <c:pt idx="711">
                  <c:v>2.4758615989176922E-2</c:v>
                </c:pt>
                <c:pt idx="712">
                  <c:v>2.5556779937161832E-2</c:v>
                </c:pt>
                <c:pt idx="713">
                  <c:v>2.5638877116861889E-2</c:v>
                </c:pt>
                <c:pt idx="714">
                  <c:v>2.6183625152145586E-2</c:v>
                </c:pt>
                <c:pt idx="715">
                  <c:v>2.6208506120341233E-2</c:v>
                </c:pt>
                <c:pt idx="716">
                  <c:v>2.6409838671027336E-2</c:v>
                </c:pt>
                <c:pt idx="717">
                  <c:v>2.643039301473174E-2</c:v>
                </c:pt>
                <c:pt idx="718">
                  <c:v>2.6755633577339202E-2</c:v>
                </c:pt>
                <c:pt idx="719">
                  <c:v>2.6653305451041581E-2</c:v>
                </c:pt>
                <c:pt idx="720">
                  <c:v>2.6656690743289167E-2</c:v>
                </c:pt>
                <c:pt idx="721">
                  <c:v>2.7129292129204025E-2</c:v>
                </c:pt>
                <c:pt idx="722">
                  <c:v>2.6998500692465014E-2</c:v>
                </c:pt>
                <c:pt idx="723">
                  <c:v>2.8980120211756694E-2</c:v>
                </c:pt>
                <c:pt idx="724">
                  <c:v>2.8521342510999817E-2</c:v>
                </c:pt>
                <c:pt idx="725">
                  <c:v>2.94355514312994E-2</c:v>
                </c:pt>
                <c:pt idx="726">
                  <c:v>2.913356953864317E-2</c:v>
                </c:pt>
                <c:pt idx="727">
                  <c:v>2.9387121210432948E-2</c:v>
                </c:pt>
                <c:pt idx="728">
                  <c:v>3.0344417662835476E-2</c:v>
                </c:pt>
                <c:pt idx="729">
                  <c:v>3.0434981869672455E-2</c:v>
                </c:pt>
                <c:pt idx="730">
                  <c:v>3.1464174437964856E-2</c:v>
                </c:pt>
                <c:pt idx="731">
                  <c:v>3.2512202095635698E-2</c:v>
                </c:pt>
                <c:pt idx="732">
                  <c:v>3.2507164055737441E-2</c:v>
                </c:pt>
                <c:pt idx="733">
                  <c:v>3.3061588968231963E-2</c:v>
                </c:pt>
                <c:pt idx="734">
                  <c:v>3.2387644746750856E-2</c:v>
                </c:pt>
                <c:pt idx="735">
                  <c:v>3.1634945497049878E-2</c:v>
                </c:pt>
                <c:pt idx="736">
                  <c:v>3.0611164185782091E-2</c:v>
                </c:pt>
                <c:pt idx="737">
                  <c:v>2.997565553592935E-2</c:v>
                </c:pt>
                <c:pt idx="738">
                  <c:v>2.9070987925627751E-2</c:v>
                </c:pt>
                <c:pt idx="739">
                  <c:v>2.8073745324619273E-2</c:v>
                </c:pt>
                <c:pt idx="740">
                  <c:v>2.8290648756684435E-2</c:v>
                </c:pt>
                <c:pt idx="741">
                  <c:v>2.7944086909841469E-2</c:v>
                </c:pt>
                <c:pt idx="742">
                  <c:v>2.8193418427560249E-2</c:v>
                </c:pt>
                <c:pt idx="743">
                  <c:v>2.7344112988488763E-2</c:v>
                </c:pt>
                <c:pt idx="744">
                  <c:v>2.7193638368429598E-2</c:v>
                </c:pt>
                <c:pt idx="745">
                  <c:v>2.6501907163336055E-2</c:v>
                </c:pt>
                <c:pt idx="746">
                  <c:v>2.5582836727606223E-2</c:v>
                </c:pt>
                <c:pt idx="747">
                  <c:v>2.5664797215188929E-2</c:v>
                </c:pt>
                <c:pt idx="748">
                  <c:v>2.5852702306576908E-2</c:v>
                </c:pt>
                <c:pt idx="749">
                  <c:v>2.6229124783943247E-2</c:v>
                </c:pt>
                <c:pt idx="750">
                  <c:v>2.5828781490936651E-2</c:v>
                </c:pt>
                <c:pt idx="751">
                  <c:v>2.6134147345795139E-2</c:v>
                </c:pt>
                <c:pt idx="752">
                  <c:v>2.5606297991825493E-2</c:v>
                </c:pt>
                <c:pt idx="753">
                  <c:v>2.6167657151605652E-2</c:v>
                </c:pt>
                <c:pt idx="754">
                  <c:v>2.5834828015151343E-2</c:v>
                </c:pt>
                <c:pt idx="755">
                  <c:v>2.6140372973860192E-2</c:v>
                </c:pt>
                <c:pt idx="756">
                  <c:v>2.4786530499878251E-2</c:v>
                </c:pt>
                <c:pt idx="757">
                  <c:v>2.384967751891004E-2</c:v>
                </c:pt>
                <c:pt idx="758">
                  <c:v>2.38665392708899E-2</c:v>
                </c:pt>
                <c:pt idx="759">
                  <c:v>2.4710930771146833E-2</c:v>
                </c:pt>
                <c:pt idx="760">
                  <c:v>2.6590694169736129E-2</c:v>
                </c:pt>
                <c:pt idx="761">
                  <c:v>2.6309074040537409E-2</c:v>
                </c:pt>
                <c:pt idx="762">
                  <c:v>2.6316036268000446E-2</c:v>
                </c:pt>
                <c:pt idx="763">
                  <c:v>2.5439794810887692E-2</c:v>
                </c:pt>
                <c:pt idx="764">
                  <c:v>2.5518770317610729E-2</c:v>
                </c:pt>
                <c:pt idx="765">
                  <c:v>2.5035556140676919E-2</c:v>
                </c:pt>
                <c:pt idx="766">
                  <c:v>2.4729098837628274E-2</c:v>
                </c:pt>
                <c:pt idx="767">
                  <c:v>2.4168321463757237E-2</c:v>
                </c:pt>
                <c:pt idx="768">
                  <c:v>2.4130709387080781E-2</c:v>
                </c:pt>
                <c:pt idx="769">
                  <c:v>2.3893779006979931E-2</c:v>
                </c:pt>
                <c:pt idx="770">
                  <c:v>2.4076145788089916E-2</c:v>
                </c:pt>
                <c:pt idx="771">
                  <c:v>2.4173850303624924E-2</c:v>
                </c:pt>
                <c:pt idx="772">
                  <c:v>2.494899078687397E-2</c:v>
                </c:pt>
                <c:pt idx="773">
                  <c:v>2.5309978070241795E-2</c:v>
                </c:pt>
                <c:pt idx="774">
                  <c:v>2.6399617114204178E-2</c:v>
                </c:pt>
                <c:pt idx="775">
                  <c:v>2.5535137509831152E-2</c:v>
                </c:pt>
                <c:pt idx="776">
                  <c:v>2.5290304351878803E-2</c:v>
                </c:pt>
                <c:pt idx="777">
                  <c:v>2.4273210194475991E-2</c:v>
                </c:pt>
                <c:pt idx="778">
                  <c:v>2.4546021430768995E-2</c:v>
                </c:pt>
                <c:pt idx="779">
                  <c:v>2.5009324339477793E-2</c:v>
                </c:pt>
                <c:pt idx="780">
                  <c:v>2.5296537518859571E-2</c:v>
                </c:pt>
                <c:pt idx="781">
                  <c:v>2.4700681371770238E-2</c:v>
                </c:pt>
                <c:pt idx="782">
                  <c:v>2.3781761154103936E-2</c:v>
                </c:pt>
                <c:pt idx="783">
                  <c:v>2.3822238539508909E-2</c:v>
                </c:pt>
                <c:pt idx="784">
                  <c:v>2.4533087019429651E-2</c:v>
                </c:pt>
                <c:pt idx="785">
                  <c:v>2.4881158642456231E-2</c:v>
                </c:pt>
                <c:pt idx="786">
                  <c:v>2.3220174676839123E-2</c:v>
                </c:pt>
                <c:pt idx="787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96-4FFF-B53F-E72445017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798976"/>
        <c:axId val="224808960"/>
      </c:lineChart>
      <c:lineChart>
        <c:grouping val="standard"/>
        <c:varyColors val="0"/>
        <c:ser>
          <c:idx val="1"/>
          <c:order val="1"/>
          <c:tx>
            <c:v>_FRBDummySeriesRight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C0504D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0B96-4FFF-B53F-E72445017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812032"/>
        <c:axId val="224810496"/>
      </c:lineChart>
      <c:dateAx>
        <c:axId val="224798976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808960"/>
        <c:crosses val="min"/>
        <c:auto val="1"/>
        <c:lblOffset val="100"/>
        <c:baseTimeUnit val="months"/>
        <c:majorUnit val="5"/>
        <c:majorTimeUnit val="years"/>
      </c:dateAx>
      <c:valAx>
        <c:axId val="224808960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798976"/>
        <c:crosses val="autoZero"/>
        <c:crossBetween val="between"/>
      </c:valAx>
      <c:valAx>
        <c:axId val="224810496"/>
        <c:scaling>
          <c:orientation val="minMax"/>
          <c:max val="6.0000000000000005E-2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4812032"/>
        <c:crosses val="max"/>
        <c:crossBetween val="between"/>
        <c:majorUnit val="0.01"/>
        <c:minorUnit val="2E-3"/>
      </c:valAx>
      <c:catAx>
        <c:axId val="224812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4810496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xMode val="edge"/>
          <c:yMode val="edge"/>
          <c:x val="1.50039652569598E-2"/>
          <c:y val="5.0097123227544102E-2"/>
          <c:w val="0.96999206948607997"/>
          <c:h val="0.949902876772456"/>
        </c:manualLayout>
      </c:layout>
      <c:lineChart>
        <c:grouping val="standard"/>
        <c:varyColors val="0"/>
        <c:ser>
          <c:idx val="0"/>
          <c:order val="0"/>
          <c:tx>
            <c:v>Outflow rate</c:v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'BC composite HWI'!$A$3:$A$788</c:f>
              <c:numCache>
                <c:formatCode>m/d/yyyy</c:formatCode>
                <c:ptCount val="786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</c:numCache>
            </c:numRef>
          </c:cat>
          <c:val>
            <c:numRef>
              <c:f>'BC composite HWI'!$N$3:$N$788</c:f>
              <c:numCache>
                <c:formatCode>General</c:formatCode>
                <c:ptCount val="786"/>
                <c:pt idx="0">
                  <c:v>#N/A</c:v>
                </c:pt>
                <c:pt idx="1">
                  <c:v>#N/A</c:v>
                </c:pt>
                <c:pt idx="2">
                  <c:v>0.81497996131752426</c:v>
                </c:pt>
                <c:pt idx="3">
                  <c:v>0.86090405602895992</c:v>
                </c:pt>
                <c:pt idx="4">
                  <c:v>0.89243509470672944</c:v>
                </c:pt>
                <c:pt idx="5">
                  <c:v>0.85539473353773821</c:v>
                </c:pt>
                <c:pt idx="6">
                  <c:v>0.87935334533321186</c:v>
                </c:pt>
                <c:pt idx="7">
                  <c:v>0.8702555655573686</c:v>
                </c:pt>
                <c:pt idx="8">
                  <c:v>0.85160507857911361</c:v>
                </c:pt>
                <c:pt idx="9">
                  <c:v>0.78880302118437562</c:v>
                </c:pt>
                <c:pt idx="10">
                  <c:v>0.79893299188387557</c:v>
                </c:pt>
                <c:pt idx="11">
                  <c:v>0.80527880775812921</c:v>
                </c:pt>
                <c:pt idx="12">
                  <c:v>0.78946078011711363</c:v>
                </c:pt>
                <c:pt idx="13">
                  <c:v>0.75007405560576712</c:v>
                </c:pt>
                <c:pt idx="14">
                  <c:v>0.69293839569117088</c:v>
                </c:pt>
                <c:pt idx="15">
                  <c:v>0.64200850275967358</c:v>
                </c:pt>
                <c:pt idx="16">
                  <c:v>0.60288758864534542</c:v>
                </c:pt>
                <c:pt idx="17">
                  <c:v>0.56294477598964043</c:v>
                </c:pt>
                <c:pt idx="18">
                  <c:v>0.56004029264305921</c:v>
                </c:pt>
                <c:pt idx="19">
                  <c:v>0.54835155734101271</c:v>
                </c:pt>
                <c:pt idx="20">
                  <c:v>0.52681433745177286</c:v>
                </c:pt>
                <c:pt idx="21">
                  <c:v>0.59664076047986048</c:v>
                </c:pt>
                <c:pt idx="22">
                  <c:v>0.59234168103479601</c:v>
                </c:pt>
                <c:pt idx="23">
                  <c:v>0.6402214842213525</c:v>
                </c:pt>
                <c:pt idx="24">
                  <c:v>0.56099606539635571</c:v>
                </c:pt>
                <c:pt idx="25">
                  <c:v>0.54770467489244601</c:v>
                </c:pt>
                <c:pt idx="26">
                  <c:v>0.55392735376531899</c:v>
                </c:pt>
                <c:pt idx="27">
                  <c:v>0.5711268108134705</c:v>
                </c:pt>
                <c:pt idx="28">
                  <c:v>0.59992292044972195</c:v>
                </c:pt>
                <c:pt idx="29">
                  <c:v>0.62214790002889753</c:v>
                </c:pt>
                <c:pt idx="30">
                  <c:v>0.65712709778149136</c:v>
                </c:pt>
                <c:pt idx="31">
                  <c:v>0.66714920663023758</c:v>
                </c:pt>
                <c:pt idx="32">
                  <c:v>0.67797868434115782</c:v>
                </c:pt>
                <c:pt idx="33">
                  <c:v>0.69569225077775476</c:v>
                </c:pt>
                <c:pt idx="34">
                  <c:v>0.75012311914457264</c:v>
                </c:pt>
                <c:pt idx="35">
                  <c:v>0.77873797955107416</c:v>
                </c:pt>
                <c:pt idx="36">
                  <c:v>0.80244478609500669</c:v>
                </c:pt>
                <c:pt idx="37">
                  <c:v>0.82196258920572074</c:v>
                </c:pt>
                <c:pt idx="38">
                  <c:v>0.89965544039410006</c:v>
                </c:pt>
                <c:pt idx="39">
                  <c:v>0.94632733728159257</c:v>
                </c:pt>
                <c:pt idx="40">
                  <c:v>0.91745234730610825</c:v>
                </c:pt>
                <c:pt idx="41">
                  <c:v>0.8929147553040484</c:v>
                </c:pt>
                <c:pt idx="42">
                  <c:v>0.89014796589826573</c:v>
                </c:pt>
                <c:pt idx="43">
                  <c:v>0.94310254220606315</c:v>
                </c:pt>
                <c:pt idx="44">
                  <c:v>0.8961081976892431</c:v>
                </c:pt>
                <c:pt idx="45">
                  <c:v>0.85792521278952971</c:v>
                </c:pt>
                <c:pt idx="46">
                  <c:v>0.87721603872813547</c:v>
                </c:pt>
                <c:pt idx="47">
                  <c:v>0.86279302265324753</c:v>
                </c:pt>
                <c:pt idx="48">
                  <c:v>0.89291112319922394</c:v>
                </c:pt>
                <c:pt idx="49">
                  <c:v>0.92890147945705304</c:v>
                </c:pt>
                <c:pt idx="50">
                  <c:v>1.0015173640107065</c:v>
                </c:pt>
                <c:pt idx="51">
                  <c:v>1.0151925391045402</c:v>
                </c:pt>
                <c:pt idx="52">
                  <c:v>0.98644639092388398</c:v>
                </c:pt>
                <c:pt idx="53">
                  <c:v>0.94046141962881658</c:v>
                </c:pt>
                <c:pt idx="54">
                  <c:v>0.91282030927659352</c:v>
                </c:pt>
                <c:pt idx="55">
                  <c:v>0.89790185324403604</c:v>
                </c:pt>
                <c:pt idx="56">
                  <c:v>0.91325510692180478</c:v>
                </c:pt>
                <c:pt idx="57">
                  <c:v>0.92614644044691519</c:v>
                </c:pt>
                <c:pt idx="58">
                  <c:v>0.95195222783424693</c:v>
                </c:pt>
                <c:pt idx="59">
                  <c:v>0.90591023319308317</c:v>
                </c:pt>
                <c:pt idx="60">
                  <c:v>0.98771976522763139</c:v>
                </c:pt>
                <c:pt idx="61">
                  <c:v>0.96928794288510944</c:v>
                </c:pt>
                <c:pt idx="62">
                  <c:v>1.0571936536272686</c:v>
                </c:pt>
                <c:pt idx="63">
                  <c:v>1.004666957579704</c:v>
                </c:pt>
                <c:pt idx="64">
                  <c:v>0.99426516610156179</c:v>
                </c:pt>
                <c:pt idx="65">
                  <c:v>0.95083694580774891</c:v>
                </c:pt>
                <c:pt idx="66">
                  <c:v>0.95712727246059082</c:v>
                </c:pt>
                <c:pt idx="67">
                  <c:v>0.95248053440014158</c:v>
                </c:pt>
                <c:pt idx="68">
                  <c:v>0.95862757818484179</c:v>
                </c:pt>
                <c:pt idx="69">
                  <c:v>0.87357463215225784</c:v>
                </c:pt>
                <c:pt idx="70">
                  <c:v>0.81011954011825182</c:v>
                </c:pt>
                <c:pt idx="71">
                  <c:v>0.72874144810945829</c:v>
                </c:pt>
                <c:pt idx="72">
                  <c:v>0.68122792176177605</c:v>
                </c:pt>
                <c:pt idx="73">
                  <c:v>0.62624624957453034</c:v>
                </c:pt>
                <c:pt idx="74">
                  <c:v>0.5964377031599527</c:v>
                </c:pt>
                <c:pt idx="75">
                  <c:v>0.57301795443191239</c:v>
                </c:pt>
                <c:pt idx="76">
                  <c:v>0.59672712679321638</c:v>
                </c:pt>
                <c:pt idx="77">
                  <c:v>0.58954096171871362</c:v>
                </c:pt>
                <c:pt idx="78">
                  <c:v>0.55972245509791196</c:v>
                </c:pt>
                <c:pt idx="79">
                  <c:v>0.51894844157862763</c:v>
                </c:pt>
                <c:pt idx="80">
                  <c:v>0.53729586398086693</c:v>
                </c:pt>
                <c:pt idx="81">
                  <c:v>0.58899808325934222</c:v>
                </c:pt>
                <c:pt idx="82">
                  <c:v>0.6305835865838495</c:v>
                </c:pt>
                <c:pt idx="83">
                  <c:v>0.62587363314025446</c:v>
                </c:pt>
                <c:pt idx="84">
                  <c:v>0.62626183821494241</c:v>
                </c:pt>
                <c:pt idx="85">
                  <c:v>0.58998422238101578</c:v>
                </c:pt>
                <c:pt idx="86">
                  <c:v>0.56174142595389676</c:v>
                </c:pt>
                <c:pt idx="87">
                  <c:v>0.59736408063134538</c:v>
                </c:pt>
                <c:pt idx="88">
                  <c:v>0.6437321090812399</c:v>
                </c:pt>
                <c:pt idx="89">
                  <c:v>0.70409587891220327</c:v>
                </c:pt>
                <c:pt idx="90">
                  <c:v>0.68207894396237734</c:v>
                </c:pt>
                <c:pt idx="91">
                  <c:v>0.70494604868205357</c:v>
                </c:pt>
                <c:pt idx="92">
                  <c:v>0.68973488120004367</c:v>
                </c:pt>
                <c:pt idx="93">
                  <c:v>0.70049436538763654</c:v>
                </c:pt>
                <c:pt idx="94">
                  <c:v>0.67522232927525172</c:v>
                </c:pt>
                <c:pt idx="95">
                  <c:v>0.7027323328753331</c:v>
                </c:pt>
                <c:pt idx="96">
                  <c:v>0.70177346610151947</c:v>
                </c:pt>
                <c:pt idx="97">
                  <c:v>0.72025183476445331</c:v>
                </c:pt>
                <c:pt idx="98">
                  <c:v>0.72898883805004033</c:v>
                </c:pt>
                <c:pt idx="99">
                  <c:v>0.71189006085380413</c:v>
                </c:pt>
                <c:pt idx="100">
                  <c:v>0.71393848743307853</c:v>
                </c:pt>
                <c:pt idx="101">
                  <c:v>0.68320263204988496</c:v>
                </c:pt>
                <c:pt idx="102">
                  <c:v>0.73225062534767693</c:v>
                </c:pt>
                <c:pt idx="103">
                  <c:v>0.73767714464511636</c:v>
                </c:pt>
                <c:pt idx="104">
                  <c:v>0.76425163627641091</c:v>
                </c:pt>
                <c:pt idx="105">
                  <c:v>0.70463196354794366</c:v>
                </c:pt>
                <c:pt idx="106">
                  <c:v>0.70729110346569113</c:v>
                </c:pt>
                <c:pt idx="107">
                  <c:v>0.68366889260240438</c:v>
                </c:pt>
                <c:pt idx="108">
                  <c:v>0.72418609777767662</c:v>
                </c:pt>
                <c:pt idx="109">
                  <c:v>0.71451128356416271</c:v>
                </c:pt>
                <c:pt idx="110">
                  <c:v>0.71835723972391052</c:v>
                </c:pt>
                <c:pt idx="111">
                  <c:v>0.70483539698157427</c:v>
                </c:pt>
                <c:pt idx="112">
                  <c:v>0.66792862699024613</c:v>
                </c:pt>
                <c:pt idx="113">
                  <c:v>0.67024044532381943</c:v>
                </c:pt>
                <c:pt idx="114">
                  <c:v>0.67804288876960106</c:v>
                </c:pt>
                <c:pt idx="115">
                  <c:v>0.68370352817626723</c:v>
                </c:pt>
                <c:pt idx="116">
                  <c:v>0.65191640360702552</c:v>
                </c:pt>
                <c:pt idx="117">
                  <c:v>0.57199252036435155</c:v>
                </c:pt>
                <c:pt idx="118">
                  <c:v>0.56188220452291082</c:v>
                </c:pt>
                <c:pt idx="119">
                  <c:v>0.51952460192502126</c:v>
                </c:pt>
                <c:pt idx="120">
                  <c:v>0.51417291046300329</c:v>
                </c:pt>
                <c:pt idx="121">
                  <c:v>0.48659581267321811</c:v>
                </c:pt>
                <c:pt idx="122">
                  <c:v>0.45004762736894627</c:v>
                </c:pt>
                <c:pt idx="123">
                  <c:v>0.44650953378064101</c:v>
                </c:pt>
                <c:pt idx="124">
                  <c:v>0.42458481122925323</c:v>
                </c:pt>
                <c:pt idx="125">
                  <c:v>0.44340879808155159</c:v>
                </c:pt>
                <c:pt idx="126">
                  <c:v>0.43730572715452309</c:v>
                </c:pt>
                <c:pt idx="127">
                  <c:v>0.43694460618485415</c:v>
                </c:pt>
                <c:pt idx="128">
                  <c:v>0.4645654543066971</c:v>
                </c:pt>
                <c:pt idx="129">
                  <c:v>0.49805242398593824</c:v>
                </c:pt>
                <c:pt idx="130">
                  <c:v>0.51921718233254943</c:v>
                </c:pt>
                <c:pt idx="131">
                  <c:v>0.5258999003230006</c:v>
                </c:pt>
                <c:pt idx="132">
                  <c:v>0.51949801394261474</c:v>
                </c:pt>
                <c:pt idx="133">
                  <c:v>0.52288733019455158</c:v>
                </c:pt>
                <c:pt idx="134">
                  <c:v>0.55131670467056726</c:v>
                </c:pt>
                <c:pt idx="135">
                  <c:v>0.57017957435892941</c:v>
                </c:pt>
                <c:pt idx="136">
                  <c:v>0.5950839009056752</c:v>
                </c:pt>
                <c:pt idx="137">
                  <c:v>0.58401344888660445</c:v>
                </c:pt>
                <c:pt idx="138">
                  <c:v>0.58315707634519276</c:v>
                </c:pt>
                <c:pt idx="139">
                  <c:v>0.54991463413543762</c:v>
                </c:pt>
                <c:pt idx="140">
                  <c:v>0.54563592478510081</c:v>
                </c:pt>
                <c:pt idx="141">
                  <c:v>0.53627877073232522</c:v>
                </c:pt>
                <c:pt idx="142">
                  <c:v>0.60108299046529434</c:v>
                </c:pt>
                <c:pt idx="143">
                  <c:v>0.61964167133854475</c:v>
                </c:pt>
                <c:pt idx="144">
                  <c:v>0.65138608705627388</c:v>
                </c:pt>
                <c:pt idx="145">
                  <c:v>0.57940844494635191</c:v>
                </c:pt>
                <c:pt idx="146">
                  <c:v>0.60188819416460426</c:v>
                </c:pt>
                <c:pt idx="147">
                  <c:v>0.61070713977238</c:v>
                </c:pt>
                <c:pt idx="148">
                  <c:v>0.63913026743494272</c:v>
                </c:pt>
                <c:pt idx="149">
                  <c:v>0.60242808168075535</c:v>
                </c:pt>
                <c:pt idx="150">
                  <c:v>0.56416968315095628</c:v>
                </c:pt>
                <c:pt idx="151">
                  <c:v>0.5694473236665355</c:v>
                </c:pt>
                <c:pt idx="152">
                  <c:v>0.52774387810776835</c:v>
                </c:pt>
                <c:pt idx="153">
                  <c:v>0.5048440289106334</c:v>
                </c:pt>
                <c:pt idx="154">
                  <c:v>0.49225284828959065</c:v>
                </c:pt>
                <c:pt idx="155">
                  <c:v>0.51178246085108448</c:v>
                </c:pt>
                <c:pt idx="156">
                  <c:v>0.52053840280021502</c:v>
                </c:pt>
                <c:pt idx="157">
                  <c:v>0.49943584772262267</c:v>
                </c:pt>
                <c:pt idx="158">
                  <c:v>0.47376272288683302</c:v>
                </c:pt>
                <c:pt idx="159">
                  <c:v>0.43845347679801483</c:v>
                </c:pt>
                <c:pt idx="160">
                  <c:v>0.44407954989025139</c:v>
                </c:pt>
                <c:pt idx="161">
                  <c:v>0.44891454559600397</c:v>
                </c:pt>
                <c:pt idx="162">
                  <c:v>0.48060157055894742</c:v>
                </c:pt>
                <c:pt idx="163">
                  <c:v>0.48433076644823253</c:v>
                </c:pt>
                <c:pt idx="164">
                  <c:v>0.51240509344416318</c:v>
                </c:pt>
                <c:pt idx="165">
                  <c:v>0.52583754889848222</c:v>
                </c:pt>
                <c:pt idx="166">
                  <c:v>0.54456150989385954</c:v>
                </c:pt>
                <c:pt idx="167">
                  <c:v>0.55656311296350391</c:v>
                </c:pt>
                <c:pt idx="168">
                  <c:v>0.55714542896136399</c:v>
                </c:pt>
                <c:pt idx="169">
                  <c:v>0.55742234498490584</c:v>
                </c:pt>
                <c:pt idx="170">
                  <c:v>0.55108739111721816</c:v>
                </c:pt>
                <c:pt idx="171">
                  <c:v>0.54316336474536708</c:v>
                </c:pt>
                <c:pt idx="172">
                  <c:v>0.53557593679091775</c:v>
                </c:pt>
                <c:pt idx="173">
                  <c:v>0.53636599232565896</c:v>
                </c:pt>
                <c:pt idx="174">
                  <c:v>0.53436256233473456</c:v>
                </c:pt>
                <c:pt idx="175">
                  <c:v>0.55214548908700067</c:v>
                </c:pt>
                <c:pt idx="176">
                  <c:v>0.57124372017124803</c:v>
                </c:pt>
                <c:pt idx="177">
                  <c:v>0.58417054763400822</c:v>
                </c:pt>
                <c:pt idx="178">
                  <c:v>0.59070580117804139</c:v>
                </c:pt>
                <c:pt idx="179">
                  <c:v>0.55995851726891122</c:v>
                </c:pt>
                <c:pt idx="180">
                  <c:v>0.55456118091206286</c:v>
                </c:pt>
                <c:pt idx="181">
                  <c:v>0.5430718090807457</c:v>
                </c:pt>
                <c:pt idx="182">
                  <c:v>0.5577142996941381</c:v>
                </c:pt>
                <c:pt idx="183">
                  <c:v>0.56081027988655785</c:v>
                </c:pt>
                <c:pt idx="184">
                  <c:v>0.57543189864459576</c:v>
                </c:pt>
                <c:pt idx="185">
                  <c:v>0.56472374794860558</c:v>
                </c:pt>
                <c:pt idx="186">
                  <c:v>0.58580347827451862</c:v>
                </c:pt>
                <c:pt idx="187">
                  <c:v>0.55727870163771165</c:v>
                </c:pt>
                <c:pt idx="188">
                  <c:v>0.57137421007628963</c:v>
                </c:pt>
                <c:pt idx="189">
                  <c:v>0.55256164603312163</c:v>
                </c:pt>
                <c:pt idx="190">
                  <c:v>0.58435074183313684</c:v>
                </c:pt>
                <c:pt idx="191">
                  <c:v>0.5895897025970871</c:v>
                </c:pt>
                <c:pt idx="192">
                  <c:v>0.60312188935513689</c:v>
                </c:pt>
                <c:pt idx="193">
                  <c:v>0.59024422708984392</c:v>
                </c:pt>
                <c:pt idx="194">
                  <c:v>0.59926601272633662</c:v>
                </c:pt>
                <c:pt idx="195">
                  <c:v>0.61178645520054997</c:v>
                </c:pt>
                <c:pt idx="196">
                  <c:v>0.60849451807332799</c:v>
                </c:pt>
                <c:pt idx="197">
                  <c:v>0.60134009752632733</c:v>
                </c:pt>
                <c:pt idx="198">
                  <c:v>0.59432253285781378</c:v>
                </c:pt>
                <c:pt idx="199">
                  <c:v>0.5984993125311181</c:v>
                </c:pt>
                <c:pt idx="200">
                  <c:v>0.61390034311680941</c:v>
                </c:pt>
                <c:pt idx="201">
                  <c:v>0.62530888161817422</c:v>
                </c:pt>
                <c:pt idx="202">
                  <c:v>0.62070174160870017</c:v>
                </c:pt>
                <c:pt idx="203">
                  <c:v>0.61960259499742543</c:v>
                </c:pt>
                <c:pt idx="204">
                  <c:v>0.60012080189826056</c:v>
                </c:pt>
                <c:pt idx="205">
                  <c:v>0.64663726334666627</c:v>
                </c:pt>
                <c:pt idx="206">
                  <c:v>0.65073291179619808</c:v>
                </c:pt>
                <c:pt idx="207">
                  <c:v>0.69293116653434783</c:v>
                </c:pt>
                <c:pt idx="208">
                  <c:v>0.67968347778298266</c:v>
                </c:pt>
                <c:pt idx="209">
                  <c:v>0.70617583057693245</c:v>
                </c:pt>
                <c:pt idx="210">
                  <c:v>0.70145088961162572</c:v>
                </c:pt>
                <c:pt idx="211">
                  <c:v>0.71222962821516678</c:v>
                </c:pt>
                <c:pt idx="212">
                  <c:v>0.70253464477523908</c:v>
                </c:pt>
                <c:pt idx="213">
                  <c:v>0.70692725874563589</c:v>
                </c:pt>
                <c:pt idx="214">
                  <c:v>0.6865940673020603</c:v>
                </c:pt>
                <c:pt idx="215">
                  <c:v>0.69830512839748915</c:v>
                </c:pt>
                <c:pt idx="216">
                  <c:v>0.73452850138633929</c:v>
                </c:pt>
                <c:pt idx="217">
                  <c:v>0.75804009425874364</c:v>
                </c:pt>
                <c:pt idx="218">
                  <c:v>0.79074290189030327</c:v>
                </c:pt>
                <c:pt idx="219">
                  <c:v>0.7713856594430718</c:v>
                </c:pt>
                <c:pt idx="220">
                  <c:v>0.82223532638516728</c:v>
                </c:pt>
                <c:pt idx="221">
                  <c:v>0.82822949760155529</c:v>
                </c:pt>
                <c:pt idx="222">
                  <c:v>0.84436556746965807</c:v>
                </c:pt>
                <c:pt idx="223">
                  <c:v>0.83380510017259668</c:v>
                </c:pt>
                <c:pt idx="224">
                  <c:v>0.8194879850008302</c:v>
                </c:pt>
                <c:pt idx="225">
                  <c:v>0.81215358504500179</c:v>
                </c:pt>
                <c:pt idx="226">
                  <c:v>0.7743154028789121</c:v>
                </c:pt>
                <c:pt idx="227">
                  <c:v>0.7613748975293454</c:v>
                </c:pt>
                <c:pt idx="228">
                  <c:v>0.76867942004067336</c:v>
                </c:pt>
                <c:pt idx="229">
                  <c:v>0.79252346793872752</c:v>
                </c:pt>
                <c:pt idx="230">
                  <c:v>0.79283446074122887</c:v>
                </c:pt>
                <c:pt idx="231">
                  <c:v>0.77728400972952461</c:v>
                </c:pt>
                <c:pt idx="232">
                  <c:v>0.78274064923075359</c:v>
                </c:pt>
                <c:pt idx="233">
                  <c:v>0.80599135167471037</c:v>
                </c:pt>
                <c:pt idx="234">
                  <c:v>0.81109185496852643</c:v>
                </c:pt>
                <c:pt idx="235">
                  <c:v>0.81213227666039645</c:v>
                </c:pt>
                <c:pt idx="236">
                  <c:v>0.78105152474718453</c:v>
                </c:pt>
                <c:pt idx="237">
                  <c:v>0.79408194095766049</c:v>
                </c:pt>
                <c:pt idx="238">
                  <c:v>0.78000936982372027</c:v>
                </c:pt>
                <c:pt idx="239">
                  <c:v>0.78505577920581038</c:v>
                </c:pt>
                <c:pt idx="240">
                  <c:v>0.77936332572346079</c:v>
                </c:pt>
                <c:pt idx="241">
                  <c:v>0.816934904759123</c:v>
                </c:pt>
                <c:pt idx="242">
                  <c:v>0.83741299684634096</c:v>
                </c:pt>
                <c:pt idx="243">
                  <c:v>0.84919182912332369</c:v>
                </c:pt>
                <c:pt idx="244">
                  <c:v>0.83076369794316329</c:v>
                </c:pt>
                <c:pt idx="245">
                  <c:v>0.8475893491838451</c:v>
                </c:pt>
                <c:pt idx="246">
                  <c:v>0.88286026567329168</c:v>
                </c:pt>
                <c:pt idx="247">
                  <c:v>0.89510064569928982</c:v>
                </c:pt>
                <c:pt idx="248">
                  <c:v>0.88009946583294063</c:v>
                </c:pt>
                <c:pt idx="249">
                  <c:v>0.85717574159502863</c:v>
                </c:pt>
                <c:pt idx="250">
                  <c:v>0.84899977451281927</c:v>
                </c:pt>
                <c:pt idx="251">
                  <c:v>0.85399084102430012</c:v>
                </c:pt>
                <c:pt idx="252">
                  <c:v>0.82155623910047326</c:v>
                </c:pt>
                <c:pt idx="253">
                  <c:v>0.83313228216019175</c:v>
                </c:pt>
                <c:pt idx="254">
                  <c:v>0.83819015291877974</c:v>
                </c:pt>
                <c:pt idx="255">
                  <c:v>0.89676269426441813</c:v>
                </c:pt>
                <c:pt idx="256">
                  <c:v>0.8866726169273661</c:v>
                </c:pt>
                <c:pt idx="257">
                  <c:v>0.89237845972221408</c:v>
                </c:pt>
                <c:pt idx="258">
                  <c:v>0.86008302098440803</c:v>
                </c:pt>
                <c:pt idx="259">
                  <c:v>0.82507857953308006</c:v>
                </c:pt>
                <c:pt idx="260">
                  <c:v>0.83597092154184682</c:v>
                </c:pt>
                <c:pt idx="261">
                  <c:v>0.84113739182360681</c:v>
                </c:pt>
                <c:pt idx="262">
                  <c:v>0.85323244507019502</c:v>
                </c:pt>
                <c:pt idx="263">
                  <c:v>0.79363424731340926</c:v>
                </c:pt>
                <c:pt idx="264">
                  <c:v>0.75527313635786564</c:v>
                </c:pt>
                <c:pt idx="265">
                  <c:v>0.73740892741605013</c:v>
                </c:pt>
                <c:pt idx="266">
                  <c:v>0.75841062815089921</c:v>
                </c:pt>
                <c:pt idx="267">
                  <c:v>0.75337205673591334</c:v>
                </c:pt>
                <c:pt idx="268">
                  <c:v>0.7377256604304071</c:v>
                </c:pt>
                <c:pt idx="269">
                  <c:v>0.70588309356806622</c:v>
                </c:pt>
                <c:pt idx="270">
                  <c:v>0.69213336440925044</c:v>
                </c:pt>
                <c:pt idx="271">
                  <c:v>0.67982560310263096</c:v>
                </c:pt>
                <c:pt idx="272">
                  <c:v>0.68451048311623663</c:v>
                </c:pt>
                <c:pt idx="273">
                  <c:v>0.64599560254294686</c:v>
                </c:pt>
                <c:pt idx="274">
                  <c:v>0.62686684946653315</c:v>
                </c:pt>
                <c:pt idx="275">
                  <c:v>0.60476396180537728</c:v>
                </c:pt>
                <c:pt idx="276">
                  <c:v>0.61145561187555886</c:v>
                </c:pt>
                <c:pt idx="277">
                  <c:v>0.59545610590969933</c:v>
                </c:pt>
                <c:pt idx="278">
                  <c:v>0.5810987624633025</c:v>
                </c:pt>
                <c:pt idx="279">
                  <c:v>0.57419037903531889</c:v>
                </c:pt>
                <c:pt idx="280">
                  <c:v>0.58924501839340981</c:v>
                </c:pt>
                <c:pt idx="281">
                  <c:v>0.57808964204935298</c:v>
                </c:pt>
                <c:pt idx="282">
                  <c:v>0.57956487713218463</c:v>
                </c:pt>
                <c:pt idx="283">
                  <c:v>0.59203518281678258</c:v>
                </c:pt>
                <c:pt idx="284">
                  <c:v>0.60939908804539578</c:v>
                </c:pt>
                <c:pt idx="285">
                  <c:v>0.59691812000133881</c:v>
                </c:pt>
                <c:pt idx="286">
                  <c:v>0.58754443759127251</c:v>
                </c:pt>
                <c:pt idx="287">
                  <c:v>0.59941311119528207</c:v>
                </c:pt>
                <c:pt idx="288">
                  <c:v>0.60845811584862508</c:v>
                </c:pt>
                <c:pt idx="289">
                  <c:v>0.60491164000168263</c:v>
                </c:pt>
                <c:pt idx="290">
                  <c:v>0.59302252695646163</c:v>
                </c:pt>
                <c:pt idx="291">
                  <c:v>0.59947061913365085</c:v>
                </c:pt>
                <c:pt idx="292">
                  <c:v>0.61034403234103429</c:v>
                </c:pt>
                <c:pt idx="293">
                  <c:v>0.61067952381593615</c:v>
                </c:pt>
                <c:pt idx="294">
                  <c:v>0.61698429680472511</c:v>
                </c:pt>
                <c:pt idx="295">
                  <c:v>0.63733476382868581</c:v>
                </c:pt>
                <c:pt idx="296">
                  <c:v>0.65040593392401691</c:v>
                </c:pt>
                <c:pt idx="297">
                  <c:v>0.67982649658211047</c:v>
                </c:pt>
                <c:pt idx="298">
                  <c:v>0.6504443230925846</c:v>
                </c:pt>
                <c:pt idx="299">
                  <c:v>0.66100153304647113</c:v>
                </c:pt>
                <c:pt idx="300">
                  <c:v>0.65276631732791757</c:v>
                </c:pt>
                <c:pt idx="301">
                  <c:v>0.6809486696956174</c:v>
                </c:pt>
                <c:pt idx="302">
                  <c:v>0.68349469605691271</c:v>
                </c:pt>
                <c:pt idx="303">
                  <c:v>0.70708178066972616</c:v>
                </c:pt>
                <c:pt idx="304">
                  <c:v>0.73142268631849527</c:v>
                </c:pt>
                <c:pt idx="305">
                  <c:v>0.75506213102693209</c:v>
                </c:pt>
                <c:pt idx="306">
                  <c:v>0.75807007454276276</c:v>
                </c:pt>
                <c:pt idx="307">
                  <c:v>0.74058408225852601</c:v>
                </c:pt>
                <c:pt idx="308">
                  <c:v>0.7319746493165229</c:v>
                </c:pt>
                <c:pt idx="309">
                  <c:v>0.7042292932488623</c:v>
                </c:pt>
                <c:pt idx="310">
                  <c:v>0.70840861370050556</c:v>
                </c:pt>
                <c:pt idx="311">
                  <c:v>0.69375617185058891</c:v>
                </c:pt>
                <c:pt idx="312">
                  <c:v>0.70281615310943391</c:v>
                </c:pt>
                <c:pt idx="313">
                  <c:v>0.71755028064355553</c:v>
                </c:pt>
                <c:pt idx="314">
                  <c:v>0.72269578416641822</c:v>
                </c:pt>
                <c:pt idx="315">
                  <c:v>0.72830210444850429</c:v>
                </c:pt>
                <c:pt idx="316">
                  <c:v>0.69648725909789266</c:v>
                </c:pt>
                <c:pt idx="317">
                  <c:v>0.68146776584347535</c:v>
                </c:pt>
                <c:pt idx="318">
                  <c:v>0.68852364165814806</c:v>
                </c:pt>
                <c:pt idx="319">
                  <c:v>0.67341370287075819</c:v>
                </c:pt>
                <c:pt idx="320">
                  <c:v>0.6733670422167396</c:v>
                </c:pt>
                <c:pt idx="321">
                  <c:v>0.62013675968728743</c:v>
                </c:pt>
                <c:pt idx="322">
                  <c:v>0.60130980823730074</c:v>
                </c:pt>
                <c:pt idx="323">
                  <c:v>0.53194776687402212</c:v>
                </c:pt>
                <c:pt idx="324">
                  <c:v>0.50310421405904215</c:v>
                </c:pt>
                <c:pt idx="325">
                  <c:v>0.46748963675373378</c:v>
                </c:pt>
                <c:pt idx="326">
                  <c:v>0.45229059593275234</c:v>
                </c:pt>
                <c:pt idx="327">
                  <c:v>0.42809925288209966</c:v>
                </c:pt>
                <c:pt idx="328">
                  <c:v>0.42921585564742526</c:v>
                </c:pt>
                <c:pt idx="329">
                  <c:v>0.44233925324408624</c:v>
                </c:pt>
                <c:pt idx="330">
                  <c:v>0.45558743376409572</c:v>
                </c:pt>
                <c:pt idx="331">
                  <c:v>0.45444517438719795</c:v>
                </c:pt>
                <c:pt idx="332">
                  <c:v>0.46248593501314189</c:v>
                </c:pt>
                <c:pt idx="333">
                  <c:v>0.45579326099435907</c:v>
                </c:pt>
                <c:pt idx="334">
                  <c:v>0.45429980994583047</c:v>
                </c:pt>
                <c:pt idx="335">
                  <c:v>0.45697150193639652</c:v>
                </c:pt>
                <c:pt idx="336">
                  <c:v>0.47944058532063832</c:v>
                </c:pt>
                <c:pt idx="337">
                  <c:v>0.48524587954294485</c:v>
                </c:pt>
                <c:pt idx="338">
                  <c:v>0.4909198818409734</c:v>
                </c:pt>
                <c:pt idx="339">
                  <c:v>0.50218965137805494</c:v>
                </c:pt>
                <c:pt idx="340">
                  <c:v>0.49441941868321954</c:v>
                </c:pt>
                <c:pt idx="341">
                  <c:v>0.48868995387745651</c:v>
                </c:pt>
                <c:pt idx="342">
                  <c:v>0.46832877958994562</c:v>
                </c:pt>
                <c:pt idx="343">
                  <c:v>0.49442336687580113</c:v>
                </c:pt>
                <c:pt idx="344">
                  <c:v>0.50001310206095673</c:v>
                </c:pt>
                <c:pt idx="345">
                  <c:v>0.48536920077853524</c:v>
                </c:pt>
                <c:pt idx="346">
                  <c:v>0.47857070138252517</c:v>
                </c:pt>
                <c:pt idx="347">
                  <c:v>0.49338146775668984</c:v>
                </c:pt>
                <c:pt idx="348">
                  <c:v>0.51305550930493282</c:v>
                </c:pt>
                <c:pt idx="349">
                  <c:v>0.52835291166570963</c:v>
                </c:pt>
                <c:pt idx="350">
                  <c:v>0.54472992814128973</c:v>
                </c:pt>
                <c:pt idx="351">
                  <c:v>0.55550555840149984</c:v>
                </c:pt>
                <c:pt idx="352">
                  <c:v>0.5563095713722136</c:v>
                </c:pt>
                <c:pt idx="353">
                  <c:v>0.55447873823446192</c:v>
                </c:pt>
                <c:pt idx="354">
                  <c:v>0.55386217344343092</c:v>
                </c:pt>
                <c:pt idx="355">
                  <c:v>0.56538883682989904</c:v>
                </c:pt>
                <c:pt idx="356">
                  <c:v>0.55463866889221591</c:v>
                </c:pt>
                <c:pt idx="357">
                  <c:v>0.56301878249909743</c:v>
                </c:pt>
                <c:pt idx="358">
                  <c:v>0.57637959966539665</c:v>
                </c:pt>
                <c:pt idx="359">
                  <c:v>0.57685435650853789</c:v>
                </c:pt>
                <c:pt idx="360">
                  <c:v>0.59326579694726633</c:v>
                </c:pt>
                <c:pt idx="361">
                  <c:v>0.58590532531567552</c:v>
                </c:pt>
                <c:pt idx="362">
                  <c:v>0.60542714205219417</c:v>
                </c:pt>
                <c:pt idx="363">
                  <c:v>0.61825282180850449</c:v>
                </c:pt>
                <c:pt idx="364">
                  <c:v>0.63049628609277131</c:v>
                </c:pt>
                <c:pt idx="365">
                  <c:v>0.63282853335826439</c:v>
                </c:pt>
                <c:pt idx="366">
                  <c:v>0.64331625184439334</c:v>
                </c:pt>
                <c:pt idx="367">
                  <c:v>0.64656109319661315</c:v>
                </c:pt>
                <c:pt idx="368">
                  <c:v>0.66011055060904622</c:v>
                </c:pt>
                <c:pt idx="369">
                  <c:v>0.64541700660449619</c:v>
                </c:pt>
                <c:pt idx="370">
                  <c:v>0.63841358287637384</c:v>
                </c:pt>
                <c:pt idx="371">
                  <c:v>0.62781449587843685</c:v>
                </c:pt>
                <c:pt idx="372">
                  <c:v>0.62643327791125269</c:v>
                </c:pt>
                <c:pt idx="373">
                  <c:v>0.63002087526189043</c:v>
                </c:pt>
                <c:pt idx="374">
                  <c:v>0.64292673830184455</c:v>
                </c:pt>
                <c:pt idx="375">
                  <c:v>0.66250785396948342</c:v>
                </c:pt>
                <c:pt idx="376">
                  <c:v>0.67101036664915126</c:v>
                </c:pt>
                <c:pt idx="377">
                  <c:v>0.66539580188747949</c:v>
                </c:pt>
                <c:pt idx="378">
                  <c:v>0.66606852195463329</c:v>
                </c:pt>
                <c:pt idx="379">
                  <c:v>0.66766371695567039</c:v>
                </c:pt>
                <c:pt idx="380">
                  <c:v>0.66451758474369094</c:v>
                </c:pt>
                <c:pt idx="381">
                  <c:v>0.66110248447294728</c:v>
                </c:pt>
                <c:pt idx="382">
                  <c:v>0.64983425439194686</c:v>
                </c:pt>
                <c:pt idx="383">
                  <c:v>0.63610205948957355</c:v>
                </c:pt>
                <c:pt idx="384">
                  <c:v>0.62053371038968563</c:v>
                </c:pt>
                <c:pt idx="385">
                  <c:v>0.61370542602751021</c:v>
                </c:pt>
                <c:pt idx="386">
                  <c:v>0.58810816895702367</c:v>
                </c:pt>
                <c:pt idx="387">
                  <c:v>0.56344963222809896</c:v>
                </c:pt>
                <c:pt idx="388">
                  <c:v>0.53664885566997966</c:v>
                </c:pt>
                <c:pt idx="389">
                  <c:v>0.52905612903958421</c:v>
                </c:pt>
                <c:pt idx="390">
                  <c:v>0.52504239784413809</c:v>
                </c:pt>
                <c:pt idx="391">
                  <c:v>0.52452382461928604</c:v>
                </c:pt>
                <c:pt idx="392">
                  <c:v>0.52496052018939965</c:v>
                </c:pt>
                <c:pt idx="393">
                  <c:v>0.51306259850679858</c:v>
                </c:pt>
                <c:pt idx="394">
                  <c:v>0.52007486705887607</c:v>
                </c:pt>
                <c:pt idx="395">
                  <c:v>0.51411058511906627</c:v>
                </c:pt>
                <c:pt idx="396">
                  <c:v>0.52122342973870861</c:v>
                </c:pt>
                <c:pt idx="397">
                  <c:v>0.52001274892349336</c:v>
                </c:pt>
                <c:pt idx="398">
                  <c:v>0.53609851405933229</c:v>
                </c:pt>
                <c:pt idx="399">
                  <c:v>0.52757975192516537</c:v>
                </c:pt>
                <c:pt idx="400">
                  <c:v>0.52526699553302403</c:v>
                </c:pt>
                <c:pt idx="401">
                  <c:v>0.5393121659110115</c:v>
                </c:pt>
                <c:pt idx="402">
                  <c:v>0.54250342520686934</c:v>
                </c:pt>
                <c:pt idx="403">
                  <c:v>0.53830224179012054</c:v>
                </c:pt>
                <c:pt idx="404">
                  <c:v>0.51336158609029303</c:v>
                </c:pt>
                <c:pt idx="405">
                  <c:v>0.51135059671393623</c:v>
                </c:pt>
                <c:pt idx="406">
                  <c:v>0.51162289787841653</c:v>
                </c:pt>
                <c:pt idx="407">
                  <c:v>0.52038379305082383</c:v>
                </c:pt>
                <c:pt idx="408">
                  <c:v>0.50730795310994947</c:v>
                </c:pt>
                <c:pt idx="409">
                  <c:v>0.4912093202584506</c:v>
                </c:pt>
                <c:pt idx="410">
                  <c:v>0.46652894828077035</c:v>
                </c:pt>
                <c:pt idx="411">
                  <c:v>0.46541737999644922</c:v>
                </c:pt>
                <c:pt idx="412">
                  <c:v>0.43819717777323403</c:v>
                </c:pt>
                <c:pt idx="413">
                  <c:v>0.42752395365582846</c:v>
                </c:pt>
                <c:pt idx="414">
                  <c:v>0.42004152896452035</c:v>
                </c:pt>
                <c:pt idx="415">
                  <c:v>0.42220517473086955</c:v>
                </c:pt>
                <c:pt idx="416">
                  <c:v>0.40932811751584192</c:v>
                </c:pt>
                <c:pt idx="417">
                  <c:v>0.38591793438023975</c:v>
                </c:pt>
                <c:pt idx="418">
                  <c:v>0.37941906248631024</c:v>
                </c:pt>
                <c:pt idx="419">
                  <c:v>0.39371203237398822</c:v>
                </c:pt>
                <c:pt idx="420">
                  <c:v>0.3995980095774963</c:v>
                </c:pt>
                <c:pt idx="421">
                  <c:v>0.3970141212556077</c:v>
                </c:pt>
                <c:pt idx="422">
                  <c:v>0.385185999712854</c:v>
                </c:pt>
                <c:pt idx="423">
                  <c:v>0.38625423682905352</c:v>
                </c:pt>
                <c:pt idx="424">
                  <c:v>0.38968640677703864</c:v>
                </c:pt>
                <c:pt idx="425">
                  <c:v>0.41373068926034645</c:v>
                </c:pt>
                <c:pt idx="426">
                  <c:v>0.42056929057808068</c:v>
                </c:pt>
                <c:pt idx="427">
                  <c:v>0.45394954630071882</c:v>
                </c:pt>
                <c:pt idx="428">
                  <c:v>0.45836747152221063</c:v>
                </c:pt>
                <c:pt idx="429">
                  <c:v>0.47941109477236427</c:v>
                </c:pt>
                <c:pt idx="430">
                  <c:v>0.47649193365655762</c:v>
                </c:pt>
                <c:pt idx="431">
                  <c:v>0.48260175723569665</c:v>
                </c:pt>
                <c:pt idx="432">
                  <c:v>0.49109789670809417</c:v>
                </c:pt>
                <c:pt idx="433">
                  <c:v>0.49275932357877045</c:v>
                </c:pt>
                <c:pt idx="434">
                  <c:v>0.48914133358592976</c:v>
                </c:pt>
                <c:pt idx="435">
                  <c:v>0.49076234964560256</c:v>
                </c:pt>
                <c:pt idx="436">
                  <c:v>0.50648514926638821</c:v>
                </c:pt>
                <c:pt idx="437">
                  <c:v>0.5021774829669613</c:v>
                </c:pt>
                <c:pt idx="438">
                  <c:v>0.51545185807963145</c:v>
                </c:pt>
                <c:pt idx="439">
                  <c:v>0.51279625248768967</c:v>
                </c:pt>
                <c:pt idx="440">
                  <c:v>0.53080240688043745</c:v>
                </c:pt>
                <c:pt idx="441">
                  <c:v>0.53463039993264339</c:v>
                </c:pt>
                <c:pt idx="442">
                  <c:v>0.52548358700703834</c:v>
                </c:pt>
                <c:pt idx="443">
                  <c:v>0.53898999417261351</c:v>
                </c:pt>
                <c:pt idx="444">
                  <c:v>0.53761841169972768</c:v>
                </c:pt>
                <c:pt idx="445">
                  <c:v>0.55393601714560237</c:v>
                </c:pt>
                <c:pt idx="446">
                  <c:v>0.54350687537814735</c:v>
                </c:pt>
                <c:pt idx="447">
                  <c:v>0.54592066646800086</c:v>
                </c:pt>
                <c:pt idx="448">
                  <c:v>0.53817832840340063</c:v>
                </c:pt>
                <c:pt idx="449">
                  <c:v>0.53878565510683718</c:v>
                </c:pt>
                <c:pt idx="450">
                  <c:v>0.54636847570629721</c:v>
                </c:pt>
                <c:pt idx="451">
                  <c:v>0.55366126363185331</c:v>
                </c:pt>
                <c:pt idx="452">
                  <c:v>0.55089761413402361</c:v>
                </c:pt>
                <c:pt idx="453">
                  <c:v>0.54888078018722153</c:v>
                </c:pt>
                <c:pt idx="454">
                  <c:v>0.54673531263241604</c:v>
                </c:pt>
                <c:pt idx="455">
                  <c:v>0.57169916665158704</c:v>
                </c:pt>
                <c:pt idx="456">
                  <c:v>0.53542644733919442</c:v>
                </c:pt>
                <c:pt idx="457">
                  <c:v>0.53966376418981554</c:v>
                </c:pt>
                <c:pt idx="458">
                  <c:v>0.52758080199315316</c:v>
                </c:pt>
                <c:pt idx="459">
                  <c:v>0.55332452914952546</c:v>
                </c:pt>
                <c:pt idx="460">
                  <c:v>0.542890428541837</c:v>
                </c:pt>
                <c:pt idx="461">
                  <c:v>0.54042331737432081</c:v>
                </c:pt>
                <c:pt idx="462">
                  <c:v>0.5495870712518699</c:v>
                </c:pt>
                <c:pt idx="463">
                  <c:v>0.54501625130208387</c:v>
                </c:pt>
                <c:pt idx="464">
                  <c:v>0.54032869087287694</c:v>
                </c:pt>
                <c:pt idx="465">
                  <c:v>0.52885858238908212</c:v>
                </c:pt>
                <c:pt idx="466">
                  <c:v>0.55225617584150732</c:v>
                </c:pt>
                <c:pt idx="467">
                  <c:v>0.55790695830958381</c:v>
                </c:pt>
                <c:pt idx="468">
                  <c:v>0.5629274573603944</c:v>
                </c:pt>
                <c:pt idx="469">
                  <c:v>0.55878723004359843</c:v>
                </c:pt>
                <c:pt idx="470">
                  <c:v>0.56705573104962614</c:v>
                </c:pt>
                <c:pt idx="471">
                  <c:v>0.57337935218898839</c:v>
                </c:pt>
                <c:pt idx="472">
                  <c:v>0.57957608941602512</c:v>
                </c:pt>
                <c:pt idx="473">
                  <c:v>0.58532729827549013</c:v>
                </c:pt>
                <c:pt idx="474">
                  <c:v>0.5881223460036008</c:v>
                </c:pt>
                <c:pt idx="475">
                  <c:v>0.60309402794892641</c:v>
                </c:pt>
                <c:pt idx="476">
                  <c:v>0.59487478912912128</c:v>
                </c:pt>
                <c:pt idx="477">
                  <c:v>0.61038871497488079</c:v>
                </c:pt>
                <c:pt idx="478">
                  <c:v>0.61032631030735729</c:v>
                </c:pt>
                <c:pt idx="479">
                  <c:v>0.6125456483482864</c:v>
                </c:pt>
                <c:pt idx="480">
                  <c:v>0.59888635604356988</c:v>
                </c:pt>
                <c:pt idx="481">
                  <c:v>0.5871517121924742</c:v>
                </c:pt>
                <c:pt idx="482">
                  <c:v>0.61806626184435975</c:v>
                </c:pt>
                <c:pt idx="483">
                  <c:v>0.61733958938136757</c:v>
                </c:pt>
                <c:pt idx="484">
                  <c:v>0.6457058680351726</c:v>
                </c:pt>
                <c:pt idx="485">
                  <c:v>0.61870183415145563</c:v>
                </c:pt>
                <c:pt idx="486">
                  <c:v>0.62008210053346158</c:v>
                </c:pt>
                <c:pt idx="487">
                  <c:v>0.62253768878878579</c:v>
                </c:pt>
                <c:pt idx="488">
                  <c:v>0.63915478717087815</c:v>
                </c:pt>
                <c:pt idx="489">
                  <c:v>0.65894647627262115</c:v>
                </c:pt>
                <c:pt idx="490">
                  <c:v>0.63474170234908689</c:v>
                </c:pt>
                <c:pt idx="491">
                  <c:v>0.62332249112778981</c:v>
                </c:pt>
                <c:pt idx="492">
                  <c:v>0.65683128698565818</c:v>
                </c:pt>
                <c:pt idx="493">
                  <c:v>0.68572863731338574</c:v>
                </c:pt>
                <c:pt idx="494">
                  <c:v>0.68654144543380191</c:v>
                </c:pt>
                <c:pt idx="495">
                  <c:v>0.65945300010179453</c:v>
                </c:pt>
                <c:pt idx="496">
                  <c:v>0.64879347481305716</c:v>
                </c:pt>
                <c:pt idx="497">
                  <c:v>0.67179408918868688</c:v>
                </c:pt>
                <c:pt idx="498">
                  <c:v>0.66349435311691751</c:v>
                </c:pt>
                <c:pt idx="499">
                  <c:v>0.6603043082587402</c:v>
                </c:pt>
                <c:pt idx="500">
                  <c:v>0.6520519801776975</c:v>
                </c:pt>
                <c:pt idx="501">
                  <c:v>0.65340119489055903</c:v>
                </c:pt>
                <c:pt idx="502">
                  <c:v>0.66260477156963649</c:v>
                </c:pt>
                <c:pt idx="503">
                  <c:v>0.65204223094538338</c:v>
                </c:pt>
                <c:pt idx="504">
                  <c:v>0.66294702037619757</c:v>
                </c:pt>
                <c:pt idx="505">
                  <c:v>0.65925878498099133</c:v>
                </c:pt>
                <c:pt idx="506">
                  <c:v>0.6590815641975315</c:v>
                </c:pt>
                <c:pt idx="507">
                  <c:v>0.64266999536411173</c:v>
                </c:pt>
                <c:pt idx="508">
                  <c:v>0.64261279002714922</c:v>
                </c:pt>
                <c:pt idx="509">
                  <c:v>0.62625107684333337</c:v>
                </c:pt>
                <c:pt idx="510">
                  <c:v>0.6106977826980805</c:v>
                </c:pt>
                <c:pt idx="511">
                  <c:v>0.57442485958413692</c:v>
                </c:pt>
                <c:pt idx="512">
                  <c:v>0.57652035148071856</c:v>
                </c:pt>
                <c:pt idx="513">
                  <c:v>0.56443232856946102</c:v>
                </c:pt>
                <c:pt idx="514">
                  <c:v>0.56266946971444642</c:v>
                </c:pt>
                <c:pt idx="515">
                  <c:v>0.55257774815145055</c:v>
                </c:pt>
                <c:pt idx="516">
                  <c:v>0.55001560723266019</c:v>
                </c:pt>
                <c:pt idx="517">
                  <c:v>0.52807133538599238</c:v>
                </c:pt>
                <c:pt idx="518">
                  <c:v>0.52139257338357692</c:v>
                </c:pt>
                <c:pt idx="519">
                  <c:v>0.50894915426366982</c:v>
                </c:pt>
                <c:pt idx="520">
                  <c:v>0.51339098795189353</c:v>
                </c:pt>
                <c:pt idx="521">
                  <c:v>0.50931307772052004</c:v>
                </c:pt>
                <c:pt idx="522">
                  <c:v>0.50829612743238062</c:v>
                </c:pt>
                <c:pt idx="523">
                  <c:v>0.50688330491129097</c:v>
                </c:pt>
                <c:pt idx="524">
                  <c:v>0.49505507443474267</c:v>
                </c:pt>
                <c:pt idx="525">
                  <c:v>0.48919377857292307</c:v>
                </c:pt>
                <c:pt idx="526">
                  <c:v>0.46998146652131684</c:v>
                </c:pt>
                <c:pt idx="527">
                  <c:v>0.4571056099964334</c:v>
                </c:pt>
                <c:pt idx="528">
                  <c:v>0.43287240112365694</c:v>
                </c:pt>
                <c:pt idx="529">
                  <c:v>0.43354722520111272</c:v>
                </c:pt>
                <c:pt idx="530">
                  <c:v>0.42991201526040984</c:v>
                </c:pt>
                <c:pt idx="531">
                  <c:v>0.42662065467385485</c:v>
                </c:pt>
                <c:pt idx="532">
                  <c:v>0.41154076804272194</c:v>
                </c:pt>
                <c:pt idx="533">
                  <c:v>0.4157848283536863</c:v>
                </c:pt>
                <c:pt idx="534">
                  <c:v>0.42957856249328347</c:v>
                </c:pt>
                <c:pt idx="535">
                  <c:v>0.43979762867957423</c:v>
                </c:pt>
                <c:pt idx="536">
                  <c:v>0.4508978839554405</c:v>
                </c:pt>
                <c:pt idx="537">
                  <c:v>0.44068998854880032</c:v>
                </c:pt>
                <c:pt idx="538">
                  <c:v>0.43225576261241633</c:v>
                </c:pt>
                <c:pt idx="539">
                  <c:v>0.42541702402310211</c:v>
                </c:pt>
                <c:pt idx="540">
                  <c:v>0.45213205160934278</c:v>
                </c:pt>
                <c:pt idx="541">
                  <c:v>0.46991897488361439</c:v>
                </c:pt>
                <c:pt idx="542">
                  <c:v>0.46701884727597909</c:v>
                </c:pt>
                <c:pt idx="543">
                  <c:v>0.45553582521463337</c:v>
                </c:pt>
                <c:pt idx="544">
                  <c:v>0.44820181296993228</c:v>
                </c:pt>
                <c:pt idx="545">
                  <c:v>0.45772181555428998</c:v>
                </c:pt>
                <c:pt idx="546">
                  <c:v>0.46273595545211405</c:v>
                </c:pt>
                <c:pt idx="547">
                  <c:v>0.46670660683806608</c:v>
                </c:pt>
                <c:pt idx="548">
                  <c:v>0.46500416750374624</c:v>
                </c:pt>
                <c:pt idx="549">
                  <c:v>0.46618655306144391</c:v>
                </c:pt>
                <c:pt idx="550">
                  <c:v>0.47961884187281018</c:v>
                </c:pt>
                <c:pt idx="551">
                  <c:v>0.4684630028299967</c:v>
                </c:pt>
                <c:pt idx="552">
                  <c:v>0.46071684392384699</c:v>
                </c:pt>
                <c:pt idx="553">
                  <c:v>0.46207344282581858</c:v>
                </c:pt>
                <c:pt idx="554">
                  <c:v>0.4880017002761588</c:v>
                </c:pt>
                <c:pt idx="555">
                  <c:v>0.51935467906541399</c:v>
                </c:pt>
                <c:pt idx="556">
                  <c:v>0.52622427926544901</c:v>
                </c:pt>
                <c:pt idx="557">
                  <c:v>0.52883370628292659</c:v>
                </c:pt>
                <c:pt idx="558">
                  <c:v>0.51334052215265158</c:v>
                </c:pt>
                <c:pt idx="559">
                  <c:v>0.52073575537597439</c:v>
                </c:pt>
                <c:pt idx="560">
                  <c:v>0.50231268800085371</c:v>
                </c:pt>
                <c:pt idx="561">
                  <c:v>0.5250841226533508</c:v>
                </c:pt>
                <c:pt idx="562">
                  <c:v>0.53082079820464589</c:v>
                </c:pt>
                <c:pt idx="563">
                  <c:v>0.55675457688409979</c:v>
                </c:pt>
                <c:pt idx="564">
                  <c:v>0.5563092433906659</c:v>
                </c:pt>
                <c:pt idx="565">
                  <c:v>0.55298106973414951</c:v>
                </c:pt>
                <c:pt idx="566">
                  <c:v>0.52554449055414665</c:v>
                </c:pt>
                <c:pt idx="567">
                  <c:v>0.52095080762787715</c:v>
                </c:pt>
                <c:pt idx="568">
                  <c:v>0.52613299176184725</c:v>
                </c:pt>
                <c:pt idx="569">
                  <c:v>0.53855289983907739</c:v>
                </c:pt>
                <c:pt idx="570">
                  <c:v>0.54067549944827231</c:v>
                </c:pt>
                <c:pt idx="571">
                  <c:v>0.54943917058998859</c:v>
                </c:pt>
                <c:pt idx="572">
                  <c:v>0.57583871416724508</c:v>
                </c:pt>
                <c:pt idx="573">
                  <c:v>0.57876545504686039</c:v>
                </c:pt>
                <c:pt idx="574">
                  <c:v>0.56274119329148709</c:v>
                </c:pt>
                <c:pt idx="575">
                  <c:v>0.54749010062695569</c:v>
                </c:pt>
                <c:pt idx="576">
                  <c:v>0.55467606591897145</c:v>
                </c:pt>
                <c:pt idx="577">
                  <c:v>0.55157930569977098</c:v>
                </c:pt>
                <c:pt idx="578">
                  <c:v>0.53546384976258088</c:v>
                </c:pt>
                <c:pt idx="579">
                  <c:v>0.52811314480538496</c:v>
                </c:pt>
                <c:pt idx="580">
                  <c:v>0.54685192487533463</c:v>
                </c:pt>
                <c:pt idx="581">
                  <c:v>0.55510265133238346</c:v>
                </c:pt>
                <c:pt idx="582">
                  <c:v>0.57019205911598758</c:v>
                </c:pt>
                <c:pt idx="583">
                  <c:v>0.55186508426683045</c:v>
                </c:pt>
                <c:pt idx="584">
                  <c:v>0.55270736958587874</c:v>
                </c:pt>
                <c:pt idx="585">
                  <c:v>0.55023612390283017</c:v>
                </c:pt>
                <c:pt idx="586">
                  <c:v>0.55383166114570137</c:v>
                </c:pt>
                <c:pt idx="587">
                  <c:v>0.58301366849610581</c:v>
                </c:pt>
                <c:pt idx="588">
                  <c:v>0.56425423248406703</c:v>
                </c:pt>
                <c:pt idx="589">
                  <c:v>0.57681875106737657</c:v>
                </c:pt>
                <c:pt idx="590">
                  <c:v>0.55789900478413157</c:v>
                </c:pt>
                <c:pt idx="591">
                  <c:v>0.58009868536661469</c:v>
                </c:pt>
                <c:pt idx="592">
                  <c:v>0.57162993462800937</c:v>
                </c:pt>
                <c:pt idx="593">
                  <c:v>0.57667226200052646</c:v>
                </c:pt>
                <c:pt idx="594">
                  <c:v>0.56995199873358882</c:v>
                </c:pt>
                <c:pt idx="595">
                  <c:v>0.57117279268142573</c:v>
                </c:pt>
                <c:pt idx="596">
                  <c:v>0.5996261705713577</c:v>
                </c:pt>
                <c:pt idx="597">
                  <c:v>0.61253435279663382</c:v>
                </c:pt>
                <c:pt idx="598">
                  <c:v>0.61977950028362117</c:v>
                </c:pt>
                <c:pt idx="599">
                  <c:v>0.62139110803975406</c:v>
                </c:pt>
                <c:pt idx="600">
                  <c:v>0.62776508607917136</c:v>
                </c:pt>
                <c:pt idx="601">
                  <c:v>0.66237597562237316</c:v>
                </c:pt>
                <c:pt idx="602">
                  <c:v>0.71022409738127157</c:v>
                </c:pt>
                <c:pt idx="603">
                  <c:v>0.72296626927648955</c:v>
                </c:pt>
                <c:pt idx="604">
                  <c:v>0.70155144141510262</c:v>
                </c:pt>
                <c:pt idx="605">
                  <c:v>0.65151205866669304</c:v>
                </c:pt>
                <c:pt idx="606">
                  <c:v>0.64904519030199059</c:v>
                </c:pt>
                <c:pt idx="607">
                  <c:v>0.65649702637774265</c:v>
                </c:pt>
                <c:pt idx="608">
                  <c:v>0.68739110270066661</c:v>
                </c:pt>
                <c:pt idx="609">
                  <c:v>0.68620806596680406</c:v>
                </c:pt>
                <c:pt idx="610">
                  <c:v>0.70579537277539572</c:v>
                </c:pt>
                <c:pt idx="611">
                  <c:v>0.67881350820611364</c:v>
                </c:pt>
                <c:pt idx="612">
                  <c:v>0.66796356193353423</c:v>
                </c:pt>
                <c:pt idx="613">
                  <c:v>0.68165827191977613</c:v>
                </c:pt>
                <c:pt idx="614">
                  <c:v>0.70631058789049328</c:v>
                </c:pt>
                <c:pt idx="615">
                  <c:v>0.73571403251413114</c:v>
                </c:pt>
                <c:pt idx="616">
                  <c:v>0.70546770639533174</c:v>
                </c:pt>
                <c:pt idx="617">
                  <c:v>0.69396450963738054</c:v>
                </c:pt>
                <c:pt idx="618">
                  <c:v>0.69496654917181833</c:v>
                </c:pt>
                <c:pt idx="619">
                  <c:v>0.71320612394843419</c:v>
                </c:pt>
                <c:pt idx="620">
                  <c:v>0.72532109737553041</c:v>
                </c:pt>
                <c:pt idx="621">
                  <c:v>0.72801921988268825</c:v>
                </c:pt>
                <c:pt idx="622">
                  <c:v>0.75729990060694929</c:v>
                </c:pt>
                <c:pt idx="623">
                  <c:v>0.75122790869807277</c:v>
                </c:pt>
                <c:pt idx="624">
                  <c:v>0.736022215079705</c:v>
                </c:pt>
                <c:pt idx="625">
                  <c:v>0.75467794386978981</c:v>
                </c:pt>
                <c:pt idx="626">
                  <c:v>0.78326802884664615</c:v>
                </c:pt>
                <c:pt idx="627">
                  <c:v>0.77609815450432951</c:v>
                </c:pt>
                <c:pt idx="628">
                  <c:v>0.7508520931215269</c:v>
                </c:pt>
                <c:pt idx="629">
                  <c:v>0.71158062846025116</c:v>
                </c:pt>
                <c:pt idx="630">
                  <c:v>0.71431657322567121</c:v>
                </c:pt>
                <c:pt idx="631">
                  <c:v>0.72187365088182265</c:v>
                </c:pt>
                <c:pt idx="632">
                  <c:v>0.74608861119128644</c:v>
                </c:pt>
                <c:pt idx="633">
                  <c:v>0.75366202031850216</c:v>
                </c:pt>
                <c:pt idx="634">
                  <c:v>0.72667994892263532</c:v>
                </c:pt>
                <c:pt idx="635">
                  <c:v>0.68973665202237078</c:v>
                </c:pt>
                <c:pt idx="636">
                  <c:v>0.71108991832664703</c:v>
                </c:pt>
                <c:pt idx="637">
                  <c:v>0.70553936867430611</c:v>
                </c:pt>
                <c:pt idx="638">
                  <c:v>0.7490227977056626</c:v>
                </c:pt>
                <c:pt idx="639">
                  <c:v>0.72714718907669951</c:v>
                </c:pt>
                <c:pt idx="640">
                  <c:v>0.71371047605565607</c:v>
                </c:pt>
                <c:pt idx="641">
                  <c:v>0.65849312318898878</c:v>
                </c:pt>
                <c:pt idx="642">
                  <c:v>0.62393003455369411</c:v>
                </c:pt>
                <c:pt idx="643">
                  <c:v>0.60602025511398061</c:v>
                </c:pt>
                <c:pt idx="644">
                  <c:v>0.58843592211644535</c:v>
                </c:pt>
                <c:pt idx="645">
                  <c:v>0.57225628794743333</c:v>
                </c:pt>
                <c:pt idx="646">
                  <c:v>0.54601604032722262</c:v>
                </c:pt>
                <c:pt idx="647">
                  <c:v>0.55118150916183117</c:v>
                </c:pt>
                <c:pt idx="648">
                  <c:v>0.54732314516059288</c:v>
                </c:pt>
                <c:pt idx="649">
                  <c:v>0.55582148761711314</c:v>
                </c:pt>
                <c:pt idx="650">
                  <c:v>0.52061405385478488</c:v>
                </c:pt>
                <c:pt idx="651">
                  <c:v>0.51366171567945706</c:v>
                </c:pt>
                <c:pt idx="652">
                  <c:v>0.48696404635953655</c:v>
                </c:pt>
                <c:pt idx="653">
                  <c:v>0.50103473487052008</c:v>
                </c:pt>
                <c:pt idx="654">
                  <c:v>0.50565128818873706</c:v>
                </c:pt>
                <c:pt idx="655">
                  <c:v>0.51565415595057995</c:v>
                </c:pt>
                <c:pt idx="656">
                  <c:v>0.50581207529540595</c:v>
                </c:pt>
                <c:pt idx="657">
                  <c:v>0.48988366628965446</c:v>
                </c:pt>
                <c:pt idx="658">
                  <c:v>0.47837705577330852</c:v>
                </c:pt>
                <c:pt idx="659">
                  <c:v>0.48678329805922482</c:v>
                </c:pt>
                <c:pt idx="660">
                  <c:v>0.47775205436598589</c:v>
                </c:pt>
                <c:pt idx="661">
                  <c:v>0.48431058912727015</c:v>
                </c:pt>
                <c:pt idx="662">
                  <c:v>0.45798953635996226</c:v>
                </c:pt>
                <c:pt idx="663">
                  <c:v>0.46307646325508406</c:v>
                </c:pt>
                <c:pt idx="664">
                  <c:v>0.4407230583400798</c:v>
                </c:pt>
                <c:pt idx="665">
                  <c:v>0.45122015684939215</c:v>
                </c:pt>
                <c:pt idx="666">
                  <c:v>0.44819771687719928</c:v>
                </c:pt>
                <c:pt idx="667">
                  <c:v>0.45223771148031694</c:v>
                </c:pt>
                <c:pt idx="668">
                  <c:v>0.45516966588475488</c:v>
                </c:pt>
                <c:pt idx="669">
                  <c:v>0.45376920419197736</c:v>
                </c:pt>
                <c:pt idx="670">
                  <c:v>0.46730667356493766</c:v>
                </c:pt>
                <c:pt idx="671">
                  <c:v>0.4644168290096502</c:v>
                </c:pt>
                <c:pt idx="672">
                  <c:v>0.45897061830614189</c:v>
                </c:pt>
                <c:pt idx="673">
                  <c:v>0.4378783198541682</c:v>
                </c:pt>
                <c:pt idx="674">
                  <c:v>0.46505961198583562</c:v>
                </c:pt>
                <c:pt idx="675">
                  <c:v>0.47626411746866254</c:v>
                </c:pt>
                <c:pt idx="676">
                  <c:v>0.49389100102933714</c:v>
                </c:pt>
                <c:pt idx="677">
                  <c:v>0.4912084573509557</c:v>
                </c:pt>
                <c:pt idx="678">
                  <c:v>0.49978927119044236</c:v>
                </c:pt>
                <c:pt idx="679">
                  <c:v>0.52115177976262506</c:v>
                </c:pt>
                <c:pt idx="680">
                  <c:v>0.50453718887734234</c:v>
                </c:pt>
                <c:pt idx="681">
                  <c:v>0.50366505921726479</c:v>
                </c:pt>
                <c:pt idx="682">
                  <c:v>0.50156102901731292</c:v>
                </c:pt>
                <c:pt idx="683">
                  <c:v>0.51325569149030603</c:v>
                </c:pt>
                <c:pt idx="684">
                  <c:v>0.50717178589019896</c:v>
                </c:pt>
                <c:pt idx="685">
                  <c:v>0.49988494789947552</c:v>
                </c:pt>
                <c:pt idx="686">
                  <c:v>0.5039661683860025</c:v>
                </c:pt>
                <c:pt idx="687">
                  <c:v>0.52328192061391443</c:v>
                </c:pt>
                <c:pt idx="688">
                  <c:v>0.53918391638094187</c:v>
                </c:pt>
                <c:pt idx="689">
                  <c:v>0.53929159525074233</c:v>
                </c:pt>
                <c:pt idx="690">
                  <c:v>0.5345256608546296</c:v>
                </c:pt>
                <c:pt idx="691">
                  <c:v>0.52787271218291465</c:v>
                </c:pt>
                <c:pt idx="692">
                  <c:v>0.53894706241168433</c:v>
                </c:pt>
                <c:pt idx="693">
                  <c:v>0.54663873337651803</c:v>
                </c:pt>
                <c:pt idx="694">
                  <c:v>0.56200845405664523</c:v>
                </c:pt>
                <c:pt idx="695">
                  <c:v>0.56284034767431546</c:v>
                </c:pt>
                <c:pt idx="696">
                  <c:v>0.55256439754091291</c:v>
                </c:pt>
                <c:pt idx="697">
                  <c:v>0.55864620225412642</c:v>
                </c:pt>
                <c:pt idx="698">
                  <c:v>0.55753187594421805</c:v>
                </c:pt>
                <c:pt idx="699">
                  <c:v>0.57369620816220446</c:v>
                </c:pt>
                <c:pt idx="700">
                  <c:v>0.57465495656783405</c:v>
                </c:pt>
                <c:pt idx="701">
                  <c:v>0.57211664149713493</c:v>
                </c:pt>
                <c:pt idx="702">
                  <c:v>0.57108296259877411</c:v>
                </c:pt>
                <c:pt idx="703">
                  <c:v>0.57994053928664158</c:v>
                </c:pt>
                <c:pt idx="704">
                  <c:v>0.6007450909333677</c:v>
                </c:pt>
                <c:pt idx="705">
                  <c:v>0.58857536554992296</c:v>
                </c:pt>
                <c:pt idx="706">
                  <c:v>0.58437633266131572</c:v>
                </c:pt>
                <c:pt idx="707">
                  <c:v>0.5416546334239013</c:v>
                </c:pt>
                <c:pt idx="708">
                  <c:v>0.56191912748863648</c:v>
                </c:pt>
                <c:pt idx="709">
                  <c:v>0.53857813829232104</c:v>
                </c:pt>
                <c:pt idx="710">
                  <c:v>0.54884859743026571</c:v>
                </c:pt>
                <c:pt idx="711">
                  <c:v>0.53898648372512514</c:v>
                </c:pt>
                <c:pt idx="712">
                  <c:v>0.53404056522804921</c:v>
                </c:pt>
                <c:pt idx="713">
                  <c:v>0.52624014694264332</c:v>
                </c:pt>
                <c:pt idx="714">
                  <c:v>0.52982059158232919</c:v>
                </c:pt>
                <c:pt idx="715">
                  <c:v>0.52940731952575992</c:v>
                </c:pt>
                <c:pt idx="716">
                  <c:v>0.53542853260916068</c:v>
                </c:pt>
                <c:pt idx="717">
                  <c:v>0.5283730299916326</c:v>
                </c:pt>
                <c:pt idx="718">
                  <c:v>0.51432913078321807</c:v>
                </c:pt>
                <c:pt idx="719">
                  <c:v>0.50329959299825067</c:v>
                </c:pt>
                <c:pt idx="720">
                  <c:v>0.50409296818159455</c:v>
                </c:pt>
                <c:pt idx="721">
                  <c:v>0.51164911363574606</c:v>
                </c:pt>
                <c:pt idx="722">
                  <c:v>0.51767591032594196</c:v>
                </c:pt>
                <c:pt idx="723">
                  <c:v>0.5027881365922563</c:v>
                </c:pt>
                <c:pt idx="724">
                  <c:v>0.48435498202427635</c:v>
                </c:pt>
                <c:pt idx="725">
                  <c:v>0.45820989588920336</c:v>
                </c:pt>
                <c:pt idx="726">
                  <c:v>0.44088202208860366</c:v>
                </c:pt>
                <c:pt idx="727">
                  <c:v>0.43324598318237434</c:v>
                </c:pt>
                <c:pt idx="728">
                  <c:v>0.42440393598167575</c:v>
                </c:pt>
                <c:pt idx="729">
                  <c:v>0.40968247097645388</c:v>
                </c:pt>
                <c:pt idx="730">
                  <c:v>0.38200525882566377</c:v>
                </c:pt>
                <c:pt idx="731">
                  <c:v>0.36575068414104756</c:v>
                </c:pt>
                <c:pt idx="732">
                  <c:v>0.33025873712587145</c:v>
                </c:pt>
                <c:pt idx="733">
                  <c:v>0.32050327533816947</c:v>
                </c:pt>
                <c:pt idx="734">
                  <c:v>0.30471635534408054</c:v>
                </c:pt>
                <c:pt idx="735">
                  <c:v>0.2873391570864513</c:v>
                </c:pt>
                <c:pt idx="736">
                  <c:v>0.27391546459393362</c:v>
                </c:pt>
                <c:pt idx="737">
                  <c:v>0.27203376766188708</c:v>
                </c:pt>
                <c:pt idx="738">
                  <c:v>0.27024562849093786</c:v>
                </c:pt>
                <c:pt idx="739">
                  <c:v>0.25915326674416678</c:v>
                </c:pt>
                <c:pt idx="740">
                  <c:v>0.24623857101033017</c:v>
                </c:pt>
                <c:pt idx="741">
                  <c:v>0.2472665230278551</c:v>
                </c:pt>
                <c:pt idx="742">
                  <c:v>0.25482842016822294</c:v>
                </c:pt>
                <c:pt idx="743">
                  <c:v>0.25760423571089164</c:v>
                </c:pt>
                <c:pt idx="744">
                  <c:v>0.25266231026790037</c:v>
                </c:pt>
                <c:pt idx="745">
                  <c:v>0.2410070825338054</c:v>
                </c:pt>
                <c:pt idx="746">
                  <c:v>0.22830608799595073</c:v>
                </c:pt>
                <c:pt idx="747">
                  <c:v>0.24044088617545681</c:v>
                </c:pt>
                <c:pt idx="748">
                  <c:v>0.25644567094643372</c:v>
                </c:pt>
                <c:pt idx="749">
                  <c:v>0.26454489788809704</c:v>
                </c:pt>
                <c:pt idx="750">
                  <c:v>0.25058391477695924</c:v>
                </c:pt>
                <c:pt idx="751">
                  <c:v>0.24720687040418113</c:v>
                </c:pt>
                <c:pt idx="752">
                  <c:v>0.24329538164196554</c:v>
                </c:pt>
                <c:pt idx="753">
                  <c:v>0.23864385504206428</c:v>
                </c:pt>
                <c:pt idx="754">
                  <c:v>0.24959105050452904</c:v>
                </c:pt>
                <c:pt idx="755">
                  <c:v>0.26366888765886259</c:v>
                </c:pt>
                <c:pt idx="756">
                  <c:v>0.27231621422342095</c:v>
                </c:pt>
                <c:pt idx="757">
                  <c:v>0.25368727193058488</c:v>
                </c:pt>
                <c:pt idx="758">
                  <c:v>0.24386216622908777</c:v>
                </c:pt>
                <c:pt idx="759">
                  <c:v>0.24797398306119281</c:v>
                </c:pt>
                <c:pt idx="760">
                  <c:v>0.26176407959455467</c:v>
                </c:pt>
                <c:pt idx="761">
                  <c:v>0.26562350938351587</c:v>
                </c:pt>
                <c:pt idx="762">
                  <c:v>0.26539194227373591</c:v>
                </c:pt>
                <c:pt idx="763">
                  <c:v>0.25747915858968501</c:v>
                </c:pt>
                <c:pt idx="764">
                  <c:v>0.26094401349747254</c:v>
                </c:pt>
                <c:pt idx="765">
                  <c:v>0.26825580424924805</c:v>
                </c:pt>
                <c:pt idx="766">
                  <c:v>0.27902137793732956</c:v>
                </c:pt>
                <c:pt idx="767">
                  <c:v>0.28201708330990244</c:v>
                </c:pt>
                <c:pt idx="768">
                  <c:v>0.27629685573685347</c:v>
                </c:pt>
                <c:pt idx="769">
                  <c:v>0.27363285790841008</c:v>
                </c:pt>
                <c:pt idx="770">
                  <c:v>0.27500680897064927</c:v>
                </c:pt>
                <c:pt idx="771">
                  <c:v>0.27427690383428388</c:v>
                </c:pt>
                <c:pt idx="772">
                  <c:v>0.28012450585829618</c:v>
                </c:pt>
                <c:pt idx="773">
                  <c:v>0.27786658888910093</c:v>
                </c:pt>
                <c:pt idx="774">
                  <c:v>0.3021625178783367</c:v>
                </c:pt>
                <c:pt idx="775">
                  <c:v>0.30669771248456651</c:v>
                </c:pt>
                <c:pt idx="776">
                  <c:v>0.30502893324149655</c:v>
                </c:pt>
                <c:pt idx="777">
                  <c:v>0.29649656336103974</c:v>
                </c:pt>
                <c:pt idx="778">
                  <c:v>0.28595315539116445</c:v>
                </c:pt>
                <c:pt idx="779">
                  <c:v>0.29191469163529721</c:v>
                </c:pt>
                <c:pt idx="780">
                  <c:v>0.29761966313800636</c:v>
                </c:pt>
                <c:pt idx="781">
                  <c:v>0.30542663921864249</c:v>
                </c:pt>
                <c:pt idx="782">
                  <c:v>0.30495074104473968</c:v>
                </c:pt>
                <c:pt idx="783">
                  <c:v>0.29829019231694515</c:v>
                </c:pt>
                <c:pt idx="784">
                  <c:v>0.29939188225443175</c:v>
                </c:pt>
                <c:pt idx="785">
                  <c:v>0.30993412654532809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3-4FB4-9E6C-7D8164FDC41B}"/>
            </c:ext>
          </c:extLst>
        </c:ser>
        <c:ser>
          <c:idx val="1"/>
          <c:order val="1"/>
          <c:tx>
            <c:v>Implied by matching function</c:v>
          </c:tx>
          <c:spPr>
            <a:ln w="28575"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'BC composite HWI'!$A$3:$A$788</c:f>
              <c:numCache>
                <c:formatCode>m/d/yyyy</c:formatCode>
                <c:ptCount val="786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</c:numCache>
            </c:numRef>
          </c:cat>
          <c:val>
            <c:numRef>
              <c:f>'BC composite HWI'!$O$3:$O$788</c:f>
              <c:numCache>
                <c:formatCode>General</c:formatCode>
                <c:ptCount val="78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0.7385386811676522</c:v>
                </c:pt>
                <c:pt idx="39">
                  <c:v>0.76751100926327265</c:v>
                </c:pt>
                <c:pt idx="40">
                  <c:v>0.79083047452034017</c:v>
                </c:pt>
                <c:pt idx="41">
                  <c:v>0.79280880273004406</c:v>
                </c:pt>
                <c:pt idx="42">
                  <c:v>0.79069829511270961</c:v>
                </c:pt>
                <c:pt idx="43">
                  <c:v>0.78210554831037526</c:v>
                </c:pt>
                <c:pt idx="44">
                  <c:v>0.77760276453396127</c:v>
                </c:pt>
                <c:pt idx="45">
                  <c:v>0.76258488244879086</c:v>
                </c:pt>
                <c:pt idx="46">
                  <c:v>0.74732270663058797</c:v>
                </c:pt>
                <c:pt idx="47">
                  <c:v>0.75723738283038389</c:v>
                </c:pt>
                <c:pt idx="48">
                  <c:v>0.77692691860575014</c:v>
                </c:pt>
                <c:pt idx="49">
                  <c:v>0.79366762342167563</c:v>
                </c:pt>
                <c:pt idx="50">
                  <c:v>0.80406934798545071</c:v>
                </c:pt>
                <c:pt idx="51">
                  <c:v>0.81250124572976112</c:v>
                </c:pt>
                <c:pt idx="52">
                  <c:v>0.81592735462462507</c:v>
                </c:pt>
                <c:pt idx="53">
                  <c:v>0.81075140310398963</c:v>
                </c:pt>
                <c:pt idx="54">
                  <c:v>0.79800525793869459</c:v>
                </c:pt>
                <c:pt idx="55">
                  <c:v>0.78619376904736205</c:v>
                </c:pt>
                <c:pt idx="56">
                  <c:v>0.79483758975892937</c:v>
                </c:pt>
                <c:pt idx="57">
                  <c:v>0.8209339138370072</c:v>
                </c:pt>
                <c:pt idx="58">
                  <c:v>0.86098997447574688</c:v>
                </c:pt>
                <c:pt idx="59">
                  <c:v>0.88877759046102833</c:v>
                </c:pt>
                <c:pt idx="60">
                  <c:v>0.88575343156820663</c:v>
                </c:pt>
                <c:pt idx="61">
                  <c:v>0.89209432635924102</c:v>
                </c:pt>
                <c:pt idx="62">
                  <c:v>0.9002232982799484</c:v>
                </c:pt>
                <c:pt idx="63">
                  <c:v>0.91590266196901748</c:v>
                </c:pt>
                <c:pt idx="64">
                  <c:v>0.91967599141179424</c:v>
                </c:pt>
                <c:pt idx="65">
                  <c:v>0.90734759929598596</c:v>
                </c:pt>
                <c:pt idx="66">
                  <c:v>0.89359753597919267</c:v>
                </c:pt>
                <c:pt idx="67">
                  <c:v>0.86734928235423181</c:v>
                </c:pt>
                <c:pt idx="68">
                  <c:v>0.83315229687206882</c:v>
                </c:pt>
                <c:pt idx="69">
                  <c:v>0.78685164489474735</c:v>
                </c:pt>
                <c:pt idx="70">
                  <c:v>0.72472793194101859</c:v>
                </c:pt>
                <c:pt idx="71">
                  <c:v>0.64423228842678881</c:v>
                </c:pt>
                <c:pt idx="72">
                  <c:v>0.57636934767667458</c:v>
                </c:pt>
                <c:pt idx="73">
                  <c:v>0.52187338128956073</c:v>
                </c:pt>
                <c:pt idx="74">
                  <c:v>0.49209179306849155</c:v>
                </c:pt>
                <c:pt idx="75">
                  <c:v>0.47025271800641982</c:v>
                </c:pt>
                <c:pt idx="76">
                  <c:v>0.4548704447186786</c:v>
                </c:pt>
                <c:pt idx="77">
                  <c:v>0.45608517605506299</c:v>
                </c:pt>
                <c:pt idx="78">
                  <c:v>0.4550690772562121</c:v>
                </c:pt>
                <c:pt idx="79">
                  <c:v>0.45338328283145279</c:v>
                </c:pt>
                <c:pt idx="80">
                  <c:v>0.44296252986797846</c:v>
                </c:pt>
                <c:pt idx="81">
                  <c:v>0.44281859872585394</c:v>
                </c:pt>
                <c:pt idx="82">
                  <c:v>0.45816742891758172</c:v>
                </c:pt>
                <c:pt idx="83">
                  <c:v>0.4829938024003968</c:v>
                </c:pt>
                <c:pt idx="84">
                  <c:v>0.50670888568276229</c:v>
                </c:pt>
                <c:pt idx="85">
                  <c:v>0.53011817390459937</c:v>
                </c:pt>
                <c:pt idx="86">
                  <c:v>0.55279699375913516</c:v>
                </c:pt>
                <c:pt idx="87">
                  <c:v>0.56730765434802921</c:v>
                </c:pt>
                <c:pt idx="88">
                  <c:v>0.58636442047254056</c:v>
                </c:pt>
                <c:pt idx="89">
                  <c:v>0.60543553800063221</c:v>
                </c:pt>
                <c:pt idx="90">
                  <c:v>0.63426649397565082</c:v>
                </c:pt>
                <c:pt idx="91">
                  <c:v>0.64655957584718859</c:v>
                </c:pt>
                <c:pt idx="92">
                  <c:v>0.66104441037340489</c:v>
                </c:pt>
                <c:pt idx="93">
                  <c:v>0.66121586640186725</c:v>
                </c:pt>
                <c:pt idx="94">
                  <c:v>0.66917391888424671</c:v>
                </c:pt>
                <c:pt idx="95">
                  <c:v>0.67339404003656622</c:v>
                </c:pt>
                <c:pt idx="96">
                  <c:v>0.685272147293011</c:v>
                </c:pt>
                <c:pt idx="97">
                  <c:v>0.69528335927787754</c:v>
                </c:pt>
                <c:pt idx="98">
                  <c:v>0.69263771570397081</c:v>
                </c:pt>
                <c:pt idx="99">
                  <c:v>0.6959327453862626</c:v>
                </c:pt>
                <c:pt idx="100">
                  <c:v>0.68522013704593476</c:v>
                </c:pt>
                <c:pt idx="101">
                  <c:v>0.67800609575317905</c:v>
                </c:pt>
                <c:pt idx="102">
                  <c:v>0.6582854927326196</c:v>
                </c:pt>
                <c:pt idx="103">
                  <c:v>0.65964445261856197</c:v>
                </c:pt>
                <c:pt idx="104">
                  <c:v>0.66712475439643093</c:v>
                </c:pt>
                <c:pt idx="105">
                  <c:v>0.69039713869858821</c:v>
                </c:pt>
                <c:pt idx="106">
                  <c:v>0.68903817881264595</c:v>
                </c:pt>
                <c:pt idx="107">
                  <c:v>0.68260435401523667</c:v>
                </c:pt>
                <c:pt idx="108">
                  <c:v>0.67288919112673506</c:v>
                </c:pt>
                <c:pt idx="109">
                  <c:v>0.6776207729937257</c:v>
                </c:pt>
                <c:pt idx="110">
                  <c:v>0.68698110949890057</c:v>
                </c:pt>
                <c:pt idx="111">
                  <c:v>0.68192394199319528</c:v>
                </c:pt>
                <c:pt idx="112">
                  <c:v>0.67017961778484614</c:v>
                </c:pt>
                <c:pt idx="113">
                  <c:v>0.64509368145261914</c:v>
                </c:pt>
                <c:pt idx="114">
                  <c:v>0.63449156907775495</c:v>
                </c:pt>
                <c:pt idx="115">
                  <c:v>0.62477731217337562</c:v>
                </c:pt>
                <c:pt idx="116">
                  <c:v>0.61628907135486133</c:v>
                </c:pt>
                <c:pt idx="117">
                  <c:v>0.59484035204293784</c:v>
                </c:pt>
                <c:pt idx="118">
                  <c:v>0.55397516088060172</c:v>
                </c:pt>
                <c:pt idx="119">
                  <c:v>0.51954514600373669</c:v>
                </c:pt>
                <c:pt idx="120">
                  <c:v>0.48182662312541752</c:v>
                </c:pt>
                <c:pt idx="121">
                  <c:v>0.45418296856262214</c:v>
                </c:pt>
                <c:pt idx="122">
                  <c:v>0.42426300855516424</c:v>
                </c:pt>
                <c:pt idx="123">
                  <c:v>0.39595967286153871</c:v>
                </c:pt>
                <c:pt idx="124">
                  <c:v>0.38059501893831188</c:v>
                </c:pt>
                <c:pt idx="125">
                  <c:v>0.3743529106587169</c:v>
                </c:pt>
                <c:pt idx="126">
                  <c:v>0.37860121827880261</c:v>
                </c:pt>
                <c:pt idx="127">
                  <c:v>0.38604591202937982</c:v>
                </c:pt>
                <c:pt idx="128">
                  <c:v>0.39757344382806575</c:v>
                </c:pt>
                <c:pt idx="129">
                  <c:v>0.41207449374742405</c:v>
                </c:pt>
                <c:pt idx="130">
                  <c:v>0.43233631008325224</c:v>
                </c:pt>
                <c:pt idx="131">
                  <c:v>0.44989420986795281</c:v>
                </c:pt>
                <c:pt idx="132">
                  <c:v>0.46603949038341291</c:v>
                </c:pt>
                <c:pt idx="133">
                  <c:v>0.48027767067788285</c:v>
                </c:pt>
                <c:pt idx="134">
                  <c:v>0.49804485234538931</c:v>
                </c:pt>
                <c:pt idx="135">
                  <c:v>0.52390144055565402</c:v>
                </c:pt>
                <c:pt idx="136">
                  <c:v>0.54519183296181761</c:v>
                </c:pt>
                <c:pt idx="137">
                  <c:v>0.56429313612199461</c:v>
                </c:pt>
                <c:pt idx="138">
                  <c:v>0.57493351016207894</c:v>
                </c:pt>
                <c:pt idx="139">
                  <c:v>0.57685293978905017</c:v>
                </c:pt>
                <c:pt idx="140">
                  <c:v>0.57007831645979079</c:v>
                </c:pt>
                <c:pt idx="141">
                  <c:v>0.55584093583054439</c:v>
                </c:pt>
                <c:pt idx="142">
                  <c:v>0.54578961172360163</c:v>
                </c:pt>
                <c:pt idx="143">
                  <c:v>0.54655115394399623</c:v>
                </c:pt>
                <c:pt idx="144">
                  <c:v>0.5561196423704472</c:v>
                </c:pt>
                <c:pt idx="145">
                  <c:v>0.57580987597587019</c:v>
                </c:pt>
                <c:pt idx="146">
                  <c:v>0.57163857294783016</c:v>
                </c:pt>
                <c:pt idx="147">
                  <c:v>0.56441482161413326</c:v>
                </c:pt>
                <c:pt idx="148">
                  <c:v>0.55048586774020813</c:v>
                </c:pt>
                <c:pt idx="149">
                  <c:v>0.5447862717833698</c:v>
                </c:pt>
                <c:pt idx="150">
                  <c:v>0.53480981496161906</c:v>
                </c:pt>
                <c:pt idx="151">
                  <c:v>0.51871055572721869</c:v>
                </c:pt>
                <c:pt idx="152">
                  <c:v>0.50877554409256742</c:v>
                </c:pt>
                <c:pt idx="153">
                  <c:v>0.49067934061916157</c:v>
                </c:pt>
                <c:pt idx="154">
                  <c:v>0.47599890383349547</c:v>
                </c:pt>
                <c:pt idx="155">
                  <c:v>0.45284326048651607</c:v>
                </c:pt>
                <c:pt idx="156">
                  <c:v>0.44102626226263042</c:v>
                </c:pt>
                <c:pt idx="157">
                  <c:v>0.42820548930043234</c:v>
                </c:pt>
                <c:pt idx="158">
                  <c:v>0.42465819241164321</c:v>
                </c:pt>
                <c:pt idx="159">
                  <c:v>0.42137057107935849</c:v>
                </c:pt>
                <c:pt idx="160">
                  <c:v>0.4234822110554502</c:v>
                </c:pt>
                <c:pt idx="161">
                  <c:v>0.42761531358978605</c:v>
                </c:pt>
                <c:pt idx="162">
                  <c:v>0.43392490867072975</c:v>
                </c:pt>
                <c:pt idx="163">
                  <c:v>0.44329274029834065</c:v>
                </c:pt>
                <c:pt idx="164">
                  <c:v>0.4532672525294455</c:v>
                </c:pt>
                <c:pt idx="165">
                  <c:v>0.46777903756000977</c:v>
                </c:pt>
                <c:pt idx="166">
                  <c:v>0.48358953654634457</c:v>
                </c:pt>
                <c:pt idx="167">
                  <c:v>0.49943543341146723</c:v>
                </c:pt>
                <c:pt idx="168">
                  <c:v>0.5156180842975262</c:v>
                </c:pt>
                <c:pt idx="169">
                  <c:v>0.52690264351715654</c:v>
                </c:pt>
                <c:pt idx="170">
                  <c:v>0.53468105984387249</c:v>
                </c:pt>
                <c:pt idx="171">
                  <c:v>0.53632660736928062</c:v>
                </c:pt>
                <c:pt idx="172">
                  <c:v>0.53880044895683665</c:v>
                </c:pt>
                <c:pt idx="173">
                  <c:v>0.54057716810959489</c:v>
                </c:pt>
                <c:pt idx="174">
                  <c:v>0.54260027815672351</c:v>
                </c:pt>
                <c:pt idx="175">
                  <c:v>0.53464939220530072</c:v>
                </c:pt>
                <c:pt idx="176">
                  <c:v>0.52968139212935972</c:v>
                </c:pt>
                <c:pt idx="177">
                  <c:v>0.52535827901148824</c:v>
                </c:pt>
                <c:pt idx="178">
                  <c:v>0.52281944331688723</c:v>
                </c:pt>
                <c:pt idx="179">
                  <c:v>0.52169014834427552</c:v>
                </c:pt>
                <c:pt idx="180">
                  <c:v>0.51801161353178171</c:v>
                </c:pt>
                <c:pt idx="181">
                  <c:v>0.51586989151447138</c:v>
                </c:pt>
                <c:pt idx="182">
                  <c:v>0.51459631130712058</c:v>
                </c:pt>
                <c:pt idx="183">
                  <c:v>0.51500030301403876</c:v>
                </c:pt>
                <c:pt idx="184">
                  <c:v>0.51317359738969348</c:v>
                </c:pt>
                <c:pt idx="185">
                  <c:v>0.51290944213291645</c:v>
                </c:pt>
                <c:pt idx="186">
                  <c:v>0.51299485498223696</c:v>
                </c:pt>
                <c:pt idx="187">
                  <c:v>0.52250396295598112</c:v>
                </c:pt>
                <c:pt idx="188">
                  <c:v>0.52525946621186237</c:v>
                </c:pt>
                <c:pt idx="189">
                  <c:v>0.52892485498210484</c:v>
                </c:pt>
                <c:pt idx="190">
                  <c:v>0.52300709299018655</c:v>
                </c:pt>
                <c:pt idx="191">
                  <c:v>0.52715049054627328</c:v>
                </c:pt>
                <c:pt idx="192">
                  <c:v>0.52846708648589413</c:v>
                </c:pt>
                <c:pt idx="193">
                  <c:v>0.53773080154748643</c:v>
                </c:pt>
                <c:pt idx="194">
                  <c:v>0.53829737347515716</c:v>
                </c:pt>
                <c:pt idx="195">
                  <c:v>0.54526321024024937</c:v>
                </c:pt>
                <c:pt idx="196">
                  <c:v>0.55379366628684423</c:v>
                </c:pt>
                <c:pt idx="197">
                  <c:v>0.56371361435797762</c:v>
                </c:pt>
                <c:pt idx="198">
                  <c:v>0.57827013636373903</c:v>
                </c:pt>
                <c:pt idx="199">
                  <c:v>0.58557446826122728</c:v>
                </c:pt>
                <c:pt idx="200">
                  <c:v>0.59258806323925661</c:v>
                </c:pt>
                <c:pt idx="201">
                  <c:v>0.58940145676698752</c:v>
                </c:pt>
                <c:pt idx="202">
                  <c:v>0.59892452781793903</c:v>
                </c:pt>
                <c:pt idx="203">
                  <c:v>0.60492413917009802</c:v>
                </c:pt>
                <c:pt idx="204">
                  <c:v>0.61352441872512031</c:v>
                </c:pt>
                <c:pt idx="205">
                  <c:v>0.61275401198404933</c:v>
                </c:pt>
                <c:pt idx="206">
                  <c:v>0.62328719930820031</c:v>
                </c:pt>
                <c:pt idx="207">
                  <c:v>0.63115020888321982</c:v>
                </c:pt>
                <c:pt idx="208">
                  <c:v>0.64840727817707589</c:v>
                </c:pt>
                <c:pt idx="209">
                  <c:v>0.65866756133348014</c:v>
                </c:pt>
                <c:pt idx="210">
                  <c:v>0.67226159587042955</c:v>
                </c:pt>
                <c:pt idx="211">
                  <c:v>0.68252110680127365</c:v>
                </c:pt>
                <c:pt idx="212">
                  <c:v>0.69689119284283396</c:v>
                </c:pt>
                <c:pt idx="213">
                  <c:v>0.71530193983587076</c:v>
                </c:pt>
                <c:pt idx="214">
                  <c:v>0.73885056229955648</c:v>
                </c:pt>
                <c:pt idx="215">
                  <c:v>0.76062232733306334</c:v>
                </c:pt>
                <c:pt idx="216">
                  <c:v>0.77935763596880259</c:v>
                </c:pt>
                <c:pt idx="217">
                  <c:v>0.79688007268669914</c:v>
                </c:pt>
                <c:pt idx="218">
                  <c:v>0.81547587816764777</c:v>
                </c:pt>
                <c:pt idx="219">
                  <c:v>0.82696940243536521</c:v>
                </c:pt>
                <c:pt idx="220">
                  <c:v>0.8248968100750389</c:v>
                </c:pt>
                <c:pt idx="221">
                  <c:v>0.82362218025318423</c:v>
                </c:pt>
                <c:pt idx="222">
                  <c:v>0.82535874807242282</c:v>
                </c:pt>
                <c:pt idx="223">
                  <c:v>0.82768840378749797</c:v>
                </c:pt>
                <c:pt idx="224">
                  <c:v>0.8272302073511093</c:v>
                </c:pt>
                <c:pt idx="225">
                  <c:v>0.82696475931497115</c:v>
                </c:pt>
                <c:pt idx="226">
                  <c:v>0.83124733816363472</c:v>
                </c:pt>
                <c:pt idx="227">
                  <c:v>0.82374761345579328</c:v>
                </c:pt>
                <c:pt idx="228">
                  <c:v>0.81570880533503509</c:v>
                </c:pt>
                <c:pt idx="229">
                  <c:v>0.80667601037785008</c:v>
                </c:pt>
                <c:pt idx="230">
                  <c:v>0.8036199069889246</c:v>
                </c:pt>
                <c:pt idx="231">
                  <c:v>0.80289543638904648</c:v>
                </c:pt>
                <c:pt idx="232">
                  <c:v>0.79815486461394369</c:v>
                </c:pt>
                <c:pt idx="233">
                  <c:v>0.79353515190970958</c:v>
                </c:pt>
                <c:pt idx="234">
                  <c:v>0.78717838709261423</c:v>
                </c:pt>
                <c:pt idx="235">
                  <c:v>0.78851038343263635</c:v>
                </c:pt>
                <c:pt idx="236">
                  <c:v>0.79000863096822826</c:v>
                </c:pt>
                <c:pt idx="237">
                  <c:v>0.78755060272454391</c:v>
                </c:pt>
                <c:pt idx="238">
                  <c:v>0.78225746470790281</c:v>
                </c:pt>
                <c:pt idx="239">
                  <c:v>0.78366673087792049</c:v>
                </c:pt>
                <c:pt idx="240">
                  <c:v>0.7973731268253702</c:v>
                </c:pt>
                <c:pt idx="241">
                  <c:v>0.80219273964054849</c:v>
                </c:pt>
                <c:pt idx="242">
                  <c:v>0.81063648788200926</c:v>
                </c:pt>
                <c:pt idx="243">
                  <c:v>0.82318040363466682</c:v>
                </c:pt>
                <c:pt idx="244">
                  <c:v>0.8417545305256523</c:v>
                </c:pt>
                <c:pt idx="245">
                  <c:v>0.84290717714570318</c:v>
                </c:pt>
                <c:pt idx="246">
                  <c:v>0.83814333500916172</c:v>
                </c:pt>
                <c:pt idx="247">
                  <c:v>0.84277515496258826</c:v>
                </c:pt>
                <c:pt idx="248">
                  <c:v>0.86352549055608641</c:v>
                </c:pt>
                <c:pt idx="249">
                  <c:v>0.88549311578118595</c:v>
                </c:pt>
                <c:pt idx="250">
                  <c:v>0.89823164714233972</c:v>
                </c:pt>
                <c:pt idx="251">
                  <c:v>0.90428207326272325</c:v>
                </c:pt>
                <c:pt idx="252">
                  <c:v>0.90654642685341269</c:v>
                </c:pt>
                <c:pt idx="253">
                  <c:v>0.91173084619381095</c:v>
                </c:pt>
                <c:pt idx="254">
                  <c:v>0.91800393680800496</c:v>
                </c:pt>
                <c:pt idx="255">
                  <c:v>0.91769466066691618</c:v>
                </c:pt>
                <c:pt idx="256">
                  <c:v>0.91843173851797955</c:v>
                </c:pt>
                <c:pt idx="257">
                  <c:v>0.90891895243749421</c:v>
                </c:pt>
                <c:pt idx="258">
                  <c:v>0.89737205924392294</c:v>
                </c:pt>
                <c:pt idx="259">
                  <c:v>0.88201314967441313</c:v>
                </c:pt>
                <c:pt idx="260">
                  <c:v>0.87449040136408962</c:v>
                </c:pt>
                <c:pt idx="261">
                  <c:v>0.86932916163982554</c:v>
                </c:pt>
                <c:pt idx="262">
                  <c:v>0.87124134158819577</c:v>
                </c:pt>
                <c:pt idx="263">
                  <c:v>0.869526935056121</c:v>
                </c:pt>
                <c:pt idx="264">
                  <c:v>0.84801367521825777</c:v>
                </c:pt>
                <c:pt idx="265">
                  <c:v>0.81082582198565445</c:v>
                </c:pt>
                <c:pt idx="266">
                  <c:v>0.76524570575555118</c:v>
                </c:pt>
                <c:pt idx="267">
                  <c:v>0.73290354568889049</c:v>
                </c:pt>
                <c:pt idx="268">
                  <c:v>0.69959476257188269</c:v>
                </c:pt>
                <c:pt idx="269">
                  <c:v>0.67392079190493204</c:v>
                </c:pt>
                <c:pt idx="270">
                  <c:v>0.6507295732371905</c:v>
                </c:pt>
                <c:pt idx="271">
                  <c:v>0.63458226481444102</c:v>
                </c:pt>
                <c:pt idx="272">
                  <c:v>0.61796184467729631</c:v>
                </c:pt>
                <c:pt idx="273">
                  <c:v>0.59933394335682233</c:v>
                </c:pt>
                <c:pt idx="274">
                  <c:v>0.57841079848227617</c:v>
                </c:pt>
                <c:pt idx="275">
                  <c:v>0.56067540160944729</c:v>
                </c:pt>
                <c:pt idx="276">
                  <c:v>0.54939971228894346</c:v>
                </c:pt>
                <c:pt idx="277">
                  <c:v>0.54754317955890919</c:v>
                </c:pt>
                <c:pt idx="278">
                  <c:v>0.54741908859909083</c:v>
                </c:pt>
                <c:pt idx="279">
                  <c:v>0.54967923534021346</c:v>
                </c:pt>
                <c:pt idx="280">
                  <c:v>0.54970297245970778</c:v>
                </c:pt>
                <c:pt idx="281">
                  <c:v>0.55561393883105092</c:v>
                </c:pt>
                <c:pt idx="282">
                  <c:v>0.55768774497133511</c:v>
                </c:pt>
                <c:pt idx="283">
                  <c:v>0.55859155503005609</c:v>
                </c:pt>
                <c:pt idx="284">
                  <c:v>0.55514044339015645</c:v>
                </c:pt>
                <c:pt idx="285">
                  <c:v>0.55836788052368558</c:v>
                </c:pt>
                <c:pt idx="286">
                  <c:v>0.55955331604648573</c:v>
                </c:pt>
                <c:pt idx="287">
                  <c:v>0.56088984605981695</c:v>
                </c:pt>
                <c:pt idx="288">
                  <c:v>0.56635146125064928</c:v>
                </c:pt>
                <c:pt idx="289">
                  <c:v>0.577390843191118</c:v>
                </c:pt>
                <c:pt idx="290">
                  <c:v>0.5893632838297207</c:v>
                </c:pt>
                <c:pt idx="291">
                  <c:v>0.59542796831449174</c:v>
                </c:pt>
                <c:pt idx="292">
                  <c:v>0.60202086378029585</c:v>
                </c:pt>
                <c:pt idx="293">
                  <c:v>0.60753359031098675</c:v>
                </c:pt>
                <c:pt idx="294">
                  <c:v>0.61484368283179847</c:v>
                </c:pt>
                <c:pt idx="295">
                  <c:v>0.62075517527753055</c:v>
                </c:pt>
                <c:pt idx="296">
                  <c:v>0.63017579680498825</c:v>
                </c:pt>
                <c:pt idx="297">
                  <c:v>0.64023038181199288</c:v>
                </c:pt>
                <c:pt idx="298">
                  <c:v>0.65562164396178702</c:v>
                </c:pt>
                <c:pt idx="299">
                  <c:v>0.67959735252093123</c:v>
                </c:pt>
                <c:pt idx="300">
                  <c:v>0.70846502768340536</c:v>
                </c:pt>
                <c:pt idx="301">
                  <c:v>0.72592682318990975</c:v>
                </c:pt>
                <c:pt idx="302">
                  <c:v>0.73291165337599473</c:v>
                </c:pt>
                <c:pt idx="303">
                  <c:v>0.72773080467203499</c:v>
                </c:pt>
                <c:pt idx="304">
                  <c:v>0.73115320326251754</c:v>
                </c:pt>
                <c:pt idx="305">
                  <c:v>0.73201920796507691</c:v>
                </c:pt>
                <c:pt idx="306">
                  <c:v>0.74079012802351241</c:v>
                </c:pt>
                <c:pt idx="307">
                  <c:v>0.74147495908794048</c:v>
                </c:pt>
                <c:pt idx="308">
                  <c:v>0.74033975625469806</c:v>
                </c:pt>
                <c:pt idx="309">
                  <c:v>0.7420960646750876</c:v>
                </c:pt>
                <c:pt idx="310">
                  <c:v>0.73952918500547093</c:v>
                </c:pt>
                <c:pt idx="311">
                  <c:v>0.73273989110524118</c:v>
                </c:pt>
                <c:pt idx="312">
                  <c:v>0.71295188303795332</c:v>
                </c:pt>
                <c:pt idx="313">
                  <c:v>0.69686150860540685</c:v>
                </c:pt>
                <c:pt idx="314">
                  <c:v>0.69014853485000882</c:v>
                </c:pt>
                <c:pt idx="315">
                  <c:v>0.69228427148650284</c:v>
                </c:pt>
                <c:pt idx="316">
                  <c:v>0.69439367423963105</c:v>
                </c:pt>
                <c:pt idx="317">
                  <c:v>0.68598126839747253</c:v>
                </c:pt>
                <c:pt idx="318">
                  <c:v>0.66828842025062107</c:v>
                </c:pt>
                <c:pt idx="319">
                  <c:v>0.65216596580908848</c:v>
                </c:pt>
                <c:pt idx="320">
                  <c:v>0.6315288333375465</c:v>
                </c:pt>
                <c:pt idx="321">
                  <c:v>0.6078453985520843</c:v>
                </c:pt>
                <c:pt idx="322">
                  <c:v>0.56903563384672762</c:v>
                </c:pt>
                <c:pt idx="323">
                  <c:v>0.52891184196705721</c:v>
                </c:pt>
                <c:pt idx="324">
                  <c:v>0.48388169816227006</c:v>
                </c:pt>
                <c:pt idx="325">
                  <c:v>0.45441318862572705</c:v>
                </c:pt>
                <c:pt idx="326">
                  <c:v>0.43325266496507653</c:v>
                </c:pt>
                <c:pt idx="327">
                  <c:v>0.42395430146185098</c:v>
                </c:pt>
                <c:pt idx="328">
                  <c:v>0.41445449149668967</c:v>
                </c:pt>
                <c:pt idx="329">
                  <c:v>0.41653909410867168</c:v>
                </c:pt>
                <c:pt idx="330">
                  <c:v>0.42279680287664584</c:v>
                </c:pt>
                <c:pt idx="331">
                  <c:v>0.43130778864412372</c:v>
                </c:pt>
                <c:pt idx="332">
                  <c:v>0.43670678799368062</c:v>
                </c:pt>
                <c:pt idx="333">
                  <c:v>0.44016899986942931</c:v>
                </c:pt>
                <c:pt idx="334">
                  <c:v>0.44692001514587903</c:v>
                </c:pt>
                <c:pt idx="335">
                  <c:v>0.45135504426948819</c:v>
                </c:pt>
                <c:pt idx="336">
                  <c:v>0.45902128056720909</c:v>
                </c:pt>
                <c:pt idx="337">
                  <c:v>0.46927164255288106</c:v>
                </c:pt>
                <c:pt idx="338">
                  <c:v>0.48145553177701278</c:v>
                </c:pt>
                <c:pt idx="339">
                  <c:v>0.48769942247966397</c:v>
                </c:pt>
                <c:pt idx="340">
                  <c:v>0.49352597587530744</c:v>
                </c:pt>
                <c:pt idx="341">
                  <c:v>0.49382311387958383</c:v>
                </c:pt>
                <c:pt idx="342">
                  <c:v>0.49473105983014842</c:v>
                </c:pt>
                <c:pt idx="343">
                  <c:v>0.48946516014618741</c:v>
                </c:pt>
                <c:pt idx="344">
                  <c:v>0.48749079948970886</c:v>
                </c:pt>
                <c:pt idx="345">
                  <c:v>0.48814615884500118</c:v>
                </c:pt>
                <c:pt idx="346">
                  <c:v>0.48963608145168008</c:v>
                </c:pt>
                <c:pt idx="347">
                  <c:v>0.49430685841209671</c:v>
                </c:pt>
                <c:pt idx="348">
                  <c:v>0.50377851595157086</c:v>
                </c:pt>
                <c:pt idx="349">
                  <c:v>0.51081653022251183</c:v>
                </c:pt>
                <c:pt idx="350">
                  <c:v>0.51858998397255773</c:v>
                </c:pt>
                <c:pt idx="351">
                  <c:v>0.52636007243753735</c:v>
                </c:pt>
                <c:pt idx="352">
                  <c:v>0.54047201146336943</c:v>
                </c:pt>
                <c:pt idx="353">
                  <c:v>0.54879565031118094</c:v>
                </c:pt>
                <c:pt idx="354">
                  <c:v>0.55807696398646611</c:v>
                </c:pt>
                <c:pt idx="355">
                  <c:v>0.56403067331769219</c:v>
                </c:pt>
                <c:pt idx="356">
                  <c:v>0.57288941750148326</c:v>
                </c:pt>
                <c:pt idx="357">
                  <c:v>0.57990883794547898</c:v>
                </c:pt>
                <c:pt idx="358">
                  <c:v>0.58861851684982025</c:v>
                </c:pt>
                <c:pt idx="359">
                  <c:v>0.60631567992461466</c:v>
                </c:pt>
                <c:pt idx="360">
                  <c:v>0.61765042214689558</c:v>
                </c:pt>
                <c:pt idx="361">
                  <c:v>0.63017649568660172</c:v>
                </c:pt>
                <c:pt idx="362">
                  <c:v>0.63454679117834767</c:v>
                </c:pt>
                <c:pt idx="363">
                  <c:v>0.65033003763958375</c:v>
                </c:pt>
                <c:pt idx="364">
                  <c:v>0.66192382855145937</c:v>
                </c:pt>
                <c:pt idx="365">
                  <c:v>0.67447069159368889</c:v>
                </c:pt>
                <c:pt idx="366">
                  <c:v>0.67102378343864233</c:v>
                </c:pt>
                <c:pt idx="367">
                  <c:v>0.67421471077916395</c:v>
                </c:pt>
                <c:pt idx="368">
                  <c:v>0.6747192892289734</c:v>
                </c:pt>
                <c:pt idx="369">
                  <c:v>0.68946607588353592</c:v>
                </c:pt>
                <c:pt idx="370">
                  <c:v>0.69410850223908704</c:v>
                </c:pt>
                <c:pt idx="371">
                  <c:v>0.6967293822196029</c:v>
                </c:pt>
                <c:pt idx="372">
                  <c:v>0.69245965849771263</c:v>
                </c:pt>
                <c:pt idx="373">
                  <c:v>0.68838786845566424</c:v>
                </c:pt>
                <c:pt idx="374">
                  <c:v>0.68721081882269652</c:v>
                </c:pt>
                <c:pt idx="375">
                  <c:v>0.6902317274053682</c:v>
                </c:pt>
                <c:pt idx="376">
                  <c:v>0.70011125230765592</c:v>
                </c:pt>
                <c:pt idx="377">
                  <c:v>0.70412684354167376</c:v>
                </c:pt>
                <c:pt idx="378">
                  <c:v>0.70212661551531985</c:v>
                </c:pt>
                <c:pt idx="379">
                  <c:v>0.69182297674860171</c:v>
                </c:pt>
                <c:pt idx="380">
                  <c:v>0.69191694949835558</c:v>
                </c:pt>
                <c:pt idx="381">
                  <c:v>0.69185856673228097</c:v>
                </c:pt>
                <c:pt idx="382">
                  <c:v>0.69109420055813542</c:v>
                </c:pt>
                <c:pt idx="383">
                  <c:v>0.68191883601640979</c:v>
                </c:pt>
                <c:pt idx="384">
                  <c:v>0.66533353667744188</c:v>
                </c:pt>
                <c:pt idx="385">
                  <c:v>0.65070624973573565</c:v>
                </c:pt>
                <c:pt idx="386">
                  <c:v>0.63721562238711038</c:v>
                </c:pt>
                <c:pt idx="387">
                  <c:v>0.61056424722011216</c:v>
                </c:pt>
                <c:pt idx="388">
                  <c:v>0.57326732864121099</c:v>
                </c:pt>
                <c:pt idx="389">
                  <c:v>0.53742601465913398</c:v>
                </c:pt>
                <c:pt idx="390">
                  <c:v>0.52024296143987747</c:v>
                </c:pt>
                <c:pt idx="391">
                  <c:v>0.51932550113977205</c:v>
                </c:pt>
                <c:pt idx="392">
                  <c:v>0.52465179669822204</c:v>
                </c:pt>
                <c:pt idx="393">
                  <c:v>0.53201643307474689</c:v>
                </c:pt>
                <c:pt idx="394">
                  <c:v>0.54143736706418399</c:v>
                </c:pt>
                <c:pt idx="395">
                  <c:v>0.54492958473256159</c:v>
                </c:pt>
                <c:pt idx="396">
                  <c:v>0.54400902508303906</c:v>
                </c:pt>
                <c:pt idx="397">
                  <c:v>0.54040047350634202</c:v>
                </c:pt>
                <c:pt idx="398">
                  <c:v>0.53734657239290406</c:v>
                </c:pt>
                <c:pt idx="399">
                  <c:v>0.54073938065336014</c:v>
                </c:pt>
                <c:pt idx="400">
                  <c:v>0.53828337707657481</c:v>
                </c:pt>
                <c:pt idx="401">
                  <c:v>0.53588197216385636</c:v>
                </c:pt>
                <c:pt idx="402">
                  <c:v>0.5348277244547871</c:v>
                </c:pt>
                <c:pt idx="403">
                  <c:v>0.53522148027535155</c:v>
                </c:pt>
                <c:pt idx="404">
                  <c:v>0.52819443758336115</c:v>
                </c:pt>
                <c:pt idx="405">
                  <c:v>0.5098754135877086</c:v>
                </c:pt>
                <c:pt idx="406">
                  <c:v>0.49003282779982332</c:v>
                </c:pt>
                <c:pt idx="407">
                  <c:v>0.47138316180802131</c:v>
                </c:pt>
                <c:pt idx="408">
                  <c:v>0.46033494043581569</c:v>
                </c:pt>
                <c:pt idx="409">
                  <c:v>0.44810215159778272</c:v>
                </c:pt>
                <c:pt idx="410">
                  <c:v>0.43760475144563649</c:v>
                </c:pt>
                <c:pt idx="411">
                  <c:v>0.42346973324439685</c:v>
                </c:pt>
                <c:pt idx="412">
                  <c:v>0.41336908059038552</c:v>
                </c:pt>
                <c:pt idx="413">
                  <c:v>0.40218083835775031</c:v>
                </c:pt>
                <c:pt idx="414">
                  <c:v>0.3903164776043615</c:v>
                </c:pt>
                <c:pt idx="415">
                  <c:v>0.37882910807124143</c:v>
                </c:pt>
                <c:pt idx="416">
                  <c:v>0.36666596040760296</c:v>
                </c:pt>
                <c:pt idx="417">
                  <c:v>0.35826195226791002</c:v>
                </c:pt>
                <c:pt idx="418">
                  <c:v>0.35037336898591592</c:v>
                </c:pt>
                <c:pt idx="419">
                  <c:v>0.34851480013315789</c:v>
                </c:pt>
                <c:pt idx="420">
                  <c:v>0.35200327881201626</c:v>
                </c:pt>
                <c:pt idx="421">
                  <c:v>0.35628556640266923</c:v>
                </c:pt>
                <c:pt idx="422">
                  <c:v>0.36298301990536519</c:v>
                </c:pt>
                <c:pt idx="423">
                  <c:v>0.36784529355775347</c:v>
                </c:pt>
                <c:pt idx="424">
                  <c:v>0.3789829686943445</c:v>
                </c:pt>
                <c:pt idx="425">
                  <c:v>0.386566034135923</c:v>
                </c:pt>
                <c:pt idx="426">
                  <c:v>0.40091933411918301</c:v>
                </c:pt>
                <c:pt idx="427">
                  <c:v>0.40964180197314343</c:v>
                </c:pt>
                <c:pt idx="428">
                  <c:v>0.42337148148121839</c:v>
                </c:pt>
                <c:pt idx="429">
                  <c:v>0.43667497714014769</c:v>
                </c:pt>
                <c:pt idx="430">
                  <c:v>0.45355242834705223</c:v>
                </c:pt>
                <c:pt idx="431">
                  <c:v>0.47058062355648961</c:v>
                </c:pt>
                <c:pt idx="432">
                  <c:v>0.48437585295433311</c:v>
                </c:pt>
                <c:pt idx="433">
                  <c:v>0.49925780018711891</c:v>
                </c:pt>
                <c:pt idx="434">
                  <c:v>0.50996003099569087</c:v>
                </c:pt>
                <c:pt idx="435">
                  <c:v>0.5196844388864762</c:v>
                </c:pt>
                <c:pt idx="436">
                  <c:v>0.52836932510082535</c:v>
                </c:pt>
                <c:pt idx="437">
                  <c:v>0.54017579832775298</c:v>
                </c:pt>
                <c:pt idx="438">
                  <c:v>0.54662959330123795</c:v>
                </c:pt>
                <c:pt idx="439">
                  <c:v>0.54596177226873499</c:v>
                </c:pt>
                <c:pt idx="440">
                  <c:v>0.54545079056168388</c:v>
                </c:pt>
                <c:pt idx="441">
                  <c:v>0.54714162234896146</c:v>
                </c:pt>
                <c:pt idx="442">
                  <c:v>0.55274088086715534</c:v>
                </c:pt>
                <c:pt idx="443">
                  <c:v>0.55593990316242459</c:v>
                </c:pt>
                <c:pt idx="444">
                  <c:v>0.55548006158804941</c:v>
                </c:pt>
                <c:pt idx="445">
                  <c:v>0.5561833811796365</c:v>
                </c:pt>
                <c:pt idx="446">
                  <c:v>0.55741897678141894</c:v>
                </c:pt>
                <c:pt idx="447">
                  <c:v>0.55978171430454715</c:v>
                </c:pt>
                <c:pt idx="448">
                  <c:v>0.5620509802568181</c:v>
                </c:pt>
                <c:pt idx="449">
                  <c:v>0.56070341602639406</c:v>
                </c:pt>
                <c:pt idx="450">
                  <c:v>0.55940904489358445</c:v>
                </c:pt>
                <c:pt idx="451">
                  <c:v>0.56062200156798925</c:v>
                </c:pt>
                <c:pt idx="452">
                  <c:v>0.56402577640680862</c:v>
                </c:pt>
                <c:pt idx="453">
                  <c:v>0.56743052451416043</c:v>
                </c:pt>
                <c:pt idx="454">
                  <c:v>0.5692519118483822</c:v>
                </c:pt>
                <c:pt idx="455">
                  <c:v>0.56742302358857455</c:v>
                </c:pt>
                <c:pt idx="456">
                  <c:v>0.57234265701790077</c:v>
                </c:pt>
                <c:pt idx="457">
                  <c:v>0.56716574083151927</c:v>
                </c:pt>
                <c:pt idx="458">
                  <c:v>0.56542448618438124</c:v>
                </c:pt>
                <c:pt idx="459">
                  <c:v>0.55873905764816489</c:v>
                </c:pt>
                <c:pt idx="460">
                  <c:v>0.55730803547809793</c:v>
                </c:pt>
                <c:pt idx="461">
                  <c:v>0.55694781356361689</c:v>
                </c:pt>
                <c:pt idx="462">
                  <c:v>0.55745143616666726</c:v>
                </c:pt>
                <c:pt idx="463">
                  <c:v>0.56294673155687991</c:v>
                </c:pt>
                <c:pt idx="464">
                  <c:v>0.56616767151467728</c:v>
                </c:pt>
                <c:pt idx="465">
                  <c:v>0.56908032992156832</c:v>
                </c:pt>
                <c:pt idx="466">
                  <c:v>0.57389043897316927</c:v>
                </c:pt>
                <c:pt idx="467">
                  <c:v>0.57789789494893695</c:v>
                </c:pt>
                <c:pt idx="468">
                  <c:v>0.57997641961342195</c:v>
                </c:pt>
                <c:pt idx="469">
                  <c:v>0.5815286890071909</c:v>
                </c:pt>
                <c:pt idx="470">
                  <c:v>0.58900812190051977</c:v>
                </c:pt>
                <c:pt idx="471">
                  <c:v>0.59978150404575159</c:v>
                </c:pt>
                <c:pt idx="472">
                  <c:v>0.6076913529003326</c:v>
                </c:pt>
                <c:pt idx="473">
                  <c:v>0.61492804147253644</c:v>
                </c:pt>
                <c:pt idx="474">
                  <c:v>0.62188318154978495</c:v>
                </c:pt>
                <c:pt idx="475">
                  <c:v>0.63144768365523751</c:v>
                </c:pt>
                <c:pt idx="476">
                  <c:v>0.63889273873297459</c:v>
                </c:pt>
                <c:pt idx="477">
                  <c:v>0.64365093682523078</c:v>
                </c:pt>
                <c:pt idx="478">
                  <c:v>0.64914004585914198</c:v>
                </c:pt>
                <c:pt idx="479">
                  <c:v>0.64957563555811981</c:v>
                </c:pt>
                <c:pt idx="480">
                  <c:v>0.65164770410099837</c:v>
                </c:pt>
                <c:pt idx="481">
                  <c:v>0.64910795462493287</c:v>
                </c:pt>
                <c:pt idx="482">
                  <c:v>0.6532410902099457</c:v>
                </c:pt>
                <c:pt idx="483">
                  <c:v>0.6589388732518523</c:v>
                </c:pt>
                <c:pt idx="484">
                  <c:v>0.66452650017389026</c:v>
                </c:pt>
                <c:pt idx="485">
                  <c:v>0.66782277960343972</c:v>
                </c:pt>
                <c:pt idx="486">
                  <c:v>0.66992277097028208</c:v>
                </c:pt>
                <c:pt idx="487">
                  <c:v>0.66782301809216416</c:v>
                </c:pt>
                <c:pt idx="488">
                  <c:v>0.66465217887207573</c:v>
                </c:pt>
                <c:pt idx="489">
                  <c:v>0.66528309953457032</c:v>
                </c:pt>
                <c:pt idx="490">
                  <c:v>0.66820347776394051</c:v>
                </c:pt>
                <c:pt idx="491">
                  <c:v>0.67403478912220172</c:v>
                </c:pt>
                <c:pt idx="492">
                  <c:v>0.67210771220033017</c:v>
                </c:pt>
                <c:pt idx="493">
                  <c:v>0.6763184319614487</c:v>
                </c:pt>
                <c:pt idx="494">
                  <c:v>0.67631178366132705</c:v>
                </c:pt>
                <c:pt idx="495">
                  <c:v>0.67887865628001398</c:v>
                </c:pt>
                <c:pt idx="496">
                  <c:v>0.67300934939626111</c:v>
                </c:pt>
                <c:pt idx="497">
                  <c:v>0.66318233316311359</c:v>
                </c:pt>
                <c:pt idx="498">
                  <c:v>0.65492901646213963</c:v>
                </c:pt>
                <c:pt idx="499">
                  <c:v>0.64921921776793323</c:v>
                </c:pt>
                <c:pt idx="500">
                  <c:v>0.64787943356812205</c:v>
                </c:pt>
                <c:pt idx="501">
                  <c:v>0.64677287827553209</c:v>
                </c:pt>
                <c:pt idx="502">
                  <c:v>0.64218837700252973</c:v>
                </c:pt>
                <c:pt idx="503">
                  <c:v>0.6420655019725835</c:v>
                </c:pt>
                <c:pt idx="504">
                  <c:v>0.64010319036052266</c:v>
                </c:pt>
                <c:pt idx="505">
                  <c:v>0.63900270640079926</c:v>
                </c:pt>
                <c:pt idx="506">
                  <c:v>0.63327446531961862</c:v>
                </c:pt>
                <c:pt idx="507">
                  <c:v>0.62471446271162945</c:v>
                </c:pt>
                <c:pt idx="508">
                  <c:v>0.6163667386805266</c:v>
                </c:pt>
                <c:pt idx="509">
                  <c:v>0.61179837303785967</c:v>
                </c:pt>
                <c:pt idx="510">
                  <c:v>0.60418973837511392</c:v>
                </c:pt>
                <c:pt idx="511">
                  <c:v>0.59322460097095264</c:v>
                </c:pt>
                <c:pt idx="512">
                  <c:v>0.57644436857080594</c:v>
                </c:pt>
                <c:pt idx="513">
                  <c:v>0.55760450351182544</c:v>
                </c:pt>
                <c:pt idx="514">
                  <c:v>0.53762024212643966</c:v>
                </c:pt>
                <c:pt idx="515">
                  <c:v>0.51964746856855371</c:v>
                </c:pt>
                <c:pt idx="516">
                  <c:v>0.50383610258166822</c:v>
                </c:pt>
                <c:pt idx="517">
                  <c:v>0.4901947792728934</c:v>
                </c:pt>
                <c:pt idx="518">
                  <c:v>0.47386300723883701</c:v>
                </c:pt>
                <c:pt idx="519">
                  <c:v>0.46487654944516604</c:v>
                </c:pt>
                <c:pt idx="520">
                  <c:v>0.45694829154171773</c:v>
                </c:pt>
                <c:pt idx="521">
                  <c:v>0.45721482478485398</c:v>
                </c:pt>
                <c:pt idx="522">
                  <c:v>0.45343681624212184</c:v>
                </c:pt>
                <c:pt idx="523">
                  <c:v>0.45280449867483347</c:v>
                </c:pt>
                <c:pt idx="524">
                  <c:v>0.45012889371280895</c:v>
                </c:pt>
                <c:pt idx="525">
                  <c:v>0.4454773586579715</c:v>
                </c:pt>
                <c:pt idx="526">
                  <c:v>0.44325401618141197</c:v>
                </c:pt>
                <c:pt idx="527">
                  <c:v>0.4369159130141122</c:v>
                </c:pt>
                <c:pt idx="528">
                  <c:v>0.43340524663887181</c:v>
                </c:pt>
                <c:pt idx="529">
                  <c:v>0.43047668685816892</c:v>
                </c:pt>
                <c:pt idx="530">
                  <c:v>0.43313222639489363</c:v>
                </c:pt>
                <c:pt idx="531">
                  <c:v>0.43450814410070188</c:v>
                </c:pt>
                <c:pt idx="532">
                  <c:v>0.43465518943199283</c:v>
                </c:pt>
                <c:pt idx="533">
                  <c:v>0.42922568585186721</c:v>
                </c:pt>
                <c:pt idx="534">
                  <c:v>0.42601261478592223</c:v>
                </c:pt>
                <c:pt idx="535">
                  <c:v>0.42569650744665516</c:v>
                </c:pt>
                <c:pt idx="536">
                  <c:v>0.42641590044368877</c:v>
                </c:pt>
                <c:pt idx="537">
                  <c:v>0.43093471847607062</c:v>
                </c:pt>
                <c:pt idx="538">
                  <c:v>0.43600354908408523</c:v>
                </c:pt>
                <c:pt idx="539">
                  <c:v>0.44110400908917463</c:v>
                </c:pt>
                <c:pt idx="540">
                  <c:v>0.44629965778903385</c:v>
                </c:pt>
                <c:pt idx="541">
                  <c:v>0.45050043136848905</c:v>
                </c:pt>
                <c:pt idx="542">
                  <c:v>0.45568392531451724</c:v>
                </c:pt>
                <c:pt idx="543">
                  <c:v>0.45629112073421774</c:v>
                </c:pt>
                <c:pt idx="544">
                  <c:v>0.45771194225737838</c:v>
                </c:pt>
                <c:pt idx="545">
                  <c:v>0.45831484966111641</c:v>
                </c:pt>
                <c:pt idx="546">
                  <c:v>0.46330880200233698</c:v>
                </c:pt>
                <c:pt idx="547">
                  <c:v>0.47010251885040605</c:v>
                </c:pt>
                <c:pt idx="548">
                  <c:v>0.47825074061883494</c:v>
                </c:pt>
                <c:pt idx="549">
                  <c:v>0.48665239791141773</c:v>
                </c:pt>
                <c:pt idx="550">
                  <c:v>0.49212805323197245</c:v>
                </c:pt>
                <c:pt idx="551">
                  <c:v>0.49891332371087183</c:v>
                </c:pt>
                <c:pt idx="552">
                  <c:v>0.50227428376367211</c:v>
                </c:pt>
                <c:pt idx="553">
                  <c:v>0.50739228751413978</c:v>
                </c:pt>
                <c:pt idx="554">
                  <c:v>0.5129783370630373</c:v>
                </c:pt>
                <c:pt idx="555">
                  <c:v>0.52039754808780792</c:v>
                </c:pt>
                <c:pt idx="556">
                  <c:v>0.53195334088641</c:v>
                </c:pt>
                <c:pt idx="557">
                  <c:v>0.53892386330787134</c:v>
                </c:pt>
                <c:pt idx="558">
                  <c:v>0.54863757070614116</c:v>
                </c:pt>
                <c:pt idx="559">
                  <c:v>0.54732495483667554</c:v>
                </c:pt>
                <c:pt idx="560">
                  <c:v>0.55181043932076379</c:v>
                </c:pt>
                <c:pt idx="561">
                  <c:v>0.55887567139373706</c:v>
                </c:pt>
                <c:pt idx="562">
                  <c:v>0.57128736796884105</c:v>
                </c:pt>
                <c:pt idx="563">
                  <c:v>0.58554627103101209</c:v>
                </c:pt>
                <c:pt idx="564">
                  <c:v>0.58774948249374426</c:v>
                </c:pt>
                <c:pt idx="565">
                  <c:v>0.59052096870605431</c:v>
                </c:pt>
                <c:pt idx="566">
                  <c:v>0.58642300138474557</c:v>
                </c:pt>
                <c:pt idx="567">
                  <c:v>0.58256875902339667</c:v>
                </c:pt>
                <c:pt idx="568">
                  <c:v>0.57205750356695306</c:v>
                </c:pt>
                <c:pt idx="569">
                  <c:v>0.56455477772246898</c:v>
                </c:pt>
                <c:pt idx="570">
                  <c:v>0.56564176669230271</c:v>
                </c:pt>
                <c:pt idx="571">
                  <c:v>0.57027141149106286</c:v>
                </c:pt>
                <c:pt idx="572">
                  <c:v>0.57378376845431311</c:v>
                </c:pt>
                <c:pt idx="573">
                  <c:v>0.57709427920331013</c:v>
                </c:pt>
                <c:pt idx="574">
                  <c:v>0.57626184565881078</c:v>
                </c:pt>
                <c:pt idx="575">
                  <c:v>0.58336297354846356</c:v>
                </c:pt>
                <c:pt idx="576">
                  <c:v>0.58083393019286034</c:v>
                </c:pt>
                <c:pt idx="577">
                  <c:v>0.58303732563515609</c:v>
                </c:pt>
                <c:pt idx="578">
                  <c:v>0.57951214271602602</c:v>
                </c:pt>
                <c:pt idx="579">
                  <c:v>0.57892627783101813</c:v>
                </c:pt>
                <c:pt idx="580">
                  <c:v>0.57470241588110971</c:v>
                </c:pt>
                <c:pt idx="581">
                  <c:v>0.58087948754785279</c:v>
                </c:pt>
                <c:pt idx="582">
                  <c:v>0.58148768219530045</c:v>
                </c:pt>
                <c:pt idx="583">
                  <c:v>0.5920077420758022</c:v>
                </c:pt>
                <c:pt idx="584">
                  <c:v>0.59331057867511949</c:v>
                </c:pt>
                <c:pt idx="585">
                  <c:v>0.59825679302918677</c:v>
                </c:pt>
                <c:pt idx="586">
                  <c:v>0.60121896697479149</c:v>
                </c:pt>
                <c:pt idx="587">
                  <c:v>0.59935696677469341</c:v>
                </c:pt>
                <c:pt idx="588">
                  <c:v>0.60320913275423405</c:v>
                </c:pt>
                <c:pt idx="589">
                  <c:v>0.60713715160787662</c:v>
                </c:pt>
                <c:pt idx="590">
                  <c:v>0.61280940170496345</c:v>
                </c:pt>
                <c:pt idx="591">
                  <c:v>0.61904274705940099</c:v>
                </c:pt>
                <c:pt idx="592">
                  <c:v>0.61812195825027405</c:v>
                </c:pt>
                <c:pt idx="593">
                  <c:v>0.62329328169271092</c:v>
                </c:pt>
                <c:pt idx="594">
                  <c:v>0.62638615829754674</c:v>
                </c:pt>
                <c:pt idx="595">
                  <c:v>0.63433112849661055</c:v>
                </c:pt>
                <c:pt idx="596">
                  <c:v>0.64001171003725732</c:v>
                </c:pt>
                <c:pt idx="597">
                  <c:v>0.64801910165950394</c:v>
                </c:pt>
                <c:pt idx="598">
                  <c:v>0.66278336040148911</c:v>
                </c:pt>
                <c:pt idx="599">
                  <c:v>0.66312893583363952</c:v>
                </c:pt>
                <c:pt idx="600">
                  <c:v>0.66818757064220335</c:v>
                </c:pt>
                <c:pt idx="601">
                  <c:v>0.66813448432860889</c:v>
                </c:pt>
                <c:pt idx="602">
                  <c:v>0.67514892513443725</c:v>
                </c:pt>
                <c:pt idx="603">
                  <c:v>0.68551247130009296</c:v>
                </c:pt>
                <c:pt idx="604">
                  <c:v>0.6902730448030111</c:v>
                </c:pt>
                <c:pt idx="605">
                  <c:v>0.69271249531150758</c:v>
                </c:pt>
                <c:pt idx="606">
                  <c:v>0.68540445421937191</c:v>
                </c:pt>
                <c:pt idx="607">
                  <c:v>0.68291196921464048</c:v>
                </c:pt>
                <c:pt idx="608">
                  <c:v>0.67872904300167802</c:v>
                </c:pt>
                <c:pt idx="609">
                  <c:v>0.67446776663049501</c:v>
                </c:pt>
                <c:pt idx="610">
                  <c:v>0.67598376461126763</c:v>
                </c:pt>
                <c:pt idx="611">
                  <c:v>0.68354984157191989</c:v>
                </c:pt>
                <c:pt idx="612">
                  <c:v>0.69974195408423234</c:v>
                </c:pt>
                <c:pt idx="613">
                  <c:v>0.70609819736428736</c:v>
                </c:pt>
                <c:pt idx="614">
                  <c:v>0.71516052863805124</c:v>
                </c:pt>
                <c:pt idx="615">
                  <c:v>0.71083675216759301</c:v>
                </c:pt>
                <c:pt idx="616">
                  <c:v>0.71343349636158904</c:v>
                </c:pt>
                <c:pt idx="617">
                  <c:v>0.7061644039068663</c:v>
                </c:pt>
                <c:pt idx="618">
                  <c:v>0.70460696396378386</c:v>
                </c:pt>
                <c:pt idx="619">
                  <c:v>0.70125768421417689</c:v>
                </c:pt>
                <c:pt idx="620">
                  <c:v>0.70077600837092202</c:v>
                </c:pt>
                <c:pt idx="621">
                  <c:v>0.70735301185414945</c:v>
                </c:pt>
                <c:pt idx="622">
                  <c:v>0.71015785758947236</c:v>
                </c:pt>
                <c:pt idx="623">
                  <c:v>0.72144907416910697</c:v>
                </c:pt>
                <c:pt idx="624">
                  <c:v>0.73024660641788619</c:v>
                </c:pt>
                <c:pt idx="625">
                  <c:v>0.73736056475360712</c:v>
                </c:pt>
                <c:pt idx="626">
                  <c:v>0.74169787250610819</c:v>
                </c:pt>
                <c:pt idx="627">
                  <c:v>0.74731954069113427</c:v>
                </c:pt>
                <c:pt idx="628">
                  <c:v>0.74014289760405605</c:v>
                </c:pt>
                <c:pt idx="629">
                  <c:v>0.73239018007589041</c:v>
                </c:pt>
                <c:pt idx="630">
                  <c:v>0.71846405775701927</c:v>
                </c:pt>
                <c:pt idx="631">
                  <c:v>0.70966769110553518</c:v>
                </c:pt>
                <c:pt idx="632">
                  <c:v>0.70923608684682249</c:v>
                </c:pt>
                <c:pt idx="633">
                  <c:v>0.70982019874150426</c:v>
                </c:pt>
                <c:pt idx="634">
                  <c:v>0.71311723682528472</c:v>
                </c:pt>
                <c:pt idx="635">
                  <c:v>0.7135310907130773</c:v>
                </c:pt>
                <c:pt idx="636">
                  <c:v>0.70417491546759037</c:v>
                </c:pt>
                <c:pt idx="637">
                  <c:v>0.69285556596218745</c:v>
                </c:pt>
                <c:pt idx="638">
                  <c:v>0.6679767353088143</c:v>
                </c:pt>
                <c:pt idx="639">
                  <c:v>0.64698043686886597</c:v>
                </c:pt>
                <c:pt idx="640">
                  <c:v>0.62728097549414996</c:v>
                </c:pt>
                <c:pt idx="641">
                  <c:v>0.60721912752326401</c:v>
                </c:pt>
                <c:pt idx="642">
                  <c:v>0.59279753547859748</c:v>
                </c:pt>
                <c:pt idx="643">
                  <c:v>0.57104116793477633</c:v>
                </c:pt>
                <c:pt idx="644">
                  <c:v>0.55710856140204079</c:v>
                </c:pt>
                <c:pt idx="645">
                  <c:v>0.52438220437636229</c:v>
                </c:pt>
                <c:pt idx="646">
                  <c:v>0.50149097832907974</c:v>
                </c:pt>
                <c:pt idx="647">
                  <c:v>0.4807968091903711</c:v>
                </c:pt>
                <c:pt idx="648">
                  <c:v>0.47936217999186748</c:v>
                </c:pt>
                <c:pt idx="649">
                  <c:v>0.48255806878906676</c:v>
                </c:pt>
                <c:pt idx="650">
                  <c:v>0.48222327781983715</c:v>
                </c:pt>
                <c:pt idx="651">
                  <c:v>0.48011027021393132</c:v>
                </c:pt>
                <c:pt idx="652">
                  <c:v>0.47498538024281728</c:v>
                </c:pt>
                <c:pt idx="653">
                  <c:v>0.47780213212905659</c:v>
                </c:pt>
                <c:pt idx="654">
                  <c:v>0.47646234709416296</c:v>
                </c:pt>
                <c:pt idx="655">
                  <c:v>0.47380284776383413</c:v>
                </c:pt>
                <c:pt idx="656">
                  <c:v>0.47006339788461471</c:v>
                </c:pt>
                <c:pt idx="657">
                  <c:v>0.4654310875066196</c:v>
                </c:pt>
                <c:pt idx="658">
                  <c:v>0.46358129878644477</c:v>
                </c:pt>
                <c:pt idx="659">
                  <c:v>0.4545538353052283</c:v>
                </c:pt>
                <c:pt idx="660">
                  <c:v>0.45657011806778031</c:v>
                </c:pt>
                <c:pt idx="661">
                  <c:v>0.45967909165379789</c:v>
                </c:pt>
                <c:pt idx="662">
                  <c:v>0.46222475827648274</c:v>
                </c:pt>
                <c:pt idx="663">
                  <c:v>0.45381402862222164</c:v>
                </c:pt>
                <c:pt idx="664">
                  <c:v>0.44333297769375529</c:v>
                </c:pt>
                <c:pt idx="665">
                  <c:v>0.4378855163419007</c:v>
                </c:pt>
                <c:pt idx="666">
                  <c:v>0.440640771654849</c:v>
                </c:pt>
                <c:pt idx="667">
                  <c:v>0.44534782966919656</c:v>
                </c:pt>
                <c:pt idx="668">
                  <c:v>0.4484323249708142</c:v>
                </c:pt>
                <c:pt idx="669">
                  <c:v>0.44904423765310303</c:v>
                </c:pt>
                <c:pt idx="670">
                  <c:v>0.4583081105392699</c:v>
                </c:pt>
                <c:pt idx="671">
                  <c:v>0.46823983320334311</c:v>
                </c:pt>
                <c:pt idx="672">
                  <c:v>0.47818886447895731</c:v>
                </c:pt>
                <c:pt idx="673">
                  <c:v>0.48688127713096163</c:v>
                </c:pt>
                <c:pt idx="674">
                  <c:v>0.48996410299506615</c:v>
                </c:pt>
                <c:pt idx="675">
                  <c:v>0.49465255060071084</c:v>
                </c:pt>
                <c:pt idx="676">
                  <c:v>0.49490439650645057</c:v>
                </c:pt>
                <c:pt idx="677">
                  <c:v>0.49759460165746344</c:v>
                </c:pt>
                <c:pt idx="678">
                  <c:v>0.49860329896513295</c:v>
                </c:pt>
                <c:pt idx="679">
                  <c:v>0.49944564648433792</c:v>
                </c:pt>
                <c:pt idx="680">
                  <c:v>0.50160680890309906</c:v>
                </c:pt>
                <c:pt idx="681">
                  <c:v>0.50541936587408198</c:v>
                </c:pt>
                <c:pt idx="682">
                  <c:v>0.50681883166185049</c:v>
                </c:pt>
                <c:pt idx="683">
                  <c:v>0.51455554780157031</c:v>
                </c:pt>
                <c:pt idx="684">
                  <c:v>0.53231904407460628</c:v>
                </c:pt>
                <c:pt idx="685">
                  <c:v>0.54663033904746094</c:v>
                </c:pt>
                <c:pt idx="686">
                  <c:v>0.55466123682894375</c:v>
                </c:pt>
                <c:pt idx="687">
                  <c:v>0.55272762237600481</c:v>
                </c:pt>
                <c:pt idx="688">
                  <c:v>0.55323116308559872</c:v>
                </c:pt>
                <c:pt idx="689">
                  <c:v>0.56502387576659574</c:v>
                </c:pt>
                <c:pt idx="690">
                  <c:v>0.57659207434160509</c:v>
                </c:pt>
                <c:pt idx="691">
                  <c:v>0.5886600366729362</c:v>
                </c:pt>
                <c:pt idx="692">
                  <c:v>0.58959448261507064</c:v>
                </c:pt>
                <c:pt idx="693">
                  <c:v>0.58902708977157958</c:v>
                </c:pt>
                <c:pt idx="694">
                  <c:v>0.59204343976430274</c:v>
                </c:pt>
                <c:pt idx="695">
                  <c:v>0.60081020211235225</c:v>
                </c:pt>
                <c:pt idx="696">
                  <c:v>0.61324107882675694</c:v>
                </c:pt>
                <c:pt idx="697">
                  <c:v>0.62149631369519931</c:v>
                </c:pt>
                <c:pt idx="698">
                  <c:v>0.62422304092408276</c:v>
                </c:pt>
                <c:pt idx="699">
                  <c:v>0.62067435042434038</c:v>
                </c:pt>
                <c:pt idx="700">
                  <c:v>0.61911170129177784</c:v>
                </c:pt>
                <c:pt idx="701">
                  <c:v>0.61659864338653314</c:v>
                </c:pt>
                <c:pt idx="702">
                  <c:v>0.61254999879636152</c:v>
                </c:pt>
                <c:pt idx="703">
                  <c:v>0.60578849994592032</c:v>
                </c:pt>
                <c:pt idx="704">
                  <c:v>0.60334742615049519</c:v>
                </c:pt>
                <c:pt idx="705">
                  <c:v>0.60679565589045792</c:v>
                </c:pt>
                <c:pt idx="706">
                  <c:v>0.61165171183561573</c:v>
                </c:pt>
                <c:pt idx="707">
                  <c:v>0.62304042689897832</c:v>
                </c:pt>
                <c:pt idx="708">
                  <c:v>0.62670558970955825</c:v>
                </c:pt>
                <c:pt idx="709">
                  <c:v>0.63318531996189797</c:v>
                </c:pt>
                <c:pt idx="710">
                  <c:v>0.63429635573284537</c:v>
                </c:pt>
                <c:pt idx="711">
                  <c:v>0.6404123318056576</c:v>
                </c:pt>
                <c:pt idx="712">
                  <c:v>0.64180696945291926</c:v>
                </c:pt>
                <c:pt idx="713">
                  <c:v>0.63328250341066961</c:v>
                </c:pt>
                <c:pt idx="714">
                  <c:v>0.61988582735676123</c:v>
                </c:pt>
                <c:pt idx="715">
                  <c:v>0.60273018728925565</c:v>
                </c:pt>
                <c:pt idx="716">
                  <c:v>0.5938899155133216</c:v>
                </c:pt>
                <c:pt idx="717">
                  <c:v>0.58700422320300871</c:v>
                </c:pt>
                <c:pt idx="718">
                  <c:v>0.58686869697578936</c:v>
                </c:pt>
                <c:pt idx="719">
                  <c:v>0.57677918198026279</c:v>
                </c:pt>
                <c:pt idx="720">
                  <c:v>0.56970604780845957</c:v>
                </c:pt>
                <c:pt idx="721">
                  <c:v>0.56416525667044715</c:v>
                </c:pt>
                <c:pt idx="722">
                  <c:v>0.55854025212042913</c:v>
                </c:pt>
                <c:pt idx="723">
                  <c:v>0.55284656852611014</c:v>
                </c:pt>
                <c:pt idx="724">
                  <c:v>0.53474790286434148</c:v>
                </c:pt>
                <c:pt idx="725">
                  <c:v>0.5205956985323289</c:v>
                </c:pt>
                <c:pt idx="726">
                  <c:v>0.50552482699618528</c:v>
                </c:pt>
                <c:pt idx="727">
                  <c:v>0.49751425083573525</c:v>
                </c:pt>
                <c:pt idx="728">
                  <c:v>0.4923852701495996</c:v>
                </c:pt>
                <c:pt idx="729">
                  <c:v>0.48172293216509249</c:v>
                </c:pt>
                <c:pt idx="730">
                  <c:v>0.46909139224713253</c:v>
                </c:pt>
                <c:pt idx="731">
                  <c:v>0.44532788705343562</c:v>
                </c:pt>
                <c:pt idx="732">
                  <c:v>0.41688558552192351</c:v>
                </c:pt>
                <c:pt idx="733">
                  <c:v>0.38629535273599092</c:v>
                </c:pt>
                <c:pt idx="734">
                  <c:v>0.36093656018993608</c:v>
                </c:pt>
                <c:pt idx="735">
                  <c:v>0.34456008789301817</c:v>
                </c:pt>
                <c:pt idx="736">
                  <c:v>0.33277205575618213</c:v>
                </c:pt>
                <c:pt idx="737">
                  <c:v>0.32664027966739817</c:v>
                </c:pt>
                <c:pt idx="738">
                  <c:v>0.32360587643035904</c:v>
                </c:pt>
                <c:pt idx="739">
                  <c:v>0.32360658771017964</c:v>
                </c:pt>
                <c:pt idx="740">
                  <c:v>0.32367018210211823</c:v>
                </c:pt>
                <c:pt idx="741">
                  <c:v>0.32413270581727149</c:v>
                </c:pt>
                <c:pt idx="742">
                  <c:v>0.3240146481346321</c:v>
                </c:pt>
                <c:pt idx="743">
                  <c:v>0.32618038584251541</c:v>
                </c:pt>
                <c:pt idx="744">
                  <c:v>0.33042388308661402</c:v>
                </c:pt>
                <c:pt idx="745">
                  <c:v>0.33583527672118646</c:v>
                </c:pt>
                <c:pt idx="746">
                  <c:v>0.33862076990007245</c:v>
                </c:pt>
                <c:pt idx="747">
                  <c:v>0.33902902655106959</c:v>
                </c:pt>
                <c:pt idx="748">
                  <c:v>0.34098764299813195</c:v>
                </c:pt>
                <c:pt idx="749">
                  <c:v>0.34594139802539287</c:v>
                </c:pt>
                <c:pt idx="750">
                  <c:v>0.35107762724383146</c:v>
                </c:pt>
                <c:pt idx="751">
                  <c:v>0.35314630700615357</c:v>
                </c:pt>
                <c:pt idx="752">
                  <c:v>0.35301493376031257</c:v>
                </c:pt>
                <c:pt idx="753">
                  <c:v>0.35301196647990563</c:v>
                </c:pt>
                <c:pt idx="754">
                  <c:v>0.35267714914929454</c:v>
                </c:pt>
                <c:pt idx="755">
                  <c:v>0.35590577978536092</c:v>
                </c:pt>
                <c:pt idx="756">
                  <c:v>0.36068588822449871</c:v>
                </c:pt>
                <c:pt idx="757">
                  <c:v>0.36824925675029241</c:v>
                </c:pt>
                <c:pt idx="758">
                  <c:v>0.37532801978739272</c:v>
                </c:pt>
                <c:pt idx="759">
                  <c:v>0.38321945111603978</c:v>
                </c:pt>
                <c:pt idx="760">
                  <c:v>0.3870141201587895</c:v>
                </c:pt>
                <c:pt idx="761">
                  <c:v>0.38625438019423042</c:v>
                </c:pt>
                <c:pt idx="762">
                  <c:v>0.38366727467816575</c:v>
                </c:pt>
                <c:pt idx="763">
                  <c:v>0.3824638495256179</c:v>
                </c:pt>
                <c:pt idx="764">
                  <c:v>0.3828904917821187</c:v>
                </c:pt>
                <c:pt idx="765">
                  <c:v>0.38463722162705904</c:v>
                </c:pt>
                <c:pt idx="766">
                  <c:v>0.38942314142413198</c:v>
                </c:pt>
                <c:pt idx="767">
                  <c:v>0.39714944838472527</c:v>
                </c:pt>
                <c:pt idx="768">
                  <c:v>0.40501208297088692</c:v>
                </c:pt>
                <c:pt idx="769">
                  <c:v>0.41076516079478287</c:v>
                </c:pt>
                <c:pt idx="770">
                  <c:v>0.41566700258164108</c:v>
                </c:pt>
                <c:pt idx="771">
                  <c:v>0.41996029639557708</c:v>
                </c:pt>
                <c:pt idx="772">
                  <c:v>0.42158478574051639</c:v>
                </c:pt>
                <c:pt idx="773">
                  <c:v>0.42295129745283794</c:v>
                </c:pt>
                <c:pt idx="774">
                  <c:v>0.42155592206079823</c:v>
                </c:pt>
                <c:pt idx="775">
                  <c:v>0.42275420938106567</c:v>
                </c:pt>
                <c:pt idx="776">
                  <c:v>0.42704888726005158</c:v>
                </c:pt>
                <c:pt idx="777">
                  <c:v>0.4308346802841676</c:v>
                </c:pt>
                <c:pt idx="778">
                  <c:v>0.43384186275135211</c:v>
                </c:pt>
                <c:pt idx="779">
                  <c:v>0.43403666626849086</c:v>
                </c:pt>
                <c:pt idx="780">
                  <c:v>0.43636062216350635</c:v>
                </c:pt>
                <c:pt idx="781">
                  <c:v>0.44037301060821199</c:v>
                </c:pt>
                <c:pt idx="782">
                  <c:v>0.44163485423866183</c:v>
                </c:pt>
                <c:pt idx="783">
                  <c:v>0.44354242067756044</c:v>
                </c:pt>
                <c:pt idx="784">
                  <c:v>0.44290570458314571</c:v>
                </c:pt>
                <c:pt idx="785">
                  <c:v>0.44348835280991844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03-4FB4-9E6C-7D8164FDC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02624"/>
        <c:axId val="225004160"/>
      </c:lineChart>
      <c:lineChart>
        <c:grouping val="standard"/>
        <c:varyColors val="0"/>
        <c:ser>
          <c:idx val="2"/>
          <c:order val="2"/>
          <c:tx>
            <c:v>_FRBDummySeriesRight</c:v>
          </c:tx>
          <c:spPr>
            <a:ln w="2857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2857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8E03-4FB4-9E6C-7D8164FDC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5048448"/>
        <c:axId val="225046912"/>
      </c:lineChart>
      <c:dateAx>
        <c:axId val="225002624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004160"/>
        <c:crosses val="min"/>
        <c:auto val="1"/>
        <c:lblOffset val="100"/>
        <c:baseTimeUnit val="months"/>
        <c:majorUnit val="60"/>
        <c:majorTimeUnit val="months"/>
      </c:dateAx>
      <c:valAx>
        <c:axId val="225004160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002624"/>
        <c:crosses val="autoZero"/>
        <c:crossBetween val="between"/>
      </c:valAx>
      <c:valAx>
        <c:axId val="225046912"/>
        <c:scaling>
          <c:orientation val="minMax"/>
          <c:max val="1.2000000000000002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5048448"/>
        <c:crosses val="max"/>
        <c:crossBetween val="between"/>
        <c:majorUnit val="0.2"/>
        <c:minorUnit val="0.04"/>
      </c:valAx>
      <c:catAx>
        <c:axId val="2250484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5046912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600" b="1" i="0"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600" b="1" i="0"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delete val="1"/>
      </c:legendEntry>
      <c:layout>
        <c:manualLayout>
          <c:xMode val="edge"/>
          <c:yMode val="edge"/>
          <c:x val="2.7508756537372146E-2"/>
          <c:y val="0.77713262071260647"/>
          <c:w val="0.51283933337368648"/>
          <c:h val="0.11296483857510223"/>
        </c:manualLayout>
      </c:layout>
      <c:overlay val="0"/>
      <c:spPr>
        <a:solidFill>
          <a:schemeClr val="bg1"/>
        </a:solidFill>
        <a:ln w="22225">
          <a:solidFill>
            <a:srgbClr val="000000"/>
          </a:solidFill>
        </a:ln>
      </c:sp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xMode val="edge"/>
          <c:yMode val="edge"/>
          <c:x val="1.49980181573716E-2"/>
          <c:y val="5.0127529864928098E-2"/>
          <c:w val="0.97000396368525699"/>
          <c:h val="0.94987247013507203"/>
        </c:manualLayout>
      </c:layout>
      <c:lineChart>
        <c:grouping val="standard"/>
        <c:varyColors val="0"/>
        <c:ser>
          <c:idx val="0"/>
          <c:order val="0"/>
          <c:tx>
            <c:v>Vacancy-filling rate</c:v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DFH!$A$2:$A$155</c:f>
              <c:numCache>
                <c:formatCode>m/d/yyyy</c:formatCode>
                <c:ptCount val="154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</c:numCache>
            </c:numRef>
          </c:cat>
          <c:val>
            <c:numRef>
              <c:f>DFH!$P$2:$P$155</c:f>
              <c:numCache>
                <c:formatCode>General</c:formatCode>
                <c:ptCount val="15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4.357366666666667E-2</c:v>
                </c:pt>
                <c:pt idx="4">
                  <c:v>4.3944666666666667E-2</c:v>
                </c:pt>
                <c:pt idx="5">
                  <c:v>4.5416333333333336E-2</c:v>
                </c:pt>
                <c:pt idx="6">
                  <c:v>4.5200333333333335E-2</c:v>
                </c:pt>
                <c:pt idx="7">
                  <c:v>4.6034333333333337E-2</c:v>
                </c:pt>
                <c:pt idx="8">
                  <c:v>4.6090333333333337E-2</c:v>
                </c:pt>
                <c:pt idx="9">
                  <c:v>4.6718333333333341E-2</c:v>
                </c:pt>
                <c:pt idx="10">
                  <c:v>4.8378666666666674E-2</c:v>
                </c:pt>
                <c:pt idx="11">
                  <c:v>5.0628333333333331E-2</c:v>
                </c:pt>
                <c:pt idx="12">
                  <c:v>5.2271666666666668E-2</c:v>
                </c:pt>
                <c:pt idx="13">
                  <c:v>5.2560666666666665E-2</c:v>
                </c:pt>
                <c:pt idx="14">
                  <c:v>5.2904666666666662E-2</c:v>
                </c:pt>
                <c:pt idx="15">
                  <c:v>5.2747666666666665E-2</c:v>
                </c:pt>
                <c:pt idx="16">
                  <c:v>5.3819666666666675E-2</c:v>
                </c:pt>
                <c:pt idx="17">
                  <c:v>5.423533333333333E-2</c:v>
                </c:pt>
                <c:pt idx="18">
                  <c:v>5.5725666666666666E-2</c:v>
                </c:pt>
                <c:pt idx="19">
                  <c:v>5.6546000000000006E-2</c:v>
                </c:pt>
                <c:pt idx="20">
                  <c:v>5.6129999999999992E-2</c:v>
                </c:pt>
                <c:pt idx="21">
                  <c:v>5.6232999999999998E-2</c:v>
                </c:pt>
                <c:pt idx="22">
                  <c:v>5.4750333333333338E-2</c:v>
                </c:pt>
                <c:pt idx="23">
                  <c:v>5.4296666666666667E-2</c:v>
                </c:pt>
                <c:pt idx="24">
                  <c:v>5.5309333333333328E-2</c:v>
                </c:pt>
                <c:pt idx="25">
                  <c:v>5.6318333333333331E-2</c:v>
                </c:pt>
                <c:pt idx="26">
                  <c:v>5.5805666666666663E-2</c:v>
                </c:pt>
                <c:pt idx="27">
                  <c:v>5.3842666666666671E-2</c:v>
                </c:pt>
                <c:pt idx="28">
                  <c:v>5.3996666666666672E-2</c:v>
                </c:pt>
                <c:pt idx="29">
                  <c:v>5.5680333333333332E-2</c:v>
                </c:pt>
                <c:pt idx="30">
                  <c:v>5.7129000000000006E-2</c:v>
                </c:pt>
                <c:pt idx="31">
                  <c:v>5.6931000000000002E-2</c:v>
                </c:pt>
                <c:pt idx="32">
                  <c:v>5.6860333333333339E-2</c:v>
                </c:pt>
                <c:pt idx="33">
                  <c:v>5.7302333333333337E-2</c:v>
                </c:pt>
                <c:pt idx="34">
                  <c:v>5.8678333333333332E-2</c:v>
                </c:pt>
                <c:pt idx="35">
                  <c:v>5.8350000000000006E-2</c:v>
                </c:pt>
                <c:pt idx="36">
                  <c:v>5.8287333333333337E-2</c:v>
                </c:pt>
                <c:pt idx="37">
                  <c:v>5.6822666666666667E-2</c:v>
                </c:pt>
                <c:pt idx="38">
                  <c:v>5.6175666666666658E-2</c:v>
                </c:pt>
                <c:pt idx="39">
                  <c:v>5.6066666666666674E-2</c:v>
                </c:pt>
                <c:pt idx="40">
                  <c:v>5.6262333333333331E-2</c:v>
                </c:pt>
                <c:pt idx="41">
                  <c:v>5.6072000000000004E-2</c:v>
                </c:pt>
                <c:pt idx="42">
                  <c:v>5.4911666666666664E-2</c:v>
                </c:pt>
                <c:pt idx="43">
                  <c:v>5.3144333333333328E-2</c:v>
                </c:pt>
                <c:pt idx="44">
                  <c:v>5.3111999999999999E-2</c:v>
                </c:pt>
                <c:pt idx="45">
                  <c:v>5.2357666666666663E-2</c:v>
                </c:pt>
                <c:pt idx="46">
                  <c:v>5.2560999999999997E-2</c:v>
                </c:pt>
                <c:pt idx="47">
                  <c:v>5.360433333333333E-2</c:v>
                </c:pt>
                <c:pt idx="48">
                  <c:v>5.4376666666666663E-2</c:v>
                </c:pt>
                <c:pt idx="49">
                  <c:v>5.4959666666666664E-2</c:v>
                </c:pt>
                <c:pt idx="50">
                  <c:v>5.4309333333333328E-2</c:v>
                </c:pt>
                <c:pt idx="51">
                  <c:v>5.3362E-2</c:v>
                </c:pt>
                <c:pt idx="52">
                  <c:v>5.2414666666666665E-2</c:v>
                </c:pt>
                <c:pt idx="53">
                  <c:v>5.1624666666666673E-2</c:v>
                </c:pt>
                <c:pt idx="54">
                  <c:v>5.1330666666666663E-2</c:v>
                </c:pt>
                <c:pt idx="55">
                  <c:v>5.084866666666666E-2</c:v>
                </c:pt>
                <c:pt idx="56">
                  <c:v>5.050466666666667E-2</c:v>
                </c:pt>
                <c:pt idx="57">
                  <c:v>5.0091333333333328E-2</c:v>
                </c:pt>
                <c:pt idx="58">
                  <c:v>4.8742000000000001E-2</c:v>
                </c:pt>
                <c:pt idx="59">
                  <c:v>4.7251666666666664E-2</c:v>
                </c:pt>
                <c:pt idx="60">
                  <c:v>4.5791999999999999E-2</c:v>
                </c:pt>
                <c:pt idx="61">
                  <c:v>4.6135666666666665E-2</c:v>
                </c:pt>
                <c:pt idx="62">
                  <c:v>4.6780999999999996E-2</c:v>
                </c:pt>
                <c:pt idx="63">
                  <c:v>4.7256999999999993E-2</c:v>
                </c:pt>
                <c:pt idx="64">
                  <c:v>4.6403E-2</c:v>
                </c:pt>
                <c:pt idx="65">
                  <c:v>4.6204000000000002E-2</c:v>
                </c:pt>
                <c:pt idx="66">
                  <c:v>4.6170999999999997E-2</c:v>
                </c:pt>
                <c:pt idx="67">
                  <c:v>4.8111666666666664E-2</c:v>
                </c:pt>
                <c:pt idx="68">
                  <c:v>4.7724666666666672E-2</c:v>
                </c:pt>
                <c:pt idx="69">
                  <c:v>4.6908999999999999E-2</c:v>
                </c:pt>
                <c:pt idx="70">
                  <c:v>4.5110333333333329E-2</c:v>
                </c:pt>
                <c:pt idx="71">
                  <c:v>4.5086999999999995E-2</c:v>
                </c:pt>
                <c:pt idx="72">
                  <c:v>4.483666666666667E-2</c:v>
                </c:pt>
                <c:pt idx="73">
                  <c:v>4.4753333333333332E-2</c:v>
                </c:pt>
                <c:pt idx="74">
                  <c:v>4.3943000000000003E-2</c:v>
                </c:pt>
                <c:pt idx="75">
                  <c:v>4.4271333333333329E-2</c:v>
                </c:pt>
                <c:pt idx="76">
                  <c:v>4.4018000000000002E-2</c:v>
                </c:pt>
                <c:pt idx="77">
                  <c:v>4.4544E-2</c:v>
                </c:pt>
                <c:pt idx="78">
                  <c:v>4.4256333333333342E-2</c:v>
                </c:pt>
                <c:pt idx="79">
                  <c:v>4.4285666666666668E-2</c:v>
                </c:pt>
                <c:pt idx="80">
                  <c:v>4.391066666666666E-2</c:v>
                </c:pt>
                <c:pt idx="81">
                  <c:v>4.3951333333333335E-2</c:v>
                </c:pt>
                <c:pt idx="82">
                  <c:v>4.4650999999999996E-2</c:v>
                </c:pt>
                <c:pt idx="83">
                  <c:v>4.5037333333333339E-2</c:v>
                </c:pt>
                <c:pt idx="84">
                  <c:v>4.5171999999999997E-2</c:v>
                </c:pt>
                <c:pt idx="85">
                  <c:v>4.487066666666667E-2</c:v>
                </c:pt>
                <c:pt idx="86">
                  <c:v>4.4948666666666665E-2</c:v>
                </c:pt>
                <c:pt idx="87">
                  <c:v>4.5551000000000008E-2</c:v>
                </c:pt>
                <c:pt idx="88">
                  <c:v>4.6553666666666667E-2</c:v>
                </c:pt>
                <c:pt idx="89">
                  <c:v>4.6542E-2</c:v>
                </c:pt>
                <c:pt idx="90">
                  <c:v>4.6961000000000003E-2</c:v>
                </c:pt>
                <c:pt idx="91">
                  <c:v>4.6326666666666662E-2</c:v>
                </c:pt>
                <c:pt idx="92">
                  <c:v>4.7029333333333333E-2</c:v>
                </c:pt>
                <c:pt idx="93">
                  <c:v>4.7739333333333335E-2</c:v>
                </c:pt>
                <c:pt idx="94">
                  <c:v>4.9861999999999997E-2</c:v>
                </c:pt>
                <c:pt idx="95">
                  <c:v>4.9517333333333337E-2</c:v>
                </c:pt>
                <c:pt idx="96">
                  <c:v>5.0485000000000002E-2</c:v>
                </c:pt>
                <c:pt idx="97">
                  <c:v>5.1561999999999997E-2</c:v>
                </c:pt>
                <c:pt idx="98">
                  <c:v>5.4129333333333335E-2</c:v>
                </c:pt>
                <c:pt idx="99">
                  <c:v>5.4948999999999998E-2</c:v>
                </c:pt>
                <c:pt idx="100">
                  <c:v>5.7314999999999998E-2</c:v>
                </c:pt>
                <c:pt idx="101">
                  <c:v>5.9662999999999994E-2</c:v>
                </c:pt>
                <c:pt idx="102">
                  <c:v>6.0810333333333327E-2</c:v>
                </c:pt>
                <c:pt idx="103">
                  <c:v>6.1811999999999999E-2</c:v>
                </c:pt>
                <c:pt idx="104">
                  <c:v>6.2935333333333329E-2</c:v>
                </c:pt>
                <c:pt idx="105">
                  <c:v>6.4199999999999993E-2</c:v>
                </c:pt>
                <c:pt idx="106">
                  <c:v>6.2318666666666661E-2</c:v>
                </c:pt>
                <c:pt idx="107">
                  <c:v>6.1838666666666674E-2</c:v>
                </c:pt>
                <c:pt idx="108">
                  <c:v>6.1363000000000001E-2</c:v>
                </c:pt>
                <c:pt idx="109">
                  <c:v>6.0310666666666658E-2</c:v>
                </c:pt>
                <c:pt idx="110">
                  <c:v>5.7648333333333336E-2</c:v>
                </c:pt>
                <c:pt idx="111">
                  <c:v>5.8067666666666663E-2</c:v>
                </c:pt>
                <c:pt idx="112">
                  <c:v>5.7093333333333329E-2</c:v>
                </c:pt>
                <c:pt idx="113">
                  <c:v>5.7507000000000003E-2</c:v>
                </c:pt>
                <c:pt idx="114">
                  <c:v>5.5799333333333333E-2</c:v>
                </c:pt>
                <c:pt idx="115">
                  <c:v>5.6513666666666663E-2</c:v>
                </c:pt>
                <c:pt idx="116">
                  <c:v>5.4803666666666667E-2</c:v>
                </c:pt>
                <c:pt idx="117">
                  <c:v>5.3726666666666666E-2</c:v>
                </c:pt>
                <c:pt idx="118">
                  <c:v>5.2884333333333332E-2</c:v>
                </c:pt>
                <c:pt idx="119">
                  <c:v>5.2935000000000003E-2</c:v>
                </c:pt>
                <c:pt idx="120">
                  <c:v>5.2829666666666664E-2</c:v>
                </c:pt>
                <c:pt idx="121">
                  <c:v>5.2478333333333328E-2</c:v>
                </c:pt>
                <c:pt idx="122">
                  <c:v>5.2778333333333337E-2</c:v>
                </c:pt>
                <c:pt idx="123">
                  <c:v>5.2583999999999999E-2</c:v>
                </c:pt>
                <c:pt idx="124">
                  <c:v>5.2053666666666665E-2</c:v>
                </c:pt>
                <c:pt idx="125">
                  <c:v>5.2197E-2</c:v>
                </c:pt>
                <c:pt idx="126">
                  <c:v>5.1872666666666671E-2</c:v>
                </c:pt>
                <c:pt idx="127">
                  <c:v>5.1069999999999997E-2</c:v>
                </c:pt>
                <c:pt idx="128">
                  <c:v>5.0033666666666664E-2</c:v>
                </c:pt>
                <c:pt idx="129">
                  <c:v>4.9298000000000002E-2</c:v>
                </c:pt>
                <c:pt idx="130">
                  <c:v>4.8982666666666667E-2</c:v>
                </c:pt>
                <c:pt idx="131">
                  <c:v>4.9413333333333337E-2</c:v>
                </c:pt>
                <c:pt idx="132">
                  <c:v>4.9257666666666665E-2</c:v>
                </c:pt>
                <c:pt idx="133">
                  <c:v>4.9247999999999993E-2</c:v>
                </c:pt>
                <c:pt idx="134">
                  <c:v>4.8676333333333342E-2</c:v>
                </c:pt>
                <c:pt idx="135">
                  <c:v>4.7646000000000001E-2</c:v>
                </c:pt>
                <c:pt idx="136">
                  <c:v>4.6743333333333331E-2</c:v>
                </c:pt>
                <c:pt idx="137">
                  <c:v>4.6019666666666674E-2</c:v>
                </c:pt>
                <c:pt idx="138">
                  <c:v>4.5467E-2</c:v>
                </c:pt>
                <c:pt idx="139">
                  <c:v>4.5332999999999991E-2</c:v>
                </c:pt>
                <c:pt idx="140">
                  <c:v>4.5310333333333334E-2</c:v>
                </c:pt>
                <c:pt idx="141">
                  <c:v>4.5504666666666672E-2</c:v>
                </c:pt>
                <c:pt idx="142">
                  <c:v>4.5894000000000011E-2</c:v>
                </c:pt>
                <c:pt idx="143">
                  <c:v>4.5300666666666663E-2</c:v>
                </c:pt>
                <c:pt idx="144">
                  <c:v>4.4933000000000001E-2</c:v>
                </c:pt>
                <c:pt idx="145">
                  <c:v>4.5041333333333329E-2</c:v>
                </c:pt>
                <c:pt idx="146">
                  <c:v>4.4949666666666666E-2</c:v>
                </c:pt>
                <c:pt idx="147">
                  <c:v>4.4310999999999996E-2</c:v>
                </c:pt>
                <c:pt idx="148">
                  <c:v>4.3758333333333337E-2</c:v>
                </c:pt>
                <c:pt idx="149">
                  <c:v>4.3559333333333339E-2</c:v>
                </c:pt>
                <c:pt idx="150">
                  <c:v>4.3337999999999995E-2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17-4B24-8944-7D6F6736C063}"/>
            </c:ext>
          </c:extLst>
        </c:ser>
        <c:ser>
          <c:idx val="1"/>
          <c:order val="1"/>
          <c:tx>
            <c:v>Implied by matching function</c:v>
          </c:tx>
          <c:spPr>
            <a:ln w="28575"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numRef>
              <c:f>DFH!$A$2:$A$155</c:f>
              <c:numCache>
                <c:formatCode>m/d/yyyy</c:formatCode>
                <c:ptCount val="154"/>
                <c:pt idx="0">
                  <c:v>36861</c:v>
                </c:pt>
                <c:pt idx="1">
                  <c:v>36892</c:v>
                </c:pt>
                <c:pt idx="2">
                  <c:v>36923</c:v>
                </c:pt>
                <c:pt idx="3">
                  <c:v>36951</c:v>
                </c:pt>
                <c:pt idx="4">
                  <c:v>36982</c:v>
                </c:pt>
                <c:pt idx="5">
                  <c:v>37012</c:v>
                </c:pt>
                <c:pt idx="6">
                  <c:v>37043</c:v>
                </c:pt>
                <c:pt idx="7">
                  <c:v>37073</c:v>
                </c:pt>
                <c:pt idx="8">
                  <c:v>37104</c:v>
                </c:pt>
                <c:pt idx="9">
                  <c:v>37135</c:v>
                </c:pt>
                <c:pt idx="10">
                  <c:v>37165</c:v>
                </c:pt>
                <c:pt idx="11">
                  <c:v>37196</c:v>
                </c:pt>
                <c:pt idx="12">
                  <c:v>37226</c:v>
                </c:pt>
                <c:pt idx="13">
                  <c:v>37257</c:v>
                </c:pt>
                <c:pt idx="14">
                  <c:v>37288</c:v>
                </c:pt>
                <c:pt idx="15">
                  <c:v>37316</c:v>
                </c:pt>
                <c:pt idx="16">
                  <c:v>37347</c:v>
                </c:pt>
                <c:pt idx="17">
                  <c:v>37377</c:v>
                </c:pt>
                <c:pt idx="18">
                  <c:v>37408</c:v>
                </c:pt>
                <c:pt idx="19">
                  <c:v>37438</c:v>
                </c:pt>
                <c:pt idx="20">
                  <c:v>37469</c:v>
                </c:pt>
                <c:pt idx="21">
                  <c:v>37500</c:v>
                </c:pt>
                <c:pt idx="22">
                  <c:v>37530</c:v>
                </c:pt>
                <c:pt idx="23">
                  <c:v>37561</c:v>
                </c:pt>
                <c:pt idx="24">
                  <c:v>37591</c:v>
                </c:pt>
                <c:pt idx="25">
                  <c:v>37622</c:v>
                </c:pt>
                <c:pt idx="26">
                  <c:v>37653</c:v>
                </c:pt>
                <c:pt idx="27">
                  <c:v>37681</c:v>
                </c:pt>
                <c:pt idx="28">
                  <c:v>37712</c:v>
                </c:pt>
                <c:pt idx="29">
                  <c:v>37742</c:v>
                </c:pt>
                <c:pt idx="30">
                  <c:v>37773</c:v>
                </c:pt>
                <c:pt idx="31">
                  <c:v>37803</c:v>
                </c:pt>
                <c:pt idx="32">
                  <c:v>37834</c:v>
                </c:pt>
                <c:pt idx="33">
                  <c:v>37865</c:v>
                </c:pt>
                <c:pt idx="34">
                  <c:v>37895</c:v>
                </c:pt>
                <c:pt idx="35">
                  <c:v>37926</c:v>
                </c:pt>
                <c:pt idx="36">
                  <c:v>37956</c:v>
                </c:pt>
                <c:pt idx="37">
                  <c:v>37987</c:v>
                </c:pt>
                <c:pt idx="38">
                  <c:v>38018</c:v>
                </c:pt>
                <c:pt idx="39">
                  <c:v>38047</c:v>
                </c:pt>
                <c:pt idx="40">
                  <c:v>38078</c:v>
                </c:pt>
                <c:pt idx="41">
                  <c:v>38108</c:v>
                </c:pt>
                <c:pt idx="42">
                  <c:v>38139</c:v>
                </c:pt>
                <c:pt idx="43">
                  <c:v>38169</c:v>
                </c:pt>
                <c:pt idx="44">
                  <c:v>38200</c:v>
                </c:pt>
                <c:pt idx="45">
                  <c:v>38231</c:v>
                </c:pt>
                <c:pt idx="46">
                  <c:v>38261</c:v>
                </c:pt>
                <c:pt idx="47">
                  <c:v>38292</c:v>
                </c:pt>
                <c:pt idx="48">
                  <c:v>38322</c:v>
                </c:pt>
                <c:pt idx="49">
                  <c:v>38353</c:v>
                </c:pt>
                <c:pt idx="50">
                  <c:v>38384</c:v>
                </c:pt>
                <c:pt idx="51">
                  <c:v>38412</c:v>
                </c:pt>
                <c:pt idx="52">
                  <c:v>38443</c:v>
                </c:pt>
                <c:pt idx="53">
                  <c:v>38473</c:v>
                </c:pt>
                <c:pt idx="54">
                  <c:v>38504</c:v>
                </c:pt>
                <c:pt idx="55">
                  <c:v>38534</c:v>
                </c:pt>
                <c:pt idx="56">
                  <c:v>38565</c:v>
                </c:pt>
                <c:pt idx="57">
                  <c:v>38596</c:v>
                </c:pt>
                <c:pt idx="58">
                  <c:v>38626</c:v>
                </c:pt>
                <c:pt idx="59">
                  <c:v>38657</c:v>
                </c:pt>
                <c:pt idx="60">
                  <c:v>38687</c:v>
                </c:pt>
                <c:pt idx="61">
                  <c:v>38718</c:v>
                </c:pt>
                <c:pt idx="62">
                  <c:v>38749</c:v>
                </c:pt>
                <c:pt idx="63">
                  <c:v>38777</c:v>
                </c:pt>
                <c:pt idx="64">
                  <c:v>38808</c:v>
                </c:pt>
                <c:pt idx="65">
                  <c:v>38838</c:v>
                </c:pt>
                <c:pt idx="66">
                  <c:v>38869</c:v>
                </c:pt>
                <c:pt idx="67">
                  <c:v>38899</c:v>
                </c:pt>
                <c:pt idx="68">
                  <c:v>38930</c:v>
                </c:pt>
                <c:pt idx="69">
                  <c:v>38961</c:v>
                </c:pt>
                <c:pt idx="70">
                  <c:v>38991</c:v>
                </c:pt>
                <c:pt idx="71">
                  <c:v>39022</c:v>
                </c:pt>
                <c:pt idx="72">
                  <c:v>39052</c:v>
                </c:pt>
                <c:pt idx="73">
                  <c:v>39083</c:v>
                </c:pt>
                <c:pt idx="74">
                  <c:v>39114</c:v>
                </c:pt>
                <c:pt idx="75">
                  <c:v>39142</c:v>
                </c:pt>
                <c:pt idx="76">
                  <c:v>39173</c:v>
                </c:pt>
                <c:pt idx="77">
                  <c:v>39203</c:v>
                </c:pt>
                <c:pt idx="78">
                  <c:v>39234</c:v>
                </c:pt>
                <c:pt idx="79">
                  <c:v>39264</c:v>
                </c:pt>
                <c:pt idx="80">
                  <c:v>39295</c:v>
                </c:pt>
                <c:pt idx="81">
                  <c:v>39326</c:v>
                </c:pt>
                <c:pt idx="82">
                  <c:v>39356</c:v>
                </c:pt>
                <c:pt idx="83">
                  <c:v>39387</c:v>
                </c:pt>
                <c:pt idx="84">
                  <c:v>39417</c:v>
                </c:pt>
                <c:pt idx="85">
                  <c:v>39448</c:v>
                </c:pt>
                <c:pt idx="86">
                  <c:v>39479</c:v>
                </c:pt>
                <c:pt idx="87">
                  <c:v>39508</c:v>
                </c:pt>
                <c:pt idx="88">
                  <c:v>39539</c:v>
                </c:pt>
                <c:pt idx="89">
                  <c:v>39569</c:v>
                </c:pt>
                <c:pt idx="90">
                  <c:v>39600</c:v>
                </c:pt>
                <c:pt idx="91">
                  <c:v>39630</c:v>
                </c:pt>
                <c:pt idx="92">
                  <c:v>39661</c:v>
                </c:pt>
                <c:pt idx="93">
                  <c:v>39692</c:v>
                </c:pt>
                <c:pt idx="94">
                  <c:v>39722</c:v>
                </c:pt>
                <c:pt idx="95">
                  <c:v>39753</c:v>
                </c:pt>
                <c:pt idx="96">
                  <c:v>39783</c:v>
                </c:pt>
                <c:pt idx="97">
                  <c:v>39814</c:v>
                </c:pt>
                <c:pt idx="98">
                  <c:v>39845</c:v>
                </c:pt>
                <c:pt idx="99">
                  <c:v>39873</c:v>
                </c:pt>
                <c:pt idx="100">
                  <c:v>39904</c:v>
                </c:pt>
                <c:pt idx="101">
                  <c:v>39934</c:v>
                </c:pt>
                <c:pt idx="102">
                  <c:v>39965</c:v>
                </c:pt>
                <c:pt idx="103">
                  <c:v>39995</c:v>
                </c:pt>
                <c:pt idx="104">
                  <c:v>40026</c:v>
                </c:pt>
                <c:pt idx="105">
                  <c:v>40057</c:v>
                </c:pt>
                <c:pt idx="106">
                  <c:v>40087</c:v>
                </c:pt>
                <c:pt idx="107">
                  <c:v>40118</c:v>
                </c:pt>
                <c:pt idx="108">
                  <c:v>40148</c:v>
                </c:pt>
                <c:pt idx="109">
                  <c:v>40179</c:v>
                </c:pt>
                <c:pt idx="110">
                  <c:v>40210</c:v>
                </c:pt>
                <c:pt idx="111">
                  <c:v>40238</c:v>
                </c:pt>
                <c:pt idx="112">
                  <c:v>40269</c:v>
                </c:pt>
                <c:pt idx="113">
                  <c:v>40299</c:v>
                </c:pt>
                <c:pt idx="114">
                  <c:v>40330</c:v>
                </c:pt>
                <c:pt idx="115">
                  <c:v>40360</c:v>
                </c:pt>
                <c:pt idx="116">
                  <c:v>40391</c:v>
                </c:pt>
                <c:pt idx="117">
                  <c:v>40422</c:v>
                </c:pt>
                <c:pt idx="118">
                  <c:v>40452</c:v>
                </c:pt>
                <c:pt idx="119">
                  <c:v>40483</c:v>
                </c:pt>
                <c:pt idx="120">
                  <c:v>40513</c:v>
                </c:pt>
                <c:pt idx="121">
                  <c:v>40544</c:v>
                </c:pt>
                <c:pt idx="122">
                  <c:v>40575</c:v>
                </c:pt>
                <c:pt idx="123">
                  <c:v>40603</c:v>
                </c:pt>
                <c:pt idx="124">
                  <c:v>40634</c:v>
                </c:pt>
                <c:pt idx="125">
                  <c:v>40664</c:v>
                </c:pt>
                <c:pt idx="126">
                  <c:v>40695</c:v>
                </c:pt>
                <c:pt idx="127">
                  <c:v>40725</c:v>
                </c:pt>
                <c:pt idx="128">
                  <c:v>40756</c:v>
                </c:pt>
                <c:pt idx="129">
                  <c:v>40787</c:v>
                </c:pt>
                <c:pt idx="130">
                  <c:v>40817</c:v>
                </c:pt>
                <c:pt idx="131">
                  <c:v>40848</c:v>
                </c:pt>
                <c:pt idx="132">
                  <c:v>40878</c:v>
                </c:pt>
                <c:pt idx="133">
                  <c:v>40909</c:v>
                </c:pt>
                <c:pt idx="134">
                  <c:v>40940</c:v>
                </c:pt>
                <c:pt idx="135">
                  <c:v>40969</c:v>
                </c:pt>
                <c:pt idx="136">
                  <c:v>41000</c:v>
                </c:pt>
                <c:pt idx="137">
                  <c:v>41030</c:v>
                </c:pt>
                <c:pt idx="138">
                  <c:v>41061</c:v>
                </c:pt>
                <c:pt idx="139">
                  <c:v>41091</c:v>
                </c:pt>
                <c:pt idx="140">
                  <c:v>41122</c:v>
                </c:pt>
                <c:pt idx="141">
                  <c:v>41153</c:v>
                </c:pt>
                <c:pt idx="142">
                  <c:v>41183</c:v>
                </c:pt>
                <c:pt idx="143">
                  <c:v>41214</c:v>
                </c:pt>
                <c:pt idx="144">
                  <c:v>41244</c:v>
                </c:pt>
                <c:pt idx="145">
                  <c:v>41275</c:v>
                </c:pt>
                <c:pt idx="146">
                  <c:v>41306</c:v>
                </c:pt>
                <c:pt idx="147">
                  <c:v>41334</c:v>
                </c:pt>
                <c:pt idx="148">
                  <c:v>41365</c:v>
                </c:pt>
                <c:pt idx="149">
                  <c:v>41395</c:v>
                </c:pt>
                <c:pt idx="150">
                  <c:v>41426</c:v>
                </c:pt>
              </c:numCache>
            </c:numRef>
          </c:cat>
          <c:val>
            <c:numRef>
              <c:f>DFH!$Q$2:$Q$155</c:f>
              <c:numCache>
                <c:formatCode>General</c:formatCode>
                <c:ptCount val="154"/>
                <c:pt idx="0">
                  <c:v>#N/A</c:v>
                </c:pt>
                <c:pt idx="1">
                  <c:v>#N/A</c:v>
                </c:pt>
                <c:pt idx="2">
                  <c:v>3.8747797211887237E-2</c:v>
                </c:pt>
                <c:pt idx="3">
                  <c:v>3.9954018840158832E-2</c:v>
                </c:pt>
                <c:pt idx="4">
                  <c:v>4.097958010036358E-2</c:v>
                </c:pt>
                <c:pt idx="5">
                  <c:v>4.1499285314425205E-2</c:v>
                </c:pt>
                <c:pt idx="6">
                  <c:v>4.2465619419115884E-2</c:v>
                </c:pt>
                <c:pt idx="7">
                  <c:v>4.3473897404315398E-2</c:v>
                </c:pt>
                <c:pt idx="8">
                  <c:v>4.4974827013096887E-2</c:v>
                </c:pt>
                <c:pt idx="9">
                  <c:v>4.6417339641077839E-2</c:v>
                </c:pt>
                <c:pt idx="10">
                  <c:v>4.8923520792831965E-2</c:v>
                </c:pt>
                <c:pt idx="11">
                  <c:v>5.124885820052183E-2</c:v>
                </c:pt>
                <c:pt idx="12">
                  <c:v>5.3391173001444366E-2</c:v>
                </c:pt>
                <c:pt idx="13">
                  <c:v>5.4051169398807795E-2</c:v>
                </c:pt>
                <c:pt idx="14">
                  <c:v>5.4847132292827672E-2</c:v>
                </c:pt>
                <c:pt idx="15">
                  <c:v>5.4855635743280971E-2</c:v>
                </c:pt>
                <c:pt idx="16">
                  <c:v>5.5759646721338353E-2</c:v>
                </c:pt>
                <c:pt idx="17">
                  <c:v>5.5635710636964257E-2</c:v>
                </c:pt>
                <c:pt idx="18">
                  <c:v>5.6665452101638369E-2</c:v>
                </c:pt>
                <c:pt idx="19">
                  <c:v>5.6425931809091889E-2</c:v>
                </c:pt>
                <c:pt idx="20">
                  <c:v>5.6449359349402824E-2</c:v>
                </c:pt>
                <c:pt idx="21">
                  <c:v>5.6218925988293166E-2</c:v>
                </c:pt>
                <c:pt idx="22">
                  <c:v>5.567463905386185E-2</c:v>
                </c:pt>
                <c:pt idx="23">
                  <c:v>5.5734226887281059E-2</c:v>
                </c:pt>
                <c:pt idx="24">
                  <c:v>5.6922520370000007E-2</c:v>
                </c:pt>
                <c:pt idx="25">
                  <c:v>5.697268915606022E-2</c:v>
                </c:pt>
                <c:pt idx="26">
                  <c:v>5.74100854085716E-2</c:v>
                </c:pt>
                <c:pt idx="27">
                  <c:v>5.7307329050465962E-2</c:v>
                </c:pt>
                <c:pt idx="28">
                  <c:v>5.91233322441592E-2</c:v>
                </c:pt>
                <c:pt idx="29">
                  <c:v>6.0294868887402819E-2</c:v>
                </c:pt>
                <c:pt idx="30">
                  <c:v>6.0575715184559953E-2</c:v>
                </c:pt>
                <c:pt idx="31">
                  <c:v>6.091126363480643E-2</c:v>
                </c:pt>
                <c:pt idx="32">
                  <c:v>6.0671019308145814E-2</c:v>
                </c:pt>
                <c:pt idx="33">
                  <c:v>6.0778766459777415E-2</c:v>
                </c:pt>
                <c:pt idx="34">
                  <c:v>6.0354030480956666E-2</c:v>
                </c:pt>
                <c:pt idx="35">
                  <c:v>5.9582066441486344E-2</c:v>
                </c:pt>
                <c:pt idx="36">
                  <c:v>5.8286282638066435E-2</c:v>
                </c:pt>
                <c:pt idx="37">
                  <c:v>5.7248300339912073E-2</c:v>
                </c:pt>
                <c:pt idx="38">
                  <c:v>5.6536008427422769E-2</c:v>
                </c:pt>
                <c:pt idx="39">
                  <c:v>5.631782840609937E-2</c:v>
                </c:pt>
                <c:pt idx="40">
                  <c:v>5.5605937910918501E-2</c:v>
                </c:pt>
                <c:pt idx="41">
                  <c:v>5.5096405135625075E-2</c:v>
                </c:pt>
                <c:pt idx="42">
                  <c:v>5.4721376097856711E-2</c:v>
                </c:pt>
                <c:pt idx="43">
                  <c:v>5.3923806096364463E-2</c:v>
                </c:pt>
                <c:pt idx="44">
                  <c:v>5.3622329514244386E-2</c:v>
                </c:pt>
                <c:pt idx="45">
                  <c:v>5.246566023237987E-2</c:v>
                </c:pt>
                <c:pt idx="46">
                  <c:v>5.2405628304420325E-2</c:v>
                </c:pt>
                <c:pt idx="47">
                  <c:v>5.3059200082401448E-2</c:v>
                </c:pt>
                <c:pt idx="48">
                  <c:v>5.2973261939812222E-2</c:v>
                </c:pt>
                <c:pt idx="49">
                  <c:v>5.312625015347397E-2</c:v>
                </c:pt>
                <c:pt idx="50">
                  <c:v>5.2201460123194203E-2</c:v>
                </c:pt>
                <c:pt idx="51">
                  <c:v>5.1661778173095828E-2</c:v>
                </c:pt>
                <c:pt idx="52">
                  <c:v>5.0625409165638034E-2</c:v>
                </c:pt>
                <c:pt idx="53">
                  <c:v>4.9921149352499063E-2</c:v>
                </c:pt>
                <c:pt idx="54">
                  <c:v>4.9340385677609684E-2</c:v>
                </c:pt>
                <c:pt idx="55">
                  <c:v>4.8855911225218547E-2</c:v>
                </c:pt>
                <c:pt idx="56">
                  <c:v>4.8097122522864487E-2</c:v>
                </c:pt>
                <c:pt idx="57">
                  <c:v>4.7731082262898898E-2</c:v>
                </c:pt>
                <c:pt idx="58">
                  <c:v>4.763575465239752E-2</c:v>
                </c:pt>
                <c:pt idx="59">
                  <c:v>4.7192307437162746E-2</c:v>
                </c:pt>
                <c:pt idx="60">
                  <c:v>4.7032072688835608E-2</c:v>
                </c:pt>
                <c:pt idx="61">
                  <c:v>4.6423589120049763E-2</c:v>
                </c:pt>
                <c:pt idx="62">
                  <c:v>4.6412485034151324E-2</c:v>
                </c:pt>
                <c:pt idx="63">
                  <c:v>4.579343926711113E-2</c:v>
                </c:pt>
                <c:pt idx="64">
                  <c:v>4.5580253771100053E-2</c:v>
                </c:pt>
                <c:pt idx="65">
                  <c:v>4.4924474935110259E-2</c:v>
                </c:pt>
                <c:pt idx="66">
                  <c:v>4.5027284893514367E-2</c:v>
                </c:pt>
                <c:pt idx="67">
                  <c:v>4.570821390892648E-2</c:v>
                </c:pt>
                <c:pt idx="68">
                  <c:v>4.5882338470073281E-2</c:v>
                </c:pt>
                <c:pt idx="69">
                  <c:v>4.5350311108475004E-2</c:v>
                </c:pt>
                <c:pt idx="70">
                  <c:v>4.4242955277079769E-2</c:v>
                </c:pt>
                <c:pt idx="71">
                  <c:v>4.3625877338711344E-2</c:v>
                </c:pt>
                <c:pt idx="72">
                  <c:v>4.3482103100370616E-2</c:v>
                </c:pt>
                <c:pt idx="73">
                  <c:v>4.3588612290238284E-2</c:v>
                </c:pt>
                <c:pt idx="74">
                  <c:v>4.3968654999155699E-2</c:v>
                </c:pt>
                <c:pt idx="75">
                  <c:v>4.379206594034548E-2</c:v>
                </c:pt>
                <c:pt idx="76">
                  <c:v>4.3764347816831396E-2</c:v>
                </c:pt>
                <c:pt idx="77">
                  <c:v>4.3590804200495124E-2</c:v>
                </c:pt>
                <c:pt idx="78">
                  <c:v>4.3937280664312177E-2</c:v>
                </c:pt>
                <c:pt idx="79">
                  <c:v>4.4451557763758677E-2</c:v>
                </c:pt>
                <c:pt idx="80">
                  <c:v>4.4763649586326171E-2</c:v>
                </c:pt>
                <c:pt idx="81">
                  <c:v>4.5188459534916514E-2</c:v>
                </c:pt>
                <c:pt idx="82">
                  <c:v>4.5423198602547482E-2</c:v>
                </c:pt>
                <c:pt idx="83">
                  <c:v>4.5800552201447103E-2</c:v>
                </c:pt>
                <c:pt idx="84">
                  <c:v>4.6801159143337073E-2</c:v>
                </c:pt>
                <c:pt idx="85">
                  <c:v>4.7429500765780973E-2</c:v>
                </c:pt>
                <c:pt idx="86">
                  <c:v>4.8443555228813683E-2</c:v>
                </c:pt>
                <c:pt idx="87">
                  <c:v>4.9106476176935421E-2</c:v>
                </c:pt>
                <c:pt idx="88">
                  <c:v>4.9733152157076473E-2</c:v>
                </c:pt>
                <c:pt idx="89">
                  <c:v>5.0751897876984954E-2</c:v>
                </c:pt>
                <c:pt idx="90">
                  <c:v>5.2090810210207866E-2</c:v>
                </c:pt>
                <c:pt idx="91">
                  <c:v>5.3709298965274106E-2</c:v>
                </c:pt>
                <c:pt idx="92">
                  <c:v>5.5571901845934801E-2</c:v>
                </c:pt>
                <c:pt idx="93">
                  <c:v>5.789900625614397E-2</c:v>
                </c:pt>
                <c:pt idx="94">
                  <c:v>6.0117620857804289E-2</c:v>
                </c:pt>
                <c:pt idx="95">
                  <c:v>6.2698979520577555E-2</c:v>
                </c:pt>
                <c:pt idx="96">
                  <c:v>6.5425036079554758E-2</c:v>
                </c:pt>
                <c:pt idx="97">
                  <c:v>6.9344114436625151E-2</c:v>
                </c:pt>
                <c:pt idx="98">
                  <c:v>7.3063544390110008E-2</c:v>
                </c:pt>
                <c:pt idx="99">
                  <c:v>7.7318951891146057E-2</c:v>
                </c:pt>
                <c:pt idx="100">
                  <c:v>8.2201434507391868E-2</c:v>
                </c:pt>
                <c:pt idx="101">
                  <c:v>8.5977034511484543E-2</c:v>
                </c:pt>
                <c:pt idx="102">
                  <c:v>8.8282680500673325E-2</c:v>
                </c:pt>
                <c:pt idx="103">
                  <c:v>8.9862508494790161E-2</c:v>
                </c:pt>
                <c:pt idx="104">
                  <c:v>9.0978318488069476E-2</c:v>
                </c:pt>
                <c:pt idx="105">
                  <c:v>9.0743234328571842E-2</c:v>
                </c:pt>
                <c:pt idx="106">
                  <c:v>8.9924850743317575E-2</c:v>
                </c:pt>
                <c:pt idx="107">
                  <c:v>8.9650405336182404E-2</c:v>
                </c:pt>
                <c:pt idx="108">
                  <c:v>8.9889278680398657E-2</c:v>
                </c:pt>
                <c:pt idx="109">
                  <c:v>8.763926767225784E-2</c:v>
                </c:pt>
                <c:pt idx="110">
                  <c:v>8.636225308174289E-2</c:v>
                </c:pt>
                <c:pt idx="111">
                  <c:v>8.5501457333238662E-2</c:v>
                </c:pt>
                <c:pt idx="112">
                  <c:v>8.3937582922947632E-2</c:v>
                </c:pt>
                <c:pt idx="113">
                  <c:v>8.2281688424619304E-2</c:v>
                </c:pt>
                <c:pt idx="114">
                  <c:v>8.1349714408971818E-2</c:v>
                </c:pt>
                <c:pt idx="115">
                  <c:v>8.1690279802933238E-2</c:v>
                </c:pt>
                <c:pt idx="116">
                  <c:v>8.1283801548272583E-2</c:v>
                </c:pt>
                <c:pt idx="117">
                  <c:v>8.075388983477072E-2</c:v>
                </c:pt>
                <c:pt idx="118">
                  <c:v>8.0259187039835408E-2</c:v>
                </c:pt>
                <c:pt idx="119">
                  <c:v>8.0025433322432019E-2</c:v>
                </c:pt>
                <c:pt idx="120">
                  <c:v>7.9026689384892365E-2</c:v>
                </c:pt>
                <c:pt idx="121">
                  <c:v>7.9158774909901891E-2</c:v>
                </c:pt>
                <c:pt idx="122">
                  <c:v>7.8123294889107256E-2</c:v>
                </c:pt>
                <c:pt idx="123">
                  <c:v>7.6794627268422858E-2</c:v>
                </c:pt>
                <c:pt idx="124">
                  <c:v>7.5981580662946246E-2</c:v>
                </c:pt>
                <c:pt idx="125">
                  <c:v>7.6350344647622678E-2</c:v>
                </c:pt>
                <c:pt idx="126">
                  <c:v>7.6326667701745995E-2</c:v>
                </c:pt>
                <c:pt idx="127">
                  <c:v>7.528161466146982E-2</c:v>
                </c:pt>
                <c:pt idx="128">
                  <c:v>7.4317600447604659E-2</c:v>
                </c:pt>
                <c:pt idx="129">
                  <c:v>7.3191004635513215E-2</c:v>
                </c:pt>
                <c:pt idx="130">
                  <c:v>7.3027975558910704E-2</c:v>
                </c:pt>
                <c:pt idx="131">
                  <c:v>7.27092471792571E-2</c:v>
                </c:pt>
                <c:pt idx="132">
                  <c:v>7.2303149425145388E-2</c:v>
                </c:pt>
                <c:pt idx="133">
                  <c:v>7.1126466671627725E-2</c:v>
                </c:pt>
                <c:pt idx="134">
                  <c:v>6.9307364157759607E-2</c:v>
                </c:pt>
                <c:pt idx="135">
                  <c:v>6.7510132986731475E-2</c:v>
                </c:pt>
                <c:pt idx="136">
                  <c:v>6.6884647520848037E-2</c:v>
                </c:pt>
                <c:pt idx="137">
                  <c:v>6.6003268075752519E-2</c:v>
                </c:pt>
                <c:pt idx="138">
                  <c:v>6.6193683032957071E-2</c:v>
                </c:pt>
                <c:pt idx="139">
                  <c:v>6.6449283785703597E-2</c:v>
                </c:pt>
                <c:pt idx="140">
                  <c:v>6.6711403630856356E-2</c:v>
                </c:pt>
                <c:pt idx="141">
                  <c:v>6.6717047304425015E-2</c:v>
                </c:pt>
                <c:pt idx="142">
                  <c:v>6.5884075502267228E-2</c:v>
                </c:pt>
                <c:pt idx="143">
                  <c:v>6.5061323720608522E-2</c:v>
                </c:pt>
                <c:pt idx="144">
                  <c:v>6.5066079418948472E-2</c:v>
                </c:pt>
                <c:pt idx="145">
                  <c:v>6.5177436989956608E-2</c:v>
                </c:pt>
                <c:pt idx="146">
                  <c:v>6.4753122738552549E-2</c:v>
                </c:pt>
                <c:pt idx="147">
                  <c:v>6.3693961520988551E-2</c:v>
                </c:pt>
                <c:pt idx="148">
                  <c:v>6.2561732817143348E-2</c:v>
                </c:pt>
                <c:pt idx="149">
                  <c:v>6.241325808019077E-2</c:v>
                </c:pt>
                <c:pt idx="150">
                  <c:v>6.2305136443796004E-2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17-4B24-8944-7D6F6736C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40896"/>
        <c:axId val="234642432"/>
      </c:lineChart>
      <c:lineChart>
        <c:grouping val="standard"/>
        <c:varyColors val="0"/>
        <c:ser>
          <c:idx val="2"/>
          <c:order val="2"/>
          <c:tx>
            <c:v>_FRBDummySeriesRight</c:v>
          </c:tx>
          <c:spPr>
            <a:ln w="476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47625" cap="rnd" cmpd="sng" algn="ctr">
                  <a:solidFill>
                    <a:srgbClr val="9BBB59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C17-4B24-8944-7D6F6736C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4658048"/>
        <c:axId val="234656512"/>
      </c:lineChart>
      <c:dateAx>
        <c:axId val="234640896"/>
        <c:scaling>
          <c:orientation val="minMax"/>
        </c:scaling>
        <c:delete val="0"/>
        <c:axPos val="b"/>
        <c:numFmt formatCode="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5400000" vert="horz"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42432"/>
        <c:crosses val="min"/>
        <c:auto val="1"/>
        <c:lblOffset val="100"/>
        <c:baseTimeUnit val="months"/>
        <c:majorUnit val="12"/>
        <c:majorTimeUnit val="months"/>
      </c:dateAx>
      <c:valAx>
        <c:axId val="23464243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40896"/>
        <c:crosses val="autoZero"/>
        <c:crossBetween val="between"/>
      </c:valAx>
      <c:valAx>
        <c:axId val="234656512"/>
        <c:scaling>
          <c:orientation val="minMax"/>
          <c:max val="0.1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34658048"/>
        <c:crosses val="max"/>
        <c:crossBetween val="between"/>
        <c:majorUnit val="0.01"/>
        <c:minorUnit val="2E-3"/>
      </c:valAx>
      <c:catAx>
        <c:axId val="23465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4656512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sz="1600" b="1" i="0"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600" b="1" i="0">
                <a:latin typeface="Arial"/>
                <a:ea typeface="Arial"/>
                <a:cs typeface="Arial"/>
              </a:defRPr>
            </a:pPr>
            <a:endParaRPr lang="en-US"/>
          </a:p>
        </c:txPr>
      </c:legendEntry>
      <c:legendEntry>
        <c:idx val="2"/>
        <c:delete val="1"/>
      </c:legendEntry>
      <c:layout>
        <c:manualLayout>
          <c:xMode val="edge"/>
          <c:yMode val="edge"/>
          <c:x val="2.8321072412960408E-2"/>
          <c:y val="0.77551338249771318"/>
          <c:w val="0.54372714922837007"/>
          <c:h val="0.11315613675990707"/>
        </c:manualLayout>
      </c:layout>
      <c:overlay val="0"/>
      <c:spPr>
        <a:solidFill>
          <a:schemeClr val="bg1"/>
        </a:solidFill>
        <a:ln w="22225">
          <a:solidFill>
            <a:srgbClr val="000000"/>
          </a:solidFill>
        </a:ln>
      </c:sp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xMode val="edge"/>
          <c:yMode val="edge"/>
          <c:x val="1.50156799383637E-2"/>
          <c:y val="5.0789369898281103E-2"/>
          <c:w val="0.969968640123273"/>
          <c:h val="0.91578000273438798"/>
        </c:manualLayout>
      </c:layout>
      <c:lineChart>
        <c:grouping val="standard"/>
        <c:varyColors val="0"/>
        <c:ser>
          <c:idx val="4"/>
          <c:order val="4"/>
          <c:tx>
            <c:v>_FRBDummySeriesRight</c:v>
          </c:tx>
          <c:spPr>
            <a:ln w="476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4762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940-4E47-B8A7-ED2547161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87456"/>
        <c:axId val="45181568"/>
      </c:lineChart>
      <c:scatterChart>
        <c:scatterStyle val="lineMarker"/>
        <c:varyColors val="0"/>
        <c:ser>
          <c:idx val="0"/>
          <c:order val="0"/>
          <c:tx>
            <c:strRef>
              <c:f>'BC composite HWI'!$W$2</c:f>
              <c:strCache>
                <c:ptCount val="1"/>
                <c:pt idx="0">
                  <c:v>1960s</c:v>
                </c:pt>
              </c:strCache>
            </c:strRef>
          </c:tx>
          <c:spPr>
            <a:ln w="47625">
              <a:noFill/>
            </a:ln>
            <a:effectLst/>
          </c:spPr>
          <c:marker>
            <c:symbol val="circle"/>
            <c:size val="7"/>
            <c:spPr>
              <a:noFill/>
              <a:ln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'BC composite HWI'!$W$3:$W$254</c:f>
              <c:numCache>
                <c:formatCode>General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5.1725572534709274E-2</c:v>
                </c:pt>
                <c:pt idx="37">
                  <c:v>5.237918421166729E-2</c:v>
                </c:pt>
                <c:pt idx="38">
                  <c:v>5.5622134501728947E-2</c:v>
                </c:pt>
                <c:pt idx="39">
                  <c:v>6.2634118762234001E-2</c:v>
                </c:pt>
                <c:pt idx="40">
                  <c:v>6.7853757722013477E-2</c:v>
                </c:pt>
                <c:pt idx="41">
                  <c:v>6.9856175895813624E-2</c:v>
                </c:pt>
                <c:pt idx="42">
                  <c:v>6.7612642737033241E-2</c:v>
                </c:pt>
                <c:pt idx="43">
                  <c:v>6.1835933320329349E-2</c:v>
                </c:pt>
                <c:pt idx="44">
                  <c:v>5.6268909932464535E-2</c:v>
                </c:pt>
                <c:pt idx="45">
                  <c:v>5.4949328187418323E-2</c:v>
                </c:pt>
                <c:pt idx="46">
                  <c:v>5.550926838821555E-2</c:v>
                </c:pt>
                <c:pt idx="47">
                  <c:v>5.5182282397040087E-2</c:v>
                </c:pt>
                <c:pt idx="48">
                  <c:v>5.7915221060237436E-2</c:v>
                </c:pt>
                <c:pt idx="49">
                  <c:v>5.6929471126731808E-2</c:v>
                </c:pt>
                <c:pt idx="50">
                  <c:v>5.5059496746221258E-2</c:v>
                </c:pt>
                <c:pt idx="51">
                  <c:v>5.5848093611676898E-2</c:v>
                </c:pt>
                <c:pt idx="52">
                  <c:v>5.4701368270539431E-2</c:v>
                </c:pt>
                <c:pt idx="53">
                  <c:v>5.2326121813977423E-2</c:v>
                </c:pt>
                <c:pt idx="54">
                  <c:v>5.0018573338103396E-2</c:v>
                </c:pt>
                <c:pt idx="55">
                  <c:v>4.9659262008241493E-2</c:v>
                </c:pt>
                <c:pt idx="56">
                  <c:v>4.8840400989619448E-2</c:v>
                </c:pt>
                <c:pt idx="57">
                  <c:v>4.6678952776483214E-2</c:v>
                </c:pt>
                <c:pt idx="58">
                  <c:v>4.364353784696421E-2</c:v>
                </c:pt>
                <c:pt idx="59">
                  <c:v>4.1148399782750998E-2</c:v>
                </c:pt>
                <c:pt idx="60">
                  <c:v>3.8606465055645613E-2</c:v>
                </c:pt>
                <c:pt idx="61">
                  <c:v>3.8201202717431312E-2</c:v>
                </c:pt>
                <c:pt idx="62">
                  <c:v>3.7632503387553147E-2</c:v>
                </c:pt>
                <c:pt idx="63">
                  <c:v>3.6957376833585305E-2</c:v>
                </c:pt>
                <c:pt idx="64">
                  <c:v>3.8223647645088156E-2</c:v>
                </c:pt>
                <c:pt idx="65">
                  <c:v>3.819313497524001E-2</c:v>
                </c:pt>
                <c:pt idx="66">
                  <c:v>3.7971929294218908E-2</c:v>
                </c:pt>
                <c:pt idx="67">
                  <c:v>3.9285614008625562E-2</c:v>
                </c:pt>
                <c:pt idx="68">
                  <c:v>3.7407781024464744E-2</c:v>
                </c:pt>
                <c:pt idx="69">
                  <c:v>3.549842559345124E-2</c:v>
                </c:pt>
                <c:pt idx="70">
                  <c:v>3.5230253071638601E-2</c:v>
                </c:pt>
                <c:pt idx="71">
                  <c:v>3.4047073200128133E-2</c:v>
                </c:pt>
                <c:pt idx="72">
                  <c:v>3.389578594646319E-2</c:v>
                </c:pt>
                <c:pt idx="73">
                  <c:v>3.4370108702269919E-2</c:v>
                </c:pt>
                <c:pt idx="74">
                  <c:v>3.6031114703918635E-2</c:v>
                </c:pt>
                <c:pt idx="75">
                  <c:v>3.5944610278355917E-2</c:v>
                </c:pt>
                <c:pt idx="76">
                  <c:v>4.1713220600171269E-2</c:v>
                </c:pt>
                <c:pt idx="77">
                  <c:v>4.7588600254263286E-2</c:v>
                </c:pt>
                <c:pt idx="78">
                  <c:v>5.1809714410144682E-2</c:v>
                </c:pt>
                <c:pt idx="79">
                  <c:v>5.8140605712879413E-2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xVal>
          <c:yVal>
            <c:numRef>
              <c:f>'BC composite HWI'!$AA$3:$AA$254</c:f>
              <c:numCache>
                <c:formatCode>General</c:formatCode>
                <c:ptCount val="252"/>
                <c:pt idx="0">
                  <c:v>3.2189817219055804E-2</c:v>
                </c:pt>
                <c:pt idx="1">
                  <c:v>3.284816912210501E-2</c:v>
                </c:pt>
                <c:pt idx="2">
                  <c:v>3.2527805587781795E-2</c:v>
                </c:pt>
                <c:pt idx="3">
                  <c:v>3.2637415777377873E-2</c:v>
                </c:pt>
                <c:pt idx="4">
                  <c:v>3.3430643222319728E-2</c:v>
                </c:pt>
                <c:pt idx="5">
                  <c:v>3.303794371488742E-2</c:v>
                </c:pt>
                <c:pt idx="6">
                  <c:v>3.4256945468370166E-2</c:v>
                </c:pt>
                <c:pt idx="7">
                  <c:v>3.7218998709061403E-2</c:v>
                </c:pt>
                <c:pt idx="8">
                  <c:v>3.6527071987723821E-2</c:v>
                </c:pt>
                <c:pt idx="9">
                  <c:v>3.610251746444007E-2</c:v>
                </c:pt>
                <c:pt idx="10">
                  <c:v>3.1789292147591193E-2</c:v>
                </c:pt>
                <c:pt idx="11">
                  <c:v>2.5379391696872994E-2</c:v>
                </c:pt>
                <c:pt idx="12">
                  <c:v>2.1281421853059309E-2</c:v>
                </c:pt>
                <c:pt idx="13">
                  <c:v>2.0258248378769241E-2</c:v>
                </c:pt>
                <c:pt idx="14">
                  <c:v>1.9724600709309693E-2</c:v>
                </c:pt>
                <c:pt idx="15">
                  <c:v>2.1015377014193242E-2</c:v>
                </c:pt>
                <c:pt idx="16">
                  <c:v>2.4241655790776959E-2</c:v>
                </c:pt>
                <c:pt idx="17">
                  <c:v>2.6998842498874926E-2</c:v>
                </c:pt>
                <c:pt idx="18">
                  <c:v>3.0286259016498812E-2</c:v>
                </c:pt>
                <c:pt idx="19">
                  <c:v>3.2182287944420858E-2</c:v>
                </c:pt>
                <c:pt idx="20">
                  <c:v>3.2606613518114849E-2</c:v>
                </c:pt>
                <c:pt idx="21">
                  <c:v>3.2448282130728617E-2</c:v>
                </c:pt>
                <c:pt idx="22">
                  <c:v>3.0924879511343303E-2</c:v>
                </c:pt>
                <c:pt idx="23">
                  <c:v>3.2171170641966444E-2</c:v>
                </c:pt>
                <c:pt idx="24">
                  <c:v>3.1398459285088325E-2</c:v>
                </c:pt>
                <c:pt idx="25">
                  <c:v>2.847449880197141E-2</c:v>
                </c:pt>
                <c:pt idx="26">
                  <c:v>2.6927379415611779E-2</c:v>
                </c:pt>
                <c:pt idx="27">
                  <c:v>2.2310032260229901E-2</c:v>
                </c:pt>
                <c:pt idx="28">
                  <c:v>1.8956403595833216E-2</c:v>
                </c:pt>
                <c:pt idx="29">
                  <c:v>1.7369986642467018E-2</c:v>
                </c:pt>
                <c:pt idx="30">
                  <c:v>1.9448510011781831E-2</c:v>
                </c:pt>
                <c:pt idx="31">
                  <c:v>2.1629952480074249E-2</c:v>
                </c:pt>
                <c:pt idx="32">
                  <c:v>2.421717232807084E-2</c:v>
                </c:pt>
                <c:pt idx="33">
                  <c:v>2.7388314434924427E-2</c:v>
                </c:pt>
                <c:pt idx="34">
                  <c:v>2.8938891508119482E-2</c:v>
                </c:pt>
                <c:pt idx="35">
                  <c:v>2.8119784699855249E-2</c:v>
                </c:pt>
                <c:pt idx="36">
                  <c:v>2.8357000158584843E-2</c:v>
                </c:pt>
                <c:pt idx="37">
                  <c:v>2.6126755457154194E-2</c:v>
                </c:pt>
                <c:pt idx="38">
                  <c:v>2.4208539699149666E-2</c:v>
                </c:pt>
                <c:pt idx="39">
                  <c:v>2.1571485669016153E-2</c:v>
                </c:pt>
                <c:pt idx="40">
                  <c:v>2.0569206064340057E-2</c:v>
                </c:pt>
                <c:pt idx="41">
                  <c:v>2.1479143906455434E-2</c:v>
                </c:pt>
                <c:pt idx="42">
                  <c:v>2.334405869477545E-2</c:v>
                </c:pt>
                <c:pt idx="43">
                  <c:v>2.5902951772178894E-2</c:v>
                </c:pt>
                <c:pt idx="44">
                  <c:v>2.7040285817280241E-2</c:v>
                </c:pt>
                <c:pt idx="45">
                  <c:v>2.6997136740803149E-2</c:v>
                </c:pt>
                <c:pt idx="46">
                  <c:v>2.6177998102851305E-2</c:v>
                </c:pt>
                <c:pt idx="47">
                  <c:v>2.5240716506033715E-2</c:v>
                </c:pt>
                <c:pt idx="48">
                  <c:v>2.5778816447183064E-2</c:v>
                </c:pt>
                <c:pt idx="49">
                  <c:v>2.5170742764264332E-2</c:v>
                </c:pt>
                <c:pt idx="50">
                  <c:v>2.5535000792857133E-2</c:v>
                </c:pt>
                <c:pt idx="51">
                  <c:v>2.608510416599058E-2</c:v>
                </c:pt>
                <c:pt idx="52">
                  <c:v>2.6647037870635947E-2</c:v>
                </c:pt>
                <c:pt idx="53">
                  <c:v>2.7951855886590479E-2</c:v>
                </c:pt>
                <c:pt idx="54">
                  <c:v>2.9530199334649742E-2</c:v>
                </c:pt>
                <c:pt idx="55">
                  <c:v>3.0542180289921363E-2</c:v>
                </c:pt>
                <c:pt idx="56">
                  <c:v>3.1888180524110639E-2</c:v>
                </c:pt>
                <c:pt idx="57">
                  <c:v>3.4025650091793397E-2</c:v>
                </c:pt>
                <c:pt idx="58">
                  <c:v>3.5638335843843461E-2</c:v>
                </c:pt>
                <c:pt idx="59">
                  <c:v>4.0019363635703631E-2</c:v>
                </c:pt>
                <c:pt idx="60">
                  <c:v>4.3154890174594451E-2</c:v>
                </c:pt>
                <c:pt idx="61">
                  <c:v>4.3562479152157552E-2</c:v>
                </c:pt>
                <c:pt idx="62">
                  <c:v>4.3295458268620191E-2</c:v>
                </c:pt>
                <c:pt idx="63">
                  <c:v>4.2148014592352796E-2</c:v>
                </c:pt>
                <c:pt idx="64">
                  <c:v>4.1506999590435238E-2</c:v>
                </c:pt>
                <c:pt idx="65">
                  <c:v>4.0431541776727017E-2</c:v>
                </c:pt>
                <c:pt idx="66">
                  <c:v>3.9846453003671282E-2</c:v>
                </c:pt>
                <c:pt idx="67">
                  <c:v>4.0555880258001796E-2</c:v>
                </c:pt>
                <c:pt idx="68">
                  <c:v>4.1317679904917089E-2</c:v>
                </c:pt>
                <c:pt idx="69">
                  <c:v>4.2370044830894994E-2</c:v>
                </c:pt>
                <c:pt idx="70">
                  <c:v>4.4136539533085661E-2</c:v>
                </c:pt>
                <c:pt idx="71">
                  <c:v>4.6810834980371335E-2</c:v>
                </c:pt>
                <c:pt idx="72">
                  <c:v>4.8026319603930619E-2</c:v>
                </c:pt>
                <c:pt idx="73">
                  <c:v>4.7733428236530484E-2</c:v>
                </c:pt>
                <c:pt idx="74">
                  <c:v>4.631985960868882E-2</c:v>
                </c:pt>
                <c:pt idx="75">
                  <c:v>4.5681537816236011E-2</c:v>
                </c:pt>
                <c:pt idx="76">
                  <c:v>4.097888282214629E-2</c:v>
                </c:pt>
                <c:pt idx="77">
                  <c:v>3.6308253514566326E-2</c:v>
                </c:pt>
                <c:pt idx="78">
                  <c:v>3.3242109970062696E-2</c:v>
                </c:pt>
                <c:pt idx="79">
                  <c:v>3.0692281648210029E-2</c:v>
                </c:pt>
                <c:pt idx="80">
                  <c:v>2.9856849989009244E-2</c:v>
                </c:pt>
                <c:pt idx="81">
                  <c:v>3.0727785840440103E-2</c:v>
                </c:pt>
                <c:pt idx="82">
                  <c:v>3.1061213501044436E-2</c:v>
                </c:pt>
                <c:pt idx="83">
                  <c:v>3.1548094677898979E-2</c:v>
                </c:pt>
                <c:pt idx="84">
                  <c:v>3.3838550597019686E-2</c:v>
                </c:pt>
                <c:pt idx="85">
                  <c:v>3.5276306638702841E-2</c:v>
                </c:pt>
                <c:pt idx="86">
                  <c:v>3.745643339521431E-2</c:v>
                </c:pt>
                <c:pt idx="87">
                  <c:v>4.135884417354186E-2</c:v>
                </c:pt>
                <c:pt idx="88">
                  <c:v>4.4939834584101723E-2</c:v>
                </c:pt>
                <c:pt idx="89">
                  <c:v>4.427928848453646E-2</c:v>
                </c:pt>
                <c:pt idx="90">
                  <c:v>4.4407670961614985E-2</c:v>
                </c:pt>
                <c:pt idx="91">
                  <c:v>4.324234021490652E-2</c:v>
                </c:pt>
                <c:pt idx="92">
                  <c:v>4.0921595649443809E-2</c:v>
                </c:pt>
                <c:pt idx="93">
                  <c:v>4.1007647104420099E-2</c:v>
                </c:pt>
                <c:pt idx="94">
                  <c:v>3.7564983510439652E-2</c:v>
                </c:pt>
                <c:pt idx="95">
                  <c:v>3.0781630942459604E-2</c:v>
                </c:pt>
                <c:pt idx="96">
                  <c:v>2.5990225240235153E-2</c:v>
                </c:pt>
                <c:pt idx="97">
                  <c:v>2.5824874091629247E-2</c:v>
                </c:pt>
                <c:pt idx="98">
                  <c:v>2.7225904960465317E-2</c:v>
                </c:pt>
                <c:pt idx="99">
                  <c:v>2.8370099180030306E-2</c:v>
                </c:pt>
                <c:pt idx="100">
                  <c:v>3.0183282243165455E-2</c:v>
                </c:pt>
                <c:pt idx="101">
                  <c:v>3.0948322647561494E-2</c:v>
                </c:pt>
                <c:pt idx="102">
                  <c:v>3.0859167719701448E-2</c:v>
                </c:pt>
                <c:pt idx="103">
                  <c:v>3.1867878867521959E-2</c:v>
                </c:pt>
                <c:pt idx="104">
                  <c:v>3.3982541312268175E-2</c:v>
                </c:pt>
                <c:pt idx="105">
                  <c:v>3.6089512637449327E-2</c:v>
                </c:pt>
                <c:pt idx="106">
                  <c:v>3.8002486674213208E-2</c:v>
                </c:pt>
                <c:pt idx="107">
                  <c:v>4.097718692272391E-2</c:v>
                </c:pt>
                <c:pt idx="108">
                  <c:v>4.279551288050714E-2</c:v>
                </c:pt>
                <c:pt idx="109">
                  <c:v>4.5849406797075186E-2</c:v>
                </c:pt>
                <c:pt idx="110">
                  <c:v>4.6041952621136389E-2</c:v>
                </c:pt>
                <c:pt idx="111">
                  <c:v>4.797225571027048E-2</c:v>
                </c:pt>
                <c:pt idx="112">
                  <c:v>4.6633299211454392E-2</c:v>
                </c:pt>
                <c:pt idx="113">
                  <c:v>4.7585303407406965E-2</c:v>
                </c:pt>
                <c:pt idx="114">
                  <c:v>4.7183407428058204E-2</c:v>
                </c:pt>
                <c:pt idx="115">
                  <c:v>4.6412971813282404E-2</c:v>
                </c:pt>
                <c:pt idx="116">
                  <c:v>4.295372814360765E-2</c:v>
                </c:pt>
                <c:pt idx="117">
                  <c:v>3.5477855555427651E-2</c:v>
                </c:pt>
                <c:pt idx="118">
                  <c:v>3.550970164830259E-2</c:v>
                </c:pt>
                <c:pt idx="119">
                  <c:v>3.6903103964528942E-2</c:v>
                </c:pt>
                <c:pt idx="120">
                  <c:v>3.6024385357516009E-2</c:v>
                </c:pt>
                <c:pt idx="121">
                  <c:v>3.5686777798975673E-2</c:v>
                </c:pt>
                <c:pt idx="122">
                  <c:v>3.4751800015900634E-2</c:v>
                </c:pt>
                <c:pt idx="123">
                  <c:v>3.0740281379613127E-2</c:v>
                </c:pt>
                <c:pt idx="124">
                  <c:v>2.844300154651079E-2</c:v>
                </c:pt>
                <c:pt idx="125">
                  <c:v>2.5615066280858714E-2</c:v>
                </c:pt>
                <c:pt idx="126">
                  <c:v>2.245869379976205E-2</c:v>
                </c:pt>
                <c:pt idx="127">
                  <c:v>2.1788489677271695E-2</c:v>
                </c:pt>
                <c:pt idx="128">
                  <c:v>2.3017556780594386E-2</c:v>
                </c:pt>
                <c:pt idx="129">
                  <c:v>2.5370970649802576E-2</c:v>
                </c:pt>
                <c:pt idx="130">
                  <c:v>2.8181462975153556E-2</c:v>
                </c:pt>
                <c:pt idx="131">
                  <c:v>3.1757590851505965E-2</c:v>
                </c:pt>
                <c:pt idx="132">
                  <c:v>3.437989319001708E-2</c:v>
                </c:pt>
                <c:pt idx="133">
                  <c:v>3.6630358125257938E-2</c:v>
                </c:pt>
                <c:pt idx="134">
                  <c:v>3.72368348397367E-2</c:v>
                </c:pt>
                <c:pt idx="135">
                  <c:v>3.7805165182863032E-2</c:v>
                </c:pt>
                <c:pt idx="136">
                  <c:v>3.79888485752388E-2</c:v>
                </c:pt>
                <c:pt idx="137">
                  <c:v>3.8483762209838672E-2</c:v>
                </c:pt>
                <c:pt idx="138">
                  <c:v>3.8513068504832874E-2</c:v>
                </c:pt>
                <c:pt idx="139">
                  <c:v>3.8141334310233727E-2</c:v>
                </c:pt>
                <c:pt idx="140">
                  <c:v>3.763155144535326E-2</c:v>
                </c:pt>
                <c:pt idx="141">
                  <c:v>3.7402446325872418E-2</c:v>
                </c:pt>
                <c:pt idx="142">
                  <c:v>3.7627410473405461E-2</c:v>
                </c:pt>
                <c:pt idx="143">
                  <c:v>3.8328022194419463E-2</c:v>
                </c:pt>
                <c:pt idx="144">
                  <c:v>3.8574055544933823E-2</c:v>
                </c:pt>
                <c:pt idx="145">
                  <c:v>3.9868872916319457E-2</c:v>
                </c:pt>
                <c:pt idx="146">
                  <c:v>4.1207559197136569E-2</c:v>
                </c:pt>
                <c:pt idx="147">
                  <c:v>4.1567332650771997E-2</c:v>
                </c:pt>
                <c:pt idx="148">
                  <c:v>4.1023145783016669E-2</c:v>
                </c:pt>
                <c:pt idx="149">
                  <c:v>4.1071161758704129E-2</c:v>
                </c:pt>
                <c:pt idx="150">
                  <c:v>4.0719003885894244E-2</c:v>
                </c:pt>
                <c:pt idx="151">
                  <c:v>4.0792278245142734E-2</c:v>
                </c:pt>
                <c:pt idx="152">
                  <c:v>4.0016233631691427E-2</c:v>
                </c:pt>
                <c:pt idx="153">
                  <c:v>3.8706690541945386E-2</c:v>
                </c:pt>
                <c:pt idx="154">
                  <c:v>3.7167375354923572E-2</c:v>
                </c:pt>
                <c:pt idx="155">
                  <c:v>3.7171287338327634E-2</c:v>
                </c:pt>
                <c:pt idx="156">
                  <c:v>3.575129738100994E-2</c:v>
                </c:pt>
                <c:pt idx="157">
                  <c:v>3.3593761201066878E-2</c:v>
                </c:pt>
                <c:pt idx="158">
                  <c:v>3.1756870475333869E-2</c:v>
                </c:pt>
                <c:pt idx="159">
                  <c:v>2.7743589948219276E-2</c:v>
                </c:pt>
                <c:pt idx="160">
                  <c:v>2.4802902571682175E-2</c:v>
                </c:pt>
                <c:pt idx="161">
                  <c:v>2.3981585315284177E-2</c:v>
                </c:pt>
                <c:pt idx="162">
                  <c:v>2.3349866293832098E-2</c:v>
                </c:pt>
                <c:pt idx="163">
                  <c:v>2.2776585614267677E-2</c:v>
                </c:pt>
                <c:pt idx="164">
                  <c:v>2.3285408407108289E-2</c:v>
                </c:pt>
                <c:pt idx="165">
                  <c:v>2.3520974151542019E-2</c:v>
                </c:pt>
                <c:pt idx="166">
                  <c:v>2.3319328411964862E-2</c:v>
                </c:pt>
                <c:pt idx="167">
                  <c:v>2.423726517907079E-2</c:v>
                </c:pt>
                <c:pt idx="168">
                  <c:v>2.4963564564714213E-2</c:v>
                </c:pt>
                <c:pt idx="169">
                  <c:v>2.4971211737160933E-2</c:v>
                </c:pt>
                <c:pt idx="170">
                  <c:v>2.6151496927778128E-2</c:v>
                </c:pt>
                <c:pt idx="171">
                  <c:v>2.770316745563044E-2</c:v>
                </c:pt>
                <c:pt idx="172">
                  <c:v>2.9012493405044082E-2</c:v>
                </c:pt>
                <c:pt idx="173">
                  <c:v>3.0100313173646018E-2</c:v>
                </c:pt>
                <c:pt idx="174">
                  <c:v>3.073321503593535E-2</c:v>
                </c:pt>
                <c:pt idx="175">
                  <c:v>3.2391494470196708E-2</c:v>
                </c:pt>
                <c:pt idx="176">
                  <c:v>3.1682418695305414E-2</c:v>
                </c:pt>
                <c:pt idx="177">
                  <c:v>3.042697041133037E-2</c:v>
                </c:pt>
                <c:pt idx="178">
                  <c:v>3.1333849808270607E-2</c:v>
                </c:pt>
                <c:pt idx="179">
                  <c:v>3.1904613372628308E-2</c:v>
                </c:pt>
                <c:pt idx="180">
                  <c:v>3.1324768232706898E-2</c:v>
                </c:pt>
                <c:pt idx="181">
                  <c:v>3.1035927118944703E-2</c:v>
                </c:pt>
                <c:pt idx="182">
                  <c:v>3.112590107726591E-2</c:v>
                </c:pt>
                <c:pt idx="183">
                  <c:v>3.2100611502429773E-2</c:v>
                </c:pt>
                <c:pt idx="184">
                  <c:v>3.3000589929384642E-2</c:v>
                </c:pt>
                <c:pt idx="185">
                  <c:v>3.2526668105215921E-2</c:v>
                </c:pt>
                <c:pt idx="186">
                  <c:v>3.348364207078084E-2</c:v>
                </c:pt>
                <c:pt idx="187">
                  <c:v>3.4626191907227287E-2</c:v>
                </c:pt>
                <c:pt idx="188">
                  <c:v>3.556906307809677E-2</c:v>
                </c:pt>
                <c:pt idx="189">
                  <c:v>3.5631173749262994E-2</c:v>
                </c:pt>
                <c:pt idx="190">
                  <c:v>3.5103823524998579E-2</c:v>
                </c:pt>
                <c:pt idx="191">
                  <c:v>3.4819854587705285E-2</c:v>
                </c:pt>
                <c:pt idx="192">
                  <c:v>3.6872138476996774E-2</c:v>
                </c:pt>
                <c:pt idx="193">
                  <c:v>3.5650908117641954E-2</c:v>
                </c:pt>
                <c:pt idx="194">
                  <c:v>3.5073224517707412E-2</c:v>
                </c:pt>
                <c:pt idx="195">
                  <c:v>3.5727373782735529E-2</c:v>
                </c:pt>
                <c:pt idx="196">
                  <c:v>3.7456125316798594E-2</c:v>
                </c:pt>
                <c:pt idx="197">
                  <c:v>3.5600914573932725E-2</c:v>
                </c:pt>
                <c:pt idx="198">
                  <c:v>3.4087080697058958E-2</c:v>
                </c:pt>
                <c:pt idx="199">
                  <c:v>3.3549352751256221E-2</c:v>
                </c:pt>
                <c:pt idx="200">
                  <c:v>3.1753556667142219E-2</c:v>
                </c:pt>
                <c:pt idx="201">
                  <c:v>2.7350540184414216E-2</c:v>
                </c:pt>
                <c:pt idx="202">
                  <c:v>2.5116550834361279E-2</c:v>
                </c:pt>
                <c:pt idx="203">
                  <c:v>2.1513712106880731E-2</c:v>
                </c:pt>
                <c:pt idx="204">
                  <c:v>2.2302063022705876E-2</c:v>
                </c:pt>
                <c:pt idx="205">
                  <c:v>2.243697825548327E-2</c:v>
                </c:pt>
                <c:pt idx="206">
                  <c:v>2.1289841687425037E-2</c:v>
                </c:pt>
                <c:pt idx="207">
                  <c:v>2.0314394497549699E-2</c:v>
                </c:pt>
                <c:pt idx="208">
                  <c:v>2.1097128734017534E-2</c:v>
                </c:pt>
                <c:pt idx="209">
                  <c:v>1.9830395104373025E-2</c:v>
                </c:pt>
                <c:pt idx="210">
                  <c:v>2.0640377348156515E-2</c:v>
                </c:pt>
                <c:pt idx="211">
                  <c:v>2.144238055868054E-2</c:v>
                </c:pt>
                <c:pt idx="212">
                  <c:v>2.2931241739788954E-2</c:v>
                </c:pt>
                <c:pt idx="213">
                  <c:v>2.3267514815243352E-2</c:v>
                </c:pt>
                <c:pt idx="214">
                  <c:v>2.2984408273743821E-2</c:v>
                </c:pt>
                <c:pt idx="215">
                  <c:v>2.3991930660153395E-2</c:v>
                </c:pt>
                <c:pt idx="216">
                  <c:v>2.7331840124369077E-2</c:v>
                </c:pt>
                <c:pt idx="217">
                  <c:v>2.7414958486086407E-2</c:v>
                </c:pt>
                <c:pt idx="218">
                  <c:v>2.9021819771408344E-2</c:v>
                </c:pt>
                <c:pt idx="219">
                  <c:v>3.0063981645036496E-2</c:v>
                </c:pt>
                <c:pt idx="220">
                  <c:v>3.0924235056143893E-2</c:v>
                </c:pt>
                <c:pt idx="221">
                  <c:v>2.9755645419076923E-2</c:v>
                </c:pt>
                <c:pt idx="222">
                  <c:v>2.8412496980150349E-2</c:v>
                </c:pt>
                <c:pt idx="223">
                  <c:v>2.9074899009355882E-2</c:v>
                </c:pt>
                <c:pt idx="224">
                  <c:v>3.0590929373751508E-2</c:v>
                </c:pt>
                <c:pt idx="225">
                  <c:v>3.0310623768016149E-2</c:v>
                </c:pt>
                <c:pt idx="226">
                  <c:v>2.762357880705649E-2</c:v>
                </c:pt>
                <c:pt idx="227">
                  <c:v>2.6829124926321783E-2</c:v>
                </c:pt>
                <c:pt idx="228">
                  <c:v>2.6131191174550344E-2</c:v>
                </c:pt>
                <c:pt idx="229">
                  <c:v>2.4196969615720682E-2</c:v>
                </c:pt>
                <c:pt idx="230">
                  <c:v>2.4489504807638212E-2</c:v>
                </c:pt>
                <c:pt idx="231">
                  <c:v>2.2864241414920442E-2</c:v>
                </c:pt>
                <c:pt idx="232">
                  <c:v>1.8127345081284763E-2</c:v>
                </c:pt>
                <c:pt idx="233">
                  <c:v>1.6627113295859811E-2</c:v>
                </c:pt>
                <c:pt idx="234">
                  <c:v>1.6917024796850682E-2</c:v>
                </c:pt>
                <c:pt idx="235">
                  <c:v>1.7740067838892568E-2</c:v>
                </c:pt>
                <c:pt idx="236">
                  <c:v>1.8933722575545181E-2</c:v>
                </c:pt>
                <c:pt idx="237">
                  <c:v>1.9408540657373605E-2</c:v>
                </c:pt>
                <c:pt idx="238">
                  <c:v>1.9871166843896837E-2</c:v>
                </c:pt>
                <c:pt idx="239">
                  <c:v>2.0314982654172854E-2</c:v>
                </c:pt>
                <c:pt idx="240">
                  <c:v>2.1377017662760803E-2</c:v>
                </c:pt>
                <c:pt idx="241">
                  <c:v>2.272523585086474E-2</c:v>
                </c:pt>
                <c:pt idx="242">
                  <c:v>2.2218801758090267E-2</c:v>
                </c:pt>
                <c:pt idx="243">
                  <c:v>2.2989516556233418E-2</c:v>
                </c:pt>
                <c:pt idx="244">
                  <c:v>2.3946860340468792E-2</c:v>
                </c:pt>
                <c:pt idx="245">
                  <c:v>2.4544398974742015E-2</c:v>
                </c:pt>
                <c:pt idx="246">
                  <c:v>2.4608305572996588E-2</c:v>
                </c:pt>
                <c:pt idx="247">
                  <c:v>2.4786826636126275E-2</c:v>
                </c:pt>
                <c:pt idx="248">
                  <c:v>2.5395384882996586E-2</c:v>
                </c:pt>
                <c:pt idx="249">
                  <c:v>2.4936755060442781E-2</c:v>
                </c:pt>
                <c:pt idx="250">
                  <c:v>2.4936755060442781E-2</c:v>
                </c:pt>
                <c:pt idx="251">
                  <c:v>2.4936755060442781E-2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40-4E47-B8A7-ED2547161482}"/>
            </c:ext>
          </c:extLst>
        </c:ser>
        <c:ser>
          <c:idx val="1"/>
          <c:order val="1"/>
          <c:tx>
            <c:strRef>
              <c:f>'BC composite HWI'!$X$2</c:f>
              <c:strCache>
                <c:ptCount val="1"/>
                <c:pt idx="0">
                  <c:v>1975-86</c:v>
                </c:pt>
              </c:strCache>
            </c:strRef>
          </c:tx>
          <c:spPr>
            <a:ln w="47625">
              <a:noFill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75000"/>
                </a:schemeClr>
              </a:solidFill>
              <a:ln>
                <a:noFill/>
                <a:prstDash val="solid"/>
              </a:ln>
              <a:effectLst/>
            </c:spPr>
          </c:marker>
          <c:xVal>
            <c:numRef>
              <c:f>'BC composite HWI'!$X$3:$X$254</c:f>
              <c:numCache>
                <c:formatCode>General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8.2411172777088218E-2</c:v>
                </c:pt>
                <c:pt idx="97">
                  <c:v>8.8523342535605856E-2</c:v>
                </c:pt>
                <c:pt idx="98">
                  <c:v>8.4913317889794684E-2</c:v>
                </c:pt>
                <c:pt idx="99">
                  <c:v>8.2831242149937423E-2</c:v>
                </c:pt>
                <c:pt idx="100">
                  <c:v>7.7470408200347826E-2</c:v>
                </c:pt>
                <c:pt idx="101">
                  <c:v>7.5501686581322378E-2</c:v>
                </c:pt>
                <c:pt idx="102">
                  <c:v>7.7232413024956162E-2</c:v>
                </c:pt>
                <c:pt idx="103">
                  <c:v>7.7563124416127588E-2</c:v>
                </c:pt>
                <c:pt idx="104">
                  <c:v>7.516025197061553E-2</c:v>
                </c:pt>
                <c:pt idx="105">
                  <c:v>7.1275650869110793E-2</c:v>
                </c:pt>
                <c:pt idx="106">
                  <c:v>6.8871208994462543E-2</c:v>
                </c:pt>
                <c:pt idx="107">
                  <c:v>6.6354343639359339E-2</c:v>
                </c:pt>
                <c:pt idx="108">
                  <c:v>6.3223153475762017E-2</c:v>
                </c:pt>
                <c:pt idx="109">
                  <c:v>5.9952047181341638E-2</c:v>
                </c:pt>
                <c:pt idx="110">
                  <c:v>6.0169082689846186E-2</c:v>
                </c:pt>
                <c:pt idx="111">
                  <c:v>5.8789225574561267E-2</c:v>
                </c:pt>
                <c:pt idx="112">
                  <c:v>5.8729477326548103E-2</c:v>
                </c:pt>
                <c:pt idx="113">
                  <c:v>5.7089934463756577E-2</c:v>
                </c:pt>
                <c:pt idx="114">
                  <c:v>5.8631825215225024E-2</c:v>
                </c:pt>
                <c:pt idx="115">
                  <c:v>5.9347783929826058E-2</c:v>
                </c:pt>
                <c:pt idx="116">
                  <c:v>6.2915192707610382E-2</c:v>
                </c:pt>
                <c:pt idx="117">
                  <c:v>7.31782525520316E-2</c:v>
                </c:pt>
                <c:pt idx="118">
                  <c:v>7.6751194127610542E-2</c:v>
                </c:pt>
                <c:pt idx="119">
                  <c:v>7.3927821432055577E-2</c:v>
                </c:pt>
                <c:pt idx="120">
                  <c:v>7.4208009227441085E-2</c:v>
                </c:pt>
                <c:pt idx="121">
                  <c:v>7.3929441635386881E-2</c:v>
                </c:pt>
                <c:pt idx="122">
                  <c:v>7.4113576303220213E-2</c:v>
                </c:pt>
                <c:pt idx="123">
                  <c:v>8.2348861100244544E-2</c:v>
                </c:pt>
                <c:pt idx="124">
                  <c:v>8.836918940855816E-2</c:v>
                </c:pt>
                <c:pt idx="125">
                  <c:v>9.4193441866833816E-2</c:v>
                </c:pt>
                <c:pt idx="126">
                  <c:v>9.9362796907399575E-2</c:v>
                </c:pt>
                <c:pt idx="127">
                  <c:v>0.10669751182909369</c:v>
                </c:pt>
                <c:pt idx="128">
                  <c:v>0.10390263537144691</c:v>
                </c:pt>
                <c:pt idx="129">
                  <c:v>0.10095395776108283</c:v>
                </c:pt>
                <c:pt idx="130">
                  <c:v>9.3532381056709579E-2</c:v>
                </c:pt>
                <c:pt idx="131">
                  <c:v>8.534843737371374E-2</c:v>
                </c:pt>
                <c:pt idx="132">
                  <c:v>7.8645499677583885E-2</c:v>
                </c:pt>
                <c:pt idx="133">
                  <c:v>7.4717024652157571E-2</c:v>
                </c:pt>
                <c:pt idx="134">
                  <c:v>7.4442795177973586E-2</c:v>
                </c:pt>
                <c:pt idx="135">
                  <c:v>7.2751508868517792E-2</c:v>
                </c:pt>
                <c:pt idx="136">
                  <c:v>7.2720160860142768E-2</c:v>
                </c:pt>
                <c:pt idx="137">
                  <c:v>7.2807604209799301E-2</c:v>
                </c:pt>
                <c:pt idx="138">
                  <c:v>7.2024025870587594E-2</c:v>
                </c:pt>
                <c:pt idx="139">
                  <c:v>7.0458140122747315E-2</c:v>
                </c:pt>
                <c:pt idx="140">
                  <c:v>7.006835668273946E-2</c:v>
                </c:pt>
                <c:pt idx="141">
                  <c:v>7.1716397893902703E-2</c:v>
                </c:pt>
                <c:pt idx="142">
                  <c:v>6.982164658883655E-2</c:v>
                </c:pt>
                <c:pt idx="143">
                  <c:v>6.8262430987115666E-2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xVal>
          <c:yVal>
            <c:numRef>
              <c:f>'BC composite HWI'!$AA$3:$AA$254</c:f>
              <c:numCache>
                <c:formatCode>General</c:formatCode>
                <c:ptCount val="252"/>
                <c:pt idx="0">
                  <c:v>3.2189817219055804E-2</c:v>
                </c:pt>
                <c:pt idx="1">
                  <c:v>3.284816912210501E-2</c:v>
                </c:pt>
                <c:pt idx="2">
                  <c:v>3.2527805587781795E-2</c:v>
                </c:pt>
                <c:pt idx="3">
                  <c:v>3.2637415777377873E-2</c:v>
                </c:pt>
                <c:pt idx="4">
                  <c:v>3.3430643222319728E-2</c:v>
                </c:pt>
                <c:pt idx="5">
                  <c:v>3.303794371488742E-2</c:v>
                </c:pt>
                <c:pt idx="6">
                  <c:v>3.4256945468370166E-2</c:v>
                </c:pt>
                <c:pt idx="7">
                  <c:v>3.7218998709061403E-2</c:v>
                </c:pt>
                <c:pt idx="8">
                  <c:v>3.6527071987723821E-2</c:v>
                </c:pt>
                <c:pt idx="9">
                  <c:v>3.610251746444007E-2</c:v>
                </c:pt>
                <c:pt idx="10">
                  <c:v>3.1789292147591193E-2</c:v>
                </c:pt>
                <c:pt idx="11">
                  <c:v>2.5379391696872994E-2</c:v>
                </c:pt>
                <c:pt idx="12">
                  <c:v>2.1281421853059309E-2</c:v>
                </c:pt>
                <c:pt idx="13">
                  <c:v>2.0258248378769241E-2</c:v>
                </c:pt>
                <c:pt idx="14">
                  <c:v>1.9724600709309693E-2</c:v>
                </c:pt>
                <c:pt idx="15">
                  <c:v>2.1015377014193242E-2</c:v>
                </c:pt>
                <c:pt idx="16">
                  <c:v>2.4241655790776959E-2</c:v>
                </c:pt>
                <c:pt idx="17">
                  <c:v>2.6998842498874926E-2</c:v>
                </c:pt>
                <c:pt idx="18">
                  <c:v>3.0286259016498812E-2</c:v>
                </c:pt>
                <c:pt idx="19">
                  <c:v>3.2182287944420858E-2</c:v>
                </c:pt>
                <c:pt idx="20">
                  <c:v>3.2606613518114849E-2</c:v>
                </c:pt>
                <c:pt idx="21">
                  <c:v>3.2448282130728617E-2</c:v>
                </c:pt>
                <c:pt idx="22">
                  <c:v>3.0924879511343303E-2</c:v>
                </c:pt>
                <c:pt idx="23">
                  <c:v>3.2171170641966444E-2</c:v>
                </c:pt>
                <c:pt idx="24">
                  <c:v>3.1398459285088325E-2</c:v>
                </c:pt>
                <c:pt idx="25">
                  <c:v>2.847449880197141E-2</c:v>
                </c:pt>
                <c:pt idx="26">
                  <c:v>2.6927379415611779E-2</c:v>
                </c:pt>
                <c:pt idx="27">
                  <c:v>2.2310032260229901E-2</c:v>
                </c:pt>
                <c:pt idx="28">
                  <c:v>1.8956403595833216E-2</c:v>
                </c:pt>
                <c:pt idx="29">
                  <c:v>1.7369986642467018E-2</c:v>
                </c:pt>
                <c:pt idx="30">
                  <c:v>1.9448510011781831E-2</c:v>
                </c:pt>
                <c:pt idx="31">
                  <c:v>2.1629952480074249E-2</c:v>
                </c:pt>
                <c:pt idx="32">
                  <c:v>2.421717232807084E-2</c:v>
                </c:pt>
                <c:pt idx="33">
                  <c:v>2.7388314434924427E-2</c:v>
                </c:pt>
                <c:pt idx="34">
                  <c:v>2.8938891508119482E-2</c:v>
                </c:pt>
                <c:pt idx="35">
                  <c:v>2.8119784699855249E-2</c:v>
                </c:pt>
                <c:pt idx="36">
                  <c:v>2.8357000158584843E-2</c:v>
                </c:pt>
                <c:pt idx="37">
                  <c:v>2.6126755457154194E-2</c:v>
                </c:pt>
                <c:pt idx="38">
                  <c:v>2.4208539699149666E-2</c:v>
                </c:pt>
                <c:pt idx="39">
                  <c:v>2.1571485669016153E-2</c:v>
                </c:pt>
                <c:pt idx="40">
                  <c:v>2.0569206064340057E-2</c:v>
                </c:pt>
                <c:pt idx="41">
                  <c:v>2.1479143906455434E-2</c:v>
                </c:pt>
                <c:pt idx="42">
                  <c:v>2.334405869477545E-2</c:v>
                </c:pt>
                <c:pt idx="43">
                  <c:v>2.5902951772178894E-2</c:v>
                </c:pt>
                <c:pt idx="44">
                  <c:v>2.7040285817280241E-2</c:v>
                </c:pt>
                <c:pt idx="45">
                  <c:v>2.6997136740803149E-2</c:v>
                </c:pt>
                <c:pt idx="46">
                  <c:v>2.6177998102851305E-2</c:v>
                </c:pt>
                <c:pt idx="47">
                  <c:v>2.5240716506033715E-2</c:v>
                </c:pt>
                <c:pt idx="48">
                  <c:v>2.5778816447183064E-2</c:v>
                </c:pt>
                <c:pt idx="49">
                  <c:v>2.5170742764264332E-2</c:v>
                </c:pt>
                <c:pt idx="50">
                  <c:v>2.5535000792857133E-2</c:v>
                </c:pt>
                <c:pt idx="51">
                  <c:v>2.608510416599058E-2</c:v>
                </c:pt>
                <c:pt idx="52">
                  <c:v>2.6647037870635947E-2</c:v>
                </c:pt>
                <c:pt idx="53">
                  <c:v>2.7951855886590479E-2</c:v>
                </c:pt>
                <c:pt idx="54">
                  <c:v>2.9530199334649742E-2</c:v>
                </c:pt>
                <c:pt idx="55">
                  <c:v>3.0542180289921363E-2</c:v>
                </c:pt>
                <c:pt idx="56">
                  <c:v>3.1888180524110639E-2</c:v>
                </c:pt>
                <c:pt idx="57">
                  <c:v>3.4025650091793397E-2</c:v>
                </c:pt>
                <c:pt idx="58">
                  <c:v>3.5638335843843461E-2</c:v>
                </c:pt>
                <c:pt idx="59">
                  <c:v>4.0019363635703631E-2</c:v>
                </c:pt>
                <c:pt idx="60">
                  <c:v>4.3154890174594451E-2</c:v>
                </c:pt>
                <c:pt idx="61">
                  <c:v>4.3562479152157552E-2</c:v>
                </c:pt>
                <c:pt idx="62">
                  <c:v>4.3295458268620191E-2</c:v>
                </c:pt>
                <c:pt idx="63">
                  <c:v>4.2148014592352796E-2</c:v>
                </c:pt>
                <c:pt idx="64">
                  <c:v>4.1506999590435238E-2</c:v>
                </c:pt>
                <c:pt idx="65">
                  <c:v>4.0431541776727017E-2</c:v>
                </c:pt>
                <c:pt idx="66">
                  <c:v>3.9846453003671282E-2</c:v>
                </c:pt>
                <c:pt idx="67">
                  <c:v>4.0555880258001796E-2</c:v>
                </c:pt>
                <c:pt idx="68">
                  <c:v>4.1317679904917089E-2</c:v>
                </c:pt>
                <c:pt idx="69">
                  <c:v>4.2370044830894994E-2</c:v>
                </c:pt>
                <c:pt idx="70">
                  <c:v>4.4136539533085661E-2</c:v>
                </c:pt>
                <c:pt idx="71">
                  <c:v>4.6810834980371335E-2</c:v>
                </c:pt>
                <c:pt idx="72">
                  <c:v>4.8026319603930619E-2</c:v>
                </c:pt>
                <c:pt idx="73">
                  <c:v>4.7733428236530484E-2</c:v>
                </c:pt>
                <c:pt idx="74">
                  <c:v>4.631985960868882E-2</c:v>
                </c:pt>
                <c:pt idx="75">
                  <c:v>4.5681537816236011E-2</c:v>
                </c:pt>
                <c:pt idx="76">
                  <c:v>4.097888282214629E-2</c:v>
                </c:pt>
                <c:pt idx="77">
                  <c:v>3.6308253514566326E-2</c:v>
                </c:pt>
                <c:pt idx="78">
                  <c:v>3.3242109970062696E-2</c:v>
                </c:pt>
                <c:pt idx="79">
                  <c:v>3.0692281648210029E-2</c:v>
                </c:pt>
                <c:pt idx="80">
                  <c:v>2.9856849989009244E-2</c:v>
                </c:pt>
                <c:pt idx="81">
                  <c:v>3.0727785840440103E-2</c:v>
                </c:pt>
                <c:pt idx="82">
                  <c:v>3.1061213501044436E-2</c:v>
                </c:pt>
                <c:pt idx="83">
                  <c:v>3.1548094677898979E-2</c:v>
                </c:pt>
                <c:pt idx="84">
                  <c:v>3.3838550597019686E-2</c:v>
                </c:pt>
                <c:pt idx="85">
                  <c:v>3.5276306638702841E-2</c:v>
                </c:pt>
                <c:pt idx="86">
                  <c:v>3.745643339521431E-2</c:v>
                </c:pt>
                <c:pt idx="87">
                  <c:v>4.135884417354186E-2</c:v>
                </c:pt>
                <c:pt idx="88">
                  <c:v>4.4939834584101723E-2</c:v>
                </c:pt>
                <c:pt idx="89">
                  <c:v>4.427928848453646E-2</c:v>
                </c:pt>
                <c:pt idx="90">
                  <c:v>4.4407670961614985E-2</c:v>
                </c:pt>
                <c:pt idx="91">
                  <c:v>4.324234021490652E-2</c:v>
                </c:pt>
                <c:pt idx="92">
                  <c:v>4.0921595649443809E-2</c:v>
                </c:pt>
                <c:pt idx="93">
                  <c:v>4.1007647104420099E-2</c:v>
                </c:pt>
                <c:pt idx="94">
                  <c:v>3.7564983510439652E-2</c:v>
                </c:pt>
                <c:pt idx="95">
                  <c:v>3.0781630942459604E-2</c:v>
                </c:pt>
                <c:pt idx="96">
                  <c:v>2.5990225240235153E-2</c:v>
                </c:pt>
                <c:pt idx="97">
                  <c:v>2.5824874091629247E-2</c:v>
                </c:pt>
                <c:pt idx="98">
                  <c:v>2.7225904960465317E-2</c:v>
                </c:pt>
                <c:pt idx="99">
                  <c:v>2.8370099180030306E-2</c:v>
                </c:pt>
                <c:pt idx="100">
                  <c:v>3.0183282243165455E-2</c:v>
                </c:pt>
                <c:pt idx="101">
                  <c:v>3.0948322647561494E-2</c:v>
                </c:pt>
                <c:pt idx="102">
                  <c:v>3.0859167719701448E-2</c:v>
                </c:pt>
                <c:pt idx="103">
                  <c:v>3.1867878867521959E-2</c:v>
                </c:pt>
                <c:pt idx="104">
                  <c:v>3.3982541312268175E-2</c:v>
                </c:pt>
                <c:pt idx="105">
                  <c:v>3.6089512637449327E-2</c:v>
                </c:pt>
                <c:pt idx="106">
                  <c:v>3.8002486674213208E-2</c:v>
                </c:pt>
                <c:pt idx="107">
                  <c:v>4.097718692272391E-2</c:v>
                </c:pt>
                <c:pt idx="108">
                  <c:v>4.279551288050714E-2</c:v>
                </c:pt>
                <c:pt idx="109">
                  <c:v>4.5849406797075186E-2</c:v>
                </c:pt>
                <c:pt idx="110">
                  <c:v>4.6041952621136389E-2</c:v>
                </c:pt>
                <c:pt idx="111">
                  <c:v>4.797225571027048E-2</c:v>
                </c:pt>
                <c:pt idx="112">
                  <c:v>4.6633299211454392E-2</c:v>
                </c:pt>
                <c:pt idx="113">
                  <c:v>4.7585303407406965E-2</c:v>
                </c:pt>
                <c:pt idx="114">
                  <c:v>4.7183407428058204E-2</c:v>
                </c:pt>
                <c:pt idx="115">
                  <c:v>4.6412971813282404E-2</c:v>
                </c:pt>
                <c:pt idx="116">
                  <c:v>4.295372814360765E-2</c:v>
                </c:pt>
                <c:pt idx="117">
                  <c:v>3.5477855555427651E-2</c:v>
                </c:pt>
                <c:pt idx="118">
                  <c:v>3.550970164830259E-2</c:v>
                </c:pt>
                <c:pt idx="119">
                  <c:v>3.6903103964528942E-2</c:v>
                </c:pt>
                <c:pt idx="120">
                  <c:v>3.6024385357516009E-2</c:v>
                </c:pt>
                <c:pt idx="121">
                  <c:v>3.5686777798975673E-2</c:v>
                </c:pt>
                <c:pt idx="122">
                  <c:v>3.4751800015900634E-2</c:v>
                </c:pt>
                <c:pt idx="123">
                  <c:v>3.0740281379613127E-2</c:v>
                </c:pt>
                <c:pt idx="124">
                  <c:v>2.844300154651079E-2</c:v>
                </c:pt>
                <c:pt idx="125">
                  <c:v>2.5615066280858714E-2</c:v>
                </c:pt>
                <c:pt idx="126">
                  <c:v>2.245869379976205E-2</c:v>
                </c:pt>
                <c:pt idx="127">
                  <c:v>2.1788489677271695E-2</c:v>
                </c:pt>
                <c:pt idx="128">
                  <c:v>2.3017556780594386E-2</c:v>
                </c:pt>
                <c:pt idx="129">
                  <c:v>2.5370970649802576E-2</c:v>
                </c:pt>
                <c:pt idx="130">
                  <c:v>2.8181462975153556E-2</c:v>
                </c:pt>
                <c:pt idx="131">
                  <c:v>3.1757590851505965E-2</c:v>
                </c:pt>
                <c:pt idx="132">
                  <c:v>3.437989319001708E-2</c:v>
                </c:pt>
                <c:pt idx="133">
                  <c:v>3.6630358125257938E-2</c:v>
                </c:pt>
                <c:pt idx="134">
                  <c:v>3.72368348397367E-2</c:v>
                </c:pt>
                <c:pt idx="135">
                  <c:v>3.7805165182863032E-2</c:v>
                </c:pt>
                <c:pt idx="136">
                  <c:v>3.79888485752388E-2</c:v>
                </c:pt>
                <c:pt idx="137">
                  <c:v>3.8483762209838672E-2</c:v>
                </c:pt>
                <c:pt idx="138">
                  <c:v>3.8513068504832874E-2</c:v>
                </c:pt>
                <c:pt idx="139">
                  <c:v>3.8141334310233727E-2</c:v>
                </c:pt>
                <c:pt idx="140">
                  <c:v>3.763155144535326E-2</c:v>
                </c:pt>
                <c:pt idx="141">
                  <c:v>3.7402446325872418E-2</c:v>
                </c:pt>
                <c:pt idx="142">
                  <c:v>3.7627410473405461E-2</c:v>
                </c:pt>
                <c:pt idx="143">
                  <c:v>3.8328022194419463E-2</c:v>
                </c:pt>
                <c:pt idx="144">
                  <c:v>3.8574055544933823E-2</c:v>
                </c:pt>
                <c:pt idx="145">
                  <c:v>3.9868872916319457E-2</c:v>
                </c:pt>
                <c:pt idx="146">
                  <c:v>4.1207559197136569E-2</c:v>
                </c:pt>
                <c:pt idx="147">
                  <c:v>4.1567332650771997E-2</c:v>
                </c:pt>
                <c:pt idx="148">
                  <c:v>4.1023145783016669E-2</c:v>
                </c:pt>
                <c:pt idx="149">
                  <c:v>4.1071161758704129E-2</c:v>
                </c:pt>
                <c:pt idx="150">
                  <c:v>4.0719003885894244E-2</c:v>
                </c:pt>
                <c:pt idx="151">
                  <c:v>4.0792278245142734E-2</c:v>
                </c:pt>
                <c:pt idx="152">
                  <c:v>4.0016233631691427E-2</c:v>
                </c:pt>
                <c:pt idx="153">
                  <c:v>3.8706690541945386E-2</c:v>
                </c:pt>
                <c:pt idx="154">
                  <c:v>3.7167375354923572E-2</c:v>
                </c:pt>
                <c:pt idx="155">
                  <c:v>3.7171287338327634E-2</c:v>
                </c:pt>
                <c:pt idx="156">
                  <c:v>3.575129738100994E-2</c:v>
                </c:pt>
                <c:pt idx="157">
                  <c:v>3.3593761201066878E-2</c:v>
                </c:pt>
                <c:pt idx="158">
                  <c:v>3.1756870475333869E-2</c:v>
                </c:pt>
                <c:pt idx="159">
                  <c:v>2.7743589948219276E-2</c:v>
                </c:pt>
                <c:pt idx="160">
                  <c:v>2.4802902571682175E-2</c:v>
                </c:pt>
                <c:pt idx="161">
                  <c:v>2.3981585315284177E-2</c:v>
                </c:pt>
                <c:pt idx="162">
                  <c:v>2.3349866293832098E-2</c:v>
                </c:pt>
                <c:pt idx="163">
                  <c:v>2.2776585614267677E-2</c:v>
                </c:pt>
                <c:pt idx="164">
                  <c:v>2.3285408407108289E-2</c:v>
                </c:pt>
                <c:pt idx="165">
                  <c:v>2.3520974151542019E-2</c:v>
                </c:pt>
                <c:pt idx="166">
                  <c:v>2.3319328411964862E-2</c:v>
                </c:pt>
                <c:pt idx="167">
                  <c:v>2.423726517907079E-2</c:v>
                </c:pt>
                <c:pt idx="168">
                  <c:v>2.4963564564714213E-2</c:v>
                </c:pt>
                <c:pt idx="169">
                  <c:v>2.4971211737160933E-2</c:v>
                </c:pt>
                <c:pt idx="170">
                  <c:v>2.6151496927778128E-2</c:v>
                </c:pt>
                <c:pt idx="171">
                  <c:v>2.770316745563044E-2</c:v>
                </c:pt>
                <c:pt idx="172">
                  <c:v>2.9012493405044082E-2</c:v>
                </c:pt>
                <c:pt idx="173">
                  <c:v>3.0100313173646018E-2</c:v>
                </c:pt>
                <c:pt idx="174">
                  <c:v>3.073321503593535E-2</c:v>
                </c:pt>
                <c:pt idx="175">
                  <c:v>3.2391494470196708E-2</c:v>
                </c:pt>
                <c:pt idx="176">
                  <c:v>3.1682418695305414E-2</c:v>
                </c:pt>
                <c:pt idx="177">
                  <c:v>3.042697041133037E-2</c:v>
                </c:pt>
                <c:pt idx="178">
                  <c:v>3.1333849808270607E-2</c:v>
                </c:pt>
                <c:pt idx="179">
                  <c:v>3.1904613372628308E-2</c:v>
                </c:pt>
                <c:pt idx="180">
                  <c:v>3.1324768232706898E-2</c:v>
                </c:pt>
                <c:pt idx="181">
                  <c:v>3.1035927118944703E-2</c:v>
                </c:pt>
                <c:pt idx="182">
                  <c:v>3.112590107726591E-2</c:v>
                </c:pt>
                <c:pt idx="183">
                  <c:v>3.2100611502429773E-2</c:v>
                </c:pt>
                <c:pt idx="184">
                  <c:v>3.3000589929384642E-2</c:v>
                </c:pt>
                <c:pt idx="185">
                  <c:v>3.2526668105215921E-2</c:v>
                </c:pt>
                <c:pt idx="186">
                  <c:v>3.348364207078084E-2</c:v>
                </c:pt>
                <c:pt idx="187">
                  <c:v>3.4626191907227287E-2</c:v>
                </c:pt>
                <c:pt idx="188">
                  <c:v>3.556906307809677E-2</c:v>
                </c:pt>
                <c:pt idx="189">
                  <c:v>3.5631173749262994E-2</c:v>
                </c:pt>
                <c:pt idx="190">
                  <c:v>3.5103823524998579E-2</c:v>
                </c:pt>
                <c:pt idx="191">
                  <c:v>3.4819854587705285E-2</c:v>
                </c:pt>
                <c:pt idx="192">
                  <c:v>3.6872138476996774E-2</c:v>
                </c:pt>
                <c:pt idx="193">
                  <c:v>3.5650908117641954E-2</c:v>
                </c:pt>
                <c:pt idx="194">
                  <c:v>3.5073224517707412E-2</c:v>
                </c:pt>
                <c:pt idx="195">
                  <c:v>3.5727373782735529E-2</c:v>
                </c:pt>
                <c:pt idx="196">
                  <c:v>3.7456125316798594E-2</c:v>
                </c:pt>
                <c:pt idx="197">
                  <c:v>3.5600914573932725E-2</c:v>
                </c:pt>
                <c:pt idx="198">
                  <c:v>3.4087080697058958E-2</c:v>
                </c:pt>
                <c:pt idx="199">
                  <c:v>3.3549352751256221E-2</c:v>
                </c:pt>
                <c:pt idx="200">
                  <c:v>3.1753556667142219E-2</c:v>
                </c:pt>
                <c:pt idx="201">
                  <c:v>2.7350540184414216E-2</c:v>
                </c:pt>
                <c:pt idx="202">
                  <c:v>2.5116550834361279E-2</c:v>
                </c:pt>
                <c:pt idx="203">
                  <c:v>2.1513712106880731E-2</c:v>
                </c:pt>
                <c:pt idx="204">
                  <c:v>2.2302063022705876E-2</c:v>
                </c:pt>
                <c:pt idx="205">
                  <c:v>2.243697825548327E-2</c:v>
                </c:pt>
                <c:pt idx="206">
                  <c:v>2.1289841687425037E-2</c:v>
                </c:pt>
                <c:pt idx="207">
                  <c:v>2.0314394497549699E-2</c:v>
                </c:pt>
                <c:pt idx="208">
                  <c:v>2.1097128734017534E-2</c:v>
                </c:pt>
                <c:pt idx="209">
                  <c:v>1.9830395104373025E-2</c:v>
                </c:pt>
                <c:pt idx="210">
                  <c:v>2.0640377348156515E-2</c:v>
                </c:pt>
                <c:pt idx="211">
                  <c:v>2.144238055868054E-2</c:v>
                </c:pt>
                <c:pt idx="212">
                  <c:v>2.2931241739788954E-2</c:v>
                </c:pt>
                <c:pt idx="213">
                  <c:v>2.3267514815243352E-2</c:v>
                </c:pt>
                <c:pt idx="214">
                  <c:v>2.2984408273743821E-2</c:v>
                </c:pt>
                <c:pt idx="215">
                  <c:v>2.3991930660153395E-2</c:v>
                </c:pt>
                <c:pt idx="216">
                  <c:v>2.7331840124369077E-2</c:v>
                </c:pt>
                <c:pt idx="217">
                  <c:v>2.7414958486086407E-2</c:v>
                </c:pt>
                <c:pt idx="218">
                  <c:v>2.9021819771408344E-2</c:v>
                </c:pt>
                <c:pt idx="219">
                  <c:v>3.0063981645036496E-2</c:v>
                </c:pt>
                <c:pt idx="220">
                  <c:v>3.0924235056143893E-2</c:v>
                </c:pt>
                <c:pt idx="221">
                  <c:v>2.9755645419076923E-2</c:v>
                </c:pt>
                <c:pt idx="222">
                  <c:v>2.8412496980150349E-2</c:v>
                </c:pt>
                <c:pt idx="223">
                  <c:v>2.9074899009355882E-2</c:v>
                </c:pt>
                <c:pt idx="224">
                  <c:v>3.0590929373751508E-2</c:v>
                </c:pt>
                <c:pt idx="225">
                  <c:v>3.0310623768016149E-2</c:v>
                </c:pt>
                <c:pt idx="226">
                  <c:v>2.762357880705649E-2</c:v>
                </c:pt>
                <c:pt idx="227">
                  <c:v>2.6829124926321783E-2</c:v>
                </c:pt>
                <c:pt idx="228">
                  <c:v>2.6131191174550344E-2</c:v>
                </c:pt>
                <c:pt idx="229">
                  <c:v>2.4196969615720682E-2</c:v>
                </c:pt>
                <c:pt idx="230">
                  <c:v>2.4489504807638212E-2</c:v>
                </c:pt>
                <c:pt idx="231">
                  <c:v>2.2864241414920442E-2</c:v>
                </c:pt>
                <c:pt idx="232">
                  <c:v>1.8127345081284763E-2</c:v>
                </c:pt>
                <c:pt idx="233">
                  <c:v>1.6627113295859811E-2</c:v>
                </c:pt>
                <c:pt idx="234">
                  <c:v>1.6917024796850682E-2</c:v>
                </c:pt>
                <c:pt idx="235">
                  <c:v>1.7740067838892568E-2</c:v>
                </c:pt>
                <c:pt idx="236">
                  <c:v>1.8933722575545181E-2</c:v>
                </c:pt>
                <c:pt idx="237">
                  <c:v>1.9408540657373605E-2</c:v>
                </c:pt>
                <c:pt idx="238">
                  <c:v>1.9871166843896837E-2</c:v>
                </c:pt>
                <c:pt idx="239">
                  <c:v>2.0314982654172854E-2</c:v>
                </c:pt>
                <c:pt idx="240">
                  <c:v>2.1377017662760803E-2</c:v>
                </c:pt>
                <c:pt idx="241">
                  <c:v>2.272523585086474E-2</c:v>
                </c:pt>
                <c:pt idx="242">
                  <c:v>2.2218801758090267E-2</c:v>
                </c:pt>
                <c:pt idx="243">
                  <c:v>2.2989516556233418E-2</c:v>
                </c:pt>
                <c:pt idx="244">
                  <c:v>2.3946860340468792E-2</c:v>
                </c:pt>
                <c:pt idx="245">
                  <c:v>2.4544398974742015E-2</c:v>
                </c:pt>
                <c:pt idx="246">
                  <c:v>2.4608305572996588E-2</c:v>
                </c:pt>
                <c:pt idx="247">
                  <c:v>2.4786826636126275E-2</c:v>
                </c:pt>
                <c:pt idx="248">
                  <c:v>2.5395384882996586E-2</c:v>
                </c:pt>
                <c:pt idx="249">
                  <c:v>2.4936755060442781E-2</c:v>
                </c:pt>
                <c:pt idx="250">
                  <c:v>2.4936755060442781E-2</c:v>
                </c:pt>
                <c:pt idx="251">
                  <c:v>2.4936755060442781E-2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40-4E47-B8A7-ED2547161482}"/>
            </c:ext>
          </c:extLst>
        </c:ser>
        <c:ser>
          <c:idx val="2"/>
          <c:order val="2"/>
          <c:tx>
            <c:strRef>
              <c:f>'BC composite HWI'!$Y$2</c:f>
              <c:strCache>
                <c:ptCount val="1"/>
                <c:pt idx="0">
                  <c:v>1990-2000</c:v>
                </c:pt>
              </c:strCache>
            </c:strRef>
          </c:tx>
          <c:spPr>
            <a:ln w="47625">
              <a:noFill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50000"/>
                </a:schemeClr>
              </a:solidFill>
              <a:ln>
                <a:noFill/>
                <a:prstDash val="solid"/>
              </a:ln>
              <a:effectLst/>
            </c:spPr>
          </c:marker>
          <c:xVal>
            <c:numRef>
              <c:f>'BC composite HWI'!$Y$3:$Y$254</c:f>
              <c:numCache>
                <c:formatCode>General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5.3004606512745557E-2</c:v>
                </c:pt>
                <c:pt idx="157">
                  <c:v>5.337599557468118E-2</c:v>
                </c:pt>
                <c:pt idx="158">
                  <c:v>5.6877369667566006E-2</c:v>
                </c:pt>
                <c:pt idx="159">
                  <c:v>6.1140451818954465E-2</c:v>
                </c:pt>
                <c:pt idx="160">
                  <c:v>6.5744350270834515E-2</c:v>
                </c:pt>
                <c:pt idx="161">
                  <c:v>6.8242054022026225E-2</c:v>
                </c:pt>
                <c:pt idx="162">
                  <c:v>6.8540875368525267E-2</c:v>
                </c:pt>
                <c:pt idx="163">
                  <c:v>7.0974988762214086E-2</c:v>
                </c:pt>
                <c:pt idx="164">
                  <c:v>7.379999831448035E-2</c:v>
                </c:pt>
                <c:pt idx="165">
                  <c:v>7.5952565390984758E-2</c:v>
                </c:pt>
                <c:pt idx="166">
                  <c:v>7.6276259824107226E-2</c:v>
                </c:pt>
                <c:pt idx="167">
                  <c:v>7.4073084685516766E-2</c:v>
                </c:pt>
                <c:pt idx="168">
                  <c:v>7.1510670899310472E-2</c:v>
                </c:pt>
                <c:pt idx="169">
                  <c:v>7.0702377509311132E-2</c:v>
                </c:pt>
                <c:pt idx="170">
                  <c:v>6.8009529947637745E-2</c:v>
                </c:pt>
                <c:pt idx="171">
                  <c:v>6.6206963922621667E-2</c:v>
                </c:pt>
                <c:pt idx="172">
                  <c:v>6.5573565226174593E-2</c:v>
                </c:pt>
                <c:pt idx="173">
                  <c:v>6.1672269203552545E-2</c:v>
                </c:pt>
                <c:pt idx="174">
                  <c:v>6.003249586894574E-2</c:v>
                </c:pt>
                <c:pt idx="175">
                  <c:v>5.621366179690776E-2</c:v>
                </c:pt>
                <c:pt idx="176">
                  <c:v>5.4799934049540387E-2</c:v>
                </c:pt>
                <c:pt idx="177">
                  <c:v>5.6765778342929722E-2</c:v>
                </c:pt>
                <c:pt idx="178">
                  <c:v>5.6606150226606672E-2</c:v>
                </c:pt>
                <c:pt idx="179">
                  <c:v>5.5743581263231791E-2</c:v>
                </c:pt>
                <c:pt idx="180">
                  <c:v>5.5479800333740163E-2</c:v>
                </c:pt>
                <c:pt idx="181">
                  <c:v>5.4727414281718338E-2</c:v>
                </c:pt>
                <c:pt idx="182">
                  <c:v>5.2619380637179462E-2</c:v>
                </c:pt>
                <c:pt idx="183">
                  <c:v>5.3130063489889502E-2</c:v>
                </c:pt>
                <c:pt idx="184">
                  <c:v>5.226919847700201E-2</c:v>
                </c:pt>
                <c:pt idx="185">
                  <c:v>4.9779022951932088E-2</c:v>
                </c:pt>
                <c:pt idx="186">
                  <c:v>4.8610236045905697E-2</c:v>
                </c:pt>
                <c:pt idx="187">
                  <c:v>4.6836528612886508E-2</c:v>
                </c:pt>
                <c:pt idx="188">
                  <c:v>4.6412147307383446E-2</c:v>
                </c:pt>
                <c:pt idx="189">
                  <c:v>4.4176555814854607E-2</c:v>
                </c:pt>
                <c:pt idx="190">
                  <c:v>4.5321319594782687E-2</c:v>
                </c:pt>
                <c:pt idx="191">
                  <c:v>4.4335624785740248E-2</c:v>
                </c:pt>
                <c:pt idx="192">
                  <c:v>4.2883878200448845E-2</c:v>
                </c:pt>
                <c:pt idx="193">
                  <c:v>4.2528203954871023E-2</c:v>
                </c:pt>
                <c:pt idx="194">
                  <c:v>4.2481238276263433E-2</c:v>
                </c:pt>
                <c:pt idx="195">
                  <c:v>4.0829305064578651E-2</c:v>
                </c:pt>
                <c:pt idx="196">
                  <c:v>4.0497811053418348E-2</c:v>
                </c:pt>
                <c:pt idx="197">
                  <c:v>3.9488387046744948E-2</c:v>
                </c:pt>
                <c:pt idx="198">
                  <c:v>4.0310366735264752E-2</c:v>
                </c:pt>
                <c:pt idx="199">
                  <c:v>3.9192102663532478E-2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xVal>
          <c:yVal>
            <c:numRef>
              <c:f>'BC composite HWI'!$AA$3:$AA$254</c:f>
              <c:numCache>
                <c:formatCode>General</c:formatCode>
                <c:ptCount val="252"/>
                <c:pt idx="0">
                  <c:v>3.2189817219055804E-2</c:v>
                </c:pt>
                <c:pt idx="1">
                  <c:v>3.284816912210501E-2</c:v>
                </c:pt>
                <c:pt idx="2">
                  <c:v>3.2527805587781795E-2</c:v>
                </c:pt>
                <c:pt idx="3">
                  <c:v>3.2637415777377873E-2</c:v>
                </c:pt>
                <c:pt idx="4">
                  <c:v>3.3430643222319728E-2</c:v>
                </c:pt>
                <c:pt idx="5">
                  <c:v>3.303794371488742E-2</c:v>
                </c:pt>
                <c:pt idx="6">
                  <c:v>3.4256945468370166E-2</c:v>
                </c:pt>
                <c:pt idx="7">
                  <c:v>3.7218998709061403E-2</c:v>
                </c:pt>
                <c:pt idx="8">
                  <c:v>3.6527071987723821E-2</c:v>
                </c:pt>
                <c:pt idx="9">
                  <c:v>3.610251746444007E-2</c:v>
                </c:pt>
                <c:pt idx="10">
                  <c:v>3.1789292147591193E-2</c:v>
                </c:pt>
                <c:pt idx="11">
                  <c:v>2.5379391696872994E-2</c:v>
                </c:pt>
                <c:pt idx="12">
                  <c:v>2.1281421853059309E-2</c:v>
                </c:pt>
                <c:pt idx="13">
                  <c:v>2.0258248378769241E-2</c:v>
                </c:pt>
                <c:pt idx="14">
                  <c:v>1.9724600709309693E-2</c:v>
                </c:pt>
                <c:pt idx="15">
                  <c:v>2.1015377014193242E-2</c:v>
                </c:pt>
                <c:pt idx="16">
                  <c:v>2.4241655790776959E-2</c:v>
                </c:pt>
                <c:pt idx="17">
                  <c:v>2.6998842498874926E-2</c:v>
                </c:pt>
                <c:pt idx="18">
                  <c:v>3.0286259016498812E-2</c:v>
                </c:pt>
                <c:pt idx="19">
                  <c:v>3.2182287944420858E-2</c:v>
                </c:pt>
                <c:pt idx="20">
                  <c:v>3.2606613518114849E-2</c:v>
                </c:pt>
                <c:pt idx="21">
                  <c:v>3.2448282130728617E-2</c:v>
                </c:pt>
                <c:pt idx="22">
                  <c:v>3.0924879511343303E-2</c:v>
                </c:pt>
                <c:pt idx="23">
                  <c:v>3.2171170641966444E-2</c:v>
                </c:pt>
                <c:pt idx="24">
                  <c:v>3.1398459285088325E-2</c:v>
                </c:pt>
                <c:pt idx="25">
                  <c:v>2.847449880197141E-2</c:v>
                </c:pt>
                <c:pt idx="26">
                  <c:v>2.6927379415611779E-2</c:v>
                </c:pt>
                <c:pt idx="27">
                  <c:v>2.2310032260229901E-2</c:v>
                </c:pt>
                <c:pt idx="28">
                  <c:v>1.8956403595833216E-2</c:v>
                </c:pt>
                <c:pt idx="29">
                  <c:v>1.7369986642467018E-2</c:v>
                </c:pt>
                <c:pt idx="30">
                  <c:v>1.9448510011781831E-2</c:v>
                </c:pt>
                <c:pt idx="31">
                  <c:v>2.1629952480074249E-2</c:v>
                </c:pt>
                <c:pt idx="32">
                  <c:v>2.421717232807084E-2</c:v>
                </c:pt>
                <c:pt idx="33">
                  <c:v>2.7388314434924427E-2</c:v>
                </c:pt>
                <c:pt idx="34">
                  <c:v>2.8938891508119482E-2</c:v>
                </c:pt>
                <c:pt idx="35">
                  <c:v>2.8119784699855249E-2</c:v>
                </c:pt>
                <c:pt idx="36">
                  <c:v>2.8357000158584843E-2</c:v>
                </c:pt>
                <c:pt idx="37">
                  <c:v>2.6126755457154194E-2</c:v>
                </c:pt>
                <c:pt idx="38">
                  <c:v>2.4208539699149666E-2</c:v>
                </c:pt>
                <c:pt idx="39">
                  <c:v>2.1571485669016153E-2</c:v>
                </c:pt>
                <c:pt idx="40">
                  <c:v>2.0569206064340057E-2</c:v>
                </c:pt>
                <c:pt idx="41">
                  <c:v>2.1479143906455434E-2</c:v>
                </c:pt>
                <c:pt idx="42">
                  <c:v>2.334405869477545E-2</c:v>
                </c:pt>
                <c:pt idx="43">
                  <c:v>2.5902951772178894E-2</c:v>
                </c:pt>
                <c:pt idx="44">
                  <c:v>2.7040285817280241E-2</c:v>
                </c:pt>
                <c:pt idx="45">
                  <c:v>2.6997136740803149E-2</c:v>
                </c:pt>
                <c:pt idx="46">
                  <c:v>2.6177998102851305E-2</c:v>
                </c:pt>
                <c:pt idx="47">
                  <c:v>2.5240716506033715E-2</c:v>
                </c:pt>
                <c:pt idx="48">
                  <c:v>2.5778816447183064E-2</c:v>
                </c:pt>
                <c:pt idx="49">
                  <c:v>2.5170742764264332E-2</c:v>
                </c:pt>
                <c:pt idx="50">
                  <c:v>2.5535000792857133E-2</c:v>
                </c:pt>
                <c:pt idx="51">
                  <c:v>2.608510416599058E-2</c:v>
                </c:pt>
                <c:pt idx="52">
                  <c:v>2.6647037870635947E-2</c:v>
                </c:pt>
                <c:pt idx="53">
                  <c:v>2.7951855886590479E-2</c:v>
                </c:pt>
                <c:pt idx="54">
                  <c:v>2.9530199334649742E-2</c:v>
                </c:pt>
                <c:pt idx="55">
                  <c:v>3.0542180289921363E-2</c:v>
                </c:pt>
                <c:pt idx="56">
                  <c:v>3.1888180524110639E-2</c:v>
                </c:pt>
                <c:pt idx="57">
                  <c:v>3.4025650091793397E-2</c:v>
                </c:pt>
                <c:pt idx="58">
                  <c:v>3.5638335843843461E-2</c:v>
                </c:pt>
                <c:pt idx="59">
                  <c:v>4.0019363635703631E-2</c:v>
                </c:pt>
                <c:pt idx="60">
                  <c:v>4.3154890174594451E-2</c:v>
                </c:pt>
                <c:pt idx="61">
                  <c:v>4.3562479152157552E-2</c:v>
                </c:pt>
                <c:pt idx="62">
                  <c:v>4.3295458268620191E-2</c:v>
                </c:pt>
                <c:pt idx="63">
                  <c:v>4.2148014592352796E-2</c:v>
                </c:pt>
                <c:pt idx="64">
                  <c:v>4.1506999590435238E-2</c:v>
                </c:pt>
                <c:pt idx="65">
                  <c:v>4.0431541776727017E-2</c:v>
                </c:pt>
                <c:pt idx="66">
                  <c:v>3.9846453003671282E-2</c:v>
                </c:pt>
                <c:pt idx="67">
                  <c:v>4.0555880258001796E-2</c:v>
                </c:pt>
                <c:pt idx="68">
                  <c:v>4.1317679904917089E-2</c:v>
                </c:pt>
                <c:pt idx="69">
                  <c:v>4.2370044830894994E-2</c:v>
                </c:pt>
                <c:pt idx="70">
                  <c:v>4.4136539533085661E-2</c:v>
                </c:pt>
                <c:pt idx="71">
                  <c:v>4.6810834980371335E-2</c:v>
                </c:pt>
                <c:pt idx="72">
                  <c:v>4.8026319603930619E-2</c:v>
                </c:pt>
                <c:pt idx="73">
                  <c:v>4.7733428236530484E-2</c:v>
                </c:pt>
                <c:pt idx="74">
                  <c:v>4.631985960868882E-2</c:v>
                </c:pt>
                <c:pt idx="75">
                  <c:v>4.5681537816236011E-2</c:v>
                </c:pt>
                <c:pt idx="76">
                  <c:v>4.097888282214629E-2</c:v>
                </c:pt>
                <c:pt idx="77">
                  <c:v>3.6308253514566326E-2</c:v>
                </c:pt>
                <c:pt idx="78">
                  <c:v>3.3242109970062696E-2</c:v>
                </c:pt>
                <c:pt idx="79">
                  <c:v>3.0692281648210029E-2</c:v>
                </c:pt>
                <c:pt idx="80">
                  <c:v>2.9856849989009244E-2</c:v>
                </c:pt>
                <c:pt idx="81">
                  <c:v>3.0727785840440103E-2</c:v>
                </c:pt>
                <c:pt idx="82">
                  <c:v>3.1061213501044436E-2</c:v>
                </c:pt>
                <c:pt idx="83">
                  <c:v>3.1548094677898979E-2</c:v>
                </c:pt>
                <c:pt idx="84">
                  <c:v>3.3838550597019686E-2</c:v>
                </c:pt>
                <c:pt idx="85">
                  <c:v>3.5276306638702841E-2</c:v>
                </c:pt>
                <c:pt idx="86">
                  <c:v>3.745643339521431E-2</c:v>
                </c:pt>
                <c:pt idx="87">
                  <c:v>4.135884417354186E-2</c:v>
                </c:pt>
                <c:pt idx="88">
                  <c:v>4.4939834584101723E-2</c:v>
                </c:pt>
                <c:pt idx="89">
                  <c:v>4.427928848453646E-2</c:v>
                </c:pt>
                <c:pt idx="90">
                  <c:v>4.4407670961614985E-2</c:v>
                </c:pt>
                <c:pt idx="91">
                  <c:v>4.324234021490652E-2</c:v>
                </c:pt>
                <c:pt idx="92">
                  <c:v>4.0921595649443809E-2</c:v>
                </c:pt>
                <c:pt idx="93">
                  <c:v>4.1007647104420099E-2</c:v>
                </c:pt>
                <c:pt idx="94">
                  <c:v>3.7564983510439652E-2</c:v>
                </c:pt>
                <c:pt idx="95">
                  <c:v>3.0781630942459604E-2</c:v>
                </c:pt>
                <c:pt idx="96">
                  <c:v>2.5990225240235153E-2</c:v>
                </c:pt>
                <c:pt idx="97">
                  <c:v>2.5824874091629247E-2</c:v>
                </c:pt>
                <c:pt idx="98">
                  <c:v>2.7225904960465317E-2</c:v>
                </c:pt>
                <c:pt idx="99">
                  <c:v>2.8370099180030306E-2</c:v>
                </c:pt>
                <c:pt idx="100">
                  <c:v>3.0183282243165455E-2</c:v>
                </c:pt>
                <c:pt idx="101">
                  <c:v>3.0948322647561494E-2</c:v>
                </c:pt>
                <c:pt idx="102">
                  <c:v>3.0859167719701448E-2</c:v>
                </c:pt>
                <c:pt idx="103">
                  <c:v>3.1867878867521959E-2</c:v>
                </c:pt>
                <c:pt idx="104">
                  <c:v>3.3982541312268175E-2</c:v>
                </c:pt>
                <c:pt idx="105">
                  <c:v>3.6089512637449327E-2</c:v>
                </c:pt>
                <c:pt idx="106">
                  <c:v>3.8002486674213208E-2</c:v>
                </c:pt>
                <c:pt idx="107">
                  <c:v>4.097718692272391E-2</c:v>
                </c:pt>
                <c:pt idx="108">
                  <c:v>4.279551288050714E-2</c:v>
                </c:pt>
                <c:pt idx="109">
                  <c:v>4.5849406797075186E-2</c:v>
                </c:pt>
                <c:pt idx="110">
                  <c:v>4.6041952621136389E-2</c:v>
                </c:pt>
                <c:pt idx="111">
                  <c:v>4.797225571027048E-2</c:v>
                </c:pt>
                <c:pt idx="112">
                  <c:v>4.6633299211454392E-2</c:v>
                </c:pt>
                <c:pt idx="113">
                  <c:v>4.7585303407406965E-2</c:v>
                </c:pt>
                <c:pt idx="114">
                  <c:v>4.7183407428058204E-2</c:v>
                </c:pt>
                <c:pt idx="115">
                  <c:v>4.6412971813282404E-2</c:v>
                </c:pt>
                <c:pt idx="116">
                  <c:v>4.295372814360765E-2</c:v>
                </c:pt>
                <c:pt idx="117">
                  <c:v>3.5477855555427651E-2</c:v>
                </c:pt>
                <c:pt idx="118">
                  <c:v>3.550970164830259E-2</c:v>
                </c:pt>
                <c:pt idx="119">
                  <c:v>3.6903103964528942E-2</c:v>
                </c:pt>
                <c:pt idx="120">
                  <c:v>3.6024385357516009E-2</c:v>
                </c:pt>
                <c:pt idx="121">
                  <c:v>3.5686777798975673E-2</c:v>
                </c:pt>
                <c:pt idx="122">
                  <c:v>3.4751800015900634E-2</c:v>
                </c:pt>
                <c:pt idx="123">
                  <c:v>3.0740281379613127E-2</c:v>
                </c:pt>
                <c:pt idx="124">
                  <c:v>2.844300154651079E-2</c:v>
                </c:pt>
                <c:pt idx="125">
                  <c:v>2.5615066280858714E-2</c:v>
                </c:pt>
                <c:pt idx="126">
                  <c:v>2.245869379976205E-2</c:v>
                </c:pt>
                <c:pt idx="127">
                  <c:v>2.1788489677271695E-2</c:v>
                </c:pt>
                <c:pt idx="128">
                  <c:v>2.3017556780594386E-2</c:v>
                </c:pt>
                <c:pt idx="129">
                  <c:v>2.5370970649802576E-2</c:v>
                </c:pt>
                <c:pt idx="130">
                  <c:v>2.8181462975153556E-2</c:v>
                </c:pt>
                <c:pt idx="131">
                  <c:v>3.1757590851505965E-2</c:v>
                </c:pt>
                <c:pt idx="132">
                  <c:v>3.437989319001708E-2</c:v>
                </c:pt>
                <c:pt idx="133">
                  <c:v>3.6630358125257938E-2</c:v>
                </c:pt>
                <c:pt idx="134">
                  <c:v>3.72368348397367E-2</c:v>
                </c:pt>
                <c:pt idx="135">
                  <c:v>3.7805165182863032E-2</c:v>
                </c:pt>
                <c:pt idx="136">
                  <c:v>3.79888485752388E-2</c:v>
                </c:pt>
                <c:pt idx="137">
                  <c:v>3.8483762209838672E-2</c:v>
                </c:pt>
                <c:pt idx="138">
                  <c:v>3.8513068504832874E-2</c:v>
                </c:pt>
                <c:pt idx="139">
                  <c:v>3.8141334310233727E-2</c:v>
                </c:pt>
                <c:pt idx="140">
                  <c:v>3.763155144535326E-2</c:v>
                </c:pt>
                <c:pt idx="141">
                  <c:v>3.7402446325872418E-2</c:v>
                </c:pt>
                <c:pt idx="142">
                  <c:v>3.7627410473405461E-2</c:v>
                </c:pt>
                <c:pt idx="143">
                  <c:v>3.8328022194419463E-2</c:v>
                </c:pt>
                <c:pt idx="144">
                  <c:v>3.8574055544933823E-2</c:v>
                </c:pt>
                <c:pt idx="145">
                  <c:v>3.9868872916319457E-2</c:v>
                </c:pt>
                <c:pt idx="146">
                  <c:v>4.1207559197136569E-2</c:v>
                </c:pt>
                <c:pt idx="147">
                  <c:v>4.1567332650771997E-2</c:v>
                </c:pt>
                <c:pt idx="148">
                  <c:v>4.1023145783016669E-2</c:v>
                </c:pt>
                <c:pt idx="149">
                  <c:v>4.1071161758704129E-2</c:v>
                </c:pt>
                <c:pt idx="150">
                  <c:v>4.0719003885894244E-2</c:v>
                </c:pt>
                <c:pt idx="151">
                  <c:v>4.0792278245142734E-2</c:v>
                </c:pt>
                <c:pt idx="152">
                  <c:v>4.0016233631691427E-2</c:v>
                </c:pt>
                <c:pt idx="153">
                  <c:v>3.8706690541945386E-2</c:v>
                </c:pt>
                <c:pt idx="154">
                  <c:v>3.7167375354923572E-2</c:v>
                </c:pt>
                <c:pt idx="155">
                  <c:v>3.7171287338327634E-2</c:v>
                </c:pt>
                <c:pt idx="156">
                  <c:v>3.575129738100994E-2</c:v>
                </c:pt>
                <c:pt idx="157">
                  <c:v>3.3593761201066878E-2</c:v>
                </c:pt>
                <c:pt idx="158">
                  <c:v>3.1756870475333869E-2</c:v>
                </c:pt>
                <c:pt idx="159">
                  <c:v>2.7743589948219276E-2</c:v>
                </c:pt>
                <c:pt idx="160">
                  <c:v>2.4802902571682175E-2</c:v>
                </c:pt>
                <c:pt idx="161">
                  <c:v>2.3981585315284177E-2</c:v>
                </c:pt>
                <c:pt idx="162">
                  <c:v>2.3349866293832098E-2</c:v>
                </c:pt>
                <c:pt idx="163">
                  <c:v>2.2776585614267677E-2</c:v>
                </c:pt>
                <c:pt idx="164">
                  <c:v>2.3285408407108289E-2</c:v>
                </c:pt>
                <c:pt idx="165">
                  <c:v>2.3520974151542019E-2</c:v>
                </c:pt>
                <c:pt idx="166">
                  <c:v>2.3319328411964862E-2</c:v>
                </c:pt>
                <c:pt idx="167">
                  <c:v>2.423726517907079E-2</c:v>
                </c:pt>
                <c:pt idx="168">
                  <c:v>2.4963564564714213E-2</c:v>
                </c:pt>
                <c:pt idx="169">
                  <c:v>2.4971211737160933E-2</c:v>
                </c:pt>
                <c:pt idx="170">
                  <c:v>2.6151496927778128E-2</c:v>
                </c:pt>
                <c:pt idx="171">
                  <c:v>2.770316745563044E-2</c:v>
                </c:pt>
                <c:pt idx="172">
                  <c:v>2.9012493405044082E-2</c:v>
                </c:pt>
                <c:pt idx="173">
                  <c:v>3.0100313173646018E-2</c:v>
                </c:pt>
                <c:pt idx="174">
                  <c:v>3.073321503593535E-2</c:v>
                </c:pt>
                <c:pt idx="175">
                  <c:v>3.2391494470196708E-2</c:v>
                </c:pt>
                <c:pt idx="176">
                  <c:v>3.1682418695305414E-2</c:v>
                </c:pt>
                <c:pt idx="177">
                  <c:v>3.042697041133037E-2</c:v>
                </c:pt>
                <c:pt idx="178">
                  <c:v>3.1333849808270607E-2</c:v>
                </c:pt>
                <c:pt idx="179">
                  <c:v>3.1904613372628308E-2</c:v>
                </c:pt>
                <c:pt idx="180">
                  <c:v>3.1324768232706898E-2</c:v>
                </c:pt>
                <c:pt idx="181">
                  <c:v>3.1035927118944703E-2</c:v>
                </c:pt>
                <c:pt idx="182">
                  <c:v>3.112590107726591E-2</c:v>
                </c:pt>
                <c:pt idx="183">
                  <c:v>3.2100611502429773E-2</c:v>
                </c:pt>
                <c:pt idx="184">
                  <c:v>3.3000589929384642E-2</c:v>
                </c:pt>
                <c:pt idx="185">
                  <c:v>3.2526668105215921E-2</c:v>
                </c:pt>
                <c:pt idx="186">
                  <c:v>3.348364207078084E-2</c:v>
                </c:pt>
                <c:pt idx="187">
                  <c:v>3.4626191907227287E-2</c:v>
                </c:pt>
                <c:pt idx="188">
                  <c:v>3.556906307809677E-2</c:v>
                </c:pt>
                <c:pt idx="189">
                  <c:v>3.5631173749262994E-2</c:v>
                </c:pt>
                <c:pt idx="190">
                  <c:v>3.5103823524998579E-2</c:v>
                </c:pt>
                <c:pt idx="191">
                  <c:v>3.4819854587705285E-2</c:v>
                </c:pt>
                <c:pt idx="192">
                  <c:v>3.6872138476996774E-2</c:v>
                </c:pt>
                <c:pt idx="193">
                  <c:v>3.5650908117641954E-2</c:v>
                </c:pt>
                <c:pt idx="194">
                  <c:v>3.5073224517707412E-2</c:v>
                </c:pt>
                <c:pt idx="195">
                  <c:v>3.5727373782735529E-2</c:v>
                </c:pt>
                <c:pt idx="196">
                  <c:v>3.7456125316798594E-2</c:v>
                </c:pt>
                <c:pt idx="197">
                  <c:v>3.5600914573932725E-2</c:v>
                </c:pt>
                <c:pt idx="198">
                  <c:v>3.4087080697058958E-2</c:v>
                </c:pt>
                <c:pt idx="199">
                  <c:v>3.3549352751256221E-2</c:v>
                </c:pt>
                <c:pt idx="200">
                  <c:v>3.1753556667142219E-2</c:v>
                </c:pt>
                <c:pt idx="201">
                  <c:v>2.7350540184414216E-2</c:v>
                </c:pt>
                <c:pt idx="202">
                  <c:v>2.5116550834361279E-2</c:v>
                </c:pt>
                <c:pt idx="203">
                  <c:v>2.1513712106880731E-2</c:v>
                </c:pt>
                <c:pt idx="204">
                  <c:v>2.2302063022705876E-2</c:v>
                </c:pt>
                <c:pt idx="205">
                  <c:v>2.243697825548327E-2</c:v>
                </c:pt>
                <c:pt idx="206">
                  <c:v>2.1289841687425037E-2</c:v>
                </c:pt>
                <c:pt idx="207">
                  <c:v>2.0314394497549699E-2</c:v>
                </c:pt>
                <c:pt idx="208">
                  <c:v>2.1097128734017534E-2</c:v>
                </c:pt>
                <c:pt idx="209">
                  <c:v>1.9830395104373025E-2</c:v>
                </c:pt>
                <c:pt idx="210">
                  <c:v>2.0640377348156515E-2</c:v>
                </c:pt>
                <c:pt idx="211">
                  <c:v>2.144238055868054E-2</c:v>
                </c:pt>
                <c:pt idx="212">
                  <c:v>2.2931241739788954E-2</c:v>
                </c:pt>
                <c:pt idx="213">
                  <c:v>2.3267514815243352E-2</c:v>
                </c:pt>
                <c:pt idx="214">
                  <c:v>2.2984408273743821E-2</c:v>
                </c:pt>
                <c:pt idx="215">
                  <c:v>2.3991930660153395E-2</c:v>
                </c:pt>
                <c:pt idx="216">
                  <c:v>2.7331840124369077E-2</c:v>
                </c:pt>
                <c:pt idx="217">
                  <c:v>2.7414958486086407E-2</c:v>
                </c:pt>
                <c:pt idx="218">
                  <c:v>2.9021819771408344E-2</c:v>
                </c:pt>
                <c:pt idx="219">
                  <c:v>3.0063981645036496E-2</c:v>
                </c:pt>
                <c:pt idx="220">
                  <c:v>3.0924235056143893E-2</c:v>
                </c:pt>
                <c:pt idx="221">
                  <c:v>2.9755645419076923E-2</c:v>
                </c:pt>
                <c:pt idx="222">
                  <c:v>2.8412496980150349E-2</c:v>
                </c:pt>
                <c:pt idx="223">
                  <c:v>2.9074899009355882E-2</c:v>
                </c:pt>
                <c:pt idx="224">
                  <c:v>3.0590929373751508E-2</c:v>
                </c:pt>
                <c:pt idx="225">
                  <c:v>3.0310623768016149E-2</c:v>
                </c:pt>
                <c:pt idx="226">
                  <c:v>2.762357880705649E-2</c:v>
                </c:pt>
                <c:pt idx="227">
                  <c:v>2.6829124926321783E-2</c:v>
                </c:pt>
                <c:pt idx="228">
                  <c:v>2.6131191174550344E-2</c:v>
                </c:pt>
                <c:pt idx="229">
                  <c:v>2.4196969615720682E-2</c:v>
                </c:pt>
                <c:pt idx="230">
                  <c:v>2.4489504807638212E-2</c:v>
                </c:pt>
                <c:pt idx="231">
                  <c:v>2.2864241414920442E-2</c:v>
                </c:pt>
                <c:pt idx="232">
                  <c:v>1.8127345081284763E-2</c:v>
                </c:pt>
                <c:pt idx="233">
                  <c:v>1.6627113295859811E-2</c:v>
                </c:pt>
                <c:pt idx="234">
                  <c:v>1.6917024796850682E-2</c:v>
                </c:pt>
                <c:pt idx="235">
                  <c:v>1.7740067838892568E-2</c:v>
                </c:pt>
                <c:pt idx="236">
                  <c:v>1.8933722575545181E-2</c:v>
                </c:pt>
                <c:pt idx="237">
                  <c:v>1.9408540657373605E-2</c:v>
                </c:pt>
                <c:pt idx="238">
                  <c:v>1.9871166843896837E-2</c:v>
                </c:pt>
                <c:pt idx="239">
                  <c:v>2.0314982654172854E-2</c:v>
                </c:pt>
                <c:pt idx="240">
                  <c:v>2.1377017662760803E-2</c:v>
                </c:pt>
                <c:pt idx="241">
                  <c:v>2.272523585086474E-2</c:v>
                </c:pt>
                <c:pt idx="242">
                  <c:v>2.2218801758090267E-2</c:v>
                </c:pt>
                <c:pt idx="243">
                  <c:v>2.2989516556233418E-2</c:v>
                </c:pt>
                <c:pt idx="244">
                  <c:v>2.3946860340468792E-2</c:v>
                </c:pt>
                <c:pt idx="245">
                  <c:v>2.4544398974742015E-2</c:v>
                </c:pt>
                <c:pt idx="246">
                  <c:v>2.4608305572996588E-2</c:v>
                </c:pt>
                <c:pt idx="247">
                  <c:v>2.4786826636126275E-2</c:v>
                </c:pt>
                <c:pt idx="248">
                  <c:v>2.5395384882996586E-2</c:v>
                </c:pt>
                <c:pt idx="249">
                  <c:v>2.4936755060442781E-2</c:v>
                </c:pt>
                <c:pt idx="250">
                  <c:v>2.4936755060442781E-2</c:v>
                </c:pt>
                <c:pt idx="251">
                  <c:v>2.4936755060442781E-2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940-4E47-B8A7-ED2547161482}"/>
            </c:ext>
          </c:extLst>
        </c:ser>
        <c:ser>
          <c:idx val="3"/>
          <c:order val="3"/>
          <c:tx>
            <c:strRef>
              <c:f>'BC composite HWI'!$Z$2</c:f>
              <c:strCache>
                <c:ptCount val="1"/>
                <c:pt idx="0">
                  <c:v>2001-2013</c:v>
                </c:pt>
              </c:strCache>
            </c:strRef>
          </c:tx>
          <c:spPr>
            <a:ln w="47625">
              <a:noFill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>
                <a:noFill/>
              </a:ln>
              <a:effectLst/>
            </c:spPr>
          </c:marker>
          <c:xVal>
            <c:numRef>
              <c:f>'BC composite HWI'!$Z$3:$Z$254</c:f>
              <c:numCache>
                <c:formatCode>General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4.2308539689381273E-2</c:v>
                </c:pt>
                <c:pt idx="201">
                  <c:v>4.4116981175416299E-2</c:v>
                </c:pt>
                <c:pt idx="202">
                  <c:v>4.819118183536044E-2</c:v>
                </c:pt>
                <c:pt idx="203">
                  <c:v>5.5369531575682425E-2</c:v>
                </c:pt>
                <c:pt idx="204">
                  <c:v>5.7043804125865773E-2</c:v>
                </c:pt>
                <c:pt idx="205">
                  <c:v>5.8441518378437779E-2</c:v>
                </c:pt>
                <c:pt idx="206">
                  <c:v>5.7297947970107364E-2</c:v>
                </c:pt>
                <c:pt idx="207">
                  <c:v>5.8488989877289406E-2</c:v>
                </c:pt>
                <c:pt idx="208">
                  <c:v>5.8727135704808198E-2</c:v>
                </c:pt>
                <c:pt idx="209">
                  <c:v>6.1505201232700445E-2</c:v>
                </c:pt>
                <c:pt idx="210">
                  <c:v>6.1047638953544314E-2</c:v>
                </c:pt>
                <c:pt idx="211">
                  <c:v>5.8179736193044729E-2</c:v>
                </c:pt>
                <c:pt idx="212">
                  <c:v>5.6817327212168534E-2</c:v>
                </c:pt>
                <c:pt idx="213">
                  <c:v>5.5888588671877661E-2</c:v>
                </c:pt>
                <c:pt idx="214">
                  <c:v>5.433565778484143E-2</c:v>
                </c:pt>
                <c:pt idx="215">
                  <c:v>5.3888414073925119E-2</c:v>
                </c:pt>
                <c:pt idx="216">
                  <c:v>5.2836734825335831E-2</c:v>
                </c:pt>
                <c:pt idx="217">
                  <c:v>5.1063611769703199E-2</c:v>
                </c:pt>
                <c:pt idx="218">
                  <c:v>4.9656233811252781E-2</c:v>
                </c:pt>
                <c:pt idx="219">
                  <c:v>4.9540483610839202E-2</c:v>
                </c:pt>
                <c:pt idx="220">
                  <c:v>4.7202763953106075E-2</c:v>
                </c:pt>
                <c:pt idx="221">
                  <c:v>4.6549785693897082E-2</c:v>
                </c:pt>
                <c:pt idx="222">
                  <c:v>4.6427768338602293E-2</c:v>
                </c:pt>
                <c:pt idx="223">
                  <c:v>4.453612082638455E-2</c:v>
                </c:pt>
                <c:pt idx="224">
                  <c:v>4.5241472154514774E-2</c:v>
                </c:pt>
                <c:pt idx="225">
                  <c:v>4.4952384965042079E-2</c:v>
                </c:pt>
                <c:pt idx="226">
                  <c:v>4.6570242960462443E-2</c:v>
                </c:pt>
                <c:pt idx="227">
                  <c:v>4.7992287474356188E-2</c:v>
                </c:pt>
                <c:pt idx="228">
                  <c:v>4.9832172810359232E-2</c:v>
                </c:pt>
                <c:pt idx="229">
                  <c:v>5.3213408334431313E-2</c:v>
                </c:pt>
                <c:pt idx="230">
                  <c:v>6.0103319389037922E-2</c:v>
                </c:pt>
                <c:pt idx="231">
                  <c:v>6.8722242537079495E-2</c:v>
                </c:pt>
                <c:pt idx="232">
                  <c:v>8.29147624416154E-2</c:v>
                </c:pt>
                <c:pt idx="233">
                  <c:v>9.2734099947234264E-2</c:v>
                </c:pt>
                <c:pt idx="234">
                  <c:v>9.6044355183087918E-2</c:v>
                </c:pt>
                <c:pt idx="235">
                  <c:v>9.9172149866182766E-2</c:v>
                </c:pt>
                <c:pt idx="236">
                  <c:v>9.8208896640545176E-2</c:v>
                </c:pt>
                <c:pt idx="237">
                  <c:v>9.6493242940541957E-2</c:v>
                </c:pt>
                <c:pt idx="238">
                  <c:v>9.4838358720919905E-2</c:v>
                </c:pt>
                <c:pt idx="239">
                  <c:v>9.5414185581296981E-2</c:v>
                </c:pt>
                <c:pt idx="240">
                  <c:v>9.0255961025534404E-2</c:v>
                </c:pt>
                <c:pt idx="241">
                  <c:v>9.0588965067584612E-2</c:v>
                </c:pt>
                <c:pt idx="242">
                  <c:v>9.0139661798912141E-2</c:v>
                </c:pt>
                <c:pt idx="243">
                  <c:v>8.6721799590019952E-2</c:v>
                </c:pt>
                <c:pt idx="244">
                  <c:v>8.2433736872039767E-2</c:v>
                </c:pt>
                <c:pt idx="245">
                  <c:v>8.1605294052441171E-2</c:v>
                </c:pt>
                <c:pt idx="246">
                  <c:v>8.0289336618338772E-2</c:v>
                </c:pt>
                <c:pt idx="247">
                  <c:v>7.8249059903687537E-2</c:v>
                </c:pt>
                <c:pt idx="248">
                  <c:v>7.7444141746910902E-2</c:v>
                </c:pt>
                <c:pt idx="249">
                  <c:v>7.5409267283785414E-2</c:v>
                </c:pt>
                <c:pt idx="250">
                  <c:v>7.5409267283785414E-2</c:v>
                </c:pt>
                <c:pt idx="251">
                  <c:v>7.5409267283785414E-2</c:v>
                </c:pt>
              </c:numCache>
            </c:numRef>
          </c:xVal>
          <c:yVal>
            <c:numRef>
              <c:f>'BC composite HWI'!$AA$3:$AA$254</c:f>
              <c:numCache>
                <c:formatCode>General</c:formatCode>
                <c:ptCount val="252"/>
                <c:pt idx="0">
                  <c:v>3.2189817219055804E-2</c:v>
                </c:pt>
                <c:pt idx="1">
                  <c:v>3.284816912210501E-2</c:v>
                </c:pt>
                <c:pt idx="2">
                  <c:v>3.2527805587781795E-2</c:v>
                </c:pt>
                <c:pt idx="3">
                  <c:v>3.2637415777377873E-2</c:v>
                </c:pt>
                <c:pt idx="4">
                  <c:v>3.3430643222319728E-2</c:v>
                </c:pt>
                <c:pt idx="5">
                  <c:v>3.303794371488742E-2</c:v>
                </c:pt>
                <c:pt idx="6">
                  <c:v>3.4256945468370166E-2</c:v>
                </c:pt>
                <c:pt idx="7">
                  <c:v>3.7218998709061403E-2</c:v>
                </c:pt>
                <c:pt idx="8">
                  <c:v>3.6527071987723821E-2</c:v>
                </c:pt>
                <c:pt idx="9">
                  <c:v>3.610251746444007E-2</c:v>
                </c:pt>
                <c:pt idx="10">
                  <c:v>3.1789292147591193E-2</c:v>
                </c:pt>
                <c:pt idx="11">
                  <c:v>2.5379391696872994E-2</c:v>
                </c:pt>
                <c:pt idx="12">
                  <c:v>2.1281421853059309E-2</c:v>
                </c:pt>
                <c:pt idx="13">
                  <c:v>2.0258248378769241E-2</c:v>
                </c:pt>
                <c:pt idx="14">
                  <c:v>1.9724600709309693E-2</c:v>
                </c:pt>
                <c:pt idx="15">
                  <c:v>2.1015377014193242E-2</c:v>
                </c:pt>
                <c:pt idx="16">
                  <c:v>2.4241655790776959E-2</c:v>
                </c:pt>
                <c:pt idx="17">
                  <c:v>2.6998842498874926E-2</c:v>
                </c:pt>
                <c:pt idx="18">
                  <c:v>3.0286259016498812E-2</c:v>
                </c:pt>
                <c:pt idx="19">
                  <c:v>3.2182287944420858E-2</c:v>
                </c:pt>
                <c:pt idx="20">
                  <c:v>3.2606613518114849E-2</c:v>
                </c:pt>
                <c:pt idx="21">
                  <c:v>3.2448282130728617E-2</c:v>
                </c:pt>
                <c:pt idx="22">
                  <c:v>3.0924879511343303E-2</c:v>
                </c:pt>
                <c:pt idx="23">
                  <c:v>3.2171170641966444E-2</c:v>
                </c:pt>
                <c:pt idx="24">
                  <c:v>3.1398459285088325E-2</c:v>
                </c:pt>
                <c:pt idx="25">
                  <c:v>2.847449880197141E-2</c:v>
                </c:pt>
                <c:pt idx="26">
                  <c:v>2.6927379415611779E-2</c:v>
                </c:pt>
                <c:pt idx="27">
                  <c:v>2.2310032260229901E-2</c:v>
                </c:pt>
                <c:pt idx="28">
                  <c:v>1.8956403595833216E-2</c:v>
                </c:pt>
                <c:pt idx="29">
                  <c:v>1.7369986642467018E-2</c:v>
                </c:pt>
                <c:pt idx="30">
                  <c:v>1.9448510011781831E-2</c:v>
                </c:pt>
                <c:pt idx="31">
                  <c:v>2.1629952480074249E-2</c:v>
                </c:pt>
                <c:pt idx="32">
                  <c:v>2.421717232807084E-2</c:v>
                </c:pt>
                <c:pt idx="33">
                  <c:v>2.7388314434924427E-2</c:v>
                </c:pt>
                <c:pt idx="34">
                  <c:v>2.8938891508119482E-2</c:v>
                </c:pt>
                <c:pt idx="35">
                  <c:v>2.8119784699855249E-2</c:v>
                </c:pt>
                <c:pt idx="36">
                  <c:v>2.8357000158584843E-2</c:v>
                </c:pt>
                <c:pt idx="37">
                  <c:v>2.6126755457154194E-2</c:v>
                </c:pt>
                <c:pt idx="38">
                  <c:v>2.4208539699149666E-2</c:v>
                </c:pt>
                <c:pt idx="39">
                  <c:v>2.1571485669016153E-2</c:v>
                </c:pt>
                <c:pt idx="40">
                  <c:v>2.0569206064340057E-2</c:v>
                </c:pt>
                <c:pt idx="41">
                  <c:v>2.1479143906455434E-2</c:v>
                </c:pt>
                <c:pt idx="42">
                  <c:v>2.334405869477545E-2</c:v>
                </c:pt>
                <c:pt idx="43">
                  <c:v>2.5902951772178894E-2</c:v>
                </c:pt>
                <c:pt idx="44">
                  <c:v>2.7040285817280241E-2</c:v>
                </c:pt>
                <c:pt idx="45">
                  <c:v>2.6997136740803149E-2</c:v>
                </c:pt>
                <c:pt idx="46">
                  <c:v>2.6177998102851305E-2</c:v>
                </c:pt>
                <c:pt idx="47">
                  <c:v>2.5240716506033715E-2</c:v>
                </c:pt>
                <c:pt idx="48">
                  <c:v>2.5778816447183064E-2</c:v>
                </c:pt>
                <c:pt idx="49">
                  <c:v>2.5170742764264332E-2</c:v>
                </c:pt>
                <c:pt idx="50">
                  <c:v>2.5535000792857133E-2</c:v>
                </c:pt>
                <c:pt idx="51">
                  <c:v>2.608510416599058E-2</c:v>
                </c:pt>
                <c:pt idx="52">
                  <c:v>2.6647037870635947E-2</c:v>
                </c:pt>
                <c:pt idx="53">
                  <c:v>2.7951855886590479E-2</c:v>
                </c:pt>
                <c:pt idx="54">
                  <c:v>2.9530199334649742E-2</c:v>
                </c:pt>
                <c:pt idx="55">
                  <c:v>3.0542180289921363E-2</c:v>
                </c:pt>
                <c:pt idx="56">
                  <c:v>3.1888180524110639E-2</c:v>
                </c:pt>
                <c:pt idx="57">
                  <c:v>3.4025650091793397E-2</c:v>
                </c:pt>
                <c:pt idx="58">
                  <c:v>3.5638335843843461E-2</c:v>
                </c:pt>
                <c:pt idx="59">
                  <c:v>4.0019363635703631E-2</c:v>
                </c:pt>
                <c:pt idx="60">
                  <c:v>4.3154890174594451E-2</c:v>
                </c:pt>
                <c:pt idx="61">
                  <c:v>4.3562479152157552E-2</c:v>
                </c:pt>
                <c:pt idx="62">
                  <c:v>4.3295458268620191E-2</c:v>
                </c:pt>
                <c:pt idx="63">
                  <c:v>4.2148014592352796E-2</c:v>
                </c:pt>
                <c:pt idx="64">
                  <c:v>4.1506999590435238E-2</c:v>
                </c:pt>
                <c:pt idx="65">
                  <c:v>4.0431541776727017E-2</c:v>
                </c:pt>
                <c:pt idx="66">
                  <c:v>3.9846453003671282E-2</c:v>
                </c:pt>
                <c:pt idx="67">
                  <c:v>4.0555880258001796E-2</c:v>
                </c:pt>
                <c:pt idx="68">
                  <c:v>4.1317679904917089E-2</c:v>
                </c:pt>
                <c:pt idx="69">
                  <c:v>4.2370044830894994E-2</c:v>
                </c:pt>
                <c:pt idx="70">
                  <c:v>4.4136539533085661E-2</c:v>
                </c:pt>
                <c:pt idx="71">
                  <c:v>4.6810834980371335E-2</c:v>
                </c:pt>
                <c:pt idx="72">
                  <c:v>4.8026319603930619E-2</c:v>
                </c:pt>
                <c:pt idx="73">
                  <c:v>4.7733428236530484E-2</c:v>
                </c:pt>
                <c:pt idx="74">
                  <c:v>4.631985960868882E-2</c:v>
                </c:pt>
                <c:pt idx="75">
                  <c:v>4.5681537816236011E-2</c:v>
                </c:pt>
                <c:pt idx="76">
                  <c:v>4.097888282214629E-2</c:v>
                </c:pt>
                <c:pt idx="77">
                  <c:v>3.6308253514566326E-2</c:v>
                </c:pt>
                <c:pt idx="78">
                  <c:v>3.3242109970062696E-2</c:v>
                </c:pt>
                <c:pt idx="79">
                  <c:v>3.0692281648210029E-2</c:v>
                </c:pt>
                <c:pt idx="80">
                  <c:v>2.9856849989009244E-2</c:v>
                </c:pt>
                <c:pt idx="81">
                  <c:v>3.0727785840440103E-2</c:v>
                </c:pt>
                <c:pt idx="82">
                  <c:v>3.1061213501044436E-2</c:v>
                </c:pt>
                <c:pt idx="83">
                  <c:v>3.1548094677898979E-2</c:v>
                </c:pt>
                <c:pt idx="84">
                  <c:v>3.3838550597019686E-2</c:v>
                </c:pt>
                <c:pt idx="85">
                  <c:v>3.5276306638702841E-2</c:v>
                </c:pt>
                <c:pt idx="86">
                  <c:v>3.745643339521431E-2</c:v>
                </c:pt>
                <c:pt idx="87">
                  <c:v>4.135884417354186E-2</c:v>
                </c:pt>
                <c:pt idx="88">
                  <c:v>4.4939834584101723E-2</c:v>
                </c:pt>
                <c:pt idx="89">
                  <c:v>4.427928848453646E-2</c:v>
                </c:pt>
                <c:pt idx="90">
                  <c:v>4.4407670961614985E-2</c:v>
                </c:pt>
                <c:pt idx="91">
                  <c:v>4.324234021490652E-2</c:v>
                </c:pt>
                <c:pt idx="92">
                  <c:v>4.0921595649443809E-2</c:v>
                </c:pt>
                <c:pt idx="93">
                  <c:v>4.1007647104420099E-2</c:v>
                </c:pt>
                <c:pt idx="94">
                  <c:v>3.7564983510439652E-2</c:v>
                </c:pt>
                <c:pt idx="95">
                  <c:v>3.0781630942459604E-2</c:v>
                </c:pt>
                <c:pt idx="96">
                  <c:v>2.5990225240235153E-2</c:v>
                </c:pt>
                <c:pt idx="97">
                  <c:v>2.5824874091629247E-2</c:v>
                </c:pt>
                <c:pt idx="98">
                  <c:v>2.7225904960465317E-2</c:v>
                </c:pt>
                <c:pt idx="99">
                  <c:v>2.8370099180030306E-2</c:v>
                </c:pt>
                <c:pt idx="100">
                  <c:v>3.0183282243165455E-2</c:v>
                </c:pt>
                <c:pt idx="101">
                  <c:v>3.0948322647561494E-2</c:v>
                </c:pt>
                <c:pt idx="102">
                  <c:v>3.0859167719701448E-2</c:v>
                </c:pt>
                <c:pt idx="103">
                  <c:v>3.1867878867521959E-2</c:v>
                </c:pt>
                <c:pt idx="104">
                  <c:v>3.3982541312268175E-2</c:v>
                </c:pt>
                <c:pt idx="105">
                  <c:v>3.6089512637449327E-2</c:v>
                </c:pt>
                <c:pt idx="106">
                  <c:v>3.8002486674213208E-2</c:v>
                </c:pt>
                <c:pt idx="107">
                  <c:v>4.097718692272391E-2</c:v>
                </c:pt>
                <c:pt idx="108">
                  <c:v>4.279551288050714E-2</c:v>
                </c:pt>
                <c:pt idx="109">
                  <c:v>4.5849406797075186E-2</c:v>
                </c:pt>
                <c:pt idx="110">
                  <c:v>4.6041952621136389E-2</c:v>
                </c:pt>
                <c:pt idx="111">
                  <c:v>4.797225571027048E-2</c:v>
                </c:pt>
                <c:pt idx="112">
                  <c:v>4.6633299211454392E-2</c:v>
                </c:pt>
                <c:pt idx="113">
                  <c:v>4.7585303407406965E-2</c:v>
                </c:pt>
                <c:pt idx="114">
                  <c:v>4.7183407428058204E-2</c:v>
                </c:pt>
                <c:pt idx="115">
                  <c:v>4.6412971813282404E-2</c:v>
                </c:pt>
                <c:pt idx="116">
                  <c:v>4.295372814360765E-2</c:v>
                </c:pt>
                <c:pt idx="117">
                  <c:v>3.5477855555427651E-2</c:v>
                </c:pt>
                <c:pt idx="118">
                  <c:v>3.550970164830259E-2</c:v>
                </c:pt>
                <c:pt idx="119">
                  <c:v>3.6903103964528942E-2</c:v>
                </c:pt>
                <c:pt idx="120">
                  <c:v>3.6024385357516009E-2</c:v>
                </c:pt>
                <c:pt idx="121">
                  <c:v>3.5686777798975673E-2</c:v>
                </c:pt>
                <c:pt idx="122">
                  <c:v>3.4751800015900634E-2</c:v>
                </c:pt>
                <c:pt idx="123">
                  <c:v>3.0740281379613127E-2</c:v>
                </c:pt>
                <c:pt idx="124">
                  <c:v>2.844300154651079E-2</c:v>
                </c:pt>
                <c:pt idx="125">
                  <c:v>2.5615066280858714E-2</c:v>
                </c:pt>
                <c:pt idx="126">
                  <c:v>2.245869379976205E-2</c:v>
                </c:pt>
                <c:pt idx="127">
                  <c:v>2.1788489677271695E-2</c:v>
                </c:pt>
                <c:pt idx="128">
                  <c:v>2.3017556780594386E-2</c:v>
                </c:pt>
                <c:pt idx="129">
                  <c:v>2.5370970649802576E-2</c:v>
                </c:pt>
                <c:pt idx="130">
                  <c:v>2.8181462975153556E-2</c:v>
                </c:pt>
                <c:pt idx="131">
                  <c:v>3.1757590851505965E-2</c:v>
                </c:pt>
                <c:pt idx="132">
                  <c:v>3.437989319001708E-2</c:v>
                </c:pt>
                <c:pt idx="133">
                  <c:v>3.6630358125257938E-2</c:v>
                </c:pt>
                <c:pt idx="134">
                  <c:v>3.72368348397367E-2</c:v>
                </c:pt>
                <c:pt idx="135">
                  <c:v>3.7805165182863032E-2</c:v>
                </c:pt>
                <c:pt idx="136">
                  <c:v>3.79888485752388E-2</c:v>
                </c:pt>
                <c:pt idx="137">
                  <c:v>3.8483762209838672E-2</c:v>
                </c:pt>
                <c:pt idx="138">
                  <c:v>3.8513068504832874E-2</c:v>
                </c:pt>
                <c:pt idx="139">
                  <c:v>3.8141334310233727E-2</c:v>
                </c:pt>
                <c:pt idx="140">
                  <c:v>3.763155144535326E-2</c:v>
                </c:pt>
                <c:pt idx="141">
                  <c:v>3.7402446325872418E-2</c:v>
                </c:pt>
                <c:pt idx="142">
                  <c:v>3.7627410473405461E-2</c:v>
                </c:pt>
                <c:pt idx="143">
                  <c:v>3.8328022194419463E-2</c:v>
                </c:pt>
                <c:pt idx="144">
                  <c:v>3.8574055544933823E-2</c:v>
                </c:pt>
                <c:pt idx="145">
                  <c:v>3.9868872916319457E-2</c:v>
                </c:pt>
                <c:pt idx="146">
                  <c:v>4.1207559197136569E-2</c:v>
                </c:pt>
                <c:pt idx="147">
                  <c:v>4.1567332650771997E-2</c:v>
                </c:pt>
                <c:pt idx="148">
                  <c:v>4.1023145783016669E-2</c:v>
                </c:pt>
                <c:pt idx="149">
                  <c:v>4.1071161758704129E-2</c:v>
                </c:pt>
                <c:pt idx="150">
                  <c:v>4.0719003885894244E-2</c:v>
                </c:pt>
                <c:pt idx="151">
                  <c:v>4.0792278245142734E-2</c:v>
                </c:pt>
                <c:pt idx="152">
                  <c:v>4.0016233631691427E-2</c:v>
                </c:pt>
                <c:pt idx="153">
                  <c:v>3.8706690541945386E-2</c:v>
                </c:pt>
                <c:pt idx="154">
                  <c:v>3.7167375354923572E-2</c:v>
                </c:pt>
                <c:pt idx="155">
                  <c:v>3.7171287338327634E-2</c:v>
                </c:pt>
                <c:pt idx="156">
                  <c:v>3.575129738100994E-2</c:v>
                </c:pt>
                <c:pt idx="157">
                  <c:v>3.3593761201066878E-2</c:v>
                </c:pt>
                <c:pt idx="158">
                  <c:v>3.1756870475333869E-2</c:v>
                </c:pt>
                <c:pt idx="159">
                  <c:v>2.7743589948219276E-2</c:v>
                </c:pt>
                <c:pt idx="160">
                  <c:v>2.4802902571682175E-2</c:v>
                </c:pt>
                <c:pt idx="161">
                  <c:v>2.3981585315284177E-2</c:v>
                </c:pt>
                <c:pt idx="162">
                  <c:v>2.3349866293832098E-2</c:v>
                </c:pt>
                <c:pt idx="163">
                  <c:v>2.2776585614267677E-2</c:v>
                </c:pt>
                <c:pt idx="164">
                  <c:v>2.3285408407108289E-2</c:v>
                </c:pt>
                <c:pt idx="165">
                  <c:v>2.3520974151542019E-2</c:v>
                </c:pt>
                <c:pt idx="166">
                  <c:v>2.3319328411964862E-2</c:v>
                </c:pt>
                <c:pt idx="167">
                  <c:v>2.423726517907079E-2</c:v>
                </c:pt>
                <c:pt idx="168">
                  <c:v>2.4963564564714213E-2</c:v>
                </c:pt>
                <c:pt idx="169">
                  <c:v>2.4971211737160933E-2</c:v>
                </c:pt>
                <c:pt idx="170">
                  <c:v>2.6151496927778128E-2</c:v>
                </c:pt>
                <c:pt idx="171">
                  <c:v>2.770316745563044E-2</c:v>
                </c:pt>
                <c:pt idx="172">
                  <c:v>2.9012493405044082E-2</c:v>
                </c:pt>
                <c:pt idx="173">
                  <c:v>3.0100313173646018E-2</c:v>
                </c:pt>
                <c:pt idx="174">
                  <c:v>3.073321503593535E-2</c:v>
                </c:pt>
                <c:pt idx="175">
                  <c:v>3.2391494470196708E-2</c:v>
                </c:pt>
                <c:pt idx="176">
                  <c:v>3.1682418695305414E-2</c:v>
                </c:pt>
                <c:pt idx="177">
                  <c:v>3.042697041133037E-2</c:v>
                </c:pt>
                <c:pt idx="178">
                  <c:v>3.1333849808270607E-2</c:v>
                </c:pt>
                <c:pt idx="179">
                  <c:v>3.1904613372628308E-2</c:v>
                </c:pt>
                <c:pt idx="180">
                  <c:v>3.1324768232706898E-2</c:v>
                </c:pt>
                <c:pt idx="181">
                  <c:v>3.1035927118944703E-2</c:v>
                </c:pt>
                <c:pt idx="182">
                  <c:v>3.112590107726591E-2</c:v>
                </c:pt>
                <c:pt idx="183">
                  <c:v>3.2100611502429773E-2</c:v>
                </c:pt>
                <c:pt idx="184">
                  <c:v>3.3000589929384642E-2</c:v>
                </c:pt>
                <c:pt idx="185">
                  <c:v>3.2526668105215921E-2</c:v>
                </c:pt>
                <c:pt idx="186">
                  <c:v>3.348364207078084E-2</c:v>
                </c:pt>
                <c:pt idx="187">
                  <c:v>3.4626191907227287E-2</c:v>
                </c:pt>
                <c:pt idx="188">
                  <c:v>3.556906307809677E-2</c:v>
                </c:pt>
                <c:pt idx="189">
                  <c:v>3.5631173749262994E-2</c:v>
                </c:pt>
                <c:pt idx="190">
                  <c:v>3.5103823524998579E-2</c:v>
                </c:pt>
                <c:pt idx="191">
                  <c:v>3.4819854587705285E-2</c:v>
                </c:pt>
                <c:pt idx="192">
                  <c:v>3.6872138476996774E-2</c:v>
                </c:pt>
                <c:pt idx="193">
                  <c:v>3.5650908117641954E-2</c:v>
                </c:pt>
                <c:pt idx="194">
                  <c:v>3.5073224517707412E-2</c:v>
                </c:pt>
                <c:pt idx="195">
                  <c:v>3.5727373782735529E-2</c:v>
                </c:pt>
                <c:pt idx="196">
                  <c:v>3.7456125316798594E-2</c:v>
                </c:pt>
                <c:pt idx="197">
                  <c:v>3.5600914573932725E-2</c:v>
                </c:pt>
                <c:pt idx="198">
                  <c:v>3.4087080697058958E-2</c:v>
                </c:pt>
                <c:pt idx="199">
                  <c:v>3.3549352751256221E-2</c:v>
                </c:pt>
                <c:pt idx="200">
                  <c:v>3.1753556667142219E-2</c:v>
                </c:pt>
                <c:pt idx="201">
                  <c:v>2.7350540184414216E-2</c:v>
                </c:pt>
                <c:pt idx="202">
                  <c:v>2.5116550834361279E-2</c:v>
                </c:pt>
                <c:pt idx="203">
                  <c:v>2.1513712106880731E-2</c:v>
                </c:pt>
                <c:pt idx="204">
                  <c:v>2.2302063022705876E-2</c:v>
                </c:pt>
                <c:pt idx="205">
                  <c:v>2.243697825548327E-2</c:v>
                </c:pt>
                <c:pt idx="206">
                  <c:v>2.1289841687425037E-2</c:v>
                </c:pt>
                <c:pt idx="207">
                  <c:v>2.0314394497549699E-2</c:v>
                </c:pt>
                <c:pt idx="208">
                  <c:v>2.1097128734017534E-2</c:v>
                </c:pt>
                <c:pt idx="209">
                  <c:v>1.9830395104373025E-2</c:v>
                </c:pt>
                <c:pt idx="210">
                  <c:v>2.0640377348156515E-2</c:v>
                </c:pt>
                <c:pt idx="211">
                  <c:v>2.144238055868054E-2</c:v>
                </c:pt>
                <c:pt idx="212">
                  <c:v>2.2931241739788954E-2</c:v>
                </c:pt>
                <c:pt idx="213">
                  <c:v>2.3267514815243352E-2</c:v>
                </c:pt>
                <c:pt idx="214">
                  <c:v>2.2984408273743821E-2</c:v>
                </c:pt>
                <c:pt idx="215">
                  <c:v>2.3991930660153395E-2</c:v>
                </c:pt>
                <c:pt idx="216">
                  <c:v>2.7331840124369077E-2</c:v>
                </c:pt>
                <c:pt idx="217">
                  <c:v>2.7414958486086407E-2</c:v>
                </c:pt>
                <c:pt idx="218">
                  <c:v>2.9021819771408344E-2</c:v>
                </c:pt>
                <c:pt idx="219">
                  <c:v>3.0063981645036496E-2</c:v>
                </c:pt>
                <c:pt idx="220">
                  <c:v>3.0924235056143893E-2</c:v>
                </c:pt>
                <c:pt idx="221">
                  <c:v>2.9755645419076923E-2</c:v>
                </c:pt>
                <c:pt idx="222">
                  <c:v>2.8412496980150349E-2</c:v>
                </c:pt>
                <c:pt idx="223">
                  <c:v>2.9074899009355882E-2</c:v>
                </c:pt>
                <c:pt idx="224">
                  <c:v>3.0590929373751508E-2</c:v>
                </c:pt>
                <c:pt idx="225">
                  <c:v>3.0310623768016149E-2</c:v>
                </c:pt>
                <c:pt idx="226">
                  <c:v>2.762357880705649E-2</c:v>
                </c:pt>
                <c:pt idx="227">
                  <c:v>2.6829124926321783E-2</c:v>
                </c:pt>
                <c:pt idx="228">
                  <c:v>2.6131191174550344E-2</c:v>
                </c:pt>
                <c:pt idx="229">
                  <c:v>2.4196969615720682E-2</c:v>
                </c:pt>
                <c:pt idx="230">
                  <c:v>2.4489504807638212E-2</c:v>
                </c:pt>
                <c:pt idx="231">
                  <c:v>2.2864241414920442E-2</c:v>
                </c:pt>
                <c:pt idx="232">
                  <c:v>1.8127345081284763E-2</c:v>
                </c:pt>
                <c:pt idx="233">
                  <c:v>1.6627113295859811E-2</c:v>
                </c:pt>
                <c:pt idx="234">
                  <c:v>1.6917024796850682E-2</c:v>
                </c:pt>
                <c:pt idx="235">
                  <c:v>1.7740067838892568E-2</c:v>
                </c:pt>
                <c:pt idx="236">
                  <c:v>1.8933722575545181E-2</c:v>
                </c:pt>
                <c:pt idx="237">
                  <c:v>1.9408540657373605E-2</c:v>
                </c:pt>
                <c:pt idx="238">
                  <c:v>1.9871166843896837E-2</c:v>
                </c:pt>
                <c:pt idx="239">
                  <c:v>2.0314982654172854E-2</c:v>
                </c:pt>
                <c:pt idx="240">
                  <c:v>2.1377017662760803E-2</c:v>
                </c:pt>
                <c:pt idx="241">
                  <c:v>2.272523585086474E-2</c:v>
                </c:pt>
                <c:pt idx="242">
                  <c:v>2.2218801758090267E-2</c:v>
                </c:pt>
                <c:pt idx="243">
                  <c:v>2.2989516556233418E-2</c:v>
                </c:pt>
                <c:pt idx="244">
                  <c:v>2.3946860340468792E-2</c:v>
                </c:pt>
                <c:pt idx="245">
                  <c:v>2.4544398974742015E-2</c:v>
                </c:pt>
                <c:pt idx="246">
                  <c:v>2.4608305572996588E-2</c:v>
                </c:pt>
                <c:pt idx="247">
                  <c:v>2.4786826636126275E-2</c:v>
                </c:pt>
                <c:pt idx="248">
                  <c:v>2.5395384882996586E-2</c:v>
                </c:pt>
                <c:pt idx="249">
                  <c:v>2.4936755060442781E-2</c:v>
                </c:pt>
                <c:pt idx="250">
                  <c:v>2.4936755060442781E-2</c:v>
                </c:pt>
                <c:pt idx="251">
                  <c:v>2.4936755060442781E-2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940-4E47-B8A7-ED2547161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65568"/>
        <c:axId val="45180032"/>
      </c:scatterChart>
      <c:valAx>
        <c:axId val="451655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180032"/>
        <c:crosses val="min"/>
        <c:crossBetween val="midCat"/>
      </c:valAx>
      <c:valAx>
        <c:axId val="4518003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165568"/>
        <c:crosses val="autoZero"/>
        <c:crossBetween val="midCat"/>
      </c:valAx>
      <c:valAx>
        <c:axId val="45181568"/>
        <c:scaling>
          <c:orientation val="minMax"/>
          <c:max val="0.06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5187456"/>
        <c:crosses val="max"/>
        <c:crossBetween val="between"/>
        <c:majorUnit val="0.01"/>
        <c:minorUnit val="2E-3"/>
      </c:valAx>
      <c:catAx>
        <c:axId val="4518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5181568"/>
        <c:crosses val="min"/>
        <c:auto val="1"/>
        <c:lblAlgn val="ctr"/>
        <c:lblOffset val="100"/>
        <c:noMultiLvlLbl val="0"/>
      </c:catAx>
      <c:spPr>
        <a:noFill/>
        <a:ln w="22225">
          <a:solidFill>
            <a:srgbClr val="00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xMode val="edge"/>
          <c:yMode val="edge"/>
          <c:x val="1.50156799383637E-2"/>
          <c:y val="5.0789369898281103E-2"/>
          <c:w val="0.969968640123273"/>
          <c:h val="0.91578000273438798"/>
        </c:manualLayout>
      </c:layout>
      <c:lineChart>
        <c:grouping val="standard"/>
        <c:varyColors val="0"/>
        <c:ser>
          <c:idx val="4"/>
          <c:order val="4"/>
          <c:tx>
            <c:v>_FRBDummySeriesRight</c:v>
          </c:tx>
          <c:spPr>
            <a:ln w="476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47625" cap="rnd" cmpd="sng" algn="ctr">
                  <a:solidFill>
                    <a:srgbClr val="4BACC6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EAB-49DB-9F05-8C871A888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50144"/>
        <c:axId val="44148608"/>
      </c:lineChart>
      <c:scatterChart>
        <c:scatterStyle val="lineMarker"/>
        <c:varyColors val="0"/>
        <c:ser>
          <c:idx val="0"/>
          <c:order val="0"/>
          <c:tx>
            <c:strRef>
              <c:f>'BC composite HWI'!$W$2</c:f>
              <c:strCache>
                <c:ptCount val="1"/>
                <c:pt idx="0">
                  <c:v>1960s</c:v>
                </c:pt>
              </c:strCache>
            </c:strRef>
          </c:tx>
          <c:spPr>
            <a:ln w="47625">
              <a:noFill/>
            </a:ln>
            <a:effectLst/>
          </c:spPr>
          <c:marker>
            <c:symbol val="circle"/>
            <c:size val="7"/>
            <c:spPr>
              <a:noFill/>
              <a:ln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'BC composite HWI'!$W$3:$W$254</c:f>
              <c:numCache>
                <c:formatCode>General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5.1725572534709274E-2</c:v>
                </c:pt>
                <c:pt idx="37">
                  <c:v>5.237918421166729E-2</c:v>
                </c:pt>
                <c:pt idx="38">
                  <c:v>5.5622134501728947E-2</c:v>
                </c:pt>
                <c:pt idx="39">
                  <c:v>6.2634118762234001E-2</c:v>
                </c:pt>
                <c:pt idx="40">
                  <c:v>6.7853757722013477E-2</c:v>
                </c:pt>
                <c:pt idx="41">
                  <c:v>6.9856175895813624E-2</c:v>
                </c:pt>
                <c:pt idx="42">
                  <c:v>6.7612642737033241E-2</c:v>
                </c:pt>
                <c:pt idx="43">
                  <c:v>6.1835933320329349E-2</c:v>
                </c:pt>
                <c:pt idx="44">
                  <c:v>5.6268909932464535E-2</c:v>
                </c:pt>
                <c:pt idx="45">
                  <c:v>5.4949328187418323E-2</c:v>
                </c:pt>
                <c:pt idx="46">
                  <c:v>5.550926838821555E-2</c:v>
                </c:pt>
                <c:pt idx="47">
                  <c:v>5.5182282397040087E-2</c:v>
                </c:pt>
                <c:pt idx="48">
                  <c:v>5.7915221060237436E-2</c:v>
                </c:pt>
                <c:pt idx="49">
                  <c:v>5.6929471126731808E-2</c:v>
                </c:pt>
                <c:pt idx="50">
                  <c:v>5.5059496746221258E-2</c:v>
                </c:pt>
                <c:pt idx="51">
                  <c:v>5.5848093611676898E-2</c:v>
                </c:pt>
                <c:pt idx="52">
                  <c:v>5.4701368270539431E-2</c:v>
                </c:pt>
                <c:pt idx="53">
                  <c:v>5.2326121813977423E-2</c:v>
                </c:pt>
                <c:pt idx="54">
                  <c:v>5.0018573338103396E-2</c:v>
                </c:pt>
                <c:pt idx="55">
                  <c:v>4.9659262008241493E-2</c:v>
                </c:pt>
                <c:pt idx="56">
                  <c:v>4.8840400989619448E-2</c:v>
                </c:pt>
                <c:pt idx="57">
                  <c:v>4.6678952776483214E-2</c:v>
                </c:pt>
                <c:pt idx="58">
                  <c:v>4.364353784696421E-2</c:v>
                </c:pt>
                <c:pt idx="59">
                  <c:v>4.1148399782750998E-2</c:v>
                </c:pt>
                <c:pt idx="60">
                  <c:v>3.8606465055645613E-2</c:v>
                </c:pt>
                <c:pt idx="61">
                  <c:v>3.8201202717431312E-2</c:v>
                </c:pt>
                <c:pt idx="62">
                  <c:v>3.7632503387553147E-2</c:v>
                </c:pt>
                <c:pt idx="63">
                  <c:v>3.6957376833585305E-2</c:v>
                </c:pt>
                <c:pt idx="64">
                  <c:v>3.8223647645088156E-2</c:v>
                </c:pt>
                <c:pt idx="65">
                  <c:v>3.819313497524001E-2</c:v>
                </c:pt>
                <c:pt idx="66">
                  <c:v>3.7971929294218908E-2</c:v>
                </c:pt>
                <c:pt idx="67">
                  <c:v>3.9285614008625562E-2</c:v>
                </c:pt>
                <c:pt idx="68">
                  <c:v>3.7407781024464744E-2</c:v>
                </c:pt>
                <c:pt idx="69">
                  <c:v>3.549842559345124E-2</c:v>
                </c:pt>
                <c:pt idx="70">
                  <c:v>3.5230253071638601E-2</c:v>
                </c:pt>
                <c:pt idx="71">
                  <c:v>3.4047073200128133E-2</c:v>
                </c:pt>
                <c:pt idx="72">
                  <c:v>3.389578594646319E-2</c:v>
                </c:pt>
                <c:pt idx="73">
                  <c:v>3.4370108702269919E-2</c:v>
                </c:pt>
                <c:pt idx="74">
                  <c:v>3.6031114703918635E-2</c:v>
                </c:pt>
                <c:pt idx="75">
                  <c:v>3.5944610278355917E-2</c:v>
                </c:pt>
                <c:pt idx="76">
                  <c:v>4.1713220600171269E-2</c:v>
                </c:pt>
                <c:pt idx="77">
                  <c:v>4.7588600254263286E-2</c:v>
                </c:pt>
                <c:pt idx="78">
                  <c:v>5.1809714410144682E-2</c:v>
                </c:pt>
                <c:pt idx="79">
                  <c:v>5.8140605712879413E-2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xVal>
          <c:yVal>
            <c:numRef>
              <c:f>'BC composite HWI'!$AB$3:$AB$254</c:f>
              <c:numCache>
                <c:formatCode>General</c:formatCode>
                <c:ptCount val="252"/>
                <c:pt idx="0">
                  <c:v>2.7757943711267639E-2</c:v>
                </c:pt>
                <c:pt idx="1">
                  <c:v>2.9438126313708804E-2</c:v>
                </c:pt>
                <c:pt idx="2">
                  <c:v>2.4118598309368366E-2</c:v>
                </c:pt>
                <c:pt idx="3">
                  <c:v>3.0430366480344861E-2</c:v>
                </c:pt>
                <c:pt idx="4">
                  <c:v>2.6914644170211759E-2</c:v>
                </c:pt>
                <c:pt idx="5">
                  <c:v>2.6343268982049629E-2</c:v>
                </c:pt>
                <c:pt idx="6">
                  <c:v>3.0512836104650453E-2</c:v>
                </c:pt>
                <c:pt idx="7">
                  <c:v>4.0671982684993745E-2</c:v>
                </c:pt>
                <c:pt idx="8">
                  <c:v>3.4287841378995383E-2</c:v>
                </c:pt>
                <c:pt idx="9">
                  <c:v>4.2981879296292623E-2</c:v>
                </c:pt>
                <c:pt idx="10">
                  <c:v>2.7229732423367986E-2</c:v>
                </c:pt>
                <c:pt idx="11">
                  <c:v>1.48667850961709E-2</c:v>
                </c:pt>
                <c:pt idx="12">
                  <c:v>1.0928975405395525E-2</c:v>
                </c:pt>
                <c:pt idx="13">
                  <c:v>1.1842848753196326E-2</c:v>
                </c:pt>
                <c:pt idx="14">
                  <c:v>1.2478306991407733E-2</c:v>
                </c:pt>
                <c:pt idx="15">
                  <c:v>1.551121934765849E-2</c:v>
                </c:pt>
                <c:pt idx="16">
                  <c:v>2.4728223715053382E-2</c:v>
                </c:pt>
                <c:pt idx="17">
                  <c:v>2.3479383875423851E-2</c:v>
                </c:pt>
                <c:pt idx="18">
                  <c:v>2.3190570073124656E-2</c:v>
                </c:pt>
                <c:pt idx="19">
                  <c:v>2.6994813176938137E-2</c:v>
                </c:pt>
                <c:pt idx="20">
                  <c:v>2.6077588403395625E-2</c:v>
                </c:pt>
                <c:pt idx="21">
                  <c:v>2.3206032806995517E-2</c:v>
                </c:pt>
                <c:pt idx="22">
                  <c:v>2.5224138300152205E-2</c:v>
                </c:pt>
                <c:pt idx="23">
                  <c:v>2.4857796804973627E-2</c:v>
                </c:pt>
                <c:pt idx="24">
                  <c:v>2.930959369325499E-2</c:v>
                </c:pt>
                <c:pt idx="25">
                  <c:v>2.3660997927707234E-2</c:v>
                </c:pt>
                <c:pt idx="26">
                  <c:v>2.1826723486769849E-2</c:v>
                </c:pt>
                <c:pt idx="27">
                  <c:v>1.5480040532897E-2</c:v>
                </c:pt>
                <c:pt idx="28">
                  <c:v>9.9534647639003288E-3</c:v>
                </c:pt>
                <c:pt idx="29">
                  <c:v>1.0105031010097527E-2</c:v>
                </c:pt>
                <c:pt idx="30">
                  <c:v>1.3103634917862907E-2</c:v>
                </c:pt>
                <c:pt idx="31">
                  <c:v>1.539025293337897E-2</c:v>
                </c:pt>
                <c:pt idx="32">
                  <c:v>1.9299012930071014E-2</c:v>
                </c:pt>
                <c:pt idx="33">
                  <c:v>2.0862104775637182E-2</c:v>
                </c:pt>
                <c:pt idx="34">
                  <c:v>1.9668800706022862E-2</c:v>
                </c:pt>
                <c:pt idx="35">
                  <c:v>1.7342415079921632E-2</c:v>
                </c:pt>
                <c:pt idx="36">
                  <c:v>1.9955967335625505E-2</c:v>
                </c:pt>
                <c:pt idx="37">
                  <c:v>1.6057037121699525E-2</c:v>
                </c:pt>
                <c:pt idx="38">
                  <c:v>1.5734750873070791E-2</c:v>
                </c:pt>
                <c:pt idx="39">
                  <c:v>1.198186942114981E-2</c:v>
                </c:pt>
                <c:pt idx="40">
                  <c:v>1.2061093700472635E-2</c:v>
                </c:pt>
                <c:pt idx="41">
                  <c:v>1.3843178333213491E-2</c:v>
                </c:pt>
                <c:pt idx="42">
                  <c:v>1.4306407467210347E-2</c:v>
                </c:pt>
                <c:pt idx="43">
                  <c:v>1.723608135989926E-2</c:v>
                </c:pt>
                <c:pt idx="44">
                  <c:v>2.0154103835497882E-2</c:v>
                </c:pt>
                <c:pt idx="45">
                  <c:v>2.1346078384288213E-2</c:v>
                </c:pt>
                <c:pt idx="46">
                  <c:v>1.7342999639276369E-2</c:v>
                </c:pt>
                <c:pt idx="47">
                  <c:v>1.576516468295255E-2</c:v>
                </c:pt>
                <c:pt idx="48">
                  <c:v>1.6410573435023477E-2</c:v>
                </c:pt>
                <c:pt idx="49">
                  <c:v>1.6138320847256412E-2</c:v>
                </c:pt>
                <c:pt idx="50">
                  <c:v>1.7498283701110451E-2</c:v>
                </c:pt>
                <c:pt idx="51">
                  <c:v>1.5635729261500465E-2</c:v>
                </c:pt>
                <c:pt idx="52">
                  <c:v>1.7134753434687979E-2</c:v>
                </c:pt>
                <c:pt idx="53">
                  <c:v>2.1582714111159196E-2</c:v>
                </c:pt>
                <c:pt idx="54">
                  <c:v>1.9977649178378326E-2</c:v>
                </c:pt>
                <c:pt idx="55">
                  <c:v>2.2964737783284783E-2</c:v>
                </c:pt>
                <c:pt idx="56">
                  <c:v>2.0982169760222043E-2</c:v>
                </c:pt>
                <c:pt idx="57">
                  <c:v>2.3686296409769964E-2</c:v>
                </c:pt>
                <c:pt idx="58">
                  <c:v>2.7524268771047213E-2</c:v>
                </c:pt>
                <c:pt idx="59">
                  <c:v>3.5568694286590215E-2</c:v>
                </c:pt>
                <c:pt idx="60">
                  <c:v>3.3988228839022611E-2</c:v>
                </c:pt>
                <c:pt idx="61">
                  <c:v>2.9261191437659918E-2</c:v>
                </c:pt>
                <c:pt idx="62">
                  <c:v>3.2299290473020555E-2</c:v>
                </c:pt>
                <c:pt idx="63">
                  <c:v>3.3999066883534566E-2</c:v>
                </c:pt>
                <c:pt idx="64">
                  <c:v>3.1937358800441094E-2</c:v>
                </c:pt>
                <c:pt idx="65">
                  <c:v>2.8779320672855883E-2</c:v>
                </c:pt>
                <c:pt idx="66">
                  <c:v>2.8677949455590861E-2</c:v>
                </c:pt>
                <c:pt idx="67">
                  <c:v>3.299232603969831E-2</c:v>
                </c:pt>
                <c:pt idx="68">
                  <c:v>3.1624707898354469E-2</c:v>
                </c:pt>
                <c:pt idx="69">
                  <c:v>3.0149906254978459E-2</c:v>
                </c:pt>
                <c:pt idx="70">
                  <c:v>3.4667673337516629E-2</c:v>
                </c:pt>
                <c:pt idx="71">
                  <c:v>3.7822213780503662E-2</c:v>
                </c:pt>
                <c:pt idx="72">
                  <c:v>4.0938809914474981E-2</c:v>
                </c:pt>
                <c:pt idx="73">
                  <c:v>3.3534383900580007E-2</c:v>
                </c:pt>
                <c:pt idx="74">
                  <c:v>3.2905755931518677E-2</c:v>
                </c:pt>
                <c:pt idx="75">
                  <c:v>3.6599367187461089E-2</c:v>
                </c:pt>
                <c:pt idx="76">
                  <c:v>2.274457570064101E-2</c:v>
                </c:pt>
                <c:pt idx="77">
                  <c:v>1.9101304433557165E-2</c:v>
                </c:pt>
                <c:pt idx="78">
                  <c:v>1.5571801905849529E-2</c:v>
                </c:pt>
                <c:pt idx="79">
                  <c:v>1.4470071164377237E-2</c:v>
                </c:pt>
                <c:pt idx="80">
                  <c:v>1.6660671741652748E-2</c:v>
                </c:pt>
                <c:pt idx="81">
                  <c:v>1.6805136135287294E-2</c:v>
                </c:pt>
                <c:pt idx="82">
                  <c:v>1.5611992108898354E-2</c:v>
                </c:pt>
                <c:pt idx="83">
                  <c:v>1.5860593408493176E-2</c:v>
                </c:pt>
                <c:pt idx="84">
                  <c:v>1.924622675955057E-2</c:v>
                </c:pt>
                <c:pt idx="85">
                  <c:v>1.9560141640732446E-2</c:v>
                </c:pt>
                <c:pt idx="86">
                  <c:v>1.8787408863835398E-2</c:v>
                </c:pt>
                <c:pt idx="87">
                  <c:v>2.6522825584517868E-2</c:v>
                </c:pt>
                <c:pt idx="88">
                  <c:v>2.4980296025250277E-2</c:v>
                </c:pt>
                <c:pt idx="89">
                  <c:v>2.2532948154348389E-2</c:v>
                </c:pt>
                <c:pt idx="90">
                  <c:v>2.5285962833594123E-2</c:v>
                </c:pt>
                <c:pt idx="91">
                  <c:v>2.260022675791705E-2</c:v>
                </c:pt>
                <c:pt idx="92">
                  <c:v>2.0173862937831528E-2</c:v>
                </c:pt>
                <c:pt idx="93">
                  <c:v>1.9322390135567021E-2</c:v>
                </c:pt>
                <c:pt idx="94">
                  <c:v>1.5472082929749014E-2</c:v>
                </c:pt>
                <c:pt idx="95">
                  <c:v>1.025265368900284E-2</c:v>
                </c:pt>
                <c:pt idx="96">
                  <c:v>9.9757169999522815E-3</c:v>
                </c:pt>
                <c:pt idx="97">
                  <c:v>1.0582775418280651E-2</c:v>
                </c:pt>
                <c:pt idx="98">
                  <c:v>1.1559678516329738E-2</c:v>
                </c:pt>
                <c:pt idx="99">
                  <c:v>1.3476131101515271E-2</c:v>
                </c:pt>
                <c:pt idx="100">
                  <c:v>1.3917087253570741E-2</c:v>
                </c:pt>
                <c:pt idx="101">
                  <c:v>1.3899615101532405E-2</c:v>
                </c:pt>
                <c:pt idx="102">
                  <c:v>1.3235297200554066E-2</c:v>
                </c:pt>
                <c:pt idx="103">
                  <c:v>1.423398143526663E-2</c:v>
                </c:pt>
                <c:pt idx="104">
                  <c:v>1.3513853157929169E-2</c:v>
                </c:pt>
                <c:pt idx="105">
                  <c:v>1.5688501163003677E-2</c:v>
                </c:pt>
                <c:pt idx="106">
                  <c:v>1.6982197956067282E-2</c:v>
                </c:pt>
                <c:pt idx="107">
                  <c:v>1.9309622090161942E-2</c:v>
                </c:pt>
                <c:pt idx="108">
                  <c:v>2.0451607316349509E-2</c:v>
                </c:pt>
                <c:pt idx="109">
                  <c:v>2.029371129852341E-2</c:v>
                </c:pt>
                <c:pt idx="110">
                  <c:v>2.0789699813285153E-2</c:v>
                </c:pt>
                <c:pt idx="111">
                  <c:v>2.2272601709265094E-2</c:v>
                </c:pt>
                <c:pt idx="112">
                  <c:v>2.1684435107217136E-2</c:v>
                </c:pt>
                <c:pt idx="113">
                  <c:v>2.2114693054807691E-2</c:v>
                </c:pt>
                <c:pt idx="114">
                  <c:v>1.9250400442208989E-2</c:v>
                </c:pt>
                <c:pt idx="115">
                  <c:v>1.9614020151791273E-2</c:v>
                </c:pt>
                <c:pt idx="116">
                  <c:v>1.7682616262415057E-2</c:v>
                </c:pt>
                <c:pt idx="117">
                  <c:v>1.2363748974944374E-2</c:v>
                </c:pt>
                <c:pt idx="118">
                  <c:v>1.4669530475481201E-2</c:v>
                </c:pt>
                <c:pt idx="119">
                  <c:v>1.6311732783334379E-2</c:v>
                </c:pt>
                <c:pt idx="120">
                  <c:v>1.5077585131170067E-2</c:v>
                </c:pt>
                <c:pt idx="121">
                  <c:v>1.4276463733224784E-2</c:v>
                </c:pt>
                <c:pt idx="122">
                  <c:v>1.309726685835068E-2</c:v>
                </c:pt>
                <c:pt idx="123">
                  <c:v>9.1215738870932365E-3</c:v>
                </c:pt>
                <c:pt idx="124">
                  <c:v>8.8417820221900322E-3</c:v>
                </c:pt>
                <c:pt idx="125">
                  <c:v>8.6604210058576839E-3</c:v>
                </c:pt>
                <c:pt idx="126">
                  <c:v>7.2298950498919179E-3</c:v>
                </c:pt>
                <c:pt idx="127">
                  <c:v>7.3122346193308053E-3</c:v>
                </c:pt>
                <c:pt idx="128">
                  <c:v>9.0018422905496828E-3</c:v>
                </c:pt>
                <c:pt idx="129">
                  <c:v>9.9699418201170901E-3</c:v>
                </c:pt>
                <c:pt idx="130">
                  <c:v>1.0589215937183495E-2</c:v>
                </c:pt>
                <c:pt idx="131">
                  <c:v>1.376976084110996E-2</c:v>
                </c:pt>
                <c:pt idx="132">
                  <c:v>1.5338457521058493E-2</c:v>
                </c:pt>
                <c:pt idx="133">
                  <c:v>1.7294444766831465E-2</c:v>
                </c:pt>
                <c:pt idx="134">
                  <c:v>1.5626207624753804E-2</c:v>
                </c:pt>
                <c:pt idx="135">
                  <c:v>1.5601431113618012E-2</c:v>
                </c:pt>
                <c:pt idx="136">
                  <c:v>1.5567125775694199E-2</c:v>
                </c:pt>
                <c:pt idx="137">
                  <c:v>1.5560823100395832E-2</c:v>
                </c:pt>
                <c:pt idx="138">
                  <c:v>1.627283141796346E-2</c:v>
                </c:pt>
                <c:pt idx="139">
                  <c:v>1.6613963642336169E-2</c:v>
                </c:pt>
                <c:pt idx="140">
                  <c:v>1.5766309498989165E-2</c:v>
                </c:pt>
                <c:pt idx="141">
                  <c:v>1.6040833654568803E-2</c:v>
                </c:pt>
                <c:pt idx="142">
                  <c:v>1.7207426014155213E-2</c:v>
                </c:pt>
                <c:pt idx="143">
                  <c:v>1.8237052582766866E-2</c:v>
                </c:pt>
                <c:pt idx="144">
                  <c:v>1.9088401547792039E-2</c:v>
                </c:pt>
                <c:pt idx="145">
                  <c:v>2.0399920713910669E-2</c:v>
                </c:pt>
                <c:pt idx="146">
                  <c:v>2.1312203146016759E-2</c:v>
                </c:pt>
                <c:pt idx="147">
                  <c:v>2.2444973751255082E-2</c:v>
                </c:pt>
                <c:pt idx="148">
                  <c:v>2.3412367254903869E-2</c:v>
                </c:pt>
                <c:pt idx="149">
                  <c:v>2.3681608588775705E-2</c:v>
                </c:pt>
                <c:pt idx="150">
                  <c:v>2.2128905478376596E-2</c:v>
                </c:pt>
                <c:pt idx="151">
                  <c:v>2.3854638022498861E-2</c:v>
                </c:pt>
                <c:pt idx="152">
                  <c:v>2.1872295494103067E-2</c:v>
                </c:pt>
                <c:pt idx="153">
                  <c:v>2.0787633709173619E-2</c:v>
                </c:pt>
                <c:pt idx="154">
                  <c:v>2.0370639226082468E-2</c:v>
                </c:pt>
                <c:pt idx="155">
                  <c:v>1.9677877148338196E-2</c:v>
                </c:pt>
                <c:pt idx="156">
                  <c:v>1.9266788255982586E-2</c:v>
                </c:pt>
                <c:pt idx="157">
                  <c:v>1.9450250880585895E-2</c:v>
                </c:pt>
                <c:pt idx="158">
                  <c:v>1.7381258989641119E-2</c:v>
                </c:pt>
                <c:pt idx="159">
                  <c:v>1.418165344485837E-2</c:v>
                </c:pt>
                <c:pt idx="160">
                  <c:v>1.2555934237056204E-2</c:v>
                </c:pt>
                <c:pt idx="161">
                  <c:v>1.2414071451542731E-2</c:v>
                </c:pt>
                <c:pt idx="162">
                  <c:v>1.2385946925632814E-2</c:v>
                </c:pt>
                <c:pt idx="163">
                  <c:v>1.2673164416245242E-2</c:v>
                </c:pt>
                <c:pt idx="164">
                  <c:v>1.4315929319028904E-2</c:v>
                </c:pt>
                <c:pt idx="165">
                  <c:v>1.3651786685877279E-2</c:v>
                </c:pt>
                <c:pt idx="166">
                  <c:v>1.3614279831536855E-2</c:v>
                </c:pt>
                <c:pt idx="167">
                  <c:v>1.5773829948265778E-2</c:v>
                </c:pt>
                <c:pt idx="168">
                  <c:v>1.4950162784914478E-2</c:v>
                </c:pt>
                <c:pt idx="169">
                  <c:v>1.5857859579257314E-2</c:v>
                </c:pt>
                <c:pt idx="170">
                  <c:v>1.7506625993870744E-2</c:v>
                </c:pt>
                <c:pt idx="171">
                  <c:v>1.9107131003129763E-2</c:v>
                </c:pt>
                <c:pt idx="172">
                  <c:v>1.9580812481372278E-2</c:v>
                </c:pt>
                <c:pt idx="173">
                  <c:v>2.0004475771526458E-2</c:v>
                </c:pt>
                <c:pt idx="174">
                  <c:v>2.3911531619101836E-2</c:v>
                </c:pt>
                <c:pt idx="175">
                  <c:v>2.3084862083249672E-2</c:v>
                </c:pt>
                <c:pt idx="176">
                  <c:v>2.3834225081828055E-2</c:v>
                </c:pt>
                <c:pt idx="177">
                  <c:v>2.2085795237976543E-2</c:v>
                </c:pt>
                <c:pt idx="178">
                  <c:v>2.0298766494134406E-2</c:v>
                </c:pt>
                <c:pt idx="179">
                  <c:v>2.1871585818465749E-2</c:v>
                </c:pt>
                <c:pt idx="180">
                  <c:v>2.3999952931019919E-2</c:v>
                </c:pt>
                <c:pt idx="181">
                  <c:v>2.268429680315431E-2</c:v>
                </c:pt>
                <c:pt idx="182">
                  <c:v>2.6262115487557913E-2</c:v>
                </c:pt>
                <c:pt idx="183">
                  <c:v>2.1895228915203711E-2</c:v>
                </c:pt>
                <c:pt idx="184">
                  <c:v>2.7611044706214633E-2</c:v>
                </c:pt>
                <c:pt idx="185">
                  <c:v>2.7868036354765525E-2</c:v>
                </c:pt>
                <c:pt idx="186">
                  <c:v>2.7718970735437779E-2</c:v>
                </c:pt>
                <c:pt idx="187">
                  <c:v>2.8117333540189058E-2</c:v>
                </c:pt>
                <c:pt idx="188">
                  <c:v>2.432709245317519E-2</c:v>
                </c:pt>
                <c:pt idx="189">
                  <c:v>2.7139155740873777E-2</c:v>
                </c:pt>
                <c:pt idx="190">
                  <c:v>2.4523679465482617E-2</c:v>
                </c:pt>
                <c:pt idx="191">
                  <c:v>2.7898040875670559E-2</c:v>
                </c:pt>
                <c:pt idx="192">
                  <c:v>2.7410939692659082E-2</c:v>
                </c:pt>
                <c:pt idx="193">
                  <c:v>2.7736604736822087E-2</c:v>
                </c:pt>
                <c:pt idx="194">
                  <c:v>2.6500633036771009E-2</c:v>
                </c:pt>
                <c:pt idx="195">
                  <c:v>2.6360217358285937E-2</c:v>
                </c:pt>
                <c:pt idx="196">
                  <c:v>2.6941908299105477E-2</c:v>
                </c:pt>
                <c:pt idx="197">
                  <c:v>2.9024181373026665E-2</c:v>
                </c:pt>
                <c:pt idx="198">
                  <c:v>2.7072383957003177E-2</c:v>
                </c:pt>
                <c:pt idx="199">
                  <c:v>2.8021959462342386E-2</c:v>
                </c:pt>
                <c:pt idx="200">
                  <c:v>2.0622253562617387E-2</c:v>
                </c:pt>
                <c:pt idx="201">
                  <c:v>2.0556618501242661E-2</c:v>
                </c:pt>
                <c:pt idx="202">
                  <c:v>1.6708517289549404E-2</c:v>
                </c:pt>
                <c:pt idx="203">
                  <c:v>1.3871607723453347E-2</c:v>
                </c:pt>
                <c:pt idx="204">
                  <c:v>1.5399982488055972E-2</c:v>
                </c:pt>
                <c:pt idx="205">
                  <c:v>1.7951010771547874E-2</c:v>
                </c:pt>
                <c:pt idx="206">
                  <c:v>1.7011776448872064E-2</c:v>
                </c:pt>
                <c:pt idx="207">
                  <c:v>1.5765940002959725E-2</c:v>
                </c:pt>
                <c:pt idx="208">
                  <c:v>1.7888489907214828E-2</c:v>
                </c:pt>
                <c:pt idx="209">
                  <c:v>1.634343108285807E-2</c:v>
                </c:pt>
                <c:pt idx="210">
                  <c:v>1.8520542526387924E-2</c:v>
                </c:pt>
                <c:pt idx="211">
                  <c:v>2.0902732247139202E-2</c:v>
                </c:pt>
                <c:pt idx="212">
                  <c:v>2.2923126314202912E-2</c:v>
                </c:pt>
                <c:pt idx="213">
                  <c:v>2.060324070396433E-2</c:v>
                </c:pt>
                <c:pt idx="214">
                  <c:v>2.0592444280423328E-2</c:v>
                </c:pt>
                <c:pt idx="215">
                  <c:v>2.2112930414003088E-2</c:v>
                </c:pt>
                <c:pt idx="216">
                  <c:v>2.6431585898683291E-2</c:v>
                </c:pt>
                <c:pt idx="217">
                  <c:v>2.5652507126326246E-2</c:v>
                </c:pt>
                <c:pt idx="218">
                  <c:v>2.6898699630107343E-2</c:v>
                </c:pt>
                <c:pt idx="219">
                  <c:v>2.836553403467959E-2</c:v>
                </c:pt>
                <c:pt idx="220">
                  <c:v>2.9702450510575167E-2</c:v>
                </c:pt>
                <c:pt idx="221">
                  <c:v>2.7994086277281411E-2</c:v>
                </c:pt>
                <c:pt idx="222">
                  <c:v>2.7163024913197085E-2</c:v>
                </c:pt>
                <c:pt idx="223">
                  <c:v>3.1012736176924155E-2</c:v>
                </c:pt>
                <c:pt idx="224">
                  <c:v>3.5901690697816853E-2</c:v>
                </c:pt>
                <c:pt idx="225">
                  <c:v>3.4141245200630034E-2</c:v>
                </c:pt>
                <c:pt idx="226">
                  <c:v>2.9338219807055647E-2</c:v>
                </c:pt>
                <c:pt idx="227">
                  <c:v>2.801960296622925E-2</c:v>
                </c:pt>
                <c:pt idx="228">
                  <c:v>2.6710885346498431E-2</c:v>
                </c:pt>
                <c:pt idx="229">
                  <c:v>2.1127548557659599E-2</c:v>
                </c:pt>
                <c:pt idx="230">
                  <c:v>1.9931951992678418E-2</c:v>
                </c:pt>
                <c:pt idx="231">
                  <c:v>1.6116548722791946E-2</c:v>
                </c:pt>
                <c:pt idx="232">
                  <c:v>1.2784961884046665E-2</c:v>
                </c:pt>
                <c:pt idx="233">
                  <c:v>1.3703075040202446E-2</c:v>
                </c:pt>
                <c:pt idx="234">
                  <c:v>1.5804470712310312E-2</c:v>
                </c:pt>
                <c:pt idx="235">
                  <c:v>1.7583589696394866E-2</c:v>
                </c:pt>
                <c:pt idx="236">
                  <c:v>2.1437946725772528E-2</c:v>
                </c:pt>
                <c:pt idx="237">
                  <c:v>2.0892478673845392E-2</c:v>
                </c:pt>
                <c:pt idx="238">
                  <c:v>2.2496674199920349E-2</c:v>
                </c:pt>
                <c:pt idx="239">
                  <c:v>2.2045553138300662E-2</c:v>
                </c:pt>
                <c:pt idx="240">
                  <c:v>2.7978491570312236E-2</c:v>
                </c:pt>
                <c:pt idx="241">
                  <c:v>2.4565143965016661E-2</c:v>
                </c:pt>
                <c:pt idx="242">
                  <c:v>2.5269222941790098E-2</c:v>
                </c:pt>
                <c:pt idx="243">
                  <c:v>2.9203661753687594E-2</c:v>
                </c:pt>
                <c:pt idx="244">
                  <c:v>3.0586170674325622E-2</c:v>
                </c:pt>
                <c:pt idx="245">
                  <c:v>2.8524700826137003E-2</c:v>
                </c:pt>
                <c:pt idx="246">
                  <c:v>2.8763884710919837E-2</c:v>
                </c:pt>
                <c:pt idx="247">
                  <c:v>2.9374662850651944E-2</c:v>
                </c:pt>
                <c:pt idx="248">
                  <c:v>3.3381793118724849E-2</c:v>
                </c:pt>
                <c:pt idx="249">
                  <c:v>2.9862476310952304E-2</c:v>
                </c:pt>
                <c:pt idx="250">
                  <c:v>2.9862476310952304E-2</c:v>
                </c:pt>
                <c:pt idx="251">
                  <c:v>2.9862476310952304E-2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AB-49DB-9F05-8C871A888C03}"/>
            </c:ext>
          </c:extLst>
        </c:ser>
        <c:ser>
          <c:idx val="1"/>
          <c:order val="1"/>
          <c:tx>
            <c:strRef>
              <c:f>'BC composite HWI'!$X$2</c:f>
              <c:strCache>
                <c:ptCount val="1"/>
                <c:pt idx="0">
                  <c:v>1975-86</c:v>
                </c:pt>
              </c:strCache>
            </c:strRef>
          </c:tx>
          <c:spPr>
            <a:ln w="47625">
              <a:noFill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75000"/>
                </a:schemeClr>
              </a:solidFill>
              <a:ln>
                <a:noFill/>
                <a:prstDash val="solid"/>
              </a:ln>
              <a:effectLst/>
            </c:spPr>
          </c:marker>
          <c:xVal>
            <c:numRef>
              <c:f>'BC composite HWI'!$X$3:$X$254</c:f>
              <c:numCache>
                <c:formatCode>General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8.2411172777088218E-2</c:v>
                </c:pt>
                <c:pt idx="97">
                  <c:v>8.8523342535605856E-2</c:v>
                </c:pt>
                <c:pt idx="98">
                  <c:v>8.4913317889794684E-2</c:v>
                </c:pt>
                <c:pt idx="99">
                  <c:v>8.2831242149937423E-2</c:v>
                </c:pt>
                <c:pt idx="100">
                  <c:v>7.7470408200347826E-2</c:v>
                </c:pt>
                <c:pt idx="101">
                  <c:v>7.5501686581322378E-2</c:v>
                </c:pt>
                <c:pt idx="102">
                  <c:v>7.7232413024956162E-2</c:v>
                </c:pt>
                <c:pt idx="103">
                  <c:v>7.7563124416127588E-2</c:v>
                </c:pt>
                <c:pt idx="104">
                  <c:v>7.516025197061553E-2</c:v>
                </c:pt>
                <c:pt idx="105">
                  <c:v>7.1275650869110793E-2</c:v>
                </c:pt>
                <c:pt idx="106">
                  <c:v>6.8871208994462543E-2</c:v>
                </c:pt>
                <c:pt idx="107">
                  <c:v>6.6354343639359339E-2</c:v>
                </c:pt>
                <c:pt idx="108">
                  <c:v>6.3223153475762017E-2</c:v>
                </c:pt>
                <c:pt idx="109">
                  <c:v>5.9952047181341638E-2</c:v>
                </c:pt>
                <c:pt idx="110">
                  <c:v>6.0169082689846186E-2</c:v>
                </c:pt>
                <c:pt idx="111">
                  <c:v>5.8789225574561267E-2</c:v>
                </c:pt>
                <c:pt idx="112">
                  <c:v>5.8729477326548103E-2</c:v>
                </c:pt>
                <c:pt idx="113">
                  <c:v>5.7089934463756577E-2</c:v>
                </c:pt>
                <c:pt idx="114">
                  <c:v>5.8631825215225024E-2</c:v>
                </c:pt>
                <c:pt idx="115">
                  <c:v>5.9347783929826058E-2</c:v>
                </c:pt>
                <c:pt idx="116">
                  <c:v>6.2915192707610382E-2</c:v>
                </c:pt>
                <c:pt idx="117">
                  <c:v>7.31782525520316E-2</c:v>
                </c:pt>
                <c:pt idx="118">
                  <c:v>7.6751194127610542E-2</c:v>
                </c:pt>
                <c:pt idx="119">
                  <c:v>7.3927821432055577E-2</c:v>
                </c:pt>
                <c:pt idx="120">
                  <c:v>7.4208009227441085E-2</c:v>
                </c:pt>
                <c:pt idx="121">
                  <c:v>7.3929441635386881E-2</c:v>
                </c:pt>
                <c:pt idx="122">
                  <c:v>7.4113576303220213E-2</c:v>
                </c:pt>
                <c:pt idx="123">
                  <c:v>8.2348861100244544E-2</c:v>
                </c:pt>
                <c:pt idx="124">
                  <c:v>8.836918940855816E-2</c:v>
                </c:pt>
                <c:pt idx="125">
                  <c:v>9.4193441866833816E-2</c:v>
                </c:pt>
                <c:pt idx="126">
                  <c:v>9.9362796907399575E-2</c:v>
                </c:pt>
                <c:pt idx="127">
                  <c:v>0.10669751182909369</c:v>
                </c:pt>
                <c:pt idx="128">
                  <c:v>0.10390263537144691</c:v>
                </c:pt>
                <c:pt idx="129">
                  <c:v>0.10095395776108283</c:v>
                </c:pt>
                <c:pt idx="130">
                  <c:v>9.3532381056709579E-2</c:v>
                </c:pt>
                <c:pt idx="131">
                  <c:v>8.534843737371374E-2</c:v>
                </c:pt>
                <c:pt idx="132">
                  <c:v>7.8645499677583885E-2</c:v>
                </c:pt>
                <c:pt idx="133">
                  <c:v>7.4717024652157571E-2</c:v>
                </c:pt>
                <c:pt idx="134">
                  <c:v>7.4442795177973586E-2</c:v>
                </c:pt>
                <c:pt idx="135">
                  <c:v>7.2751508868517792E-2</c:v>
                </c:pt>
                <c:pt idx="136">
                  <c:v>7.2720160860142768E-2</c:v>
                </c:pt>
                <c:pt idx="137">
                  <c:v>7.2807604209799301E-2</c:v>
                </c:pt>
                <c:pt idx="138">
                  <c:v>7.2024025870587594E-2</c:v>
                </c:pt>
                <c:pt idx="139">
                  <c:v>7.0458140122747315E-2</c:v>
                </c:pt>
                <c:pt idx="140">
                  <c:v>7.006835668273946E-2</c:v>
                </c:pt>
                <c:pt idx="141">
                  <c:v>7.1716397893902703E-2</c:v>
                </c:pt>
                <c:pt idx="142">
                  <c:v>6.982164658883655E-2</c:v>
                </c:pt>
                <c:pt idx="143">
                  <c:v>6.8262430987115666E-2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xVal>
          <c:yVal>
            <c:numRef>
              <c:f>'BC composite HWI'!$AB$3:$AB$254</c:f>
              <c:numCache>
                <c:formatCode>General</c:formatCode>
                <c:ptCount val="252"/>
                <c:pt idx="0">
                  <c:v>2.7757943711267639E-2</c:v>
                </c:pt>
                <c:pt idx="1">
                  <c:v>2.9438126313708804E-2</c:v>
                </c:pt>
                <c:pt idx="2">
                  <c:v>2.4118598309368366E-2</c:v>
                </c:pt>
                <c:pt idx="3">
                  <c:v>3.0430366480344861E-2</c:v>
                </c:pt>
                <c:pt idx="4">
                  <c:v>2.6914644170211759E-2</c:v>
                </c:pt>
                <c:pt idx="5">
                  <c:v>2.6343268982049629E-2</c:v>
                </c:pt>
                <c:pt idx="6">
                  <c:v>3.0512836104650453E-2</c:v>
                </c:pt>
                <c:pt idx="7">
                  <c:v>4.0671982684993745E-2</c:v>
                </c:pt>
                <c:pt idx="8">
                  <c:v>3.4287841378995383E-2</c:v>
                </c:pt>
                <c:pt idx="9">
                  <c:v>4.2981879296292623E-2</c:v>
                </c:pt>
                <c:pt idx="10">
                  <c:v>2.7229732423367986E-2</c:v>
                </c:pt>
                <c:pt idx="11">
                  <c:v>1.48667850961709E-2</c:v>
                </c:pt>
                <c:pt idx="12">
                  <c:v>1.0928975405395525E-2</c:v>
                </c:pt>
                <c:pt idx="13">
                  <c:v>1.1842848753196326E-2</c:v>
                </c:pt>
                <c:pt idx="14">
                  <c:v>1.2478306991407733E-2</c:v>
                </c:pt>
                <c:pt idx="15">
                  <c:v>1.551121934765849E-2</c:v>
                </c:pt>
                <c:pt idx="16">
                  <c:v>2.4728223715053382E-2</c:v>
                </c:pt>
                <c:pt idx="17">
                  <c:v>2.3479383875423851E-2</c:v>
                </c:pt>
                <c:pt idx="18">
                  <c:v>2.3190570073124656E-2</c:v>
                </c:pt>
                <c:pt idx="19">
                  <c:v>2.6994813176938137E-2</c:v>
                </c:pt>
                <c:pt idx="20">
                  <c:v>2.6077588403395625E-2</c:v>
                </c:pt>
                <c:pt idx="21">
                  <c:v>2.3206032806995517E-2</c:v>
                </c:pt>
                <c:pt idx="22">
                  <c:v>2.5224138300152205E-2</c:v>
                </c:pt>
                <c:pt idx="23">
                  <c:v>2.4857796804973627E-2</c:v>
                </c:pt>
                <c:pt idx="24">
                  <c:v>2.930959369325499E-2</c:v>
                </c:pt>
                <c:pt idx="25">
                  <c:v>2.3660997927707234E-2</c:v>
                </c:pt>
                <c:pt idx="26">
                  <c:v>2.1826723486769849E-2</c:v>
                </c:pt>
                <c:pt idx="27">
                  <c:v>1.5480040532897E-2</c:v>
                </c:pt>
                <c:pt idx="28">
                  <c:v>9.9534647639003288E-3</c:v>
                </c:pt>
                <c:pt idx="29">
                  <c:v>1.0105031010097527E-2</c:v>
                </c:pt>
                <c:pt idx="30">
                  <c:v>1.3103634917862907E-2</c:v>
                </c:pt>
                <c:pt idx="31">
                  <c:v>1.539025293337897E-2</c:v>
                </c:pt>
                <c:pt idx="32">
                  <c:v>1.9299012930071014E-2</c:v>
                </c:pt>
                <c:pt idx="33">
                  <c:v>2.0862104775637182E-2</c:v>
                </c:pt>
                <c:pt idx="34">
                  <c:v>1.9668800706022862E-2</c:v>
                </c:pt>
                <c:pt idx="35">
                  <c:v>1.7342415079921632E-2</c:v>
                </c:pt>
                <c:pt idx="36">
                  <c:v>1.9955967335625505E-2</c:v>
                </c:pt>
                <c:pt idx="37">
                  <c:v>1.6057037121699525E-2</c:v>
                </c:pt>
                <c:pt idx="38">
                  <c:v>1.5734750873070791E-2</c:v>
                </c:pt>
                <c:pt idx="39">
                  <c:v>1.198186942114981E-2</c:v>
                </c:pt>
                <c:pt idx="40">
                  <c:v>1.2061093700472635E-2</c:v>
                </c:pt>
                <c:pt idx="41">
                  <c:v>1.3843178333213491E-2</c:v>
                </c:pt>
                <c:pt idx="42">
                  <c:v>1.4306407467210347E-2</c:v>
                </c:pt>
                <c:pt idx="43">
                  <c:v>1.723608135989926E-2</c:v>
                </c:pt>
                <c:pt idx="44">
                  <c:v>2.0154103835497882E-2</c:v>
                </c:pt>
                <c:pt idx="45">
                  <c:v>2.1346078384288213E-2</c:v>
                </c:pt>
                <c:pt idx="46">
                  <c:v>1.7342999639276369E-2</c:v>
                </c:pt>
                <c:pt idx="47">
                  <c:v>1.576516468295255E-2</c:v>
                </c:pt>
                <c:pt idx="48">
                  <c:v>1.6410573435023477E-2</c:v>
                </c:pt>
                <c:pt idx="49">
                  <c:v>1.6138320847256412E-2</c:v>
                </c:pt>
                <c:pt idx="50">
                  <c:v>1.7498283701110451E-2</c:v>
                </c:pt>
                <c:pt idx="51">
                  <c:v>1.5635729261500465E-2</c:v>
                </c:pt>
                <c:pt idx="52">
                  <c:v>1.7134753434687979E-2</c:v>
                </c:pt>
                <c:pt idx="53">
                  <c:v>2.1582714111159196E-2</c:v>
                </c:pt>
                <c:pt idx="54">
                  <c:v>1.9977649178378326E-2</c:v>
                </c:pt>
                <c:pt idx="55">
                  <c:v>2.2964737783284783E-2</c:v>
                </c:pt>
                <c:pt idx="56">
                  <c:v>2.0982169760222043E-2</c:v>
                </c:pt>
                <c:pt idx="57">
                  <c:v>2.3686296409769964E-2</c:v>
                </c:pt>
                <c:pt idx="58">
                  <c:v>2.7524268771047213E-2</c:v>
                </c:pt>
                <c:pt idx="59">
                  <c:v>3.5568694286590215E-2</c:v>
                </c:pt>
                <c:pt idx="60">
                  <c:v>3.3988228839022611E-2</c:v>
                </c:pt>
                <c:pt idx="61">
                  <c:v>2.9261191437659918E-2</c:v>
                </c:pt>
                <c:pt idx="62">
                  <c:v>3.2299290473020555E-2</c:v>
                </c:pt>
                <c:pt idx="63">
                  <c:v>3.3999066883534566E-2</c:v>
                </c:pt>
                <c:pt idx="64">
                  <c:v>3.1937358800441094E-2</c:v>
                </c:pt>
                <c:pt idx="65">
                  <c:v>2.8779320672855883E-2</c:v>
                </c:pt>
                <c:pt idx="66">
                  <c:v>2.8677949455590861E-2</c:v>
                </c:pt>
                <c:pt idx="67">
                  <c:v>3.299232603969831E-2</c:v>
                </c:pt>
                <c:pt idx="68">
                  <c:v>3.1624707898354469E-2</c:v>
                </c:pt>
                <c:pt idx="69">
                  <c:v>3.0149906254978459E-2</c:v>
                </c:pt>
                <c:pt idx="70">
                  <c:v>3.4667673337516629E-2</c:v>
                </c:pt>
                <c:pt idx="71">
                  <c:v>3.7822213780503662E-2</c:v>
                </c:pt>
                <c:pt idx="72">
                  <c:v>4.0938809914474981E-2</c:v>
                </c:pt>
                <c:pt idx="73">
                  <c:v>3.3534383900580007E-2</c:v>
                </c:pt>
                <c:pt idx="74">
                  <c:v>3.2905755931518677E-2</c:v>
                </c:pt>
                <c:pt idx="75">
                  <c:v>3.6599367187461089E-2</c:v>
                </c:pt>
                <c:pt idx="76">
                  <c:v>2.274457570064101E-2</c:v>
                </c:pt>
                <c:pt idx="77">
                  <c:v>1.9101304433557165E-2</c:v>
                </c:pt>
                <c:pt idx="78">
                  <c:v>1.5571801905849529E-2</c:v>
                </c:pt>
                <c:pt idx="79">
                  <c:v>1.4470071164377237E-2</c:v>
                </c:pt>
                <c:pt idx="80">
                  <c:v>1.6660671741652748E-2</c:v>
                </c:pt>
                <c:pt idx="81">
                  <c:v>1.6805136135287294E-2</c:v>
                </c:pt>
                <c:pt idx="82">
                  <c:v>1.5611992108898354E-2</c:v>
                </c:pt>
                <c:pt idx="83">
                  <c:v>1.5860593408493176E-2</c:v>
                </c:pt>
                <c:pt idx="84">
                  <c:v>1.924622675955057E-2</c:v>
                </c:pt>
                <c:pt idx="85">
                  <c:v>1.9560141640732446E-2</c:v>
                </c:pt>
                <c:pt idx="86">
                  <c:v>1.8787408863835398E-2</c:v>
                </c:pt>
                <c:pt idx="87">
                  <c:v>2.6522825584517868E-2</c:v>
                </c:pt>
                <c:pt idx="88">
                  <c:v>2.4980296025250277E-2</c:v>
                </c:pt>
                <c:pt idx="89">
                  <c:v>2.2532948154348389E-2</c:v>
                </c:pt>
                <c:pt idx="90">
                  <c:v>2.5285962833594123E-2</c:v>
                </c:pt>
                <c:pt idx="91">
                  <c:v>2.260022675791705E-2</c:v>
                </c:pt>
                <c:pt idx="92">
                  <c:v>2.0173862937831528E-2</c:v>
                </c:pt>
                <c:pt idx="93">
                  <c:v>1.9322390135567021E-2</c:v>
                </c:pt>
                <c:pt idx="94">
                  <c:v>1.5472082929749014E-2</c:v>
                </c:pt>
                <c:pt idx="95">
                  <c:v>1.025265368900284E-2</c:v>
                </c:pt>
                <c:pt idx="96">
                  <c:v>9.9757169999522815E-3</c:v>
                </c:pt>
                <c:pt idx="97">
                  <c:v>1.0582775418280651E-2</c:v>
                </c:pt>
                <c:pt idx="98">
                  <c:v>1.1559678516329738E-2</c:v>
                </c:pt>
                <c:pt idx="99">
                  <c:v>1.3476131101515271E-2</c:v>
                </c:pt>
                <c:pt idx="100">
                  <c:v>1.3917087253570741E-2</c:v>
                </c:pt>
                <c:pt idx="101">
                  <c:v>1.3899615101532405E-2</c:v>
                </c:pt>
                <c:pt idx="102">
                  <c:v>1.3235297200554066E-2</c:v>
                </c:pt>
                <c:pt idx="103">
                  <c:v>1.423398143526663E-2</c:v>
                </c:pt>
                <c:pt idx="104">
                  <c:v>1.3513853157929169E-2</c:v>
                </c:pt>
                <c:pt idx="105">
                  <c:v>1.5688501163003677E-2</c:v>
                </c:pt>
                <c:pt idx="106">
                  <c:v>1.6982197956067282E-2</c:v>
                </c:pt>
                <c:pt idx="107">
                  <c:v>1.9309622090161942E-2</c:v>
                </c:pt>
                <c:pt idx="108">
                  <c:v>2.0451607316349509E-2</c:v>
                </c:pt>
                <c:pt idx="109">
                  <c:v>2.029371129852341E-2</c:v>
                </c:pt>
                <c:pt idx="110">
                  <c:v>2.0789699813285153E-2</c:v>
                </c:pt>
                <c:pt idx="111">
                  <c:v>2.2272601709265094E-2</c:v>
                </c:pt>
                <c:pt idx="112">
                  <c:v>2.1684435107217136E-2</c:v>
                </c:pt>
                <c:pt idx="113">
                  <c:v>2.2114693054807691E-2</c:v>
                </c:pt>
                <c:pt idx="114">
                  <c:v>1.9250400442208989E-2</c:v>
                </c:pt>
                <c:pt idx="115">
                  <c:v>1.9614020151791273E-2</c:v>
                </c:pt>
                <c:pt idx="116">
                  <c:v>1.7682616262415057E-2</c:v>
                </c:pt>
                <c:pt idx="117">
                  <c:v>1.2363748974944374E-2</c:v>
                </c:pt>
                <c:pt idx="118">
                  <c:v>1.4669530475481201E-2</c:v>
                </c:pt>
                <c:pt idx="119">
                  <c:v>1.6311732783334379E-2</c:v>
                </c:pt>
                <c:pt idx="120">
                  <c:v>1.5077585131170067E-2</c:v>
                </c:pt>
                <c:pt idx="121">
                  <c:v>1.4276463733224784E-2</c:v>
                </c:pt>
                <c:pt idx="122">
                  <c:v>1.309726685835068E-2</c:v>
                </c:pt>
                <c:pt idx="123">
                  <c:v>9.1215738870932365E-3</c:v>
                </c:pt>
                <c:pt idx="124">
                  <c:v>8.8417820221900322E-3</c:v>
                </c:pt>
                <c:pt idx="125">
                  <c:v>8.6604210058576839E-3</c:v>
                </c:pt>
                <c:pt idx="126">
                  <c:v>7.2298950498919179E-3</c:v>
                </c:pt>
                <c:pt idx="127">
                  <c:v>7.3122346193308053E-3</c:v>
                </c:pt>
                <c:pt idx="128">
                  <c:v>9.0018422905496828E-3</c:v>
                </c:pt>
                <c:pt idx="129">
                  <c:v>9.9699418201170901E-3</c:v>
                </c:pt>
                <c:pt idx="130">
                  <c:v>1.0589215937183495E-2</c:v>
                </c:pt>
                <c:pt idx="131">
                  <c:v>1.376976084110996E-2</c:v>
                </c:pt>
                <c:pt idx="132">
                  <c:v>1.5338457521058493E-2</c:v>
                </c:pt>
                <c:pt idx="133">
                  <c:v>1.7294444766831465E-2</c:v>
                </c:pt>
                <c:pt idx="134">
                  <c:v>1.5626207624753804E-2</c:v>
                </c:pt>
                <c:pt idx="135">
                  <c:v>1.5601431113618012E-2</c:v>
                </c:pt>
                <c:pt idx="136">
                  <c:v>1.5567125775694199E-2</c:v>
                </c:pt>
                <c:pt idx="137">
                  <c:v>1.5560823100395832E-2</c:v>
                </c:pt>
                <c:pt idx="138">
                  <c:v>1.627283141796346E-2</c:v>
                </c:pt>
                <c:pt idx="139">
                  <c:v>1.6613963642336169E-2</c:v>
                </c:pt>
                <c:pt idx="140">
                  <c:v>1.5766309498989165E-2</c:v>
                </c:pt>
                <c:pt idx="141">
                  <c:v>1.6040833654568803E-2</c:v>
                </c:pt>
                <c:pt idx="142">
                  <c:v>1.7207426014155213E-2</c:v>
                </c:pt>
                <c:pt idx="143">
                  <c:v>1.8237052582766866E-2</c:v>
                </c:pt>
                <c:pt idx="144">
                  <c:v>1.9088401547792039E-2</c:v>
                </c:pt>
                <c:pt idx="145">
                  <c:v>2.0399920713910669E-2</c:v>
                </c:pt>
                <c:pt idx="146">
                  <c:v>2.1312203146016759E-2</c:v>
                </c:pt>
                <c:pt idx="147">
                  <c:v>2.2444973751255082E-2</c:v>
                </c:pt>
                <c:pt idx="148">
                  <c:v>2.3412367254903869E-2</c:v>
                </c:pt>
                <c:pt idx="149">
                  <c:v>2.3681608588775705E-2</c:v>
                </c:pt>
                <c:pt idx="150">
                  <c:v>2.2128905478376596E-2</c:v>
                </c:pt>
                <c:pt idx="151">
                  <c:v>2.3854638022498861E-2</c:v>
                </c:pt>
                <c:pt idx="152">
                  <c:v>2.1872295494103067E-2</c:v>
                </c:pt>
                <c:pt idx="153">
                  <c:v>2.0787633709173619E-2</c:v>
                </c:pt>
                <c:pt idx="154">
                  <c:v>2.0370639226082468E-2</c:v>
                </c:pt>
                <c:pt idx="155">
                  <c:v>1.9677877148338196E-2</c:v>
                </c:pt>
                <c:pt idx="156">
                  <c:v>1.9266788255982586E-2</c:v>
                </c:pt>
                <c:pt idx="157">
                  <c:v>1.9450250880585895E-2</c:v>
                </c:pt>
                <c:pt idx="158">
                  <c:v>1.7381258989641119E-2</c:v>
                </c:pt>
                <c:pt idx="159">
                  <c:v>1.418165344485837E-2</c:v>
                </c:pt>
                <c:pt idx="160">
                  <c:v>1.2555934237056204E-2</c:v>
                </c:pt>
                <c:pt idx="161">
                  <c:v>1.2414071451542731E-2</c:v>
                </c:pt>
                <c:pt idx="162">
                  <c:v>1.2385946925632814E-2</c:v>
                </c:pt>
                <c:pt idx="163">
                  <c:v>1.2673164416245242E-2</c:v>
                </c:pt>
                <c:pt idx="164">
                  <c:v>1.4315929319028904E-2</c:v>
                </c:pt>
                <c:pt idx="165">
                  <c:v>1.3651786685877279E-2</c:v>
                </c:pt>
                <c:pt idx="166">
                  <c:v>1.3614279831536855E-2</c:v>
                </c:pt>
                <c:pt idx="167">
                  <c:v>1.5773829948265778E-2</c:v>
                </c:pt>
                <c:pt idx="168">
                  <c:v>1.4950162784914478E-2</c:v>
                </c:pt>
                <c:pt idx="169">
                  <c:v>1.5857859579257314E-2</c:v>
                </c:pt>
                <c:pt idx="170">
                  <c:v>1.7506625993870744E-2</c:v>
                </c:pt>
                <c:pt idx="171">
                  <c:v>1.9107131003129763E-2</c:v>
                </c:pt>
                <c:pt idx="172">
                  <c:v>1.9580812481372278E-2</c:v>
                </c:pt>
                <c:pt idx="173">
                  <c:v>2.0004475771526458E-2</c:v>
                </c:pt>
                <c:pt idx="174">
                  <c:v>2.3911531619101836E-2</c:v>
                </c:pt>
                <c:pt idx="175">
                  <c:v>2.3084862083249672E-2</c:v>
                </c:pt>
                <c:pt idx="176">
                  <c:v>2.3834225081828055E-2</c:v>
                </c:pt>
                <c:pt idx="177">
                  <c:v>2.2085795237976543E-2</c:v>
                </c:pt>
                <c:pt idx="178">
                  <c:v>2.0298766494134406E-2</c:v>
                </c:pt>
                <c:pt idx="179">
                  <c:v>2.1871585818465749E-2</c:v>
                </c:pt>
                <c:pt idx="180">
                  <c:v>2.3999952931019919E-2</c:v>
                </c:pt>
                <c:pt idx="181">
                  <c:v>2.268429680315431E-2</c:v>
                </c:pt>
                <c:pt idx="182">
                  <c:v>2.6262115487557913E-2</c:v>
                </c:pt>
                <c:pt idx="183">
                  <c:v>2.1895228915203711E-2</c:v>
                </c:pt>
                <c:pt idx="184">
                  <c:v>2.7611044706214633E-2</c:v>
                </c:pt>
                <c:pt idx="185">
                  <c:v>2.7868036354765525E-2</c:v>
                </c:pt>
                <c:pt idx="186">
                  <c:v>2.7718970735437779E-2</c:v>
                </c:pt>
                <c:pt idx="187">
                  <c:v>2.8117333540189058E-2</c:v>
                </c:pt>
                <c:pt idx="188">
                  <c:v>2.432709245317519E-2</c:v>
                </c:pt>
                <c:pt idx="189">
                  <c:v>2.7139155740873777E-2</c:v>
                </c:pt>
                <c:pt idx="190">
                  <c:v>2.4523679465482617E-2</c:v>
                </c:pt>
                <c:pt idx="191">
                  <c:v>2.7898040875670559E-2</c:v>
                </c:pt>
                <c:pt idx="192">
                  <c:v>2.7410939692659082E-2</c:v>
                </c:pt>
                <c:pt idx="193">
                  <c:v>2.7736604736822087E-2</c:v>
                </c:pt>
                <c:pt idx="194">
                  <c:v>2.6500633036771009E-2</c:v>
                </c:pt>
                <c:pt idx="195">
                  <c:v>2.6360217358285937E-2</c:v>
                </c:pt>
                <c:pt idx="196">
                  <c:v>2.6941908299105477E-2</c:v>
                </c:pt>
                <c:pt idx="197">
                  <c:v>2.9024181373026665E-2</c:v>
                </c:pt>
                <c:pt idx="198">
                  <c:v>2.7072383957003177E-2</c:v>
                </c:pt>
                <c:pt idx="199">
                  <c:v>2.8021959462342386E-2</c:v>
                </c:pt>
                <c:pt idx="200">
                  <c:v>2.0622253562617387E-2</c:v>
                </c:pt>
                <c:pt idx="201">
                  <c:v>2.0556618501242661E-2</c:v>
                </c:pt>
                <c:pt idx="202">
                  <c:v>1.6708517289549404E-2</c:v>
                </c:pt>
                <c:pt idx="203">
                  <c:v>1.3871607723453347E-2</c:v>
                </c:pt>
                <c:pt idx="204">
                  <c:v>1.5399982488055972E-2</c:v>
                </c:pt>
                <c:pt idx="205">
                  <c:v>1.7951010771547874E-2</c:v>
                </c:pt>
                <c:pt idx="206">
                  <c:v>1.7011776448872064E-2</c:v>
                </c:pt>
                <c:pt idx="207">
                  <c:v>1.5765940002959725E-2</c:v>
                </c:pt>
                <c:pt idx="208">
                  <c:v>1.7888489907214828E-2</c:v>
                </c:pt>
                <c:pt idx="209">
                  <c:v>1.634343108285807E-2</c:v>
                </c:pt>
                <c:pt idx="210">
                  <c:v>1.8520542526387924E-2</c:v>
                </c:pt>
                <c:pt idx="211">
                  <c:v>2.0902732247139202E-2</c:v>
                </c:pt>
                <c:pt idx="212">
                  <c:v>2.2923126314202912E-2</c:v>
                </c:pt>
                <c:pt idx="213">
                  <c:v>2.060324070396433E-2</c:v>
                </c:pt>
                <c:pt idx="214">
                  <c:v>2.0592444280423328E-2</c:v>
                </c:pt>
                <c:pt idx="215">
                  <c:v>2.2112930414003088E-2</c:v>
                </c:pt>
                <c:pt idx="216">
                  <c:v>2.6431585898683291E-2</c:v>
                </c:pt>
                <c:pt idx="217">
                  <c:v>2.5652507126326246E-2</c:v>
                </c:pt>
                <c:pt idx="218">
                  <c:v>2.6898699630107343E-2</c:v>
                </c:pt>
                <c:pt idx="219">
                  <c:v>2.836553403467959E-2</c:v>
                </c:pt>
                <c:pt idx="220">
                  <c:v>2.9702450510575167E-2</c:v>
                </c:pt>
                <c:pt idx="221">
                  <c:v>2.7994086277281411E-2</c:v>
                </c:pt>
                <c:pt idx="222">
                  <c:v>2.7163024913197085E-2</c:v>
                </c:pt>
                <c:pt idx="223">
                  <c:v>3.1012736176924155E-2</c:v>
                </c:pt>
                <c:pt idx="224">
                  <c:v>3.5901690697816853E-2</c:v>
                </c:pt>
                <c:pt idx="225">
                  <c:v>3.4141245200630034E-2</c:v>
                </c:pt>
                <c:pt idx="226">
                  <c:v>2.9338219807055647E-2</c:v>
                </c:pt>
                <c:pt idx="227">
                  <c:v>2.801960296622925E-2</c:v>
                </c:pt>
                <c:pt idx="228">
                  <c:v>2.6710885346498431E-2</c:v>
                </c:pt>
                <c:pt idx="229">
                  <c:v>2.1127548557659599E-2</c:v>
                </c:pt>
                <c:pt idx="230">
                  <c:v>1.9931951992678418E-2</c:v>
                </c:pt>
                <c:pt idx="231">
                  <c:v>1.6116548722791946E-2</c:v>
                </c:pt>
                <c:pt idx="232">
                  <c:v>1.2784961884046665E-2</c:v>
                </c:pt>
                <c:pt idx="233">
                  <c:v>1.3703075040202446E-2</c:v>
                </c:pt>
                <c:pt idx="234">
                  <c:v>1.5804470712310312E-2</c:v>
                </c:pt>
                <c:pt idx="235">
                  <c:v>1.7583589696394866E-2</c:v>
                </c:pt>
                <c:pt idx="236">
                  <c:v>2.1437946725772528E-2</c:v>
                </c:pt>
                <c:pt idx="237">
                  <c:v>2.0892478673845392E-2</c:v>
                </c:pt>
                <c:pt idx="238">
                  <c:v>2.2496674199920349E-2</c:v>
                </c:pt>
                <c:pt idx="239">
                  <c:v>2.2045553138300662E-2</c:v>
                </c:pt>
                <c:pt idx="240">
                  <c:v>2.7978491570312236E-2</c:v>
                </c:pt>
                <c:pt idx="241">
                  <c:v>2.4565143965016661E-2</c:v>
                </c:pt>
                <c:pt idx="242">
                  <c:v>2.5269222941790098E-2</c:v>
                </c:pt>
                <c:pt idx="243">
                  <c:v>2.9203661753687594E-2</c:v>
                </c:pt>
                <c:pt idx="244">
                  <c:v>3.0586170674325622E-2</c:v>
                </c:pt>
                <c:pt idx="245">
                  <c:v>2.8524700826137003E-2</c:v>
                </c:pt>
                <c:pt idx="246">
                  <c:v>2.8763884710919837E-2</c:v>
                </c:pt>
                <c:pt idx="247">
                  <c:v>2.9374662850651944E-2</c:v>
                </c:pt>
                <c:pt idx="248">
                  <c:v>3.3381793118724849E-2</c:v>
                </c:pt>
                <c:pt idx="249">
                  <c:v>2.9862476310952304E-2</c:v>
                </c:pt>
                <c:pt idx="250">
                  <c:v>2.9862476310952304E-2</c:v>
                </c:pt>
                <c:pt idx="251">
                  <c:v>2.9862476310952304E-2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EAB-49DB-9F05-8C871A888C03}"/>
            </c:ext>
          </c:extLst>
        </c:ser>
        <c:ser>
          <c:idx val="2"/>
          <c:order val="2"/>
          <c:tx>
            <c:strRef>
              <c:f>'BC composite HWI'!$Y$2</c:f>
              <c:strCache>
                <c:ptCount val="1"/>
                <c:pt idx="0">
                  <c:v>1990-2000</c:v>
                </c:pt>
              </c:strCache>
            </c:strRef>
          </c:tx>
          <c:spPr>
            <a:ln w="47625">
              <a:noFill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50000"/>
                </a:schemeClr>
              </a:solidFill>
              <a:ln>
                <a:noFill/>
                <a:prstDash val="solid"/>
              </a:ln>
              <a:effectLst/>
            </c:spPr>
          </c:marker>
          <c:xVal>
            <c:numRef>
              <c:f>'BC composite HWI'!$Y$3:$Y$254</c:f>
              <c:numCache>
                <c:formatCode>General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5.3004606512745557E-2</c:v>
                </c:pt>
                <c:pt idx="157">
                  <c:v>5.337599557468118E-2</c:v>
                </c:pt>
                <c:pt idx="158">
                  <c:v>5.6877369667566006E-2</c:v>
                </c:pt>
                <c:pt idx="159">
                  <c:v>6.1140451818954465E-2</c:v>
                </c:pt>
                <c:pt idx="160">
                  <c:v>6.5744350270834515E-2</c:v>
                </c:pt>
                <c:pt idx="161">
                  <c:v>6.8242054022026225E-2</c:v>
                </c:pt>
                <c:pt idx="162">
                  <c:v>6.8540875368525267E-2</c:v>
                </c:pt>
                <c:pt idx="163">
                  <c:v>7.0974988762214086E-2</c:v>
                </c:pt>
                <c:pt idx="164">
                  <c:v>7.379999831448035E-2</c:v>
                </c:pt>
                <c:pt idx="165">
                  <c:v>7.5952565390984758E-2</c:v>
                </c:pt>
                <c:pt idx="166">
                  <c:v>7.6276259824107226E-2</c:v>
                </c:pt>
                <c:pt idx="167">
                  <c:v>7.4073084685516766E-2</c:v>
                </c:pt>
                <c:pt idx="168">
                  <c:v>7.1510670899310472E-2</c:v>
                </c:pt>
                <c:pt idx="169">
                  <c:v>7.0702377509311132E-2</c:v>
                </c:pt>
                <c:pt idx="170">
                  <c:v>6.8009529947637745E-2</c:v>
                </c:pt>
                <c:pt idx="171">
                  <c:v>6.6206963922621667E-2</c:v>
                </c:pt>
                <c:pt idx="172">
                  <c:v>6.5573565226174593E-2</c:v>
                </c:pt>
                <c:pt idx="173">
                  <c:v>6.1672269203552545E-2</c:v>
                </c:pt>
                <c:pt idx="174">
                  <c:v>6.003249586894574E-2</c:v>
                </c:pt>
                <c:pt idx="175">
                  <c:v>5.621366179690776E-2</c:v>
                </c:pt>
                <c:pt idx="176">
                  <c:v>5.4799934049540387E-2</c:v>
                </c:pt>
                <c:pt idx="177">
                  <c:v>5.6765778342929722E-2</c:v>
                </c:pt>
                <c:pt idx="178">
                  <c:v>5.6606150226606672E-2</c:v>
                </c:pt>
                <c:pt idx="179">
                  <c:v>5.5743581263231791E-2</c:v>
                </c:pt>
                <c:pt idx="180">
                  <c:v>5.5479800333740163E-2</c:v>
                </c:pt>
                <c:pt idx="181">
                  <c:v>5.4727414281718338E-2</c:v>
                </c:pt>
                <c:pt idx="182">
                  <c:v>5.2619380637179462E-2</c:v>
                </c:pt>
                <c:pt idx="183">
                  <c:v>5.3130063489889502E-2</c:v>
                </c:pt>
                <c:pt idx="184">
                  <c:v>5.226919847700201E-2</c:v>
                </c:pt>
                <c:pt idx="185">
                  <c:v>4.9779022951932088E-2</c:v>
                </c:pt>
                <c:pt idx="186">
                  <c:v>4.8610236045905697E-2</c:v>
                </c:pt>
                <c:pt idx="187">
                  <c:v>4.6836528612886508E-2</c:v>
                </c:pt>
                <c:pt idx="188">
                  <c:v>4.6412147307383446E-2</c:v>
                </c:pt>
                <c:pt idx="189">
                  <c:v>4.4176555814854607E-2</c:v>
                </c:pt>
                <c:pt idx="190">
                  <c:v>4.5321319594782687E-2</c:v>
                </c:pt>
                <c:pt idx="191">
                  <c:v>4.4335624785740248E-2</c:v>
                </c:pt>
                <c:pt idx="192">
                  <c:v>4.2883878200448845E-2</c:v>
                </c:pt>
                <c:pt idx="193">
                  <c:v>4.2528203954871023E-2</c:v>
                </c:pt>
                <c:pt idx="194">
                  <c:v>4.2481238276263433E-2</c:v>
                </c:pt>
                <c:pt idx="195">
                  <c:v>4.0829305064578651E-2</c:v>
                </c:pt>
                <c:pt idx="196">
                  <c:v>4.0497811053418348E-2</c:v>
                </c:pt>
                <c:pt idx="197">
                  <c:v>3.9488387046744948E-2</c:v>
                </c:pt>
                <c:pt idx="198">
                  <c:v>4.0310366735264752E-2</c:v>
                </c:pt>
                <c:pt idx="199">
                  <c:v>3.9192102663532478E-2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</c:numCache>
            </c:numRef>
          </c:xVal>
          <c:yVal>
            <c:numRef>
              <c:f>'BC composite HWI'!$AB$3:$AB$254</c:f>
              <c:numCache>
                <c:formatCode>General</c:formatCode>
                <c:ptCount val="252"/>
                <c:pt idx="0">
                  <c:v>2.7757943711267639E-2</c:v>
                </c:pt>
                <c:pt idx="1">
                  <c:v>2.9438126313708804E-2</c:v>
                </c:pt>
                <c:pt idx="2">
                  <c:v>2.4118598309368366E-2</c:v>
                </c:pt>
                <c:pt idx="3">
                  <c:v>3.0430366480344861E-2</c:v>
                </c:pt>
                <c:pt idx="4">
                  <c:v>2.6914644170211759E-2</c:v>
                </c:pt>
                <c:pt idx="5">
                  <c:v>2.6343268982049629E-2</c:v>
                </c:pt>
                <c:pt idx="6">
                  <c:v>3.0512836104650453E-2</c:v>
                </c:pt>
                <c:pt idx="7">
                  <c:v>4.0671982684993745E-2</c:v>
                </c:pt>
                <c:pt idx="8">
                  <c:v>3.4287841378995383E-2</c:v>
                </c:pt>
                <c:pt idx="9">
                  <c:v>4.2981879296292623E-2</c:v>
                </c:pt>
                <c:pt idx="10">
                  <c:v>2.7229732423367986E-2</c:v>
                </c:pt>
                <c:pt idx="11">
                  <c:v>1.48667850961709E-2</c:v>
                </c:pt>
                <c:pt idx="12">
                  <c:v>1.0928975405395525E-2</c:v>
                </c:pt>
                <c:pt idx="13">
                  <c:v>1.1842848753196326E-2</c:v>
                </c:pt>
                <c:pt idx="14">
                  <c:v>1.2478306991407733E-2</c:v>
                </c:pt>
                <c:pt idx="15">
                  <c:v>1.551121934765849E-2</c:v>
                </c:pt>
                <c:pt idx="16">
                  <c:v>2.4728223715053382E-2</c:v>
                </c:pt>
                <c:pt idx="17">
                  <c:v>2.3479383875423851E-2</c:v>
                </c:pt>
                <c:pt idx="18">
                  <c:v>2.3190570073124656E-2</c:v>
                </c:pt>
                <c:pt idx="19">
                  <c:v>2.6994813176938137E-2</c:v>
                </c:pt>
                <c:pt idx="20">
                  <c:v>2.6077588403395625E-2</c:v>
                </c:pt>
                <c:pt idx="21">
                  <c:v>2.3206032806995517E-2</c:v>
                </c:pt>
                <c:pt idx="22">
                  <c:v>2.5224138300152205E-2</c:v>
                </c:pt>
                <c:pt idx="23">
                  <c:v>2.4857796804973627E-2</c:v>
                </c:pt>
                <c:pt idx="24">
                  <c:v>2.930959369325499E-2</c:v>
                </c:pt>
                <c:pt idx="25">
                  <c:v>2.3660997927707234E-2</c:v>
                </c:pt>
                <c:pt idx="26">
                  <c:v>2.1826723486769849E-2</c:v>
                </c:pt>
                <c:pt idx="27">
                  <c:v>1.5480040532897E-2</c:v>
                </c:pt>
                <c:pt idx="28">
                  <c:v>9.9534647639003288E-3</c:v>
                </c:pt>
                <c:pt idx="29">
                  <c:v>1.0105031010097527E-2</c:v>
                </c:pt>
                <c:pt idx="30">
                  <c:v>1.3103634917862907E-2</c:v>
                </c:pt>
                <c:pt idx="31">
                  <c:v>1.539025293337897E-2</c:v>
                </c:pt>
                <c:pt idx="32">
                  <c:v>1.9299012930071014E-2</c:v>
                </c:pt>
                <c:pt idx="33">
                  <c:v>2.0862104775637182E-2</c:v>
                </c:pt>
                <c:pt idx="34">
                  <c:v>1.9668800706022862E-2</c:v>
                </c:pt>
                <c:pt idx="35">
                  <c:v>1.7342415079921632E-2</c:v>
                </c:pt>
                <c:pt idx="36">
                  <c:v>1.9955967335625505E-2</c:v>
                </c:pt>
                <c:pt idx="37">
                  <c:v>1.6057037121699525E-2</c:v>
                </c:pt>
                <c:pt idx="38">
                  <c:v>1.5734750873070791E-2</c:v>
                </c:pt>
                <c:pt idx="39">
                  <c:v>1.198186942114981E-2</c:v>
                </c:pt>
                <c:pt idx="40">
                  <c:v>1.2061093700472635E-2</c:v>
                </c:pt>
                <c:pt idx="41">
                  <c:v>1.3843178333213491E-2</c:v>
                </c:pt>
                <c:pt idx="42">
                  <c:v>1.4306407467210347E-2</c:v>
                </c:pt>
                <c:pt idx="43">
                  <c:v>1.723608135989926E-2</c:v>
                </c:pt>
                <c:pt idx="44">
                  <c:v>2.0154103835497882E-2</c:v>
                </c:pt>
                <c:pt idx="45">
                  <c:v>2.1346078384288213E-2</c:v>
                </c:pt>
                <c:pt idx="46">
                  <c:v>1.7342999639276369E-2</c:v>
                </c:pt>
                <c:pt idx="47">
                  <c:v>1.576516468295255E-2</c:v>
                </c:pt>
                <c:pt idx="48">
                  <c:v>1.6410573435023477E-2</c:v>
                </c:pt>
                <c:pt idx="49">
                  <c:v>1.6138320847256412E-2</c:v>
                </c:pt>
                <c:pt idx="50">
                  <c:v>1.7498283701110451E-2</c:v>
                </c:pt>
                <c:pt idx="51">
                  <c:v>1.5635729261500465E-2</c:v>
                </c:pt>
                <c:pt idx="52">
                  <c:v>1.7134753434687979E-2</c:v>
                </c:pt>
                <c:pt idx="53">
                  <c:v>2.1582714111159196E-2</c:v>
                </c:pt>
                <c:pt idx="54">
                  <c:v>1.9977649178378326E-2</c:v>
                </c:pt>
                <c:pt idx="55">
                  <c:v>2.2964737783284783E-2</c:v>
                </c:pt>
                <c:pt idx="56">
                  <c:v>2.0982169760222043E-2</c:v>
                </c:pt>
                <c:pt idx="57">
                  <c:v>2.3686296409769964E-2</c:v>
                </c:pt>
                <c:pt idx="58">
                  <c:v>2.7524268771047213E-2</c:v>
                </c:pt>
                <c:pt idx="59">
                  <c:v>3.5568694286590215E-2</c:v>
                </c:pt>
                <c:pt idx="60">
                  <c:v>3.3988228839022611E-2</c:v>
                </c:pt>
                <c:pt idx="61">
                  <c:v>2.9261191437659918E-2</c:v>
                </c:pt>
                <c:pt idx="62">
                  <c:v>3.2299290473020555E-2</c:v>
                </c:pt>
                <c:pt idx="63">
                  <c:v>3.3999066883534566E-2</c:v>
                </c:pt>
                <c:pt idx="64">
                  <c:v>3.1937358800441094E-2</c:v>
                </c:pt>
                <c:pt idx="65">
                  <c:v>2.8779320672855883E-2</c:v>
                </c:pt>
                <c:pt idx="66">
                  <c:v>2.8677949455590861E-2</c:v>
                </c:pt>
                <c:pt idx="67">
                  <c:v>3.299232603969831E-2</c:v>
                </c:pt>
                <c:pt idx="68">
                  <c:v>3.1624707898354469E-2</c:v>
                </c:pt>
                <c:pt idx="69">
                  <c:v>3.0149906254978459E-2</c:v>
                </c:pt>
                <c:pt idx="70">
                  <c:v>3.4667673337516629E-2</c:v>
                </c:pt>
                <c:pt idx="71">
                  <c:v>3.7822213780503662E-2</c:v>
                </c:pt>
                <c:pt idx="72">
                  <c:v>4.0938809914474981E-2</c:v>
                </c:pt>
                <c:pt idx="73">
                  <c:v>3.3534383900580007E-2</c:v>
                </c:pt>
                <c:pt idx="74">
                  <c:v>3.2905755931518677E-2</c:v>
                </c:pt>
                <c:pt idx="75">
                  <c:v>3.6599367187461089E-2</c:v>
                </c:pt>
                <c:pt idx="76">
                  <c:v>2.274457570064101E-2</c:v>
                </c:pt>
                <c:pt idx="77">
                  <c:v>1.9101304433557165E-2</c:v>
                </c:pt>
                <c:pt idx="78">
                  <c:v>1.5571801905849529E-2</c:v>
                </c:pt>
                <c:pt idx="79">
                  <c:v>1.4470071164377237E-2</c:v>
                </c:pt>
                <c:pt idx="80">
                  <c:v>1.6660671741652748E-2</c:v>
                </c:pt>
                <c:pt idx="81">
                  <c:v>1.6805136135287294E-2</c:v>
                </c:pt>
                <c:pt idx="82">
                  <c:v>1.5611992108898354E-2</c:v>
                </c:pt>
                <c:pt idx="83">
                  <c:v>1.5860593408493176E-2</c:v>
                </c:pt>
                <c:pt idx="84">
                  <c:v>1.924622675955057E-2</c:v>
                </c:pt>
                <c:pt idx="85">
                  <c:v>1.9560141640732446E-2</c:v>
                </c:pt>
                <c:pt idx="86">
                  <c:v>1.8787408863835398E-2</c:v>
                </c:pt>
                <c:pt idx="87">
                  <c:v>2.6522825584517868E-2</c:v>
                </c:pt>
                <c:pt idx="88">
                  <c:v>2.4980296025250277E-2</c:v>
                </c:pt>
                <c:pt idx="89">
                  <c:v>2.2532948154348389E-2</c:v>
                </c:pt>
                <c:pt idx="90">
                  <c:v>2.5285962833594123E-2</c:v>
                </c:pt>
                <c:pt idx="91">
                  <c:v>2.260022675791705E-2</c:v>
                </c:pt>
                <c:pt idx="92">
                  <c:v>2.0173862937831528E-2</c:v>
                </c:pt>
                <c:pt idx="93">
                  <c:v>1.9322390135567021E-2</c:v>
                </c:pt>
                <c:pt idx="94">
                  <c:v>1.5472082929749014E-2</c:v>
                </c:pt>
                <c:pt idx="95">
                  <c:v>1.025265368900284E-2</c:v>
                </c:pt>
                <c:pt idx="96">
                  <c:v>9.9757169999522815E-3</c:v>
                </c:pt>
                <c:pt idx="97">
                  <c:v>1.0582775418280651E-2</c:v>
                </c:pt>
                <c:pt idx="98">
                  <c:v>1.1559678516329738E-2</c:v>
                </c:pt>
                <c:pt idx="99">
                  <c:v>1.3476131101515271E-2</c:v>
                </c:pt>
                <c:pt idx="100">
                  <c:v>1.3917087253570741E-2</c:v>
                </c:pt>
                <c:pt idx="101">
                  <c:v>1.3899615101532405E-2</c:v>
                </c:pt>
                <c:pt idx="102">
                  <c:v>1.3235297200554066E-2</c:v>
                </c:pt>
                <c:pt idx="103">
                  <c:v>1.423398143526663E-2</c:v>
                </c:pt>
                <c:pt idx="104">
                  <c:v>1.3513853157929169E-2</c:v>
                </c:pt>
                <c:pt idx="105">
                  <c:v>1.5688501163003677E-2</c:v>
                </c:pt>
                <c:pt idx="106">
                  <c:v>1.6982197956067282E-2</c:v>
                </c:pt>
                <c:pt idx="107">
                  <c:v>1.9309622090161942E-2</c:v>
                </c:pt>
                <c:pt idx="108">
                  <c:v>2.0451607316349509E-2</c:v>
                </c:pt>
                <c:pt idx="109">
                  <c:v>2.029371129852341E-2</c:v>
                </c:pt>
                <c:pt idx="110">
                  <c:v>2.0789699813285153E-2</c:v>
                </c:pt>
                <c:pt idx="111">
                  <c:v>2.2272601709265094E-2</c:v>
                </c:pt>
                <c:pt idx="112">
                  <c:v>2.1684435107217136E-2</c:v>
                </c:pt>
                <c:pt idx="113">
                  <c:v>2.2114693054807691E-2</c:v>
                </c:pt>
                <c:pt idx="114">
                  <c:v>1.9250400442208989E-2</c:v>
                </c:pt>
                <c:pt idx="115">
                  <c:v>1.9614020151791273E-2</c:v>
                </c:pt>
                <c:pt idx="116">
                  <c:v>1.7682616262415057E-2</c:v>
                </c:pt>
                <c:pt idx="117">
                  <c:v>1.2363748974944374E-2</c:v>
                </c:pt>
                <c:pt idx="118">
                  <c:v>1.4669530475481201E-2</c:v>
                </c:pt>
                <c:pt idx="119">
                  <c:v>1.6311732783334379E-2</c:v>
                </c:pt>
                <c:pt idx="120">
                  <c:v>1.5077585131170067E-2</c:v>
                </c:pt>
                <c:pt idx="121">
                  <c:v>1.4276463733224784E-2</c:v>
                </c:pt>
                <c:pt idx="122">
                  <c:v>1.309726685835068E-2</c:v>
                </c:pt>
                <c:pt idx="123">
                  <c:v>9.1215738870932365E-3</c:v>
                </c:pt>
                <c:pt idx="124">
                  <c:v>8.8417820221900322E-3</c:v>
                </c:pt>
                <c:pt idx="125">
                  <c:v>8.6604210058576839E-3</c:v>
                </c:pt>
                <c:pt idx="126">
                  <c:v>7.2298950498919179E-3</c:v>
                </c:pt>
                <c:pt idx="127">
                  <c:v>7.3122346193308053E-3</c:v>
                </c:pt>
                <c:pt idx="128">
                  <c:v>9.0018422905496828E-3</c:v>
                </c:pt>
                <c:pt idx="129">
                  <c:v>9.9699418201170901E-3</c:v>
                </c:pt>
                <c:pt idx="130">
                  <c:v>1.0589215937183495E-2</c:v>
                </c:pt>
                <c:pt idx="131">
                  <c:v>1.376976084110996E-2</c:v>
                </c:pt>
                <c:pt idx="132">
                  <c:v>1.5338457521058493E-2</c:v>
                </c:pt>
                <c:pt idx="133">
                  <c:v>1.7294444766831465E-2</c:v>
                </c:pt>
                <c:pt idx="134">
                  <c:v>1.5626207624753804E-2</c:v>
                </c:pt>
                <c:pt idx="135">
                  <c:v>1.5601431113618012E-2</c:v>
                </c:pt>
                <c:pt idx="136">
                  <c:v>1.5567125775694199E-2</c:v>
                </c:pt>
                <c:pt idx="137">
                  <c:v>1.5560823100395832E-2</c:v>
                </c:pt>
                <c:pt idx="138">
                  <c:v>1.627283141796346E-2</c:v>
                </c:pt>
                <c:pt idx="139">
                  <c:v>1.6613963642336169E-2</c:v>
                </c:pt>
                <c:pt idx="140">
                  <c:v>1.5766309498989165E-2</c:v>
                </c:pt>
                <c:pt idx="141">
                  <c:v>1.6040833654568803E-2</c:v>
                </c:pt>
                <c:pt idx="142">
                  <c:v>1.7207426014155213E-2</c:v>
                </c:pt>
                <c:pt idx="143">
                  <c:v>1.8237052582766866E-2</c:v>
                </c:pt>
                <c:pt idx="144">
                  <c:v>1.9088401547792039E-2</c:v>
                </c:pt>
                <c:pt idx="145">
                  <c:v>2.0399920713910669E-2</c:v>
                </c:pt>
                <c:pt idx="146">
                  <c:v>2.1312203146016759E-2</c:v>
                </c:pt>
                <c:pt idx="147">
                  <c:v>2.2444973751255082E-2</c:v>
                </c:pt>
                <c:pt idx="148">
                  <c:v>2.3412367254903869E-2</c:v>
                </c:pt>
                <c:pt idx="149">
                  <c:v>2.3681608588775705E-2</c:v>
                </c:pt>
                <c:pt idx="150">
                  <c:v>2.2128905478376596E-2</c:v>
                </c:pt>
                <c:pt idx="151">
                  <c:v>2.3854638022498861E-2</c:v>
                </c:pt>
                <c:pt idx="152">
                  <c:v>2.1872295494103067E-2</c:v>
                </c:pt>
                <c:pt idx="153">
                  <c:v>2.0787633709173619E-2</c:v>
                </c:pt>
                <c:pt idx="154">
                  <c:v>2.0370639226082468E-2</c:v>
                </c:pt>
                <c:pt idx="155">
                  <c:v>1.9677877148338196E-2</c:v>
                </c:pt>
                <c:pt idx="156">
                  <c:v>1.9266788255982586E-2</c:v>
                </c:pt>
                <c:pt idx="157">
                  <c:v>1.9450250880585895E-2</c:v>
                </c:pt>
                <c:pt idx="158">
                  <c:v>1.7381258989641119E-2</c:v>
                </c:pt>
                <c:pt idx="159">
                  <c:v>1.418165344485837E-2</c:v>
                </c:pt>
                <c:pt idx="160">
                  <c:v>1.2555934237056204E-2</c:v>
                </c:pt>
                <c:pt idx="161">
                  <c:v>1.2414071451542731E-2</c:v>
                </c:pt>
                <c:pt idx="162">
                  <c:v>1.2385946925632814E-2</c:v>
                </c:pt>
                <c:pt idx="163">
                  <c:v>1.2673164416245242E-2</c:v>
                </c:pt>
                <c:pt idx="164">
                  <c:v>1.4315929319028904E-2</c:v>
                </c:pt>
                <c:pt idx="165">
                  <c:v>1.3651786685877279E-2</c:v>
                </c:pt>
                <c:pt idx="166">
                  <c:v>1.3614279831536855E-2</c:v>
                </c:pt>
                <c:pt idx="167">
                  <c:v>1.5773829948265778E-2</c:v>
                </c:pt>
                <c:pt idx="168">
                  <c:v>1.4950162784914478E-2</c:v>
                </c:pt>
                <c:pt idx="169">
                  <c:v>1.5857859579257314E-2</c:v>
                </c:pt>
                <c:pt idx="170">
                  <c:v>1.7506625993870744E-2</c:v>
                </c:pt>
                <c:pt idx="171">
                  <c:v>1.9107131003129763E-2</c:v>
                </c:pt>
                <c:pt idx="172">
                  <c:v>1.9580812481372278E-2</c:v>
                </c:pt>
                <c:pt idx="173">
                  <c:v>2.0004475771526458E-2</c:v>
                </c:pt>
                <c:pt idx="174">
                  <c:v>2.3911531619101836E-2</c:v>
                </c:pt>
                <c:pt idx="175">
                  <c:v>2.3084862083249672E-2</c:v>
                </c:pt>
                <c:pt idx="176">
                  <c:v>2.3834225081828055E-2</c:v>
                </c:pt>
                <c:pt idx="177">
                  <c:v>2.2085795237976543E-2</c:v>
                </c:pt>
                <c:pt idx="178">
                  <c:v>2.0298766494134406E-2</c:v>
                </c:pt>
                <c:pt idx="179">
                  <c:v>2.1871585818465749E-2</c:v>
                </c:pt>
                <c:pt idx="180">
                  <c:v>2.3999952931019919E-2</c:v>
                </c:pt>
                <c:pt idx="181">
                  <c:v>2.268429680315431E-2</c:v>
                </c:pt>
                <c:pt idx="182">
                  <c:v>2.6262115487557913E-2</c:v>
                </c:pt>
                <c:pt idx="183">
                  <c:v>2.1895228915203711E-2</c:v>
                </c:pt>
                <c:pt idx="184">
                  <c:v>2.7611044706214633E-2</c:v>
                </c:pt>
                <c:pt idx="185">
                  <c:v>2.7868036354765525E-2</c:v>
                </c:pt>
                <c:pt idx="186">
                  <c:v>2.7718970735437779E-2</c:v>
                </c:pt>
                <c:pt idx="187">
                  <c:v>2.8117333540189058E-2</c:v>
                </c:pt>
                <c:pt idx="188">
                  <c:v>2.432709245317519E-2</c:v>
                </c:pt>
                <c:pt idx="189">
                  <c:v>2.7139155740873777E-2</c:v>
                </c:pt>
                <c:pt idx="190">
                  <c:v>2.4523679465482617E-2</c:v>
                </c:pt>
                <c:pt idx="191">
                  <c:v>2.7898040875670559E-2</c:v>
                </c:pt>
                <c:pt idx="192">
                  <c:v>2.7410939692659082E-2</c:v>
                </c:pt>
                <c:pt idx="193">
                  <c:v>2.7736604736822087E-2</c:v>
                </c:pt>
                <c:pt idx="194">
                  <c:v>2.6500633036771009E-2</c:v>
                </c:pt>
                <c:pt idx="195">
                  <c:v>2.6360217358285937E-2</c:v>
                </c:pt>
                <c:pt idx="196">
                  <c:v>2.6941908299105477E-2</c:v>
                </c:pt>
                <c:pt idx="197">
                  <c:v>2.9024181373026665E-2</c:v>
                </c:pt>
                <c:pt idx="198">
                  <c:v>2.7072383957003177E-2</c:v>
                </c:pt>
                <c:pt idx="199">
                  <c:v>2.8021959462342386E-2</c:v>
                </c:pt>
                <c:pt idx="200">
                  <c:v>2.0622253562617387E-2</c:v>
                </c:pt>
                <c:pt idx="201">
                  <c:v>2.0556618501242661E-2</c:v>
                </c:pt>
                <c:pt idx="202">
                  <c:v>1.6708517289549404E-2</c:v>
                </c:pt>
                <c:pt idx="203">
                  <c:v>1.3871607723453347E-2</c:v>
                </c:pt>
                <c:pt idx="204">
                  <c:v>1.5399982488055972E-2</c:v>
                </c:pt>
                <c:pt idx="205">
                  <c:v>1.7951010771547874E-2</c:v>
                </c:pt>
                <c:pt idx="206">
                  <c:v>1.7011776448872064E-2</c:v>
                </c:pt>
                <c:pt idx="207">
                  <c:v>1.5765940002959725E-2</c:v>
                </c:pt>
                <c:pt idx="208">
                  <c:v>1.7888489907214828E-2</c:v>
                </c:pt>
                <c:pt idx="209">
                  <c:v>1.634343108285807E-2</c:v>
                </c:pt>
                <c:pt idx="210">
                  <c:v>1.8520542526387924E-2</c:v>
                </c:pt>
                <c:pt idx="211">
                  <c:v>2.0902732247139202E-2</c:v>
                </c:pt>
                <c:pt idx="212">
                  <c:v>2.2923126314202912E-2</c:v>
                </c:pt>
                <c:pt idx="213">
                  <c:v>2.060324070396433E-2</c:v>
                </c:pt>
                <c:pt idx="214">
                  <c:v>2.0592444280423328E-2</c:v>
                </c:pt>
                <c:pt idx="215">
                  <c:v>2.2112930414003088E-2</c:v>
                </c:pt>
                <c:pt idx="216">
                  <c:v>2.6431585898683291E-2</c:v>
                </c:pt>
                <c:pt idx="217">
                  <c:v>2.5652507126326246E-2</c:v>
                </c:pt>
                <c:pt idx="218">
                  <c:v>2.6898699630107343E-2</c:v>
                </c:pt>
                <c:pt idx="219">
                  <c:v>2.836553403467959E-2</c:v>
                </c:pt>
                <c:pt idx="220">
                  <c:v>2.9702450510575167E-2</c:v>
                </c:pt>
                <c:pt idx="221">
                  <c:v>2.7994086277281411E-2</c:v>
                </c:pt>
                <c:pt idx="222">
                  <c:v>2.7163024913197085E-2</c:v>
                </c:pt>
                <c:pt idx="223">
                  <c:v>3.1012736176924155E-2</c:v>
                </c:pt>
                <c:pt idx="224">
                  <c:v>3.5901690697816853E-2</c:v>
                </c:pt>
                <c:pt idx="225">
                  <c:v>3.4141245200630034E-2</c:v>
                </c:pt>
                <c:pt idx="226">
                  <c:v>2.9338219807055647E-2</c:v>
                </c:pt>
                <c:pt idx="227">
                  <c:v>2.801960296622925E-2</c:v>
                </c:pt>
                <c:pt idx="228">
                  <c:v>2.6710885346498431E-2</c:v>
                </c:pt>
                <c:pt idx="229">
                  <c:v>2.1127548557659599E-2</c:v>
                </c:pt>
                <c:pt idx="230">
                  <c:v>1.9931951992678418E-2</c:v>
                </c:pt>
                <c:pt idx="231">
                  <c:v>1.6116548722791946E-2</c:v>
                </c:pt>
                <c:pt idx="232">
                  <c:v>1.2784961884046665E-2</c:v>
                </c:pt>
                <c:pt idx="233">
                  <c:v>1.3703075040202446E-2</c:v>
                </c:pt>
                <c:pt idx="234">
                  <c:v>1.5804470712310312E-2</c:v>
                </c:pt>
                <c:pt idx="235">
                  <c:v>1.7583589696394866E-2</c:v>
                </c:pt>
                <c:pt idx="236">
                  <c:v>2.1437946725772528E-2</c:v>
                </c:pt>
                <c:pt idx="237">
                  <c:v>2.0892478673845392E-2</c:v>
                </c:pt>
                <c:pt idx="238">
                  <c:v>2.2496674199920349E-2</c:v>
                </c:pt>
                <c:pt idx="239">
                  <c:v>2.2045553138300662E-2</c:v>
                </c:pt>
                <c:pt idx="240">
                  <c:v>2.7978491570312236E-2</c:v>
                </c:pt>
                <c:pt idx="241">
                  <c:v>2.4565143965016661E-2</c:v>
                </c:pt>
                <c:pt idx="242">
                  <c:v>2.5269222941790098E-2</c:v>
                </c:pt>
                <c:pt idx="243">
                  <c:v>2.9203661753687594E-2</c:v>
                </c:pt>
                <c:pt idx="244">
                  <c:v>3.0586170674325622E-2</c:v>
                </c:pt>
                <c:pt idx="245">
                  <c:v>2.8524700826137003E-2</c:v>
                </c:pt>
                <c:pt idx="246">
                  <c:v>2.8763884710919837E-2</c:v>
                </c:pt>
                <c:pt idx="247">
                  <c:v>2.9374662850651944E-2</c:v>
                </c:pt>
                <c:pt idx="248">
                  <c:v>3.3381793118724849E-2</c:v>
                </c:pt>
                <c:pt idx="249">
                  <c:v>2.9862476310952304E-2</c:v>
                </c:pt>
                <c:pt idx="250">
                  <c:v>2.9862476310952304E-2</c:v>
                </c:pt>
                <c:pt idx="251">
                  <c:v>2.9862476310952304E-2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AB-49DB-9F05-8C871A888C03}"/>
            </c:ext>
          </c:extLst>
        </c:ser>
        <c:ser>
          <c:idx val="3"/>
          <c:order val="3"/>
          <c:tx>
            <c:strRef>
              <c:f>'BC composite HWI'!$Z$2</c:f>
              <c:strCache>
                <c:ptCount val="1"/>
                <c:pt idx="0">
                  <c:v>2001-2013</c:v>
                </c:pt>
              </c:strCache>
            </c:strRef>
          </c:tx>
          <c:spPr>
            <a:ln w="47625">
              <a:noFill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>
                <a:noFill/>
              </a:ln>
              <a:effectLst/>
            </c:spPr>
          </c:marker>
          <c:xVal>
            <c:numRef>
              <c:f>'BC composite HWI'!$Z$3:$Z$254</c:f>
              <c:numCache>
                <c:formatCode>General</c:formatCode>
                <c:ptCount val="25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4.2308539689381273E-2</c:v>
                </c:pt>
                <c:pt idx="201">
                  <c:v>4.4116981175416299E-2</c:v>
                </c:pt>
                <c:pt idx="202">
                  <c:v>4.819118183536044E-2</c:v>
                </c:pt>
                <c:pt idx="203">
                  <c:v>5.5369531575682425E-2</c:v>
                </c:pt>
                <c:pt idx="204">
                  <c:v>5.7043804125865773E-2</c:v>
                </c:pt>
                <c:pt idx="205">
                  <c:v>5.8441518378437779E-2</c:v>
                </c:pt>
                <c:pt idx="206">
                  <c:v>5.7297947970107364E-2</c:v>
                </c:pt>
                <c:pt idx="207">
                  <c:v>5.8488989877289406E-2</c:v>
                </c:pt>
                <c:pt idx="208">
                  <c:v>5.8727135704808198E-2</c:v>
                </c:pt>
                <c:pt idx="209">
                  <c:v>6.1505201232700445E-2</c:v>
                </c:pt>
                <c:pt idx="210">
                  <c:v>6.1047638953544314E-2</c:v>
                </c:pt>
                <c:pt idx="211">
                  <c:v>5.8179736193044729E-2</c:v>
                </c:pt>
                <c:pt idx="212">
                  <c:v>5.6817327212168534E-2</c:v>
                </c:pt>
                <c:pt idx="213">
                  <c:v>5.5888588671877661E-2</c:v>
                </c:pt>
                <c:pt idx="214">
                  <c:v>5.433565778484143E-2</c:v>
                </c:pt>
                <c:pt idx="215">
                  <c:v>5.3888414073925119E-2</c:v>
                </c:pt>
                <c:pt idx="216">
                  <c:v>5.2836734825335831E-2</c:v>
                </c:pt>
                <c:pt idx="217">
                  <c:v>5.1063611769703199E-2</c:v>
                </c:pt>
                <c:pt idx="218">
                  <c:v>4.9656233811252781E-2</c:v>
                </c:pt>
                <c:pt idx="219">
                  <c:v>4.9540483610839202E-2</c:v>
                </c:pt>
                <c:pt idx="220">
                  <c:v>4.7202763953106075E-2</c:v>
                </c:pt>
                <c:pt idx="221">
                  <c:v>4.6549785693897082E-2</c:v>
                </c:pt>
                <c:pt idx="222">
                  <c:v>4.6427768338602293E-2</c:v>
                </c:pt>
                <c:pt idx="223">
                  <c:v>4.453612082638455E-2</c:v>
                </c:pt>
                <c:pt idx="224">
                  <c:v>4.5241472154514774E-2</c:v>
                </c:pt>
                <c:pt idx="225">
                  <c:v>4.4952384965042079E-2</c:v>
                </c:pt>
                <c:pt idx="226">
                  <c:v>4.6570242960462443E-2</c:v>
                </c:pt>
                <c:pt idx="227">
                  <c:v>4.7992287474356188E-2</c:v>
                </c:pt>
                <c:pt idx="228">
                  <c:v>4.9832172810359232E-2</c:v>
                </c:pt>
                <c:pt idx="229">
                  <c:v>5.3213408334431313E-2</c:v>
                </c:pt>
                <c:pt idx="230">
                  <c:v>6.0103319389037922E-2</c:v>
                </c:pt>
                <c:pt idx="231">
                  <c:v>6.8722242537079495E-2</c:v>
                </c:pt>
                <c:pt idx="232">
                  <c:v>8.29147624416154E-2</c:v>
                </c:pt>
                <c:pt idx="233">
                  <c:v>9.2734099947234264E-2</c:v>
                </c:pt>
                <c:pt idx="234">
                  <c:v>9.6044355183087918E-2</c:v>
                </c:pt>
                <c:pt idx="235">
                  <c:v>9.9172149866182766E-2</c:v>
                </c:pt>
                <c:pt idx="236">
                  <c:v>9.8208896640545176E-2</c:v>
                </c:pt>
                <c:pt idx="237">
                  <c:v>9.6493242940541957E-2</c:v>
                </c:pt>
                <c:pt idx="238">
                  <c:v>9.4838358720919905E-2</c:v>
                </c:pt>
                <c:pt idx="239">
                  <c:v>9.5414185581296981E-2</c:v>
                </c:pt>
                <c:pt idx="240">
                  <c:v>9.0255961025534404E-2</c:v>
                </c:pt>
                <c:pt idx="241">
                  <c:v>9.0588965067584612E-2</c:v>
                </c:pt>
                <c:pt idx="242">
                  <c:v>9.0139661798912141E-2</c:v>
                </c:pt>
                <c:pt idx="243">
                  <c:v>8.6721799590019952E-2</c:v>
                </c:pt>
                <c:pt idx="244">
                  <c:v>8.2433736872039767E-2</c:v>
                </c:pt>
                <c:pt idx="245">
                  <c:v>8.1605294052441171E-2</c:v>
                </c:pt>
                <c:pt idx="246">
                  <c:v>8.0289336618338772E-2</c:v>
                </c:pt>
                <c:pt idx="247">
                  <c:v>7.8249059903687537E-2</c:v>
                </c:pt>
                <c:pt idx="248">
                  <c:v>7.7444141746910902E-2</c:v>
                </c:pt>
                <c:pt idx="249">
                  <c:v>7.5409267283785414E-2</c:v>
                </c:pt>
                <c:pt idx="250">
                  <c:v>7.5409267283785414E-2</c:v>
                </c:pt>
                <c:pt idx="251">
                  <c:v>7.5409267283785414E-2</c:v>
                </c:pt>
              </c:numCache>
            </c:numRef>
          </c:xVal>
          <c:yVal>
            <c:numRef>
              <c:f>'BC composite HWI'!$AB$3:$AB$254</c:f>
              <c:numCache>
                <c:formatCode>General</c:formatCode>
                <c:ptCount val="252"/>
                <c:pt idx="0">
                  <c:v>2.7757943711267639E-2</c:v>
                </c:pt>
                <c:pt idx="1">
                  <c:v>2.9438126313708804E-2</c:v>
                </c:pt>
                <c:pt idx="2">
                  <c:v>2.4118598309368366E-2</c:v>
                </c:pt>
                <c:pt idx="3">
                  <c:v>3.0430366480344861E-2</c:v>
                </c:pt>
                <c:pt idx="4">
                  <c:v>2.6914644170211759E-2</c:v>
                </c:pt>
                <c:pt idx="5">
                  <c:v>2.6343268982049629E-2</c:v>
                </c:pt>
                <c:pt idx="6">
                  <c:v>3.0512836104650453E-2</c:v>
                </c:pt>
                <c:pt idx="7">
                  <c:v>4.0671982684993745E-2</c:v>
                </c:pt>
                <c:pt idx="8">
                  <c:v>3.4287841378995383E-2</c:v>
                </c:pt>
                <c:pt idx="9">
                  <c:v>4.2981879296292623E-2</c:v>
                </c:pt>
                <c:pt idx="10">
                  <c:v>2.7229732423367986E-2</c:v>
                </c:pt>
                <c:pt idx="11">
                  <c:v>1.48667850961709E-2</c:v>
                </c:pt>
                <c:pt idx="12">
                  <c:v>1.0928975405395525E-2</c:v>
                </c:pt>
                <c:pt idx="13">
                  <c:v>1.1842848753196326E-2</c:v>
                </c:pt>
                <c:pt idx="14">
                  <c:v>1.2478306991407733E-2</c:v>
                </c:pt>
                <c:pt idx="15">
                  <c:v>1.551121934765849E-2</c:v>
                </c:pt>
                <c:pt idx="16">
                  <c:v>2.4728223715053382E-2</c:v>
                </c:pt>
                <c:pt idx="17">
                  <c:v>2.3479383875423851E-2</c:v>
                </c:pt>
                <c:pt idx="18">
                  <c:v>2.3190570073124656E-2</c:v>
                </c:pt>
                <c:pt idx="19">
                  <c:v>2.6994813176938137E-2</c:v>
                </c:pt>
                <c:pt idx="20">
                  <c:v>2.6077588403395625E-2</c:v>
                </c:pt>
                <c:pt idx="21">
                  <c:v>2.3206032806995517E-2</c:v>
                </c:pt>
                <c:pt idx="22">
                  <c:v>2.5224138300152205E-2</c:v>
                </c:pt>
                <c:pt idx="23">
                  <c:v>2.4857796804973627E-2</c:v>
                </c:pt>
                <c:pt idx="24">
                  <c:v>2.930959369325499E-2</c:v>
                </c:pt>
                <c:pt idx="25">
                  <c:v>2.3660997927707234E-2</c:v>
                </c:pt>
                <c:pt idx="26">
                  <c:v>2.1826723486769849E-2</c:v>
                </c:pt>
                <c:pt idx="27">
                  <c:v>1.5480040532897E-2</c:v>
                </c:pt>
                <c:pt idx="28">
                  <c:v>9.9534647639003288E-3</c:v>
                </c:pt>
                <c:pt idx="29">
                  <c:v>1.0105031010097527E-2</c:v>
                </c:pt>
                <c:pt idx="30">
                  <c:v>1.3103634917862907E-2</c:v>
                </c:pt>
                <c:pt idx="31">
                  <c:v>1.539025293337897E-2</c:v>
                </c:pt>
                <c:pt idx="32">
                  <c:v>1.9299012930071014E-2</c:v>
                </c:pt>
                <c:pt idx="33">
                  <c:v>2.0862104775637182E-2</c:v>
                </c:pt>
                <c:pt idx="34">
                  <c:v>1.9668800706022862E-2</c:v>
                </c:pt>
                <c:pt idx="35">
                  <c:v>1.7342415079921632E-2</c:v>
                </c:pt>
                <c:pt idx="36">
                  <c:v>1.9955967335625505E-2</c:v>
                </c:pt>
                <c:pt idx="37">
                  <c:v>1.6057037121699525E-2</c:v>
                </c:pt>
                <c:pt idx="38">
                  <c:v>1.5734750873070791E-2</c:v>
                </c:pt>
                <c:pt idx="39">
                  <c:v>1.198186942114981E-2</c:v>
                </c:pt>
                <c:pt idx="40">
                  <c:v>1.2061093700472635E-2</c:v>
                </c:pt>
                <c:pt idx="41">
                  <c:v>1.3843178333213491E-2</c:v>
                </c:pt>
                <c:pt idx="42">
                  <c:v>1.4306407467210347E-2</c:v>
                </c:pt>
                <c:pt idx="43">
                  <c:v>1.723608135989926E-2</c:v>
                </c:pt>
                <c:pt idx="44">
                  <c:v>2.0154103835497882E-2</c:v>
                </c:pt>
                <c:pt idx="45">
                  <c:v>2.1346078384288213E-2</c:v>
                </c:pt>
                <c:pt idx="46">
                  <c:v>1.7342999639276369E-2</c:v>
                </c:pt>
                <c:pt idx="47">
                  <c:v>1.576516468295255E-2</c:v>
                </c:pt>
                <c:pt idx="48">
                  <c:v>1.6410573435023477E-2</c:v>
                </c:pt>
                <c:pt idx="49">
                  <c:v>1.6138320847256412E-2</c:v>
                </c:pt>
                <c:pt idx="50">
                  <c:v>1.7498283701110451E-2</c:v>
                </c:pt>
                <c:pt idx="51">
                  <c:v>1.5635729261500465E-2</c:v>
                </c:pt>
                <c:pt idx="52">
                  <c:v>1.7134753434687979E-2</c:v>
                </c:pt>
                <c:pt idx="53">
                  <c:v>2.1582714111159196E-2</c:v>
                </c:pt>
                <c:pt idx="54">
                  <c:v>1.9977649178378326E-2</c:v>
                </c:pt>
                <c:pt idx="55">
                  <c:v>2.2964737783284783E-2</c:v>
                </c:pt>
                <c:pt idx="56">
                  <c:v>2.0982169760222043E-2</c:v>
                </c:pt>
                <c:pt idx="57">
                  <c:v>2.3686296409769964E-2</c:v>
                </c:pt>
                <c:pt idx="58">
                  <c:v>2.7524268771047213E-2</c:v>
                </c:pt>
                <c:pt idx="59">
                  <c:v>3.5568694286590215E-2</c:v>
                </c:pt>
                <c:pt idx="60">
                  <c:v>3.3988228839022611E-2</c:v>
                </c:pt>
                <c:pt idx="61">
                  <c:v>2.9261191437659918E-2</c:v>
                </c:pt>
                <c:pt idx="62">
                  <c:v>3.2299290473020555E-2</c:v>
                </c:pt>
                <c:pt idx="63">
                  <c:v>3.3999066883534566E-2</c:v>
                </c:pt>
                <c:pt idx="64">
                  <c:v>3.1937358800441094E-2</c:v>
                </c:pt>
                <c:pt idx="65">
                  <c:v>2.8779320672855883E-2</c:v>
                </c:pt>
                <c:pt idx="66">
                  <c:v>2.8677949455590861E-2</c:v>
                </c:pt>
                <c:pt idx="67">
                  <c:v>3.299232603969831E-2</c:v>
                </c:pt>
                <c:pt idx="68">
                  <c:v>3.1624707898354469E-2</c:v>
                </c:pt>
                <c:pt idx="69">
                  <c:v>3.0149906254978459E-2</c:v>
                </c:pt>
                <c:pt idx="70">
                  <c:v>3.4667673337516629E-2</c:v>
                </c:pt>
                <c:pt idx="71">
                  <c:v>3.7822213780503662E-2</c:v>
                </c:pt>
                <c:pt idx="72">
                  <c:v>4.0938809914474981E-2</c:v>
                </c:pt>
                <c:pt idx="73">
                  <c:v>3.3534383900580007E-2</c:v>
                </c:pt>
                <c:pt idx="74">
                  <c:v>3.2905755931518677E-2</c:v>
                </c:pt>
                <c:pt idx="75">
                  <c:v>3.6599367187461089E-2</c:v>
                </c:pt>
                <c:pt idx="76">
                  <c:v>2.274457570064101E-2</c:v>
                </c:pt>
                <c:pt idx="77">
                  <c:v>1.9101304433557165E-2</c:v>
                </c:pt>
                <c:pt idx="78">
                  <c:v>1.5571801905849529E-2</c:v>
                </c:pt>
                <c:pt idx="79">
                  <c:v>1.4470071164377237E-2</c:v>
                </c:pt>
                <c:pt idx="80">
                  <c:v>1.6660671741652748E-2</c:v>
                </c:pt>
                <c:pt idx="81">
                  <c:v>1.6805136135287294E-2</c:v>
                </c:pt>
                <c:pt idx="82">
                  <c:v>1.5611992108898354E-2</c:v>
                </c:pt>
                <c:pt idx="83">
                  <c:v>1.5860593408493176E-2</c:v>
                </c:pt>
                <c:pt idx="84">
                  <c:v>1.924622675955057E-2</c:v>
                </c:pt>
                <c:pt idx="85">
                  <c:v>1.9560141640732446E-2</c:v>
                </c:pt>
                <c:pt idx="86">
                  <c:v>1.8787408863835398E-2</c:v>
                </c:pt>
                <c:pt idx="87">
                  <c:v>2.6522825584517868E-2</c:v>
                </c:pt>
                <c:pt idx="88">
                  <c:v>2.4980296025250277E-2</c:v>
                </c:pt>
                <c:pt idx="89">
                  <c:v>2.2532948154348389E-2</c:v>
                </c:pt>
                <c:pt idx="90">
                  <c:v>2.5285962833594123E-2</c:v>
                </c:pt>
                <c:pt idx="91">
                  <c:v>2.260022675791705E-2</c:v>
                </c:pt>
                <c:pt idx="92">
                  <c:v>2.0173862937831528E-2</c:v>
                </c:pt>
                <c:pt idx="93">
                  <c:v>1.9322390135567021E-2</c:v>
                </c:pt>
                <c:pt idx="94">
                  <c:v>1.5472082929749014E-2</c:v>
                </c:pt>
                <c:pt idx="95">
                  <c:v>1.025265368900284E-2</c:v>
                </c:pt>
                <c:pt idx="96">
                  <c:v>9.9757169999522815E-3</c:v>
                </c:pt>
                <c:pt idx="97">
                  <c:v>1.0582775418280651E-2</c:v>
                </c:pt>
                <c:pt idx="98">
                  <c:v>1.1559678516329738E-2</c:v>
                </c:pt>
                <c:pt idx="99">
                  <c:v>1.3476131101515271E-2</c:v>
                </c:pt>
                <c:pt idx="100">
                  <c:v>1.3917087253570741E-2</c:v>
                </c:pt>
                <c:pt idx="101">
                  <c:v>1.3899615101532405E-2</c:v>
                </c:pt>
                <c:pt idx="102">
                  <c:v>1.3235297200554066E-2</c:v>
                </c:pt>
                <c:pt idx="103">
                  <c:v>1.423398143526663E-2</c:v>
                </c:pt>
                <c:pt idx="104">
                  <c:v>1.3513853157929169E-2</c:v>
                </c:pt>
                <c:pt idx="105">
                  <c:v>1.5688501163003677E-2</c:v>
                </c:pt>
                <c:pt idx="106">
                  <c:v>1.6982197956067282E-2</c:v>
                </c:pt>
                <c:pt idx="107">
                  <c:v>1.9309622090161942E-2</c:v>
                </c:pt>
                <c:pt idx="108">
                  <c:v>2.0451607316349509E-2</c:v>
                </c:pt>
                <c:pt idx="109">
                  <c:v>2.029371129852341E-2</c:v>
                </c:pt>
                <c:pt idx="110">
                  <c:v>2.0789699813285153E-2</c:v>
                </c:pt>
                <c:pt idx="111">
                  <c:v>2.2272601709265094E-2</c:v>
                </c:pt>
                <c:pt idx="112">
                  <c:v>2.1684435107217136E-2</c:v>
                </c:pt>
                <c:pt idx="113">
                  <c:v>2.2114693054807691E-2</c:v>
                </c:pt>
                <c:pt idx="114">
                  <c:v>1.9250400442208989E-2</c:v>
                </c:pt>
                <c:pt idx="115">
                  <c:v>1.9614020151791273E-2</c:v>
                </c:pt>
                <c:pt idx="116">
                  <c:v>1.7682616262415057E-2</c:v>
                </c:pt>
                <c:pt idx="117">
                  <c:v>1.2363748974944374E-2</c:v>
                </c:pt>
                <c:pt idx="118">
                  <c:v>1.4669530475481201E-2</c:v>
                </c:pt>
                <c:pt idx="119">
                  <c:v>1.6311732783334379E-2</c:v>
                </c:pt>
                <c:pt idx="120">
                  <c:v>1.5077585131170067E-2</c:v>
                </c:pt>
                <c:pt idx="121">
                  <c:v>1.4276463733224784E-2</c:v>
                </c:pt>
                <c:pt idx="122">
                  <c:v>1.309726685835068E-2</c:v>
                </c:pt>
                <c:pt idx="123">
                  <c:v>9.1215738870932365E-3</c:v>
                </c:pt>
                <c:pt idx="124">
                  <c:v>8.8417820221900322E-3</c:v>
                </c:pt>
                <c:pt idx="125">
                  <c:v>8.6604210058576839E-3</c:v>
                </c:pt>
                <c:pt idx="126">
                  <c:v>7.2298950498919179E-3</c:v>
                </c:pt>
                <c:pt idx="127">
                  <c:v>7.3122346193308053E-3</c:v>
                </c:pt>
                <c:pt idx="128">
                  <c:v>9.0018422905496828E-3</c:v>
                </c:pt>
                <c:pt idx="129">
                  <c:v>9.9699418201170901E-3</c:v>
                </c:pt>
                <c:pt idx="130">
                  <c:v>1.0589215937183495E-2</c:v>
                </c:pt>
                <c:pt idx="131">
                  <c:v>1.376976084110996E-2</c:v>
                </c:pt>
                <c:pt idx="132">
                  <c:v>1.5338457521058493E-2</c:v>
                </c:pt>
                <c:pt idx="133">
                  <c:v>1.7294444766831465E-2</c:v>
                </c:pt>
                <c:pt idx="134">
                  <c:v>1.5626207624753804E-2</c:v>
                </c:pt>
                <c:pt idx="135">
                  <c:v>1.5601431113618012E-2</c:v>
                </c:pt>
                <c:pt idx="136">
                  <c:v>1.5567125775694199E-2</c:v>
                </c:pt>
                <c:pt idx="137">
                  <c:v>1.5560823100395832E-2</c:v>
                </c:pt>
                <c:pt idx="138">
                  <c:v>1.627283141796346E-2</c:v>
                </c:pt>
                <c:pt idx="139">
                  <c:v>1.6613963642336169E-2</c:v>
                </c:pt>
                <c:pt idx="140">
                  <c:v>1.5766309498989165E-2</c:v>
                </c:pt>
                <c:pt idx="141">
                  <c:v>1.6040833654568803E-2</c:v>
                </c:pt>
                <c:pt idx="142">
                  <c:v>1.7207426014155213E-2</c:v>
                </c:pt>
                <c:pt idx="143">
                  <c:v>1.8237052582766866E-2</c:v>
                </c:pt>
                <c:pt idx="144">
                  <c:v>1.9088401547792039E-2</c:v>
                </c:pt>
                <c:pt idx="145">
                  <c:v>2.0399920713910669E-2</c:v>
                </c:pt>
                <c:pt idx="146">
                  <c:v>2.1312203146016759E-2</c:v>
                </c:pt>
                <c:pt idx="147">
                  <c:v>2.2444973751255082E-2</c:v>
                </c:pt>
                <c:pt idx="148">
                  <c:v>2.3412367254903869E-2</c:v>
                </c:pt>
                <c:pt idx="149">
                  <c:v>2.3681608588775705E-2</c:v>
                </c:pt>
                <c:pt idx="150">
                  <c:v>2.2128905478376596E-2</c:v>
                </c:pt>
                <c:pt idx="151">
                  <c:v>2.3854638022498861E-2</c:v>
                </c:pt>
                <c:pt idx="152">
                  <c:v>2.1872295494103067E-2</c:v>
                </c:pt>
                <c:pt idx="153">
                  <c:v>2.0787633709173619E-2</c:v>
                </c:pt>
                <c:pt idx="154">
                  <c:v>2.0370639226082468E-2</c:v>
                </c:pt>
                <c:pt idx="155">
                  <c:v>1.9677877148338196E-2</c:v>
                </c:pt>
                <c:pt idx="156">
                  <c:v>1.9266788255982586E-2</c:v>
                </c:pt>
                <c:pt idx="157">
                  <c:v>1.9450250880585895E-2</c:v>
                </c:pt>
                <c:pt idx="158">
                  <c:v>1.7381258989641119E-2</c:v>
                </c:pt>
                <c:pt idx="159">
                  <c:v>1.418165344485837E-2</c:v>
                </c:pt>
                <c:pt idx="160">
                  <c:v>1.2555934237056204E-2</c:v>
                </c:pt>
                <c:pt idx="161">
                  <c:v>1.2414071451542731E-2</c:v>
                </c:pt>
                <c:pt idx="162">
                  <c:v>1.2385946925632814E-2</c:v>
                </c:pt>
                <c:pt idx="163">
                  <c:v>1.2673164416245242E-2</c:v>
                </c:pt>
                <c:pt idx="164">
                  <c:v>1.4315929319028904E-2</c:v>
                </c:pt>
                <c:pt idx="165">
                  <c:v>1.3651786685877279E-2</c:v>
                </c:pt>
                <c:pt idx="166">
                  <c:v>1.3614279831536855E-2</c:v>
                </c:pt>
                <c:pt idx="167">
                  <c:v>1.5773829948265778E-2</c:v>
                </c:pt>
                <c:pt idx="168">
                  <c:v>1.4950162784914478E-2</c:v>
                </c:pt>
                <c:pt idx="169">
                  <c:v>1.5857859579257314E-2</c:v>
                </c:pt>
                <c:pt idx="170">
                  <c:v>1.7506625993870744E-2</c:v>
                </c:pt>
                <c:pt idx="171">
                  <c:v>1.9107131003129763E-2</c:v>
                </c:pt>
                <c:pt idx="172">
                  <c:v>1.9580812481372278E-2</c:v>
                </c:pt>
                <c:pt idx="173">
                  <c:v>2.0004475771526458E-2</c:v>
                </c:pt>
                <c:pt idx="174">
                  <c:v>2.3911531619101836E-2</c:v>
                </c:pt>
                <c:pt idx="175">
                  <c:v>2.3084862083249672E-2</c:v>
                </c:pt>
                <c:pt idx="176">
                  <c:v>2.3834225081828055E-2</c:v>
                </c:pt>
                <c:pt idx="177">
                  <c:v>2.2085795237976543E-2</c:v>
                </c:pt>
                <c:pt idx="178">
                  <c:v>2.0298766494134406E-2</c:v>
                </c:pt>
                <c:pt idx="179">
                  <c:v>2.1871585818465749E-2</c:v>
                </c:pt>
                <c:pt idx="180">
                  <c:v>2.3999952931019919E-2</c:v>
                </c:pt>
                <c:pt idx="181">
                  <c:v>2.268429680315431E-2</c:v>
                </c:pt>
                <c:pt idx="182">
                  <c:v>2.6262115487557913E-2</c:v>
                </c:pt>
                <c:pt idx="183">
                  <c:v>2.1895228915203711E-2</c:v>
                </c:pt>
                <c:pt idx="184">
                  <c:v>2.7611044706214633E-2</c:v>
                </c:pt>
                <c:pt idx="185">
                  <c:v>2.7868036354765525E-2</c:v>
                </c:pt>
                <c:pt idx="186">
                  <c:v>2.7718970735437779E-2</c:v>
                </c:pt>
                <c:pt idx="187">
                  <c:v>2.8117333540189058E-2</c:v>
                </c:pt>
                <c:pt idx="188">
                  <c:v>2.432709245317519E-2</c:v>
                </c:pt>
                <c:pt idx="189">
                  <c:v>2.7139155740873777E-2</c:v>
                </c:pt>
                <c:pt idx="190">
                  <c:v>2.4523679465482617E-2</c:v>
                </c:pt>
                <c:pt idx="191">
                  <c:v>2.7898040875670559E-2</c:v>
                </c:pt>
                <c:pt idx="192">
                  <c:v>2.7410939692659082E-2</c:v>
                </c:pt>
                <c:pt idx="193">
                  <c:v>2.7736604736822087E-2</c:v>
                </c:pt>
                <c:pt idx="194">
                  <c:v>2.6500633036771009E-2</c:v>
                </c:pt>
                <c:pt idx="195">
                  <c:v>2.6360217358285937E-2</c:v>
                </c:pt>
                <c:pt idx="196">
                  <c:v>2.6941908299105477E-2</c:v>
                </c:pt>
                <c:pt idx="197">
                  <c:v>2.9024181373026665E-2</c:v>
                </c:pt>
                <c:pt idx="198">
                  <c:v>2.7072383957003177E-2</c:v>
                </c:pt>
                <c:pt idx="199">
                  <c:v>2.8021959462342386E-2</c:v>
                </c:pt>
                <c:pt idx="200">
                  <c:v>2.0622253562617387E-2</c:v>
                </c:pt>
                <c:pt idx="201">
                  <c:v>2.0556618501242661E-2</c:v>
                </c:pt>
                <c:pt idx="202">
                  <c:v>1.6708517289549404E-2</c:v>
                </c:pt>
                <c:pt idx="203">
                  <c:v>1.3871607723453347E-2</c:v>
                </c:pt>
                <c:pt idx="204">
                  <c:v>1.5399982488055972E-2</c:v>
                </c:pt>
                <c:pt idx="205">
                  <c:v>1.7951010771547874E-2</c:v>
                </c:pt>
                <c:pt idx="206">
                  <c:v>1.7011776448872064E-2</c:v>
                </c:pt>
                <c:pt idx="207">
                  <c:v>1.5765940002959725E-2</c:v>
                </c:pt>
                <c:pt idx="208">
                  <c:v>1.7888489907214828E-2</c:v>
                </c:pt>
                <c:pt idx="209">
                  <c:v>1.634343108285807E-2</c:v>
                </c:pt>
                <c:pt idx="210">
                  <c:v>1.8520542526387924E-2</c:v>
                </c:pt>
                <c:pt idx="211">
                  <c:v>2.0902732247139202E-2</c:v>
                </c:pt>
                <c:pt idx="212">
                  <c:v>2.2923126314202912E-2</c:v>
                </c:pt>
                <c:pt idx="213">
                  <c:v>2.060324070396433E-2</c:v>
                </c:pt>
                <c:pt idx="214">
                  <c:v>2.0592444280423328E-2</c:v>
                </c:pt>
                <c:pt idx="215">
                  <c:v>2.2112930414003088E-2</c:v>
                </c:pt>
                <c:pt idx="216">
                  <c:v>2.6431585898683291E-2</c:v>
                </c:pt>
                <c:pt idx="217">
                  <c:v>2.5652507126326246E-2</c:v>
                </c:pt>
                <c:pt idx="218">
                  <c:v>2.6898699630107343E-2</c:v>
                </c:pt>
                <c:pt idx="219">
                  <c:v>2.836553403467959E-2</c:v>
                </c:pt>
                <c:pt idx="220">
                  <c:v>2.9702450510575167E-2</c:v>
                </c:pt>
                <c:pt idx="221">
                  <c:v>2.7994086277281411E-2</c:v>
                </c:pt>
                <c:pt idx="222">
                  <c:v>2.7163024913197085E-2</c:v>
                </c:pt>
                <c:pt idx="223">
                  <c:v>3.1012736176924155E-2</c:v>
                </c:pt>
                <c:pt idx="224">
                  <c:v>3.5901690697816853E-2</c:v>
                </c:pt>
                <c:pt idx="225">
                  <c:v>3.4141245200630034E-2</c:v>
                </c:pt>
                <c:pt idx="226">
                  <c:v>2.9338219807055647E-2</c:v>
                </c:pt>
                <c:pt idx="227">
                  <c:v>2.801960296622925E-2</c:v>
                </c:pt>
                <c:pt idx="228">
                  <c:v>2.6710885346498431E-2</c:v>
                </c:pt>
                <c:pt idx="229">
                  <c:v>2.1127548557659599E-2</c:v>
                </c:pt>
                <c:pt idx="230">
                  <c:v>1.9931951992678418E-2</c:v>
                </c:pt>
                <c:pt idx="231">
                  <c:v>1.6116548722791946E-2</c:v>
                </c:pt>
                <c:pt idx="232">
                  <c:v>1.2784961884046665E-2</c:v>
                </c:pt>
                <c:pt idx="233">
                  <c:v>1.3703075040202446E-2</c:v>
                </c:pt>
                <c:pt idx="234">
                  <c:v>1.5804470712310312E-2</c:v>
                </c:pt>
                <c:pt idx="235">
                  <c:v>1.7583589696394866E-2</c:v>
                </c:pt>
                <c:pt idx="236">
                  <c:v>2.1437946725772528E-2</c:v>
                </c:pt>
                <c:pt idx="237">
                  <c:v>2.0892478673845392E-2</c:v>
                </c:pt>
                <c:pt idx="238">
                  <c:v>2.2496674199920349E-2</c:v>
                </c:pt>
                <c:pt idx="239">
                  <c:v>2.2045553138300662E-2</c:v>
                </c:pt>
                <c:pt idx="240">
                  <c:v>2.7978491570312236E-2</c:v>
                </c:pt>
                <c:pt idx="241">
                  <c:v>2.4565143965016661E-2</c:v>
                </c:pt>
                <c:pt idx="242">
                  <c:v>2.5269222941790098E-2</c:v>
                </c:pt>
                <c:pt idx="243">
                  <c:v>2.9203661753687594E-2</c:v>
                </c:pt>
                <c:pt idx="244">
                  <c:v>3.0586170674325622E-2</c:v>
                </c:pt>
                <c:pt idx="245">
                  <c:v>2.8524700826137003E-2</c:v>
                </c:pt>
                <c:pt idx="246">
                  <c:v>2.8763884710919837E-2</c:v>
                </c:pt>
                <c:pt idx="247">
                  <c:v>2.9374662850651944E-2</c:v>
                </c:pt>
                <c:pt idx="248">
                  <c:v>3.3381793118724849E-2</c:v>
                </c:pt>
                <c:pt idx="249">
                  <c:v>2.9862476310952304E-2</c:v>
                </c:pt>
                <c:pt idx="250">
                  <c:v>2.9862476310952304E-2</c:v>
                </c:pt>
                <c:pt idx="251">
                  <c:v>2.9862476310952304E-2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AB-49DB-9F05-8C871A888C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44896"/>
        <c:axId val="44147072"/>
      </c:scatterChart>
      <c:valAx>
        <c:axId val="44144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147072"/>
        <c:crosses val="min"/>
        <c:crossBetween val="midCat"/>
      </c:valAx>
      <c:valAx>
        <c:axId val="44147072"/>
        <c:scaling>
          <c:orientation val="minMax"/>
          <c:max val="0.06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144896"/>
        <c:crosses val="autoZero"/>
        <c:crossBetween val="midCat"/>
      </c:valAx>
      <c:valAx>
        <c:axId val="44148608"/>
        <c:scaling>
          <c:orientation val="minMax"/>
          <c:max val="0.06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150144"/>
        <c:crosses val="max"/>
        <c:crossBetween val="between"/>
        <c:majorUnit val="0.01"/>
        <c:minorUnit val="2E-3"/>
      </c:valAx>
      <c:catAx>
        <c:axId val="44150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4148608"/>
        <c:crosses val="min"/>
        <c:auto val="1"/>
        <c:lblAlgn val="ctr"/>
        <c:lblOffset val="100"/>
        <c:noMultiLvlLbl val="0"/>
      </c:catAx>
      <c:spPr>
        <a:noFill/>
        <a:ln w="22225">
          <a:solidFill>
            <a:srgbClr val="000000"/>
          </a:solidFill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1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>
    <tabColor theme="9" tint="0.39994506668294322"/>
  </sheetPr>
  <sheetViews>
    <sheetView zoomScale="120" workbookViewId="0" zoomToFit="1"/>
  </sheetViews>
  <pageMargins left="1.9362500000000002" right="1.9362500000000002" top="0.8712500000000003" bottom="0.8712500000000003" header="0.3" footer="0.3"/>
  <pageSetup orientation="landscape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>
    <tabColor theme="9" tint="0.39994506668294322"/>
  </sheetPr>
  <sheetViews>
    <sheetView zoomScale="120" workbookViewId="0" zoomToFit="1"/>
  </sheetViews>
  <pageMargins left="1.9362500000000002" right="1.9362500000000002" top="0.86125000000000007" bottom="0.86125000000000007" header="0.3" footer="0.3"/>
  <pageSetup orientation="landscape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>
    <tabColor theme="9" tint="0.39994506668294322"/>
  </sheetPr>
  <sheetViews>
    <sheetView zoomScale="129" workbookViewId="0" zoomToFit="1"/>
  </sheetViews>
  <pageMargins left="1.9362500000000002" right="1.9362500000000002" top="0.8712500000000003" bottom="0.8712500000000003" header="0.3" footer="0.3"/>
  <pageSetup orientation="landscape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>
    <tabColor theme="9" tint="0.39994506668294322"/>
  </sheetPr>
  <sheetViews>
    <sheetView zoomScale="120" workbookViewId="0" zoomToFit="1"/>
  </sheetViews>
  <pageMargins left="1.9362500000000002" right="1.9362500000000002" top="0.86125000000000007" bottom="0.86125000000000007" header="0.3" footer="0.3"/>
  <pageSetup orientation="landscape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>
    <tabColor theme="9" tint="0.39994506668294322"/>
  </sheetPr>
  <sheetViews>
    <sheetView zoomScale="136" workbookViewId="0" zoomToFit="1"/>
  </sheetViews>
  <pageMargins left="1.9362500000000002" right="1.9362500000000002" top="0.86125000000000007" bottom="0.86125000000000007" header="0.3" footer="0.3"/>
  <pageSetup orientation="landscape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0</xdr:col>
      <xdr:colOff>482600</xdr:colOff>
      <xdr:row>7</xdr:row>
      <xdr:rowOff>177800</xdr:rowOff>
    </xdr:to>
    <xdr:sp macro="" textlink="">
      <xdr:nvSpPr>
        <xdr:cNvPr id="1025" name="Control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26" name="Control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27" name="Control 3" hidden="1">
          <a:extLst>
            <a:ext uri="{63B3BB69-23CF-44E3-9099-C40C66FF867C}">
              <a14:compatExt xmlns:a14="http://schemas.microsoft.com/office/drawing/2010/main" spid="_x0000_s1027"/>
            </a:ex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28" name="Control 4" hidden="1">
          <a:extLst>
            <a:ext uri="{63B3BB69-23CF-44E3-9099-C40C66FF867C}">
              <a14:compatExt xmlns:a14="http://schemas.microsoft.com/office/drawing/2010/main" spid="_x0000_s1028"/>
            </a:ex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29" name="Control 5" hidden="1">
          <a:extLst>
            <a:ext uri="{63B3BB69-23CF-44E3-9099-C40C66FF867C}">
              <a14:compatExt xmlns:a14="http://schemas.microsoft.com/office/drawing/2010/main" spid="_x0000_s1029"/>
            </a:ex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0" name="Control 6" hidden="1">
          <a:extLst>
            <a:ext uri="{63B3BB69-23CF-44E3-9099-C40C66FF867C}">
              <a14:compatExt xmlns:a14="http://schemas.microsoft.com/office/drawing/2010/main" spid="_x0000_s1030"/>
            </a:ex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1" name="Control 7" hidden="1">
          <a:extLst>
            <a:ext uri="{63B3BB69-23CF-44E3-9099-C40C66FF867C}">
              <a14:compatExt xmlns:a14="http://schemas.microsoft.com/office/drawing/2010/main" spid="_x0000_s1031"/>
            </a:ex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2" name="Control 8" hidden="1">
          <a:extLst>
            <a:ext uri="{63B3BB69-23CF-44E3-9099-C40C66FF867C}">
              <a14:compatExt xmlns:a14="http://schemas.microsoft.com/office/drawing/2010/main" spid="_x0000_s1032"/>
            </a:ex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3" name="Control 9" hidden="1">
          <a:extLst>
            <a:ext uri="{63B3BB69-23CF-44E3-9099-C40C66FF867C}">
              <a14:compatExt xmlns:a14="http://schemas.microsoft.com/office/drawing/2010/main" spid="_x0000_s1033"/>
            </a:ex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4" name="Control 10" hidden="1">
          <a:extLst>
            <a:ext uri="{63B3BB69-23CF-44E3-9099-C40C66FF867C}">
              <a14:compatExt xmlns:a14="http://schemas.microsoft.com/office/drawing/2010/main" spid="_x0000_s1034"/>
            </a:ex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5" name="Control 11" hidden="1">
          <a:extLst>
            <a:ext uri="{63B3BB69-23CF-44E3-9099-C40C66FF867C}">
              <a14:compatExt xmlns:a14="http://schemas.microsoft.com/office/drawing/2010/main" spid="_x0000_s1035"/>
            </a:ex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6" name="Control 12" hidden="1">
          <a:extLst>
            <a:ext uri="{63B3BB69-23CF-44E3-9099-C40C66FF867C}">
              <a14:compatExt xmlns:a14="http://schemas.microsoft.com/office/drawing/2010/main" spid="_x0000_s1036"/>
            </a:ex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7" name="Control 13" hidden="1">
          <a:extLst>
            <a:ext uri="{63B3BB69-23CF-44E3-9099-C40C66FF867C}">
              <a14:compatExt xmlns:a14="http://schemas.microsoft.com/office/drawing/2010/main" spid="_x0000_s1037"/>
            </a:ex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8" name="Control 14" hidden="1">
          <a:extLst>
            <a:ext uri="{63B3BB69-23CF-44E3-9099-C40C66FF867C}">
              <a14:compatExt xmlns:a14="http://schemas.microsoft.com/office/drawing/2010/main" spid="_x0000_s1038"/>
            </a:ex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39" name="Control 15" hidden="1">
          <a:extLst>
            <a:ext uri="{63B3BB69-23CF-44E3-9099-C40C66FF867C}">
              <a14:compatExt xmlns:a14="http://schemas.microsoft.com/office/drawing/2010/main" spid="_x0000_s1039"/>
            </a:ex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304800</xdr:colOff>
      <xdr:row>8</xdr:row>
      <xdr:rowOff>25400</xdr:rowOff>
    </xdr:to>
    <xdr:sp macro="" textlink="">
      <xdr:nvSpPr>
        <xdr:cNvPr id="1040" name="Control 16" hidden="1">
          <a:extLst>
            <a:ext uri="{63B3BB69-23CF-44E3-9099-C40C66FF867C}">
              <a14:compatExt xmlns:a14="http://schemas.microsoft.com/office/drawing/2010/main" spid="_x0000_s1040"/>
            </a:ex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361950</xdr:colOff>
      <xdr:row>7</xdr:row>
      <xdr:rowOff>133350</xdr:rowOff>
    </xdr:to>
    <xdr:pic>
      <xdr:nvPicPr>
        <xdr:cNvPr id="2" name="Contro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1600"/>
          <a:ext cx="361950" cy="13335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3" name="Contro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4" name="Control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5" name="Contro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6" name="Control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7" name="Contro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8" name="Contro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9" name="Control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10" name="Control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11" name="Control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12" name="Control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13" name="Control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14" name="Control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15" name="Control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16" name="Control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228600</xdr:colOff>
      <xdr:row>8</xdr:row>
      <xdr:rowOff>19050</xdr:rowOff>
    </xdr:to>
    <xdr:pic>
      <xdr:nvPicPr>
        <xdr:cNvPr id="17" name="Control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1371600"/>
          <a:ext cx="819150" cy="219075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6405563" cy="60642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0.96867</cdr:y>
    </cdr:from>
    <cdr:to>
      <cdr:x>0.92172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139700" y="5889994"/>
          <a:ext cx="8445746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0.00835</cdr:y>
    </cdr:from>
    <cdr:to>
      <cdr:x>0.92172</cdr:x>
      <cdr:y>0.0543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139700" y="50800"/>
          <a:ext cx="8445746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0.08876</cdr:x>
      <cdr:y>0.00838</cdr:y>
    </cdr:from>
    <cdr:to>
      <cdr:x>0.89285</cdr:x>
      <cdr:y>0.06687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567729" y="50800"/>
          <a:ext cx="5143323" cy="3544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Unemployment inflow rate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0.80955</cdr:x>
      <cdr:y>0.05013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861" y="50596"/>
          <a:ext cx="5143323" cy="253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0.47537</cdr:x>
      <cdr:y>0.00838</cdr:y>
    </cdr:from>
    <cdr:to>
      <cdr:x>1</cdr:x>
      <cdr:y>0.0532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040673" y="50799"/>
          <a:ext cx="3355731" cy="27158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Unemployment inflow rate (monthly)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1" name="FRBMDSeriesMarkers: Unemployment inflow rat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3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4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5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01/01/1948!*FRB*!01/09/2013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6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0.06879</cdr:y>
    </cdr:from>
    <cdr:to>
      <cdr:x>0.89305</cdr:x>
      <cdr:y>0.06879</cdr:y>
    </cdr:to>
    <cdr:cxnSp macro="">
      <cdr:nvCxnSpPr>
        <cdr:cNvPr id="17" name="FRBMDHlineConnector" hidden="1">
          <a:extLst xmlns:a="http://schemas.openxmlformats.org/drawingml/2006/main">
            <a:ext uri="{FF2B5EF4-FFF2-40B4-BE49-F238E27FC236}">
              <a16:creationId xmlns:a16="http://schemas.microsoft.com/office/drawing/2014/main" id="{21CDB822-A9AB-6289-CB64-D80E45288CC9}"/>
            </a:ext>
          </a:extLst>
        </cdr:cNvPr>
        <cdr:cNvCxnSpPr/>
      </cdr:nvCxnSpPr>
      <cdr:spPr>
        <a:xfrm xmlns:a="http://schemas.openxmlformats.org/drawingml/2006/main">
          <a:off x="96138" y="418309"/>
          <a:ext cx="5628373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8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0.06879</cdr:y>
    </cdr:from>
    <cdr:to>
      <cdr:x>0.015</cdr:x>
      <cdr:y>0.90234</cdr:y>
    </cdr:to>
    <cdr:cxnSp macro="">
      <cdr:nvCxnSpPr>
        <cdr:cNvPr id="19" name="FRBMDVlineConnector" hidden="1">
          <a:extLst xmlns:a="http://schemas.openxmlformats.org/drawingml/2006/main">
            <a:ext uri="{FF2B5EF4-FFF2-40B4-BE49-F238E27FC236}">
              <a16:creationId xmlns:a16="http://schemas.microsoft.com/office/drawing/2014/main" id="{84E78859-BE76-A940-C6AB-DC7BF71DAC2C}"/>
            </a:ext>
          </a:extLst>
        </cdr:cNvPr>
        <cdr:cNvCxnSpPr/>
      </cdr:nvCxnSpPr>
      <cdr:spPr>
        <a:xfrm xmlns:a="http://schemas.openxmlformats.org/drawingml/2006/main">
          <a:off x="96138" y="418310"/>
          <a:ext cx="0" cy="5068435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0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0.33259</cdr:x>
      <cdr:y>0.48468</cdr:y>
    </cdr:from>
    <cdr:to>
      <cdr:x>0.608</cdr:x>
      <cdr:y>0.52348</cdr:y>
    </cdr:to>
    <cdr:sp macro="" textlink="">
      <cdr:nvSpPr>
        <cdr:cNvPr id="21" name="SeriesLabel: Unemployment inflow rate" hidden="1"/>
        <cdr:cNvSpPr txBox="1"/>
      </cdr:nvSpPr>
      <cdr:spPr>
        <a:xfrm xmlns:a="http://schemas.openxmlformats.org/drawingml/2006/main">
          <a:off x="3097929" y="2947067"/>
          <a:ext cx="2565318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Unemployment inflow rate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6405563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0.10171</cdr:y>
    </cdr:from>
    <cdr:to>
      <cdr:x>0.05162</cdr:x>
      <cdr:y>0.12837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0.96869</cdr:y>
    </cdr:from>
    <cdr:to>
      <cdr:x>0.93383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139700" y="5893686"/>
          <a:ext cx="8555084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0.00835</cdr:y>
    </cdr:from>
    <cdr:to>
      <cdr:x>0.93383</cdr:x>
      <cdr:y>0.05427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139700" y="50800"/>
          <a:ext cx="8555084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0.08117</cdr:x>
      <cdr:y>0.00833</cdr:y>
    </cdr:from>
    <cdr:to>
      <cdr:x>0.90339</cdr:x>
      <cdr:y>0.06678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520840" y="50800"/>
          <a:ext cx="5275748" cy="3564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0.82768</cdr:x>
      <cdr:y>0.0501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5008" y="50923"/>
          <a:ext cx="5275748" cy="2546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0.0501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0.45109</cdr:x>
      <cdr:y>0.00833</cdr:y>
    </cdr:from>
    <cdr:to>
      <cdr:x>1</cdr:x>
      <cdr:y>0.05327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2894420" y="50800"/>
          <a:ext cx="3522033" cy="27408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Unemployment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 outflow rate (monthly)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5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6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7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01/01/1948!*FRB*!01/07/2013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18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0.06873</cdr:y>
    </cdr:from>
    <cdr:to>
      <cdr:x>0.91068</cdr:x>
      <cdr:y>0.06873</cdr:y>
    </cdr:to>
    <cdr:cxnSp macro="">
      <cdr:nvCxnSpPr>
        <cdr:cNvPr id="19" name="FRBMDHlineConnector" hidden="1">
          <a:extLst xmlns:a="http://schemas.openxmlformats.org/drawingml/2006/main">
            <a:ext uri="{FF2B5EF4-FFF2-40B4-BE49-F238E27FC236}">
              <a16:creationId xmlns:a16="http://schemas.microsoft.com/office/drawing/2014/main" id="{9D71691D-51CC-2D5A-56F5-6266A1F13336}"/>
            </a:ext>
          </a:extLst>
        </cdr:cNvPr>
        <cdr:cNvCxnSpPr/>
      </cdr:nvCxnSpPr>
      <cdr:spPr>
        <a:xfrm xmlns:a="http://schemas.openxmlformats.org/drawingml/2006/main">
          <a:off x="96176" y="418640"/>
          <a:ext cx="5741327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0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0.06873</cdr:y>
    </cdr:from>
    <cdr:to>
      <cdr:x>0.015</cdr:x>
      <cdr:y>0.90251</cdr:y>
    </cdr:to>
    <cdr:cxnSp macro="">
      <cdr:nvCxnSpPr>
        <cdr:cNvPr id="21" name="FRBMDVlineConnector" hidden="1">
          <a:extLst xmlns:a="http://schemas.openxmlformats.org/drawingml/2006/main">
            <a:ext uri="{FF2B5EF4-FFF2-40B4-BE49-F238E27FC236}">
              <a16:creationId xmlns:a16="http://schemas.microsoft.com/office/drawing/2014/main" id="{F5D94CFF-9F37-42FA-E365-2079957B011A}"/>
            </a:ext>
          </a:extLst>
        </cdr:cNvPr>
        <cdr:cNvCxnSpPr/>
      </cdr:nvCxnSpPr>
      <cdr:spPr>
        <a:xfrm xmlns:a="http://schemas.openxmlformats.org/drawingml/2006/main">
          <a:off x="96176" y="418640"/>
          <a:ext cx="0" cy="5078401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0.14186</cdr:x>
      <cdr:y>0.21709</cdr:y>
    </cdr:to>
    <cdr:sp macro="" textlink="">
      <cdr:nvSpPr>
        <cdr:cNvPr id="22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0.00793</cdr:x>
      <cdr:y>0.00834</cdr:y>
    </cdr:from>
    <cdr:to>
      <cdr:x>0.20605</cdr:x>
      <cdr:y>0.21685</cdr:y>
    </cdr:to>
    <cdr:sp macro="" textlink="">
      <cdr:nvSpPr>
        <cdr:cNvPr id="23" name="FRBMDSeriesMarkers: Outflow rat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0.36947</cdr:x>
      <cdr:y>0.46625</cdr:y>
    </cdr:from>
    <cdr:to>
      <cdr:x>0.55621</cdr:x>
      <cdr:y>0.50499</cdr:y>
    </cdr:to>
    <cdr:sp macro="" textlink="">
      <cdr:nvSpPr>
        <cdr:cNvPr id="24" name="SeriesLabel: Outflow rate" hidden="1"/>
        <cdr:cNvSpPr txBox="1"/>
      </cdr:nvSpPr>
      <cdr:spPr>
        <a:xfrm xmlns:a="http://schemas.openxmlformats.org/drawingml/2006/main">
          <a:off x="2368311" y="2839859"/>
          <a:ext cx="1197059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Outflow rate</a:t>
          </a:r>
        </a:p>
      </cdr:txBody>
    </cdr:sp>
  </cdr:relSizeAnchor>
  <cdr:relSizeAnchor xmlns:cdr="http://schemas.openxmlformats.org/drawingml/2006/chartDrawing">
    <cdr:from>
      <cdr:x>0.00793</cdr:x>
      <cdr:y>0.00834</cdr:y>
    </cdr:from>
    <cdr:to>
      <cdr:x>0.20605</cdr:x>
      <cdr:y>0.21685</cdr:y>
    </cdr:to>
    <cdr:sp macro="" textlink="">
      <cdr:nvSpPr>
        <cdr:cNvPr id="25" name="FRBMDSeriesMarkers: Implied by matching funct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0.24052</cdr:x>
      <cdr:y>0.46625</cdr:y>
    </cdr:from>
    <cdr:to>
      <cdr:x>0.68516</cdr:x>
      <cdr:y>0.50499</cdr:y>
    </cdr:to>
    <cdr:sp macro="" textlink="">
      <cdr:nvSpPr>
        <cdr:cNvPr id="26" name="SeriesLabel: Implied by matching function" hidden="1"/>
        <cdr:cNvSpPr txBox="1"/>
      </cdr:nvSpPr>
      <cdr:spPr>
        <a:xfrm xmlns:a="http://schemas.openxmlformats.org/drawingml/2006/main">
          <a:off x="1541770" y="2839859"/>
          <a:ext cx="2850140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Implied by matching function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84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0.96867</cdr:y>
    </cdr:from>
    <cdr:to>
      <cdr:x>0.92172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139700" y="5889994"/>
          <a:ext cx="8445746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0.00835</cdr:y>
    </cdr:from>
    <cdr:to>
      <cdr:x>0.92172</cdr:x>
      <cdr:y>0.0543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139700" y="50800"/>
          <a:ext cx="8445746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0.015</cdr:x>
      <cdr:y>0.00838</cdr:y>
    </cdr:from>
    <cdr:to>
      <cdr:x>0.89285</cdr:x>
      <cdr:y>0.06687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95933" y="50800"/>
          <a:ext cx="5615119" cy="3544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0.88331</cdr:x>
      <cdr:y>0.05013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861" y="50596"/>
          <a:ext cx="5615119" cy="2531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0.47766</cdr:x>
      <cdr:y>0.00838</cdr:y>
    </cdr:from>
    <cdr:to>
      <cdr:x>1</cdr:x>
      <cdr:y>0.04958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055327" y="50800"/>
          <a:ext cx="3341077" cy="2496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Vacancy-filling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 rate (daily)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1" name="FRBMDSeriesMarkers: Vacancy-filling rat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0.41434</cdr:x>
      <cdr:y>0.46603</cdr:y>
    </cdr:from>
    <cdr:to>
      <cdr:x>0.61636</cdr:x>
      <cdr:y>0.50484</cdr:y>
    </cdr:to>
    <cdr:sp macro="" textlink="">
      <cdr:nvSpPr>
        <cdr:cNvPr id="12" name="SeriesLabel: Vacancy-filling rate" hidden="1"/>
        <cdr:cNvSpPr txBox="1"/>
      </cdr:nvSpPr>
      <cdr:spPr>
        <a:xfrm xmlns:a="http://schemas.openxmlformats.org/drawingml/2006/main">
          <a:off x="3859359" y="2833688"/>
          <a:ext cx="1881734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1F497D"/>
              </a:solidFill>
              <a:latin typeface="Arial"/>
            </a:rPr>
            <a:t>Vacancy-filling rate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5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6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7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01/12/2000!*FRB*!01/07/2013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8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0.06879</cdr:y>
    </cdr:from>
    <cdr:to>
      <cdr:x>0.89305</cdr:x>
      <cdr:y>0.06879</cdr:y>
    </cdr:to>
    <cdr:cxnSp macro="">
      <cdr:nvCxnSpPr>
        <cdr:cNvPr id="19" name="FRBMDHlineConnector" hidden="1">
          <a:extLst xmlns:a="http://schemas.openxmlformats.org/drawingml/2006/main">
            <a:ext uri="{FF2B5EF4-FFF2-40B4-BE49-F238E27FC236}">
              <a16:creationId xmlns:a16="http://schemas.microsoft.com/office/drawing/2014/main" id="{F578351D-902F-AD07-518C-ECBD8D141198}"/>
            </a:ext>
          </a:extLst>
        </cdr:cNvPr>
        <cdr:cNvCxnSpPr/>
      </cdr:nvCxnSpPr>
      <cdr:spPr>
        <a:xfrm xmlns:a="http://schemas.openxmlformats.org/drawingml/2006/main">
          <a:off x="96138" y="418309"/>
          <a:ext cx="5628373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0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0.06879</cdr:y>
    </cdr:from>
    <cdr:to>
      <cdr:x>0.015</cdr:x>
      <cdr:y>0.90234</cdr:y>
    </cdr:to>
    <cdr:cxnSp macro="">
      <cdr:nvCxnSpPr>
        <cdr:cNvPr id="21" name="FRBMDVlineConnector" hidden="1">
          <a:extLst xmlns:a="http://schemas.openxmlformats.org/drawingml/2006/main">
            <a:ext uri="{FF2B5EF4-FFF2-40B4-BE49-F238E27FC236}">
              <a16:creationId xmlns:a16="http://schemas.microsoft.com/office/drawing/2014/main" id="{EE3562B8-A995-D682-ED29-9E23842ED8CE}"/>
            </a:ext>
          </a:extLst>
        </cdr:cNvPr>
        <cdr:cNvCxnSpPr/>
      </cdr:nvCxnSpPr>
      <cdr:spPr>
        <a:xfrm xmlns:a="http://schemas.openxmlformats.org/drawingml/2006/main">
          <a:off x="96138" y="418310"/>
          <a:ext cx="0" cy="5068435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2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0.00793</cdr:x>
      <cdr:y>0.00835</cdr:y>
    </cdr:from>
    <cdr:to>
      <cdr:x>0.20605</cdr:x>
      <cdr:y>0.21722</cdr:y>
    </cdr:to>
    <cdr:sp macro="" textlink="">
      <cdr:nvSpPr>
        <cdr:cNvPr id="23" name="FRBMDSeriesMarkers: Implied by matching funct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0.23171</cdr:x>
      <cdr:y>0.46617</cdr:y>
    </cdr:from>
    <cdr:to>
      <cdr:x>0.67634</cdr:x>
      <cdr:y>0.50497</cdr:y>
    </cdr:to>
    <cdr:sp macro="" textlink="">
      <cdr:nvSpPr>
        <cdr:cNvPr id="24" name="SeriesLabel: Implied by matching function" hidden="1"/>
        <cdr:cNvSpPr txBox="1"/>
      </cdr:nvSpPr>
      <cdr:spPr>
        <a:xfrm xmlns:a="http://schemas.openxmlformats.org/drawingml/2006/main">
          <a:off x="1485255" y="2834545"/>
          <a:ext cx="2850140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Implied by matching function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6405563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Default</a:t>
          </a:r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0.02928</cdr:x>
      <cdr:y>0.96867</cdr:y>
    </cdr:from>
    <cdr:to>
      <cdr:x>0.92163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272415" y="5890054"/>
          <a:ext cx="83020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0.02928</cdr:x>
      <cdr:y>0.00835</cdr:y>
    </cdr:from>
    <cdr:to>
      <cdr:x>0.92163</cdr:x>
      <cdr:y>0.0543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272415" y="50800"/>
          <a:ext cx="8302075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0.03571</cdr:x>
      <cdr:y>0.00834</cdr:y>
    </cdr:from>
    <cdr:to>
      <cdr:x>0.89307</cdr:x>
      <cdr:y>0.06683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229008" y="50800"/>
          <a:ext cx="5498045" cy="3562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0.03571</cdr:x>
      <cdr:y>0.95823</cdr:y>
    </cdr:from>
    <cdr:to>
      <cdr:x>0.89307</cdr:x>
      <cdr:y>1</cdr:y>
    </cdr:to>
    <cdr:sp macro="" textlink="">
      <cdr:nvSpPr>
        <cdr:cNvPr id="8" name="xlabel"/>
        <cdr:cNvSpPr txBox="1"/>
      </cdr:nvSpPr>
      <cdr:spPr>
        <a:xfrm xmlns:a="http://schemas.openxmlformats.org/drawingml/2006/main">
          <a:off x="229007" y="5887925"/>
          <a:ext cx="5498045" cy="254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Unemployment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 rate (U/L, CPS)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0.41105</cdr:x>
      <cdr:y>0.00834</cdr:y>
    </cdr:from>
    <cdr:to>
      <cdr:x>1</cdr:x>
      <cdr:y>0.05273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2635989" y="50800"/>
          <a:ext cx="3776773" cy="270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Vacancy rate (V/L, Composite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 HWI, CPS)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1" name="FRBMDSeriesMarkers: 1960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0.2074</cdr:x>
      <cdr:y>0.18068</cdr:y>
    </cdr:from>
    <cdr:to>
      <cdr:x>0.33862</cdr:x>
      <cdr:y>0.21948</cdr:y>
    </cdr:to>
    <cdr:sp macro="" textlink="">
      <cdr:nvSpPr>
        <cdr:cNvPr id="12" name="SeriesLabel: 1960s"/>
        <cdr:cNvSpPr txBox="1"/>
      </cdr:nvSpPr>
      <cdr:spPr>
        <a:xfrm xmlns:a="http://schemas.openxmlformats.org/drawingml/2006/main">
          <a:off x="1929576" y="1098625"/>
          <a:ext cx="1220783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000000"/>
              </a:solidFill>
              <a:latin typeface="Arial"/>
            </a:rPr>
            <a:t>1960 to 1970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3" name="FRBMDSeriesMarkers: 1975-86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0.54996</cdr:x>
      <cdr:y>0.31446</cdr:y>
    </cdr:from>
    <cdr:to>
      <cdr:x>0.68117</cdr:x>
      <cdr:y>0.35327</cdr:y>
    </cdr:to>
    <cdr:sp macro="" textlink="">
      <cdr:nvSpPr>
        <cdr:cNvPr id="14" name="SeriesLabel: 1975-86"/>
        <cdr:cNvSpPr txBox="1"/>
      </cdr:nvSpPr>
      <cdr:spPr>
        <a:xfrm xmlns:a="http://schemas.openxmlformats.org/drawingml/2006/main">
          <a:off x="5116590" y="1912111"/>
          <a:ext cx="1220783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BFBFBF"/>
              </a:solidFill>
              <a:latin typeface="Arial"/>
            </a:rPr>
            <a:t>1975</a:t>
          </a:r>
          <a:r>
            <a:rPr lang="en-GB" sz="1600" b="1" i="0" u="none" baseline="0">
              <a:solidFill>
                <a:srgbClr val="BFBFBF"/>
              </a:solidFill>
              <a:latin typeface="Arial"/>
            </a:rPr>
            <a:t> to 19</a:t>
          </a:r>
          <a:r>
            <a:rPr lang="en-GB" sz="1600" b="1" i="0" u="none">
              <a:solidFill>
                <a:srgbClr val="BFBFBF"/>
              </a:solidFill>
              <a:latin typeface="Arial"/>
            </a:rPr>
            <a:t>86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5" name="FRBMDSeriesMarkers: 1990-2000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0.13701</cdr:x>
      <cdr:y>0.39799</cdr:y>
    </cdr:from>
    <cdr:to>
      <cdr:x>0.26823</cdr:x>
      <cdr:y>0.4368</cdr:y>
    </cdr:to>
    <cdr:sp macro="" textlink="">
      <cdr:nvSpPr>
        <cdr:cNvPr id="16" name="SeriesLabel: 1990-2000"/>
        <cdr:cNvSpPr txBox="1"/>
      </cdr:nvSpPr>
      <cdr:spPr>
        <a:xfrm xmlns:a="http://schemas.openxmlformats.org/drawingml/2006/main">
          <a:off x="878327" y="2421345"/>
          <a:ext cx="841182" cy="23611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7F7F7F"/>
              </a:solidFill>
              <a:latin typeface="Arial"/>
            </a:rPr>
            <a:t>1990</a:t>
          </a:r>
          <a:r>
            <a:rPr lang="en-GB" sz="1600" b="1" i="0" u="none" baseline="0">
              <a:solidFill>
                <a:srgbClr val="7F7F7F"/>
              </a:solidFill>
              <a:latin typeface="Arial"/>
            </a:rPr>
            <a:t> to </a:t>
          </a:r>
          <a:r>
            <a:rPr lang="en-GB" sz="1600" b="1" i="0" u="none">
              <a:solidFill>
                <a:srgbClr val="7F7F7F"/>
              </a:solidFill>
              <a:latin typeface="Arial"/>
            </a:rPr>
            <a:t>2000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7" name="FRBMDSeriesMarkers: 2001-2013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0.23728</cdr:x>
      <cdr:y>0.5524</cdr:y>
    </cdr:from>
    <cdr:to>
      <cdr:x>0.3685</cdr:x>
      <cdr:y>0.5912</cdr:y>
    </cdr:to>
    <cdr:sp macro="" textlink="">
      <cdr:nvSpPr>
        <cdr:cNvPr id="18" name="SeriesLabel: 2001-2013"/>
        <cdr:cNvSpPr txBox="1"/>
      </cdr:nvSpPr>
      <cdr:spPr>
        <a:xfrm xmlns:a="http://schemas.openxmlformats.org/drawingml/2006/main">
          <a:off x="2207603" y="3358882"/>
          <a:ext cx="1220783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000000"/>
              </a:solidFill>
              <a:latin typeface="Arial"/>
            </a:rPr>
            <a:t>2001 to 2013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9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0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1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2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0.03571</cdr:x>
      <cdr:y>0.06942</cdr:y>
    </cdr:from>
    <cdr:to>
      <cdr:x>0.89307</cdr:x>
      <cdr:y>0.06942</cdr:y>
    </cdr:to>
    <cdr:cxnSp macro="">
      <cdr:nvCxnSpPr>
        <cdr:cNvPr id="23" name="FRBMDHlineConnector" hidden="1">
          <a:extLst xmlns:a="http://schemas.openxmlformats.org/drawingml/2006/main">
            <a:ext uri="{FF2B5EF4-FFF2-40B4-BE49-F238E27FC236}">
              <a16:creationId xmlns:a16="http://schemas.microsoft.com/office/drawing/2014/main" id="{9D3A585E-E4BB-D7A5-A28D-7DBB3C67A92D}"/>
            </a:ext>
          </a:extLst>
        </cdr:cNvPr>
        <cdr:cNvCxnSpPr/>
      </cdr:nvCxnSpPr>
      <cdr:spPr>
        <a:xfrm xmlns:a="http://schemas.openxmlformats.org/drawingml/2006/main">
          <a:off x="229008" y="422893"/>
          <a:ext cx="5498045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4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0.03571</cdr:x>
      <cdr:y>0.06942</cdr:y>
    </cdr:from>
    <cdr:to>
      <cdr:x>0.03571</cdr:x>
      <cdr:y>0.90604</cdr:y>
    </cdr:to>
    <cdr:cxnSp macro="">
      <cdr:nvCxnSpPr>
        <cdr:cNvPr id="25" name="FRBMDVlineConnector" hidden="1">
          <a:extLst xmlns:a="http://schemas.openxmlformats.org/drawingml/2006/main">
            <a:ext uri="{FF2B5EF4-FFF2-40B4-BE49-F238E27FC236}">
              <a16:creationId xmlns:a16="http://schemas.microsoft.com/office/drawing/2014/main" id="{F16C3F4B-A798-186C-1533-CDA6AFEAFE7D}"/>
            </a:ext>
          </a:extLst>
        </cdr:cNvPr>
        <cdr:cNvCxnSpPr/>
      </cdr:nvCxnSpPr>
      <cdr:spPr>
        <a:xfrm xmlns:a="http://schemas.openxmlformats.org/drawingml/2006/main">
          <a:off x="229007" y="422893"/>
          <a:ext cx="0" cy="5096329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6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6405563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Default</a:t>
          </a:r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0.02928</cdr:x>
      <cdr:y>0.96867</cdr:y>
    </cdr:from>
    <cdr:to>
      <cdr:x>0.92163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272415" y="5890054"/>
          <a:ext cx="8302075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0.02928</cdr:x>
      <cdr:y>0.00835</cdr:y>
    </cdr:from>
    <cdr:to>
      <cdr:x>0.92163</cdr:x>
      <cdr:y>0.0543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272415" y="50800"/>
          <a:ext cx="8302075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0.03571</cdr:x>
      <cdr:y>0.00834</cdr:y>
    </cdr:from>
    <cdr:to>
      <cdr:x>0.89307</cdr:x>
      <cdr:y>0.06683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229008" y="50800"/>
          <a:ext cx="5498045" cy="3562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0.03571</cdr:x>
      <cdr:y>0.95823</cdr:y>
    </cdr:from>
    <cdr:to>
      <cdr:x>0.89307</cdr:x>
      <cdr:y>1</cdr:y>
    </cdr:to>
    <cdr:sp macro="" textlink="">
      <cdr:nvSpPr>
        <cdr:cNvPr id="8" name="xlabel"/>
        <cdr:cNvSpPr txBox="1"/>
      </cdr:nvSpPr>
      <cdr:spPr>
        <a:xfrm xmlns:a="http://schemas.openxmlformats.org/drawingml/2006/main">
          <a:off x="229007" y="5887925"/>
          <a:ext cx="5498045" cy="25444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Unemployment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 rate (U/L, CPS)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0.33851</cdr:x>
      <cdr:y>0.00834</cdr:y>
    </cdr:from>
    <cdr:to>
      <cdr:x>1</cdr:x>
      <cdr:y>0.04909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2170815" y="50800"/>
          <a:ext cx="4241947" cy="24824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Vacancy rate (V/L, Composite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 HWI, CPS)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1" name="FRBMDSeriesMarkers: 1960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0.21886</cdr:x>
      <cdr:y>0.28209</cdr:y>
    </cdr:from>
    <cdr:to>
      <cdr:x>0.35008</cdr:x>
      <cdr:y>0.32089</cdr:y>
    </cdr:to>
    <cdr:sp macro="" textlink="">
      <cdr:nvSpPr>
        <cdr:cNvPr id="12" name="SeriesLabel: 1960s"/>
        <cdr:cNvSpPr txBox="1"/>
      </cdr:nvSpPr>
      <cdr:spPr>
        <a:xfrm xmlns:a="http://schemas.openxmlformats.org/drawingml/2006/main">
          <a:off x="2035171" y="1712850"/>
          <a:ext cx="1220189" cy="2355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000000"/>
              </a:solidFill>
              <a:latin typeface="Arial"/>
            </a:rPr>
            <a:t>1960 to 1970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3" name="FRBMDSeriesMarkers: 1975-86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0.6986</cdr:x>
      <cdr:y>0.81391</cdr:y>
    </cdr:from>
    <cdr:to>
      <cdr:x>0.82981</cdr:x>
      <cdr:y>0.85272</cdr:y>
    </cdr:to>
    <cdr:sp macro="" textlink="">
      <cdr:nvSpPr>
        <cdr:cNvPr id="14" name="SeriesLabel: 1975-86"/>
        <cdr:cNvSpPr txBox="1"/>
      </cdr:nvSpPr>
      <cdr:spPr>
        <a:xfrm xmlns:a="http://schemas.openxmlformats.org/drawingml/2006/main">
          <a:off x="6496156" y="4942059"/>
          <a:ext cx="1220096" cy="23565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BFBFBF"/>
              </a:solidFill>
              <a:latin typeface="Arial"/>
            </a:rPr>
            <a:t>1975</a:t>
          </a:r>
          <a:r>
            <a:rPr lang="en-GB" sz="1600" b="1" i="0" u="none" baseline="0">
              <a:solidFill>
                <a:srgbClr val="BFBFBF"/>
              </a:solidFill>
              <a:latin typeface="Arial"/>
            </a:rPr>
            <a:t> to 19</a:t>
          </a:r>
          <a:r>
            <a:rPr lang="en-GB" sz="1600" b="1" i="0" u="none">
              <a:solidFill>
                <a:srgbClr val="BFBFBF"/>
              </a:solidFill>
              <a:latin typeface="Arial"/>
            </a:rPr>
            <a:t>86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5" name="FRBMDSeriesMarkers: 1990-2000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0.15531</cdr:x>
      <cdr:y>0.52631</cdr:y>
    </cdr:from>
    <cdr:to>
      <cdr:x>0.28653</cdr:x>
      <cdr:y>0.56512</cdr:y>
    </cdr:to>
    <cdr:sp macro="" textlink="">
      <cdr:nvSpPr>
        <cdr:cNvPr id="16" name="SeriesLabel: 1990-2000"/>
        <cdr:cNvSpPr txBox="1"/>
      </cdr:nvSpPr>
      <cdr:spPr>
        <a:xfrm xmlns:a="http://schemas.openxmlformats.org/drawingml/2006/main">
          <a:off x="995503" y="3203341"/>
          <a:ext cx="841108" cy="23621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7F7F7F"/>
              </a:solidFill>
              <a:latin typeface="Arial"/>
            </a:rPr>
            <a:t>1990</a:t>
          </a:r>
          <a:r>
            <a:rPr lang="en-GB" sz="1600" b="1" i="0" u="none" baseline="0">
              <a:solidFill>
                <a:srgbClr val="7F7F7F"/>
              </a:solidFill>
              <a:latin typeface="Arial"/>
            </a:rPr>
            <a:t> to </a:t>
          </a:r>
          <a:r>
            <a:rPr lang="en-GB" sz="1600" b="1" i="0" u="none">
              <a:solidFill>
                <a:srgbClr val="7F7F7F"/>
              </a:solidFill>
              <a:latin typeface="Arial"/>
            </a:rPr>
            <a:t>2000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7" name="FRBMDSeriesMarkers: 2001-2013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0.53757</cdr:x>
      <cdr:y>0.38855</cdr:y>
    </cdr:from>
    <cdr:to>
      <cdr:x>0.66879</cdr:x>
      <cdr:y>0.42735</cdr:y>
    </cdr:to>
    <cdr:sp macro="" textlink="">
      <cdr:nvSpPr>
        <cdr:cNvPr id="18" name="SeriesLabel: 2001-2013"/>
        <cdr:cNvSpPr txBox="1"/>
      </cdr:nvSpPr>
      <cdr:spPr>
        <a:xfrm xmlns:a="http://schemas.openxmlformats.org/drawingml/2006/main">
          <a:off x="4998786" y="2359269"/>
          <a:ext cx="1220188" cy="23559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solidFill>
                <a:srgbClr val="000000"/>
              </a:solidFill>
              <a:latin typeface="Arial"/>
            </a:rPr>
            <a:t>2001 to 2013</a:t>
          </a:r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19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0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1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2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0.0357</cdr:x>
      <cdr:y>0.0694</cdr:y>
    </cdr:from>
    <cdr:to>
      <cdr:x>0.89312</cdr:x>
      <cdr:y>0.0694</cdr:y>
    </cdr:to>
    <cdr:cxnSp macro="">
      <cdr:nvCxnSpPr>
        <cdr:cNvPr id="23" name="FRBMDHlineConnector" hidden="1">
          <a:extLst xmlns:a="http://schemas.openxmlformats.org/drawingml/2006/main">
            <a:ext uri="{FF2B5EF4-FFF2-40B4-BE49-F238E27FC236}">
              <a16:creationId xmlns:a16="http://schemas.microsoft.com/office/drawing/2014/main" id="{73082915-6F5E-CCF7-7592-B936C37E50C0}"/>
            </a:ext>
          </a:extLst>
        </cdr:cNvPr>
        <cdr:cNvCxnSpPr/>
      </cdr:nvCxnSpPr>
      <cdr:spPr>
        <a:xfrm xmlns:a="http://schemas.openxmlformats.org/drawingml/2006/main">
          <a:off x="229062" y="423268"/>
          <a:ext cx="5501625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4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0.0357</cdr:x>
      <cdr:y>0.0694</cdr:y>
    </cdr:from>
    <cdr:to>
      <cdr:x>0.0357</cdr:x>
      <cdr:y>0.90612</cdr:y>
    </cdr:to>
    <cdr:cxnSp macro="">
      <cdr:nvCxnSpPr>
        <cdr:cNvPr id="25" name="FRBMDVlineConnector" hidden="1">
          <a:extLst xmlns:a="http://schemas.openxmlformats.org/drawingml/2006/main">
            <a:ext uri="{FF2B5EF4-FFF2-40B4-BE49-F238E27FC236}">
              <a16:creationId xmlns:a16="http://schemas.microsoft.com/office/drawing/2014/main" id="{D66778A1-529F-A605-B88F-F996D92E57D3}"/>
            </a:ext>
          </a:extLst>
        </cdr:cNvPr>
        <cdr:cNvCxnSpPr/>
      </cdr:nvCxnSpPr>
      <cdr:spPr>
        <a:xfrm xmlns:a="http://schemas.openxmlformats.org/drawingml/2006/main">
          <a:off x="229062" y="423268"/>
          <a:ext cx="0" cy="510309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0.00546</cdr:x>
      <cdr:y>0.00835</cdr:y>
    </cdr:from>
    <cdr:to>
      <cdr:x>0.14197</cdr:x>
      <cdr:y>0.21722</cdr:y>
    </cdr:to>
    <cdr:sp macro="" textlink="">
      <cdr:nvSpPr>
        <cdr:cNvPr id="26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GA13"/>
  <sheetViews>
    <sheetView workbookViewId="0"/>
  </sheetViews>
  <sheetFormatPr defaultColWidth="8.85546875" defaultRowHeight="15" x14ac:dyDescent="0.25"/>
  <sheetData>
    <row r="1" spans="1:859" x14ac:dyDescent="0.25">
      <c r="A1" s="1" t="s">
        <v>0</v>
      </c>
    </row>
    <row r="2" spans="1:859" x14ac:dyDescent="0.25">
      <c r="A2" s="2"/>
    </row>
    <row r="3" spans="1:859" x14ac:dyDescent="0.25">
      <c r="A3" s="2"/>
    </row>
    <row r="4" spans="1:859" ht="15.75" x14ac:dyDescent="0.25">
      <c r="A4" s="3" t="s">
        <v>1</v>
      </c>
    </row>
    <row r="5" spans="1:859" ht="15.75" thickBot="1" x14ac:dyDescent="0.3">
      <c r="A5" s="4" t="s">
        <v>2</v>
      </c>
    </row>
    <row r="6" spans="1:859" ht="15.75" thickBot="1" x14ac:dyDescent="0.3">
      <c r="A6" s="5"/>
    </row>
    <row r="7" spans="1:859" ht="15.75" thickBot="1" x14ac:dyDescent="0.3">
      <c r="A7" s="5" t="s">
        <v>3</v>
      </c>
    </row>
    <row r="8" spans="1:859" ht="15.75" thickBot="1" x14ac:dyDescent="0.3">
      <c r="A8" s="5"/>
    </row>
    <row r="9" spans="1:859" ht="27" thickBot="1" x14ac:dyDescent="0.3">
      <c r="A9" s="8" t="s">
        <v>4</v>
      </c>
      <c r="B9" s="9">
        <v>17533</v>
      </c>
      <c r="C9" s="9">
        <v>17564</v>
      </c>
      <c r="D9" s="9">
        <v>17593</v>
      </c>
      <c r="E9" s="9">
        <v>17624</v>
      </c>
      <c r="F9" s="9">
        <v>17654</v>
      </c>
      <c r="G9" s="9">
        <v>17685</v>
      </c>
      <c r="H9" s="9">
        <v>17715</v>
      </c>
      <c r="I9" s="9">
        <v>17746</v>
      </c>
      <c r="J9" s="9">
        <v>17777</v>
      </c>
      <c r="K9" s="9">
        <v>17807</v>
      </c>
      <c r="L9" s="9">
        <v>17838</v>
      </c>
      <c r="M9" s="9">
        <v>17868</v>
      </c>
      <c r="N9" s="10" t="s">
        <v>5</v>
      </c>
      <c r="O9" s="9">
        <v>17899</v>
      </c>
      <c r="P9" s="9">
        <v>17930</v>
      </c>
      <c r="Q9" s="9">
        <v>17958</v>
      </c>
      <c r="R9" s="9">
        <v>17989</v>
      </c>
      <c r="S9" s="9">
        <v>18019</v>
      </c>
      <c r="T9" s="9">
        <v>18050</v>
      </c>
      <c r="U9" s="9">
        <v>18080</v>
      </c>
      <c r="V9" s="9">
        <v>18111</v>
      </c>
      <c r="W9" s="9">
        <v>18142</v>
      </c>
      <c r="X9" s="9">
        <v>18172</v>
      </c>
      <c r="Y9" s="9">
        <v>18203</v>
      </c>
      <c r="Z9" s="9">
        <v>18233</v>
      </c>
      <c r="AA9" s="10" t="s">
        <v>6</v>
      </c>
      <c r="AB9" s="9">
        <v>18264</v>
      </c>
      <c r="AC9" s="9">
        <v>18295</v>
      </c>
      <c r="AD9" s="9">
        <v>18323</v>
      </c>
      <c r="AE9" s="9">
        <v>18354</v>
      </c>
      <c r="AF9" s="9">
        <v>18384</v>
      </c>
      <c r="AG9" s="9">
        <v>18415</v>
      </c>
      <c r="AH9" s="9">
        <v>18445</v>
      </c>
      <c r="AI9" s="9">
        <v>18476</v>
      </c>
      <c r="AJ9" s="9">
        <v>18507</v>
      </c>
      <c r="AK9" s="9">
        <v>18537</v>
      </c>
      <c r="AL9" s="9">
        <v>18568</v>
      </c>
      <c r="AM9" s="9">
        <v>18598</v>
      </c>
      <c r="AN9" s="10" t="s">
        <v>7</v>
      </c>
      <c r="AO9" s="9">
        <v>18629</v>
      </c>
      <c r="AP9" s="9">
        <v>18660</v>
      </c>
      <c r="AQ9" s="9">
        <v>18688</v>
      </c>
      <c r="AR9" s="9">
        <v>18719</v>
      </c>
      <c r="AS9" s="9">
        <v>18749</v>
      </c>
      <c r="AT9" s="9">
        <v>18780</v>
      </c>
      <c r="AU9" s="9">
        <v>18810</v>
      </c>
      <c r="AV9" s="9">
        <v>18841</v>
      </c>
      <c r="AW9" s="9">
        <v>18872</v>
      </c>
      <c r="AX9" s="9">
        <v>18902</v>
      </c>
      <c r="AY9" s="9">
        <v>18933</v>
      </c>
      <c r="AZ9" s="9">
        <v>18963</v>
      </c>
      <c r="BA9" s="10" t="s">
        <v>8</v>
      </c>
      <c r="BB9" s="9">
        <v>18994</v>
      </c>
      <c r="BC9" s="9">
        <v>19025</v>
      </c>
      <c r="BD9" s="9">
        <v>19054</v>
      </c>
      <c r="BE9" s="9">
        <v>19085</v>
      </c>
      <c r="BF9" s="9">
        <v>19115</v>
      </c>
      <c r="BG9" s="9">
        <v>19146</v>
      </c>
      <c r="BH9" s="9">
        <v>19176</v>
      </c>
      <c r="BI9" s="9">
        <v>19207</v>
      </c>
      <c r="BJ9" s="9">
        <v>19238</v>
      </c>
      <c r="BK9" s="9">
        <v>19268</v>
      </c>
      <c r="BL9" s="9">
        <v>19299</v>
      </c>
      <c r="BM9" s="9">
        <v>19329</v>
      </c>
      <c r="BN9" s="10" t="s">
        <v>9</v>
      </c>
      <c r="BO9" s="9">
        <v>19360</v>
      </c>
      <c r="BP9" s="9">
        <v>19391</v>
      </c>
      <c r="BQ9" s="9">
        <v>19419</v>
      </c>
      <c r="BR9" s="9">
        <v>19450</v>
      </c>
      <c r="BS9" s="9">
        <v>19480</v>
      </c>
      <c r="BT9" s="9">
        <v>19511</v>
      </c>
      <c r="BU9" s="9">
        <v>19541</v>
      </c>
      <c r="BV9" s="9">
        <v>19572</v>
      </c>
      <c r="BW9" s="9">
        <v>19603</v>
      </c>
      <c r="BX9" s="9">
        <v>19633</v>
      </c>
      <c r="BY9" s="9">
        <v>19664</v>
      </c>
      <c r="BZ9" s="9">
        <v>19694</v>
      </c>
      <c r="CA9" s="10" t="s">
        <v>10</v>
      </c>
      <c r="CB9" s="9">
        <v>19725</v>
      </c>
      <c r="CC9" s="9">
        <v>19756</v>
      </c>
      <c r="CD9" s="9">
        <v>19784</v>
      </c>
      <c r="CE9" s="9">
        <v>19815</v>
      </c>
      <c r="CF9" s="9">
        <v>19845</v>
      </c>
      <c r="CG9" s="9">
        <v>19876</v>
      </c>
      <c r="CH9" s="9">
        <v>19906</v>
      </c>
      <c r="CI9" s="9">
        <v>19937</v>
      </c>
      <c r="CJ9" s="9">
        <v>19968</v>
      </c>
      <c r="CK9" s="9">
        <v>19998</v>
      </c>
      <c r="CL9" s="9">
        <v>20029</v>
      </c>
      <c r="CM9" s="9">
        <v>20059</v>
      </c>
      <c r="CN9" s="10" t="s">
        <v>11</v>
      </c>
      <c r="CO9" s="9">
        <v>20090</v>
      </c>
      <c r="CP9" s="9">
        <v>20121</v>
      </c>
      <c r="CQ9" s="9">
        <v>20149</v>
      </c>
      <c r="CR9" s="9">
        <v>20180</v>
      </c>
      <c r="CS9" s="9">
        <v>20210</v>
      </c>
      <c r="CT9" s="9">
        <v>20241</v>
      </c>
      <c r="CU9" s="9">
        <v>20271</v>
      </c>
      <c r="CV9" s="9">
        <v>20302</v>
      </c>
      <c r="CW9" s="9">
        <v>20333</v>
      </c>
      <c r="CX9" s="9">
        <v>20363</v>
      </c>
      <c r="CY9" s="9">
        <v>20394</v>
      </c>
      <c r="CZ9" s="9">
        <v>20424</v>
      </c>
      <c r="DA9" s="10" t="s">
        <v>12</v>
      </c>
      <c r="DB9" s="9">
        <v>20455</v>
      </c>
      <c r="DC9" s="9">
        <v>20486</v>
      </c>
      <c r="DD9" s="9">
        <v>20515</v>
      </c>
      <c r="DE9" s="9">
        <v>20546</v>
      </c>
      <c r="DF9" s="9">
        <v>20576</v>
      </c>
      <c r="DG9" s="9">
        <v>20607</v>
      </c>
      <c r="DH9" s="9">
        <v>20637</v>
      </c>
      <c r="DI9" s="9">
        <v>20668</v>
      </c>
      <c r="DJ9" s="9">
        <v>20699</v>
      </c>
      <c r="DK9" s="9">
        <v>20729</v>
      </c>
      <c r="DL9" s="9">
        <v>20760</v>
      </c>
      <c r="DM9" s="9">
        <v>20790</v>
      </c>
      <c r="DN9" s="10" t="s">
        <v>13</v>
      </c>
      <c r="DO9" s="9">
        <v>20821</v>
      </c>
      <c r="DP9" s="9">
        <v>20852</v>
      </c>
      <c r="DQ9" s="9">
        <v>20880</v>
      </c>
      <c r="DR9" s="9">
        <v>20911</v>
      </c>
      <c r="DS9" s="9">
        <v>20941</v>
      </c>
      <c r="DT9" s="9">
        <v>20972</v>
      </c>
      <c r="DU9" s="9">
        <v>21002</v>
      </c>
      <c r="DV9" s="9">
        <v>21033</v>
      </c>
      <c r="DW9" s="9">
        <v>21064</v>
      </c>
      <c r="DX9" s="9">
        <v>21094</v>
      </c>
      <c r="DY9" s="9">
        <v>21125</v>
      </c>
      <c r="DZ9" s="9">
        <v>21155</v>
      </c>
      <c r="EA9" s="10" t="s">
        <v>14</v>
      </c>
      <c r="EB9" s="9">
        <v>21186</v>
      </c>
      <c r="EC9" s="9">
        <v>21217</v>
      </c>
      <c r="ED9" s="9">
        <v>21245</v>
      </c>
      <c r="EE9" s="9">
        <v>21276</v>
      </c>
      <c r="EF9" s="9">
        <v>21306</v>
      </c>
      <c r="EG9" s="9">
        <v>21337</v>
      </c>
      <c r="EH9" s="9">
        <v>21367</v>
      </c>
      <c r="EI9" s="9">
        <v>21398</v>
      </c>
      <c r="EJ9" s="9">
        <v>21429</v>
      </c>
      <c r="EK9" s="9">
        <v>21459</v>
      </c>
      <c r="EL9" s="9">
        <v>21490</v>
      </c>
      <c r="EM9" s="9">
        <v>21520</v>
      </c>
      <c r="EN9" s="10" t="s">
        <v>15</v>
      </c>
      <c r="EO9" s="9">
        <v>21551</v>
      </c>
      <c r="EP9" s="9">
        <v>21582</v>
      </c>
      <c r="EQ9" s="9">
        <v>21610</v>
      </c>
      <c r="ER9" s="9">
        <v>21641</v>
      </c>
      <c r="ES9" s="9">
        <v>21671</v>
      </c>
      <c r="ET9" s="9">
        <v>21702</v>
      </c>
      <c r="EU9" s="9">
        <v>21732</v>
      </c>
      <c r="EV9" s="9">
        <v>21763</v>
      </c>
      <c r="EW9" s="9">
        <v>21794</v>
      </c>
      <c r="EX9" s="9">
        <v>21824</v>
      </c>
      <c r="EY9" s="9">
        <v>21855</v>
      </c>
      <c r="EZ9" s="9">
        <v>21885</v>
      </c>
      <c r="FA9" s="10" t="s">
        <v>16</v>
      </c>
      <c r="FB9" s="9">
        <v>21916</v>
      </c>
      <c r="FC9" s="9">
        <v>21947</v>
      </c>
      <c r="FD9" s="9">
        <v>21976</v>
      </c>
      <c r="FE9" s="9">
        <v>22007</v>
      </c>
      <c r="FF9" s="9">
        <v>22037</v>
      </c>
      <c r="FG9" s="9">
        <v>22068</v>
      </c>
      <c r="FH9" s="9">
        <v>22098</v>
      </c>
      <c r="FI9" s="9">
        <v>22129</v>
      </c>
      <c r="FJ9" s="9">
        <v>22160</v>
      </c>
      <c r="FK9" s="9">
        <v>22190</v>
      </c>
      <c r="FL9" s="9">
        <v>22221</v>
      </c>
      <c r="FM9" s="9">
        <v>22251</v>
      </c>
      <c r="FN9" s="10" t="s">
        <v>17</v>
      </c>
      <c r="FO9" s="9">
        <v>22282</v>
      </c>
      <c r="FP9" s="9">
        <v>22313</v>
      </c>
      <c r="FQ9" s="9">
        <v>22341</v>
      </c>
      <c r="FR9" s="9">
        <v>22372</v>
      </c>
      <c r="FS9" s="9">
        <v>22402</v>
      </c>
      <c r="FT9" s="9">
        <v>22433</v>
      </c>
      <c r="FU9" s="9">
        <v>22463</v>
      </c>
      <c r="FV9" s="9">
        <v>22494</v>
      </c>
      <c r="FW9" s="9">
        <v>22525</v>
      </c>
      <c r="FX9" s="9">
        <v>22555</v>
      </c>
      <c r="FY9" s="9">
        <v>22586</v>
      </c>
      <c r="FZ9" s="9">
        <v>22616</v>
      </c>
      <c r="GA9" s="10" t="s">
        <v>18</v>
      </c>
      <c r="GB9" s="9">
        <v>22647</v>
      </c>
      <c r="GC9" s="9">
        <v>22678</v>
      </c>
      <c r="GD9" s="9">
        <v>22706</v>
      </c>
      <c r="GE9" s="9">
        <v>22737</v>
      </c>
      <c r="GF9" s="9">
        <v>22767</v>
      </c>
      <c r="GG9" s="9">
        <v>22798</v>
      </c>
      <c r="GH9" s="9">
        <v>22828</v>
      </c>
      <c r="GI9" s="9">
        <v>22859</v>
      </c>
      <c r="GJ9" s="9">
        <v>22890</v>
      </c>
      <c r="GK9" s="9">
        <v>22920</v>
      </c>
      <c r="GL9" s="9">
        <v>22951</v>
      </c>
      <c r="GM9" s="9">
        <v>22981</v>
      </c>
      <c r="GN9" s="10" t="s">
        <v>19</v>
      </c>
      <c r="GO9" s="9">
        <v>23012</v>
      </c>
      <c r="GP9" s="9">
        <v>23043</v>
      </c>
      <c r="GQ9" s="9">
        <v>23071</v>
      </c>
      <c r="GR9" s="9">
        <v>23102</v>
      </c>
      <c r="GS9" s="9">
        <v>23132</v>
      </c>
      <c r="GT9" s="9">
        <v>23163</v>
      </c>
      <c r="GU9" s="9">
        <v>23193</v>
      </c>
      <c r="GV9" s="9">
        <v>23224</v>
      </c>
      <c r="GW9" s="9">
        <v>23255</v>
      </c>
      <c r="GX9" s="9">
        <v>23285</v>
      </c>
      <c r="GY9" s="9">
        <v>23316</v>
      </c>
      <c r="GZ9" s="9">
        <v>23346</v>
      </c>
      <c r="HA9" s="10" t="s">
        <v>20</v>
      </c>
      <c r="HB9" s="9">
        <v>23377</v>
      </c>
      <c r="HC9" s="9">
        <v>23408</v>
      </c>
      <c r="HD9" s="9">
        <v>23437</v>
      </c>
      <c r="HE9" s="9">
        <v>23468</v>
      </c>
      <c r="HF9" s="9">
        <v>23498</v>
      </c>
      <c r="HG9" s="9">
        <v>23529</v>
      </c>
      <c r="HH9" s="9">
        <v>23559</v>
      </c>
      <c r="HI9" s="9">
        <v>23590</v>
      </c>
      <c r="HJ9" s="9">
        <v>23621</v>
      </c>
      <c r="HK9" s="9">
        <v>23651</v>
      </c>
      <c r="HL9" s="9">
        <v>23682</v>
      </c>
      <c r="HM9" s="9">
        <v>23712</v>
      </c>
      <c r="HN9" s="10" t="s">
        <v>21</v>
      </c>
      <c r="HO9" s="9">
        <v>23743</v>
      </c>
      <c r="HP9" s="9">
        <v>23774</v>
      </c>
      <c r="HQ9" s="9">
        <v>23802</v>
      </c>
      <c r="HR9" s="9">
        <v>23833</v>
      </c>
      <c r="HS9" s="9">
        <v>23863</v>
      </c>
      <c r="HT9" s="9">
        <v>23894</v>
      </c>
      <c r="HU9" s="9">
        <v>23924</v>
      </c>
      <c r="HV9" s="9">
        <v>23955</v>
      </c>
      <c r="HW9" s="9">
        <v>23986</v>
      </c>
      <c r="HX9" s="9">
        <v>24016</v>
      </c>
      <c r="HY9" s="9">
        <v>24047</v>
      </c>
      <c r="HZ9" s="9">
        <v>24077</v>
      </c>
      <c r="IA9" s="10" t="s">
        <v>22</v>
      </c>
      <c r="IB9" s="9">
        <v>24108</v>
      </c>
      <c r="IC9" s="9">
        <v>24139</v>
      </c>
      <c r="ID9" s="9">
        <v>24167</v>
      </c>
      <c r="IE9" s="9">
        <v>24198</v>
      </c>
      <c r="IF9" s="9">
        <v>24228</v>
      </c>
      <c r="IG9" s="9">
        <v>24259</v>
      </c>
      <c r="IH9" s="9">
        <v>24289</v>
      </c>
      <c r="II9" s="9">
        <v>24320</v>
      </c>
      <c r="IJ9" s="9">
        <v>24351</v>
      </c>
      <c r="IK9" s="9">
        <v>24381</v>
      </c>
      <c r="IL9" s="9">
        <v>24412</v>
      </c>
      <c r="IM9" s="9">
        <v>24442</v>
      </c>
      <c r="IN9" s="10" t="s">
        <v>23</v>
      </c>
      <c r="IO9" s="9">
        <v>24473</v>
      </c>
      <c r="IP9" s="9">
        <v>24504</v>
      </c>
      <c r="IQ9" s="9">
        <v>24532</v>
      </c>
      <c r="IR9" s="9">
        <v>24563</v>
      </c>
      <c r="IS9" s="9">
        <v>24593</v>
      </c>
      <c r="IT9" s="9">
        <v>24624</v>
      </c>
      <c r="IU9" s="9">
        <v>24654</v>
      </c>
      <c r="IV9" s="9">
        <v>24685</v>
      </c>
      <c r="IW9" s="9">
        <v>24716</v>
      </c>
      <c r="IX9" s="9">
        <v>24746</v>
      </c>
      <c r="IY9" s="9">
        <v>24777</v>
      </c>
      <c r="IZ9" s="9">
        <v>24807</v>
      </c>
      <c r="JA9" s="10" t="s">
        <v>24</v>
      </c>
      <c r="JB9" s="9">
        <v>24838</v>
      </c>
      <c r="JC9" s="9">
        <v>24869</v>
      </c>
      <c r="JD9" s="9">
        <v>24898</v>
      </c>
      <c r="JE9" s="9">
        <v>24929</v>
      </c>
      <c r="JF9" s="9">
        <v>24959</v>
      </c>
      <c r="JG9" s="9">
        <v>24990</v>
      </c>
      <c r="JH9" s="9">
        <v>25020</v>
      </c>
      <c r="JI9" s="9">
        <v>25051</v>
      </c>
      <c r="JJ9" s="9">
        <v>25082</v>
      </c>
      <c r="JK9" s="9">
        <v>25112</v>
      </c>
      <c r="JL9" s="9">
        <v>25143</v>
      </c>
      <c r="JM9" s="9">
        <v>25173</v>
      </c>
      <c r="JN9" s="10" t="s">
        <v>25</v>
      </c>
      <c r="JO9" s="9">
        <v>25204</v>
      </c>
      <c r="JP9" s="9">
        <v>25235</v>
      </c>
      <c r="JQ9" s="9">
        <v>25263</v>
      </c>
      <c r="JR9" s="9">
        <v>25294</v>
      </c>
      <c r="JS9" s="9">
        <v>25324</v>
      </c>
      <c r="JT9" s="9">
        <v>25355</v>
      </c>
      <c r="JU9" s="9">
        <v>25385</v>
      </c>
      <c r="JV9" s="9">
        <v>25416</v>
      </c>
      <c r="JW9" s="9">
        <v>25447</v>
      </c>
      <c r="JX9" s="9">
        <v>25477</v>
      </c>
      <c r="JY9" s="9">
        <v>25508</v>
      </c>
      <c r="JZ9" s="9">
        <v>25538</v>
      </c>
      <c r="KA9" s="10" t="s">
        <v>26</v>
      </c>
      <c r="KB9" s="9">
        <v>25569</v>
      </c>
      <c r="KC9" s="9">
        <v>25600</v>
      </c>
      <c r="KD9" s="9">
        <v>25628</v>
      </c>
      <c r="KE9" s="9">
        <v>25659</v>
      </c>
      <c r="KF9" s="9">
        <v>25689</v>
      </c>
      <c r="KG9" s="9">
        <v>25720</v>
      </c>
      <c r="KH9" s="9">
        <v>25750</v>
      </c>
      <c r="KI9" s="9">
        <v>25781</v>
      </c>
      <c r="KJ9" s="9">
        <v>25812</v>
      </c>
      <c r="KK9" s="9">
        <v>25842</v>
      </c>
      <c r="KL9" s="9">
        <v>25873</v>
      </c>
      <c r="KM9" s="9">
        <v>25903</v>
      </c>
      <c r="KN9" s="10" t="s">
        <v>27</v>
      </c>
      <c r="KO9" s="9">
        <v>25934</v>
      </c>
      <c r="KP9" s="9">
        <v>25965</v>
      </c>
      <c r="KQ9" s="9">
        <v>25993</v>
      </c>
      <c r="KR9" s="9">
        <v>26024</v>
      </c>
      <c r="KS9" s="9">
        <v>26054</v>
      </c>
      <c r="KT9" s="9">
        <v>26085</v>
      </c>
      <c r="KU9" s="9">
        <v>26115</v>
      </c>
      <c r="KV9" s="9">
        <v>26146</v>
      </c>
      <c r="KW9" s="9">
        <v>26177</v>
      </c>
      <c r="KX9" s="9">
        <v>26207</v>
      </c>
      <c r="KY9" s="9">
        <v>26238</v>
      </c>
      <c r="KZ9" s="9">
        <v>26268</v>
      </c>
      <c r="LA9" s="10" t="s">
        <v>28</v>
      </c>
      <c r="LB9" s="9">
        <v>26299</v>
      </c>
      <c r="LC9" s="9">
        <v>26330</v>
      </c>
      <c r="LD9" s="9">
        <v>26359</v>
      </c>
      <c r="LE9" s="9">
        <v>26390</v>
      </c>
      <c r="LF9" s="9">
        <v>26420</v>
      </c>
      <c r="LG9" s="9">
        <v>26451</v>
      </c>
      <c r="LH9" s="9">
        <v>26481</v>
      </c>
      <c r="LI9" s="9">
        <v>26512</v>
      </c>
      <c r="LJ9" s="9">
        <v>26543</v>
      </c>
      <c r="LK9" s="9">
        <v>26573</v>
      </c>
      <c r="LL9" s="9">
        <v>26604</v>
      </c>
      <c r="LM9" s="9">
        <v>26634</v>
      </c>
      <c r="LN9" s="10" t="s">
        <v>29</v>
      </c>
      <c r="LO9" s="9">
        <v>26665</v>
      </c>
      <c r="LP9" s="9">
        <v>26696</v>
      </c>
      <c r="LQ9" s="9">
        <v>26724</v>
      </c>
      <c r="LR9" s="9">
        <v>26755</v>
      </c>
      <c r="LS9" s="9">
        <v>26785</v>
      </c>
      <c r="LT9" s="9">
        <v>26816</v>
      </c>
      <c r="LU9" s="9">
        <v>26846</v>
      </c>
      <c r="LV9" s="9">
        <v>26877</v>
      </c>
      <c r="LW9" s="9">
        <v>26908</v>
      </c>
      <c r="LX9" s="9">
        <v>26938</v>
      </c>
      <c r="LY9" s="9">
        <v>26969</v>
      </c>
      <c r="LZ9" s="9">
        <v>26999</v>
      </c>
      <c r="MA9" s="10" t="s">
        <v>30</v>
      </c>
      <c r="MB9" s="9">
        <v>27030</v>
      </c>
      <c r="MC9" s="9">
        <v>27061</v>
      </c>
      <c r="MD9" s="9">
        <v>27089</v>
      </c>
      <c r="ME9" s="9">
        <v>27120</v>
      </c>
      <c r="MF9" s="9">
        <v>27150</v>
      </c>
      <c r="MG9" s="9">
        <v>27181</v>
      </c>
      <c r="MH9" s="9">
        <v>27211</v>
      </c>
      <c r="MI9" s="9">
        <v>27242</v>
      </c>
      <c r="MJ9" s="9">
        <v>27273</v>
      </c>
      <c r="MK9" s="9">
        <v>27303</v>
      </c>
      <c r="ML9" s="9">
        <v>27334</v>
      </c>
      <c r="MM9" s="9">
        <v>27364</v>
      </c>
      <c r="MN9" s="10" t="s">
        <v>31</v>
      </c>
      <c r="MO9" s="9">
        <v>27395</v>
      </c>
      <c r="MP9" s="9">
        <v>27426</v>
      </c>
      <c r="MQ9" s="9">
        <v>27454</v>
      </c>
      <c r="MR9" s="9">
        <v>27485</v>
      </c>
      <c r="MS9" s="9">
        <v>27515</v>
      </c>
      <c r="MT9" s="9">
        <v>27546</v>
      </c>
      <c r="MU9" s="9">
        <v>27576</v>
      </c>
      <c r="MV9" s="9">
        <v>27607</v>
      </c>
      <c r="MW9" s="9">
        <v>27638</v>
      </c>
      <c r="MX9" s="9">
        <v>27668</v>
      </c>
      <c r="MY9" s="9">
        <v>27699</v>
      </c>
      <c r="MZ9" s="9">
        <v>27729</v>
      </c>
      <c r="NA9" s="10" t="s">
        <v>32</v>
      </c>
      <c r="NB9" s="9">
        <v>27760</v>
      </c>
      <c r="NC9" s="9">
        <v>27791</v>
      </c>
      <c r="ND9" s="9">
        <v>27820</v>
      </c>
      <c r="NE9" s="9">
        <v>27851</v>
      </c>
      <c r="NF9" s="9">
        <v>27881</v>
      </c>
      <c r="NG9" s="9">
        <v>27912</v>
      </c>
      <c r="NH9" s="9">
        <v>27942</v>
      </c>
      <c r="NI9" s="9">
        <v>27973</v>
      </c>
      <c r="NJ9" s="9">
        <v>28004</v>
      </c>
      <c r="NK9" s="9">
        <v>28034</v>
      </c>
      <c r="NL9" s="9">
        <v>28065</v>
      </c>
      <c r="NM9" s="9">
        <v>28095</v>
      </c>
      <c r="NN9" s="10" t="s">
        <v>33</v>
      </c>
      <c r="NO9" s="9">
        <v>28126</v>
      </c>
      <c r="NP9" s="9">
        <v>28157</v>
      </c>
      <c r="NQ9" s="9">
        <v>28185</v>
      </c>
      <c r="NR9" s="9">
        <v>28216</v>
      </c>
      <c r="NS9" s="9">
        <v>28246</v>
      </c>
      <c r="NT9" s="9">
        <v>28277</v>
      </c>
      <c r="NU9" s="9">
        <v>28307</v>
      </c>
      <c r="NV9" s="9">
        <v>28338</v>
      </c>
      <c r="NW9" s="9">
        <v>28369</v>
      </c>
      <c r="NX9" s="9">
        <v>28399</v>
      </c>
      <c r="NY9" s="9">
        <v>28430</v>
      </c>
      <c r="NZ9" s="9">
        <v>28460</v>
      </c>
      <c r="OA9" s="10" t="s">
        <v>34</v>
      </c>
      <c r="OB9" s="9">
        <v>28491</v>
      </c>
      <c r="OC9" s="9">
        <v>28522</v>
      </c>
      <c r="OD9" s="9">
        <v>28550</v>
      </c>
      <c r="OE9" s="9">
        <v>28581</v>
      </c>
      <c r="OF9" s="9">
        <v>28611</v>
      </c>
      <c r="OG9" s="9">
        <v>28642</v>
      </c>
      <c r="OH9" s="9">
        <v>28672</v>
      </c>
      <c r="OI9" s="9">
        <v>28703</v>
      </c>
      <c r="OJ9" s="9">
        <v>28734</v>
      </c>
      <c r="OK9" s="9">
        <v>28764</v>
      </c>
      <c r="OL9" s="9">
        <v>28795</v>
      </c>
      <c r="OM9" s="9">
        <v>28825</v>
      </c>
      <c r="ON9" s="10" t="s">
        <v>35</v>
      </c>
      <c r="OO9" s="9">
        <v>28856</v>
      </c>
      <c r="OP9" s="9">
        <v>28887</v>
      </c>
      <c r="OQ9" s="9">
        <v>28915</v>
      </c>
      <c r="OR9" s="9">
        <v>28946</v>
      </c>
      <c r="OS9" s="9">
        <v>28976</v>
      </c>
      <c r="OT9" s="9">
        <v>29007</v>
      </c>
      <c r="OU9" s="9">
        <v>29037</v>
      </c>
      <c r="OV9" s="9">
        <v>29068</v>
      </c>
      <c r="OW9" s="9">
        <v>29099</v>
      </c>
      <c r="OX9" s="9">
        <v>29129</v>
      </c>
      <c r="OY9" s="9">
        <v>29160</v>
      </c>
      <c r="OZ9" s="9">
        <v>29190</v>
      </c>
      <c r="PA9" s="10" t="s">
        <v>36</v>
      </c>
      <c r="PB9" s="9">
        <v>29221</v>
      </c>
      <c r="PC9" s="9">
        <v>29252</v>
      </c>
      <c r="PD9" s="9">
        <v>29281</v>
      </c>
      <c r="PE9" s="9">
        <v>29312</v>
      </c>
      <c r="PF9" s="9">
        <v>29342</v>
      </c>
      <c r="PG9" s="9">
        <v>29373</v>
      </c>
      <c r="PH9" s="9">
        <v>29403</v>
      </c>
      <c r="PI9" s="9">
        <v>29434</v>
      </c>
      <c r="PJ9" s="9">
        <v>29465</v>
      </c>
      <c r="PK9" s="9">
        <v>29495</v>
      </c>
      <c r="PL9" s="9">
        <v>29526</v>
      </c>
      <c r="PM9" s="9">
        <v>29556</v>
      </c>
      <c r="PN9" s="10" t="s">
        <v>37</v>
      </c>
      <c r="PO9" s="9">
        <v>29587</v>
      </c>
      <c r="PP9" s="9">
        <v>29618</v>
      </c>
      <c r="PQ9" s="9">
        <v>29646</v>
      </c>
      <c r="PR9" s="9">
        <v>29677</v>
      </c>
      <c r="PS9" s="9">
        <v>29707</v>
      </c>
      <c r="PT9" s="9">
        <v>29738</v>
      </c>
      <c r="PU9" s="9">
        <v>29768</v>
      </c>
      <c r="PV9" s="9">
        <v>29799</v>
      </c>
      <c r="PW9" s="9">
        <v>29830</v>
      </c>
      <c r="PX9" s="9">
        <v>29860</v>
      </c>
      <c r="PY9" s="9">
        <v>29891</v>
      </c>
      <c r="PZ9" s="9">
        <v>29921</v>
      </c>
      <c r="QA9" s="10" t="s">
        <v>38</v>
      </c>
      <c r="QB9" s="9">
        <v>29952</v>
      </c>
      <c r="QC9" s="9">
        <v>29983</v>
      </c>
      <c r="QD9" s="9">
        <v>30011</v>
      </c>
      <c r="QE9" s="9">
        <v>30042</v>
      </c>
      <c r="QF9" s="9">
        <v>30072</v>
      </c>
      <c r="QG9" s="9">
        <v>30103</v>
      </c>
      <c r="QH9" s="9">
        <v>30133</v>
      </c>
      <c r="QI9" s="9">
        <v>30164</v>
      </c>
      <c r="QJ9" s="9">
        <v>30195</v>
      </c>
      <c r="QK9" s="9">
        <v>30225</v>
      </c>
      <c r="QL9" s="9">
        <v>30256</v>
      </c>
      <c r="QM9" s="9">
        <v>30286</v>
      </c>
      <c r="QN9" s="10" t="s">
        <v>39</v>
      </c>
      <c r="QO9" s="9">
        <v>30317</v>
      </c>
      <c r="QP9" s="9">
        <v>30348</v>
      </c>
      <c r="QQ9" s="9">
        <v>30376</v>
      </c>
      <c r="QR9" s="9">
        <v>30407</v>
      </c>
      <c r="QS9" s="9">
        <v>30437</v>
      </c>
      <c r="QT9" s="9">
        <v>30468</v>
      </c>
      <c r="QU9" s="9">
        <v>30498</v>
      </c>
      <c r="QV9" s="9">
        <v>30529</v>
      </c>
      <c r="QW9" s="9">
        <v>30560</v>
      </c>
      <c r="QX9" s="9">
        <v>30590</v>
      </c>
      <c r="QY9" s="9">
        <v>30621</v>
      </c>
      <c r="QZ9" s="9">
        <v>30651</v>
      </c>
      <c r="RA9" s="10" t="s">
        <v>40</v>
      </c>
      <c r="RB9" s="9">
        <v>30682</v>
      </c>
      <c r="RC9" s="9">
        <v>30713</v>
      </c>
      <c r="RD9" s="9">
        <v>30742</v>
      </c>
      <c r="RE9" s="9">
        <v>30773</v>
      </c>
      <c r="RF9" s="9">
        <v>30803</v>
      </c>
      <c r="RG9" s="9">
        <v>30834</v>
      </c>
      <c r="RH9" s="9">
        <v>30864</v>
      </c>
      <c r="RI9" s="9">
        <v>30895</v>
      </c>
      <c r="RJ9" s="9">
        <v>30926</v>
      </c>
      <c r="RK9" s="9">
        <v>30956</v>
      </c>
      <c r="RL9" s="9">
        <v>30987</v>
      </c>
      <c r="RM9" s="9">
        <v>31017</v>
      </c>
      <c r="RN9" s="10" t="s">
        <v>41</v>
      </c>
      <c r="RO9" s="9">
        <v>31048</v>
      </c>
      <c r="RP9" s="9">
        <v>31079</v>
      </c>
      <c r="RQ9" s="9">
        <v>31107</v>
      </c>
      <c r="RR9" s="9">
        <v>31138</v>
      </c>
      <c r="RS9" s="9">
        <v>31168</v>
      </c>
      <c r="RT9" s="9">
        <v>31199</v>
      </c>
      <c r="RU9" s="9">
        <v>31229</v>
      </c>
      <c r="RV9" s="9">
        <v>31260</v>
      </c>
      <c r="RW9" s="9">
        <v>31291</v>
      </c>
      <c r="RX9" s="9">
        <v>31321</v>
      </c>
      <c r="RY9" s="9">
        <v>31352</v>
      </c>
      <c r="RZ9" s="9">
        <v>31382</v>
      </c>
      <c r="SA9" s="10" t="s">
        <v>42</v>
      </c>
      <c r="SB9" s="9">
        <v>31413</v>
      </c>
      <c r="SC9" s="9">
        <v>31444</v>
      </c>
      <c r="SD9" s="9">
        <v>31472</v>
      </c>
      <c r="SE9" s="9">
        <v>31503</v>
      </c>
      <c r="SF9" s="9">
        <v>31533</v>
      </c>
      <c r="SG9" s="9">
        <v>31564</v>
      </c>
      <c r="SH9" s="9">
        <v>31594</v>
      </c>
      <c r="SI9" s="9">
        <v>31625</v>
      </c>
      <c r="SJ9" s="9">
        <v>31656</v>
      </c>
      <c r="SK9" s="9">
        <v>31686</v>
      </c>
      <c r="SL9" s="9">
        <v>31717</v>
      </c>
      <c r="SM9" s="9">
        <v>31747</v>
      </c>
      <c r="SN9" s="10" t="s">
        <v>43</v>
      </c>
      <c r="SO9" s="9">
        <v>31778</v>
      </c>
      <c r="SP9" s="9">
        <v>31809</v>
      </c>
      <c r="SQ9" s="9">
        <v>31837</v>
      </c>
      <c r="SR9" s="9">
        <v>31868</v>
      </c>
      <c r="SS9" s="9">
        <v>31898</v>
      </c>
      <c r="ST9" s="9">
        <v>31929</v>
      </c>
      <c r="SU9" s="9">
        <v>31959</v>
      </c>
      <c r="SV9" s="9">
        <v>31990</v>
      </c>
      <c r="SW9" s="9">
        <v>32021</v>
      </c>
      <c r="SX9" s="9">
        <v>32051</v>
      </c>
      <c r="SY9" s="9">
        <v>32082</v>
      </c>
      <c r="SZ9" s="9">
        <v>32112</v>
      </c>
      <c r="TA9" s="10" t="s">
        <v>44</v>
      </c>
      <c r="TB9" s="9">
        <v>32143</v>
      </c>
      <c r="TC9" s="9">
        <v>32174</v>
      </c>
      <c r="TD9" s="9">
        <v>32203</v>
      </c>
      <c r="TE9" s="9">
        <v>32234</v>
      </c>
      <c r="TF9" s="9">
        <v>32264</v>
      </c>
      <c r="TG9" s="9">
        <v>32295</v>
      </c>
      <c r="TH9" s="9">
        <v>32325</v>
      </c>
      <c r="TI9" s="9">
        <v>32356</v>
      </c>
      <c r="TJ9" s="9">
        <v>32387</v>
      </c>
      <c r="TK9" s="9">
        <v>32417</v>
      </c>
      <c r="TL9" s="9">
        <v>32448</v>
      </c>
      <c r="TM9" s="9">
        <v>32478</v>
      </c>
      <c r="TN9" s="10" t="s">
        <v>45</v>
      </c>
      <c r="TO9" s="9">
        <v>32509</v>
      </c>
      <c r="TP9" s="9">
        <v>32540</v>
      </c>
      <c r="TQ9" s="9">
        <v>32568</v>
      </c>
      <c r="TR9" s="9">
        <v>32599</v>
      </c>
      <c r="TS9" s="9">
        <v>32629</v>
      </c>
      <c r="TT9" s="9">
        <v>32660</v>
      </c>
      <c r="TU9" s="9">
        <v>32690</v>
      </c>
      <c r="TV9" s="9">
        <v>32721</v>
      </c>
      <c r="TW9" s="9">
        <v>32752</v>
      </c>
      <c r="TX9" s="9">
        <v>32782</v>
      </c>
      <c r="TY9" s="9">
        <v>32813</v>
      </c>
      <c r="TZ9" s="9">
        <v>32843</v>
      </c>
      <c r="UA9" s="10" t="s">
        <v>46</v>
      </c>
      <c r="UB9" s="9">
        <v>32874</v>
      </c>
      <c r="UC9" s="9">
        <v>32905</v>
      </c>
      <c r="UD9" s="9">
        <v>32933</v>
      </c>
      <c r="UE9" s="9">
        <v>32964</v>
      </c>
      <c r="UF9" s="9">
        <v>32994</v>
      </c>
      <c r="UG9" s="9">
        <v>33025</v>
      </c>
      <c r="UH9" s="9">
        <v>33055</v>
      </c>
      <c r="UI9" s="9">
        <v>33086</v>
      </c>
      <c r="UJ9" s="9">
        <v>33117</v>
      </c>
      <c r="UK9" s="9">
        <v>33147</v>
      </c>
      <c r="UL9" s="9">
        <v>33178</v>
      </c>
      <c r="UM9" s="9">
        <v>33208</v>
      </c>
      <c r="UN9" s="10" t="s">
        <v>47</v>
      </c>
      <c r="UO9" s="9">
        <v>33239</v>
      </c>
      <c r="UP9" s="9">
        <v>33270</v>
      </c>
      <c r="UQ9" s="9">
        <v>33298</v>
      </c>
      <c r="UR9" s="9">
        <v>33329</v>
      </c>
      <c r="US9" s="9">
        <v>33359</v>
      </c>
      <c r="UT9" s="9">
        <v>33390</v>
      </c>
      <c r="UU9" s="9">
        <v>33420</v>
      </c>
      <c r="UV9" s="9">
        <v>33451</v>
      </c>
      <c r="UW9" s="9">
        <v>33482</v>
      </c>
      <c r="UX9" s="9">
        <v>33512</v>
      </c>
      <c r="UY9" s="9">
        <v>33543</v>
      </c>
      <c r="UZ9" s="9">
        <v>33573</v>
      </c>
      <c r="VA9" s="10" t="s">
        <v>48</v>
      </c>
      <c r="VB9" s="9">
        <v>33604</v>
      </c>
      <c r="VC9" s="9">
        <v>33635</v>
      </c>
      <c r="VD9" s="9">
        <v>33664</v>
      </c>
      <c r="VE9" s="9">
        <v>33695</v>
      </c>
      <c r="VF9" s="9">
        <v>33725</v>
      </c>
      <c r="VG9" s="9">
        <v>33756</v>
      </c>
      <c r="VH9" s="9">
        <v>33786</v>
      </c>
      <c r="VI9" s="9">
        <v>33817</v>
      </c>
      <c r="VJ9" s="9">
        <v>33848</v>
      </c>
      <c r="VK9" s="9">
        <v>33878</v>
      </c>
      <c r="VL9" s="9">
        <v>33909</v>
      </c>
      <c r="VM9" s="9">
        <v>33939</v>
      </c>
      <c r="VN9" s="10" t="s">
        <v>49</v>
      </c>
      <c r="VO9" s="9">
        <v>33970</v>
      </c>
      <c r="VP9" s="9">
        <v>34001</v>
      </c>
      <c r="VQ9" s="9">
        <v>34029</v>
      </c>
      <c r="VR9" s="9">
        <v>34060</v>
      </c>
      <c r="VS9" s="9">
        <v>34090</v>
      </c>
      <c r="VT9" s="9">
        <v>34121</v>
      </c>
      <c r="VU9" s="9">
        <v>34151</v>
      </c>
      <c r="VV9" s="9">
        <v>34182</v>
      </c>
      <c r="VW9" s="9">
        <v>34213</v>
      </c>
      <c r="VX9" s="9">
        <v>34243</v>
      </c>
      <c r="VY9" s="9">
        <v>34274</v>
      </c>
      <c r="VZ9" s="9">
        <v>34304</v>
      </c>
      <c r="WA9" s="10" t="s">
        <v>50</v>
      </c>
      <c r="WB9" s="9">
        <v>34335</v>
      </c>
      <c r="WC9" s="9">
        <v>34366</v>
      </c>
      <c r="WD9" s="9">
        <v>34394</v>
      </c>
      <c r="WE9" s="9">
        <v>34425</v>
      </c>
      <c r="WF9" s="9">
        <v>34455</v>
      </c>
      <c r="WG9" s="9">
        <v>34486</v>
      </c>
      <c r="WH9" s="9">
        <v>34516</v>
      </c>
      <c r="WI9" s="9">
        <v>34547</v>
      </c>
      <c r="WJ9" s="9">
        <v>34578</v>
      </c>
      <c r="WK9" s="9">
        <v>34608</v>
      </c>
      <c r="WL9" s="9">
        <v>34639</v>
      </c>
      <c r="WM9" s="9">
        <v>34669</v>
      </c>
      <c r="WN9" s="10" t="s">
        <v>51</v>
      </c>
      <c r="WO9" s="9">
        <v>34700</v>
      </c>
      <c r="WP9" s="9">
        <v>34731</v>
      </c>
      <c r="WQ9" s="9">
        <v>34759</v>
      </c>
      <c r="WR9" s="9">
        <v>34790</v>
      </c>
      <c r="WS9" s="9">
        <v>34820</v>
      </c>
      <c r="WT9" s="9">
        <v>34851</v>
      </c>
      <c r="WU9" s="9">
        <v>34881</v>
      </c>
      <c r="WV9" s="9">
        <v>34912</v>
      </c>
      <c r="WW9" s="9">
        <v>34943</v>
      </c>
      <c r="WX9" s="9">
        <v>34973</v>
      </c>
      <c r="WY9" s="9">
        <v>35004</v>
      </c>
      <c r="WZ9" s="9">
        <v>35034</v>
      </c>
      <c r="XA9" s="10" t="s">
        <v>52</v>
      </c>
      <c r="XB9" s="9">
        <v>35065</v>
      </c>
      <c r="XC9" s="9">
        <v>35096</v>
      </c>
      <c r="XD9" s="9">
        <v>35125</v>
      </c>
      <c r="XE9" s="9">
        <v>35156</v>
      </c>
      <c r="XF9" s="9">
        <v>35186</v>
      </c>
      <c r="XG9" s="9">
        <v>35217</v>
      </c>
      <c r="XH9" s="9">
        <v>35247</v>
      </c>
      <c r="XI9" s="9">
        <v>35278</v>
      </c>
      <c r="XJ9" s="9">
        <v>35309</v>
      </c>
      <c r="XK9" s="9">
        <v>35339</v>
      </c>
      <c r="XL9" s="9">
        <v>35370</v>
      </c>
      <c r="XM9" s="9">
        <v>35400</v>
      </c>
      <c r="XN9" s="10" t="s">
        <v>53</v>
      </c>
      <c r="XO9" s="9">
        <v>35431</v>
      </c>
      <c r="XP9" s="9">
        <v>35462</v>
      </c>
      <c r="XQ9" s="9">
        <v>35490</v>
      </c>
      <c r="XR9" s="9">
        <v>35521</v>
      </c>
      <c r="XS9" s="9">
        <v>35551</v>
      </c>
      <c r="XT9" s="9">
        <v>35582</v>
      </c>
      <c r="XU9" s="9">
        <v>35612</v>
      </c>
      <c r="XV9" s="9">
        <v>35643</v>
      </c>
      <c r="XW9" s="9">
        <v>35674</v>
      </c>
      <c r="XX9" s="9">
        <v>35704</v>
      </c>
      <c r="XY9" s="9">
        <v>35735</v>
      </c>
      <c r="XZ9" s="9">
        <v>35765</v>
      </c>
      <c r="YA9" s="10" t="s">
        <v>54</v>
      </c>
      <c r="YB9" s="9">
        <v>35796</v>
      </c>
      <c r="YC9" s="9">
        <v>35827</v>
      </c>
      <c r="YD9" s="9">
        <v>35855</v>
      </c>
      <c r="YE9" s="9">
        <v>35886</v>
      </c>
      <c r="YF9" s="9">
        <v>35916</v>
      </c>
      <c r="YG9" s="9">
        <v>35947</v>
      </c>
      <c r="YH9" s="9">
        <v>35977</v>
      </c>
      <c r="YI9" s="9">
        <v>36008</v>
      </c>
      <c r="YJ9" s="9">
        <v>36039</v>
      </c>
      <c r="YK9" s="9">
        <v>36069</v>
      </c>
      <c r="YL9" s="9">
        <v>36100</v>
      </c>
      <c r="YM9" s="9">
        <v>36130</v>
      </c>
      <c r="YN9" s="10" t="s">
        <v>55</v>
      </c>
      <c r="YO9" s="9">
        <v>36161</v>
      </c>
      <c r="YP9" s="9">
        <v>36192</v>
      </c>
      <c r="YQ9" s="9">
        <v>36220</v>
      </c>
      <c r="YR9" s="9">
        <v>36251</v>
      </c>
      <c r="YS9" s="9">
        <v>36281</v>
      </c>
      <c r="YT9" s="9">
        <v>36312</v>
      </c>
      <c r="YU9" s="9">
        <v>36342</v>
      </c>
      <c r="YV9" s="9">
        <v>36373</v>
      </c>
      <c r="YW9" s="9">
        <v>36404</v>
      </c>
      <c r="YX9" s="9">
        <v>36434</v>
      </c>
      <c r="YY9" s="9">
        <v>36465</v>
      </c>
      <c r="YZ9" s="9">
        <v>36495</v>
      </c>
      <c r="ZA9" s="10" t="s">
        <v>56</v>
      </c>
      <c r="ZB9" s="9">
        <v>36526</v>
      </c>
      <c r="ZC9" s="9">
        <v>36557</v>
      </c>
      <c r="ZD9" s="9">
        <v>36586</v>
      </c>
      <c r="ZE9" s="9">
        <v>36617</v>
      </c>
      <c r="ZF9" s="9">
        <v>36647</v>
      </c>
      <c r="ZG9" s="9">
        <v>36678</v>
      </c>
      <c r="ZH9" s="9">
        <v>36708</v>
      </c>
      <c r="ZI9" s="9">
        <v>36739</v>
      </c>
      <c r="ZJ9" s="9">
        <v>36770</v>
      </c>
      <c r="ZK9" s="9">
        <v>36800</v>
      </c>
      <c r="ZL9" s="9">
        <v>36831</v>
      </c>
      <c r="ZM9" s="9">
        <v>36861</v>
      </c>
      <c r="ZN9" s="10" t="s">
        <v>57</v>
      </c>
      <c r="ZO9" s="9">
        <v>36892</v>
      </c>
      <c r="ZP9" s="9">
        <v>36923</v>
      </c>
      <c r="ZQ9" s="9">
        <v>36951</v>
      </c>
      <c r="ZR9" s="9">
        <v>36982</v>
      </c>
      <c r="ZS9" s="9">
        <v>37012</v>
      </c>
      <c r="ZT9" s="9">
        <v>37043</v>
      </c>
      <c r="ZU9" s="9">
        <v>37073</v>
      </c>
      <c r="ZV9" s="9">
        <v>37104</v>
      </c>
      <c r="ZW9" s="9">
        <v>37135</v>
      </c>
      <c r="ZX9" s="9">
        <v>37165</v>
      </c>
      <c r="ZY9" s="9">
        <v>37196</v>
      </c>
      <c r="ZZ9" s="9">
        <v>37226</v>
      </c>
      <c r="AAA9" s="10" t="s">
        <v>58</v>
      </c>
      <c r="AAB9" s="9">
        <v>37257</v>
      </c>
      <c r="AAC9" s="9">
        <v>37288</v>
      </c>
      <c r="AAD9" s="9">
        <v>37316</v>
      </c>
      <c r="AAE9" s="9">
        <v>37347</v>
      </c>
      <c r="AAF9" s="9">
        <v>37377</v>
      </c>
      <c r="AAG9" s="9">
        <v>37408</v>
      </c>
      <c r="AAH9" s="9">
        <v>37438</v>
      </c>
      <c r="AAI9" s="9">
        <v>37469</v>
      </c>
      <c r="AAJ9" s="9">
        <v>37500</v>
      </c>
      <c r="AAK9" s="9">
        <v>37530</v>
      </c>
      <c r="AAL9" s="9">
        <v>37561</v>
      </c>
      <c r="AAM9" s="9">
        <v>37591</v>
      </c>
      <c r="AAN9" s="10" t="s">
        <v>59</v>
      </c>
      <c r="AAO9" s="9">
        <v>37622</v>
      </c>
      <c r="AAP9" s="9">
        <v>37653</v>
      </c>
      <c r="AAQ9" s="9">
        <v>37681</v>
      </c>
      <c r="AAR9" s="9">
        <v>37712</v>
      </c>
      <c r="AAS9" s="9">
        <v>37742</v>
      </c>
      <c r="AAT9" s="9">
        <v>37773</v>
      </c>
      <c r="AAU9" s="9">
        <v>37803</v>
      </c>
      <c r="AAV9" s="9">
        <v>37834</v>
      </c>
      <c r="AAW9" s="9">
        <v>37865</v>
      </c>
      <c r="AAX9" s="9">
        <v>37895</v>
      </c>
      <c r="AAY9" s="9">
        <v>37926</v>
      </c>
      <c r="AAZ9" s="9">
        <v>37956</v>
      </c>
      <c r="ABA9" s="10" t="s">
        <v>60</v>
      </c>
      <c r="ABB9" s="9">
        <v>37987</v>
      </c>
      <c r="ABC9" s="9">
        <v>38018</v>
      </c>
      <c r="ABD9" s="9">
        <v>38047</v>
      </c>
      <c r="ABE9" s="9">
        <v>38078</v>
      </c>
      <c r="ABF9" s="9">
        <v>38108</v>
      </c>
      <c r="ABG9" s="9">
        <v>38139</v>
      </c>
      <c r="ABH9" s="9">
        <v>38169</v>
      </c>
      <c r="ABI9" s="9">
        <v>38200</v>
      </c>
      <c r="ABJ9" s="9">
        <v>38231</v>
      </c>
      <c r="ABK9" s="9">
        <v>38261</v>
      </c>
      <c r="ABL9" s="9">
        <v>38292</v>
      </c>
      <c r="ABM9" s="9">
        <v>38322</v>
      </c>
      <c r="ABN9" s="10" t="s">
        <v>61</v>
      </c>
      <c r="ABO9" s="9">
        <v>38353</v>
      </c>
      <c r="ABP9" s="9">
        <v>38384</v>
      </c>
      <c r="ABQ9" s="9">
        <v>38412</v>
      </c>
      <c r="ABR9" s="9">
        <v>38443</v>
      </c>
      <c r="ABS9" s="9">
        <v>38473</v>
      </c>
      <c r="ABT9" s="9">
        <v>38504</v>
      </c>
      <c r="ABU9" s="9">
        <v>38534</v>
      </c>
      <c r="ABV9" s="9">
        <v>38565</v>
      </c>
      <c r="ABW9" s="9">
        <v>38596</v>
      </c>
      <c r="ABX9" s="9">
        <v>38626</v>
      </c>
      <c r="ABY9" s="9">
        <v>38657</v>
      </c>
      <c r="ABZ9" s="9">
        <v>38687</v>
      </c>
      <c r="ACA9" s="10" t="s">
        <v>62</v>
      </c>
      <c r="ACB9" s="9">
        <v>38718</v>
      </c>
      <c r="ACC9" s="9">
        <v>38749</v>
      </c>
      <c r="ACD9" s="9">
        <v>38777</v>
      </c>
      <c r="ACE9" s="9">
        <v>38808</v>
      </c>
      <c r="ACF9" s="9">
        <v>38838</v>
      </c>
      <c r="ACG9" s="9">
        <v>38869</v>
      </c>
      <c r="ACH9" s="9">
        <v>38899</v>
      </c>
      <c r="ACI9" s="9">
        <v>38930</v>
      </c>
      <c r="ACJ9" s="9">
        <v>38961</v>
      </c>
      <c r="ACK9" s="9">
        <v>38991</v>
      </c>
      <c r="ACL9" s="9">
        <v>39022</v>
      </c>
      <c r="ACM9" s="9">
        <v>39052</v>
      </c>
      <c r="ACN9" s="10" t="s">
        <v>63</v>
      </c>
      <c r="ACO9" s="9">
        <v>39083</v>
      </c>
      <c r="ACP9" s="9">
        <v>39114</v>
      </c>
      <c r="ACQ9" s="9">
        <v>39142</v>
      </c>
      <c r="ACR9" s="9">
        <v>39173</v>
      </c>
      <c r="ACS9" s="9">
        <v>39203</v>
      </c>
      <c r="ACT9" s="9">
        <v>39234</v>
      </c>
      <c r="ACU9" s="9">
        <v>39264</v>
      </c>
      <c r="ACV9" s="9">
        <v>39295</v>
      </c>
      <c r="ACW9" s="9">
        <v>39326</v>
      </c>
      <c r="ACX9" s="9">
        <v>39356</v>
      </c>
      <c r="ACY9" s="9">
        <v>39387</v>
      </c>
      <c r="ACZ9" s="9">
        <v>39417</v>
      </c>
      <c r="ADA9" s="10" t="s">
        <v>64</v>
      </c>
      <c r="ADB9" s="9">
        <v>39448</v>
      </c>
      <c r="ADC9" s="9">
        <v>39479</v>
      </c>
      <c r="ADD9" s="9">
        <v>39508</v>
      </c>
      <c r="ADE9" s="9">
        <v>39539</v>
      </c>
      <c r="ADF9" s="9">
        <v>39569</v>
      </c>
      <c r="ADG9" s="9">
        <v>39600</v>
      </c>
      <c r="ADH9" s="9">
        <v>39630</v>
      </c>
      <c r="ADI9" s="9">
        <v>39661</v>
      </c>
      <c r="ADJ9" s="9">
        <v>39692</v>
      </c>
      <c r="ADK9" s="9">
        <v>39722</v>
      </c>
      <c r="ADL9" s="9">
        <v>39753</v>
      </c>
      <c r="ADM9" s="9">
        <v>39783</v>
      </c>
      <c r="ADN9" s="10" t="s">
        <v>65</v>
      </c>
      <c r="ADO9" s="9">
        <v>39814</v>
      </c>
      <c r="ADP9" s="9">
        <v>39845</v>
      </c>
      <c r="ADQ9" s="9">
        <v>39873</v>
      </c>
      <c r="ADR9" s="9">
        <v>39904</v>
      </c>
      <c r="ADS9" s="9">
        <v>39934</v>
      </c>
      <c r="ADT9" s="9">
        <v>39965</v>
      </c>
      <c r="ADU9" s="9">
        <v>39995</v>
      </c>
      <c r="ADV9" s="9">
        <v>40026</v>
      </c>
      <c r="ADW9" s="9">
        <v>40057</v>
      </c>
      <c r="ADX9" s="9">
        <v>40087</v>
      </c>
      <c r="ADY9" s="9">
        <v>40118</v>
      </c>
      <c r="ADZ9" s="9">
        <v>40148</v>
      </c>
      <c r="AEA9" s="10" t="s">
        <v>66</v>
      </c>
      <c r="AEB9" s="9">
        <v>40179</v>
      </c>
      <c r="AEC9" s="9">
        <v>40210</v>
      </c>
      <c r="AED9" s="9">
        <v>40238</v>
      </c>
      <c r="AEE9" s="9">
        <v>40269</v>
      </c>
      <c r="AEF9" s="9">
        <v>40299</v>
      </c>
      <c r="AEG9" s="9">
        <v>40330</v>
      </c>
      <c r="AEH9" s="9">
        <v>40360</v>
      </c>
      <c r="AEI9" s="9">
        <v>40391</v>
      </c>
      <c r="AEJ9" s="9">
        <v>40422</v>
      </c>
      <c r="AEK9" s="9">
        <v>40452</v>
      </c>
      <c r="AEL9" s="9">
        <v>40483</v>
      </c>
      <c r="AEM9" s="9">
        <v>40513</v>
      </c>
      <c r="AEN9" s="10" t="s">
        <v>67</v>
      </c>
      <c r="AEO9" s="9">
        <v>40544</v>
      </c>
      <c r="AEP9" s="9">
        <v>40575</v>
      </c>
      <c r="AEQ9" s="9">
        <v>40603</v>
      </c>
      <c r="AER9" s="9">
        <v>40634</v>
      </c>
      <c r="AES9" s="9">
        <v>40664</v>
      </c>
      <c r="AET9" s="9">
        <v>40695</v>
      </c>
      <c r="AEU9" s="9">
        <v>40725</v>
      </c>
      <c r="AEV9" s="9">
        <v>40756</v>
      </c>
      <c r="AEW9" s="9">
        <v>40787</v>
      </c>
      <c r="AEX9" s="9">
        <v>40817</v>
      </c>
      <c r="AEY9" s="9">
        <v>40848</v>
      </c>
      <c r="AEZ9" s="9">
        <v>40878</v>
      </c>
      <c r="AFA9" s="10" t="s">
        <v>68</v>
      </c>
      <c r="AFB9" s="9">
        <v>40909</v>
      </c>
      <c r="AFC9" s="9">
        <v>40940</v>
      </c>
      <c r="AFD9" s="9">
        <v>40969</v>
      </c>
      <c r="AFE9" s="9">
        <v>41000</v>
      </c>
      <c r="AFF9" s="9">
        <v>41030</v>
      </c>
      <c r="AFG9" s="9">
        <v>41061</v>
      </c>
      <c r="AFH9" s="9">
        <v>41091</v>
      </c>
      <c r="AFI9" s="9">
        <v>41122</v>
      </c>
      <c r="AFJ9" s="9">
        <v>41153</v>
      </c>
      <c r="AFK9" s="9">
        <v>41183</v>
      </c>
      <c r="AFL9" s="9">
        <v>41214</v>
      </c>
      <c r="AFM9" s="9">
        <v>41244</v>
      </c>
      <c r="AFN9" s="10" t="s">
        <v>69</v>
      </c>
      <c r="AFO9" s="9">
        <v>41275</v>
      </c>
      <c r="AFP9" s="9">
        <v>41306</v>
      </c>
      <c r="AFQ9" s="9">
        <v>41334</v>
      </c>
      <c r="AFR9" s="9">
        <v>41365</v>
      </c>
      <c r="AFS9" s="9">
        <v>41395</v>
      </c>
      <c r="AFT9" s="9">
        <v>41426</v>
      </c>
      <c r="AFU9" s="9">
        <v>41456</v>
      </c>
      <c r="AFV9" s="9">
        <v>41487</v>
      </c>
      <c r="AFW9" s="9">
        <v>41518</v>
      </c>
      <c r="AFX9" s="9">
        <v>41548</v>
      </c>
      <c r="AFY9" s="9">
        <v>41579</v>
      </c>
      <c r="AFZ9" s="9">
        <v>41609</v>
      </c>
      <c r="AGA9" s="11" t="s">
        <v>70</v>
      </c>
    </row>
    <row r="10" spans="1:859" ht="15.75" thickBot="1" x14ac:dyDescent="0.3">
      <c r="A10" s="12" t="s">
        <v>71</v>
      </c>
      <c r="B10" s="6">
        <v>60095</v>
      </c>
      <c r="C10" s="6">
        <v>60524</v>
      </c>
      <c r="D10" s="6">
        <v>60070</v>
      </c>
      <c r="E10" s="6">
        <v>60677</v>
      </c>
      <c r="F10" s="6">
        <v>59972</v>
      </c>
      <c r="G10" s="6">
        <v>60957</v>
      </c>
      <c r="H10" s="6">
        <v>61181</v>
      </c>
      <c r="I10" s="6">
        <v>60806</v>
      </c>
      <c r="J10" s="6">
        <v>60815</v>
      </c>
      <c r="K10" s="6">
        <v>60646</v>
      </c>
      <c r="L10" s="6">
        <v>60702</v>
      </c>
      <c r="M10" s="6">
        <v>61169</v>
      </c>
      <c r="N10" s="6"/>
      <c r="O10" s="6">
        <v>60771</v>
      </c>
      <c r="P10" s="6">
        <v>61057</v>
      </c>
      <c r="Q10" s="6">
        <v>61073</v>
      </c>
      <c r="R10" s="6">
        <v>61007</v>
      </c>
      <c r="S10" s="6">
        <v>61259</v>
      </c>
      <c r="T10" s="6">
        <v>60948</v>
      </c>
      <c r="U10" s="6">
        <v>61301</v>
      </c>
      <c r="V10" s="6">
        <v>61590</v>
      </c>
      <c r="W10" s="6">
        <v>61633</v>
      </c>
      <c r="X10" s="6">
        <v>62185</v>
      </c>
      <c r="Y10" s="6">
        <v>62005</v>
      </c>
      <c r="Z10" s="6">
        <v>61908</v>
      </c>
      <c r="AA10" s="6"/>
      <c r="AB10" s="6">
        <v>61661</v>
      </c>
      <c r="AC10" s="6">
        <v>61687</v>
      </c>
      <c r="AD10" s="6">
        <v>61604</v>
      </c>
      <c r="AE10" s="6">
        <v>62158</v>
      </c>
      <c r="AF10" s="6">
        <v>62083</v>
      </c>
      <c r="AG10" s="6">
        <v>62419</v>
      </c>
      <c r="AH10" s="6">
        <v>62121</v>
      </c>
      <c r="AI10" s="6">
        <v>62596</v>
      </c>
      <c r="AJ10" s="6">
        <v>62349</v>
      </c>
      <c r="AK10" s="6">
        <v>62428</v>
      </c>
      <c r="AL10" s="6">
        <v>62286</v>
      </c>
      <c r="AM10" s="6">
        <v>62068</v>
      </c>
      <c r="AN10" s="6"/>
      <c r="AO10" s="6">
        <v>61941</v>
      </c>
      <c r="AP10" s="6">
        <v>61778</v>
      </c>
      <c r="AQ10" s="6">
        <v>62526</v>
      </c>
      <c r="AR10" s="6">
        <v>61808</v>
      </c>
      <c r="AS10" s="6">
        <v>62044</v>
      </c>
      <c r="AT10" s="6">
        <v>61615</v>
      </c>
      <c r="AU10" s="6">
        <v>62106</v>
      </c>
      <c r="AV10" s="6">
        <v>61927</v>
      </c>
      <c r="AW10" s="6">
        <v>61780</v>
      </c>
      <c r="AX10" s="6">
        <v>62204</v>
      </c>
      <c r="AY10" s="6">
        <v>62014</v>
      </c>
      <c r="AZ10" s="6">
        <v>62457</v>
      </c>
      <c r="BA10" s="6"/>
      <c r="BB10" s="6">
        <v>62432</v>
      </c>
      <c r="BC10" s="6">
        <v>62419</v>
      </c>
      <c r="BD10" s="6">
        <v>61721</v>
      </c>
      <c r="BE10" s="6">
        <v>61720</v>
      </c>
      <c r="BF10" s="6">
        <v>62058</v>
      </c>
      <c r="BG10" s="6">
        <v>62103</v>
      </c>
      <c r="BH10" s="6">
        <v>61962</v>
      </c>
      <c r="BI10" s="6">
        <v>61877</v>
      </c>
      <c r="BJ10" s="6">
        <v>62457</v>
      </c>
      <c r="BK10" s="6">
        <v>61971</v>
      </c>
      <c r="BL10" s="6">
        <v>62491</v>
      </c>
      <c r="BM10" s="6">
        <v>62621</v>
      </c>
      <c r="BN10" s="6"/>
      <c r="BO10" s="6">
        <v>63439</v>
      </c>
      <c r="BP10" s="6">
        <v>63520</v>
      </c>
      <c r="BQ10" s="6">
        <v>63657</v>
      </c>
      <c r="BR10" s="6">
        <v>63167</v>
      </c>
      <c r="BS10" s="6">
        <v>62615</v>
      </c>
      <c r="BT10" s="6">
        <v>63063</v>
      </c>
      <c r="BU10" s="6">
        <v>63057</v>
      </c>
      <c r="BV10" s="6">
        <v>62816</v>
      </c>
      <c r="BW10" s="6">
        <v>62727</v>
      </c>
      <c r="BX10" s="6">
        <v>62867</v>
      </c>
      <c r="BY10" s="6">
        <v>62949</v>
      </c>
      <c r="BZ10" s="6">
        <v>62795</v>
      </c>
      <c r="CA10" s="6"/>
      <c r="CB10" s="6">
        <v>63101</v>
      </c>
      <c r="CC10" s="6">
        <v>63994</v>
      </c>
      <c r="CD10" s="6">
        <v>63793</v>
      </c>
      <c r="CE10" s="6">
        <v>63934</v>
      </c>
      <c r="CF10" s="6">
        <v>63675</v>
      </c>
      <c r="CG10" s="6">
        <v>63343</v>
      </c>
      <c r="CH10" s="6">
        <v>63302</v>
      </c>
      <c r="CI10" s="6">
        <v>63707</v>
      </c>
      <c r="CJ10" s="6">
        <v>64209</v>
      </c>
      <c r="CK10" s="6">
        <v>63936</v>
      </c>
      <c r="CL10" s="6">
        <v>63759</v>
      </c>
      <c r="CM10" s="6">
        <v>63312</v>
      </c>
      <c r="CN10" s="6"/>
      <c r="CO10" s="6">
        <v>63910</v>
      </c>
      <c r="CP10" s="6">
        <v>63696</v>
      </c>
      <c r="CQ10" s="6">
        <v>63882</v>
      </c>
      <c r="CR10" s="6">
        <v>64564</v>
      </c>
      <c r="CS10" s="6">
        <v>64381</v>
      </c>
      <c r="CT10" s="6">
        <v>64482</v>
      </c>
      <c r="CU10" s="6">
        <v>65145</v>
      </c>
      <c r="CV10" s="6">
        <v>65581</v>
      </c>
      <c r="CW10" s="6">
        <v>65628</v>
      </c>
      <c r="CX10" s="6">
        <v>65821</v>
      </c>
      <c r="CY10" s="6">
        <v>66037</v>
      </c>
      <c r="CZ10" s="6">
        <v>66445</v>
      </c>
      <c r="DA10" s="6"/>
      <c r="DB10" s="6">
        <v>66419</v>
      </c>
      <c r="DC10" s="6">
        <v>66124</v>
      </c>
      <c r="DD10" s="6">
        <v>66175</v>
      </c>
      <c r="DE10" s="6">
        <v>66264</v>
      </c>
      <c r="DF10" s="6">
        <v>66722</v>
      </c>
      <c r="DG10" s="6">
        <v>66702</v>
      </c>
      <c r="DH10" s="6">
        <v>66752</v>
      </c>
      <c r="DI10" s="6">
        <v>66673</v>
      </c>
      <c r="DJ10" s="6">
        <v>66714</v>
      </c>
      <c r="DK10" s="6">
        <v>66546</v>
      </c>
      <c r="DL10" s="6">
        <v>66657</v>
      </c>
      <c r="DM10" s="6">
        <v>66700</v>
      </c>
      <c r="DN10" s="6"/>
      <c r="DO10" s="6">
        <v>66428</v>
      </c>
      <c r="DP10" s="6">
        <v>66879</v>
      </c>
      <c r="DQ10" s="6">
        <v>66913</v>
      </c>
      <c r="DR10" s="6">
        <v>66647</v>
      </c>
      <c r="DS10" s="6">
        <v>66695</v>
      </c>
      <c r="DT10" s="6">
        <v>67052</v>
      </c>
      <c r="DU10" s="6">
        <v>67336</v>
      </c>
      <c r="DV10" s="6">
        <v>66706</v>
      </c>
      <c r="DW10" s="6">
        <v>67064</v>
      </c>
      <c r="DX10" s="6">
        <v>67066</v>
      </c>
      <c r="DY10" s="6">
        <v>67123</v>
      </c>
      <c r="DZ10" s="6">
        <v>67398</v>
      </c>
      <c r="EA10" s="6"/>
      <c r="EB10" s="6">
        <v>67095</v>
      </c>
      <c r="EC10" s="6">
        <v>67201</v>
      </c>
      <c r="ED10" s="6">
        <v>67223</v>
      </c>
      <c r="EE10" s="6">
        <v>67647</v>
      </c>
      <c r="EF10" s="6">
        <v>67895</v>
      </c>
      <c r="EG10" s="6">
        <v>67674</v>
      </c>
      <c r="EH10" s="6">
        <v>67824</v>
      </c>
      <c r="EI10" s="6">
        <v>68037</v>
      </c>
      <c r="EJ10" s="6">
        <v>68002</v>
      </c>
      <c r="EK10" s="6">
        <v>68045</v>
      </c>
      <c r="EL10" s="6">
        <v>67658</v>
      </c>
      <c r="EM10" s="6">
        <v>67740</v>
      </c>
      <c r="EN10" s="6"/>
      <c r="EO10" s="6">
        <v>67936</v>
      </c>
      <c r="EP10" s="6">
        <v>67649</v>
      </c>
      <c r="EQ10" s="6">
        <v>68068</v>
      </c>
      <c r="ER10" s="6">
        <v>68339</v>
      </c>
      <c r="ES10" s="6">
        <v>68178</v>
      </c>
      <c r="ET10" s="6">
        <v>68278</v>
      </c>
      <c r="EU10" s="6">
        <v>68539</v>
      </c>
      <c r="EV10" s="6">
        <v>68432</v>
      </c>
      <c r="EW10" s="6">
        <v>68545</v>
      </c>
      <c r="EX10" s="6">
        <v>68821</v>
      </c>
      <c r="EY10" s="6">
        <v>68533</v>
      </c>
      <c r="EZ10" s="6">
        <v>68994</v>
      </c>
      <c r="FA10" s="6"/>
      <c r="FB10" s="6">
        <v>68962</v>
      </c>
      <c r="FC10" s="6">
        <v>68949</v>
      </c>
      <c r="FD10" s="6">
        <v>68399</v>
      </c>
      <c r="FE10" s="6">
        <v>69579</v>
      </c>
      <c r="FF10" s="6">
        <v>69626</v>
      </c>
      <c r="FG10" s="6">
        <v>69934</v>
      </c>
      <c r="FH10" s="6">
        <v>69745</v>
      </c>
      <c r="FI10" s="6">
        <v>69841</v>
      </c>
      <c r="FJ10" s="6">
        <v>70151</v>
      </c>
      <c r="FK10" s="6">
        <v>69884</v>
      </c>
      <c r="FL10" s="6">
        <v>70439</v>
      </c>
      <c r="FM10" s="6">
        <v>70395</v>
      </c>
      <c r="FN10" s="6"/>
      <c r="FO10" s="6">
        <v>70447</v>
      </c>
      <c r="FP10" s="6">
        <v>70420</v>
      </c>
      <c r="FQ10" s="6">
        <v>70703</v>
      </c>
      <c r="FR10" s="6">
        <v>70267</v>
      </c>
      <c r="FS10" s="6">
        <v>70452</v>
      </c>
      <c r="FT10" s="6">
        <v>70878</v>
      </c>
      <c r="FU10" s="6">
        <v>70536</v>
      </c>
      <c r="FV10" s="6">
        <v>70534</v>
      </c>
      <c r="FW10" s="6">
        <v>70217</v>
      </c>
      <c r="FX10" s="6">
        <v>70492</v>
      </c>
      <c r="FY10" s="6">
        <v>70376</v>
      </c>
      <c r="FZ10" s="6">
        <v>70077</v>
      </c>
      <c r="GA10" s="6"/>
      <c r="GB10" s="6">
        <v>70189</v>
      </c>
      <c r="GC10" s="6">
        <v>70409</v>
      </c>
      <c r="GD10" s="6">
        <v>70414</v>
      </c>
      <c r="GE10" s="6">
        <v>70278</v>
      </c>
      <c r="GF10" s="6">
        <v>70551</v>
      </c>
      <c r="GG10" s="6">
        <v>70514</v>
      </c>
      <c r="GH10" s="6">
        <v>70302</v>
      </c>
      <c r="GI10" s="6">
        <v>70981</v>
      </c>
      <c r="GJ10" s="6">
        <v>71153</v>
      </c>
      <c r="GK10" s="6">
        <v>70917</v>
      </c>
      <c r="GL10" s="6">
        <v>70871</v>
      </c>
      <c r="GM10" s="6">
        <v>70854</v>
      </c>
      <c r="GN10" s="6"/>
      <c r="GO10" s="6">
        <v>71146</v>
      </c>
      <c r="GP10" s="6">
        <v>71262</v>
      </c>
      <c r="GQ10" s="6">
        <v>71423</v>
      </c>
      <c r="GR10" s="6">
        <v>71697</v>
      </c>
      <c r="GS10" s="6">
        <v>71832</v>
      </c>
      <c r="GT10" s="6">
        <v>71626</v>
      </c>
      <c r="GU10" s="6">
        <v>71956</v>
      </c>
      <c r="GV10" s="6">
        <v>71786</v>
      </c>
      <c r="GW10" s="6">
        <v>72131</v>
      </c>
      <c r="GX10" s="6">
        <v>72281</v>
      </c>
      <c r="GY10" s="6">
        <v>72418</v>
      </c>
      <c r="GZ10" s="6">
        <v>72188</v>
      </c>
      <c r="HA10" s="6"/>
      <c r="HB10" s="6">
        <v>72356</v>
      </c>
      <c r="HC10" s="6">
        <v>72683</v>
      </c>
      <c r="HD10" s="6">
        <v>72713</v>
      </c>
      <c r="HE10" s="6">
        <v>73274</v>
      </c>
      <c r="HF10" s="6">
        <v>73395</v>
      </c>
      <c r="HG10" s="6">
        <v>73032</v>
      </c>
      <c r="HH10" s="6">
        <v>73007</v>
      </c>
      <c r="HI10" s="6">
        <v>73118</v>
      </c>
      <c r="HJ10" s="6">
        <v>73290</v>
      </c>
      <c r="HK10" s="6">
        <v>73308</v>
      </c>
      <c r="HL10" s="6">
        <v>73286</v>
      </c>
      <c r="HM10" s="6">
        <v>73465</v>
      </c>
      <c r="HN10" s="6"/>
      <c r="HO10" s="6">
        <v>73569</v>
      </c>
      <c r="HP10" s="6">
        <v>73857</v>
      </c>
      <c r="HQ10" s="6">
        <v>73949</v>
      </c>
      <c r="HR10" s="6">
        <v>74228</v>
      </c>
      <c r="HS10" s="6">
        <v>74466</v>
      </c>
      <c r="HT10" s="6">
        <v>74412</v>
      </c>
      <c r="HU10" s="6">
        <v>74761</v>
      </c>
      <c r="HV10" s="6">
        <v>74616</v>
      </c>
      <c r="HW10" s="6">
        <v>74502</v>
      </c>
      <c r="HX10" s="6">
        <v>74838</v>
      </c>
      <c r="HY10" s="6">
        <v>74797</v>
      </c>
      <c r="HZ10" s="6">
        <v>75093</v>
      </c>
      <c r="IA10" s="6"/>
      <c r="IB10" s="6">
        <v>75186</v>
      </c>
      <c r="IC10" s="6">
        <v>74954</v>
      </c>
      <c r="ID10" s="6">
        <v>75075</v>
      </c>
      <c r="IE10" s="6">
        <v>75338</v>
      </c>
      <c r="IF10" s="6">
        <v>75447</v>
      </c>
      <c r="IG10" s="6">
        <v>75647</v>
      </c>
      <c r="IH10" s="6">
        <v>75736</v>
      </c>
      <c r="II10" s="6">
        <v>76046</v>
      </c>
      <c r="IJ10" s="6">
        <v>76056</v>
      </c>
      <c r="IK10" s="6">
        <v>76199</v>
      </c>
      <c r="IL10" s="6">
        <v>76610</v>
      </c>
      <c r="IM10" s="6">
        <v>76641</v>
      </c>
      <c r="IN10" s="6"/>
      <c r="IO10" s="6">
        <v>76639</v>
      </c>
      <c r="IP10" s="6">
        <v>76521</v>
      </c>
      <c r="IQ10" s="6">
        <v>76328</v>
      </c>
      <c r="IR10" s="6">
        <v>76777</v>
      </c>
      <c r="IS10" s="6">
        <v>76773</v>
      </c>
      <c r="IT10" s="6">
        <v>77270</v>
      </c>
      <c r="IU10" s="6">
        <v>77464</v>
      </c>
      <c r="IV10" s="6">
        <v>77712</v>
      </c>
      <c r="IW10" s="6">
        <v>77812</v>
      </c>
      <c r="IX10" s="6">
        <v>78194</v>
      </c>
      <c r="IY10" s="6">
        <v>78191</v>
      </c>
      <c r="IZ10" s="6">
        <v>78491</v>
      </c>
      <c r="JA10" s="6"/>
      <c r="JB10" s="6">
        <v>77578</v>
      </c>
      <c r="JC10" s="6">
        <v>78230</v>
      </c>
      <c r="JD10" s="6">
        <v>78256</v>
      </c>
      <c r="JE10" s="6">
        <v>78270</v>
      </c>
      <c r="JF10" s="6">
        <v>78847</v>
      </c>
      <c r="JG10" s="6">
        <v>79120</v>
      </c>
      <c r="JH10" s="6">
        <v>78970</v>
      </c>
      <c r="JI10" s="6">
        <v>78811</v>
      </c>
      <c r="JJ10" s="6">
        <v>78858</v>
      </c>
      <c r="JK10" s="6">
        <v>78913</v>
      </c>
      <c r="JL10" s="6">
        <v>79209</v>
      </c>
      <c r="JM10" s="6">
        <v>79463</v>
      </c>
      <c r="JN10" s="6"/>
      <c r="JO10" s="6">
        <v>79523</v>
      </c>
      <c r="JP10" s="6">
        <v>80019</v>
      </c>
      <c r="JQ10" s="6">
        <v>80079</v>
      </c>
      <c r="JR10" s="6">
        <v>80281</v>
      </c>
      <c r="JS10" s="6">
        <v>80125</v>
      </c>
      <c r="JT10" s="6">
        <v>80696</v>
      </c>
      <c r="JU10" s="6">
        <v>80827</v>
      </c>
      <c r="JV10" s="6">
        <v>81106</v>
      </c>
      <c r="JW10" s="6">
        <v>81290</v>
      </c>
      <c r="JX10" s="6">
        <v>81494</v>
      </c>
      <c r="JY10" s="6">
        <v>81397</v>
      </c>
      <c r="JZ10" s="6">
        <v>81624</v>
      </c>
      <c r="KA10" s="6"/>
      <c r="KB10" s="6">
        <v>81981</v>
      </c>
      <c r="KC10" s="6">
        <v>82151</v>
      </c>
      <c r="KD10" s="6">
        <v>82498</v>
      </c>
      <c r="KE10" s="6">
        <v>82727</v>
      </c>
      <c r="KF10" s="6">
        <v>82483</v>
      </c>
      <c r="KG10" s="6">
        <v>82484</v>
      </c>
      <c r="KH10" s="6">
        <v>82901</v>
      </c>
      <c r="KI10" s="6">
        <v>82880</v>
      </c>
      <c r="KJ10" s="6">
        <v>82954</v>
      </c>
      <c r="KK10" s="6">
        <v>83276</v>
      </c>
      <c r="KL10" s="6">
        <v>83548</v>
      </c>
      <c r="KM10" s="6">
        <v>83670</v>
      </c>
      <c r="KN10" s="6"/>
      <c r="KO10" s="6">
        <v>83850</v>
      </c>
      <c r="KP10" s="6">
        <v>83603</v>
      </c>
      <c r="KQ10" s="6">
        <v>83575</v>
      </c>
      <c r="KR10" s="6">
        <v>83946</v>
      </c>
      <c r="KS10" s="6">
        <v>84135</v>
      </c>
      <c r="KT10" s="6">
        <v>83706</v>
      </c>
      <c r="KU10" s="6">
        <v>84340</v>
      </c>
      <c r="KV10" s="6">
        <v>84673</v>
      </c>
      <c r="KW10" s="6">
        <v>84731</v>
      </c>
      <c r="KX10" s="6">
        <v>84872</v>
      </c>
      <c r="KY10" s="6">
        <v>85458</v>
      </c>
      <c r="KZ10" s="6">
        <v>85625</v>
      </c>
      <c r="LA10" s="6"/>
      <c r="LB10" s="6">
        <v>85978</v>
      </c>
      <c r="LC10" s="6">
        <v>86036</v>
      </c>
      <c r="LD10" s="6">
        <v>86611</v>
      </c>
      <c r="LE10" s="6">
        <v>86614</v>
      </c>
      <c r="LF10" s="6">
        <v>86809</v>
      </c>
      <c r="LG10" s="6">
        <v>87006</v>
      </c>
      <c r="LH10" s="6">
        <v>87143</v>
      </c>
      <c r="LI10" s="6">
        <v>87517</v>
      </c>
      <c r="LJ10" s="6">
        <v>87392</v>
      </c>
      <c r="LK10" s="6">
        <v>87491</v>
      </c>
      <c r="LL10" s="6">
        <v>87592</v>
      </c>
      <c r="LM10" s="6">
        <v>87943</v>
      </c>
      <c r="LN10" s="6"/>
      <c r="LO10" s="6">
        <v>87487</v>
      </c>
      <c r="LP10" s="6">
        <v>88364</v>
      </c>
      <c r="LQ10" s="6">
        <v>88846</v>
      </c>
      <c r="LR10" s="6">
        <v>89018</v>
      </c>
      <c r="LS10" s="6">
        <v>88977</v>
      </c>
      <c r="LT10" s="6">
        <v>89548</v>
      </c>
      <c r="LU10" s="6">
        <v>89604</v>
      </c>
      <c r="LV10" s="6">
        <v>89509</v>
      </c>
      <c r="LW10" s="6">
        <v>89838</v>
      </c>
      <c r="LX10" s="6">
        <v>90131</v>
      </c>
      <c r="LY10" s="6">
        <v>90716</v>
      </c>
      <c r="LZ10" s="6">
        <v>90890</v>
      </c>
      <c r="MA10" s="6"/>
      <c r="MB10" s="6">
        <v>91199</v>
      </c>
      <c r="MC10" s="6">
        <v>91485</v>
      </c>
      <c r="MD10" s="6">
        <v>91453</v>
      </c>
      <c r="ME10" s="6">
        <v>91287</v>
      </c>
      <c r="MF10" s="6">
        <v>91596</v>
      </c>
      <c r="MG10" s="6">
        <v>91868</v>
      </c>
      <c r="MH10" s="6">
        <v>92212</v>
      </c>
      <c r="MI10" s="6">
        <v>92059</v>
      </c>
      <c r="MJ10" s="6">
        <v>92488</v>
      </c>
      <c r="MK10" s="6">
        <v>92518</v>
      </c>
      <c r="ML10" s="6">
        <v>92766</v>
      </c>
      <c r="MM10" s="6">
        <v>92780</v>
      </c>
      <c r="MN10" s="6"/>
      <c r="MO10" s="6">
        <v>93128</v>
      </c>
      <c r="MP10" s="6">
        <v>92776</v>
      </c>
      <c r="MQ10" s="6">
        <v>93165</v>
      </c>
      <c r="MR10" s="6">
        <v>93399</v>
      </c>
      <c r="MS10" s="6">
        <v>93884</v>
      </c>
      <c r="MT10" s="6">
        <v>93575</v>
      </c>
      <c r="MU10" s="6">
        <v>94021</v>
      </c>
      <c r="MV10" s="6">
        <v>94162</v>
      </c>
      <c r="MW10" s="6">
        <v>94202</v>
      </c>
      <c r="MX10" s="6">
        <v>94267</v>
      </c>
      <c r="MY10" s="6">
        <v>94250</v>
      </c>
      <c r="MZ10" s="6">
        <v>94409</v>
      </c>
      <c r="NA10" s="6"/>
      <c r="NB10" s="6">
        <v>94934</v>
      </c>
      <c r="NC10" s="6">
        <v>94998</v>
      </c>
      <c r="ND10" s="6">
        <v>95215</v>
      </c>
      <c r="NE10" s="6">
        <v>95746</v>
      </c>
      <c r="NF10" s="6">
        <v>95847</v>
      </c>
      <c r="NG10" s="6">
        <v>95885</v>
      </c>
      <c r="NH10" s="6">
        <v>96583</v>
      </c>
      <c r="NI10" s="6">
        <v>96741</v>
      </c>
      <c r="NJ10" s="6">
        <v>96553</v>
      </c>
      <c r="NK10" s="6">
        <v>96704</v>
      </c>
      <c r="NL10" s="6">
        <v>97254</v>
      </c>
      <c r="NM10" s="6">
        <v>97348</v>
      </c>
      <c r="NN10" s="6"/>
      <c r="NO10" s="6">
        <v>97208</v>
      </c>
      <c r="NP10" s="6">
        <v>97785</v>
      </c>
      <c r="NQ10" s="6">
        <v>98115</v>
      </c>
      <c r="NR10" s="6">
        <v>98330</v>
      </c>
      <c r="NS10" s="6">
        <v>98665</v>
      </c>
      <c r="NT10" s="6">
        <v>99093</v>
      </c>
      <c r="NU10" s="6">
        <v>98913</v>
      </c>
      <c r="NV10" s="6">
        <v>99366</v>
      </c>
      <c r="NW10" s="6">
        <v>99453</v>
      </c>
      <c r="NX10" s="6">
        <v>99815</v>
      </c>
      <c r="NY10" s="6">
        <v>100576</v>
      </c>
      <c r="NZ10" s="6">
        <v>100491</v>
      </c>
      <c r="OA10" s="6"/>
      <c r="OB10" s="6">
        <v>100873</v>
      </c>
      <c r="OC10" s="6">
        <v>100837</v>
      </c>
      <c r="OD10" s="6">
        <v>101092</v>
      </c>
      <c r="OE10" s="6">
        <v>101574</v>
      </c>
      <c r="OF10" s="6">
        <v>101896</v>
      </c>
      <c r="OG10" s="6">
        <v>102371</v>
      </c>
      <c r="OH10" s="6">
        <v>102399</v>
      </c>
      <c r="OI10" s="6">
        <v>102511</v>
      </c>
      <c r="OJ10" s="6">
        <v>102795</v>
      </c>
      <c r="OK10" s="6">
        <v>103080</v>
      </c>
      <c r="OL10" s="6">
        <v>103562</v>
      </c>
      <c r="OM10" s="6">
        <v>103809</v>
      </c>
      <c r="ON10" s="6"/>
      <c r="OO10" s="6">
        <v>104057</v>
      </c>
      <c r="OP10" s="6">
        <v>104502</v>
      </c>
      <c r="OQ10" s="6">
        <v>104589</v>
      </c>
      <c r="OR10" s="6">
        <v>104172</v>
      </c>
      <c r="OS10" s="6">
        <v>104171</v>
      </c>
      <c r="OT10" s="6">
        <v>104638</v>
      </c>
      <c r="OU10" s="6">
        <v>105002</v>
      </c>
      <c r="OV10" s="6">
        <v>105096</v>
      </c>
      <c r="OW10" s="6">
        <v>105530</v>
      </c>
      <c r="OX10" s="6">
        <v>105700</v>
      </c>
      <c r="OY10" s="6">
        <v>105812</v>
      </c>
      <c r="OZ10" s="6">
        <v>106258</v>
      </c>
      <c r="PA10" s="6"/>
      <c r="PB10" s="6">
        <v>106562</v>
      </c>
      <c r="PC10" s="6">
        <v>106697</v>
      </c>
      <c r="PD10" s="6">
        <v>106442</v>
      </c>
      <c r="PE10" s="6">
        <v>106591</v>
      </c>
      <c r="PF10" s="6">
        <v>106929</v>
      </c>
      <c r="PG10" s="6">
        <v>106780</v>
      </c>
      <c r="PH10" s="6">
        <v>107159</v>
      </c>
      <c r="PI10" s="6">
        <v>107105</v>
      </c>
      <c r="PJ10" s="6">
        <v>107098</v>
      </c>
      <c r="PK10" s="6">
        <v>107405</v>
      </c>
      <c r="PL10" s="6">
        <v>107568</v>
      </c>
      <c r="PM10" s="6">
        <v>107352</v>
      </c>
      <c r="PN10" s="6"/>
      <c r="PO10" s="6">
        <v>108026</v>
      </c>
      <c r="PP10" s="6">
        <v>108242</v>
      </c>
      <c r="PQ10" s="6">
        <v>108553</v>
      </c>
      <c r="PR10" s="6">
        <v>108925</v>
      </c>
      <c r="PS10" s="6">
        <v>109222</v>
      </c>
      <c r="PT10" s="6">
        <v>108396</v>
      </c>
      <c r="PU10" s="6">
        <v>108556</v>
      </c>
      <c r="PV10" s="6">
        <v>108725</v>
      </c>
      <c r="PW10" s="6">
        <v>108294</v>
      </c>
      <c r="PX10" s="6">
        <v>109024</v>
      </c>
      <c r="PY10" s="6">
        <v>109236</v>
      </c>
      <c r="PZ10" s="6">
        <v>108912</v>
      </c>
      <c r="QA10" s="6"/>
      <c r="QB10" s="6">
        <v>109089</v>
      </c>
      <c r="QC10" s="6">
        <v>109467</v>
      </c>
      <c r="QD10" s="6">
        <v>109567</v>
      </c>
      <c r="QE10" s="6">
        <v>109820</v>
      </c>
      <c r="QF10" s="6">
        <v>110451</v>
      </c>
      <c r="QG10" s="6">
        <v>110081</v>
      </c>
      <c r="QH10" s="6">
        <v>110342</v>
      </c>
      <c r="QI10" s="6">
        <v>110514</v>
      </c>
      <c r="QJ10" s="6">
        <v>110721</v>
      </c>
      <c r="QK10" s="6">
        <v>110744</v>
      </c>
      <c r="QL10" s="6">
        <v>111050</v>
      </c>
      <c r="QM10" s="6">
        <v>111083</v>
      </c>
      <c r="QN10" s="6"/>
      <c r="QO10" s="6">
        <v>110695</v>
      </c>
      <c r="QP10" s="6">
        <v>110634</v>
      </c>
      <c r="QQ10" s="6">
        <v>110587</v>
      </c>
      <c r="QR10" s="6">
        <v>110828</v>
      </c>
      <c r="QS10" s="6">
        <v>110796</v>
      </c>
      <c r="QT10" s="6">
        <v>111879</v>
      </c>
      <c r="QU10" s="6">
        <v>111756</v>
      </c>
      <c r="QV10" s="6">
        <v>112231</v>
      </c>
      <c r="QW10" s="6">
        <v>112298</v>
      </c>
      <c r="QX10" s="6">
        <v>111926</v>
      </c>
      <c r="QY10" s="6">
        <v>112228</v>
      </c>
      <c r="QZ10" s="6">
        <v>112327</v>
      </c>
      <c r="RA10" s="6"/>
      <c r="RB10" s="6">
        <v>112209</v>
      </c>
      <c r="RC10" s="6">
        <v>112615</v>
      </c>
      <c r="RD10" s="6">
        <v>112713</v>
      </c>
      <c r="RE10" s="6">
        <v>113098</v>
      </c>
      <c r="RF10" s="6">
        <v>113649</v>
      </c>
      <c r="RG10" s="6">
        <v>113817</v>
      </c>
      <c r="RH10" s="6">
        <v>113972</v>
      </c>
      <c r="RI10" s="6">
        <v>113682</v>
      </c>
      <c r="RJ10" s="6">
        <v>113857</v>
      </c>
      <c r="RK10" s="6">
        <v>114019</v>
      </c>
      <c r="RL10" s="6">
        <v>114170</v>
      </c>
      <c r="RM10" s="6">
        <v>114581</v>
      </c>
      <c r="RN10" s="6"/>
      <c r="RO10" s="6">
        <v>114725</v>
      </c>
      <c r="RP10" s="6">
        <v>114876</v>
      </c>
      <c r="RQ10" s="6">
        <v>115328</v>
      </c>
      <c r="RR10" s="6">
        <v>115331</v>
      </c>
      <c r="RS10" s="6">
        <v>115234</v>
      </c>
      <c r="RT10" s="6">
        <v>114965</v>
      </c>
      <c r="RU10" s="6">
        <v>115320</v>
      </c>
      <c r="RV10" s="6">
        <v>115291</v>
      </c>
      <c r="RW10" s="6">
        <v>115905</v>
      </c>
      <c r="RX10" s="6">
        <v>116145</v>
      </c>
      <c r="RY10" s="6">
        <v>116135</v>
      </c>
      <c r="RZ10" s="6">
        <v>116354</v>
      </c>
      <c r="SA10" s="6"/>
      <c r="SB10" s="6">
        <v>116682</v>
      </c>
      <c r="SC10" s="6">
        <v>116882</v>
      </c>
      <c r="SD10" s="6">
        <v>117220</v>
      </c>
      <c r="SE10" s="6">
        <v>117316</v>
      </c>
      <c r="SF10" s="6">
        <v>117528</v>
      </c>
      <c r="SG10" s="6">
        <v>118084</v>
      </c>
      <c r="SH10" s="6">
        <v>118129</v>
      </c>
      <c r="SI10" s="6">
        <v>118150</v>
      </c>
      <c r="SJ10" s="6">
        <v>118395</v>
      </c>
      <c r="SK10" s="6">
        <v>118516</v>
      </c>
      <c r="SL10" s="6">
        <v>118634</v>
      </c>
      <c r="SM10" s="6">
        <v>118611</v>
      </c>
      <c r="SN10" s="6"/>
      <c r="SO10" s="6">
        <v>118845</v>
      </c>
      <c r="SP10" s="6">
        <v>119122</v>
      </c>
      <c r="SQ10" s="6">
        <v>119270</v>
      </c>
      <c r="SR10" s="6">
        <v>119336</v>
      </c>
      <c r="SS10" s="6">
        <v>120008</v>
      </c>
      <c r="ST10" s="6">
        <v>119644</v>
      </c>
      <c r="SU10" s="6">
        <v>119902</v>
      </c>
      <c r="SV10" s="6">
        <v>120318</v>
      </c>
      <c r="SW10" s="6">
        <v>120011</v>
      </c>
      <c r="SX10" s="6">
        <v>120509</v>
      </c>
      <c r="SY10" s="6">
        <v>120540</v>
      </c>
      <c r="SZ10" s="6">
        <v>120729</v>
      </c>
      <c r="TA10" s="6"/>
      <c r="TB10" s="6">
        <v>120969</v>
      </c>
      <c r="TC10" s="6">
        <v>121156</v>
      </c>
      <c r="TD10" s="6">
        <v>120913</v>
      </c>
      <c r="TE10" s="6">
        <v>121251</v>
      </c>
      <c r="TF10" s="6">
        <v>121071</v>
      </c>
      <c r="TG10" s="6">
        <v>121473</v>
      </c>
      <c r="TH10" s="6">
        <v>121665</v>
      </c>
      <c r="TI10" s="6">
        <v>122125</v>
      </c>
      <c r="TJ10" s="6">
        <v>121960</v>
      </c>
      <c r="TK10" s="6">
        <v>122206</v>
      </c>
      <c r="TL10" s="6">
        <v>122637</v>
      </c>
      <c r="TM10" s="6">
        <v>122622</v>
      </c>
      <c r="TN10" s="6"/>
      <c r="TO10" s="6">
        <v>123390</v>
      </c>
      <c r="TP10" s="6">
        <v>123135</v>
      </c>
      <c r="TQ10" s="6">
        <v>123227</v>
      </c>
      <c r="TR10" s="6">
        <v>123565</v>
      </c>
      <c r="TS10" s="6">
        <v>123474</v>
      </c>
      <c r="TT10" s="6">
        <v>123995</v>
      </c>
      <c r="TU10" s="6">
        <v>123967</v>
      </c>
      <c r="TV10" s="6">
        <v>124166</v>
      </c>
      <c r="TW10" s="6">
        <v>123944</v>
      </c>
      <c r="TX10" s="6">
        <v>124211</v>
      </c>
      <c r="TY10" s="6">
        <v>124637</v>
      </c>
      <c r="TZ10" s="6">
        <v>124497</v>
      </c>
      <c r="UA10" s="6"/>
      <c r="UB10" s="6">
        <v>125833</v>
      </c>
      <c r="UC10" s="6">
        <v>125710</v>
      </c>
      <c r="UD10" s="6">
        <v>125801</v>
      </c>
      <c r="UE10" s="6">
        <v>125649</v>
      </c>
      <c r="UF10" s="6">
        <v>125893</v>
      </c>
      <c r="UG10" s="6">
        <v>125573</v>
      </c>
      <c r="UH10" s="6">
        <v>125732</v>
      </c>
      <c r="UI10" s="6">
        <v>125990</v>
      </c>
      <c r="UJ10" s="6">
        <v>125892</v>
      </c>
      <c r="UK10" s="6">
        <v>125995</v>
      </c>
      <c r="UL10" s="6">
        <v>126070</v>
      </c>
      <c r="UM10" s="6">
        <v>126142</v>
      </c>
      <c r="UN10" s="6"/>
      <c r="UO10" s="6">
        <v>125955</v>
      </c>
      <c r="UP10" s="6">
        <v>126020</v>
      </c>
      <c r="UQ10" s="6">
        <v>126238</v>
      </c>
      <c r="UR10" s="6">
        <v>126548</v>
      </c>
      <c r="US10" s="6">
        <v>126176</v>
      </c>
      <c r="UT10" s="6">
        <v>126331</v>
      </c>
      <c r="UU10" s="6">
        <v>126154</v>
      </c>
      <c r="UV10" s="6">
        <v>126150</v>
      </c>
      <c r="UW10" s="6">
        <v>126650</v>
      </c>
      <c r="UX10" s="6">
        <v>126642</v>
      </c>
      <c r="UY10" s="6">
        <v>126701</v>
      </c>
      <c r="UZ10" s="6">
        <v>126664</v>
      </c>
      <c r="VA10" s="6"/>
      <c r="VB10" s="6">
        <v>127261</v>
      </c>
      <c r="VC10" s="6">
        <v>127207</v>
      </c>
      <c r="VD10" s="6">
        <v>127604</v>
      </c>
      <c r="VE10" s="6">
        <v>127841</v>
      </c>
      <c r="VF10" s="6">
        <v>128119</v>
      </c>
      <c r="VG10" s="6">
        <v>128459</v>
      </c>
      <c r="VH10" s="6">
        <v>128563</v>
      </c>
      <c r="VI10" s="6">
        <v>128613</v>
      </c>
      <c r="VJ10" s="6">
        <v>128501</v>
      </c>
      <c r="VK10" s="6">
        <v>128026</v>
      </c>
      <c r="VL10" s="6">
        <v>128441</v>
      </c>
      <c r="VM10" s="6">
        <v>128554</v>
      </c>
      <c r="VN10" s="6"/>
      <c r="VO10" s="6">
        <v>128400</v>
      </c>
      <c r="VP10" s="6">
        <v>128458</v>
      </c>
      <c r="VQ10" s="6">
        <v>128598</v>
      </c>
      <c r="VR10" s="6">
        <v>128584</v>
      </c>
      <c r="VS10" s="6">
        <v>129264</v>
      </c>
      <c r="VT10" s="6">
        <v>129411</v>
      </c>
      <c r="VU10" s="6">
        <v>129397</v>
      </c>
      <c r="VV10" s="6">
        <v>129619</v>
      </c>
      <c r="VW10" s="6">
        <v>129268</v>
      </c>
      <c r="VX10" s="6">
        <v>129573</v>
      </c>
      <c r="VY10" s="6">
        <v>129711</v>
      </c>
      <c r="VZ10" s="6">
        <v>129941</v>
      </c>
      <c r="WA10" s="6"/>
      <c r="WB10" s="6">
        <v>130596</v>
      </c>
      <c r="WC10" s="6">
        <v>130669</v>
      </c>
      <c r="WD10" s="6">
        <v>130400</v>
      </c>
      <c r="WE10" s="6">
        <v>130621</v>
      </c>
      <c r="WF10" s="6">
        <v>130779</v>
      </c>
      <c r="WG10" s="6">
        <v>130561</v>
      </c>
      <c r="WH10" s="6">
        <v>130652</v>
      </c>
      <c r="WI10" s="6">
        <v>131275</v>
      </c>
      <c r="WJ10" s="6">
        <v>131421</v>
      </c>
      <c r="WK10" s="6">
        <v>131744</v>
      </c>
      <c r="WL10" s="6">
        <v>131891</v>
      </c>
      <c r="WM10" s="6">
        <v>131951</v>
      </c>
      <c r="WN10" s="6"/>
      <c r="WO10" s="6">
        <v>132038</v>
      </c>
      <c r="WP10" s="6">
        <v>132115</v>
      </c>
      <c r="WQ10" s="6">
        <v>132108</v>
      </c>
      <c r="WR10" s="6">
        <v>132590</v>
      </c>
      <c r="WS10" s="6">
        <v>131851</v>
      </c>
      <c r="WT10" s="6">
        <v>131949</v>
      </c>
      <c r="WU10" s="6">
        <v>132343</v>
      </c>
      <c r="WV10" s="6">
        <v>132336</v>
      </c>
      <c r="WW10" s="6">
        <v>132611</v>
      </c>
      <c r="WX10" s="6">
        <v>132716</v>
      </c>
      <c r="WY10" s="6">
        <v>132614</v>
      </c>
      <c r="WZ10" s="6">
        <v>132511</v>
      </c>
      <c r="XA10" s="6"/>
      <c r="XB10" s="6">
        <v>132616</v>
      </c>
      <c r="XC10" s="6">
        <v>132952</v>
      </c>
      <c r="XD10" s="6">
        <v>133180</v>
      </c>
      <c r="XE10" s="6">
        <v>133409</v>
      </c>
      <c r="XF10" s="6">
        <v>133667</v>
      </c>
      <c r="XG10" s="6">
        <v>133697</v>
      </c>
      <c r="XH10" s="6">
        <v>134284</v>
      </c>
      <c r="XI10" s="6">
        <v>134054</v>
      </c>
      <c r="XJ10" s="6">
        <v>134515</v>
      </c>
      <c r="XK10" s="6">
        <v>134921</v>
      </c>
      <c r="XL10" s="6">
        <v>135007</v>
      </c>
      <c r="XM10" s="6">
        <v>135113</v>
      </c>
      <c r="XN10" s="6"/>
      <c r="XO10" s="6">
        <v>135456</v>
      </c>
      <c r="XP10" s="6">
        <v>135400</v>
      </c>
      <c r="XQ10" s="6">
        <v>135891</v>
      </c>
      <c r="XR10" s="6">
        <v>136016</v>
      </c>
      <c r="XS10" s="6">
        <v>136119</v>
      </c>
      <c r="XT10" s="6">
        <v>136211</v>
      </c>
      <c r="XU10" s="6">
        <v>136477</v>
      </c>
      <c r="XV10" s="6">
        <v>136618</v>
      </c>
      <c r="XW10" s="6">
        <v>136675</v>
      </c>
      <c r="XX10" s="6">
        <v>136633</v>
      </c>
      <c r="XY10" s="6">
        <v>136961</v>
      </c>
      <c r="XZ10" s="6">
        <v>137155</v>
      </c>
      <c r="YA10" s="6"/>
      <c r="YB10" s="6">
        <v>137095</v>
      </c>
      <c r="YC10" s="6">
        <v>137112</v>
      </c>
      <c r="YD10" s="6">
        <v>137236</v>
      </c>
      <c r="YE10" s="6">
        <v>137150</v>
      </c>
      <c r="YF10" s="6">
        <v>137372</v>
      </c>
      <c r="YG10" s="6">
        <v>137455</v>
      </c>
      <c r="YH10" s="6">
        <v>137588</v>
      </c>
      <c r="YI10" s="6">
        <v>137570</v>
      </c>
      <c r="YJ10" s="6">
        <v>138286</v>
      </c>
      <c r="YK10" s="6">
        <v>138279</v>
      </c>
      <c r="YL10" s="6">
        <v>138381</v>
      </c>
      <c r="YM10" s="6">
        <v>138634</v>
      </c>
      <c r="YN10" s="6"/>
      <c r="YO10" s="6">
        <v>139003</v>
      </c>
      <c r="YP10" s="6">
        <v>138967</v>
      </c>
      <c r="YQ10" s="6">
        <v>138730</v>
      </c>
      <c r="YR10" s="6">
        <v>138959</v>
      </c>
      <c r="YS10" s="6">
        <v>139107</v>
      </c>
      <c r="YT10" s="6">
        <v>139329</v>
      </c>
      <c r="YU10" s="6">
        <v>139439</v>
      </c>
      <c r="YV10" s="6">
        <v>139430</v>
      </c>
      <c r="YW10" s="6">
        <v>139622</v>
      </c>
      <c r="YX10" s="6">
        <v>139771</v>
      </c>
      <c r="YY10" s="6">
        <v>140025</v>
      </c>
      <c r="YZ10" s="6">
        <v>140177</v>
      </c>
      <c r="ZA10" s="6"/>
      <c r="ZB10" s="6" t="s">
        <v>72</v>
      </c>
      <c r="ZC10" s="6">
        <v>142456</v>
      </c>
      <c r="ZD10" s="6">
        <v>142434</v>
      </c>
      <c r="ZE10" s="6">
        <v>142751</v>
      </c>
      <c r="ZF10" s="6">
        <v>142388</v>
      </c>
      <c r="ZG10" s="6">
        <v>142591</v>
      </c>
      <c r="ZH10" s="6">
        <v>142278</v>
      </c>
      <c r="ZI10" s="6">
        <v>142514</v>
      </c>
      <c r="ZJ10" s="6">
        <v>142518</v>
      </c>
      <c r="ZK10" s="6">
        <v>142622</v>
      </c>
      <c r="ZL10" s="6">
        <v>142962</v>
      </c>
      <c r="ZM10" s="6">
        <v>143248</v>
      </c>
      <c r="ZN10" s="6"/>
      <c r="ZO10" s="6">
        <v>143800</v>
      </c>
      <c r="ZP10" s="6">
        <v>143701</v>
      </c>
      <c r="ZQ10" s="6">
        <v>143924</v>
      </c>
      <c r="ZR10" s="6">
        <v>143569</v>
      </c>
      <c r="ZS10" s="6">
        <v>143318</v>
      </c>
      <c r="ZT10" s="6">
        <v>143357</v>
      </c>
      <c r="ZU10" s="6">
        <v>143654</v>
      </c>
      <c r="ZV10" s="6">
        <v>143284</v>
      </c>
      <c r="ZW10" s="6">
        <v>143989</v>
      </c>
      <c r="ZX10" s="6">
        <v>144086</v>
      </c>
      <c r="ZY10" s="6">
        <v>144240</v>
      </c>
      <c r="ZZ10" s="6">
        <v>144305</v>
      </c>
      <c r="AAA10" s="6"/>
      <c r="AAB10" s="6">
        <v>143883</v>
      </c>
      <c r="AAC10" s="6">
        <v>144653</v>
      </c>
      <c r="AAD10" s="6">
        <v>144481</v>
      </c>
      <c r="AAE10" s="6">
        <v>144725</v>
      </c>
      <c r="AAF10" s="6">
        <v>144938</v>
      </c>
      <c r="AAG10" s="6">
        <v>144808</v>
      </c>
      <c r="AAH10" s="6">
        <v>144803</v>
      </c>
      <c r="AAI10" s="6">
        <v>145009</v>
      </c>
      <c r="AAJ10" s="6">
        <v>145552</v>
      </c>
      <c r="AAK10" s="6">
        <v>145314</v>
      </c>
      <c r="AAL10" s="6">
        <v>145041</v>
      </c>
      <c r="AAM10" s="6">
        <v>145066</v>
      </c>
      <c r="AAN10" s="6"/>
      <c r="AAO10" s="6" t="s">
        <v>73</v>
      </c>
      <c r="AAP10" s="6">
        <v>146100</v>
      </c>
      <c r="AAQ10" s="6">
        <v>146022</v>
      </c>
      <c r="AAR10" s="6">
        <v>146474</v>
      </c>
      <c r="AAS10" s="6">
        <v>146500</v>
      </c>
      <c r="AAT10" s="6">
        <v>147056</v>
      </c>
      <c r="AAU10" s="6">
        <v>146485</v>
      </c>
      <c r="AAV10" s="6">
        <v>146445</v>
      </c>
      <c r="AAW10" s="6">
        <v>146530</v>
      </c>
      <c r="AAX10" s="6">
        <v>146716</v>
      </c>
      <c r="AAY10" s="6">
        <v>147000</v>
      </c>
      <c r="AAZ10" s="6">
        <v>146729</v>
      </c>
      <c r="ABA10" s="6"/>
      <c r="ABB10" s="6" t="s">
        <v>74</v>
      </c>
      <c r="ABC10" s="6">
        <v>146709</v>
      </c>
      <c r="ABD10" s="6">
        <v>146944</v>
      </c>
      <c r="ABE10" s="6">
        <v>146850</v>
      </c>
      <c r="ABF10" s="6">
        <v>147065</v>
      </c>
      <c r="ABG10" s="6">
        <v>147460</v>
      </c>
      <c r="ABH10" s="6">
        <v>147692</v>
      </c>
      <c r="ABI10" s="6">
        <v>147564</v>
      </c>
      <c r="ABJ10" s="6">
        <v>147415</v>
      </c>
      <c r="ABK10" s="6">
        <v>147793</v>
      </c>
      <c r="ABL10" s="6">
        <v>148162</v>
      </c>
      <c r="ABM10" s="6">
        <v>148059</v>
      </c>
      <c r="ABN10" s="6"/>
      <c r="ABO10" s="6" t="s">
        <v>75</v>
      </c>
      <c r="ABP10" s="6">
        <v>148364</v>
      </c>
      <c r="ABQ10" s="6">
        <v>148391</v>
      </c>
      <c r="ABR10" s="6">
        <v>148926</v>
      </c>
      <c r="ABS10" s="6">
        <v>149261</v>
      </c>
      <c r="ABT10" s="6">
        <v>149238</v>
      </c>
      <c r="ABU10" s="6">
        <v>149432</v>
      </c>
      <c r="ABV10" s="6">
        <v>149779</v>
      </c>
      <c r="ABW10" s="6">
        <v>149954</v>
      </c>
      <c r="ABX10" s="6">
        <v>150001</v>
      </c>
      <c r="ABY10" s="6">
        <v>150065</v>
      </c>
      <c r="ABZ10" s="6">
        <v>150030</v>
      </c>
      <c r="ACA10" s="6"/>
      <c r="ACB10" s="6" t="s">
        <v>76</v>
      </c>
      <c r="ACC10" s="6">
        <v>150641</v>
      </c>
      <c r="ACD10" s="6">
        <v>150813</v>
      </c>
      <c r="ACE10" s="6">
        <v>150881</v>
      </c>
      <c r="ACF10" s="6">
        <v>151069</v>
      </c>
      <c r="ACG10" s="6">
        <v>151354</v>
      </c>
      <c r="ACH10" s="6">
        <v>151377</v>
      </c>
      <c r="ACI10" s="6">
        <v>151716</v>
      </c>
      <c r="ACJ10" s="6">
        <v>151662</v>
      </c>
      <c r="ACK10" s="6">
        <v>152041</v>
      </c>
      <c r="ACL10" s="6">
        <v>152406</v>
      </c>
      <c r="ACM10" s="6">
        <v>152732</v>
      </c>
      <c r="ACN10" s="6"/>
      <c r="ACO10" s="6" t="s">
        <v>77</v>
      </c>
      <c r="ACP10" s="6">
        <v>152983</v>
      </c>
      <c r="ACQ10" s="6">
        <v>153051</v>
      </c>
      <c r="ACR10" s="6">
        <v>152435</v>
      </c>
      <c r="ACS10" s="6">
        <v>152670</v>
      </c>
      <c r="ACT10" s="6">
        <v>153041</v>
      </c>
      <c r="ACU10" s="6">
        <v>153054</v>
      </c>
      <c r="ACV10" s="6">
        <v>152749</v>
      </c>
      <c r="ACW10" s="6">
        <v>153414</v>
      </c>
      <c r="ACX10" s="6">
        <v>153183</v>
      </c>
      <c r="ACY10" s="6">
        <v>153835</v>
      </c>
      <c r="ACZ10" s="6">
        <v>153918</v>
      </c>
      <c r="ADA10" s="6"/>
      <c r="ADB10" s="6" t="s">
        <v>78</v>
      </c>
      <c r="ADC10" s="6">
        <v>153653</v>
      </c>
      <c r="ADD10" s="6">
        <v>153908</v>
      </c>
      <c r="ADE10" s="6">
        <v>153769</v>
      </c>
      <c r="ADF10" s="6">
        <v>154303</v>
      </c>
      <c r="ADG10" s="6">
        <v>154313</v>
      </c>
      <c r="ADH10" s="6">
        <v>154469</v>
      </c>
      <c r="ADI10" s="6">
        <v>154641</v>
      </c>
      <c r="ADJ10" s="6">
        <v>154570</v>
      </c>
      <c r="ADK10" s="6">
        <v>154876</v>
      </c>
      <c r="ADL10" s="6">
        <v>154639</v>
      </c>
      <c r="ADM10" s="6">
        <v>154655</v>
      </c>
      <c r="ADN10" s="6"/>
      <c r="ADO10" s="6" t="s">
        <v>79</v>
      </c>
      <c r="ADP10" s="6">
        <v>154526</v>
      </c>
      <c r="ADQ10" s="6">
        <v>154142</v>
      </c>
      <c r="ADR10" s="6">
        <v>154479</v>
      </c>
      <c r="ADS10" s="6">
        <v>154742</v>
      </c>
      <c r="ADT10" s="6">
        <v>154710</v>
      </c>
      <c r="ADU10" s="6">
        <v>154505</v>
      </c>
      <c r="ADV10" s="6">
        <v>154300</v>
      </c>
      <c r="ADW10" s="6">
        <v>153815</v>
      </c>
      <c r="ADX10" s="6">
        <v>153804</v>
      </c>
      <c r="ADY10" s="6">
        <v>153887</v>
      </c>
      <c r="ADZ10" s="6">
        <v>153120</v>
      </c>
      <c r="AEA10" s="6"/>
      <c r="AEB10" s="6" t="s">
        <v>80</v>
      </c>
      <c r="AEC10" s="6">
        <v>153702</v>
      </c>
      <c r="AED10" s="6">
        <v>153960</v>
      </c>
      <c r="AEE10" s="6">
        <v>154577</v>
      </c>
      <c r="AEF10" s="6">
        <v>154110</v>
      </c>
      <c r="AEG10" s="6">
        <v>153623</v>
      </c>
      <c r="AEH10" s="6">
        <v>153709</v>
      </c>
      <c r="AEI10" s="6">
        <v>154078</v>
      </c>
      <c r="AEJ10" s="6">
        <v>153966</v>
      </c>
      <c r="AEK10" s="6">
        <v>153681</v>
      </c>
      <c r="AEL10" s="6">
        <v>154140</v>
      </c>
      <c r="AEM10" s="6">
        <v>153649</v>
      </c>
      <c r="AEN10" s="6"/>
      <c r="AEO10" s="6" t="s">
        <v>81</v>
      </c>
      <c r="AEP10" s="6">
        <v>153269</v>
      </c>
      <c r="AEQ10" s="6">
        <v>153358</v>
      </c>
      <c r="AER10" s="6">
        <v>153478</v>
      </c>
      <c r="AES10" s="6">
        <v>153552</v>
      </c>
      <c r="AET10" s="6">
        <v>153369</v>
      </c>
      <c r="AEU10" s="6">
        <v>153325</v>
      </c>
      <c r="AEV10" s="6">
        <v>153707</v>
      </c>
      <c r="AEW10" s="6">
        <v>154074</v>
      </c>
      <c r="AEX10" s="6">
        <v>154010</v>
      </c>
      <c r="AEY10" s="6">
        <v>154096</v>
      </c>
      <c r="AEZ10" s="6">
        <v>153945</v>
      </c>
      <c r="AFA10" s="6"/>
      <c r="AFB10" s="6" t="s">
        <v>82</v>
      </c>
      <c r="AFC10" s="6">
        <v>154825</v>
      </c>
      <c r="AFD10" s="6">
        <v>154707</v>
      </c>
      <c r="AFE10" s="6">
        <v>154451</v>
      </c>
      <c r="AFF10" s="6">
        <v>154998</v>
      </c>
      <c r="AFG10" s="6">
        <v>155149</v>
      </c>
      <c r="AFH10" s="6">
        <v>154995</v>
      </c>
      <c r="AFI10" s="6">
        <v>154647</v>
      </c>
      <c r="AFJ10" s="6">
        <v>155056</v>
      </c>
      <c r="AFK10" s="6">
        <v>155576</v>
      </c>
      <c r="AFL10" s="6">
        <v>155319</v>
      </c>
      <c r="AFM10" s="6">
        <v>155511</v>
      </c>
      <c r="AFN10" s="6"/>
      <c r="AFO10" s="6" t="s">
        <v>83</v>
      </c>
      <c r="AFP10" s="6">
        <v>155524</v>
      </c>
      <c r="AFQ10" s="6">
        <v>155028</v>
      </c>
      <c r="AFR10" s="6">
        <v>155238</v>
      </c>
      <c r="AFS10" s="6">
        <v>155658</v>
      </c>
      <c r="AFT10" s="6">
        <v>155835</v>
      </c>
      <c r="AFU10" s="6">
        <v>155798</v>
      </c>
      <c r="AFV10" s="6">
        <v>155486</v>
      </c>
      <c r="AFW10" s="6"/>
      <c r="AFX10" s="6"/>
      <c r="AFY10" s="6"/>
      <c r="AFZ10" s="6"/>
      <c r="AGA10" s="13"/>
    </row>
    <row r="11" spans="1:859" ht="15.75" thickBot="1" x14ac:dyDescent="0.3">
      <c r="A11" s="14" t="s">
        <v>84</v>
      </c>
      <c r="B11" s="7">
        <v>2034</v>
      </c>
      <c r="C11" s="7">
        <v>2328</v>
      </c>
      <c r="D11" s="7">
        <v>2399</v>
      </c>
      <c r="E11" s="7">
        <v>2386</v>
      </c>
      <c r="F11" s="7">
        <v>2118</v>
      </c>
      <c r="G11" s="7">
        <v>2214</v>
      </c>
      <c r="H11" s="7">
        <v>2213</v>
      </c>
      <c r="I11" s="7">
        <v>2350</v>
      </c>
      <c r="J11" s="7">
        <v>2302</v>
      </c>
      <c r="K11" s="7">
        <v>2259</v>
      </c>
      <c r="L11" s="7">
        <v>2285</v>
      </c>
      <c r="M11" s="7">
        <v>2429</v>
      </c>
      <c r="N11" s="7"/>
      <c r="O11" s="7">
        <v>2596</v>
      </c>
      <c r="P11" s="7">
        <v>2849</v>
      </c>
      <c r="Q11" s="7">
        <v>3030</v>
      </c>
      <c r="R11" s="7">
        <v>3260</v>
      </c>
      <c r="S11" s="7">
        <v>3707</v>
      </c>
      <c r="T11" s="7">
        <v>3776</v>
      </c>
      <c r="U11" s="7">
        <v>4111</v>
      </c>
      <c r="V11" s="7">
        <v>4193</v>
      </c>
      <c r="W11" s="7">
        <v>4049</v>
      </c>
      <c r="X11" s="7">
        <v>4916</v>
      </c>
      <c r="Y11" s="7">
        <v>3996</v>
      </c>
      <c r="Z11" s="7">
        <v>4063</v>
      </c>
      <c r="AA11" s="7"/>
      <c r="AB11" s="7">
        <v>4026</v>
      </c>
      <c r="AC11" s="7">
        <v>3936</v>
      </c>
      <c r="AD11" s="7">
        <v>3876</v>
      </c>
      <c r="AE11" s="7">
        <v>3575</v>
      </c>
      <c r="AF11" s="7">
        <v>3434</v>
      </c>
      <c r="AG11" s="7">
        <v>3367</v>
      </c>
      <c r="AH11" s="7">
        <v>3120</v>
      </c>
      <c r="AI11" s="7">
        <v>2799</v>
      </c>
      <c r="AJ11" s="7">
        <v>2774</v>
      </c>
      <c r="AK11" s="7">
        <v>2625</v>
      </c>
      <c r="AL11" s="7">
        <v>2589</v>
      </c>
      <c r="AM11" s="7">
        <v>2639</v>
      </c>
      <c r="AN11" s="7"/>
      <c r="AO11" s="7">
        <v>2305</v>
      </c>
      <c r="AP11" s="7">
        <v>2117</v>
      </c>
      <c r="AQ11" s="7">
        <v>2125</v>
      </c>
      <c r="AR11" s="7">
        <v>1919</v>
      </c>
      <c r="AS11" s="7">
        <v>1856</v>
      </c>
      <c r="AT11" s="7">
        <v>1995</v>
      </c>
      <c r="AU11" s="7">
        <v>1950</v>
      </c>
      <c r="AV11" s="7">
        <v>1933</v>
      </c>
      <c r="AW11" s="7">
        <v>2067</v>
      </c>
      <c r="AX11" s="7">
        <v>2194</v>
      </c>
      <c r="AY11" s="7">
        <v>2178</v>
      </c>
      <c r="AZ11" s="7">
        <v>1960</v>
      </c>
      <c r="BA11" s="7"/>
      <c r="BB11" s="7">
        <v>1972</v>
      </c>
      <c r="BC11" s="7">
        <v>1957</v>
      </c>
      <c r="BD11" s="7">
        <v>1813</v>
      </c>
      <c r="BE11" s="7">
        <v>1811</v>
      </c>
      <c r="BF11" s="7">
        <v>1863</v>
      </c>
      <c r="BG11" s="7">
        <v>1884</v>
      </c>
      <c r="BH11" s="7">
        <v>1991</v>
      </c>
      <c r="BI11" s="7">
        <v>2087</v>
      </c>
      <c r="BJ11" s="7">
        <v>1936</v>
      </c>
      <c r="BK11" s="7">
        <v>1839</v>
      </c>
      <c r="BL11" s="7">
        <v>1743</v>
      </c>
      <c r="BM11" s="7">
        <v>1667</v>
      </c>
      <c r="BN11" s="7"/>
      <c r="BO11" s="7">
        <v>1839</v>
      </c>
      <c r="BP11" s="7">
        <v>1636</v>
      </c>
      <c r="BQ11" s="7">
        <v>1647</v>
      </c>
      <c r="BR11" s="7">
        <v>1723</v>
      </c>
      <c r="BS11" s="7">
        <v>1596</v>
      </c>
      <c r="BT11" s="7">
        <v>1607</v>
      </c>
      <c r="BU11" s="7">
        <v>1660</v>
      </c>
      <c r="BV11" s="7">
        <v>1665</v>
      </c>
      <c r="BW11" s="7">
        <v>1821</v>
      </c>
      <c r="BX11" s="7">
        <v>1974</v>
      </c>
      <c r="BY11" s="7">
        <v>2211</v>
      </c>
      <c r="BZ11" s="7">
        <v>2818</v>
      </c>
      <c r="CA11" s="7"/>
      <c r="CB11" s="7">
        <v>3077</v>
      </c>
      <c r="CC11" s="7">
        <v>3331</v>
      </c>
      <c r="CD11" s="7">
        <v>3607</v>
      </c>
      <c r="CE11" s="7">
        <v>3749</v>
      </c>
      <c r="CF11" s="7">
        <v>3767</v>
      </c>
      <c r="CG11" s="7">
        <v>3551</v>
      </c>
      <c r="CH11" s="7">
        <v>3659</v>
      </c>
      <c r="CI11" s="7">
        <v>3854</v>
      </c>
      <c r="CJ11" s="7">
        <v>3927</v>
      </c>
      <c r="CK11" s="7">
        <v>3666</v>
      </c>
      <c r="CL11" s="7">
        <v>3402</v>
      </c>
      <c r="CM11" s="7">
        <v>3196</v>
      </c>
      <c r="CN11" s="7"/>
      <c r="CO11" s="7">
        <v>3157</v>
      </c>
      <c r="CP11" s="7">
        <v>2969</v>
      </c>
      <c r="CQ11" s="7">
        <v>2918</v>
      </c>
      <c r="CR11" s="7">
        <v>3049</v>
      </c>
      <c r="CS11" s="7">
        <v>2747</v>
      </c>
      <c r="CT11" s="7">
        <v>2701</v>
      </c>
      <c r="CU11" s="7">
        <v>2632</v>
      </c>
      <c r="CV11" s="7">
        <v>2784</v>
      </c>
      <c r="CW11" s="7">
        <v>2678</v>
      </c>
      <c r="CX11" s="7">
        <v>2830</v>
      </c>
      <c r="CY11" s="7">
        <v>2780</v>
      </c>
      <c r="CZ11" s="7">
        <v>2761</v>
      </c>
      <c r="DA11" s="7"/>
      <c r="DB11" s="7">
        <v>2666</v>
      </c>
      <c r="DC11" s="7">
        <v>2606</v>
      </c>
      <c r="DD11" s="7">
        <v>2764</v>
      </c>
      <c r="DE11" s="7">
        <v>2650</v>
      </c>
      <c r="DF11" s="7">
        <v>2861</v>
      </c>
      <c r="DG11" s="7">
        <v>2882</v>
      </c>
      <c r="DH11" s="7">
        <v>2952</v>
      </c>
      <c r="DI11" s="7">
        <v>2701</v>
      </c>
      <c r="DJ11" s="7">
        <v>2635</v>
      </c>
      <c r="DK11" s="7">
        <v>2571</v>
      </c>
      <c r="DL11" s="7">
        <v>2861</v>
      </c>
      <c r="DM11" s="7">
        <v>2790</v>
      </c>
      <c r="DN11" s="7"/>
      <c r="DO11" s="7">
        <v>2796</v>
      </c>
      <c r="DP11" s="7">
        <v>2622</v>
      </c>
      <c r="DQ11" s="7">
        <v>2509</v>
      </c>
      <c r="DR11" s="7">
        <v>2600</v>
      </c>
      <c r="DS11" s="7">
        <v>2710</v>
      </c>
      <c r="DT11" s="7">
        <v>2856</v>
      </c>
      <c r="DU11" s="7">
        <v>2796</v>
      </c>
      <c r="DV11" s="7">
        <v>2747</v>
      </c>
      <c r="DW11" s="7">
        <v>2943</v>
      </c>
      <c r="DX11" s="7">
        <v>3020</v>
      </c>
      <c r="DY11" s="7">
        <v>3454</v>
      </c>
      <c r="DZ11" s="7">
        <v>3476</v>
      </c>
      <c r="EA11" s="7"/>
      <c r="EB11" s="7">
        <v>3875</v>
      </c>
      <c r="EC11" s="7">
        <v>4303</v>
      </c>
      <c r="ED11" s="7">
        <v>4492</v>
      </c>
      <c r="EE11" s="7">
        <v>5016</v>
      </c>
      <c r="EF11" s="7">
        <v>5021</v>
      </c>
      <c r="EG11" s="7">
        <v>4944</v>
      </c>
      <c r="EH11" s="7">
        <v>5079</v>
      </c>
      <c r="EI11" s="7">
        <v>5025</v>
      </c>
      <c r="EJ11" s="7">
        <v>4821</v>
      </c>
      <c r="EK11" s="7">
        <v>4570</v>
      </c>
      <c r="EL11" s="7">
        <v>4188</v>
      </c>
      <c r="EM11" s="7">
        <v>4191</v>
      </c>
      <c r="EN11" s="7"/>
      <c r="EO11" s="7">
        <v>4068</v>
      </c>
      <c r="EP11" s="7">
        <v>3965</v>
      </c>
      <c r="EQ11" s="7">
        <v>3801</v>
      </c>
      <c r="ER11" s="7">
        <v>3571</v>
      </c>
      <c r="ES11" s="7">
        <v>3479</v>
      </c>
      <c r="ET11" s="7">
        <v>3429</v>
      </c>
      <c r="EU11" s="7">
        <v>3528</v>
      </c>
      <c r="EV11" s="7">
        <v>3588</v>
      </c>
      <c r="EW11" s="7">
        <v>3775</v>
      </c>
      <c r="EX11" s="7">
        <v>3910</v>
      </c>
      <c r="EY11" s="7">
        <v>4003</v>
      </c>
      <c r="EZ11" s="7">
        <v>3653</v>
      </c>
      <c r="FA11" s="7"/>
      <c r="FB11" s="7">
        <v>3615</v>
      </c>
      <c r="FC11" s="7">
        <v>3329</v>
      </c>
      <c r="FD11" s="7">
        <v>3726</v>
      </c>
      <c r="FE11" s="7">
        <v>3620</v>
      </c>
      <c r="FF11" s="7">
        <v>3569</v>
      </c>
      <c r="FG11" s="7">
        <v>3766</v>
      </c>
      <c r="FH11" s="7">
        <v>3836</v>
      </c>
      <c r="FI11" s="7">
        <v>3946</v>
      </c>
      <c r="FJ11" s="7">
        <v>3884</v>
      </c>
      <c r="FK11" s="7">
        <v>4252</v>
      </c>
      <c r="FL11" s="7">
        <v>4330</v>
      </c>
      <c r="FM11" s="7">
        <v>4617</v>
      </c>
      <c r="FN11" s="7"/>
      <c r="FO11" s="7">
        <v>4671</v>
      </c>
      <c r="FP11" s="7">
        <v>4832</v>
      </c>
      <c r="FQ11" s="7">
        <v>4853</v>
      </c>
      <c r="FR11" s="7">
        <v>4893</v>
      </c>
      <c r="FS11" s="7">
        <v>5003</v>
      </c>
      <c r="FT11" s="7">
        <v>4885</v>
      </c>
      <c r="FU11" s="7">
        <v>4928</v>
      </c>
      <c r="FV11" s="7">
        <v>4682</v>
      </c>
      <c r="FW11" s="7">
        <v>4676</v>
      </c>
      <c r="FX11" s="7">
        <v>4573</v>
      </c>
      <c r="FY11" s="7">
        <v>4295</v>
      </c>
      <c r="FZ11" s="7">
        <v>4177</v>
      </c>
      <c r="GA11" s="7"/>
      <c r="GB11" s="7">
        <v>4081</v>
      </c>
      <c r="GC11" s="7">
        <v>3871</v>
      </c>
      <c r="GD11" s="7">
        <v>3921</v>
      </c>
      <c r="GE11" s="7">
        <v>3906</v>
      </c>
      <c r="GF11" s="7">
        <v>3863</v>
      </c>
      <c r="GG11" s="7">
        <v>3844</v>
      </c>
      <c r="GH11" s="7">
        <v>3819</v>
      </c>
      <c r="GI11" s="7">
        <v>4013</v>
      </c>
      <c r="GJ11" s="7">
        <v>3961</v>
      </c>
      <c r="GK11" s="7">
        <v>3803</v>
      </c>
      <c r="GL11" s="7">
        <v>4024</v>
      </c>
      <c r="GM11" s="7">
        <v>3907</v>
      </c>
      <c r="GN11" s="7"/>
      <c r="GO11" s="7">
        <v>4074</v>
      </c>
      <c r="GP11" s="7">
        <v>4238</v>
      </c>
      <c r="GQ11" s="7">
        <v>4072</v>
      </c>
      <c r="GR11" s="7">
        <v>4055</v>
      </c>
      <c r="GS11" s="7">
        <v>4217</v>
      </c>
      <c r="GT11" s="7">
        <v>3977</v>
      </c>
      <c r="GU11" s="7">
        <v>4051</v>
      </c>
      <c r="GV11" s="7">
        <v>3878</v>
      </c>
      <c r="GW11" s="7">
        <v>3957</v>
      </c>
      <c r="GX11" s="7">
        <v>3987</v>
      </c>
      <c r="GY11" s="7">
        <v>4151</v>
      </c>
      <c r="GZ11" s="7">
        <v>3975</v>
      </c>
      <c r="HA11" s="7"/>
      <c r="HB11" s="7">
        <v>4029</v>
      </c>
      <c r="HC11" s="7">
        <v>3932</v>
      </c>
      <c r="HD11" s="7">
        <v>3950</v>
      </c>
      <c r="HE11" s="7">
        <v>3918</v>
      </c>
      <c r="HF11" s="7">
        <v>3764</v>
      </c>
      <c r="HG11" s="7">
        <v>3814</v>
      </c>
      <c r="HH11" s="7">
        <v>3608</v>
      </c>
      <c r="HI11" s="7">
        <v>3655</v>
      </c>
      <c r="HJ11" s="7">
        <v>3712</v>
      </c>
      <c r="HK11" s="7">
        <v>3726</v>
      </c>
      <c r="HL11" s="7">
        <v>3551</v>
      </c>
      <c r="HM11" s="7">
        <v>3651</v>
      </c>
      <c r="HN11" s="7"/>
      <c r="HO11" s="7">
        <v>3572</v>
      </c>
      <c r="HP11" s="7">
        <v>3730</v>
      </c>
      <c r="HQ11" s="7">
        <v>3510</v>
      </c>
      <c r="HR11" s="7">
        <v>3595</v>
      </c>
      <c r="HS11" s="7">
        <v>3432</v>
      </c>
      <c r="HT11" s="7">
        <v>3387</v>
      </c>
      <c r="HU11" s="7">
        <v>3301</v>
      </c>
      <c r="HV11" s="7">
        <v>3254</v>
      </c>
      <c r="HW11" s="7">
        <v>3216</v>
      </c>
      <c r="HX11" s="7">
        <v>3143</v>
      </c>
      <c r="HY11" s="7">
        <v>3073</v>
      </c>
      <c r="HZ11" s="7">
        <v>3031</v>
      </c>
      <c r="IA11" s="7"/>
      <c r="IB11" s="7">
        <v>2988</v>
      </c>
      <c r="IC11" s="7">
        <v>2820</v>
      </c>
      <c r="ID11" s="7">
        <v>2887</v>
      </c>
      <c r="IE11" s="7">
        <v>2828</v>
      </c>
      <c r="IF11" s="7">
        <v>2950</v>
      </c>
      <c r="IG11" s="7">
        <v>2872</v>
      </c>
      <c r="IH11" s="7">
        <v>2876</v>
      </c>
      <c r="II11" s="7">
        <v>2900</v>
      </c>
      <c r="IJ11" s="7">
        <v>2798</v>
      </c>
      <c r="IK11" s="7">
        <v>2798</v>
      </c>
      <c r="IL11" s="7">
        <v>2770</v>
      </c>
      <c r="IM11" s="7">
        <v>2912</v>
      </c>
      <c r="IN11" s="7"/>
      <c r="IO11" s="7">
        <v>2968</v>
      </c>
      <c r="IP11" s="7">
        <v>2915</v>
      </c>
      <c r="IQ11" s="7">
        <v>2889</v>
      </c>
      <c r="IR11" s="7">
        <v>2895</v>
      </c>
      <c r="IS11" s="7">
        <v>2929</v>
      </c>
      <c r="IT11" s="7">
        <v>2992</v>
      </c>
      <c r="IU11" s="7">
        <v>2944</v>
      </c>
      <c r="IV11" s="7">
        <v>2945</v>
      </c>
      <c r="IW11" s="7">
        <v>2958</v>
      </c>
      <c r="IX11" s="7">
        <v>3143</v>
      </c>
      <c r="IY11" s="7">
        <v>3066</v>
      </c>
      <c r="IZ11" s="7">
        <v>3018</v>
      </c>
      <c r="JA11" s="7"/>
      <c r="JB11" s="7">
        <v>2878</v>
      </c>
      <c r="JC11" s="7">
        <v>3001</v>
      </c>
      <c r="JD11" s="7">
        <v>2877</v>
      </c>
      <c r="JE11" s="7">
        <v>2709</v>
      </c>
      <c r="JF11" s="7">
        <v>2740</v>
      </c>
      <c r="JG11" s="7">
        <v>2938</v>
      </c>
      <c r="JH11" s="7">
        <v>2883</v>
      </c>
      <c r="JI11" s="7">
        <v>2768</v>
      </c>
      <c r="JJ11" s="7">
        <v>2686</v>
      </c>
      <c r="JK11" s="7">
        <v>2689</v>
      </c>
      <c r="JL11" s="7">
        <v>2715</v>
      </c>
      <c r="JM11" s="7">
        <v>2685</v>
      </c>
      <c r="JN11" s="7"/>
      <c r="JO11" s="7">
        <v>2718</v>
      </c>
      <c r="JP11" s="7">
        <v>2692</v>
      </c>
      <c r="JQ11" s="7">
        <v>2712</v>
      </c>
      <c r="JR11" s="7">
        <v>2758</v>
      </c>
      <c r="JS11" s="7">
        <v>2713</v>
      </c>
      <c r="JT11" s="7">
        <v>2816</v>
      </c>
      <c r="JU11" s="7">
        <v>2868</v>
      </c>
      <c r="JV11" s="7">
        <v>2856</v>
      </c>
      <c r="JW11" s="7">
        <v>3040</v>
      </c>
      <c r="JX11" s="7">
        <v>3049</v>
      </c>
      <c r="JY11" s="7">
        <v>2856</v>
      </c>
      <c r="JZ11" s="7">
        <v>2884</v>
      </c>
      <c r="KA11" s="7"/>
      <c r="KB11" s="7">
        <v>3201</v>
      </c>
      <c r="KC11" s="7">
        <v>3453</v>
      </c>
      <c r="KD11" s="7">
        <v>3635</v>
      </c>
      <c r="KE11" s="7">
        <v>3797</v>
      </c>
      <c r="KF11" s="7">
        <v>3919</v>
      </c>
      <c r="KG11" s="7">
        <v>4071</v>
      </c>
      <c r="KH11" s="7">
        <v>4175</v>
      </c>
      <c r="KI11" s="7">
        <v>4256</v>
      </c>
      <c r="KJ11" s="7">
        <v>4456</v>
      </c>
      <c r="KK11" s="7">
        <v>4591</v>
      </c>
      <c r="KL11" s="7">
        <v>4898</v>
      </c>
      <c r="KM11" s="7">
        <v>5076</v>
      </c>
      <c r="KN11" s="7"/>
      <c r="KO11" s="7">
        <v>4986</v>
      </c>
      <c r="KP11" s="7">
        <v>4903</v>
      </c>
      <c r="KQ11" s="7">
        <v>4987</v>
      </c>
      <c r="KR11" s="7">
        <v>4959</v>
      </c>
      <c r="KS11" s="7">
        <v>4996</v>
      </c>
      <c r="KT11" s="7">
        <v>4949</v>
      </c>
      <c r="KU11" s="7">
        <v>5035</v>
      </c>
      <c r="KV11" s="7">
        <v>5134</v>
      </c>
      <c r="KW11" s="7">
        <v>5042</v>
      </c>
      <c r="KX11" s="7">
        <v>4954</v>
      </c>
      <c r="KY11" s="7">
        <v>5161</v>
      </c>
      <c r="KZ11" s="7">
        <v>5154</v>
      </c>
      <c r="LA11" s="7"/>
      <c r="LB11" s="7">
        <v>5019</v>
      </c>
      <c r="LC11" s="7">
        <v>4928</v>
      </c>
      <c r="LD11" s="7">
        <v>5038</v>
      </c>
      <c r="LE11" s="7">
        <v>4959</v>
      </c>
      <c r="LF11" s="7">
        <v>4922</v>
      </c>
      <c r="LG11" s="7">
        <v>4923</v>
      </c>
      <c r="LH11" s="7">
        <v>4913</v>
      </c>
      <c r="LI11" s="7">
        <v>4939</v>
      </c>
      <c r="LJ11" s="7">
        <v>4849</v>
      </c>
      <c r="LK11" s="7">
        <v>4875</v>
      </c>
      <c r="LL11" s="7">
        <v>4602</v>
      </c>
      <c r="LM11" s="7">
        <v>4543</v>
      </c>
      <c r="LN11" s="7"/>
      <c r="LO11" s="7">
        <v>4326</v>
      </c>
      <c r="LP11" s="7">
        <v>4452</v>
      </c>
      <c r="LQ11" s="7">
        <v>4394</v>
      </c>
      <c r="LR11" s="7">
        <v>4459</v>
      </c>
      <c r="LS11" s="7">
        <v>4329</v>
      </c>
      <c r="LT11" s="7">
        <v>4363</v>
      </c>
      <c r="LU11" s="7">
        <v>4305</v>
      </c>
      <c r="LV11" s="7">
        <v>4305</v>
      </c>
      <c r="LW11" s="7">
        <v>4350</v>
      </c>
      <c r="LX11" s="7">
        <v>4144</v>
      </c>
      <c r="LY11" s="7">
        <v>4396</v>
      </c>
      <c r="LZ11" s="7">
        <v>4489</v>
      </c>
      <c r="MA11" s="7"/>
      <c r="MB11" s="7">
        <v>4644</v>
      </c>
      <c r="MC11" s="7">
        <v>4731</v>
      </c>
      <c r="MD11" s="7">
        <v>4634</v>
      </c>
      <c r="ME11" s="7">
        <v>4618</v>
      </c>
      <c r="MF11" s="7">
        <v>4705</v>
      </c>
      <c r="MG11" s="7">
        <v>4927</v>
      </c>
      <c r="MH11" s="7">
        <v>5063</v>
      </c>
      <c r="MI11" s="7">
        <v>5022</v>
      </c>
      <c r="MJ11" s="7">
        <v>5437</v>
      </c>
      <c r="MK11" s="7">
        <v>5523</v>
      </c>
      <c r="ML11" s="7">
        <v>6140</v>
      </c>
      <c r="MM11" s="7">
        <v>6636</v>
      </c>
      <c r="MN11" s="7"/>
      <c r="MO11" s="7">
        <v>7501</v>
      </c>
      <c r="MP11" s="7">
        <v>7520</v>
      </c>
      <c r="MQ11" s="7">
        <v>7978</v>
      </c>
      <c r="MR11" s="7">
        <v>8210</v>
      </c>
      <c r="MS11" s="7">
        <v>8433</v>
      </c>
      <c r="MT11" s="7">
        <v>8220</v>
      </c>
      <c r="MU11" s="7">
        <v>8127</v>
      </c>
      <c r="MV11" s="7">
        <v>7928</v>
      </c>
      <c r="MW11" s="7">
        <v>7923</v>
      </c>
      <c r="MX11" s="7">
        <v>7897</v>
      </c>
      <c r="MY11" s="7">
        <v>7794</v>
      </c>
      <c r="MZ11" s="7">
        <v>7744</v>
      </c>
      <c r="NA11" s="7"/>
      <c r="NB11" s="7">
        <v>7534</v>
      </c>
      <c r="NC11" s="7">
        <v>7326</v>
      </c>
      <c r="ND11" s="7">
        <v>7230</v>
      </c>
      <c r="NE11" s="7">
        <v>7330</v>
      </c>
      <c r="NF11" s="7">
        <v>7053</v>
      </c>
      <c r="NG11" s="7">
        <v>7322</v>
      </c>
      <c r="NH11" s="7">
        <v>7490</v>
      </c>
      <c r="NI11" s="7">
        <v>7518</v>
      </c>
      <c r="NJ11" s="7">
        <v>7380</v>
      </c>
      <c r="NK11" s="7">
        <v>7430</v>
      </c>
      <c r="NL11" s="7">
        <v>7620</v>
      </c>
      <c r="NM11" s="7">
        <v>7545</v>
      </c>
      <c r="NN11" s="7"/>
      <c r="NO11" s="7">
        <v>7280</v>
      </c>
      <c r="NP11" s="7">
        <v>7443</v>
      </c>
      <c r="NQ11" s="7">
        <v>7307</v>
      </c>
      <c r="NR11" s="7">
        <v>7059</v>
      </c>
      <c r="NS11" s="7">
        <v>6911</v>
      </c>
      <c r="NT11" s="7">
        <v>7134</v>
      </c>
      <c r="NU11" s="7">
        <v>6829</v>
      </c>
      <c r="NV11" s="7">
        <v>6925</v>
      </c>
      <c r="NW11" s="7">
        <v>6751</v>
      </c>
      <c r="NX11" s="7">
        <v>6763</v>
      </c>
      <c r="NY11" s="7">
        <v>6815</v>
      </c>
      <c r="NZ11" s="7">
        <v>6386</v>
      </c>
      <c r="OA11" s="7"/>
      <c r="OB11" s="7">
        <v>6489</v>
      </c>
      <c r="OC11" s="7">
        <v>6318</v>
      </c>
      <c r="OD11" s="7">
        <v>6337</v>
      </c>
      <c r="OE11" s="7">
        <v>6180</v>
      </c>
      <c r="OF11" s="7">
        <v>6127</v>
      </c>
      <c r="OG11" s="7">
        <v>6028</v>
      </c>
      <c r="OH11" s="7">
        <v>6309</v>
      </c>
      <c r="OI11" s="7">
        <v>6080</v>
      </c>
      <c r="OJ11" s="7">
        <v>6125</v>
      </c>
      <c r="OK11" s="7">
        <v>5947</v>
      </c>
      <c r="OL11" s="7">
        <v>6077</v>
      </c>
      <c r="OM11" s="7">
        <v>6228</v>
      </c>
      <c r="ON11" s="7"/>
      <c r="OO11" s="7">
        <v>6109</v>
      </c>
      <c r="OP11" s="7">
        <v>6173</v>
      </c>
      <c r="OQ11" s="7">
        <v>6109</v>
      </c>
      <c r="OR11" s="7">
        <v>6069</v>
      </c>
      <c r="OS11" s="7">
        <v>5840</v>
      </c>
      <c r="OT11" s="7">
        <v>5959</v>
      </c>
      <c r="OU11" s="7">
        <v>5996</v>
      </c>
      <c r="OV11" s="7">
        <v>6320</v>
      </c>
      <c r="OW11" s="7">
        <v>6190</v>
      </c>
      <c r="OX11" s="7">
        <v>6296</v>
      </c>
      <c r="OY11" s="7">
        <v>6238</v>
      </c>
      <c r="OZ11" s="7">
        <v>6325</v>
      </c>
      <c r="PA11" s="7"/>
      <c r="PB11" s="7">
        <v>6683</v>
      </c>
      <c r="PC11" s="7">
        <v>6702</v>
      </c>
      <c r="PD11" s="7">
        <v>6729</v>
      </c>
      <c r="PE11" s="7">
        <v>7358</v>
      </c>
      <c r="PF11" s="7">
        <v>7984</v>
      </c>
      <c r="PG11" s="7">
        <v>8098</v>
      </c>
      <c r="PH11" s="7">
        <v>8363</v>
      </c>
      <c r="PI11" s="7">
        <v>8281</v>
      </c>
      <c r="PJ11" s="7">
        <v>8021</v>
      </c>
      <c r="PK11" s="7">
        <v>8088</v>
      </c>
      <c r="PL11" s="7">
        <v>8023</v>
      </c>
      <c r="PM11" s="7">
        <v>7718</v>
      </c>
      <c r="PN11" s="7"/>
      <c r="PO11" s="7">
        <v>8071</v>
      </c>
      <c r="PP11" s="7">
        <v>8051</v>
      </c>
      <c r="PQ11" s="7">
        <v>7982</v>
      </c>
      <c r="PR11" s="7">
        <v>7869</v>
      </c>
      <c r="PS11" s="7">
        <v>8174</v>
      </c>
      <c r="PT11" s="7">
        <v>8098</v>
      </c>
      <c r="PU11" s="7">
        <v>7863</v>
      </c>
      <c r="PV11" s="7">
        <v>8036</v>
      </c>
      <c r="PW11" s="7">
        <v>8230</v>
      </c>
      <c r="PX11" s="7">
        <v>8646</v>
      </c>
      <c r="PY11" s="7">
        <v>9029</v>
      </c>
      <c r="PZ11" s="7">
        <v>9267</v>
      </c>
      <c r="QA11" s="7"/>
      <c r="QB11" s="7">
        <v>9397</v>
      </c>
      <c r="QC11" s="7">
        <v>9705</v>
      </c>
      <c r="QD11" s="7">
        <v>9895</v>
      </c>
      <c r="QE11" s="7">
        <v>10244</v>
      </c>
      <c r="QF11" s="7">
        <v>10335</v>
      </c>
      <c r="QG11" s="7">
        <v>10538</v>
      </c>
      <c r="QH11" s="7">
        <v>10849</v>
      </c>
      <c r="QI11" s="7">
        <v>10881</v>
      </c>
      <c r="QJ11" s="7">
        <v>11217</v>
      </c>
      <c r="QK11" s="7">
        <v>11529</v>
      </c>
      <c r="QL11" s="7">
        <v>11938</v>
      </c>
      <c r="QM11" s="7">
        <v>12051</v>
      </c>
      <c r="QN11" s="7"/>
      <c r="QO11" s="7">
        <v>11534</v>
      </c>
      <c r="QP11" s="7">
        <v>11545</v>
      </c>
      <c r="QQ11" s="7">
        <v>11408</v>
      </c>
      <c r="QR11" s="7">
        <v>11268</v>
      </c>
      <c r="QS11" s="7">
        <v>11154</v>
      </c>
      <c r="QT11" s="7">
        <v>11246</v>
      </c>
      <c r="QU11" s="7">
        <v>10548</v>
      </c>
      <c r="QV11" s="7">
        <v>10623</v>
      </c>
      <c r="QW11" s="7">
        <v>10282</v>
      </c>
      <c r="QX11" s="7">
        <v>9887</v>
      </c>
      <c r="QY11" s="7">
        <v>9499</v>
      </c>
      <c r="QZ11" s="7">
        <v>9331</v>
      </c>
      <c r="RA11" s="7"/>
      <c r="RB11" s="7">
        <v>9008</v>
      </c>
      <c r="RC11" s="7">
        <v>8791</v>
      </c>
      <c r="RD11" s="7">
        <v>8746</v>
      </c>
      <c r="RE11" s="7">
        <v>8762</v>
      </c>
      <c r="RF11" s="7">
        <v>8456</v>
      </c>
      <c r="RG11" s="7">
        <v>8226</v>
      </c>
      <c r="RH11" s="7">
        <v>8537</v>
      </c>
      <c r="RI11" s="7">
        <v>8519</v>
      </c>
      <c r="RJ11" s="7">
        <v>8367</v>
      </c>
      <c r="RK11" s="7">
        <v>8381</v>
      </c>
      <c r="RL11" s="7">
        <v>8198</v>
      </c>
      <c r="RM11" s="7">
        <v>8358</v>
      </c>
      <c r="RN11" s="7"/>
      <c r="RO11" s="7">
        <v>8423</v>
      </c>
      <c r="RP11" s="7">
        <v>8321</v>
      </c>
      <c r="RQ11" s="7">
        <v>8339</v>
      </c>
      <c r="RR11" s="7">
        <v>8395</v>
      </c>
      <c r="RS11" s="7">
        <v>8302</v>
      </c>
      <c r="RT11" s="7">
        <v>8460</v>
      </c>
      <c r="RU11" s="7">
        <v>8513</v>
      </c>
      <c r="RV11" s="7">
        <v>8196</v>
      </c>
      <c r="RW11" s="7">
        <v>8248</v>
      </c>
      <c r="RX11" s="7">
        <v>8298</v>
      </c>
      <c r="RY11" s="7">
        <v>8128</v>
      </c>
      <c r="RZ11" s="7">
        <v>8138</v>
      </c>
      <c r="SA11" s="7"/>
      <c r="SB11" s="7">
        <v>7795</v>
      </c>
      <c r="SC11" s="7">
        <v>8402</v>
      </c>
      <c r="SD11" s="7">
        <v>8383</v>
      </c>
      <c r="SE11" s="7">
        <v>8364</v>
      </c>
      <c r="SF11" s="7">
        <v>8439</v>
      </c>
      <c r="SG11" s="7">
        <v>8508</v>
      </c>
      <c r="SH11" s="7">
        <v>8319</v>
      </c>
      <c r="SI11" s="7">
        <v>8135</v>
      </c>
      <c r="SJ11" s="7">
        <v>8310</v>
      </c>
      <c r="SK11" s="7">
        <v>8243</v>
      </c>
      <c r="SL11" s="7">
        <v>8159</v>
      </c>
      <c r="SM11" s="7">
        <v>7883</v>
      </c>
      <c r="SN11" s="7"/>
      <c r="SO11" s="7">
        <v>7892</v>
      </c>
      <c r="SP11" s="7">
        <v>7865</v>
      </c>
      <c r="SQ11" s="7">
        <v>7862</v>
      </c>
      <c r="SR11" s="7">
        <v>7542</v>
      </c>
      <c r="SS11" s="7">
        <v>7574</v>
      </c>
      <c r="ST11" s="7">
        <v>7398</v>
      </c>
      <c r="SU11" s="7">
        <v>7268</v>
      </c>
      <c r="SV11" s="7">
        <v>7261</v>
      </c>
      <c r="SW11" s="7">
        <v>7102</v>
      </c>
      <c r="SX11" s="7">
        <v>7227</v>
      </c>
      <c r="SY11" s="7">
        <v>7035</v>
      </c>
      <c r="SZ11" s="7">
        <v>6936</v>
      </c>
      <c r="TA11" s="7"/>
      <c r="TB11" s="7">
        <v>6953</v>
      </c>
      <c r="TC11" s="7">
        <v>6929</v>
      </c>
      <c r="TD11" s="7">
        <v>6876</v>
      </c>
      <c r="TE11" s="7">
        <v>6601</v>
      </c>
      <c r="TF11" s="7">
        <v>6779</v>
      </c>
      <c r="TG11" s="7">
        <v>6546</v>
      </c>
      <c r="TH11" s="7">
        <v>6605</v>
      </c>
      <c r="TI11" s="7">
        <v>6843</v>
      </c>
      <c r="TJ11" s="7">
        <v>6604</v>
      </c>
      <c r="TK11" s="7">
        <v>6568</v>
      </c>
      <c r="TL11" s="7">
        <v>6537</v>
      </c>
      <c r="TM11" s="7">
        <v>6518</v>
      </c>
      <c r="TN11" s="7"/>
      <c r="TO11" s="7">
        <v>6682</v>
      </c>
      <c r="TP11" s="7">
        <v>6359</v>
      </c>
      <c r="TQ11" s="7">
        <v>6205</v>
      </c>
      <c r="TR11" s="7">
        <v>6468</v>
      </c>
      <c r="TS11" s="7">
        <v>6375</v>
      </c>
      <c r="TT11" s="7">
        <v>6577</v>
      </c>
      <c r="TU11" s="7">
        <v>6495</v>
      </c>
      <c r="TV11" s="7">
        <v>6511</v>
      </c>
      <c r="TW11" s="7">
        <v>6590</v>
      </c>
      <c r="TX11" s="7">
        <v>6630</v>
      </c>
      <c r="TY11" s="7">
        <v>6725</v>
      </c>
      <c r="TZ11" s="7">
        <v>6667</v>
      </c>
      <c r="UA11" s="7"/>
      <c r="UB11" s="7">
        <v>6752</v>
      </c>
      <c r="UC11" s="7">
        <v>6651</v>
      </c>
      <c r="UD11" s="7">
        <v>6598</v>
      </c>
      <c r="UE11" s="7">
        <v>6797</v>
      </c>
      <c r="UF11" s="7">
        <v>6742</v>
      </c>
      <c r="UG11" s="7">
        <v>6590</v>
      </c>
      <c r="UH11" s="7">
        <v>6922</v>
      </c>
      <c r="UI11" s="7">
        <v>7188</v>
      </c>
      <c r="UJ11" s="7">
        <v>7368</v>
      </c>
      <c r="UK11" s="7">
        <v>7459</v>
      </c>
      <c r="UL11" s="7">
        <v>7764</v>
      </c>
      <c r="UM11" s="7">
        <v>7901</v>
      </c>
      <c r="UN11" s="7"/>
      <c r="UO11" s="7">
        <v>8015</v>
      </c>
      <c r="UP11" s="7">
        <v>8265</v>
      </c>
      <c r="UQ11" s="7">
        <v>8586</v>
      </c>
      <c r="UR11" s="7">
        <v>8439</v>
      </c>
      <c r="US11" s="7">
        <v>8736</v>
      </c>
      <c r="UT11" s="7">
        <v>8692</v>
      </c>
      <c r="UU11" s="7">
        <v>8586</v>
      </c>
      <c r="UV11" s="7">
        <v>8666</v>
      </c>
      <c r="UW11" s="7">
        <v>8722</v>
      </c>
      <c r="UX11" s="7">
        <v>8842</v>
      </c>
      <c r="UY11" s="7">
        <v>8931</v>
      </c>
      <c r="UZ11" s="7">
        <v>9198</v>
      </c>
      <c r="VA11" s="7"/>
      <c r="VB11" s="7">
        <v>9283</v>
      </c>
      <c r="VC11" s="7">
        <v>9454</v>
      </c>
      <c r="VD11" s="7">
        <v>9460</v>
      </c>
      <c r="VE11" s="7">
        <v>9415</v>
      </c>
      <c r="VF11" s="7">
        <v>9744</v>
      </c>
      <c r="VG11" s="7">
        <v>10040</v>
      </c>
      <c r="VH11" s="7">
        <v>9850</v>
      </c>
      <c r="VI11" s="7">
        <v>9787</v>
      </c>
      <c r="VJ11" s="7">
        <v>9781</v>
      </c>
      <c r="VK11" s="7">
        <v>9398</v>
      </c>
      <c r="VL11" s="7">
        <v>9565</v>
      </c>
      <c r="VM11" s="7">
        <v>9557</v>
      </c>
      <c r="VN11" s="7"/>
      <c r="VO11" s="7">
        <v>9325</v>
      </c>
      <c r="VP11" s="7">
        <v>9183</v>
      </c>
      <c r="VQ11" s="7">
        <v>9056</v>
      </c>
      <c r="VR11" s="7">
        <v>9110</v>
      </c>
      <c r="VS11" s="7">
        <v>9149</v>
      </c>
      <c r="VT11" s="7">
        <v>9121</v>
      </c>
      <c r="VU11" s="7">
        <v>8930</v>
      </c>
      <c r="VV11" s="7">
        <v>8763</v>
      </c>
      <c r="VW11" s="7">
        <v>8714</v>
      </c>
      <c r="VX11" s="7">
        <v>8750</v>
      </c>
      <c r="VY11" s="7">
        <v>8542</v>
      </c>
      <c r="VZ11" s="7">
        <v>8477</v>
      </c>
      <c r="WA11" s="7"/>
      <c r="WB11" s="7">
        <v>8630</v>
      </c>
      <c r="WC11" s="7">
        <v>8583</v>
      </c>
      <c r="WD11" s="7">
        <v>8470</v>
      </c>
      <c r="WE11" s="7">
        <v>8331</v>
      </c>
      <c r="WF11" s="7">
        <v>7915</v>
      </c>
      <c r="WG11" s="7">
        <v>7927</v>
      </c>
      <c r="WH11" s="7">
        <v>7946</v>
      </c>
      <c r="WI11" s="7">
        <v>7933</v>
      </c>
      <c r="WJ11" s="7">
        <v>7734</v>
      </c>
      <c r="WK11" s="7">
        <v>7632</v>
      </c>
      <c r="WL11" s="7">
        <v>7375</v>
      </c>
      <c r="WM11" s="7">
        <v>7230</v>
      </c>
      <c r="WN11" s="7"/>
      <c r="WO11" s="7">
        <v>7375</v>
      </c>
      <c r="WP11" s="7">
        <v>7187</v>
      </c>
      <c r="WQ11" s="7">
        <v>7153</v>
      </c>
      <c r="WR11" s="7">
        <v>7645</v>
      </c>
      <c r="WS11" s="7">
        <v>7430</v>
      </c>
      <c r="WT11" s="7">
        <v>7427</v>
      </c>
      <c r="WU11" s="7">
        <v>7527</v>
      </c>
      <c r="WV11" s="7">
        <v>7484</v>
      </c>
      <c r="WW11" s="7">
        <v>7478</v>
      </c>
      <c r="WX11" s="7">
        <v>7328</v>
      </c>
      <c r="WY11" s="7">
        <v>7426</v>
      </c>
      <c r="WZ11" s="7">
        <v>7423</v>
      </c>
      <c r="XA11" s="7"/>
      <c r="XB11" s="7">
        <v>7491</v>
      </c>
      <c r="XC11" s="7">
        <v>7313</v>
      </c>
      <c r="XD11" s="7">
        <v>7318</v>
      </c>
      <c r="XE11" s="7">
        <v>7415</v>
      </c>
      <c r="XF11" s="7">
        <v>7423</v>
      </c>
      <c r="XG11" s="7">
        <v>7095</v>
      </c>
      <c r="XH11" s="7">
        <v>7337</v>
      </c>
      <c r="XI11" s="7">
        <v>6882</v>
      </c>
      <c r="XJ11" s="7">
        <v>6979</v>
      </c>
      <c r="XK11" s="7">
        <v>7031</v>
      </c>
      <c r="XL11" s="7">
        <v>7236</v>
      </c>
      <c r="XM11" s="7">
        <v>7253</v>
      </c>
      <c r="XN11" s="7"/>
      <c r="XO11" s="7">
        <v>7158</v>
      </c>
      <c r="XP11" s="7">
        <v>7102</v>
      </c>
      <c r="XQ11" s="7">
        <v>7000</v>
      </c>
      <c r="XR11" s="7">
        <v>6873</v>
      </c>
      <c r="XS11" s="7">
        <v>6655</v>
      </c>
      <c r="XT11" s="7">
        <v>6799</v>
      </c>
      <c r="XU11" s="7">
        <v>6655</v>
      </c>
      <c r="XV11" s="7">
        <v>6608</v>
      </c>
      <c r="XW11" s="7">
        <v>6656</v>
      </c>
      <c r="XX11" s="7">
        <v>6454</v>
      </c>
      <c r="XY11" s="7">
        <v>6308</v>
      </c>
      <c r="XZ11" s="7">
        <v>6476</v>
      </c>
      <c r="YA11" s="7"/>
      <c r="YB11" s="7">
        <v>6368</v>
      </c>
      <c r="YC11" s="7">
        <v>6306</v>
      </c>
      <c r="YD11" s="7">
        <v>6422</v>
      </c>
      <c r="YE11" s="7">
        <v>5941</v>
      </c>
      <c r="YF11" s="7">
        <v>6047</v>
      </c>
      <c r="YG11" s="7">
        <v>6212</v>
      </c>
      <c r="YH11" s="7">
        <v>6259</v>
      </c>
      <c r="YI11" s="7">
        <v>6179</v>
      </c>
      <c r="YJ11" s="7">
        <v>6300</v>
      </c>
      <c r="YK11" s="7">
        <v>6280</v>
      </c>
      <c r="YL11" s="7">
        <v>6100</v>
      </c>
      <c r="YM11" s="7">
        <v>6032</v>
      </c>
      <c r="YN11" s="7"/>
      <c r="YO11" s="7">
        <v>5976</v>
      </c>
      <c r="YP11" s="7">
        <v>6111</v>
      </c>
      <c r="YQ11" s="7">
        <v>5783</v>
      </c>
      <c r="YR11" s="7">
        <v>6004</v>
      </c>
      <c r="YS11" s="7">
        <v>5796</v>
      </c>
      <c r="YT11" s="7">
        <v>5951</v>
      </c>
      <c r="YU11" s="7">
        <v>6025</v>
      </c>
      <c r="YV11" s="7">
        <v>5838</v>
      </c>
      <c r="YW11" s="7">
        <v>5915</v>
      </c>
      <c r="YX11" s="7">
        <v>5778</v>
      </c>
      <c r="YY11" s="7">
        <v>5716</v>
      </c>
      <c r="YZ11" s="7">
        <v>5653</v>
      </c>
      <c r="ZA11" s="7"/>
      <c r="ZB11" s="7">
        <v>5708</v>
      </c>
      <c r="ZC11" s="7">
        <v>5858</v>
      </c>
      <c r="ZD11" s="7">
        <v>5733</v>
      </c>
      <c r="ZE11" s="7">
        <v>5481</v>
      </c>
      <c r="ZF11" s="7">
        <v>5758</v>
      </c>
      <c r="ZG11" s="7">
        <v>5651</v>
      </c>
      <c r="ZH11" s="7">
        <v>5747</v>
      </c>
      <c r="ZI11" s="7">
        <v>5853</v>
      </c>
      <c r="ZJ11" s="7">
        <v>5625</v>
      </c>
      <c r="ZK11" s="7">
        <v>5534</v>
      </c>
      <c r="ZL11" s="7">
        <v>5639</v>
      </c>
      <c r="ZM11" s="7">
        <v>5634</v>
      </c>
      <c r="ZN11" s="7"/>
      <c r="ZO11" s="7">
        <v>6023</v>
      </c>
      <c r="ZP11" s="7">
        <v>6089</v>
      </c>
      <c r="ZQ11" s="7">
        <v>6141</v>
      </c>
      <c r="ZR11" s="7">
        <v>6271</v>
      </c>
      <c r="ZS11" s="7">
        <v>6226</v>
      </c>
      <c r="ZT11" s="7">
        <v>6484</v>
      </c>
      <c r="ZU11" s="7">
        <v>6583</v>
      </c>
      <c r="ZV11" s="7">
        <v>7042</v>
      </c>
      <c r="ZW11" s="7">
        <v>7142</v>
      </c>
      <c r="ZX11" s="7">
        <v>7694</v>
      </c>
      <c r="ZY11" s="7">
        <v>8003</v>
      </c>
      <c r="ZZ11" s="7">
        <v>8258</v>
      </c>
      <c r="AAA11" s="7"/>
      <c r="AAB11" s="7">
        <v>8182</v>
      </c>
      <c r="AAC11" s="7">
        <v>8215</v>
      </c>
      <c r="AAD11" s="7">
        <v>8304</v>
      </c>
      <c r="AAE11" s="7">
        <v>8599</v>
      </c>
      <c r="AAF11" s="7">
        <v>8399</v>
      </c>
      <c r="AAG11" s="7">
        <v>8393</v>
      </c>
      <c r="AAH11" s="7">
        <v>8390</v>
      </c>
      <c r="AAI11" s="7">
        <v>8304</v>
      </c>
      <c r="AAJ11" s="7">
        <v>8251</v>
      </c>
      <c r="AAK11" s="7">
        <v>8307</v>
      </c>
      <c r="AAL11" s="7">
        <v>8520</v>
      </c>
      <c r="AAM11" s="7">
        <v>8640</v>
      </c>
      <c r="AAN11" s="7"/>
      <c r="AAO11" s="7">
        <v>8520</v>
      </c>
      <c r="AAP11" s="7">
        <v>8618</v>
      </c>
      <c r="AAQ11" s="7">
        <v>8588</v>
      </c>
      <c r="AAR11" s="7">
        <v>8842</v>
      </c>
      <c r="AAS11" s="7">
        <v>8957</v>
      </c>
      <c r="AAT11" s="7">
        <v>9266</v>
      </c>
      <c r="AAU11" s="7">
        <v>9011</v>
      </c>
      <c r="AAV11" s="7">
        <v>8896</v>
      </c>
      <c r="AAW11" s="7">
        <v>8921</v>
      </c>
      <c r="AAX11" s="7">
        <v>8732</v>
      </c>
      <c r="AAY11" s="7">
        <v>8576</v>
      </c>
      <c r="AAZ11" s="7">
        <v>8317</v>
      </c>
      <c r="ABA11" s="7"/>
      <c r="ABB11" s="7">
        <v>8370</v>
      </c>
      <c r="ABC11" s="7">
        <v>8167</v>
      </c>
      <c r="ABD11" s="7">
        <v>8491</v>
      </c>
      <c r="ABE11" s="7">
        <v>8170</v>
      </c>
      <c r="ABF11" s="7">
        <v>8212</v>
      </c>
      <c r="ABG11" s="7">
        <v>8286</v>
      </c>
      <c r="ABH11" s="7">
        <v>8136</v>
      </c>
      <c r="ABI11" s="7">
        <v>7990</v>
      </c>
      <c r="ABJ11" s="7">
        <v>7927</v>
      </c>
      <c r="ABK11" s="7">
        <v>8061</v>
      </c>
      <c r="ABL11" s="7">
        <v>7932</v>
      </c>
      <c r="ABM11" s="7">
        <v>7934</v>
      </c>
      <c r="ABN11" s="7"/>
      <c r="ABO11" s="7">
        <v>7784</v>
      </c>
      <c r="ABP11" s="7">
        <v>7980</v>
      </c>
      <c r="ABQ11" s="7">
        <v>7737</v>
      </c>
      <c r="ABR11" s="7">
        <v>7672</v>
      </c>
      <c r="ABS11" s="7">
        <v>7651</v>
      </c>
      <c r="ABT11" s="7">
        <v>7524</v>
      </c>
      <c r="ABU11" s="7">
        <v>7406</v>
      </c>
      <c r="ABV11" s="7">
        <v>7345</v>
      </c>
      <c r="ABW11" s="7">
        <v>7553</v>
      </c>
      <c r="ABX11" s="7">
        <v>7453</v>
      </c>
      <c r="ABY11" s="7">
        <v>7566</v>
      </c>
      <c r="ABZ11" s="7">
        <v>7279</v>
      </c>
      <c r="ACA11" s="7"/>
      <c r="ACB11" s="7">
        <v>7064</v>
      </c>
      <c r="ACC11" s="7">
        <v>7184</v>
      </c>
      <c r="ACD11" s="7">
        <v>7072</v>
      </c>
      <c r="ACE11" s="7">
        <v>7120</v>
      </c>
      <c r="ACF11" s="7">
        <v>6980</v>
      </c>
      <c r="ACG11" s="7">
        <v>7001</v>
      </c>
      <c r="ACH11" s="7">
        <v>7175</v>
      </c>
      <c r="ACI11" s="7">
        <v>7091</v>
      </c>
      <c r="ACJ11" s="7">
        <v>6847</v>
      </c>
      <c r="ACK11" s="7">
        <v>6727</v>
      </c>
      <c r="ACL11" s="7">
        <v>6872</v>
      </c>
      <c r="ACM11" s="7">
        <v>6762</v>
      </c>
      <c r="ACN11" s="7"/>
      <c r="ACO11" s="7">
        <v>7116</v>
      </c>
      <c r="ACP11" s="7">
        <v>6927</v>
      </c>
      <c r="ACQ11" s="7">
        <v>6731</v>
      </c>
      <c r="ACR11" s="7">
        <v>6850</v>
      </c>
      <c r="ACS11" s="7">
        <v>6766</v>
      </c>
      <c r="ACT11" s="7">
        <v>6979</v>
      </c>
      <c r="ACU11" s="7">
        <v>7149</v>
      </c>
      <c r="ACV11" s="7">
        <v>7067</v>
      </c>
      <c r="ACW11" s="7">
        <v>7170</v>
      </c>
      <c r="ACX11" s="7">
        <v>7237</v>
      </c>
      <c r="ACY11" s="7">
        <v>7240</v>
      </c>
      <c r="ACZ11" s="7">
        <v>7645</v>
      </c>
      <c r="ADA11" s="7"/>
      <c r="ADB11" s="7">
        <v>7685</v>
      </c>
      <c r="ADC11" s="7">
        <v>7497</v>
      </c>
      <c r="ADD11" s="7">
        <v>7822</v>
      </c>
      <c r="ADE11" s="7">
        <v>7637</v>
      </c>
      <c r="ADF11" s="7">
        <v>8395</v>
      </c>
      <c r="ADG11" s="7">
        <v>8575</v>
      </c>
      <c r="ADH11" s="7">
        <v>8937</v>
      </c>
      <c r="ADI11" s="7">
        <v>9438</v>
      </c>
      <c r="ADJ11" s="7">
        <v>9494</v>
      </c>
      <c r="ADK11" s="7">
        <v>10074</v>
      </c>
      <c r="ADL11" s="7">
        <v>10538</v>
      </c>
      <c r="ADM11" s="7">
        <v>11286</v>
      </c>
      <c r="ADN11" s="7"/>
      <c r="ADO11" s="7">
        <v>12079</v>
      </c>
      <c r="ADP11" s="7">
        <v>12881</v>
      </c>
      <c r="ADQ11" s="7">
        <v>13421</v>
      </c>
      <c r="ADR11" s="7">
        <v>13826</v>
      </c>
      <c r="ADS11" s="7">
        <v>14492</v>
      </c>
      <c r="ADT11" s="7">
        <v>14705</v>
      </c>
      <c r="ADU11" s="7">
        <v>14607</v>
      </c>
      <c r="ADV11" s="7">
        <v>14819</v>
      </c>
      <c r="ADW11" s="7">
        <v>15005</v>
      </c>
      <c r="ADX11" s="7">
        <v>15382</v>
      </c>
      <c r="ADY11" s="7">
        <v>15223</v>
      </c>
      <c r="ADZ11" s="7">
        <v>15095</v>
      </c>
      <c r="AEA11" s="7"/>
      <c r="AEB11" s="7">
        <v>15016</v>
      </c>
      <c r="AEC11" s="7">
        <v>15078</v>
      </c>
      <c r="AED11" s="7">
        <v>15192</v>
      </c>
      <c r="AEE11" s="7">
        <v>15281</v>
      </c>
      <c r="AEF11" s="7">
        <v>14856</v>
      </c>
      <c r="AEG11" s="7">
        <v>14475</v>
      </c>
      <c r="AEH11" s="7">
        <v>14542</v>
      </c>
      <c r="AEI11" s="7">
        <v>14673</v>
      </c>
      <c r="AEJ11" s="7">
        <v>14577</v>
      </c>
      <c r="AEK11" s="7">
        <v>14584</v>
      </c>
      <c r="AEL11" s="7">
        <v>15094</v>
      </c>
      <c r="AEM11" s="7">
        <v>14354</v>
      </c>
      <c r="AEN11" s="7"/>
      <c r="AEO11" s="7">
        <v>13992</v>
      </c>
      <c r="AEP11" s="7">
        <v>13798</v>
      </c>
      <c r="AEQ11" s="7">
        <v>13716</v>
      </c>
      <c r="AER11" s="7">
        <v>13872</v>
      </c>
      <c r="AES11" s="7">
        <v>13871</v>
      </c>
      <c r="AET11" s="7">
        <v>13964</v>
      </c>
      <c r="AEU11" s="7">
        <v>13817</v>
      </c>
      <c r="AEV11" s="7">
        <v>13837</v>
      </c>
      <c r="AEW11" s="7">
        <v>13910</v>
      </c>
      <c r="AEX11" s="7">
        <v>13696</v>
      </c>
      <c r="AEY11" s="7">
        <v>13325</v>
      </c>
      <c r="AEZ11" s="7">
        <v>13049</v>
      </c>
      <c r="AFA11" s="7"/>
      <c r="AFB11" s="7">
        <v>12748</v>
      </c>
      <c r="AFC11" s="7">
        <v>12806</v>
      </c>
      <c r="AFD11" s="7">
        <v>12686</v>
      </c>
      <c r="AFE11" s="7">
        <v>12518</v>
      </c>
      <c r="AFF11" s="7">
        <v>12695</v>
      </c>
      <c r="AFG11" s="7">
        <v>12701</v>
      </c>
      <c r="AFH11" s="7">
        <v>12745</v>
      </c>
      <c r="AFI11" s="7">
        <v>12483</v>
      </c>
      <c r="AFJ11" s="7">
        <v>12082</v>
      </c>
      <c r="AFK11" s="7">
        <v>12248</v>
      </c>
      <c r="AFL11" s="7">
        <v>12042</v>
      </c>
      <c r="AFM11" s="7">
        <v>12206</v>
      </c>
      <c r="AFN11" s="7"/>
      <c r="AFO11" s="7">
        <v>12332</v>
      </c>
      <c r="AFP11" s="7">
        <v>12032</v>
      </c>
      <c r="AFQ11" s="7">
        <v>11742</v>
      </c>
      <c r="AFR11" s="7">
        <v>11659</v>
      </c>
      <c r="AFS11" s="7">
        <v>11760</v>
      </c>
      <c r="AFT11" s="7">
        <v>11777</v>
      </c>
      <c r="AFU11" s="7">
        <v>11514</v>
      </c>
      <c r="AFV11" s="7">
        <v>11316</v>
      </c>
      <c r="AFW11" s="7"/>
      <c r="AFX11" s="7"/>
      <c r="AFY11" s="7"/>
      <c r="AFZ11" s="7"/>
      <c r="AGA11" s="15"/>
    </row>
    <row r="12" spans="1:859" ht="15.75" thickBot="1" x14ac:dyDescent="0.3">
      <c r="A12" s="12" t="s">
        <v>85</v>
      </c>
      <c r="B12" s="6">
        <v>1188</v>
      </c>
      <c r="C12" s="6">
        <v>1377</v>
      </c>
      <c r="D12" s="6">
        <v>1279</v>
      </c>
      <c r="E12" s="6">
        <v>1461</v>
      </c>
      <c r="F12" s="6">
        <v>1146</v>
      </c>
      <c r="G12" s="6">
        <v>1287</v>
      </c>
      <c r="H12" s="6">
        <v>1259</v>
      </c>
      <c r="I12" s="6">
        <v>1511</v>
      </c>
      <c r="J12" s="6">
        <v>1245</v>
      </c>
      <c r="K12" s="6">
        <v>1210</v>
      </c>
      <c r="L12" s="6">
        <v>1251</v>
      </c>
      <c r="M12" s="6">
        <v>1432</v>
      </c>
      <c r="N12" s="6"/>
      <c r="O12" s="6">
        <v>1510</v>
      </c>
      <c r="P12" s="6">
        <v>1603</v>
      </c>
      <c r="Q12" s="6">
        <v>1631</v>
      </c>
      <c r="R12" s="6">
        <v>1652</v>
      </c>
      <c r="S12" s="6">
        <v>1884</v>
      </c>
      <c r="T12" s="6">
        <v>1729</v>
      </c>
      <c r="U12" s="6">
        <v>1852</v>
      </c>
      <c r="V12" s="6">
        <v>1874</v>
      </c>
      <c r="W12" s="6">
        <v>1651</v>
      </c>
      <c r="X12" s="6">
        <v>2332</v>
      </c>
      <c r="Y12" s="6">
        <v>1747</v>
      </c>
      <c r="Z12" s="6">
        <v>1748</v>
      </c>
      <c r="AA12" s="6"/>
      <c r="AB12" s="6">
        <v>1780</v>
      </c>
      <c r="AC12" s="6">
        <v>1600</v>
      </c>
      <c r="AD12" s="6">
        <v>1503</v>
      </c>
      <c r="AE12" s="6">
        <v>1472</v>
      </c>
      <c r="AF12" s="6">
        <v>1464</v>
      </c>
      <c r="AG12" s="6">
        <v>1468</v>
      </c>
      <c r="AH12" s="6">
        <v>1411</v>
      </c>
      <c r="AI12" s="6">
        <v>1251</v>
      </c>
      <c r="AJ12" s="6">
        <v>1272</v>
      </c>
      <c r="AK12" s="6">
        <v>1262</v>
      </c>
      <c r="AL12" s="6">
        <v>1354</v>
      </c>
      <c r="AM12" s="6">
        <v>1459</v>
      </c>
      <c r="AN12" s="6"/>
      <c r="AO12" s="6">
        <v>1115</v>
      </c>
      <c r="AP12" s="6">
        <v>1107</v>
      </c>
      <c r="AQ12" s="6">
        <v>1215</v>
      </c>
      <c r="AR12" s="6">
        <v>1160</v>
      </c>
      <c r="AS12" s="6">
        <v>1125</v>
      </c>
      <c r="AT12" s="6">
        <v>1125</v>
      </c>
      <c r="AU12" s="6">
        <v>1183</v>
      </c>
      <c r="AV12" s="6">
        <v>1184</v>
      </c>
      <c r="AW12" s="6">
        <v>1294</v>
      </c>
      <c r="AX12" s="6">
        <v>1279</v>
      </c>
      <c r="AY12" s="6">
        <v>1233</v>
      </c>
      <c r="AZ12" s="6">
        <v>1138</v>
      </c>
      <c r="BA12" s="6"/>
      <c r="BB12" s="6">
        <v>1066</v>
      </c>
      <c r="BC12" s="6">
        <v>1181</v>
      </c>
      <c r="BD12" s="6">
        <v>1150</v>
      </c>
      <c r="BE12" s="6">
        <v>1137</v>
      </c>
      <c r="BF12" s="6">
        <v>1179</v>
      </c>
      <c r="BG12" s="6">
        <v>1196</v>
      </c>
      <c r="BH12" s="6">
        <v>1187</v>
      </c>
      <c r="BI12" s="6">
        <v>1270</v>
      </c>
      <c r="BJ12" s="6">
        <v>1130</v>
      </c>
      <c r="BK12" s="6">
        <v>1050</v>
      </c>
      <c r="BL12" s="6">
        <v>1017</v>
      </c>
      <c r="BM12" s="6">
        <v>1044</v>
      </c>
      <c r="BN12" s="6"/>
      <c r="BO12" s="6">
        <v>1059</v>
      </c>
      <c r="BP12" s="6">
        <v>1068</v>
      </c>
      <c r="BQ12" s="6">
        <v>1029</v>
      </c>
      <c r="BR12" s="6">
        <v>1131</v>
      </c>
      <c r="BS12" s="6">
        <v>973</v>
      </c>
      <c r="BT12" s="6">
        <v>985</v>
      </c>
      <c r="BU12" s="6">
        <v>1002</v>
      </c>
      <c r="BV12" s="6">
        <v>1076</v>
      </c>
      <c r="BW12" s="6">
        <v>1163</v>
      </c>
      <c r="BX12" s="6">
        <v>1242</v>
      </c>
      <c r="BY12" s="6">
        <v>1307</v>
      </c>
      <c r="BZ12" s="6">
        <v>1761</v>
      </c>
      <c r="CA12" s="6"/>
      <c r="CB12" s="6">
        <v>1631</v>
      </c>
      <c r="CC12" s="6">
        <v>1706</v>
      </c>
      <c r="CD12" s="6">
        <v>1729</v>
      </c>
      <c r="CE12" s="6">
        <v>1725</v>
      </c>
      <c r="CF12" s="6">
        <v>1643</v>
      </c>
      <c r="CG12" s="6">
        <v>1573</v>
      </c>
      <c r="CH12" s="6">
        <v>1623</v>
      </c>
      <c r="CI12" s="6">
        <v>1587</v>
      </c>
      <c r="CJ12" s="6">
        <v>1640</v>
      </c>
      <c r="CK12" s="6">
        <v>1535</v>
      </c>
      <c r="CL12" s="6">
        <v>1457</v>
      </c>
      <c r="CM12" s="6">
        <v>1414</v>
      </c>
      <c r="CN12" s="6"/>
      <c r="CO12" s="6">
        <v>1398</v>
      </c>
      <c r="CP12" s="6">
        <v>1296</v>
      </c>
      <c r="CQ12" s="6">
        <v>1184</v>
      </c>
      <c r="CR12" s="6">
        <v>1301</v>
      </c>
      <c r="CS12" s="6">
        <v>1295</v>
      </c>
      <c r="CT12" s="6">
        <v>1305</v>
      </c>
      <c r="CU12" s="6">
        <v>1282</v>
      </c>
      <c r="CV12" s="6">
        <v>1445</v>
      </c>
      <c r="CW12" s="6">
        <v>1357</v>
      </c>
      <c r="CX12" s="6">
        <v>1429</v>
      </c>
      <c r="CY12" s="6">
        <v>1386</v>
      </c>
      <c r="CZ12" s="6">
        <v>1338</v>
      </c>
      <c r="DA12" s="6"/>
      <c r="DB12" s="6">
        <v>1336</v>
      </c>
      <c r="DC12" s="6">
        <v>1289</v>
      </c>
      <c r="DD12" s="6">
        <v>1502</v>
      </c>
      <c r="DE12" s="6">
        <v>1353</v>
      </c>
      <c r="DF12" s="6">
        <v>1483</v>
      </c>
      <c r="DG12" s="6">
        <v>1505</v>
      </c>
      <c r="DH12" s="6">
        <v>1469</v>
      </c>
      <c r="DI12" s="6">
        <v>1376</v>
      </c>
      <c r="DJ12" s="6">
        <v>1356</v>
      </c>
      <c r="DK12" s="6">
        <v>1319</v>
      </c>
      <c r="DL12" s="6">
        <v>1481</v>
      </c>
      <c r="DM12" s="6">
        <v>1446</v>
      </c>
      <c r="DN12" s="6"/>
      <c r="DO12" s="6">
        <v>1373</v>
      </c>
      <c r="DP12" s="6">
        <v>1293</v>
      </c>
      <c r="DQ12" s="6">
        <v>1241</v>
      </c>
      <c r="DR12" s="6">
        <v>1335</v>
      </c>
      <c r="DS12" s="6">
        <v>1423</v>
      </c>
      <c r="DT12" s="6">
        <v>1392</v>
      </c>
      <c r="DU12" s="6">
        <v>1366</v>
      </c>
      <c r="DV12" s="6">
        <v>1395</v>
      </c>
      <c r="DW12" s="6">
        <v>1484</v>
      </c>
      <c r="DX12" s="6">
        <v>1399</v>
      </c>
      <c r="DY12" s="6">
        <v>1598</v>
      </c>
      <c r="DZ12" s="6">
        <v>1585</v>
      </c>
      <c r="EA12" s="6"/>
      <c r="EB12" s="6">
        <v>1701</v>
      </c>
      <c r="EC12" s="6">
        <v>1883</v>
      </c>
      <c r="ED12" s="6">
        <v>1933</v>
      </c>
      <c r="EE12" s="6">
        <v>1881</v>
      </c>
      <c r="EF12" s="6">
        <v>1855</v>
      </c>
      <c r="EG12" s="6">
        <v>1755</v>
      </c>
      <c r="EH12" s="6">
        <v>1818</v>
      </c>
      <c r="EI12" s="6">
        <v>1760</v>
      </c>
      <c r="EJ12" s="6">
        <v>1626</v>
      </c>
      <c r="EK12" s="6">
        <v>1643</v>
      </c>
      <c r="EL12" s="6">
        <v>1531</v>
      </c>
      <c r="EM12" s="6">
        <v>1692</v>
      </c>
      <c r="EN12" s="6"/>
      <c r="EO12" s="6">
        <v>1574</v>
      </c>
      <c r="EP12" s="6">
        <v>1554</v>
      </c>
      <c r="EQ12" s="6">
        <v>1459</v>
      </c>
      <c r="ER12" s="6">
        <v>1494</v>
      </c>
      <c r="ES12" s="6">
        <v>1479</v>
      </c>
      <c r="ET12" s="6">
        <v>1522</v>
      </c>
      <c r="EU12" s="6">
        <v>1591</v>
      </c>
      <c r="EV12" s="6">
        <v>1607</v>
      </c>
      <c r="EW12" s="6">
        <v>1602</v>
      </c>
      <c r="EX12" s="6">
        <v>1750</v>
      </c>
      <c r="EY12" s="6">
        <v>1745</v>
      </c>
      <c r="EZ12" s="6">
        <v>1657</v>
      </c>
      <c r="FA12" s="6"/>
      <c r="FB12" s="6">
        <v>1638</v>
      </c>
      <c r="FC12" s="6">
        <v>1431</v>
      </c>
      <c r="FD12" s="6">
        <v>1666</v>
      </c>
      <c r="FE12" s="6">
        <v>1735</v>
      </c>
      <c r="FF12" s="6">
        <v>1718</v>
      </c>
      <c r="FG12" s="6">
        <v>1738</v>
      </c>
      <c r="FH12" s="6">
        <v>1709</v>
      </c>
      <c r="FI12" s="6">
        <v>1746</v>
      </c>
      <c r="FJ12" s="6">
        <v>1677</v>
      </c>
      <c r="FK12" s="6">
        <v>1766</v>
      </c>
      <c r="FL12" s="6">
        <v>1718</v>
      </c>
      <c r="FM12" s="6">
        <v>2102</v>
      </c>
      <c r="FN12" s="6"/>
      <c r="FO12" s="6">
        <v>1884</v>
      </c>
      <c r="FP12" s="6">
        <v>2037</v>
      </c>
      <c r="FQ12" s="6">
        <v>1863</v>
      </c>
      <c r="FR12" s="6">
        <v>1729</v>
      </c>
      <c r="FS12" s="6">
        <v>1748</v>
      </c>
      <c r="FT12" s="6">
        <v>1841</v>
      </c>
      <c r="FU12" s="6">
        <v>1789</v>
      </c>
      <c r="FV12" s="6">
        <v>1701</v>
      </c>
      <c r="FW12" s="6">
        <v>1859</v>
      </c>
      <c r="FX12" s="6">
        <v>1811</v>
      </c>
      <c r="FY12" s="6">
        <v>1638</v>
      </c>
      <c r="FZ12" s="6">
        <v>1734</v>
      </c>
      <c r="GA12" s="6"/>
      <c r="GB12" s="6">
        <v>1701</v>
      </c>
      <c r="GC12" s="6">
        <v>1504</v>
      </c>
      <c r="GD12" s="6">
        <v>1721</v>
      </c>
      <c r="GE12" s="6">
        <v>1629</v>
      </c>
      <c r="GF12" s="6">
        <v>1543</v>
      </c>
      <c r="GG12" s="6">
        <v>1598</v>
      </c>
      <c r="GH12" s="6">
        <v>1592</v>
      </c>
      <c r="GI12" s="6">
        <v>1731</v>
      </c>
      <c r="GJ12" s="6">
        <v>1749</v>
      </c>
      <c r="GK12" s="6">
        <v>1636</v>
      </c>
      <c r="GL12" s="6">
        <v>1838</v>
      </c>
      <c r="GM12" s="6">
        <v>1732</v>
      </c>
      <c r="GN12" s="6"/>
      <c r="GO12" s="6">
        <v>1730</v>
      </c>
      <c r="GP12" s="6">
        <v>1858</v>
      </c>
      <c r="GQ12" s="6">
        <v>1701</v>
      </c>
      <c r="GR12" s="6">
        <v>1717</v>
      </c>
      <c r="GS12" s="6">
        <v>1870</v>
      </c>
      <c r="GT12" s="6">
        <v>1719</v>
      </c>
      <c r="GU12" s="6">
        <v>1693</v>
      </c>
      <c r="GV12" s="6">
        <v>1677</v>
      </c>
      <c r="GW12" s="6">
        <v>1695</v>
      </c>
      <c r="GX12" s="6">
        <v>1738</v>
      </c>
      <c r="GY12" s="6">
        <v>1859</v>
      </c>
      <c r="GZ12" s="6">
        <v>1774</v>
      </c>
      <c r="HA12" s="6"/>
      <c r="HB12" s="6">
        <v>1805</v>
      </c>
      <c r="HC12" s="6">
        <v>1708</v>
      </c>
      <c r="HD12" s="6">
        <v>1783</v>
      </c>
      <c r="HE12" s="6">
        <v>1767</v>
      </c>
      <c r="HF12" s="6">
        <v>1681</v>
      </c>
      <c r="HG12" s="6">
        <v>1719</v>
      </c>
      <c r="HH12" s="6">
        <v>1486</v>
      </c>
      <c r="HI12" s="6">
        <v>1696</v>
      </c>
      <c r="HJ12" s="6">
        <v>1703</v>
      </c>
      <c r="HK12" s="6">
        <v>1754</v>
      </c>
      <c r="HL12" s="6">
        <v>1596</v>
      </c>
      <c r="HM12" s="6">
        <v>1672</v>
      </c>
      <c r="HN12" s="6"/>
      <c r="HO12" s="6">
        <v>1626</v>
      </c>
      <c r="HP12" s="6">
        <v>1743</v>
      </c>
      <c r="HQ12" s="6">
        <v>1702</v>
      </c>
      <c r="HR12" s="6">
        <v>1747</v>
      </c>
      <c r="HS12" s="6">
        <v>1670</v>
      </c>
      <c r="HT12" s="6">
        <v>1656</v>
      </c>
      <c r="HU12" s="6">
        <v>1654</v>
      </c>
      <c r="HV12" s="6">
        <v>1613</v>
      </c>
      <c r="HW12" s="6">
        <v>1627</v>
      </c>
      <c r="HX12" s="6">
        <v>1533</v>
      </c>
      <c r="HY12" s="6">
        <v>1531</v>
      </c>
      <c r="HZ12" s="6">
        <v>1436</v>
      </c>
      <c r="IA12" s="6"/>
      <c r="IB12" s="6">
        <v>1523</v>
      </c>
      <c r="IC12" s="6">
        <v>1505</v>
      </c>
      <c r="ID12" s="6">
        <v>1523</v>
      </c>
      <c r="IE12" s="6">
        <v>1563</v>
      </c>
      <c r="IF12" s="6">
        <v>1631</v>
      </c>
      <c r="IG12" s="6">
        <v>1647</v>
      </c>
      <c r="IH12" s="6">
        <v>1640</v>
      </c>
      <c r="II12" s="6">
        <v>1622</v>
      </c>
      <c r="IJ12" s="6">
        <v>1555</v>
      </c>
      <c r="IK12" s="6">
        <v>1541</v>
      </c>
      <c r="IL12" s="6">
        <v>1499</v>
      </c>
      <c r="IM12" s="6">
        <v>1582</v>
      </c>
      <c r="IN12" s="6"/>
      <c r="IO12" s="6">
        <v>1608</v>
      </c>
      <c r="IP12" s="6">
        <v>1596</v>
      </c>
      <c r="IQ12" s="6">
        <v>1586</v>
      </c>
      <c r="IR12" s="6">
        <v>1547</v>
      </c>
      <c r="IS12" s="6">
        <v>1581</v>
      </c>
      <c r="IT12" s="6">
        <v>1704</v>
      </c>
      <c r="IU12" s="6">
        <v>1642</v>
      </c>
      <c r="IV12" s="6">
        <v>1595</v>
      </c>
      <c r="IW12" s="6">
        <v>1667</v>
      </c>
      <c r="IX12" s="6">
        <v>1730</v>
      </c>
      <c r="IY12" s="6">
        <v>1680</v>
      </c>
      <c r="IZ12" s="6">
        <v>1616</v>
      </c>
      <c r="JA12" s="6"/>
      <c r="JB12" s="6">
        <v>1458</v>
      </c>
      <c r="JC12" s="6">
        <v>1710</v>
      </c>
      <c r="JD12" s="6">
        <v>1651</v>
      </c>
      <c r="JE12" s="6">
        <v>1436</v>
      </c>
      <c r="JF12" s="6">
        <v>1567</v>
      </c>
      <c r="JG12" s="6">
        <v>1755</v>
      </c>
      <c r="JH12" s="6">
        <v>1647</v>
      </c>
      <c r="JI12" s="6">
        <v>1645</v>
      </c>
      <c r="JJ12" s="6">
        <v>1534</v>
      </c>
      <c r="JK12" s="6">
        <v>1507</v>
      </c>
      <c r="JL12" s="6">
        <v>1593</v>
      </c>
      <c r="JM12" s="6">
        <v>1527</v>
      </c>
      <c r="JN12" s="6"/>
      <c r="JO12" s="6">
        <v>1554</v>
      </c>
      <c r="JP12" s="6">
        <v>1442</v>
      </c>
      <c r="JQ12" s="6">
        <v>1603</v>
      </c>
      <c r="JR12" s="6">
        <v>1600</v>
      </c>
      <c r="JS12" s="6">
        <v>1649</v>
      </c>
      <c r="JT12" s="6">
        <v>1664</v>
      </c>
      <c r="JU12" s="6">
        <v>1686</v>
      </c>
      <c r="JV12" s="6">
        <v>1637</v>
      </c>
      <c r="JW12" s="6">
        <v>1693</v>
      </c>
      <c r="JX12" s="6">
        <v>1814</v>
      </c>
      <c r="JY12" s="6">
        <v>1580</v>
      </c>
      <c r="JZ12" s="6">
        <v>1585</v>
      </c>
      <c r="KA12" s="6"/>
      <c r="KB12" s="6">
        <v>1800</v>
      </c>
      <c r="KC12" s="6">
        <v>1950</v>
      </c>
      <c r="KD12" s="6">
        <v>1978</v>
      </c>
      <c r="KE12" s="6">
        <v>2139</v>
      </c>
      <c r="KF12" s="6">
        <v>2109</v>
      </c>
      <c r="KG12" s="6">
        <v>2100</v>
      </c>
      <c r="KH12" s="6">
        <v>2132</v>
      </c>
      <c r="KI12" s="6">
        <v>2182</v>
      </c>
      <c r="KJ12" s="6">
        <v>2235</v>
      </c>
      <c r="KK12" s="6">
        <v>2386</v>
      </c>
      <c r="KL12" s="6">
        <v>2338</v>
      </c>
      <c r="KM12" s="6">
        <v>2369</v>
      </c>
      <c r="KN12" s="6"/>
      <c r="KO12" s="6">
        <v>2302</v>
      </c>
      <c r="KP12" s="6">
        <v>2178</v>
      </c>
      <c r="KQ12" s="6">
        <v>2144</v>
      </c>
      <c r="KR12" s="6">
        <v>2206</v>
      </c>
      <c r="KS12" s="6">
        <v>2229</v>
      </c>
      <c r="KT12" s="6">
        <v>2180</v>
      </c>
      <c r="KU12" s="6">
        <v>2210</v>
      </c>
      <c r="KV12" s="6">
        <v>2337</v>
      </c>
      <c r="KW12" s="6">
        <v>2301</v>
      </c>
      <c r="KX12" s="6">
        <v>2222</v>
      </c>
      <c r="KY12" s="6">
        <v>2304</v>
      </c>
      <c r="KZ12" s="6">
        <v>2320</v>
      </c>
      <c r="LA12" s="6"/>
      <c r="LB12" s="6">
        <v>2324</v>
      </c>
      <c r="LC12" s="6">
        <v>2111</v>
      </c>
      <c r="LD12" s="6">
        <v>2303</v>
      </c>
      <c r="LE12" s="6">
        <v>2229</v>
      </c>
      <c r="LF12" s="6">
        <v>2192</v>
      </c>
      <c r="LG12" s="6">
        <v>2279</v>
      </c>
      <c r="LH12" s="6">
        <v>2248</v>
      </c>
      <c r="LI12" s="6">
        <v>2285</v>
      </c>
      <c r="LJ12" s="6">
        <v>2353</v>
      </c>
      <c r="LK12" s="6">
        <v>2351</v>
      </c>
      <c r="LL12" s="6">
        <v>2191</v>
      </c>
      <c r="LM12" s="6">
        <v>2003</v>
      </c>
      <c r="LN12" s="6"/>
      <c r="LO12" s="6">
        <v>2035</v>
      </c>
      <c r="LP12" s="6">
        <v>2259</v>
      </c>
      <c r="LQ12" s="6">
        <v>2136</v>
      </c>
      <c r="LR12" s="6">
        <v>2260</v>
      </c>
      <c r="LS12" s="6">
        <v>2223</v>
      </c>
      <c r="LT12" s="6">
        <v>2322</v>
      </c>
      <c r="LU12" s="6">
        <v>2271</v>
      </c>
      <c r="LV12" s="6">
        <v>2290</v>
      </c>
      <c r="LW12" s="6">
        <v>2211</v>
      </c>
      <c r="LX12" s="6">
        <v>2063</v>
      </c>
      <c r="LY12" s="6">
        <v>2288</v>
      </c>
      <c r="LZ12" s="6">
        <v>2332</v>
      </c>
      <c r="MA12" s="6"/>
      <c r="MB12" s="6">
        <v>2400</v>
      </c>
      <c r="MC12" s="6">
        <v>2432</v>
      </c>
      <c r="MD12" s="6">
        <v>2413</v>
      </c>
      <c r="ME12" s="6">
        <v>2337</v>
      </c>
      <c r="MF12" s="6">
        <v>2457</v>
      </c>
      <c r="MG12" s="6">
        <v>2497</v>
      </c>
      <c r="MH12" s="6">
        <v>2526</v>
      </c>
      <c r="MI12" s="6">
        <v>2609</v>
      </c>
      <c r="MJ12" s="6">
        <v>2723</v>
      </c>
      <c r="MK12" s="6">
        <v>2723</v>
      </c>
      <c r="ML12" s="6">
        <v>3052</v>
      </c>
      <c r="MM12" s="6">
        <v>3125</v>
      </c>
      <c r="MN12" s="6"/>
      <c r="MO12" s="6">
        <v>3293</v>
      </c>
      <c r="MP12" s="6">
        <v>2947</v>
      </c>
      <c r="MQ12" s="6">
        <v>3193</v>
      </c>
      <c r="MR12" s="6">
        <v>2915</v>
      </c>
      <c r="MS12" s="6">
        <v>3051</v>
      </c>
      <c r="MT12" s="6">
        <v>2872</v>
      </c>
      <c r="MU12" s="6">
        <v>2882</v>
      </c>
      <c r="MV12" s="6">
        <v>2808</v>
      </c>
      <c r="MW12" s="6">
        <v>2878</v>
      </c>
      <c r="MX12" s="6">
        <v>2962</v>
      </c>
      <c r="MY12" s="6">
        <v>2718</v>
      </c>
      <c r="MZ12" s="6">
        <v>2762</v>
      </c>
      <c r="NA12" s="6"/>
      <c r="NB12" s="6">
        <v>2749</v>
      </c>
      <c r="NC12" s="6">
        <v>2799</v>
      </c>
      <c r="ND12" s="6">
        <v>2628</v>
      </c>
      <c r="NE12" s="6">
        <v>2938</v>
      </c>
      <c r="NF12" s="6">
        <v>2795</v>
      </c>
      <c r="NG12" s="6">
        <v>2787</v>
      </c>
      <c r="NH12" s="6">
        <v>2965</v>
      </c>
      <c r="NI12" s="6">
        <v>2893</v>
      </c>
      <c r="NJ12" s="6">
        <v>2910</v>
      </c>
      <c r="NK12" s="6">
        <v>2945</v>
      </c>
      <c r="NL12" s="6">
        <v>2826</v>
      </c>
      <c r="NM12" s="6">
        <v>2921</v>
      </c>
      <c r="NN12" s="6"/>
      <c r="NO12" s="6">
        <v>2894</v>
      </c>
      <c r="NP12" s="6">
        <v>3015</v>
      </c>
      <c r="NQ12" s="6">
        <v>2993</v>
      </c>
      <c r="NR12" s="6">
        <v>3015</v>
      </c>
      <c r="NS12" s="6">
        <v>2754</v>
      </c>
      <c r="NT12" s="6">
        <v>3138</v>
      </c>
      <c r="NU12" s="6">
        <v>2859</v>
      </c>
      <c r="NV12" s="6">
        <v>2896</v>
      </c>
      <c r="NW12" s="6">
        <v>2883</v>
      </c>
      <c r="NX12" s="6">
        <v>2883</v>
      </c>
      <c r="NY12" s="6">
        <v>2924</v>
      </c>
      <c r="NZ12" s="6">
        <v>2729</v>
      </c>
      <c r="OA12" s="6"/>
      <c r="OB12" s="6">
        <v>2824</v>
      </c>
      <c r="OC12" s="6">
        <v>2764</v>
      </c>
      <c r="OD12" s="6">
        <v>2871</v>
      </c>
      <c r="OE12" s="6">
        <v>2750</v>
      </c>
      <c r="OF12" s="6">
        <v>2870</v>
      </c>
      <c r="OG12" s="6">
        <v>2788</v>
      </c>
      <c r="OH12" s="6">
        <v>3069</v>
      </c>
      <c r="OI12" s="6">
        <v>2858</v>
      </c>
      <c r="OJ12" s="6">
        <v>2941</v>
      </c>
      <c r="OK12" s="6">
        <v>2786</v>
      </c>
      <c r="OL12" s="6">
        <v>2903</v>
      </c>
      <c r="OM12" s="6">
        <v>2978</v>
      </c>
      <c r="ON12" s="6"/>
      <c r="OO12" s="6">
        <v>2791</v>
      </c>
      <c r="OP12" s="6">
        <v>2899</v>
      </c>
      <c r="OQ12" s="6">
        <v>2843</v>
      </c>
      <c r="OR12" s="6">
        <v>2938</v>
      </c>
      <c r="OS12" s="6">
        <v>2773</v>
      </c>
      <c r="OT12" s="6">
        <v>2947</v>
      </c>
      <c r="OU12" s="6">
        <v>2890</v>
      </c>
      <c r="OV12" s="6">
        <v>3296</v>
      </c>
      <c r="OW12" s="6">
        <v>2946</v>
      </c>
      <c r="OX12" s="6">
        <v>3039</v>
      </c>
      <c r="OY12" s="6">
        <v>3030</v>
      </c>
      <c r="OZ12" s="6">
        <v>3013</v>
      </c>
      <c r="PA12" s="6"/>
      <c r="PB12" s="6">
        <v>3215</v>
      </c>
      <c r="PC12" s="6">
        <v>3134</v>
      </c>
      <c r="PD12" s="6">
        <v>3097</v>
      </c>
      <c r="PE12" s="6">
        <v>3374</v>
      </c>
      <c r="PF12" s="6">
        <v>3754</v>
      </c>
      <c r="PG12" s="6">
        <v>3409</v>
      </c>
      <c r="PH12" s="6">
        <v>3458</v>
      </c>
      <c r="PI12" s="6">
        <v>3415</v>
      </c>
      <c r="PJ12" s="6">
        <v>3150</v>
      </c>
      <c r="PK12" s="6">
        <v>3236</v>
      </c>
      <c r="PL12" s="6">
        <v>3146</v>
      </c>
      <c r="PM12" s="6">
        <v>3097</v>
      </c>
      <c r="PN12" s="6"/>
      <c r="PO12" s="6">
        <v>3318</v>
      </c>
      <c r="PP12" s="6">
        <v>3287</v>
      </c>
      <c r="PQ12" s="6">
        <v>3328</v>
      </c>
      <c r="PR12" s="6">
        <v>3185</v>
      </c>
      <c r="PS12" s="6">
        <v>3409</v>
      </c>
      <c r="PT12" s="6">
        <v>3340</v>
      </c>
      <c r="PU12" s="6">
        <v>3307</v>
      </c>
      <c r="PV12" s="6">
        <v>3320</v>
      </c>
      <c r="PW12" s="6">
        <v>3493</v>
      </c>
      <c r="PX12" s="6">
        <v>3656</v>
      </c>
      <c r="PY12" s="6">
        <v>3812</v>
      </c>
      <c r="PZ12" s="6">
        <v>3949</v>
      </c>
      <c r="QA12" s="6"/>
      <c r="QB12" s="6">
        <v>3924</v>
      </c>
      <c r="QC12" s="6">
        <v>3808</v>
      </c>
      <c r="QD12" s="6">
        <v>3896</v>
      </c>
      <c r="QE12" s="6">
        <v>3951</v>
      </c>
      <c r="QF12" s="6">
        <v>3885</v>
      </c>
      <c r="QG12" s="6">
        <v>3606</v>
      </c>
      <c r="QH12" s="6">
        <v>3929</v>
      </c>
      <c r="QI12" s="6">
        <v>3895</v>
      </c>
      <c r="QJ12" s="6">
        <v>3966</v>
      </c>
      <c r="QK12" s="6">
        <v>3873</v>
      </c>
      <c r="QL12" s="6">
        <v>3974</v>
      </c>
      <c r="QM12" s="6">
        <v>3939</v>
      </c>
      <c r="QN12" s="6"/>
      <c r="QO12" s="6">
        <v>3654</v>
      </c>
      <c r="QP12" s="6">
        <v>3717</v>
      </c>
      <c r="QQ12" s="6">
        <v>3502</v>
      </c>
      <c r="QR12" s="6">
        <v>3539</v>
      </c>
      <c r="QS12" s="6">
        <v>3531</v>
      </c>
      <c r="QT12" s="6">
        <v>3686</v>
      </c>
      <c r="QU12" s="6">
        <v>3459</v>
      </c>
      <c r="QV12" s="6">
        <v>3632</v>
      </c>
      <c r="QW12" s="6">
        <v>3768</v>
      </c>
      <c r="QX12" s="6">
        <v>3491</v>
      </c>
      <c r="QY12" s="6">
        <v>3347</v>
      </c>
      <c r="QZ12" s="6">
        <v>3455</v>
      </c>
      <c r="RA12" s="6"/>
      <c r="RB12" s="6">
        <v>3309</v>
      </c>
      <c r="RC12" s="6">
        <v>3327</v>
      </c>
      <c r="RD12" s="6">
        <v>3335</v>
      </c>
      <c r="RE12" s="6">
        <v>3362</v>
      </c>
      <c r="RF12" s="6">
        <v>3167</v>
      </c>
      <c r="RG12" s="6">
        <v>3261</v>
      </c>
      <c r="RH12" s="6">
        <v>3392</v>
      </c>
      <c r="RI12" s="6">
        <v>3567</v>
      </c>
      <c r="RJ12" s="6">
        <v>3325</v>
      </c>
      <c r="RK12" s="6">
        <v>3423</v>
      </c>
      <c r="RL12" s="6">
        <v>3392</v>
      </c>
      <c r="RM12" s="6">
        <v>3371</v>
      </c>
      <c r="RN12" s="6"/>
      <c r="RO12" s="6">
        <v>3667</v>
      </c>
      <c r="RP12" s="6">
        <v>3471</v>
      </c>
      <c r="RQ12" s="6">
        <v>3519</v>
      </c>
      <c r="RR12" s="6">
        <v>3499</v>
      </c>
      <c r="RS12" s="6">
        <v>3503</v>
      </c>
      <c r="RT12" s="6">
        <v>3538</v>
      </c>
      <c r="RU12" s="6">
        <v>3555</v>
      </c>
      <c r="RV12" s="6">
        <v>3439</v>
      </c>
      <c r="RW12" s="6">
        <v>3494</v>
      </c>
      <c r="RX12" s="6">
        <v>3424</v>
      </c>
      <c r="RY12" s="6">
        <v>3463</v>
      </c>
      <c r="RZ12" s="6">
        <v>3393</v>
      </c>
      <c r="SA12" s="6"/>
      <c r="SB12" s="6">
        <v>3333</v>
      </c>
      <c r="SC12" s="6">
        <v>3516</v>
      </c>
      <c r="SD12" s="6">
        <v>3540</v>
      </c>
      <c r="SE12" s="6">
        <v>3598</v>
      </c>
      <c r="SF12" s="6">
        <v>3586</v>
      </c>
      <c r="SG12" s="6">
        <v>3489</v>
      </c>
      <c r="SH12" s="6">
        <v>3446</v>
      </c>
      <c r="SI12" s="6">
        <v>3439</v>
      </c>
      <c r="SJ12" s="6">
        <v>3405</v>
      </c>
      <c r="SK12" s="6">
        <v>3416</v>
      </c>
      <c r="SL12" s="6">
        <v>3343</v>
      </c>
      <c r="SM12" s="6">
        <v>3297</v>
      </c>
      <c r="SN12" s="6"/>
      <c r="SO12" s="6">
        <v>3390</v>
      </c>
      <c r="SP12" s="6">
        <v>3323</v>
      </c>
      <c r="SQ12" s="6">
        <v>3386</v>
      </c>
      <c r="SR12" s="6">
        <v>3162</v>
      </c>
      <c r="SS12" s="6">
        <v>3315</v>
      </c>
      <c r="ST12" s="6">
        <v>3167</v>
      </c>
      <c r="SU12" s="6">
        <v>3217</v>
      </c>
      <c r="SV12" s="6">
        <v>3191</v>
      </c>
      <c r="SW12" s="6">
        <v>3224</v>
      </c>
      <c r="SX12" s="6">
        <v>3241</v>
      </c>
      <c r="SY12" s="6">
        <v>3172</v>
      </c>
      <c r="SZ12" s="6">
        <v>3178</v>
      </c>
      <c r="TA12" s="6"/>
      <c r="TB12" s="6">
        <v>3086</v>
      </c>
      <c r="TC12" s="6">
        <v>3057</v>
      </c>
      <c r="TD12" s="6">
        <v>3042</v>
      </c>
      <c r="TE12" s="6">
        <v>3107</v>
      </c>
      <c r="TF12" s="6">
        <v>3095</v>
      </c>
      <c r="TG12" s="6">
        <v>3101</v>
      </c>
      <c r="TH12" s="6">
        <v>2998</v>
      </c>
      <c r="TI12" s="6">
        <v>3172</v>
      </c>
      <c r="TJ12" s="6">
        <v>3152</v>
      </c>
      <c r="TK12" s="6">
        <v>3106</v>
      </c>
      <c r="TL12" s="6">
        <v>3097</v>
      </c>
      <c r="TM12" s="6">
        <v>2972</v>
      </c>
      <c r="TN12" s="6"/>
      <c r="TO12" s="6">
        <v>3146</v>
      </c>
      <c r="TP12" s="6">
        <v>3194</v>
      </c>
      <c r="TQ12" s="6">
        <v>3042</v>
      </c>
      <c r="TR12" s="6">
        <v>3110</v>
      </c>
      <c r="TS12" s="6">
        <v>3052</v>
      </c>
      <c r="TT12" s="6">
        <v>3303</v>
      </c>
      <c r="TU12" s="6">
        <v>3173</v>
      </c>
      <c r="TV12" s="6">
        <v>3090</v>
      </c>
      <c r="TW12" s="6">
        <v>3214</v>
      </c>
      <c r="TX12" s="6">
        <v>3218</v>
      </c>
      <c r="TY12" s="6">
        <v>3247</v>
      </c>
      <c r="TZ12" s="6">
        <v>3275</v>
      </c>
      <c r="UA12" s="6"/>
      <c r="UB12" s="6">
        <v>3189</v>
      </c>
      <c r="UC12" s="6">
        <v>3223</v>
      </c>
      <c r="UD12" s="6">
        <v>3206</v>
      </c>
      <c r="UE12" s="6">
        <v>3269</v>
      </c>
      <c r="UF12" s="6">
        <v>3117</v>
      </c>
      <c r="UG12" s="6">
        <v>3151</v>
      </c>
      <c r="UH12" s="6">
        <v>3221</v>
      </c>
      <c r="UI12" s="6">
        <v>3320</v>
      </c>
      <c r="UJ12" s="6">
        <v>3280</v>
      </c>
      <c r="UK12" s="6">
        <v>3347</v>
      </c>
      <c r="UL12" s="6">
        <v>3442</v>
      </c>
      <c r="UM12" s="6">
        <v>3462</v>
      </c>
      <c r="UN12" s="6"/>
      <c r="UO12" s="6">
        <v>3470</v>
      </c>
      <c r="UP12" s="6">
        <v>3585</v>
      </c>
      <c r="UQ12" s="6">
        <v>3539</v>
      </c>
      <c r="UR12" s="6">
        <v>3400</v>
      </c>
      <c r="US12" s="6">
        <v>3621</v>
      </c>
      <c r="UT12" s="6">
        <v>3428</v>
      </c>
      <c r="UU12" s="6">
        <v>3422</v>
      </c>
      <c r="UV12" s="6">
        <v>3446</v>
      </c>
      <c r="UW12" s="6">
        <v>3478</v>
      </c>
      <c r="UX12" s="6">
        <v>3473</v>
      </c>
      <c r="UY12" s="6">
        <v>3460</v>
      </c>
      <c r="UZ12" s="6">
        <v>3473</v>
      </c>
      <c r="VA12" s="6"/>
      <c r="VB12" s="6">
        <v>3398</v>
      </c>
      <c r="VC12" s="6">
        <v>3277</v>
      </c>
      <c r="VD12" s="6">
        <v>3412</v>
      </c>
      <c r="VE12" s="6">
        <v>3296</v>
      </c>
      <c r="VF12" s="6">
        <v>3417</v>
      </c>
      <c r="VG12" s="6">
        <v>3518</v>
      </c>
      <c r="VH12" s="6">
        <v>3438</v>
      </c>
      <c r="VI12" s="6">
        <v>3436</v>
      </c>
      <c r="VJ12" s="6">
        <v>3428</v>
      </c>
      <c r="VK12" s="6">
        <v>3356</v>
      </c>
      <c r="VL12" s="6">
        <v>3317</v>
      </c>
      <c r="VM12" s="6">
        <v>3189</v>
      </c>
      <c r="VN12" s="6"/>
      <c r="VO12" s="6">
        <v>3299</v>
      </c>
      <c r="VP12" s="6">
        <v>3461</v>
      </c>
      <c r="VQ12" s="6">
        <v>3260</v>
      </c>
      <c r="VR12" s="6">
        <v>3350</v>
      </c>
      <c r="VS12" s="6">
        <v>3363</v>
      </c>
      <c r="VT12" s="6">
        <v>3218</v>
      </c>
      <c r="VU12" s="6">
        <v>3292</v>
      </c>
      <c r="VV12" s="6">
        <v>3176</v>
      </c>
      <c r="VW12" s="6">
        <v>3127</v>
      </c>
      <c r="VX12" s="6">
        <v>3336</v>
      </c>
      <c r="VY12" s="6">
        <v>3087</v>
      </c>
      <c r="VZ12" s="6">
        <v>3246</v>
      </c>
      <c r="WA12" s="6"/>
      <c r="WB12" s="6">
        <v>3184</v>
      </c>
      <c r="WC12" s="6">
        <v>2652</v>
      </c>
      <c r="WD12" s="6">
        <v>2789</v>
      </c>
      <c r="WE12" s="6">
        <v>2842</v>
      </c>
      <c r="WF12" s="6">
        <v>2652</v>
      </c>
      <c r="WG12" s="6">
        <v>2757</v>
      </c>
      <c r="WH12" s="6">
        <v>2820</v>
      </c>
      <c r="WI12" s="6">
        <v>2671</v>
      </c>
      <c r="WJ12" s="6">
        <v>2671</v>
      </c>
      <c r="WK12" s="6">
        <v>2424</v>
      </c>
      <c r="WL12" s="6">
        <v>2619</v>
      </c>
      <c r="WM12" s="6">
        <v>2581</v>
      </c>
      <c r="WN12" s="6"/>
      <c r="WO12" s="6">
        <v>2764</v>
      </c>
      <c r="WP12" s="6">
        <v>2578</v>
      </c>
      <c r="WQ12" s="6">
        <v>2572</v>
      </c>
      <c r="WR12" s="6">
        <v>2730</v>
      </c>
      <c r="WS12" s="6">
        <v>2603</v>
      </c>
      <c r="WT12" s="6">
        <v>2744</v>
      </c>
      <c r="WU12" s="6">
        <v>2627</v>
      </c>
      <c r="WV12" s="6">
        <v>2732</v>
      </c>
      <c r="WW12" s="6">
        <v>2857</v>
      </c>
      <c r="WX12" s="6">
        <v>2725</v>
      </c>
      <c r="WY12" s="6">
        <v>2812</v>
      </c>
      <c r="WZ12" s="6">
        <v>2662</v>
      </c>
      <c r="XA12" s="6"/>
      <c r="XB12" s="6">
        <v>2725</v>
      </c>
      <c r="XC12" s="6">
        <v>2713</v>
      </c>
      <c r="XD12" s="6">
        <v>2594</v>
      </c>
      <c r="XE12" s="6">
        <v>2530</v>
      </c>
      <c r="XF12" s="6">
        <v>2765</v>
      </c>
      <c r="XG12" s="6">
        <v>2552</v>
      </c>
      <c r="XH12" s="6">
        <v>2672</v>
      </c>
      <c r="XI12" s="6">
        <v>2496</v>
      </c>
      <c r="XJ12" s="6">
        <v>2525</v>
      </c>
      <c r="XK12" s="6">
        <v>2477</v>
      </c>
      <c r="XL12" s="6">
        <v>2920</v>
      </c>
      <c r="XM12" s="6">
        <v>2621</v>
      </c>
      <c r="XN12" s="6"/>
      <c r="XO12" s="6">
        <v>2758</v>
      </c>
      <c r="XP12" s="6">
        <v>2549</v>
      </c>
      <c r="XQ12" s="6">
        <v>2602</v>
      </c>
      <c r="XR12" s="6">
        <v>2439</v>
      </c>
      <c r="XS12" s="6">
        <v>2527</v>
      </c>
      <c r="XT12" s="6">
        <v>2562</v>
      </c>
      <c r="XU12" s="6">
        <v>2402</v>
      </c>
      <c r="XV12" s="6">
        <v>2525</v>
      </c>
      <c r="XW12" s="6">
        <v>2474</v>
      </c>
      <c r="XX12" s="6">
        <v>2566</v>
      </c>
      <c r="XY12" s="6">
        <v>2479</v>
      </c>
      <c r="XZ12" s="6">
        <v>2534</v>
      </c>
      <c r="YA12" s="6"/>
      <c r="YB12" s="6">
        <v>2587</v>
      </c>
      <c r="YC12" s="6">
        <v>2572</v>
      </c>
      <c r="YD12" s="6">
        <v>2789</v>
      </c>
      <c r="YE12" s="6">
        <v>2628</v>
      </c>
      <c r="YF12" s="6">
        <v>2641</v>
      </c>
      <c r="YG12" s="6">
        <v>2546</v>
      </c>
      <c r="YH12" s="6">
        <v>2593</v>
      </c>
      <c r="YI12" s="6">
        <v>2597</v>
      </c>
      <c r="YJ12" s="6">
        <v>2624</v>
      </c>
      <c r="YK12" s="6">
        <v>2823</v>
      </c>
      <c r="YL12" s="6">
        <v>2510</v>
      </c>
      <c r="YM12" s="6">
        <v>2587</v>
      </c>
      <c r="YN12" s="6"/>
      <c r="YO12" s="6">
        <v>2462</v>
      </c>
      <c r="YP12" s="6">
        <v>2566</v>
      </c>
      <c r="YQ12" s="6">
        <v>2473</v>
      </c>
      <c r="YR12" s="6">
        <v>2781</v>
      </c>
      <c r="YS12" s="6">
        <v>2511</v>
      </c>
      <c r="YT12" s="6">
        <v>2521</v>
      </c>
      <c r="YU12" s="6">
        <v>2643</v>
      </c>
      <c r="YV12" s="6">
        <v>2546</v>
      </c>
      <c r="YW12" s="6">
        <v>2611</v>
      </c>
      <c r="YX12" s="6">
        <v>2536</v>
      </c>
      <c r="YY12" s="6">
        <v>2562</v>
      </c>
      <c r="YZ12" s="6">
        <v>2642</v>
      </c>
      <c r="ZA12" s="6"/>
      <c r="ZB12" s="6">
        <v>2541</v>
      </c>
      <c r="ZC12" s="6">
        <v>2604</v>
      </c>
      <c r="ZD12" s="6">
        <v>2780</v>
      </c>
      <c r="ZE12" s="6">
        <v>2510</v>
      </c>
      <c r="ZF12" s="6">
        <v>2564</v>
      </c>
      <c r="ZG12" s="6">
        <v>2579</v>
      </c>
      <c r="ZH12" s="6">
        <v>2498</v>
      </c>
      <c r="ZI12" s="6">
        <v>2550</v>
      </c>
      <c r="ZJ12" s="6">
        <v>2571</v>
      </c>
      <c r="ZK12" s="6">
        <v>2497</v>
      </c>
      <c r="ZL12" s="6">
        <v>2512</v>
      </c>
      <c r="ZM12" s="6">
        <v>2477</v>
      </c>
      <c r="ZN12" s="6"/>
      <c r="ZO12" s="6">
        <v>2648</v>
      </c>
      <c r="ZP12" s="6">
        <v>2851</v>
      </c>
      <c r="ZQ12" s="6">
        <v>2681</v>
      </c>
      <c r="ZR12" s="6">
        <v>2972</v>
      </c>
      <c r="ZS12" s="6">
        <v>2701</v>
      </c>
      <c r="ZT12" s="6">
        <v>2808</v>
      </c>
      <c r="ZU12" s="6">
        <v>2642</v>
      </c>
      <c r="ZV12" s="6">
        <v>2966</v>
      </c>
      <c r="ZW12" s="6">
        <v>2837</v>
      </c>
      <c r="ZX12" s="6">
        <v>3111</v>
      </c>
      <c r="ZY12" s="6">
        <v>3090</v>
      </c>
      <c r="ZZ12" s="6">
        <v>3037</v>
      </c>
      <c r="AAA12" s="6"/>
      <c r="AAB12" s="6">
        <v>3044</v>
      </c>
      <c r="AAC12" s="6">
        <v>2984</v>
      </c>
      <c r="AAD12" s="6">
        <v>3074</v>
      </c>
      <c r="AAE12" s="6">
        <v>2932</v>
      </c>
      <c r="AAF12" s="6">
        <v>2843</v>
      </c>
      <c r="AAG12" s="6">
        <v>2711</v>
      </c>
      <c r="AAH12" s="6">
        <v>2891</v>
      </c>
      <c r="AAI12" s="6">
        <v>2927</v>
      </c>
      <c r="AAJ12" s="6">
        <v>2772</v>
      </c>
      <c r="AAK12" s="6">
        <v>2765</v>
      </c>
      <c r="AAL12" s="6">
        <v>2950</v>
      </c>
      <c r="AAM12" s="6">
        <v>2838</v>
      </c>
      <c r="AAN12" s="6"/>
      <c r="AAO12" s="6">
        <v>2856</v>
      </c>
      <c r="AAP12" s="6">
        <v>2798</v>
      </c>
      <c r="AAQ12" s="6">
        <v>2831</v>
      </c>
      <c r="AAR12" s="6">
        <v>2794</v>
      </c>
      <c r="AAS12" s="6">
        <v>2988</v>
      </c>
      <c r="AAT12" s="6">
        <v>2906</v>
      </c>
      <c r="AAU12" s="6">
        <v>2720</v>
      </c>
      <c r="AAV12" s="6">
        <v>2801</v>
      </c>
      <c r="AAW12" s="6">
        <v>2704</v>
      </c>
      <c r="AAX12" s="6">
        <v>2710</v>
      </c>
      <c r="AAY12" s="6">
        <v>2656</v>
      </c>
      <c r="AAZ12" s="6">
        <v>2554</v>
      </c>
      <c r="ABA12" s="6"/>
      <c r="ABB12" s="6">
        <v>2685</v>
      </c>
      <c r="ABC12" s="6">
        <v>2425</v>
      </c>
      <c r="ABD12" s="6">
        <v>2637</v>
      </c>
      <c r="ABE12" s="6">
        <v>2780</v>
      </c>
      <c r="ABF12" s="6">
        <v>2723</v>
      </c>
      <c r="ABG12" s="6">
        <v>2677</v>
      </c>
      <c r="ABH12" s="6">
        <v>2820</v>
      </c>
      <c r="ABI12" s="6">
        <v>2660</v>
      </c>
      <c r="ABJ12" s="6">
        <v>2758</v>
      </c>
      <c r="ABK12" s="6">
        <v>2732</v>
      </c>
      <c r="ABL12" s="6">
        <v>2638</v>
      </c>
      <c r="ABM12" s="6">
        <v>2768</v>
      </c>
      <c r="ABN12" s="6"/>
      <c r="ABO12" s="6">
        <v>2635</v>
      </c>
      <c r="ABP12" s="6">
        <v>2749</v>
      </c>
      <c r="ABQ12" s="6">
        <v>2483</v>
      </c>
      <c r="ABR12" s="6">
        <v>2688</v>
      </c>
      <c r="ABS12" s="6">
        <v>2754</v>
      </c>
      <c r="ABT12" s="6">
        <v>2659</v>
      </c>
      <c r="ABU12" s="6">
        <v>2568</v>
      </c>
      <c r="ABV12" s="6">
        <v>2570</v>
      </c>
      <c r="ABW12" s="6">
        <v>2763</v>
      </c>
      <c r="ABX12" s="6">
        <v>2719</v>
      </c>
      <c r="ABY12" s="6">
        <v>2823</v>
      </c>
      <c r="ABZ12" s="6">
        <v>2588</v>
      </c>
      <c r="ACA12" s="6"/>
      <c r="ACB12" s="6">
        <v>2527</v>
      </c>
      <c r="ACC12" s="6">
        <v>2577</v>
      </c>
      <c r="ACD12" s="6">
        <v>2659</v>
      </c>
      <c r="ACE12" s="6">
        <v>2665</v>
      </c>
      <c r="ACF12" s="6">
        <v>2545</v>
      </c>
      <c r="ACG12" s="6">
        <v>2705</v>
      </c>
      <c r="ACH12" s="6">
        <v>2721</v>
      </c>
      <c r="ACI12" s="6">
        <v>2603</v>
      </c>
      <c r="ACJ12" s="6">
        <v>2608</v>
      </c>
      <c r="ACK12" s="6">
        <v>2616</v>
      </c>
      <c r="ACL12" s="6">
        <v>2511</v>
      </c>
      <c r="ACM12" s="6">
        <v>2596</v>
      </c>
      <c r="ACN12" s="6"/>
      <c r="ACO12" s="6">
        <v>2561</v>
      </c>
      <c r="ACP12" s="6">
        <v>2574</v>
      </c>
      <c r="ACQ12" s="6">
        <v>2307</v>
      </c>
      <c r="ACR12" s="6">
        <v>2456</v>
      </c>
      <c r="ACS12" s="6">
        <v>2464</v>
      </c>
      <c r="ACT12" s="6">
        <v>2551</v>
      </c>
      <c r="ACU12" s="6">
        <v>2502</v>
      </c>
      <c r="ACV12" s="6">
        <v>2614</v>
      </c>
      <c r="ACW12" s="6">
        <v>2557</v>
      </c>
      <c r="ACX12" s="6">
        <v>2545</v>
      </c>
      <c r="ACY12" s="6">
        <v>2645</v>
      </c>
      <c r="ACZ12" s="6">
        <v>2718</v>
      </c>
      <c r="ADA12" s="6"/>
      <c r="ADB12" s="6">
        <v>2554</v>
      </c>
      <c r="ADC12" s="6">
        <v>2653</v>
      </c>
      <c r="ADD12" s="6">
        <v>2823</v>
      </c>
      <c r="ADE12" s="6">
        <v>2493</v>
      </c>
      <c r="ADF12" s="6">
        <v>3278</v>
      </c>
      <c r="ADG12" s="6">
        <v>2753</v>
      </c>
      <c r="ADH12" s="6">
        <v>2854</v>
      </c>
      <c r="ADI12" s="6">
        <v>3256</v>
      </c>
      <c r="ADJ12" s="6">
        <v>2848</v>
      </c>
      <c r="ADK12" s="6">
        <v>3170</v>
      </c>
      <c r="ADL12" s="6">
        <v>3335</v>
      </c>
      <c r="ADM12" s="6">
        <v>3255</v>
      </c>
      <c r="ADN12" s="6"/>
      <c r="ADO12" s="6">
        <v>3530</v>
      </c>
      <c r="ADP12" s="6">
        <v>3436</v>
      </c>
      <c r="ADQ12" s="6">
        <v>3421</v>
      </c>
      <c r="ADR12" s="6">
        <v>3337</v>
      </c>
      <c r="ADS12" s="6">
        <v>3246</v>
      </c>
      <c r="ADT12" s="6">
        <v>3132</v>
      </c>
      <c r="ADU12" s="6">
        <v>3136</v>
      </c>
      <c r="ADV12" s="6">
        <v>2953</v>
      </c>
      <c r="ADW12" s="6">
        <v>2845</v>
      </c>
      <c r="ADX12" s="6">
        <v>3230</v>
      </c>
      <c r="ADY12" s="6">
        <v>2812</v>
      </c>
      <c r="ADZ12" s="6">
        <v>2880</v>
      </c>
      <c r="AEA12" s="6"/>
      <c r="AEB12" s="6">
        <v>2938</v>
      </c>
      <c r="AEC12" s="6">
        <v>2782</v>
      </c>
      <c r="AED12" s="6">
        <v>2703</v>
      </c>
      <c r="AEE12" s="6">
        <v>2711</v>
      </c>
      <c r="AEF12" s="6">
        <v>2782</v>
      </c>
      <c r="AEG12" s="6">
        <v>2718</v>
      </c>
      <c r="AEH12" s="6">
        <v>2807</v>
      </c>
      <c r="AEI12" s="6">
        <v>2701</v>
      </c>
      <c r="AEJ12" s="6">
        <v>2828</v>
      </c>
      <c r="AEK12" s="6">
        <v>2659</v>
      </c>
      <c r="AEL12" s="6">
        <v>2895</v>
      </c>
      <c r="AEM12" s="6">
        <v>2680</v>
      </c>
      <c r="AEN12" s="6"/>
      <c r="AEO12" s="6">
        <v>2704</v>
      </c>
      <c r="AEP12" s="6">
        <v>2437</v>
      </c>
      <c r="AEQ12" s="6">
        <v>2453</v>
      </c>
      <c r="AER12" s="6">
        <v>2749</v>
      </c>
      <c r="AES12" s="6">
        <v>2696</v>
      </c>
      <c r="AET12" s="6">
        <v>2999</v>
      </c>
      <c r="AEU12" s="6">
        <v>2643</v>
      </c>
      <c r="AEV12" s="6">
        <v>2697</v>
      </c>
      <c r="AEW12" s="6">
        <v>2758</v>
      </c>
      <c r="AEX12" s="6">
        <v>2670</v>
      </c>
      <c r="AEY12" s="6">
        <v>2535</v>
      </c>
      <c r="AEZ12" s="6">
        <v>2640</v>
      </c>
      <c r="AFA12" s="6"/>
      <c r="AFB12" s="6">
        <v>2495</v>
      </c>
      <c r="AFC12" s="6">
        <v>2563</v>
      </c>
      <c r="AFD12" s="6">
        <v>2596</v>
      </c>
      <c r="AFE12" s="6">
        <v>2567</v>
      </c>
      <c r="AFF12" s="6">
        <v>2602</v>
      </c>
      <c r="AFG12" s="6">
        <v>2825</v>
      </c>
      <c r="AFH12" s="6">
        <v>2697</v>
      </c>
      <c r="AFI12" s="6">
        <v>2865</v>
      </c>
      <c r="AFJ12" s="6">
        <v>2535</v>
      </c>
      <c r="AFK12" s="6">
        <v>2633</v>
      </c>
      <c r="AFL12" s="6">
        <v>2596</v>
      </c>
      <c r="AFM12" s="6">
        <v>2676</v>
      </c>
      <c r="AFN12" s="6"/>
      <c r="AFO12" s="6">
        <v>2766</v>
      </c>
      <c r="AFP12" s="6">
        <v>2667</v>
      </c>
      <c r="AFQ12" s="6">
        <v>2464</v>
      </c>
      <c r="AFR12" s="6">
        <v>2474</v>
      </c>
      <c r="AFS12" s="6">
        <v>2706</v>
      </c>
      <c r="AFT12" s="6">
        <v>2692</v>
      </c>
      <c r="AFU12" s="6">
        <v>2563</v>
      </c>
      <c r="AFV12" s="6">
        <v>2563</v>
      </c>
      <c r="AFW12" s="6"/>
      <c r="AFX12" s="6"/>
      <c r="AFY12" s="6"/>
      <c r="AFZ12" s="6"/>
      <c r="AGA12" s="13"/>
    </row>
    <row r="13" spans="1:859" ht="15.75" thickBot="1" x14ac:dyDescent="0.3">
      <c r="A13" s="20" t="s">
        <v>86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/>
      <c r="KN13" s="16"/>
      <c r="KO13" s="16"/>
      <c r="KP13" s="16"/>
      <c r="KQ13" s="16"/>
      <c r="KR13" s="16"/>
      <c r="KS13" s="16"/>
      <c r="KT13" s="16"/>
      <c r="KU13" s="16"/>
      <c r="KV13" s="16"/>
      <c r="KW13" s="16"/>
      <c r="KX13" s="16"/>
      <c r="KY13" s="16"/>
      <c r="KZ13" s="16"/>
      <c r="LA13" s="16"/>
      <c r="LB13" s="16"/>
      <c r="LC13" s="16"/>
      <c r="LD13" s="16"/>
      <c r="LE13" s="16"/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/>
      <c r="LQ13" s="16"/>
      <c r="LR13" s="16"/>
      <c r="LS13" s="16"/>
      <c r="LT13" s="16"/>
      <c r="LU13" s="16"/>
      <c r="LV13" s="16"/>
      <c r="LW13" s="16"/>
      <c r="LX13" s="16"/>
      <c r="LY13" s="16"/>
      <c r="LZ13" s="16"/>
      <c r="MA13" s="16"/>
      <c r="MB13" s="16"/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/>
      <c r="PD13" s="16"/>
      <c r="PE13" s="16"/>
      <c r="PF13" s="16"/>
      <c r="PG13" s="16"/>
      <c r="PH13" s="16"/>
      <c r="PI13" s="16"/>
      <c r="PJ13" s="16"/>
      <c r="PK13" s="16"/>
      <c r="PL13" s="16"/>
      <c r="PM13" s="16"/>
      <c r="PN13" s="16"/>
      <c r="PO13" s="16"/>
      <c r="PP13" s="16"/>
      <c r="PQ13" s="16"/>
      <c r="PR13" s="16"/>
      <c r="PS13" s="16"/>
      <c r="PT13" s="16"/>
      <c r="PU13" s="16"/>
      <c r="PV13" s="16"/>
      <c r="PW13" s="16"/>
      <c r="PX13" s="16"/>
      <c r="PY13" s="16"/>
      <c r="PZ13" s="16"/>
      <c r="QA13" s="16"/>
      <c r="QB13" s="16"/>
      <c r="QC13" s="16"/>
      <c r="QD13" s="16"/>
      <c r="QE13" s="16"/>
      <c r="QF13" s="16"/>
      <c r="QG13" s="16"/>
      <c r="QH13" s="16"/>
      <c r="QI13" s="16"/>
      <c r="QJ13" s="16"/>
      <c r="QK13" s="16"/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6"/>
      <c r="RH13" s="16"/>
      <c r="RI13" s="16"/>
      <c r="RJ13" s="16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6"/>
      <c r="TF13" s="16"/>
      <c r="TG13" s="16"/>
      <c r="TH13" s="16"/>
      <c r="TI13" s="16"/>
      <c r="TJ13" s="16"/>
      <c r="TK13" s="16"/>
      <c r="TL13" s="16"/>
      <c r="TM13" s="16"/>
      <c r="TN13" s="16"/>
      <c r="TO13" s="16"/>
      <c r="TP13" s="16"/>
      <c r="TQ13" s="16"/>
      <c r="TR13" s="16"/>
      <c r="TS13" s="16"/>
      <c r="TT13" s="16"/>
      <c r="TU13" s="16"/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6"/>
      <c r="WJ13" s="16"/>
      <c r="WK13" s="16"/>
      <c r="WL13" s="16"/>
      <c r="WM13" s="16"/>
      <c r="WN13" s="16"/>
      <c r="WO13" s="16"/>
      <c r="WP13" s="16"/>
      <c r="WQ13" s="16"/>
      <c r="WR13" s="16"/>
      <c r="WS13" s="16"/>
      <c r="WT13" s="16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6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7"/>
    </row>
  </sheetData>
  <mergeCells count="1">
    <mergeCell ref="A13:CV13"/>
  </mergeCells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7"/>
  <sheetViews>
    <sheetView topLeftCell="A87" workbookViewId="0"/>
  </sheetViews>
  <sheetFormatPr defaultColWidth="11.42578125" defaultRowHeight="15" x14ac:dyDescent="0.25"/>
  <sheetData>
    <row r="1" spans="1:4" x14ac:dyDescent="0.25">
      <c r="A1" t="s">
        <v>98</v>
      </c>
    </row>
    <row r="3" spans="1:4" x14ac:dyDescent="0.25">
      <c r="A3" t="s">
        <v>99</v>
      </c>
    </row>
    <row r="5" spans="1:4" x14ac:dyDescent="0.25">
      <c r="A5" t="s">
        <v>100</v>
      </c>
    </row>
    <row r="6" spans="1:4" x14ac:dyDescent="0.25">
      <c r="A6" t="s">
        <v>101</v>
      </c>
    </row>
    <row r="7" spans="1:4" x14ac:dyDescent="0.25">
      <c r="A7" t="s">
        <v>102</v>
      </c>
    </row>
    <row r="8" spans="1:4" x14ac:dyDescent="0.25">
      <c r="A8" t="s">
        <v>103</v>
      </c>
    </row>
    <row r="9" spans="1:4" x14ac:dyDescent="0.25">
      <c r="A9" t="s">
        <v>104</v>
      </c>
    </row>
    <row r="10" spans="1:4" x14ac:dyDescent="0.25">
      <c r="A10" t="s">
        <v>105</v>
      </c>
    </row>
    <row r="12" spans="1:4" x14ac:dyDescent="0.25">
      <c r="A12" t="s">
        <v>106</v>
      </c>
    </row>
    <row r="13" spans="1:4" x14ac:dyDescent="0.25">
      <c r="A13" t="s">
        <v>107</v>
      </c>
      <c r="B13" t="s">
        <v>108</v>
      </c>
      <c r="C13" t="s">
        <v>109</v>
      </c>
      <c r="D13" t="s">
        <v>110</v>
      </c>
    </row>
    <row r="14" spans="1:4" x14ac:dyDescent="0.25">
      <c r="A14" t="s">
        <v>111</v>
      </c>
      <c r="B14">
        <v>2000</v>
      </c>
      <c r="C14" t="s">
        <v>112</v>
      </c>
      <c r="D14">
        <v>5191</v>
      </c>
    </row>
    <row r="15" spans="1:4" x14ac:dyDescent="0.25">
      <c r="A15" t="s">
        <v>111</v>
      </c>
      <c r="B15">
        <v>2001</v>
      </c>
      <c r="C15" t="s">
        <v>113</v>
      </c>
      <c r="D15">
        <v>5186</v>
      </c>
    </row>
    <row r="16" spans="1:4" x14ac:dyDescent="0.25">
      <c r="A16" t="s">
        <v>111</v>
      </c>
      <c r="B16">
        <v>2001</v>
      </c>
      <c r="C16" t="s">
        <v>114</v>
      </c>
      <c r="D16">
        <v>4702</v>
      </c>
    </row>
    <row r="17" spans="1:4" x14ac:dyDescent="0.25">
      <c r="A17" t="s">
        <v>111</v>
      </c>
      <c r="B17">
        <v>2001</v>
      </c>
      <c r="C17" t="s">
        <v>115</v>
      </c>
      <c r="D17">
        <v>4774</v>
      </c>
    </row>
    <row r="18" spans="1:4" x14ac:dyDescent="0.25">
      <c r="A18" t="s">
        <v>111</v>
      </c>
      <c r="B18">
        <v>2001</v>
      </c>
      <c r="C18" t="s">
        <v>116</v>
      </c>
      <c r="D18">
        <v>4653</v>
      </c>
    </row>
    <row r="19" spans="1:4" x14ac:dyDescent="0.25">
      <c r="A19" t="s">
        <v>111</v>
      </c>
      <c r="B19">
        <v>2001</v>
      </c>
      <c r="C19" t="s">
        <v>117</v>
      </c>
      <c r="D19">
        <v>4452</v>
      </c>
    </row>
    <row r="20" spans="1:4" x14ac:dyDescent="0.25">
      <c r="A20" t="s">
        <v>111</v>
      </c>
      <c r="B20">
        <v>2001</v>
      </c>
      <c r="C20" t="s">
        <v>118</v>
      </c>
      <c r="D20">
        <v>4337</v>
      </c>
    </row>
    <row r="21" spans="1:4" x14ac:dyDescent="0.25">
      <c r="A21" t="s">
        <v>111</v>
      </c>
      <c r="B21">
        <v>2001</v>
      </c>
      <c r="C21" t="s">
        <v>119</v>
      </c>
      <c r="D21">
        <v>4231</v>
      </c>
    </row>
    <row r="22" spans="1:4" x14ac:dyDescent="0.25">
      <c r="A22" t="s">
        <v>111</v>
      </c>
      <c r="B22">
        <v>2001</v>
      </c>
      <c r="C22" t="s">
        <v>120</v>
      </c>
      <c r="D22">
        <v>4139</v>
      </c>
    </row>
    <row r="23" spans="1:4" x14ac:dyDescent="0.25">
      <c r="A23" t="s">
        <v>111</v>
      </c>
      <c r="B23">
        <v>2001</v>
      </c>
      <c r="C23" t="s">
        <v>121</v>
      </c>
      <c r="D23">
        <v>4006</v>
      </c>
    </row>
    <row r="24" spans="1:4" x14ac:dyDescent="0.25">
      <c r="A24" t="s">
        <v>111</v>
      </c>
      <c r="B24">
        <v>2001</v>
      </c>
      <c r="C24" t="s">
        <v>122</v>
      </c>
      <c r="D24">
        <v>3583</v>
      </c>
    </row>
    <row r="25" spans="1:4" x14ac:dyDescent="0.25">
      <c r="A25" t="s">
        <v>111</v>
      </c>
      <c r="B25">
        <v>2001</v>
      </c>
      <c r="C25" t="s">
        <v>123</v>
      </c>
      <c r="D25">
        <v>3538</v>
      </c>
    </row>
    <row r="26" spans="1:4" x14ac:dyDescent="0.25">
      <c r="A26" t="s">
        <v>111</v>
      </c>
      <c r="B26">
        <v>2001</v>
      </c>
      <c r="C26" t="s">
        <v>112</v>
      </c>
      <c r="D26">
        <v>3559</v>
      </c>
    </row>
    <row r="27" spans="1:4" x14ac:dyDescent="0.25">
      <c r="A27" t="s">
        <v>111</v>
      </c>
      <c r="B27">
        <v>2002</v>
      </c>
      <c r="C27" t="s">
        <v>113</v>
      </c>
      <c r="D27">
        <v>3572</v>
      </c>
    </row>
    <row r="28" spans="1:4" x14ac:dyDescent="0.25">
      <c r="A28" t="s">
        <v>111</v>
      </c>
      <c r="B28">
        <v>2002</v>
      </c>
      <c r="C28" t="s">
        <v>114</v>
      </c>
      <c r="D28">
        <v>3370</v>
      </c>
    </row>
    <row r="29" spans="1:4" x14ac:dyDescent="0.25">
      <c r="A29" t="s">
        <v>111</v>
      </c>
      <c r="B29">
        <v>2002</v>
      </c>
      <c r="C29" t="s">
        <v>115</v>
      </c>
      <c r="D29">
        <v>3560</v>
      </c>
    </row>
    <row r="30" spans="1:4" x14ac:dyDescent="0.25">
      <c r="A30" t="s">
        <v>111</v>
      </c>
      <c r="B30">
        <v>2002</v>
      </c>
      <c r="C30" t="s">
        <v>116</v>
      </c>
      <c r="D30">
        <v>3373</v>
      </c>
    </row>
    <row r="31" spans="1:4" x14ac:dyDescent="0.25">
      <c r="A31" t="s">
        <v>111</v>
      </c>
      <c r="B31">
        <v>2002</v>
      </c>
      <c r="C31" t="s">
        <v>117</v>
      </c>
      <c r="D31">
        <v>3482</v>
      </c>
    </row>
    <row r="32" spans="1:4" x14ac:dyDescent="0.25">
      <c r="A32" t="s">
        <v>111</v>
      </c>
      <c r="B32">
        <v>2002</v>
      </c>
      <c r="C32" t="s">
        <v>118</v>
      </c>
      <c r="D32">
        <v>3251</v>
      </c>
    </row>
    <row r="33" spans="1:4" x14ac:dyDescent="0.25">
      <c r="A33" t="s">
        <v>111</v>
      </c>
      <c r="B33">
        <v>2002</v>
      </c>
      <c r="C33" t="s">
        <v>119</v>
      </c>
      <c r="D33">
        <v>3403</v>
      </c>
    </row>
    <row r="34" spans="1:4" x14ac:dyDescent="0.25">
      <c r="A34" t="s">
        <v>111</v>
      </c>
      <c r="B34">
        <v>2002</v>
      </c>
      <c r="C34" t="s">
        <v>120</v>
      </c>
      <c r="D34">
        <v>3415</v>
      </c>
    </row>
    <row r="35" spans="1:4" x14ac:dyDescent="0.25">
      <c r="A35" t="s">
        <v>111</v>
      </c>
      <c r="B35">
        <v>2002</v>
      </c>
      <c r="C35" t="s">
        <v>121</v>
      </c>
      <c r="D35">
        <v>3290</v>
      </c>
    </row>
    <row r="36" spans="1:4" x14ac:dyDescent="0.25">
      <c r="A36" t="s">
        <v>111</v>
      </c>
      <c r="B36">
        <v>2002</v>
      </c>
      <c r="C36" t="s">
        <v>122</v>
      </c>
      <c r="D36">
        <v>3560</v>
      </c>
    </row>
    <row r="37" spans="1:4" x14ac:dyDescent="0.25">
      <c r="A37" t="s">
        <v>111</v>
      </c>
      <c r="B37">
        <v>2002</v>
      </c>
      <c r="C37" t="s">
        <v>123</v>
      </c>
      <c r="D37">
        <v>3513</v>
      </c>
    </row>
    <row r="38" spans="1:4" x14ac:dyDescent="0.25">
      <c r="A38" t="s">
        <v>111</v>
      </c>
      <c r="B38">
        <v>2002</v>
      </c>
      <c r="C38" t="s">
        <v>112</v>
      </c>
      <c r="D38">
        <v>3056</v>
      </c>
    </row>
    <row r="39" spans="1:4" x14ac:dyDescent="0.25">
      <c r="A39" t="s">
        <v>111</v>
      </c>
      <c r="B39">
        <v>2003</v>
      </c>
      <c r="C39" t="s">
        <v>113</v>
      </c>
      <c r="D39">
        <v>3618</v>
      </c>
    </row>
    <row r="40" spans="1:4" x14ac:dyDescent="0.25">
      <c r="A40" t="s">
        <v>111</v>
      </c>
      <c r="B40">
        <v>2003</v>
      </c>
      <c r="C40" t="s">
        <v>114</v>
      </c>
      <c r="D40">
        <v>3378</v>
      </c>
    </row>
    <row r="41" spans="1:4" x14ac:dyDescent="0.25">
      <c r="A41" t="s">
        <v>111</v>
      </c>
      <c r="B41">
        <v>2003</v>
      </c>
      <c r="C41" t="s">
        <v>115</v>
      </c>
      <c r="D41">
        <v>3056</v>
      </c>
    </row>
    <row r="42" spans="1:4" x14ac:dyDescent="0.25">
      <c r="A42" t="s">
        <v>111</v>
      </c>
      <c r="B42">
        <v>2003</v>
      </c>
      <c r="C42" t="s">
        <v>116</v>
      </c>
      <c r="D42">
        <v>3107</v>
      </c>
    </row>
    <row r="43" spans="1:4" x14ac:dyDescent="0.25">
      <c r="A43" t="s">
        <v>111</v>
      </c>
      <c r="B43">
        <v>2003</v>
      </c>
      <c r="C43" t="s">
        <v>117</v>
      </c>
      <c r="D43">
        <v>3108</v>
      </c>
    </row>
    <row r="44" spans="1:4" x14ac:dyDescent="0.25">
      <c r="A44" t="s">
        <v>111</v>
      </c>
      <c r="B44">
        <v>2003</v>
      </c>
      <c r="C44" t="s">
        <v>118</v>
      </c>
      <c r="D44">
        <v>3196</v>
      </c>
    </row>
    <row r="45" spans="1:4" x14ac:dyDescent="0.25">
      <c r="A45" t="s">
        <v>111</v>
      </c>
      <c r="B45">
        <v>2003</v>
      </c>
      <c r="C45" t="s">
        <v>119</v>
      </c>
      <c r="D45">
        <v>3106</v>
      </c>
    </row>
    <row r="46" spans="1:4" x14ac:dyDescent="0.25">
      <c r="A46" t="s">
        <v>111</v>
      </c>
      <c r="B46">
        <v>2003</v>
      </c>
      <c r="C46" t="s">
        <v>120</v>
      </c>
      <c r="D46">
        <v>3182</v>
      </c>
    </row>
    <row r="47" spans="1:4" x14ac:dyDescent="0.25">
      <c r="A47" t="s">
        <v>111</v>
      </c>
      <c r="B47">
        <v>2003</v>
      </c>
      <c r="C47" t="s">
        <v>121</v>
      </c>
      <c r="D47">
        <v>3051</v>
      </c>
    </row>
    <row r="48" spans="1:4" x14ac:dyDescent="0.25">
      <c r="A48" t="s">
        <v>111</v>
      </c>
      <c r="B48">
        <v>2003</v>
      </c>
      <c r="C48" t="s">
        <v>122</v>
      </c>
      <c r="D48">
        <v>3140</v>
      </c>
    </row>
    <row r="49" spans="1:4" x14ac:dyDescent="0.25">
      <c r="A49" t="s">
        <v>111</v>
      </c>
      <c r="B49">
        <v>2003</v>
      </c>
      <c r="C49" t="s">
        <v>123</v>
      </c>
      <c r="D49">
        <v>3286</v>
      </c>
    </row>
    <row r="50" spans="1:4" x14ac:dyDescent="0.25">
      <c r="A50" t="s">
        <v>111</v>
      </c>
      <c r="B50">
        <v>2003</v>
      </c>
      <c r="C50" t="s">
        <v>112</v>
      </c>
      <c r="D50">
        <v>3255</v>
      </c>
    </row>
    <row r="51" spans="1:4" x14ac:dyDescent="0.25">
      <c r="A51" t="s">
        <v>111</v>
      </c>
      <c r="B51">
        <v>2004</v>
      </c>
      <c r="C51" t="s">
        <v>113</v>
      </c>
      <c r="D51">
        <v>3322</v>
      </c>
    </row>
    <row r="52" spans="1:4" x14ac:dyDescent="0.25">
      <c r="A52" t="s">
        <v>111</v>
      </c>
      <c r="B52">
        <v>2004</v>
      </c>
      <c r="C52" t="s">
        <v>114</v>
      </c>
      <c r="D52">
        <v>3415</v>
      </c>
    </row>
    <row r="53" spans="1:4" x14ac:dyDescent="0.25">
      <c r="A53" t="s">
        <v>111</v>
      </c>
      <c r="B53">
        <v>2004</v>
      </c>
      <c r="C53" t="s">
        <v>115</v>
      </c>
      <c r="D53">
        <v>3394</v>
      </c>
    </row>
    <row r="54" spans="1:4" x14ac:dyDescent="0.25">
      <c r="A54" t="s">
        <v>111</v>
      </c>
      <c r="B54">
        <v>2004</v>
      </c>
      <c r="C54" t="s">
        <v>116</v>
      </c>
      <c r="D54">
        <v>3524</v>
      </c>
    </row>
    <row r="55" spans="1:4" x14ac:dyDescent="0.25">
      <c r="A55" t="s">
        <v>111</v>
      </c>
      <c r="B55">
        <v>2004</v>
      </c>
      <c r="C55" t="s">
        <v>117</v>
      </c>
      <c r="D55">
        <v>3620</v>
      </c>
    </row>
    <row r="56" spans="1:4" x14ac:dyDescent="0.25">
      <c r="A56" t="s">
        <v>111</v>
      </c>
      <c r="B56">
        <v>2004</v>
      </c>
      <c r="C56" t="s">
        <v>118</v>
      </c>
      <c r="D56">
        <v>3423</v>
      </c>
    </row>
    <row r="57" spans="1:4" x14ac:dyDescent="0.25">
      <c r="A57" t="s">
        <v>111</v>
      </c>
      <c r="B57">
        <v>2004</v>
      </c>
      <c r="C57" t="s">
        <v>119</v>
      </c>
      <c r="D57">
        <v>3807</v>
      </c>
    </row>
    <row r="58" spans="1:4" x14ac:dyDescent="0.25">
      <c r="A58" t="s">
        <v>111</v>
      </c>
      <c r="B58">
        <v>2004</v>
      </c>
      <c r="C58" t="s">
        <v>120</v>
      </c>
      <c r="D58">
        <v>3623</v>
      </c>
    </row>
    <row r="59" spans="1:4" x14ac:dyDescent="0.25">
      <c r="A59" t="s">
        <v>111</v>
      </c>
      <c r="B59">
        <v>2004</v>
      </c>
      <c r="C59" t="s">
        <v>121</v>
      </c>
      <c r="D59">
        <v>3754</v>
      </c>
    </row>
    <row r="60" spans="1:4" x14ac:dyDescent="0.25">
      <c r="A60" t="s">
        <v>111</v>
      </c>
      <c r="B60">
        <v>2004</v>
      </c>
      <c r="C60" t="s">
        <v>122</v>
      </c>
      <c r="D60">
        <v>3836</v>
      </c>
    </row>
    <row r="61" spans="1:4" x14ac:dyDescent="0.25">
      <c r="A61" t="s">
        <v>111</v>
      </c>
      <c r="B61">
        <v>2004</v>
      </c>
      <c r="C61" t="s">
        <v>123</v>
      </c>
      <c r="D61">
        <v>3383</v>
      </c>
    </row>
    <row r="62" spans="1:4" x14ac:dyDescent="0.25">
      <c r="A62" t="s">
        <v>111</v>
      </c>
      <c r="B62">
        <v>2004</v>
      </c>
      <c r="C62" t="s">
        <v>112</v>
      </c>
      <c r="D62">
        <v>3808</v>
      </c>
    </row>
    <row r="63" spans="1:4" x14ac:dyDescent="0.25">
      <c r="A63" t="s">
        <v>111</v>
      </c>
      <c r="B63">
        <v>2005</v>
      </c>
      <c r="C63" t="s">
        <v>113</v>
      </c>
      <c r="D63">
        <v>3638</v>
      </c>
    </row>
    <row r="64" spans="1:4" x14ac:dyDescent="0.25">
      <c r="A64" t="s">
        <v>111</v>
      </c>
      <c r="B64">
        <v>2005</v>
      </c>
      <c r="C64" t="s">
        <v>114</v>
      </c>
      <c r="D64">
        <v>3757</v>
      </c>
    </row>
    <row r="65" spans="1:4" x14ac:dyDescent="0.25">
      <c r="A65" t="s">
        <v>111</v>
      </c>
      <c r="B65">
        <v>2005</v>
      </c>
      <c r="C65" t="s">
        <v>115</v>
      </c>
      <c r="D65">
        <v>3916</v>
      </c>
    </row>
    <row r="66" spans="1:4" x14ac:dyDescent="0.25">
      <c r="A66" t="s">
        <v>111</v>
      </c>
      <c r="B66">
        <v>2005</v>
      </c>
      <c r="C66" t="s">
        <v>116</v>
      </c>
      <c r="D66">
        <v>4057</v>
      </c>
    </row>
    <row r="67" spans="1:4" x14ac:dyDescent="0.25">
      <c r="A67" t="s">
        <v>111</v>
      </c>
      <c r="B67">
        <v>2005</v>
      </c>
      <c r="C67" t="s">
        <v>117</v>
      </c>
      <c r="D67">
        <v>3877</v>
      </c>
    </row>
    <row r="68" spans="1:4" x14ac:dyDescent="0.25">
      <c r="A68" t="s">
        <v>111</v>
      </c>
      <c r="B68">
        <v>2005</v>
      </c>
      <c r="C68" t="s">
        <v>118</v>
      </c>
      <c r="D68">
        <v>4064</v>
      </c>
    </row>
    <row r="69" spans="1:4" x14ac:dyDescent="0.25">
      <c r="A69" t="s">
        <v>111</v>
      </c>
      <c r="B69">
        <v>2005</v>
      </c>
      <c r="C69" t="s">
        <v>119</v>
      </c>
      <c r="D69">
        <v>4155</v>
      </c>
    </row>
    <row r="70" spans="1:4" x14ac:dyDescent="0.25">
      <c r="A70" t="s">
        <v>111</v>
      </c>
      <c r="B70">
        <v>2005</v>
      </c>
      <c r="C70" t="s">
        <v>120</v>
      </c>
      <c r="D70">
        <v>4102</v>
      </c>
    </row>
    <row r="71" spans="1:4" x14ac:dyDescent="0.25">
      <c r="A71" t="s">
        <v>111</v>
      </c>
      <c r="B71">
        <v>2005</v>
      </c>
      <c r="C71" t="s">
        <v>121</v>
      </c>
      <c r="D71">
        <v>4275</v>
      </c>
    </row>
    <row r="72" spans="1:4" x14ac:dyDescent="0.25">
      <c r="A72" t="s">
        <v>111</v>
      </c>
      <c r="B72">
        <v>2005</v>
      </c>
      <c r="C72" t="s">
        <v>122</v>
      </c>
      <c r="D72">
        <v>4221</v>
      </c>
    </row>
    <row r="73" spans="1:4" x14ac:dyDescent="0.25">
      <c r="A73" t="s">
        <v>111</v>
      </c>
      <c r="B73">
        <v>2005</v>
      </c>
      <c r="C73" t="s">
        <v>123</v>
      </c>
      <c r="D73">
        <v>4437</v>
      </c>
    </row>
    <row r="74" spans="1:4" x14ac:dyDescent="0.25">
      <c r="A74" t="s">
        <v>111</v>
      </c>
      <c r="B74">
        <v>2005</v>
      </c>
      <c r="C74" t="s">
        <v>112</v>
      </c>
      <c r="D74">
        <v>4278</v>
      </c>
    </row>
    <row r="75" spans="1:4" x14ac:dyDescent="0.25">
      <c r="A75" t="s">
        <v>111</v>
      </c>
      <c r="B75">
        <v>2006</v>
      </c>
      <c r="C75" t="s">
        <v>113</v>
      </c>
      <c r="D75">
        <v>4296</v>
      </c>
    </row>
    <row r="76" spans="1:4" x14ac:dyDescent="0.25">
      <c r="A76" t="s">
        <v>111</v>
      </c>
      <c r="B76">
        <v>2006</v>
      </c>
      <c r="C76" t="s">
        <v>114</v>
      </c>
      <c r="D76">
        <v>4282</v>
      </c>
    </row>
    <row r="77" spans="1:4" x14ac:dyDescent="0.25">
      <c r="A77" t="s">
        <v>111</v>
      </c>
      <c r="B77">
        <v>2006</v>
      </c>
      <c r="C77" t="s">
        <v>115</v>
      </c>
      <c r="D77">
        <v>4472</v>
      </c>
    </row>
    <row r="78" spans="1:4" x14ac:dyDescent="0.25">
      <c r="A78" t="s">
        <v>111</v>
      </c>
      <c r="B78">
        <v>2006</v>
      </c>
      <c r="C78" t="s">
        <v>116</v>
      </c>
      <c r="D78">
        <v>4438</v>
      </c>
    </row>
    <row r="79" spans="1:4" x14ac:dyDescent="0.25">
      <c r="A79" t="s">
        <v>111</v>
      </c>
      <c r="B79">
        <v>2006</v>
      </c>
      <c r="C79" t="s">
        <v>117</v>
      </c>
      <c r="D79">
        <v>4487</v>
      </c>
    </row>
    <row r="80" spans="1:4" x14ac:dyDescent="0.25">
      <c r="A80" t="s">
        <v>111</v>
      </c>
      <c r="B80">
        <v>2006</v>
      </c>
      <c r="C80" t="s">
        <v>118</v>
      </c>
      <c r="D80">
        <v>4333</v>
      </c>
    </row>
    <row r="81" spans="1:4" x14ac:dyDescent="0.25">
      <c r="A81" t="s">
        <v>111</v>
      </c>
      <c r="B81">
        <v>2006</v>
      </c>
      <c r="C81" t="s">
        <v>119</v>
      </c>
      <c r="D81">
        <v>4076</v>
      </c>
    </row>
    <row r="82" spans="1:4" x14ac:dyDescent="0.25">
      <c r="A82" t="s">
        <v>111</v>
      </c>
      <c r="B82">
        <v>2006</v>
      </c>
      <c r="C82" t="s">
        <v>120</v>
      </c>
      <c r="D82">
        <v>4498</v>
      </c>
    </row>
    <row r="83" spans="1:4" x14ac:dyDescent="0.25">
      <c r="A83" t="s">
        <v>111</v>
      </c>
      <c r="B83">
        <v>2006</v>
      </c>
      <c r="C83" t="s">
        <v>121</v>
      </c>
      <c r="D83">
        <v>4563</v>
      </c>
    </row>
    <row r="84" spans="1:4" x14ac:dyDescent="0.25">
      <c r="A84" t="s">
        <v>111</v>
      </c>
      <c r="B84">
        <v>2006</v>
      </c>
      <c r="C84" t="s">
        <v>122</v>
      </c>
      <c r="D84">
        <v>4434</v>
      </c>
    </row>
    <row r="85" spans="1:4" x14ac:dyDescent="0.25">
      <c r="A85" t="s">
        <v>111</v>
      </c>
      <c r="B85">
        <v>2006</v>
      </c>
      <c r="C85" t="s">
        <v>123</v>
      </c>
      <c r="D85">
        <v>4705</v>
      </c>
    </row>
    <row r="86" spans="1:4" x14ac:dyDescent="0.25">
      <c r="A86" t="s">
        <v>111</v>
      </c>
      <c r="B86">
        <v>2006</v>
      </c>
      <c r="C86" t="s">
        <v>112</v>
      </c>
      <c r="D86">
        <v>4583</v>
      </c>
    </row>
    <row r="87" spans="1:4" x14ac:dyDescent="0.25">
      <c r="A87" t="s">
        <v>111</v>
      </c>
      <c r="B87">
        <v>2007</v>
      </c>
      <c r="C87" t="s">
        <v>113</v>
      </c>
      <c r="D87">
        <v>4602</v>
      </c>
    </row>
    <row r="88" spans="1:4" x14ac:dyDescent="0.25">
      <c r="A88" t="s">
        <v>111</v>
      </c>
      <c r="B88">
        <v>2007</v>
      </c>
      <c r="C88" t="s">
        <v>114</v>
      </c>
      <c r="D88">
        <v>4483</v>
      </c>
    </row>
    <row r="89" spans="1:4" x14ac:dyDescent="0.25">
      <c r="A89" t="s">
        <v>111</v>
      </c>
      <c r="B89">
        <v>2007</v>
      </c>
      <c r="C89" t="s">
        <v>115</v>
      </c>
      <c r="D89">
        <v>4707</v>
      </c>
    </row>
    <row r="90" spans="1:4" x14ac:dyDescent="0.25">
      <c r="A90" t="s">
        <v>111</v>
      </c>
      <c r="B90">
        <v>2007</v>
      </c>
      <c r="C90" t="s">
        <v>116</v>
      </c>
      <c r="D90">
        <v>4498</v>
      </c>
    </row>
    <row r="91" spans="1:4" x14ac:dyDescent="0.25">
      <c r="A91" t="s">
        <v>111</v>
      </c>
      <c r="B91">
        <v>2007</v>
      </c>
      <c r="C91" t="s">
        <v>117</v>
      </c>
      <c r="D91">
        <v>4479</v>
      </c>
    </row>
    <row r="92" spans="1:4" x14ac:dyDescent="0.25">
      <c r="A92" t="s">
        <v>111</v>
      </c>
      <c r="B92">
        <v>2007</v>
      </c>
      <c r="C92" t="s">
        <v>118</v>
      </c>
      <c r="D92">
        <v>4690</v>
      </c>
    </row>
    <row r="93" spans="1:4" x14ac:dyDescent="0.25">
      <c r="A93" t="s">
        <v>111</v>
      </c>
      <c r="B93">
        <v>2007</v>
      </c>
      <c r="C93" t="s">
        <v>119</v>
      </c>
      <c r="D93">
        <v>4404</v>
      </c>
    </row>
    <row r="94" spans="1:4" x14ac:dyDescent="0.25">
      <c r="A94" t="s">
        <v>111</v>
      </c>
      <c r="B94">
        <v>2007</v>
      </c>
      <c r="C94" t="s">
        <v>120</v>
      </c>
      <c r="D94">
        <v>4491</v>
      </c>
    </row>
    <row r="95" spans="1:4" x14ac:dyDescent="0.25">
      <c r="A95" t="s">
        <v>111</v>
      </c>
      <c r="B95">
        <v>2007</v>
      </c>
      <c r="C95" t="s">
        <v>121</v>
      </c>
      <c r="D95">
        <v>4536</v>
      </c>
    </row>
    <row r="96" spans="1:4" x14ac:dyDescent="0.25">
      <c r="A96" t="s">
        <v>111</v>
      </c>
      <c r="B96">
        <v>2007</v>
      </c>
      <c r="C96" t="s">
        <v>122</v>
      </c>
      <c r="D96">
        <v>4275</v>
      </c>
    </row>
    <row r="97" spans="1:4" x14ac:dyDescent="0.25">
      <c r="A97" t="s">
        <v>111</v>
      </c>
      <c r="B97">
        <v>2007</v>
      </c>
      <c r="C97" t="s">
        <v>123</v>
      </c>
      <c r="D97">
        <v>4396</v>
      </c>
    </row>
    <row r="98" spans="1:4" x14ac:dyDescent="0.25">
      <c r="A98" t="s">
        <v>111</v>
      </c>
      <c r="B98">
        <v>2007</v>
      </c>
      <c r="C98" t="s">
        <v>112</v>
      </c>
      <c r="D98">
        <v>4256</v>
      </c>
    </row>
    <row r="99" spans="1:4" x14ac:dyDescent="0.25">
      <c r="A99" t="s">
        <v>111</v>
      </c>
      <c r="B99">
        <v>2008</v>
      </c>
      <c r="C99" t="s">
        <v>113</v>
      </c>
      <c r="D99">
        <v>4224</v>
      </c>
    </row>
    <row r="100" spans="1:4" x14ac:dyDescent="0.25">
      <c r="A100" t="s">
        <v>111</v>
      </c>
      <c r="B100">
        <v>2008</v>
      </c>
      <c r="C100" t="s">
        <v>114</v>
      </c>
      <c r="D100">
        <v>4026</v>
      </c>
    </row>
    <row r="101" spans="1:4" x14ac:dyDescent="0.25">
      <c r="A101" t="s">
        <v>111</v>
      </c>
      <c r="B101">
        <v>2008</v>
      </c>
      <c r="C101" t="s">
        <v>115</v>
      </c>
      <c r="D101">
        <v>4003</v>
      </c>
    </row>
    <row r="102" spans="1:4" x14ac:dyDescent="0.25">
      <c r="A102" t="s">
        <v>111</v>
      </c>
      <c r="B102">
        <v>2008</v>
      </c>
      <c r="C102" t="s">
        <v>116</v>
      </c>
      <c r="D102">
        <v>3906</v>
      </c>
    </row>
    <row r="103" spans="1:4" x14ac:dyDescent="0.25">
      <c r="A103" t="s">
        <v>111</v>
      </c>
      <c r="B103">
        <v>2008</v>
      </c>
      <c r="C103" t="s">
        <v>117</v>
      </c>
      <c r="D103">
        <v>3947</v>
      </c>
    </row>
    <row r="104" spans="1:4" x14ac:dyDescent="0.25">
      <c r="A104" t="s">
        <v>111</v>
      </c>
      <c r="B104">
        <v>2008</v>
      </c>
      <c r="C104" t="s">
        <v>118</v>
      </c>
      <c r="D104">
        <v>3777</v>
      </c>
    </row>
    <row r="105" spans="1:4" x14ac:dyDescent="0.25">
      <c r="A105" t="s">
        <v>111</v>
      </c>
      <c r="B105">
        <v>2008</v>
      </c>
      <c r="C105" t="s">
        <v>119</v>
      </c>
      <c r="D105">
        <v>3784</v>
      </c>
    </row>
    <row r="106" spans="1:4" x14ac:dyDescent="0.25">
      <c r="A106" t="s">
        <v>111</v>
      </c>
      <c r="B106">
        <v>2008</v>
      </c>
      <c r="C106" t="s">
        <v>120</v>
      </c>
      <c r="D106">
        <v>3643</v>
      </c>
    </row>
    <row r="107" spans="1:4" x14ac:dyDescent="0.25">
      <c r="A107" t="s">
        <v>111</v>
      </c>
      <c r="B107">
        <v>2008</v>
      </c>
      <c r="C107" t="s">
        <v>121</v>
      </c>
      <c r="D107">
        <v>3233</v>
      </c>
    </row>
    <row r="108" spans="1:4" x14ac:dyDescent="0.25">
      <c r="A108" t="s">
        <v>111</v>
      </c>
      <c r="B108">
        <v>2008</v>
      </c>
      <c r="C108" t="s">
        <v>122</v>
      </c>
      <c r="D108">
        <v>3384</v>
      </c>
    </row>
    <row r="109" spans="1:4" x14ac:dyDescent="0.25">
      <c r="A109" t="s">
        <v>111</v>
      </c>
      <c r="B109">
        <v>2008</v>
      </c>
      <c r="C109" t="s">
        <v>123</v>
      </c>
      <c r="D109">
        <v>3155</v>
      </c>
    </row>
    <row r="110" spans="1:4" x14ac:dyDescent="0.25">
      <c r="A110" t="s">
        <v>111</v>
      </c>
      <c r="B110">
        <v>2008</v>
      </c>
      <c r="C110" t="s">
        <v>112</v>
      </c>
      <c r="D110">
        <v>3011</v>
      </c>
    </row>
    <row r="111" spans="1:4" x14ac:dyDescent="0.25">
      <c r="A111" t="s">
        <v>111</v>
      </c>
      <c r="B111">
        <v>2009</v>
      </c>
      <c r="C111" t="s">
        <v>113</v>
      </c>
      <c r="D111">
        <v>2853</v>
      </c>
    </row>
    <row r="112" spans="1:4" x14ac:dyDescent="0.25">
      <c r="A112" t="s">
        <v>111</v>
      </c>
      <c r="B112">
        <v>2009</v>
      </c>
      <c r="C112" t="s">
        <v>114</v>
      </c>
      <c r="D112">
        <v>2807</v>
      </c>
    </row>
    <row r="113" spans="1:4" x14ac:dyDescent="0.25">
      <c r="A113" t="s">
        <v>111</v>
      </c>
      <c r="B113">
        <v>2009</v>
      </c>
      <c r="C113" t="s">
        <v>115</v>
      </c>
      <c r="D113">
        <v>2550</v>
      </c>
    </row>
    <row r="114" spans="1:4" x14ac:dyDescent="0.25">
      <c r="A114" t="s">
        <v>111</v>
      </c>
      <c r="B114">
        <v>2009</v>
      </c>
      <c r="C114" t="s">
        <v>116</v>
      </c>
      <c r="D114">
        <v>2292</v>
      </c>
    </row>
    <row r="115" spans="1:4" x14ac:dyDescent="0.25">
      <c r="A115" t="s">
        <v>111</v>
      </c>
      <c r="B115">
        <v>2009</v>
      </c>
      <c r="C115" t="s">
        <v>117</v>
      </c>
      <c r="D115">
        <v>2415</v>
      </c>
    </row>
    <row r="116" spans="1:4" x14ac:dyDescent="0.25">
      <c r="A116" t="s">
        <v>111</v>
      </c>
      <c r="B116">
        <v>2009</v>
      </c>
      <c r="C116" t="s">
        <v>118</v>
      </c>
      <c r="D116">
        <v>2377</v>
      </c>
    </row>
    <row r="117" spans="1:4" x14ac:dyDescent="0.25">
      <c r="A117" t="s">
        <v>111</v>
      </c>
      <c r="B117">
        <v>2009</v>
      </c>
      <c r="C117" t="s">
        <v>119</v>
      </c>
      <c r="D117">
        <v>2179</v>
      </c>
    </row>
    <row r="118" spans="1:4" x14ac:dyDescent="0.25">
      <c r="A118" t="s">
        <v>111</v>
      </c>
      <c r="B118">
        <v>2009</v>
      </c>
      <c r="C118" t="s">
        <v>120</v>
      </c>
      <c r="D118">
        <v>2282</v>
      </c>
    </row>
    <row r="119" spans="1:4" x14ac:dyDescent="0.25">
      <c r="A119" t="s">
        <v>111</v>
      </c>
      <c r="B119">
        <v>2009</v>
      </c>
      <c r="C119" t="s">
        <v>121</v>
      </c>
      <c r="D119">
        <v>2477</v>
      </c>
    </row>
    <row r="120" spans="1:4" x14ac:dyDescent="0.25">
      <c r="A120" t="s">
        <v>111</v>
      </c>
      <c r="B120">
        <v>2009</v>
      </c>
      <c r="C120" t="s">
        <v>122</v>
      </c>
      <c r="D120">
        <v>2409</v>
      </c>
    </row>
    <row r="121" spans="1:4" x14ac:dyDescent="0.25">
      <c r="A121" t="s">
        <v>111</v>
      </c>
      <c r="B121">
        <v>2009</v>
      </c>
      <c r="C121" t="s">
        <v>123</v>
      </c>
      <c r="D121">
        <v>2390</v>
      </c>
    </row>
    <row r="122" spans="1:4" x14ac:dyDescent="0.25">
      <c r="A122" t="s">
        <v>111</v>
      </c>
      <c r="B122">
        <v>2009</v>
      </c>
      <c r="C122" t="s">
        <v>112</v>
      </c>
      <c r="D122">
        <v>2451</v>
      </c>
    </row>
    <row r="123" spans="1:4" x14ac:dyDescent="0.25">
      <c r="A123" t="s">
        <v>111</v>
      </c>
      <c r="B123">
        <v>2010</v>
      </c>
      <c r="C123" t="s">
        <v>113</v>
      </c>
      <c r="D123">
        <v>2751</v>
      </c>
    </row>
    <row r="124" spans="1:4" x14ac:dyDescent="0.25">
      <c r="A124" t="s">
        <v>111</v>
      </c>
      <c r="B124">
        <v>2010</v>
      </c>
      <c r="C124" t="s">
        <v>114</v>
      </c>
      <c r="D124">
        <v>2577</v>
      </c>
    </row>
    <row r="125" spans="1:4" x14ac:dyDescent="0.25">
      <c r="A125" t="s">
        <v>111</v>
      </c>
      <c r="B125">
        <v>2010</v>
      </c>
      <c r="C125" t="s">
        <v>115</v>
      </c>
      <c r="D125">
        <v>2614</v>
      </c>
    </row>
    <row r="126" spans="1:4" x14ac:dyDescent="0.25">
      <c r="A126" t="s">
        <v>111</v>
      </c>
      <c r="B126">
        <v>2010</v>
      </c>
      <c r="C126" t="s">
        <v>116</v>
      </c>
      <c r="D126">
        <v>3142</v>
      </c>
    </row>
    <row r="127" spans="1:4" x14ac:dyDescent="0.25">
      <c r="A127" t="s">
        <v>111</v>
      </c>
      <c r="B127">
        <v>2010</v>
      </c>
      <c r="C127" t="s">
        <v>117</v>
      </c>
      <c r="D127">
        <v>2849</v>
      </c>
    </row>
    <row r="128" spans="1:4" x14ac:dyDescent="0.25">
      <c r="A128" t="s">
        <v>111</v>
      </c>
      <c r="B128">
        <v>2010</v>
      </c>
      <c r="C128" t="s">
        <v>118</v>
      </c>
      <c r="D128">
        <v>2645</v>
      </c>
    </row>
    <row r="129" spans="1:4" x14ac:dyDescent="0.25">
      <c r="A129" t="s">
        <v>111</v>
      </c>
      <c r="B129">
        <v>2010</v>
      </c>
      <c r="C129" t="s">
        <v>119</v>
      </c>
      <c r="D129">
        <v>2922</v>
      </c>
    </row>
    <row r="130" spans="1:4" x14ac:dyDescent="0.25">
      <c r="A130" t="s">
        <v>111</v>
      </c>
      <c r="B130">
        <v>2010</v>
      </c>
      <c r="C130" t="s">
        <v>120</v>
      </c>
      <c r="D130">
        <v>2905</v>
      </c>
    </row>
    <row r="131" spans="1:4" x14ac:dyDescent="0.25">
      <c r="A131" t="s">
        <v>111</v>
      </c>
      <c r="B131">
        <v>2010</v>
      </c>
      <c r="C131" t="s">
        <v>121</v>
      </c>
      <c r="D131">
        <v>2784</v>
      </c>
    </row>
    <row r="132" spans="1:4" x14ac:dyDescent="0.25">
      <c r="A132" t="s">
        <v>111</v>
      </c>
      <c r="B132">
        <v>2010</v>
      </c>
      <c r="C132" t="s">
        <v>122</v>
      </c>
      <c r="D132">
        <v>3033</v>
      </c>
    </row>
    <row r="133" spans="1:4" x14ac:dyDescent="0.25">
      <c r="A133" t="s">
        <v>111</v>
      </c>
      <c r="B133">
        <v>2010</v>
      </c>
      <c r="C133" t="s">
        <v>123</v>
      </c>
      <c r="D133">
        <v>3051</v>
      </c>
    </row>
    <row r="134" spans="1:4" x14ac:dyDescent="0.25">
      <c r="A134" t="s">
        <v>111</v>
      </c>
      <c r="B134">
        <v>2010</v>
      </c>
      <c r="C134" t="s">
        <v>112</v>
      </c>
      <c r="D134">
        <v>2930</v>
      </c>
    </row>
    <row r="135" spans="1:4" x14ac:dyDescent="0.25">
      <c r="A135" t="s">
        <v>111</v>
      </c>
      <c r="B135">
        <v>2011</v>
      </c>
      <c r="C135" t="s">
        <v>113</v>
      </c>
      <c r="D135">
        <v>2868</v>
      </c>
    </row>
    <row r="136" spans="1:4" x14ac:dyDescent="0.25">
      <c r="A136" t="s">
        <v>111</v>
      </c>
      <c r="B136">
        <v>2011</v>
      </c>
      <c r="C136" t="s">
        <v>114</v>
      </c>
      <c r="D136">
        <v>3017</v>
      </c>
    </row>
    <row r="137" spans="1:4" x14ac:dyDescent="0.25">
      <c r="A137" t="s">
        <v>111</v>
      </c>
      <c r="B137">
        <v>2011</v>
      </c>
      <c r="C137" t="s">
        <v>115</v>
      </c>
      <c r="D137">
        <v>3104</v>
      </c>
    </row>
    <row r="138" spans="1:4" x14ac:dyDescent="0.25">
      <c r="A138" t="s">
        <v>111</v>
      </c>
      <c r="B138">
        <v>2011</v>
      </c>
      <c r="C138" t="s">
        <v>116</v>
      </c>
      <c r="D138">
        <v>3025</v>
      </c>
    </row>
    <row r="139" spans="1:4" x14ac:dyDescent="0.25">
      <c r="A139" t="s">
        <v>111</v>
      </c>
      <c r="B139">
        <v>2011</v>
      </c>
      <c r="C139" t="s">
        <v>117</v>
      </c>
      <c r="D139">
        <v>2937</v>
      </c>
    </row>
    <row r="140" spans="1:4" x14ac:dyDescent="0.25">
      <c r="A140" t="s">
        <v>111</v>
      </c>
      <c r="B140">
        <v>2011</v>
      </c>
      <c r="C140" t="s">
        <v>118</v>
      </c>
      <c r="D140">
        <v>3180</v>
      </c>
    </row>
    <row r="141" spans="1:4" x14ac:dyDescent="0.25">
      <c r="A141" t="s">
        <v>111</v>
      </c>
      <c r="B141">
        <v>2011</v>
      </c>
      <c r="C141" t="s">
        <v>119</v>
      </c>
      <c r="D141">
        <v>3286</v>
      </c>
    </row>
    <row r="142" spans="1:4" x14ac:dyDescent="0.25">
      <c r="A142" t="s">
        <v>111</v>
      </c>
      <c r="B142">
        <v>2011</v>
      </c>
      <c r="C142" t="s">
        <v>120</v>
      </c>
      <c r="D142">
        <v>3172</v>
      </c>
    </row>
    <row r="143" spans="1:4" x14ac:dyDescent="0.25">
      <c r="A143" t="s">
        <v>111</v>
      </c>
      <c r="B143">
        <v>2011</v>
      </c>
      <c r="C143" t="s">
        <v>121</v>
      </c>
      <c r="D143">
        <v>3465</v>
      </c>
    </row>
    <row r="144" spans="1:4" x14ac:dyDescent="0.25">
      <c r="A144" t="s">
        <v>111</v>
      </c>
      <c r="B144">
        <v>2011</v>
      </c>
      <c r="C144" t="s">
        <v>122</v>
      </c>
      <c r="D144">
        <v>3308</v>
      </c>
    </row>
    <row r="145" spans="1:4" x14ac:dyDescent="0.25">
      <c r="A145" t="s">
        <v>111</v>
      </c>
      <c r="B145">
        <v>2011</v>
      </c>
      <c r="C145" t="s">
        <v>123</v>
      </c>
      <c r="D145">
        <v>3118</v>
      </c>
    </row>
    <row r="146" spans="1:4" x14ac:dyDescent="0.25">
      <c r="A146" t="s">
        <v>111</v>
      </c>
      <c r="B146">
        <v>2011</v>
      </c>
      <c r="C146" t="s">
        <v>112</v>
      </c>
      <c r="D146">
        <v>3384</v>
      </c>
    </row>
    <row r="147" spans="1:4" x14ac:dyDescent="0.25">
      <c r="A147" t="s">
        <v>111</v>
      </c>
      <c r="B147">
        <v>2012</v>
      </c>
      <c r="C147" t="s">
        <v>113</v>
      </c>
      <c r="D147">
        <v>3415</v>
      </c>
    </row>
    <row r="148" spans="1:4" x14ac:dyDescent="0.25">
      <c r="A148" t="s">
        <v>111</v>
      </c>
      <c r="B148">
        <v>2012</v>
      </c>
      <c r="C148" t="s">
        <v>114</v>
      </c>
      <c r="D148">
        <v>3526</v>
      </c>
    </row>
    <row r="149" spans="1:4" x14ac:dyDescent="0.25">
      <c r="A149" t="s">
        <v>111</v>
      </c>
      <c r="B149">
        <v>2012</v>
      </c>
      <c r="C149" t="s">
        <v>115</v>
      </c>
      <c r="D149">
        <v>3848</v>
      </c>
    </row>
    <row r="150" spans="1:4" x14ac:dyDescent="0.25">
      <c r="A150" t="s">
        <v>111</v>
      </c>
      <c r="B150">
        <v>2012</v>
      </c>
      <c r="C150" t="s">
        <v>116</v>
      </c>
      <c r="D150">
        <v>3523</v>
      </c>
    </row>
    <row r="151" spans="1:4" x14ac:dyDescent="0.25">
      <c r="A151" t="s">
        <v>111</v>
      </c>
      <c r="B151">
        <v>2012</v>
      </c>
      <c r="C151" t="s">
        <v>117</v>
      </c>
      <c r="D151">
        <v>3774</v>
      </c>
    </row>
    <row r="152" spans="1:4" x14ac:dyDescent="0.25">
      <c r="A152" t="s">
        <v>111</v>
      </c>
      <c r="B152">
        <v>2012</v>
      </c>
      <c r="C152" t="s">
        <v>118</v>
      </c>
      <c r="D152">
        <v>3792</v>
      </c>
    </row>
    <row r="153" spans="1:4" x14ac:dyDescent="0.25">
      <c r="A153" t="s">
        <v>111</v>
      </c>
      <c r="B153">
        <v>2012</v>
      </c>
      <c r="C153" t="s">
        <v>119</v>
      </c>
      <c r="D153">
        <v>3499</v>
      </c>
    </row>
    <row r="154" spans="1:4" x14ac:dyDescent="0.25">
      <c r="A154" t="s">
        <v>111</v>
      </c>
      <c r="B154">
        <v>2012</v>
      </c>
      <c r="C154" t="s">
        <v>120</v>
      </c>
      <c r="D154">
        <v>3632</v>
      </c>
    </row>
    <row r="155" spans="1:4" x14ac:dyDescent="0.25">
      <c r="A155" t="s">
        <v>111</v>
      </c>
      <c r="B155">
        <v>2012</v>
      </c>
      <c r="C155" t="s">
        <v>121</v>
      </c>
      <c r="D155">
        <v>3603</v>
      </c>
    </row>
    <row r="156" spans="1:4" x14ac:dyDescent="0.25">
      <c r="A156" t="s">
        <v>111</v>
      </c>
      <c r="B156">
        <v>2012</v>
      </c>
      <c r="C156" t="s">
        <v>122</v>
      </c>
      <c r="D156">
        <v>3646</v>
      </c>
    </row>
    <row r="157" spans="1:4" x14ac:dyDescent="0.25">
      <c r="A157" t="s">
        <v>111</v>
      </c>
      <c r="B157">
        <v>2012</v>
      </c>
      <c r="C157" t="s">
        <v>123</v>
      </c>
      <c r="D157">
        <v>3789</v>
      </c>
    </row>
    <row r="158" spans="1:4" x14ac:dyDescent="0.25">
      <c r="A158" t="s">
        <v>111</v>
      </c>
      <c r="B158">
        <v>2012</v>
      </c>
      <c r="C158" t="s">
        <v>112</v>
      </c>
      <c r="D158">
        <v>3612</v>
      </c>
    </row>
    <row r="159" spans="1:4" x14ac:dyDescent="0.25">
      <c r="A159" t="s">
        <v>111</v>
      </c>
      <c r="B159">
        <v>2013</v>
      </c>
      <c r="C159" t="s">
        <v>113</v>
      </c>
      <c r="D159">
        <v>3611</v>
      </c>
    </row>
    <row r="160" spans="1:4" x14ac:dyDescent="0.25">
      <c r="A160" t="s">
        <v>111</v>
      </c>
      <c r="B160">
        <v>2013</v>
      </c>
      <c r="C160" t="s">
        <v>114</v>
      </c>
      <c r="D160">
        <v>3899</v>
      </c>
    </row>
    <row r="161" spans="1:4" x14ac:dyDescent="0.25">
      <c r="A161" t="s">
        <v>111</v>
      </c>
      <c r="B161">
        <v>2013</v>
      </c>
      <c r="C161" t="s">
        <v>115</v>
      </c>
      <c r="D161">
        <v>3875</v>
      </c>
    </row>
    <row r="162" spans="1:4" x14ac:dyDescent="0.25">
      <c r="A162" t="s">
        <v>111</v>
      </c>
      <c r="B162">
        <v>2013</v>
      </c>
      <c r="C162" t="s">
        <v>116</v>
      </c>
      <c r="D162">
        <v>3800</v>
      </c>
    </row>
    <row r="163" spans="1:4" x14ac:dyDescent="0.25">
      <c r="A163" t="s">
        <v>111</v>
      </c>
      <c r="B163">
        <v>2013</v>
      </c>
      <c r="C163" t="s">
        <v>117</v>
      </c>
      <c r="D163">
        <v>3907</v>
      </c>
    </row>
    <row r="164" spans="1:4" x14ac:dyDescent="0.25">
      <c r="A164" t="s">
        <v>111</v>
      </c>
      <c r="B164">
        <v>2013</v>
      </c>
      <c r="C164" t="s">
        <v>118</v>
      </c>
      <c r="D164">
        <v>3869</v>
      </c>
    </row>
    <row r="165" spans="1:4" x14ac:dyDescent="0.25">
      <c r="A165" t="s">
        <v>111</v>
      </c>
      <c r="B165">
        <v>2013</v>
      </c>
      <c r="C165" t="s">
        <v>119</v>
      </c>
      <c r="D165">
        <v>3808</v>
      </c>
    </row>
    <row r="166" spans="1:4" x14ac:dyDescent="0.25">
      <c r="A166" t="s">
        <v>111</v>
      </c>
      <c r="B166">
        <v>2013</v>
      </c>
      <c r="C166" t="s">
        <v>120</v>
      </c>
      <c r="D166">
        <v>3883</v>
      </c>
    </row>
    <row r="167" spans="1:4" x14ac:dyDescent="0.25">
      <c r="A167" t="s">
        <v>124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91"/>
  <sheetViews>
    <sheetView workbookViewId="0">
      <pane xSplit="1" ySplit="1" topLeftCell="B750" activePane="bottomRight" state="frozen"/>
      <selection pane="topRight" activeCell="B1" sqref="B1"/>
      <selection pane="bottomLeft" activeCell="A2" sqref="A2"/>
      <selection pane="bottomRight" activeCell="H759" sqref="H759"/>
    </sheetView>
  </sheetViews>
  <sheetFormatPr defaultColWidth="8.85546875" defaultRowHeight="15" x14ac:dyDescent="0.25"/>
  <cols>
    <col min="1" max="1" width="10.7109375" style="18" bestFit="1" customWidth="1"/>
    <col min="2" max="2" width="7" bestFit="1" customWidth="1"/>
    <col min="3" max="3" width="6" bestFit="1" customWidth="1"/>
    <col min="4" max="4" width="11.85546875" bestFit="1" customWidth="1"/>
    <col min="5" max="5" width="28.7109375" bestFit="1" customWidth="1"/>
    <col min="10" max="10" width="18.85546875" bestFit="1" customWidth="1"/>
    <col min="11" max="11" width="12" bestFit="1" customWidth="1"/>
  </cols>
  <sheetData>
    <row r="1" spans="1:13" x14ac:dyDescent="0.25">
      <c r="B1" t="s">
        <v>87</v>
      </c>
      <c r="C1" t="s">
        <v>88</v>
      </c>
      <c r="D1" t="s">
        <v>89</v>
      </c>
      <c r="E1" t="s">
        <v>97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135</v>
      </c>
      <c r="M1" t="s">
        <v>136</v>
      </c>
    </row>
    <row r="2" spans="1:13" x14ac:dyDescent="0.25">
      <c r="A2" s="18">
        <v>17533</v>
      </c>
      <c r="B2">
        <v>60095</v>
      </c>
      <c r="C2">
        <v>2034</v>
      </c>
      <c r="D2">
        <v>1188</v>
      </c>
      <c r="E2">
        <f>IF(A2&gt;A$554,1.16*D2,D2)</f>
        <v>1188</v>
      </c>
      <c r="F2">
        <f>1 - ( (C3-E3)/C2 )</f>
        <v>0.53244837758112096</v>
      </c>
      <c r="G2">
        <f>-LN(1-F2)</f>
        <v>0.76024551406311502</v>
      </c>
      <c r="H2">
        <v>3.3970879262789813E-2</v>
      </c>
      <c r="I2">
        <f>H2*B2/(H2+G2)</f>
        <v>2570.4329531002732</v>
      </c>
      <c r="J2">
        <f>1-EXP(-H2-G2)</f>
        <v>0.54806476432726536</v>
      </c>
      <c r="K2">
        <f>( ( (J2*I2) + ( (1-J2)*C2 ) ) - C3 )^2</f>
        <v>3.3415598744410469E-16</v>
      </c>
      <c r="L2" t="e">
        <f>NA()</f>
        <v>#N/A</v>
      </c>
      <c r="M2" t="e">
        <f>NA()</f>
        <v>#N/A</v>
      </c>
    </row>
    <row r="3" spans="1:13" x14ac:dyDescent="0.25">
      <c r="A3" s="18">
        <v>17564</v>
      </c>
      <c r="B3">
        <v>60524</v>
      </c>
      <c r="C3">
        <v>2328</v>
      </c>
      <c r="D3">
        <v>1377</v>
      </c>
      <c r="E3">
        <f t="shared" ref="E3:E66" si="0">IF(A3&gt;A$554,1.16*D3,D3)</f>
        <v>1377</v>
      </c>
      <c r="F3">
        <f t="shared" ref="F3:F66" si="1">1 - ( (C4-E4)/C3 )</f>
        <v>0.51890034364261162</v>
      </c>
      <c r="G3">
        <f t="shared" ref="G3:G66" si="2">-LN(1-F3)</f>
        <v>0.73168084456218807</v>
      </c>
      <c r="H3">
        <v>3.1013084497600839E-2</v>
      </c>
      <c r="I3">
        <f t="shared" ref="I3:I66" si="3">H3*B3/(H3+G3)</f>
        <v>2461.06053111857</v>
      </c>
      <c r="J3">
        <f t="shared" ref="J3:J66" si="4">1-EXP(-H3-G3)</f>
        <v>0.53359173770395651</v>
      </c>
      <c r="K3">
        <f t="shared" ref="K3:K66" si="5">( ( (J3*I3) + ( (1-J3)*C3 ) ) - C4 )^2</f>
        <v>3.7516024961281397E-16</v>
      </c>
      <c r="L3" t="e">
        <f>NA()</f>
        <v>#N/A</v>
      </c>
      <c r="M3" t="e">
        <f>NA()</f>
        <v>#N/A</v>
      </c>
    </row>
    <row r="4" spans="1:13" x14ac:dyDescent="0.25">
      <c r="A4" s="18">
        <v>17593</v>
      </c>
      <c r="B4">
        <v>60070</v>
      </c>
      <c r="C4">
        <v>2399</v>
      </c>
      <c r="D4">
        <v>1279</v>
      </c>
      <c r="E4">
        <f t="shared" si="0"/>
        <v>1279</v>
      </c>
      <c r="F4">
        <f t="shared" si="1"/>
        <v>0.61442267611504797</v>
      </c>
      <c r="G4">
        <f t="shared" si="2"/>
        <v>0.95301352532726946</v>
      </c>
      <c r="H4">
        <v>3.9288028211976321E-2</v>
      </c>
      <c r="I4">
        <f t="shared" si="3"/>
        <v>2378.3413885384771</v>
      </c>
      <c r="J4">
        <f t="shared" si="4"/>
        <v>0.62927752923237479</v>
      </c>
      <c r="K4">
        <f t="shared" si="5"/>
        <v>4.8934682066644915E-16</v>
      </c>
      <c r="L4">
        <f>AVERAGE(G2:G4)</f>
        <v>0.81497996131752426</v>
      </c>
      <c r="M4">
        <f>AVERAGE(H2:H4)</f>
        <v>3.4757330657455655E-2</v>
      </c>
    </row>
    <row r="5" spans="1:13" x14ac:dyDescent="0.25">
      <c r="A5" s="18">
        <v>17624</v>
      </c>
      <c r="B5">
        <v>60677</v>
      </c>
      <c r="C5">
        <v>2386</v>
      </c>
      <c r="D5">
        <v>1461</v>
      </c>
      <c r="E5">
        <f t="shared" si="0"/>
        <v>1461</v>
      </c>
      <c r="F5">
        <f t="shared" si="1"/>
        <v>0.59262363788767813</v>
      </c>
      <c r="G5">
        <f t="shared" si="2"/>
        <v>0.89801779819742233</v>
      </c>
      <c r="H5">
        <v>2.9702776953130731E-2</v>
      </c>
      <c r="I5">
        <f t="shared" si="3"/>
        <v>1942.6920620927644</v>
      </c>
      <c r="J5">
        <f t="shared" si="4"/>
        <v>0.60454590831060995</v>
      </c>
      <c r="K5">
        <f t="shared" si="5"/>
        <v>2.7446220013380947E-16</v>
      </c>
      <c r="L5">
        <f t="shared" ref="L5:M5" si="6">AVERAGE(G3:G5)</f>
        <v>0.86090405602895992</v>
      </c>
      <c r="M5">
        <f t="shared" si="6"/>
        <v>3.3334629887569293E-2</v>
      </c>
    </row>
    <row r="6" spans="1:13" x14ac:dyDescent="0.25">
      <c r="A6" s="18">
        <v>17654</v>
      </c>
      <c r="B6">
        <v>59972</v>
      </c>
      <c r="C6">
        <v>2118</v>
      </c>
      <c r="D6">
        <v>1146</v>
      </c>
      <c r="E6">
        <f t="shared" si="0"/>
        <v>1146</v>
      </c>
      <c r="F6">
        <f t="shared" si="1"/>
        <v>0.56232294617563738</v>
      </c>
      <c r="G6">
        <f t="shared" si="2"/>
        <v>0.82627396059549663</v>
      </c>
      <c r="H6">
        <v>3.2722226967136864E-2</v>
      </c>
      <c r="I6">
        <f t="shared" si="3"/>
        <v>2284.5472705081625</v>
      </c>
      <c r="J6">
        <f t="shared" si="4"/>
        <v>0.57641292905224872</v>
      </c>
      <c r="K6">
        <f t="shared" si="5"/>
        <v>3.7122463013740507E-16</v>
      </c>
      <c r="L6">
        <f t="shared" ref="L6:M6" si="7">AVERAGE(G4:G6)</f>
        <v>0.89243509470672944</v>
      </c>
      <c r="M6">
        <f t="shared" si="7"/>
        <v>3.3904344044081304E-2</v>
      </c>
    </row>
    <row r="7" spans="1:13" x14ac:dyDescent="0.25">
      <c r="A7" s="18">
        <v>17685</v>
      </c>
      <c r="B7">
        <v>60957</v>
      </c>
      <c r="C7">
        <v>2214</v>
      </c>
      <c r="D7">
        <v>1287</v>
      </c>
      <c r="E7">
        <f t="shared" si="0"/>
        <v>1287</v>
      </c>
      <c r="F7">
        <f t="shared" si="1"/>
        <v>0.56910569105691056</v>
      </c>
      <c r="G7">
        <f t="shared" si="2"/>
        <v>0.84189244182029566</v>
      </c>
      <c r="H7">
        <v>3.170505871781213E-2</v>
      </c>
      <c r="I7">
        <f t="shared" si="3"/>
        <v>2212.2834177882</v>
      </c>
      <c r="J7">
        <f t="shared" si="4"/>
        <v>0.58255292138668979</v>
      </c>
      <c r="K7">
        <f t="shared" si="5"/>
        <v>3.1382610731313475E-16</v>
      </c>
      <c r="L7">
        <f t="shared" ref="L7:M7" si="8">AVERAGE(G5:G7)</f>
        <v>0.85539473353773821</v>
      </c>
      <c r="M7">
        <f t="shared" si="8"/>
        <v>3.1376687546026572E-2</v>
      </c>
    </row>
    <row r="8" spans="1:13" x14ac:dyDescent="0.25">
      <c r="A8" s="18">
        <v>17715</v>
      </c>
      <c r="B8">
        <v>61181</v>
      </c>
      <c r="C8">
        <v>2213</v>
      </c>
      <c r="D8">
        <v>1259</v>
      </c>
      <c r="E8">
        <f t="shared" si="0"/>
        <v>1259</v>
      </c>
      <c r="F8">
        <f t="shared" si="1"/>
        <v>0.62087663804789872</v>
      </c>
      <c r="G8">
        <f t="shared" si="2"/>
        <v>0.96989363358384328</v>
      </c>
      <c r="H8">
        <v>4.0089725401593355E-2</v>
      </c>
      <c r="I8">
        <f t="shared" si="3"/>
        <v>2428.4850517326695</v>
      </c>
      <c r="J8">
        <f t="shared" si="4"/>
        <v>0.63577495940470263</v>
      </c>
      <c r="K8">
        <f t="shared" si="5"/>
        <v>3.1181536049098905E-16</v>
      </c>
      <c r="L8">
        <f t="shared" ref="L8:M8" si="9">AVERAGE(G6:G8)</f>
        <v>0.87935334533321186</v>
      </c>
      <c r="M8">
        <f t="shared" si="9"/>
        <v>3.4839003695514119E-2</v>
      </c>
    </row>
    <row r="9" spans="1:13" x14ac:dyDescent="0.25">
      <c r="A9" s="18">
        <v>17746</v>
      </c>
      <c r="B9">
        <v>60806</v>
      </c>
      <c r="C9">
        <v>2350</v>
      </c>
      <c r="D9">
        <v>1511</v>
      </c>
      <c r="E9">
        <f t="shared" si="0"/>
        <v>1511</v>
      </c>
      <c r="F9">
        <f t="shared" si="1"/>
        <v>0.55021276595744673</v>
      </c>
      <c r="G9">
        <f t="shared" si="2"/>
        <v>0.79898062126796687</v>
      </c>
      <c r="H9">
        <v>3.0911510840560281E-2</v>
      </c>
      <c r="I9">
        <f t="shared" si="3"/>
        <v>2264.8790793998123</v>
      </c>
      <c r="J9">
        <f t="shared" si="4"/>
        <v>0.56390367542445763</v>
      </c>
      <c r="K9">
        <f t="shared" si="5"/>
        <v>3.2546818805261843E-16</v>
      </c>
      <c r="L9">
        <f t="shared" ref="L9:M9" si="10">AVERAGE(G7:G9)</f>
        <v>0.8702555655573686</v>
      </c>
      <c r="M9">
        <f t="shared" si="10"/>
        <v>3.4235431653321921E-2</v>
      </c>
    </row>
    <row r="10" spans="1:13" x14ac:dyDescent="0.25">
      <c r="A10" s="18">
        <v>17777</v>
      </c>
      <c r="B10">
        <v>60815</v>
      </c>
      <c r="C10">
        <v>2302</v>
      </c>
      <c r="D10">
        <v>1245</v>
      </c>
      <c r="E10">
        <f t="shared" si="0"/>
        <v>1245</v>
      </c>
      <c r="F10">
        <f t="shared" si="1"/>
        <v>0.54430929626411817</v>
      </c>
      <c r="G10">
        <f t="shared" si="2"/>
        <v>0.78594098088553077</v>
      </c>
      <c r="H10">
        <v>2.9845299973528586E-2</v>
      </c>
      <c r="I10">
        <f t="shared" si="3"/>
        <v>2224.8988006746335</v>
      </c>
      <c r="J10">
        <f t="shared" si="4"/>
        <v>0.55770857467693946</v>
      </c>
      <c r="K10">
        <f t="shared" si="5"/>
        <v>3.3735570734191701E-16</v>
      </c>
      <c r="L10">
        <f t="shared" ref="L10:M10" si="11">AVERAGE(G8:G10)</f>
        <v>0.85160507857911361</v>
      </c>
      <c r="M10">
        <f t="shared" si="11"/>
        <v>3.3615512071894074E-2</v>
      </c>
    </row>
    <row r="11" spans="1:13" x14ac:dyDescent="0.25">
      <c r="A11" s="18">
        <v>17807</v>
      </c>
      <c r="B11">
        <v>60646</v>
      </c>
      <c r="C11">
        <v>2259</v>
      </c>
      <c r="D11">
        <v>1210</v>
      </c>
      <c r="E11">
        <f t="shared" si="0"/>
        <v>1210</v>
      </c>
      <c r="F11">
        <f t="shared" si="1"/>
        <v>0.54227534307215586</v>
      </c>
      <c r="G11">
        <f t="shared" si="2"/>
        <v>0.78148746139962888</v>
      </c>
      <c r="H11">
        <v>3.088624938694088E-2</v>
      </c>
      <c r="I11">
        <f t="shared" si="3"/>
        <v>2305.7460568323741</v>
      </c>
      <c r="J11">
        <f t="shared" si="4"/>
        <v>0.55619664588136397</v>
      </c>
      <c r="K11">
        <f t="shared" si="5"/>
        <v>3.3658771894681767E-16</v>
      </c>
      <c r="L11">
        <f t="shared" ref="L11:M11" si="12">AVERAGE(G9:G11)</f>
        <v>0.78880302118437562</v>
      </c>
      <c r="M11">
        <f t="shared" si="12"/>
        <v>3.0547686733676582E-2</v>
      </c>
    </row>
    <row r="12" spans="1:13" x14ac:dyDescent="0.25">
      <c r="A12" s="18">
        <v>17838</v>
      </c>
      <c r="B12">
        <v>60702</v>
      </c>
      <c r="C12">
        <v>2285</v>
      </c>
      <c r="D12">
        <v>1251</v>
      </c>
      <c r="E12">
        <f t="shared" si="0"/>
        <v>1251</v>
      </c>
      <c r="F12">
        <f t="shared" si="1"/>
        <v>0.56367614879649897</v>
      </c>
      <c r="G12">
        <f t="shared" si="2"/>
        <v>0.82937053336646693</v>
      </c>
      <c r="H12">
        <v>3.6124862018148636E-2</v>
      </c>
      <c r="I12">
        <f t="shared" si="3"/>
        <v>2533.6372508962709</v>
      </c>
      <c r="J12">
        <f t="shared" si="4"/>
        <v>0.57915698271054894</v>
      </c>
      <c r="K12">
        <f t="shared" si="5"/>
        <v>3.4336256970036583E-16</v>
      </c>
      <c r="L12">
        <f t="shared" ref="L12:M12" si="13">AVERAGE(G10:G12)</f>
        <v>0.79893299188387557</v>
      </c>
      <c r="M12">
        <f t="shared" si="13"/>
        <v>3.2285470459539369E-2</v>
      </c>
    </row>
    <row r="13" spans="1:13" x14ac:dyDescent="0.25">
      <c r="A13" s="18">
        <v>17868</v>
      </c>
      <c r="B13">
        <v>61169</v>
      </c>
      <c r="C13">
        <v>2429</v>
      </c>
      <c r="D13">
        <v>1432</v>
      </c>
      <c r="E13">
        <f t="shared" si="0"/>
        <v>1432</v>
      </c>
      <c r="F13">
        <f t="shared" si="1"/>
        <v>0.55290242898312059</v>
      </c>
      <c r="G13">
        <f t="shared" si="2"/>
        <v>0.80497842850829171</v>
      </c>
      <c r="H13">
        <v>3.74940695359419E-2</v>
      </c>
      <c r="I13">
        <f t="shared" si="3"/>
        <v>2722.3140752585282</v>
      </c>
      <c r="J13">
        <f t="shared" si="4"/>
        <v>0.5693555615062118</v>
      </c>
      <c r="K13">
        <f t="shared" si="5"/>
        <v>2.7207169427885037E-16</v>
      </c>
      <c r="L13">
        <f t="shared" ref="L13:M13" si="14">AVERAGE(G11:G13)</f>
        <v>0.80527880775812921</v>
      </c>
      <c r="M13">
        <f t="shared" si="14"/>
        <v>3.4835060313677141E-2</v>
      </c>
    </row>
    <row r="14" spans="1:13" x14ac:dyDescent="0.25">
      <c r="A14" s="18">
        <v>17899</v>
      </c>
      <c r="B14">
        <v>60771</v>
      </c>
      <c r="C14">
        <v>2596</v>
      </c>
      <c r="D14">
        <v>1510</v>
      </c>
      <c r="E14">
        <f t="shared" si="0"/>
        <v>1510</v>
      </c>
      <c r="F14">
        <f t="shared" si="1"/>
        <v>0.52003081664098616</v>
      </c>
      <c r="G14">
        <f t="shared" si="2"/>
        <v>0.73403337847658223</v>
      </c>
      <c r="H14">
        <v>3.8999821451295373E-2</v>
      </c>
      <c r="I14">
        <f t="shared" si="3"/>
        <v>3065.9202601360366</v>
      </c>
      <c r="J14">
        <f t="shared" si="4"/>
        <v>0.53838921511606563</v>
      </c>
      <c r="K14">
        <f t="shared" si="5"/>
        <v>4.7427477823475692E-16</v>
      </c>
      <c r="L14">
        <f t="shared" ref="L14:M14" si="15">AVERAGE(G12:G14)</f>
        <v>0.78946078011711363</v>
      </c>
      <c r="M14">
        <f t="shared" si="15"/>
        <v>3.7539584335128634E-2</v>
      </c>
    </row>
    <row r="15" spans="1:13" x14ac:dyDescent="0.25">
      <c r="A15" s="18">
        <v>17930</v>
      </c>
      <c r="B15">
        <v>61057</v>
      </c>
      <c r="C15">
        <v>2849</v>
      </c>
      <c r="D15">
        <v>1603</v>
      </c>
      <c r="E15">
        <f t="shared" si="0"/>
        <v>1603</v>
      </c>
      <c r="F15">
        <f t="shared" si="1"/>
        <v>0.50895050895050897</v>
      </c>
      <c r="G15">
        <f t="shared" si="2"/>
        <v>0.7112103598324272</v>
      </c>
      <c r="H15">
        <v>3.92311876186799E-2</v>
      </c>
      <c r="I15">
        <f t="shared" si="3"/>
        <v>3191.9056595008155</v>
      </c>
      <c r="J15">
        <f t="shared" si="4"/>
        <v>0.52784197346584083</v>
      </c>
      <c r="K15">
        <f t="shared" si="5"/>
        <v>5.5299731807623154E-16</v>
      </c>
      <c r="L15">
        <f t="shared" ref="L15:M15" si="16">AVERAGE(G13:G15)</f>
        <v>0.75007405560576712</v>
      </c>
      <c r="M15">
        <f t="shared" si="16"/>
        <v>3.8575026201972389E-2</v>
      </c>
    </row>
    <row r="16" spans="1:13" x14ac:dyDescent="0.25">
      <c r="A16" s="18">
        <v>17958</v>
      </c>
      <c r="B16">
        <v>61073</v>
      </c>
      <c r="C16">
        <v>3030</v>
      </c>
      <c r="D16">
        <v>1631</v>
      </c>
      <c r="E16">
        <f t="shared" si="0"/>
        <v>1631</v>
      </c>
      <c r="F16">
        <f t="shared" si="1"/>
        <v>0.46930693069306928</v>
      </c>
      <c r="G16">
        <f t="shared" si="2"/>
        <v>0.63357144876450311</v>
      </c>
      <c r="H16">
        <v>3.8516353813761513E-2</v>
      </c>
      <c r="I16">
        <f t="shared" si="3"/>
        <v>3500.0029273614596</v>
      </c>
      <c r="J16">
        <f t="shared" si="4"/>
        <v>0.48935865422893876</v>
      </c>
      <c r="K16">
        <f t="shared" si="5"/>
        <v>2.9810948707744756E-16</v>
      </c>
      <c r="L16">
        <f t="shared" ref="L16:M16" si="17">AVERAGE(G14:G16)</f>
        <v>0.69293839569117088</v>
      </c>
      <c r="M16">
        <f t="shared" si="17"/>
        <v>3.8915787627912257E-2</v>
      </c>
    </row>
    <row r="17" spans="1:13" x14ac:dyDescent="0.25">
      <c r="A17" s="18">
        <v>17989</v>
      </c>
      <c r="B17">
        <v>61007</v>
      </c>
      <c r="C17">
        <v>3260</v>
      </c>
      <c r="D17">
        <v>1652</v>
      </c>
      <c r="E17">
        <f t="shared" si="0"/>
        <v>1652</v>
      </c>
      <c r="F17">
        <f t="shared" si="1"/>
        <v>0.44079754601226995</v>
      </c>
      <c r="G17">
        <f t="shared" si="2"/>
        <v>0.58124369968209033</v>
      </c>
      <c r="H17">
        <v>4.3220505231815691E-2</v>
      </c>
      <c r="I17">
        <f t="shared" si="3"/>
        <v>4222.4251477166817</v>
      </c>
      <c r="J17">
        <f t="shared" si="4"/>
        <v>0.46445170419365489</v>
      </c>
      <c r="K17">
        <f t="shared" si="5"/>
        <v>2.5098443268977585E-16</v>
      </c>
      <c r="L17">
        <f t="shared" ref="L17:M17" si="18">AVERAGE(G15:G17)</f>
        <v>0.64200850275967358</v>
      </c>
      <c r="M17">
        <f t="shared" si="18"/>
        <v>4.0322682221419041E-2</v>
      </c>
    </row>
    <row r="18" spans="1:13" x14ac:dyDescent="0.25">
      <c r="A18" s="18">
        <v>18019</v>
      </c>
      <c r="B18">
        <v>61259</v>
      </c>
      <c r="C18">
        <v>3707</v>
      </c>
      <c r="D18">
        <v>1884</v>
      </c>
      <c r="E18">
        <f t="shared" si="0"/>
        <v>1884</v>
      </c>
      <c r="F18">
        <f t="shared" si="1"/>
        <v>0.44780145670353388</v>
      </c>
      <c r="G18">
        <f t="shared" si="2"/>
        <v>0.59384761748944281</v>
      </c>
      <c r="H18">
        <v>3.9869165622521685E-2</v>
      </c>
      <c r="I18">
        <f t="shared" si="3"/>
        <v>3854.001159439933</v>
      </c>
      <c r="J18">
        <f t="shared" si="4"/>
        <v>0.46938405301960207</v>
      </c>
      <c r="K18">
        <f t="shared" si="5"/>
        <v>2.7213170457792987E-16</v>
      </c>
      <c r="L18">
        <f t="shared" ref="L18:M18" si="19">AVERAGE(G16:G18)</f>
        <v>0.60288758864534542</v>
      </c>
      <c r="M18">
        <f t="shared" si="19"/>
        <v>4.0535341556032965E-2</v>
      </c>
    </row>
    <row r="19" spans="1:13" x14ac:dyDescent="0.25">
      <c r="A19" s="18">
        <v>18050</v>
      </c>
      <c r="B19">
        <v>60948</v>
      </c>
      <c r="C19">
        <v>3776</v>
      </c>
      <c r="D19">
        <v>1729</v>
      </c>
      <c r="E19">
        <f t="shared" si="0"/>
        <v>1729</v>
      </c>
      <c r="F19">
        <f t="shared" si="1"/>
        <v>0.4017478813559322</v>
      </c>
      <c r="G19">
        <f t="shared" si="2"/>
        <v>0.51374301079738804</v>
      </c>
      <c r="H19">
        <v>4.1567074251070153E-2</v>
      </c>
      <c r="I19">
        <f t="shared" si="3"/>
        <v>4562.1898641245598</v>
      </c>
      <c r="J19">
        <f t="shared" si="4"/>
        <v>0.42610572243203848</v>
      </c>
      <c r="K19">
        <f t="shared" si="5"/>
        <v>4.6403113896502274E-16</v>
      </c>
      <c r="L19">
        <f t="shared" ref="L19:M19" si="20">AVERAGE(G17:G19)</f>
        <v>0.56294477598964043</v>
      </c>
      <c r="M19">
        <f t="shared" si="20"/>
        <v>4.1552248368469179E-2</v>
      </c>
    </row>
    <row r="20" spans="1:13" x14ac:dyDescent="0.25">
      <c r="A20" s="18">
        <v>18080</v>
      </c>
      <c r="B20">
        <v>61301</v>
      </c>
      <c r="C20">
        <v>4111</v>
      </c>
      <c r="D20">
        <v>1852</v>
      </c>
      <c r="E20">
        <f t="shared" si="0"/>
        <v>1852</v>
      </c>
      <c r="F20">
        <f t="shared" si="1"/>
        <v>0.4359036730722452</v>
      </c>
      <c r="G20">
        <f t="shared" si="2"/>
        <v>0.57253024964234678</v>
      </c>
      <c r="H20">
        <v>4.3075452188344389E-2</v>
      </c>
      <c r="I20">
        <f t="shared" si="3"/>
        <v>4289.3824516978402</v>
      </c>
      <c r="J20">
        <f t="shared" si="4"/>
        <v>0.4596864727170038</v>
      </c>
      <c r="K20">
        <f t="shared" si="5"/>
        <v>2.4309386418240392E-16</v>
      </c>
      <c r="L20">
        <f t="shared" ref="L20:M20" si="21">AVERAGE(G18:G20)</f>
        <v>0.56004029264305921</v>
      </c>
      <c r="M20">
        <f t="shared" si="21"/>
        <v>4.150389735397874E-2</v>
      </c>
    </row>
    <row r="21" spans="1:13" x14ac:dyDescent="0.25">
      <c r="A21" s="18">
        <v>18111</v>
      </c>
      <c r="B21">
        <v>61590</v>
      </c>
      <c r="C21">
        <v>4193</v>
      </c>
      <c r="D21">
        <v>1874</v>
      </c>
      <c r="E21">
        <f t="shared" si="0"/>
        <v>1874</v>
      </c>
      <c r="F21">
        <f t="shared" si="1"/>
        <v>0.42809444311948486</v>
      </c>
      <c r="G21">
        <f t="shared" si="2"/>
        <v>0.55878141158330308</v>
      </c>
      <c r="H21">
        <v>3.7489721336687896E-2</v>
      </c>
      <c r="I21">
        <f t="shared" si="3"/>
        <v>3872.3859158153027</v>
      </c>
      <c r="J21">
        <f t="shared" si="4"/>
        <v>0.44913809805424776</v>
      </c>
      <c r="K21">
        <f t="shared" si="5"/>
        <v>3.9524003313314458E-16</v>
      </c>
      <c r="L21">
        <f t="shared" ref="L21:M21" si="22">AVERAGE(G19:G21)</f>
        <v>0.54835155734101271</v>
      </c>
      <c r="M21">
        <f t="shared" si="22"/>
        <v>4.0710749258700808E-2</v>
      </c>
    </row>
    <row r="22" spans="1:13" x14ac:dyDescent="0.25">
      <c r="A22" s="18">
        <v>18142</v>
      </c>
      <c r="B22">
        <v>61633</v>
      </c>
      <c r="C22">
        <v>4049</v>
      </c>
      <c r="D22">
        <v>1651</v>
      </c>
      <c r="E22">
        <f t="shared" si="0"/>
        <v>1651</v>
      </c>
      <c r="F22">
        <f t="shared" si="1"/>
        <v>0.36181773277352436</v>
      </c>
      <c r="G22">
        <f t="shared" si="2"/>
        <v>0.44913135112966868</v>
      </c>
      <c r="H22">
        <v>5.0711852617338772E-2</v>
      </c>
      <c r="I22">
        <f t="shared" si="3"/>
        <v>6253.0081212155574</v>
      </c>
      <c r="J22">
        <f t="shared" si="4"/>
        <v>0.39337423109641101</v>
      </c>
      <c r="K22">
        <f t="shared" si="5"/>
        <v>1.7996348201856808E-16</v>
      </c>
      <c r="L22">
        <f t="shared" ref="L22:M22" si="23">AVERAGE(G20:G22)</f>
        <v>0.52681433745177286</v>
      </c>
      <c r="M22">
        <f t="shared" si="23"/>
        <v>4.3759008714123686E-2</v>
      </c>
    </row>
    <row r="23" spans="1:13" x14ac:dyDescent="0.25">
      <c r="A23" s="18">
        <v>18172</v>
      </c>
      <c r="B23">
        <v>62185</v>
      </c>
      <c r="C23">
        <v>4916</v>
      </c>
      <c r="D23">
        <v>2332</v>
      </c>
      <c r="E23">
        <f t="shared" si="0"/>
        <v>2332</v>
      </c>
      <c r="F23">
        <f t="shared" si="1"/>
        <v>0.54251423921887709</v>
      </c>
      <c r="G23">
        <f t="shared" si="2"/>
        <v>0.78200951872660962</v>
      </c>
      <c r="H23">
        <v>4.3530441398981698E-2</v>
      </c>
      <c r="I23">
        <f t="shared" si="3"/>
        <v>3278.9939059810795</v>
      </c>
      <c r="J23">
        <f t="shared" si="4"/>
        <v>0.56200157308289145</v>
      </c>
      <c r="K23">
        <f t="shared" si="5"/>
        <v>2.2760845995307939E-16</v>
      </c>
      <c r="L23">
        <f t="shared" ref="L23:M23" si="24">AVERAGE(G21:G23)</f>
        <v>0.59664076047986048</v>
      </c>
      <c r="M23">
        <f t="shared" si="24"/>
        <v>4.3910671784336129E-2</v>
      </c>
    </row>
    <row r="24" spans="1:13" x14ac:dyDescent="0.25">
      <c r="A24" s="18">
        <v>18203</v>
      </c>
      <c r="B24">
        <v>62005</v>
      </c>
      <c r="C24">
        <v>3996</v>
      </c>
      <c r="D24">
        <v>1747</v>
      </c>
      <c r="E24">
        <f t="shared" si="0"/>
        <v>1747</v>
      </c>
      <c r="F24">
        <f t="shared" si="1"/>
        <v>0.42067067067067065</v>
      </c>
      <c r="G24">
        <f t="shared" si="2"/>
        <v>0.54588417324810967</v>
      </c>
      <c r="H24">
        <v>3.912929270004574E-2</v>
      </c>
      <c r="I24">
        <f t="shared" si="3"/>
        <v>4147.2751228624702</v>
      </c>
      <c r="J24">
        <f t="shared" si="4"/>
        <v>0.44290164009596811</v>
      </c>
      <c r="K24">
        <f t="shared" si="5"/>
        <v>4.6256291922713525E-16</v>
      </c>
      <c r="L24">
        <f t="shared" ref="L24:M24" si="25">AVERAGE(G22:G24)</f>
        <v>0.59234168103479601</v>
      </c>
      <c r="M24">
        <f t="shared" si="25"/>
        <v>4.4457195572122077E-2</v>
      </c>
    </row>
    <row r="25" spans="1:13" x14ac:dyDescent="0.25">
      <c r="A25" s="18">
        <v>18233</v>
      </c>
      <c r="B25">
        <v>61908</v>
      </c>
      <c r="C25">
        <v>4063</v>
      </c>
      <c r="D25">
        <v>1748</v>
      </c>
      <c r="E25">
        <f t="shared" si="0"/>
        <v>1748</v>
      </c>
      <c r="F25">
        <f t="shared" si="1"/>
        <v>0.44720649766182619</v>
      </c>
      <c r="G25">
        <f t="shared" si="2"/>
        <v>0.59277076068933821</v>
      </c>
      <c r="H25">
        <v>4.0772368824189296E-2</v>
      </c>
      <c r="I25">
        <f t="shared" si="3"/>
        <v>3984.1578127539537</v>
      </c>
      <c r="J25">
        <f t="shared" si="4"/>
        <v>0.46929190165004397</v>
      </c>
      <c r="K25">
        <f t="shared" si="5"/>
        <v>2.9083670420082514E-16</v>
      </c>
      <c r="L25">
        <f t="shared" ref="L25:M25" si="26">AVERAGE(G23:G25)</f>
        <v>0.6402214842213525</v>
      </c>
      <c r="M25">
        <f t="shared" si="26"/>
        <v>4.1144034307738914E-2</v>
      </c>
    </row>
    <row r="26" spans="1:13" x14ac:dyDescent="0.25">
      <c r="A26" s="18">
        <v>18264</v>
      </c>
      <c r="B26">
        <v>61661</v>
      </c>
      <c r="C26">
        <v>4026</v>
      </c>
      <c r="D26">
        <v>1780</v>
      </c>
      <c r="E26">
        <f t="shared" si="0"/>
        <v>1780</v>
      </c>
      <c r="F26">
        <f t="shared" si="1"/>
        <v>0.41977148534525588</v>
      </c>
      <c r="G26">
        <f t="shared" si="2"/>
        <v>0.54433326225161915</v>
      </c>
      <c r="H26">
        <v>3.5965311734713214E-2</v>
      </c>
      <c r="I26">
        <f t="shared" si="3"/>
        <v>3821.5794184019201</v>
      </c>
      <c r="J26">
        <f t="shared" si="4"/>
        <v>0.44026877956785904</v>
      </c>
      <c r="K26">
        <f t="shared" si="5"/>
        <v>4.520410765767278E-16</v>
      </c>
      <c r="L26">
        <f t="shared" ref="L26:M26" si="27">AVERAGE(G24:G26)</f>
        <v>0.56099606539635571</v>
      </c>
      <c r="M26">
        <f t="shared" si="27"/>
        <v>3.8622324419649412E-2</v>
      </c>
    </row>
    <row r="27" spans="1:13" x14ac:dyDescent="0.25">
      <c r="A27" s="18">
        <v>18295</v>
      </c>
      <c r="B27">
        <v>61687</v>
      </c>
      <c r="C27">
        <v>3936</v>
      </c>
      <c r="D27">
        <v>1600</v>
      </c>
      <c r="E27">
        <f t="shared" si="0"/>
        <v>1600</v>
      </c>
      <c r="F27">
        <f t="shared" si="1"/>
        <v>0.39710365853658536</v>
      </c>
      <c r="G27">
        <f t="shared" si="2"/>
        <v>0.50601000173638044</v>
      </c>
      <c r="H27">
        <v>3.314287794964358E-2</v>
      </c>
      <c r="I27">
        <f t="shared" si="3"/>
        <v>3792.0315166827459</v>
      </c>
      <c r="J27">
        <f t="shared" si="4"/>
        <v>0.41675788059062502</v>
      </c>
      <c r="K27">
        <f t="shared" si="5"/>
        <v>4.349190756531324E-16</v>
      </c>
      <c r="L27">
        <f t="shared" ref="L27:M27" si="28">AVERAGE(G25:G27)</f>
        <v>0.54770467489244601</v>
      </c>
      <c r="M27">
        <f t="shared" si="28"/>
        <v>3.6626852836182028E-2</v>
      </c>
    </row>
    <row r="28" spans="1:13" x14ac:dyDescent="0.25">
      <c r="A28" s="18">
        <v>18323</v>
      </c>
      <c r="B28">
        <v>61604</v>
      </c>
      <c r="C28">
        <v>3876</v>
      </c>
      <c r="D28">
        <v>1503</v>
      </c>
      <c r="E28">
        <f t="shared" si="0"/>
        <v>1503</v>
      </c>
      <c r="F28">
        <f t="shared" si="1"/>
        <v>0.45743034055727549</v>
      </c>
      <c r="G28">
        <f t="shared" si="2"/>
        <v>0.61143879730795703</v>
      </c>
      <c r="H28">
        <v>3.3977009032072125E-2</v>
      </c>
      <c r="I28">
        <f t="shared" si="3"/>
        <v>3243.0560947697609</v>
      </c>
      <c r="J28">
        <f t="shared" si="4"/>
        <v>0.47555557055533448</v>
      </c>
      <c r="K28">
        <f t="shared" si="5"/>
        <v>3.5013684804493011E-16</v>
      </c>
      <c r="L28">
        <f t="shared" ref="L28:M28" si="29">AVERAGE(G26:G28)</f>
        <v>0.55392735376531899</v>
      </c>
      <c r="M28">
        <f t="shared" si="29"/>
        <v>3.4361732905476304E-2</v>
      </c>
    </row>
    <row r="29" spans="1:13" x14ac:dyDescent="0.25">
      <c r="A29" s="18">
        <v>18354</v>
      </c>
      <c r="B29">
        <v>62158</v>
      </c>
      <c r="C29">
        <v>3575</v>
      </c>
      <c r="D29">
        <v>1472</v>
      </c>
      <c r="E29">
        <f t="shared" si="0"/>
        <v>1472</v>
      </c>
      <c r="F29">
        <f t="shared" si="1"/>
        <v>0.44895104895104898</v>
      </c>
      <c r="G29">
        <f t="shared" si="2"/>
        <v>0.59593163339607391</v>
      </c>
      <c r="H29">
        <v>3.3123738359265666E-2</v>
      </c>
      <c r="I29">
        <f t="shared" si="3"/>
        <v>3273.0112822818583</v>
      </c>
      <c r="J29">
        <f t="shared" si="4"/>
        <v>0.46690486003832887</v>
      </c>
      <c r="K29">
        <f t="shared" si="5"/>
        <v>4.2668866495417673E-16</v>
      </c>
      <c r="L29">
        <f t="shared" ref="L29:M29" si="30">AVERAGE(G27:G29)</f>
        <v>0.5711268108134705</v>
      </c>
      <c r="M29">
        <f t="shared" si="30"/>
        <v>3.3414541780327121E-2</v>
      </c>
    </row>
    <row r="30" spans="1:13" x14ac:dyDescent="0.25">
      <c r="A30" s="18">
        <v>18384</v>
      </c>
      <c r="B30">
        <v>62083</v>
      </c>
      <c r="C30">
        <v>3434</v>
      </c>
      <c r="D30">
        <v>1464</v>
      </c>
      <c r="E30">
        <f t="shared" si="0"/>
        <v>1464</v>
      </c>
      <c r="F30">
        <f t="shared" si="1"/>
        <v>0.44700058241118235</v>
      </c>
      <c r="G30">
        <f t="shared" si="2"/>
        <v>0.59239833064513503</v>
      </c>
      <c r="H30">
        <v>3.3149232362315373E-2</v>
      </c>
      <c r="I30">
        <f t="shared" si="3"/>
        <v>3289.9237635190248</v>
      </c>
      <c r="J30">
        <f t="shared" si="4"/>
        <v>0.46503158061078065</v>
      </c>
      <c r="K30">
        <f t="shared" si="5"/>
        <v>4.3260814891579912E-16</v>
      </c>
      <c r="L30">
        <f t="shared" ref="L30:M30" si="31">AVERAGE(G28:G30)</f>
        <v>0.59992292044972195</v>
      </c>
      <c r="M30">
        <f t="shared" si="31"/>
        <v>3.3416659917884388E-2</v>
      </c>
    </row>
    <row r="31" spans="1:13" x14ac:dyDescent="0.25">
      <c r="A31" s="18">
        <v>18415</v>
      </c>
      <c r="B31">
        <v>62419</v>
      </c>
      <c r="C31">
        <v>3367</v>
      </c>
      <c r="D31">
        <v>1468</v>
      </c>
      <c r="E31">
        <f t="shared" si="0"/>
        <v>1468</v>
      </c>
      <c r="F31">
        <f t="shared" si="1"/>
        <v>0.49242649242649239</v>
      </c>
      <c r="G31">
        <f t="shared" si="2"/>
        <v>0.67811373604548353</v>
      </c>
      <c r="H31">
        <v>3.2820088157348437E-2</v>
      </c>
      <c r="I31">
        <f t="shared" si="3"/>
        <v>2881.5580479528007</v>
      </c>
      <c r="J31">
        <f t="shared" si="4"/>
        <v>0.50881469749285124</v>
      </c>
      <c r="K31">
        <f t="shared" si="5"/>
        <v>3.5211376669553999E-16</v>
      </c>
      <c r="L31">
        <f t="shared" ref="L31:M31" si="32">AVERAGE(G29:G31)</f>
        <v>0.62214790002889753</v>
      </c>
      <c r="M31">
        <f t="shared" si="32"/>
        <v>3.3031019626309825E-2</v>
      </c>
    </row>
    <row r="32" spans="1:13" x14ac:dyDescent="0.25">
      <c r="A32" s="18">
        <v>18445</v>
      </c>
      <c r="B32">
        <v>62121</v>
      </c>
      <c r="C32">
        <v>3120</v>
      </c>
      <c r="D32">
        <v>1411</v>
      </c>
      <c r="E32">
        <f t="shared" si="0"/>
        <v>1411</v>
      </c>
      <c r="F32">
        <f t="shared" si="1"/>
        <v>0.50384615384615383</v>
      </c>
      <c r="G32">
        <f t="shared" si="2"/>
        <v>0.70086922665385554</v>
      </c>
      <c r="H32">
        <v>2.9395506606747102E-2</v>
      </c>
      <c r="I32">
        <f t="shared" si="3"/>
        <v>2500.5702490443032</v>
      </c>
      <c r="J32">
        <f t="shared" si="4"/>
        <v>0.51821857036256558</v>
      </c>
      <c r="K32">
        <f t="shared" si="5"/>
        <v>3.8804058395372805E-16</v>
      </c>
      <c r="L32">
        <f t="shared" ref="L32:M32" si="33">AVERAGE(G30:G32)</f>
        <v>0.65712709778149136</v>
      </c>
      <c r="M32">
        <f t="shared" si="33"/>
        <v>3.1788275708803639E-2</v>
      </c>
    </row>
    <row r="33" spans="1:13" x14ac:dyDescent="0.25">
      <c r="A33" s="18">
        <v>18476</v>
      </c>
      <c r="B33">
        <v>62596</v>
      </c>
      <c r="C33">
        <v>2799</v>
      </c>
      <c r="D33">
        <v>1251</v>
      </c>
      <c r="E33">
        <f t="shared" si="0"/>
        <v>1251</v>
      </c>
      <c r="F33">
        <f t="shared" si="1"/>
        <v>0.46337977849231871</v>
      </c>
      <c r="G33">
        <f t="shared" si="2"/>
        <v>0.62246465719137345</v>
      </c>
      <c r="H33">
        <v>2.8567718105647365E-2</v>
      </c>
      <c r="I33">
        <f t="shared" si="3"/>
        <v>2746.7526199833915</v>
      </c>
      <c r="J33">
        <f t="shared" si="4"/>
        <v>0.47849289230066705</v>
      </c>
      <c r="K33">
        <f t="shared" si="5"/>
        <v>4.2936057827391183E-16</v>
      </c>
      <c r="L33">
        <f t="shared" ref="L33:M33" si="34">AVERAGE(G31:G33)</f>
        <v>0.66714920663023758</v>
      </c>
      <c r="M33">
        <f t="shared" si="34"/>
        <v>3.0261104289914298E-2</v>
      </c>
    </row>
    <row r="34" spans="1:13" x14ac:dyDescent="0.25">
      <c r="A34" s="18">
        <v>18507</v>
      </c>
      <c r="B34">
        <v>62349</v>
      </c>
      <c r="C34">
        <v>2774</v>
      </c>
      <c r="D34">
        <v>1272</v>
      </c>
      <c r="E34">
        <f t="shared" si="0"/>
        <v>1272</v>
      </c>
      <c r="F34">
        <f t="shared" si="1"/>
        <v>0.50865176640230714</v>
      </c>
      <c r="G34">
        <f t="shared" si="2"/>
        <v>0.71060216917824426</v>
      </c>
      <c r="H34">
        <v>2.9548105752298624E-2</v>
      </c>
      <c r="I34">
        <f t="shared" si="3"/>
        <v>2489.0821606773725</v>
      </c>
      <c r="J34">
        <f t="shared" si="4"/>
        <v>0.5229577773525258</v>
      </c>
      <c r="K34">
        <f t="shared" si="5"/>
        <v>3.9024736885873606E-16</v>
      </c>
      <c r="L34">
        <f t="shared" ref="L34:M34" si="35">AVERAGE(G32:G34)</f>
        <v>0.67797868434115782</v>
      </c>
      <c r="M34">
        <f t="shared" si="35"/>
        <v>2.9170443488231029E-2</v>
      </c>
    </row>
    <row r="35" spans="1:13" x14ac:dyDescent="0.25">
      <c r="A35" s="18">
        <v>18537</v>
      </c>
      <c r="B35">
        <v>62428</v>
      </c>
      <c r="C35">
        <v>2625</v>
      </c>
      <c r="D35">
        <v>1262</v>
      </c>
      <c r="E35">
        <f t="shared" si="0"/>
        <v>1262</v>
      </c>
      <c r="F35">
        <f t="shared" si="1"/>
        <v>0.52952380952380951</v>
      </c>
      <c r="G35">
        <f t="shared" si="2"/>
        <v>0.75400992596364647</v>
      </c>
      <c r="H35">
        <v>3.2227281387489898E-2</v>
      </c>
      <c r="I35">
        <f t="shared" si="3"/>
        <v>2558.8775291318725</v>
      </c>
      <c r="J35">
        <f t="shared" si="4"/>
        <v>0.54444426391921241</v>
      </c>
      <c r="K35">
        <f t="shared" si="5"/>
        <v>3.8739587938430422E-16</v>
      </c>
      <c r="L35">
        <f t="shared" ref="L35:M35" si="36">AVERAGE(G33:G35)</f>
        <v>0.69569225077775476</v>
      </c>
      <c r="M35">
        <f t="shared" si="36"/>
        <v>3.0114368415145296E-2</v>
      </c>
    </row>
    <row r="36" spans="1:13" x14ac:dyDescent="0.25">
      <c r="A36" s="18">
        <v>18568</v>
      </c>
      <c r="B36">
        <v>62286</v>
      </c>
      <c r="C36">
        <v>2589</v>
      </c>
      <c r="D36">
        <v>1354</v>
      </c>
      <c r="E36">
        <f t="shared" si="0"/>
        <v>1354</v>
      </c>
      <c r="F36">
        <f t="shared" si="1"/>
        <v>0.54422556971803782</v>
      </c>
      <c r="G36">
        <f t="shared" si="2"/>
        <v>0.78575726229182707</v>
      </c>
      <c r="H36">
        <v>3.530545908837935E-2</v>
      </c>
      <c r="I36">
        <f t="shared" si="3"/>
        <v>2678.2799505039238</v>
      </c>
      <c r="J36">
        <f t="shared" si="4"/>
        <v>0.56003615301121124</v>
      </c>
      <c r="K36">
        <f t="shared" si="5"/>
        <v>4.5151912829854383E-16</v>
      </c>
      <c r="L36">
        <f t="shared" ref="L36:M36" si="37">AVERAGE(G34:G36)</f>
        <v>0.75012311914457264</v>
      </c>
      <c r="M36">
        <f t="shared" si="37"/>
        <v>3.2360282076055957E-2</v>
      </c>
    </row>
    <row r="37" spans="1:13" x14ac:dyDescent="0.25">
      <c r="A37" s="18">
        <v>18598</v>
      </c>
      <c r="B37">
        <v>62068</v>
      </c>
      <c r="C37">
        <v>2639</v>
      </c>
      <c r="D37">
        <v>1459</v>
      </c>
      <c r="E37">
        <f t="shared" si="0"/>
        <v>1459</v>
      </c>
      <c r="F37">
        <f t="shared" si="1"/>
        <v>0.54907161803713533</v>
      </c>
      <c r="G37">
        <f t="shared" si="2"/>
        <v>0.79644675039774915</v>
      </c>
      <c r="H37">
        <v>2.7118399883179069E-2</v>
      </c>
      <c r="I37">
        <f t="shared" si="3"/>
        <v>2043.7786171197304</v>
      </c>
      <c r="J37">
        <f t="shared" si="4"/>
        <v>0.56113575484566125</v>
      </c>
      <c r="K37">
        <f t="shared" si="5"/>
        <v>2.958838029565991E-16</v>
      </c>
      <c r="L37">
        <f t="shared" ref="L37:M37" si="38">AVERAGE(G35:G37)</f>
        <v>0.77873797955107416</v>
      </c>
      <c r="M37">
        <f t="shared" si="38"/>
        <v>3.1550380119682774E-2</v>
      </c>
    </row>
    <row r="38" spans="1:13" x14ac:dyDescent="0.25">
      <c r="A38" s="18">
        <v>18629</v>
      </c>
      <c r="B38">
        <v>61941</v>
      </c>
      <c r="C38">
        <v>2305</v>
      </c>
      <c r="D38">
        <v>1115</v>
      </c>
      <c r="E38">
        <f t="shared" si="0"/>
        <v>1115</v>
      </c>
      <c r="F38">
        <f t="shared" si="1"/>
        <v>0.56182212581344904</v>
      </c>
      <c r="G38">
        <f t="shared" si="2"/>
        <v>0.82513034559544374</v>
      </c>
      <c r="H38">
        <v>2.7207720369764234E-2</v>
      </c>
      <c r="I38">
        <f t="shared" si="3"/>
        <v>1977.2358817684888</v>
      </c>
      <c r="J38">
        <f t="shared" si="4"/>
        <v>0.57358322502355552</v>
      </c>
      <c r="K38">
        <f t="shared" si="5"/>
        <v>3.1569786152938709E-16</v>
      </c>
      <c r="L38">
        <f t="shared" ref="L38:M38" si="39">AVERAGE(G36:G38)</f>
        <v>0.80244478609500669</v>
      </c>
      <c r="M38">
        <f t="shared" si="39"/>
        <v>2.9877193113774219E-2</v>
      </c>
    </row>
    <row r="39" spans="1:13" x14ac:dyDescent="0.25">
      <c r="A39" s="18">
        <v>18660</v>
      </c>
      <c r="B39">
        <v>61778</v>
      </c>
      <c r="C39">
        <v>2117</v>
      </c>
      <c r="D39">
        <v>1107</v>
      </c>
      <c r="E39">
        <f t="shared" si="0"/>
        <v>1107</v>
      </c>
      <c r="F39">
        <f t="shared" si="1"/>
        <v>0.57014643363249884</v>
      </c>
      <c r="G39">
        <f t="shared" si="2"/>
        <v>0.84431067162396944</v>
      </c>
      <c r="H39">
        <v>3.0160523545218688E-2</v>
      </c>
      <c r="I39">
        <f t="shared" si="3"/>
        <v>2130.7240694372176</v>
      </c>
      <c r="J39">
        <f t="shared" si="4"/>
        <v>0.58291748337691707</v>
      </c>
      <c r="K39">
        <f t="shared" si="5"/>
        <v>3.2518931258769746E-16</v>
      </c>
      <c r="L39">
        <f t="shared" ref="L39:M39" si="40">AVERAGE(G37:G39)</f>
        <v>0.82196258920572074</v>
      </c>
      <c r="M39">
        <f t="shared" si="40"/>
        <v>2.8162214599387333E-2</v>
      </c>
    </row>
    <row r="40" spans="1:13" x14ac:dyDescent="0.25">
      <c r="A40" s="18">
        <v>18688</v>
      </c>
      <c r="B40">
        <v>62526</v>
      </c>
      <c r="C40">
        <v>2125</v>
      </c>
      <c r="D40">
        <v>1215</v>
      </c>
      <c r="E40">
        <f t="shared" si="0"/>
        <v>1215</v>
      </c>
      <c r="F40">
        <f t="shared" si="1"/>
        <v>0.64282352941176468</v>
      </c>
      <c r="G40">
        <f t="shared" si="2"/>
        <v>1.0295253039628871</v>
      </c>
      <c r="H40">
        <v>3.0688153146925846E-2</v>
      </c>
      <c r="I40">
        <f t="shared" si="3"/>
        <v>1809.8312663333252</v>
      </c>
      <c r="J40">
        <f t="shared" si="4"/>
        <v>0.65361813523350953</v>
      </c>
      <c r="K40">
        <f t="shared" si="5"/>
        <v>2.849802659292388E-16</v>
      </c>
      <c r="L40">
        <f t="shared" ref="L40:M40" si="41">AVERAGE(G38:G40)</f>
        <v>0.89965544039410006</v>
      </c>
      <c r="M40">
        <f t="shared" si="41"/>
        <v>2.9352132353969589E-2</v>
      </c>
    </row>
    <row r="41" spans="1:13" x14ac:dyDescent="0.25">
      <c r="A41" s="18">
        <v>18719</v>
      </c>
      <c r="B41">
        <v>61808</v>
      </c>
      <c r="C41">
        <v>1919</v>
      </c>
      <c r="D41">
        <v>1160</v>
      </c>
      <c r="E41">
        <f t="shared" si="0"/>
        <v>1160</v>
      </c>
      <c r="F41">
        <f t="shared" si="1"/>
        <v>0.61907243355914532</v>
      </c>
      <c r="G41">
        <f t="shared" si="2"/>
        <v>0.96514603625792117</v>
      </c>
      <c r="H41">
        <v>2.9265531038087298E-2</v>
      </c>
      <c r="I41">
        <f t="shared" si="3"/>
        <v>1819.0093537635385</v>
      </c>
      <c r="J41">
        <f t="shared" si="4"/>
        <v>0.63005893406824742</v>
      </c>
      <c r="K41">
        <f t="shared" si="5"/>
        <v>2.3900598231461872E-16</v>
      </c>
      <c r="L41">
        <f t="shared" ref="L41:M41" si="42">AVERAGE(G39:G41)</f>
        <v>0.94632733728159257</v>
      </c>
      <c r="M41">
        <f t="shared" si="42"/>
        <v>3.0038069243410612E-2</v>
      </c>
    </row>
    <row r="42" spans="1:13" x14ac:dyDescent="0.25">
      <c r="A42" s="18">
        <v>18749</v>
      </c>
      <c r="B42">
        <v>62044</v>
      </c>
      <c r="C42">
        <v>1856</v>
      </c>
      <c r="D42">
        <v>1125</v>
      </c>
      <c r="E42">
        <f t="shared" si="0"/>
        <v>1125</v>
      </c>
      <c r="F42">
        <f t="shared" si="1"/>
        <v>0.53125</v>
      </c>
      <c r="G42">
        <f t="shared" si="2"/>
        <v>0.75768570169751648</v>
      </c>
      <c r="H42">
        <v>2.6696915426728401E-2</v>
      </c>
      <c r="I42">
        <f t="shared" si="3"/>
        <v>2111.7033761006569</v>
      </c>
      <c r="J42">
        <f t="shared" si="4"/>
        <v>0.54359861077563065</v>
      </c>
      <c r="K42">
        <f t="shared" si="5"/>
        <v>3.5931812932779509E-16</v>
      </c>
      <c r="L42">
        <f t="shared" ref="L42:M42" si="43">AVERAGE(G40:G42)</f>
        <v>0.91745234730610825</v>
      </c>
      <c r="M42">
        <f t="shared" si="43"/>
        <v>2.8883533203913847E-2</v>
      </c>
    </row>
    <row r="43" spans="1:13" x14ac:dyDescent="0.25">
      <c r="A43" s="18">
        <v>18780</v>
      </c>
      <c r="B43">
        <v>61615</v>
      </c>
      <c r="C43">
        <v>1995</v>
      </c>
      <c r="D43">
        <v>1125</v>
      </c>
      <c r="E43">
        <f t="shared" si="0"/>
        <v>1125</v>
      </c>
      <c r="F43">
        <f t="shared" si="1"/>
        <v>0.6155388471177945</v>
      </c>
      <c r="G43">
        <f t="shared" si="2"/>
        <v>0.95591252795670767</v>
      </c>
      <c r="H43">
        <v>3.0799251604010848E-2</v>
      </c>
      <c r="I43">
        <f t="shared" si="3"/>
        <v>1923.2524906371114</v>
      </c>
      <c r="J43">
        <f t="shared" si="4"/>
        <v>0.62719947188742453</v>
      </c>
      <c r="K43">
        <f t="shared" si="5"/>
        <v>3.370216918105681E-16</v>
      </c>
      <c r="L43">
        <f t="shared" ref="L43:M43" si="44">AVERAGE(G41:G43)</f>
        <v>0.8929147553040484</v>
      </c>
      <c r="M43">
        <f t="shared" si="44"/>
        <v>2.8920566022942185E-2</v>
      </c>
    </row>
    <row r="44" spans="1:13" x14ac:dyDescent="0.25">
      <c r="A44" s="18">
        <v>18810</v>
      </c>
      <c r="B44">
        <v>62106</v>
      </c>
      <c r="C44">
        <v>1950</v>
      </c>
      <c r="D44">
        <v>1183</v>
      </c>
      <c r="E44">
        <f t="shared" si="0"/>
        <v>1183</v>
      </c>
      <c r="F44">
        <f t="shared" si="1"/>
        <v>0.61589743589743584</v>
      </c>
      <c r="G44">
        <f t="shared" si="2"/>
        <v>0.95684566804057281</v>
      </c>
      <c r="H44">
        <v>3.0572124085807964E-2</v>
      </c>
      <c r="I44">
        <f t="shared" si="3"/>
        <v>1922.9067509350398</v>
      </c>
      <c r="J44">
        <f t="shared" si="4"/>
        <v>0.62746258085471007</v>
      </c>
      <c r="K44">
        <f t="shared" si="5"/>
        <v>3.2257862619462656E-16</v>
      </c>
      <c r="L44">
        <f t="shared" ref="L44:M44" si="45">AVERAGE(G42:G44)</f>
        <v>0.89014796589826573</v>
      </c>
      <c r="M44">
        <f t="shared" si="45"/>
        <v>2.9356097038849071E-2</v>
      </c>
    </row>
    <row r="45" spans="1:13" x14ac:dyDescent="0.25">
      <c r="A45" s="18">
        <v>18841</v>
      </c>
      <c r="B45">
        <v>61927</v>
      </c>
      <c r="C45">
        <v>1933</v>
      </c>
      <c r="D45">
        <v>1184</v>
      </c>
      <c r="E45">
        <f t="shared" si="0"/>
        <v>1184</v>
      </c>
      <c r="F45">
        <f t="shared" si="1"/>
        <v>0.60010346611484744</v>
      </c>
      <c r="G45">
        <f t="shared" si="2"/>
        <v>0.9165494306209091</v>
      </c>
      <c r="H45">
        <v>3.2990453373157452E-2</v>
      </c>
      <c r="I45">
        <f t="shared" si="3"/>
        <v>2151.5681863156869</v>
      </c>
      <c r="J45">
        <f t="shared" si="4"/>
        <v>0.61308098986633641</v>
      </c>
      <c r="K45">
        <f t="shared" si="5"/>
        <v>3.8854239141797212E-16</v>
      </c>
      <c r="L45">
        <f t="shared" ref="L45:M45" si="46">AVERAGE(G43:G45)</f>
        <v>0.94310254220606315</v>
      </c>
      <c r="M45">
        <f t="shared" si="46"/>
        <v>3.1453943020992088E-2</v>
      </c>
    </row>
    <row r="46" spans="1:13" x14ac:dyDescent="0.25">
      <c r="A46" s="18">
        <v>18872</v>
      </c>
      <c r="B46">
        <v>61780</v>
      </c>
      <c r="C46">
        <v>2067</v>
      </c>
      <c r="D46">
        <v>1294</v>
      </c>
      <c r="E46">
        <f t="shared" si="0"/>
        <v>1294</v>
      </c>
      <c r="F46">
        <f t="shared" si="1"/>
        <v>0.55732946298984043</v>
      </c>
      <c r="G46">
        <f t="shared" si="2"/>
        <v>0.81492949440624718</v>
      </c>
      <c r="H46">
        <v>3.1361506751999703E-2</v>
      </c>
      <c r="I46">
        <f t="shared" si="3"/>
        <v>2289.4180423599332</v>
      </c>
      <c r="J46">
        <f t="shared" si="4"/>
        <v>0.57099684302205445</v>
      </c>
      <c r="K46">
        <f t="shared" si="5"/>
        <v>3.4847102954115958E-16</v>
      </c>
      <c r="L46">
        <f t="shared" ref="L46:M46" si="47">AVERAGE(G44:G46)</f>
        <v>0.8961081976892431</v>
      </c>
      <c r="M46">
        <f t="shared" si="47"/>
        <v>3.164136140365504E-2</v>
      </c>
    </row>
    <row r="47" spans="1:13" x14ac:dyDescent="0.25">
      <c r="A47" s="18">
        <v>18902</v>
      </c>
      <c r="B47">
        <v>62204</v>
      </c>
      <c r="C47">
        <v>2194</v>
      </c>
      <c r="D47">
        <v>1279</v>
      </c>
      <c r="E47">
        <f t="shared" si="0"/>
        <v>1279</v>
      </c>
      <c r="F47">
        <f t="shared" si="1"/>
        <v>0.56927985414767546</v>
      </c>
      <c r="G47">
        <f t="shared" si="2"/>
        <v>0.84229671334143275</v>
      </c>
      <c r="H47">
        <v>3.0395178455458607E-2</v>
      </c>
      <c r="I47">
        <f t="shared" si="3"/>
        <v>2166.5168410701649</v>
      </c>
      <c r="J47">
        <f t="shared" si="4"/>
        <v>0.58217470643176628</v>
      </c>
      <c r="K47">
        <f t="shared" si="5"/>
        <v>3.3143496689294416E-16</v>
      </c>
      <c r="L47">
        <f t="shared" ref="L47:M47" si="48">AVERAGE(G45:G47)</f>
        <v>0.85792521278952971</v>
      </c>
      <c r="M47">
        <f t="shared" si="48"/>
        <v>3.1582379526871922E-2</v>
      </c>
    </row>
    <row r="48" spans="1:13" x14ac:dyDescent="0.25">
      <c r="A48" s="18">
        <v>18933</v>
      </c>
      <c r="B48">
        <v>62014</v>
      </c>
      <c r="C48">
        <v>2178</v>
      </c>
      <c r="D48">
        <v>1233</v>
      </c>
      <c r="E48">
        <f t="shared" si="0"/>
        <v>1233</v>
      </c>
      <c r="F48">
        <f t="shared" si="1"/>
        <v>0.62258953168044084</v>
      </c>
      <c r="G48">
        <f t="shared" si="2"/>
        <v>0.97442190843672605</v>
      </c>
      <c r="H48">
        <v>2.9694936402477327E-2</v>
      </c>
      <c r="I48">
        <f t="shared" si="3"/>
        <v>1833.9516915067015</v>
      </c>
      <c r="J48">
        <f t="shared" si="4"/>
        <v>0.63363194819499991</v>
      </c>
      <c r="K48">
        <f t="shared" si="5"/>
        <v>2.6233426989845909E-16</v>
      </c>
      <c r="L48">
        <f t="shared" ref="L48:M48" si="49">AVERAGE(G46:G48)</f>
        <v>0.87721603872813547</v>
      </c>
      <c r="M48">
        <f t="shared" si="49"/>
        <v>3.0483873869978546E-2</v>
      </c>
    </row>
    <row r="49" spans="1:13" x14ac:dyDescent="0.25">
      <c r="A49" s="18">
        <v>18963</v>
      </c>
      <c r="B49">
        <v>62457</v>
      </c>
      <c r="C49">
        <v>1960</v>
      </c>
      <c r="D49">
        <v>1138</v>
      </c>
      <c r="E49">
        <f t="shared" si="0"/>
        <v>1138</v>
      </c>
      <c r="F49">
        <f t="shared" si="1"/>
        <v>0.53775510204081634</v>
      </c>
      <c r="G49">
        <f t="shared" si="2"/>
        <v>0.77166044618158358</v>
      </c>
      <c r="H49">
        <v>2.528827332082368E-2</v>
      </c>
      <c r="I49">
        <f t="shared" si="3"/>
        <v>1981.8460688221403</v>
      </c>
      <c r="J49">
        <f t="shared" si="4"/>
        <v>0.54929791335191425</v>
      </c>
      <c r="K49">
        <f t="shared" si="5"/>
        <v>3.5887002656482102E-16</v>
      </c>
      <c r="L49">
        <f t="shared" ref="L49:M49" si="50">AVERAGE(G47:G49)</f>
        <v>0.86279302265324753</v>
      </c>
      <c r="M49">
        <f t="shared" si="50"/>
        <v>2.8459462726253205E-2</v>
      </c>
    </row>
    <row r="50" spans="1:13" x14ac:dyDescent="0.25">
      <c r="A50" s="18">
        <v>18994</v>
      </c>
      <c r="B50">
        <v>62432</v>
      </c>
      <c r="C50">
        <v>1972</v>
      </c>
      <c r="D50">
        <v>1066</v>
      </c>
      <c r="E50">
        <f t="shared" si="0"/>
        <v>1066</v>
      </c>
      <c r="F50">
        <f t="shared" si="1"/>
        <v>0.60649087221095332</v>
      </c>
      <c r="G50">
        <f t="shared" si="2"/>
        <v>0.93265101497936187</v>
      </c>
      <c r="H50">
        <v>3.0033521720601777E-2</v>
      </c>
      <c r="I50">
        <f t="shared" si="3"/>
        <v>1947.7334023544215</v>
      </c>
      <c r="J50">
        <f t="shared" si="4"/>
        <v>0.61813362555901685</v>
      </c>
      <c r="K50">
        <f t="shared" si="5"/>
        <v>3.0125839823331443E-16</v>
      </c>
      <c r="L50">
        <f t="shared" ref="L50:M50" si="51">AVERAGE(G48:G50)</f>
        <v>0.89291112319922394</v>
      </c>
      <c r="M50">
        <f t="shared" si="51"/>
        <v>2.8338910481300928E-2</v>
      </c>
    </row>
    <row r="51" spans="1:13" x14ac:dyDescent="0.25">
      <c r="A51" s="18">
        <v>19025</v>
      </c>
      <c r="B51">
        <v>62419</v>
      </c>
      <c r="C51">
        <v>1957</v>
      </c>
      <c r="D51">
        <v>1181</v>
      </c>
      <c r="E51">
        <f t="shared" si="0"/>
        <v>1181</v>
      </c>
      <c r="F51">
        <f t="shared" si="1"/>
        <v>0.66121614716402655</v>
      </c>
      <c r="G51">
        <f t="shared" si="2"/>
        <v>1.0823929772102137</v>
      </c>
      <c r="H51">
        <v>3.1085528538924774E-2</v>
      </c>
      <c r="I51">
        <f t="shared" si="3"/>
        <v>1742.5820039208661</v>
      </c>
      <c r="J51">
        <f t="shared" si="4"/>
        <v>0.67158542014334943</v>
      </c>
      <c r="K51">
        <f t="shared" si="5"/>
        <v>2.8560242212385111E-16</v>
      </c>
      <c r="L51">
        <f t="shared" ref="L51:M51" si="52">AVERAGE(G49:G51)</f>
        <v>0.92890147945705304</v>
      </c>
      <c r="M51">
        <f t="shared" si="52"/>
        <v>2.8802441193450073E-2</v>
      </c>
    </row>
    <row r="52" spans="1:13" x14ac:dyDescent="0.25">
      <c r="A52" s="18">
        <v>19054</v>
      </c>
      <c r="B52">
        <v>61721</v>
      </c>
      <c r="C52">
        <v>1813</v>
      </c>
      <c r="D52">
        <v>1150</v>
      </c>
      <c r="E52">
        <f t="shared" si="0"/>
        <v>1150</v>
      </c>
      <c r="F52">
        <f t="shared" si="1"/>
        <v>0.62824048538334254</v>
      </c>
      <c r="G52">
        <f t="shared" si="2"/>
        <v>0.98950809984254406</v>
      </c>
      <c r="H52">
        <v>2.9892310138601771E-2</v>
      </c>
      <c r="I52">
        <f t="shared" si="3"/>
        <v>1809.8710339921913</v>
      </c>
      <c r="J52">
        <f t="shared" si="4"/>
        <v>0.63918878586857053</v>
      </c>
      <c r="K52">
        <f t="shared" si="5"/>
        <v>2.7043148244341113E-16</v>
      </c>
      <c r="L52">
        <f t="shared" ref="L52:M52" si="53">AVERAGE(G50:G52)</f>
        <v>1.0015173640107065</v>
      </c>
      <c r="M52">
        <f t="shared" si="53"/>
        <v>3.0337120132709439E-2</v>
      </c>
    </row>
    <row r="53" spans="1:13" x14ac:dyDescent="0.25">
      <c r="A53" s="18">
        <v>19085</v>
      </c>
      <c r="B53">
        <v>61720</v>
      </c>
      <c r="C53">
        <v>1811</v>
      </c>
      <c r="D53">
        <v>1137</v>
      </c>
      <c r="E53">
        <f t="shared" si="0"/>
        <v>1137</v>
      </c>
      <c r="F53">
        <f t="shared" si="1"/>
        <v>0.62230811706239653</v>
      </c>
      <c r="G53">
        <f t="shared" si="2"/>
        <v>0.97367654026086303</v>
      </c>
      <c r="H53">
        <v>3.0809149459586498E-2</v>
      </c>
      <c r="I53">
        <f t="shared" si="3"/>
        <v>1893.0490738746926</v>
      </c>
      <c r="J53">
        <f t="shared" si="4"/>
        <v>0.63376705625707008</v>
      </c>
      <c r="K53">
        <f t="shared" si="5"/>
        <v>3.3061586871385517E-16</v>
      </c>
      <c r="L53">
        <f t="shared" ref="L53:M53" si="54">AVERAGE(G51:G53)</f>
        <v>1.0151925391045402</v>
      </c>
      <c r="M53">
        <f t="shared" si="54"/>
        <v>3.0595662712371016E-2</v>
      </c>
    </row>
    <row r="54" spans="1:13" x14ac:dyDescent="0.25">
      <c r="A54" s="18">
        <v>19115</v>
      </c>
      <c r="B54">
        <v>62058</v>
      </c>
      <c r="C54">
        <v>1863</v>
      </c>
      <c r="D54">
        <v>1179</v>
      </c>
      <c r="E54">
        <f t="shared" si="0"/>
        <v>1179</v>
      </c>
      <c r="F54">
        <f t="shared" si="1"/>
        <v>0.63070316693505102</v>
      </c>
      <c r="G54">
        <f t="shared" si="2"/>
        <v>0.99615453266824483</v>
      </c>
      <c r="H54">
        <v>3.1388671949332654E-2</v>
      </c>
      <c r="I54">
        <f t="shared" si="3"/>
        <v>1895.7044288533307</v>
      </c>
      <c r="J54">
        <f t="shared" si="4"/>
        <v>0.64211486807667839</v>
      </c>
      <c r="K54">
        <f t="shared" si="5"/>
        <v>3.4892958311078779E-16</v>
      </c>
      <c r="L54">
        <f t="shared" ref="L54:M54" si="55">AVERAGE(G52:G54)</f>
        <v>0.98644639092388398</v>
      </c>
      <c r="M54">
        <f t="shared" si="55"/>
        <v>3.0696710515840307E-2</v>
      </c>
    </row>
    <row r="55" spans="1:13" x14ac:dyDescent="0.25">
      <c r="A55" s="18">
        <v>19146</v>
      </c>
      <c r="B55">
        <v>62103</v>
      </c>
      <c r="C55">
        <v>1884</v>
      </c>
      <c r="D55">
        <v>1196</v>
      </c>
      <c r="E55">
        <f t="shared" si="0"/>
        <v>1196</v>
      </c>
      <c r="F55">
        <f t="shared" si="1"/>
        <v>0.57324840764331209</v>
      </c>
      <c r="G55">
        <f t="shared" si="2"/>
        <v>0.85155318595734197</v>
      </c>
      <c r="H55">
        <v>2.9314393374376625E-2</v>
      </c>
      <c r="I55">
        <f t="shared" si="3"/>
        <v>2066.7258217291483</v>
      </c>
      <c r="J55">
        <f t="shared" si="4"/>
        <v>0.58557678934259449</v>
      </c>
      <c r="K55">
        <f t="shared" si="5"/>
        <v>3.2913744565141306E-16</v>
      </c>
      <c r="L55">
        <f t="shared" ref="L55:M55" si="56">AVERAGE(G53:G55)</f>
        <v>0.94046141962881658</v>
      </c>
      <c r="M55">
        <f t="shared" si="56"/>
        <v>3.0504071594431924E-2</v>
      </c>
    </row>
    <row r="56" spans="1:13" x14ac:dyDescent="0.25">
      <c r="A56" s="18">
        <v>19176</v>
      </c>
      <c r="B56">
        <v>61962</v>
      </c>
      <c r="C56">
        <v>1991</v>
      </c>
      <c r="D56">
        <v>1187</v>
      </c>
      <c r="E56">
        <f t="shared" si="0"/>
        <v>1187</v>
      </c>
      <c r="F56">
        <f t="shared" si="1"/>
        <v>0.58965344048216983</v>
      </c>
      <c r="G56">
        <f t="shared" si="2"/>
        <v>0.89075320920419354</v>
      </c>
      <c r="H56">
        <v>3.2023816810486536E-2</v>
      </c>
      <c r="I56">
        <f t="shared" si="3"/>
        <v>2150.3133273495691</v>
      </c>
      <c r="J56">
        <f t="shared" si="4"/>
        <v>0.60258612141717471</v>
      </c>
      <c r="K56">
        <f t="shared" si="5"/>
        <v>3.1122141896178184E-16</v>
      </c>
      <c r="L56">
        <f t="shared" ref="L56:M56" si="57">AVERAGE(G54:G56)</f>
        <v>0.91282030927659352</v>
      </c>
      <c r="M56">
        <f t="shared" si="57"/>
        <v>3.0908960711398606E-2</v>
      </c>
    </row>
    <row r="57" spans="1:13" x14ac:dyDescent="0.25">
      <c r="A57" s="18">
        <v>19207</v>
      </c>
      <c r="B57">
        <v>61877</v>
      </c>
      <c r="C57">
        <v>2087</v>
      </c>
      <c r="D57">
        <v>1270</v>
      </c>
      <c r="E57">
        <f t="shared" si="0"/>
        <v>1270</v>
      </c>
      <c r="F57">
        <f t="shared" si="1"/>
        <v>0.61379971250598953</v>
      </c>
      <c r="G57">
        <f t="shared" si="2"/>
        <v>0.95139916457057261</v>
      </c>
      <c r="H57">
        <v>2.9246027892327907E-2</v>
      </c>
      <c r="I57">
        <f t="shared" si="3"/>
        <v>1845.3733132047514</v>
      </c>
      <c r="J57">
        <f t="shared" si="4"/>
        <v>0.62493097094162198</v>
      </c>
      <c r="K57">
        <f t="shared" si="5"/>
        <v>2.4454952344118372E-16</v>
      </c>
      <c r="L57">
        <f t="shared" ref="L57:M57" si="58">AVERAGE(G55:G57)</f>
        <v>0.89790185324403604</v>
      </c>
      <c r="M57">
        <f t="shared" si="58"/>
        <v>3.0194746025730357E-2</v>
      </c>
    </row>
    <row r="58" spans="1:13" x14ac:dyDescent="0.25">
      <c r="A58" s="18">
        <v>19238</v>
      </c>
      <c r="B58">
        <v>62457</v>
      </c>
      <c r="C58">
        <v>1936</v>
      </c>
      <c r="D58">
        <v>1130</v>
      </c>
      <c r="E58">
        <f t="shared" si="0"/>
        <v>1130</v>
      </c>
      <c r="F58">
        <f t="shared" si="1"/>
        <v>0.5924586776859504</v>
      </c>
      <c r="G58">
        <f t="shared" si="2"/>
        <v>0.89761294699064809</v>
      </c>
      <c r="H58">
        <v>2.6258120062522601E-2</v>
      </c>
      <c r="I58">
        <f t="shared" si="3"/>
        <v>1775.1431592895512</v>
      </c>
      <c r="J58">
        <f t="shared" si="4"/>
        <v>0.6030206707588599</v>
      </c>
      <c r="K58">
        <f t="shared" si="5"/>
        <v>3.4723274616122714E-16</v>
      </c>
      <c r="L58">
        <f t="shared" ref="L58:M58" si="59">AVERAGE(G56:G58)</f>
        <v>0.91325510692180478</v>
      </c>
      <c r="M58">
        <f t="shared" si="59"/>
        <v>2.9175988255112348E-2</v>
      </c>
    </row>
    <row r="59" spans="1:13" x14ac:dyDescent="0.25">
      <c r="A59" s="18">
        <v>19268</v>
      </c>
      <c r="B59">
        <v>61971</v>
      </c>
      <c r="C59">
        <v>1839</v>
      </c>
      <c r="D59">
        <v>1050</v>
      </c>
      <c r="E59">
        <f t="shared" si="0"/>
        <v>1050</v>
      </c>
      <c r="F59">
        <f t="shared" si="1"/>
        <v>0.6052202283849919</v>
      </c>
      <c r="G59">
        <f t="shared" si="2"/>
        <v>0.92942720977952509</v>
      </c>
      <c r="H59">
        <v>2.5945678836556945E-2</v>
      </c>
      <c r="I59">
        <f t="shared" si="3"/>
        <v>1682.9864886676717</v>
      </c>
      <c r="J59">
        <f t="shared" si="4"/>
        <v>0.615331320765101</v>
      </c>
      <c r="K59">
        <f t="shared" si="5"/>
        <v>2.1542681922619471E-16</v>
      </c>
      <c r="L59">
        <f t="shared" ref="L59:M59" si="60">AVERAGE(G57:G59)</f>
        <v>0.92614644044691519</v>
      </c>
      <c r="M59">
        <f t="shared" si="60"/>
        <v>2.7149942263802487E-2</v>
      </c>
    </row>
    <row r="60" spans="1:13" x14ac:dyDescent="0.25">
      <c r="A60" s="18">
        <v>19299</v>
      </c>
      <c r="B60">
        <v>62491</v>
      </c>
      <c r="C60">
        <v>1743</v>
      </c>
      <c r="D60">
        <v>1017</v>
      </c>
      <c r="E60">
        <f t="shared" si="0"/>
        <v>1017</v>
      </c>
      <c r="F60">
        <f t="shared" si="1"/>
        <v>0.64257028112449799</v>
      </c>
      <c r="G60">
        <f t="shared" si="2"/>
        <v>1.0288165267325677</v>
      </c>
      <c r="H60">
        <v>2.7493066284640995E-2</v>
      </c>
      <c r="I60">
        <f t="shared" si="3"/>
        <v>1626.4826302353865</v>
      </c>
      <c r="J60">
        <f t="shared" si="4"/>
        <v>0.65226326461464157</v>
      </c>
      <c r="K60">
        <f t="shared" si="5"/>
        <v>1.6956442068161401E-16</v>
      </c>
      <c r="L60">
        <f t="shared" ref="L60:M60" si="61">AVERAGE(G58:G60)</f>
        <v>0.95195222783424693</v>
      </c>
      <c r="M60">
        <f t="shared" si="61"/>
        <v>2.6565621727906847E-2</v>
      </c>
    </row>
    <row r="61" spans="1:13" x14ac:dyDescent="0.25">
      <c r="A61" s="18">
        <v>19329</v>
      </c>
      <c r="B61">
        <v>62621</v>
      </c>
      <c r="C61">
        <v>1667</v>
      </c>
      <c r="D61">
        <v>1044</v>
      </c>
      <c r="E61">
        <f t="shared" si="0"/>
        <v>1044</v>
      </c>
      <c r="F61">
        <f t="shared" si="1"/>
        <v>0.53209358128374329</v>
      </c>
      <c r="G61">
        <f t="shared" si="2"/>
        <v>0.75948696306715668</v>
      </c>
      <c r="H61">
        <v>2.4842429844876283E-2</v>
      </c>
      <c r="I61">
        <f t="shared" si="3"/>
        <v>1983.4240733223082</v>
      </c>
      <c r="J61">
        <f t="shared" si="4"/>
        <v>0.54357431852477456</v>
      </c>
      <c r="K61">
        <f t="shared" si="5"/>
        <v>4.4129631247355005E-16</v>
      </c>
      <c r="L61">
        <f t="shared" ref="L61:M61" si="62">AVERAGE(G59:G61)</f>
        <v>0.90591023319308317</v>
      </c>
      <c r="M61">
        <f t="shared" si="62"/>
        <v>2.6093724988691405E-2</v>
      </c>
    </row>
    <row r="62" spans="1:13" x14ac:dyDescent="0.25">
      <c r="A62" s="18">
        <v>19360</v>
      </c>
      <c r="B62">
        <v>63439</v>
      </c>
      <c r="C62">
        <v>1839</v>
      </c>
      <c r="D62">
        <v>1059</v>
      </c>
      <c r="E62">
        <f t="shared" si="0"/>
        <v>1059</v>
      </c>
      <c r="F62">
        <f t="shared" si="1"/>
        <v>0.69113648722131593</v>
      </c>
      <c r="G62">
        <f t="shared" si="2"/>
        <v>1.1748558058831697</v>
      </c>
      <c r="H62">
        <v>2.9405312400147897E-2</v>
      </c>
      <c r="I62">
        <f t="shared" si="3"/>
        <v>1549.03582373579</v>
      </c>
      <c r="J62">
        <f t="shared" si="4"/>
        <v>0.70008648171967203</v>
      </c>
      <c r="K62">
        <f t="shared" si="5"/>
        <v>2.0869887292210076E-16</v>
      </c>
      <c r="L62">
        <f t="shared" ref="L62:M62" si="63">AVERAGE(G60:G62)</f>
        <v>0.98771976522763139</v>
      </c>
      <c r="M62">
        <f t="shared" si="63"/>
        <v>2.7246936176555058E-2</v>
      </c>
    </row>
    <row r="63" spans="1:13" x14ac:dyDescent="0.25">
      <c r="A63" s="18">
        <v>19391</v>
      </c>
      <c r="B63">
        <v>63520</v>
      </c>
      <c r="C63">
        <v>1636</v>
      </c>
      <c r="D63">
        <v>1068</v>
      </c>
      <c r="E63">
        <f t="shared" si="0"/>
        <v>1068</v>
      </c>
      <c r="F63">
        <f t="shared" si="1"/>
        <v>0.62224938875305624</v>
      </c>
      <c r="G63">
        <f t="shared" si="2"/>
        <v>0.97352105970500158</v>
      </c>
      <c r="H63">
        <v>2.6017691848966323E-2</v>
      </c>
      <c r="I63">
        <f t="shared" si="3"/>
        <v>1653.4064173870202</v>
      </c>
      <c r="J63">
        <f t="shared" si="4"/>
        <v>0.63195083586877354</v>
      </c>
      <c r="K63">
        <f t="shared" si="5"/>
        <v>2.9611851648938678E-16</v>
      </c>
      <c r="L63">
        <f t="shared" ref="L63:M63" si="64">AVERAGE(G61:G63)</f>
        <v>0.96928794288510944</v>
      </c>
      <c r="M63">
        <f t="shared" si="64"/>
        <v>2.6755144697996835E-2</v>
      </c>
    </row>
    <row r="64" spans="1:13" x14ac:dyDescent="0.25">
      <c r="A64" s="18">
        <v>19419</v>
      </c>
      <c r="B64">
        <v>63657</v>
      </c>
      <c r="C64">
        <v>1647</v>
      </c>
      <c r="D64">
        <v>1029</v>
      </c>
      <c r="E64">
        <f t="shared" si="0"/>
        <v>1029</v>
      </c>
      <c r="F64">
        <f t="shared" si="1"/>
        <v>0.64055859137826343</v>
      </c>
      <c r="G64">
        <f t="shared" si="2"/>
        <v>1.0232040952936343</v>
      </c>
      <c r="H64">
        <v>2.9158115167277128E-2</v>
      </c>
      <c r="I64">
        <f t="shared" si="3"/>
        <v>1763.7635775522779</v>
      </c>
      <c r="J64">
        <f t="shared" si="4"/>
        <v>0.6508879019357624</v>
      </c>
      <c r="K64">
        <f t="shared" si="5"/>
        <v>2.4074562332763837E-16</v>
      </c>
      <c r="L64">
        <f t="shared" ref="L64:M64" si="65">AVERAGE(G62:G64)</f>
        <v>1.0571936536272686</v>
      </c>
      <c r="M64">
        <f t="shared" si="65"/>
        <v>2.8193706472130448E-2</v>
      </c>
    </row>
    <row r="65" spans="1:13" x14ac:dyDescent="0.25">
      <c r="A65" s="18">
        <v>19450</v>
      </c>
      <c r="B65">
        <v>63167</v>
      </c>
      <c r="C65">
        <v>1723</v>
      </c>
      <c r="D65">
        <v>1131</v>
      </c>
      <c r="E65">
        <f t="shared" si="0"/>
        <v>1131</v>
      </c>
      <c r="F65">
        <f t="shared" si="1"/>
        <v>0.63842135809634359</v>
      </c>
      <c r="G65">
        <f t="shared" si="2"/>
        <v>1.0172757177404765</v>
      </c>
      <c r="H65">
        <v>2.5198076197144707E-2</v>
      </c>
      <c r="I65">
        <f t="shared" si="3"/>
        <v>1526.8363467756217</v>
      </c>
      <c r="J65">
        <f t="shared" si="4"/>
        <v>0.64741861147132207</v>
      </c>
      <c r="K65">
        <f t="shared" si="5"/>
        <v>6.9405085604629319E-17</v>
      </c>
      <c r="L65">
        <f t="shared" ref="L65:M65" si="66">AVERAGE(G63:G65)</f>
        <v>1.004666957579704</v>
      </c>
      <c r="M65">
        <f t="shared" si="66"/>
        <v>2.679129440446272E-2</v>
      </c>
    </row>
    <row r="66" spans="1:13" x14ac:dyDescent="0.25">
      <c r="A66" s="18">
        <v>19480</v>
      </c>
      <c r="B66">
        <v>62615</v>
      </c>
      <c r="C66">
        <v>1596</v>
      </c>
      <c r="D66">
        <v>973</v>
      </c>
      <c r="E66">
        <f t="shared" si="0"/>
        <v>973</v>
      </c>
      <c r="F66">
        <f t="shared" si="1"/>
        <v>0.61027568922305764</v>
      </c>
      <c r="G66">
        <f t="shared" si="2"/>
        <v>0.94231568527057463</v>
      </c>
      <c r="H66">
        <v>2.4928304167599245E-2</v>
      </c>
      <c r="I66">
        <f t="shared" si="3"/>
        <v>1613.7456345020773</v>
      </c>
      <c r="J66">
        <f t="shared" si="4"/>
        <v>0.61987076403580987</v>
      </c>
      <c r="K66">
        <f t="shared" si="5"/>
        <v>2.9250646882140664E-16</v>
      </c>
      <c r="L66">
        <f t="shared" ref="L66:M66" si="67">AVERAGE(G64:G66)</f>
        <v>0.99426516610156179</v>
      </c>
      <c r="M66">
        <f t="shared" si="67"/>
        <v>2.6428165177340358E-2</v>
      </c>
    </row>
    <row r="67" spans="1:13" x14ac:dyDescent="0.25">
      <c r="A67" s="18">
        <v>19511</v>
      </c>
      <c r="B67">
        <v>63063</v>
      </c>
      <c r="C67">
        <v>1607</v>
      </c>
      <c r="D67">
        <v>985</v>
      </c>
      <c r="E67">
        <f t="shared" ref="E67:E130" si="68">IF(A67&gt;A$554,1.16*D67,D67)</f>
        <v>985</v>
      </c>
      <c r="F67">
        <f t="shared" ref="F67:F130" si="69">1 - ( (C68-E68)/C67 )</f>
        <v>0.59054138145612944</v>
      </c>
      <c r="G67">
        <f t="shared" ref="G67:G130" si="70">-LN(1-F67)</f>
        <v>0.89291943441219546</v>
      </c>
      <c r="H67">
        <v>2.4666510580498492E-2</v>
      </c>
      <c r="I67">
        <f t="shared" ref="I67:I130" si="71">H67*B67/(H67+G67)</f>
        <v>1695.2571747928878</v>
      </c>
      <c r="J67">
        <f t="shared" ref="J67:J130" si="72">1-EXP(-H67-G67)</f>
        <v>0.60051774987681883</v>
      </c>
      <c r="K67">
        <f t="shared" ref="K67:K130" si="73">( ( (J67*I67) + ( (1-J67)*C67 ) ) - C68 )^2</f>
        <v>2.9275540055494835E-16</v>
      </c>
      <c r="L67">
        <f t="shared" ref="L67:M67" si="74">AVERAGE(G65:G67)</f>
        <v>0.95083694580774891</v>
      </c>
      <c r="M67">
        <f t="shared" si="74"/>
        <v>2.4930963648414146E-2</v>
      </c>
    </row>
    <row r="68" spans="1:13" x14ac:dyDescent="0.25">
      <c r="A68" s="18">
        <v>19541</v>
      </c>
      <c r="B68">
        <v>63057</v>
      </c>
      <c r="C68">
        <v>1660</v>
      </c>
      <c r="D68">
        <v>1002</v>
      </c>
      <c r="E68">
        <f t="shared" si="68"/>
        <v>1002</v>
      </c>
      <c r="F68">
        <f t="shared" si="69"/>
        <v>0.64518072289156625</v>
      </c>
      <c r="G68">
        <f t="shared" si="70"/>
        <v>1.0361466976990021</v>
      </c>
      <c r="H68">
        <v>2.8146774962516125E-2</v>
      </c>
      <c r="I68">
        <f t="shared" si="71"/>
        <v>1667.6332556780067</v>
      </c>
      <c r="J68">
        <f t="shared" si="72"/>
        <v>0.65502849951800668</v>
      </c>
      <c r="K68">
        <f t="shared" si="73"/>
        <v>1.7428674020475882E-16</v>
      </c>
      <c r="L68">
        <f t="shared" ref="L68:M68" si="75">AVERAGE(G66:G68)</f>
        <v>0.95712727246059082</v>
      </c>
      <c r="M68">
        <f t="shared" si="75"/>
        <v>2.5913863236871285E-2</v>
      </c>
    </row>
    <row r="69" spans="1:13" x14ac:dyDescent="0.25">
      <c r="A69" s="18">
        <v>19572</v>
      </c>
      <c r="B69">
        <v>62816</v>
      </c>
      <c r="C69">
        <v>1665</v>
      </c>
      <c r="D69">
        <v>1076</v>
      </c>
      <c r="E69">
        <f t="shared" si="68"/>
        <v>1076</v>
      </c>
      <c r="F69">
        <f t="shared" si="69"/>
        <v>0.60480480480480481</v>
      </c>
      <c r="G69">
        <f t="shared" si="70"/>
        <v>0.92837547108922702</v>
      </c>
      <c r="H69">
        <v>2.9242079774204902E-2</v>
      </c>
      <c r="I69">
        <f t="shared" si="71"/>
        <v>1918.1671027648235</v>
      </c>
      <c r="J69">
        <f t="shared" si="72"/>
        <v>0.61619380367357013</v>
      </c>
      <c r="K69">
        <f t="shared" si="73"/>
        <v>3.1237771819645746E-16</v>
      </c>
      <c r="L69">
        <f t="shared" ref="L69:M69" si="76">AVERAGE(G67:G69)</f>
        <v>0.95248053440014158</v>
      </c>
      <c r="M69">
        <f t="shared" si="76"/>
        <v>2.7351788439073172E-2</v>
      </c>
    </row>
    <row r="70" spans="1:13" x14ac:dyDescent="0.25">
      <c r="A70" s="18">
        <v>19603</v>
      </c>
      <c r="B70">
        <v>62727</v>
      </c>
      <c r="C70">
        <v>1821</v>
      </c>
      <c r="D70">
        <v>1163</v>
      </c>
      <c r="E70">
        <f t="shared" si="68"/>
        <v>1163</v>
      </c>
      <c r="F70">
        <f t="shared" si="69"/>
        <v>0.59802306425041185</v>
      </c>
      <c r="G70">
        <f t="shared" si="70"/>
        <v>0.91136056576629632</v>
      </c>
      <c r="H70">
        <v>3.1127464258009416E-2</v>
      </c>
      <c r="I70">
        <f t="shared" si="71"/>
        <v>2071.678778203478</v>
      </c>
      <c r="J70">
        <f t="shared" si="72"/>
        <v>0.61034285037581903</v>
      </c>
      <c r="K70">
        <f t="shared" si="73"/>
        <v>3.0410656306206927E-16</v>
      </c>
      <c r="L70">
        <f t="shared" ref="L70:M70" si="77">AVERAGE(G68:G70)</f>
        <v>0.95862757818484179</v>
      </c>
      <c r="M70">
        <f t="shared" si="77"/>
        <v>2.9505439664910149E-2</v>
      </c>
    </row>
    <row r="71" spans="1:13" x14ac:dyDescent="0.25">
      <c r="A71" s="18">
        <v>19633</v>
      </c>
      <c r="B71">
        <v>62867</v>
      </c>
      <c r="C71">
        <v>1974</v>
      </c>
      <c r="D71">
        <v>1242</v>
      </c>
      <c r="E71">
        <f t="shared" si="68"/>
        <v>1242</v>
      </c>
      <c r="F71">
        <f t="shared" si="69"/>
        <v>0.54204660587639308</v>
      </c>
      <c r="G71">
        <f t="shared" si="70"/>
        <v>0.78098785960125039</v>
      </c>
      <c r="H71">
        <v>3.1001454801316223E-2</v>
      </c>
      <c r="I71">
        <f t="shared" si="71"/>
        <v>2400.2390480080762</v>
      </c>
      <c r="J71">
        <f t="shared" si="72"/>
        <v>0.55602601668431018</v>
      </c>
      <c r="K71">
        <f t="shared" si="73"/>
        <v>3.7029647041759887E-16</v>
      </c>
      <c r="L71">
        <f t="shared" ref="L71:M71" si="78">AVERAGE(G69:G71)</f>
        <v>0.87357463215225784</v>
      </c>
      <c r="M71">
        <f t="shared" si="78"/>
        <v>3.0456999611176847E-2</v>
      </c>
    </row>
    <row r="72" spans="1:13" x14ac:dyDescent="0.25">
      <c r="A72" s="18">
        <v>19664</v>
      </c>
      <c r="B72">
        <v>62949</v>
      </c>
      <c r="C72">
        <v>2211</v>
      </c>
      <c r="D72">
        <v>1307</v>
      </c>
      <c r="E72">
        <f t="shared" si="68"/>
        <v>1307</v>
      </c>
      <c r="F72">
        <f t="shared" si="69"/>
        <v>0.52193577566711902</v>
      </c>
      <c r="G72">
        <f t="shared" si="70"/>
        <v>0.73801019498720877</v>
      </c>
      <c r="H72">
        <v>4.1253539132733393E-2</v>
      </c>
      <c r="I72">
        <f t="shared" si="71"/>
        <v>3332.4648911054437</v>
      </c>
      <c r="J72">
        <f t="shared" si="72"/>
        <v>0.54125635571086828</v>
      </c>
      <c r="K72">
        <f t="shared" si="73"/>
        <v>3.0339326557432524E-16</v>
      </c>
      <c r="L72">
        <f t="shared" ref="L72:M72" si="79">AVERAGE(G70:G72)</f>
        <v>0.81011954011825182</v>
      </c>
      <c r="M72">
        <f t="shared" si="79"/>
        <v>3.4460819397353008E-2</v>
      </c>
    </row>
    <row r="73" spans="1:13" x14ac:dyDescent="0.25">
      <c r="A73" s="18">
        <v>19694</v>
      </c>
      <c r="B73">
        <v>62795</v>
      </c>
      <c r="C73">
        <v>2818</v>
      </c>
      <c r="D73">
        <v>1761</v>
      </c>
      <c r="E73">
        <f t="shared" si="68"/>
        <v>1761</v>
      </c>
      <c r="F73">
        <f t="shared" si="69"/>
        <v>0.48687012065294533</v>
      </c>
      <c r="G73">
        <f t="shared" si="70"/>
        <v>0.66722628973991549</v>
      </c>
      <c r="H73">
        <v>3.7366254660326823E-2</v>
      </c>
      <c r="I73">
        <f t="shared" si="71"/>
        <v>3330.1714303442122</v>
      </c>
      <c r="J73">
        <f t="shared" si="72"/>
        <v>0.50569005741684903</v>
      </c>
      <c r="K73">
        <f t="shared" si="73"/>
        <v>3.2523851721964002E-16</v>
      </c>
      <c r="L73">
        <f t="shared" ref="L73:M73" si="80">AVERAGE(G71:G73)</f>
        <v>0.72874144810945829</v>
      </c>
      <c r="M73">
        <f t="shared" si="80"/>
        <v>3.654041619812548E-2</v>
      </c>
    </row>
    <row r="74" spans="1:13" x14ac:dyDescent="0.25">
      <c r="A74" s="18">
        <v>19725</v>
      </c>
      <c r="B74">
        <v>63101</v>
      </c>
      <c r="C74">
        <v>3077</v>
      </c>
      <c r="D74">
        <v>1631</v>
      </c>
      <c r="E74">
        <f t="shared" si="68"/>
        <v>1631</v>
      </c>
      <c r="F74">
        <f t="shared" si="69"/>
        <v>0.47188820279493016</v>
      </c>
      <c r="G74">
        <f t="shared" si="70"/>
        <v>0.63844728055820399</v>
      </c>
      <c r="H74">
        <v>3.8553067549837838E-2</v>
      </c>
      <c r="I74">
        <f t="shared" si="71"/>
        <v>3593.4060037943723</v>
      </c>
      <c r="J74">
        <f t="shared" si="72"/>
        <v>0.49186105148664572</v>
      </c>
      <c r="K74">
        <f t="shared" si="73"/>
        <v>4.1277022473477289E-16</v>
      </c>
      <c r="L74">
        <f t="shared" ref="L74:M74" si="81">AVERAGE(G72:G74)</f>
        <v>0.68122792176177605</v>
      </c>
      <c r="M74">
        <f t="shared" si="81"/>
        <v>3.9057620447632689E-2</v>
      </c>
    </row>
    <row r="75" spans="1:13" x14ac:dyDescent="0.25">
      <c r="A75" s="18">
        <v>19756</v>
      </c>
      <c r="B75">
        <v>63994</v>
      </c>
      <c r="C75">
        <v>3331</v>
      </c>
      <c r="D75">
        <v>1706</v>
      </c>
      <c r="E75">
        <f t="shared" si="68"/>
        <v>1706</v>
      </c>
      <c r="F75">
        <f t="shared" si="69"/>
        <v>0.43620534374061848</v>
      </c>
      <c r="G75">
        <f t="shared" si="70"/>
        <v>0.57306517842547156</v>
      </c>
      <c r="H75">
        <v>3.7546232939065727E-2</v>
      </c>
      <c r="I75">
        <f t="shared" si="71"/>
        <v>3934.9635234185475</v>
      </c>
      <c r="J75">
        <f t="shared" si="72"/>
        <v>0.45698124028371978</v>
      </c>
      <c r="K75">
        <f t="shared" si="73"/>
        <v>3.2160742842264558E-16</v>
      </c>
      <c r="L75">
        <f t="shared" ref="L75:M75" si="82">AVERAGE(G73:G75)</f>
        <v>0.62624624957453034</v>
      </c>
      <c r="M75">
        <f t="shared" si="82"/>
        <v>3.7821851716410129E-2</v>
      </c>
    </row>
    <row r="76" spans="1:13" x14ac:dyDescent="0.25">
      <c r="A76" s="18">
        <v>19784</v>
      </c>
      <c r="B76">
        <v>63793</v>
      </c>
      <c r="C76">
        <v>3607</v>
      </c>
      <c r="D76">
        <v>1729</v>
      </c>
      <c r="E76">
        <f t="shared" si="68"/>
        <v>1729</v>
      </c>
      <c r="F76">
        <f t="shared" si="69"/>
        <v>0.43886886609370668</v>
      </c>
      <c r="G76">
        <f t="shared" si="70"/>
        <v>0.57780065049618279</v>
      </c>
      <c r="H76">
        <v>3.7787689495076278E-2</v>
      </c>
      <c r="I76">
        <f t="shared" si="71"/>
        <v>3915.9125008664555</v>
      </c>
      <c r="J76">
        <f t="shared" si="72"/>
        <v>0.45967709179886529</v>
      </c>
      <c r="K76">
        <f t="shared" si="73"/>
        <v>3.4621662922496087E-16</v>
      </c>
      <c r="L76">
        <f t="shared" ref="L76:M76" si="83">AVERAGE(G74:G76)</f>
        <v>0.5964377031599527</v>
      </c>
      <c r="M76">
        <f t="shared" si="83"/>
        <v>3.7962329994659948E-2</v>
      </c>
    </row>
    <row r="77" spans="1:13" x14ac:dyDescent="0.25">
      <c r="A77" s="18">
        <v>19815</v>
      </c>
      <c r="B77">
        <v>63934</v>
      </c>
      <c r="C77">
        <v>3749</v>
      </c>
      <c r="D77">
        <v>1725</v>
      </c>
      <c r="E77">
        <f t="shared" si="68"/>
        <v>1725</v>
      </c>
      <c r="F77">
        <f t="shared" si="69"/>
        <v>0.43344891971192323</v>
      </c>
      <c r="G77">
        <f t="shared" si="70"/>
        <v>0.56818803437408272</v>
      </c>
      <c r="H77">
        <v>3.5791586713842041E-2</v>
      </c>
      <c r="I77">
        <f t="shared" si="71"/>
        <v>3788.7028387496807</v>
      </c>
      <c r="J77">
        <f t="shared" si="72"/>
        <v>0.45336808615519997</v>
      </c>
      <c r="K77">
        <f t="shared" si="73"/>
        <v>3.5611862532412264E-16</v>
      </c>
      <c r="L77">
        <f t="shared" ref="L77:M77" si="84">AVERAGE(G75:G77)</f>
        <v>0.57301795443191239</v>
      </c>
      <c r="M77">
        <f t="shared" si="84"/>
        <v>3.7041836382661349E-2</v>
      </c>
    </row>
    <row r="78" spans="1:13" x14ac:dyDescent="0.25">
      <c r="A78" s="18">
        <v>19845</v>
      </c>
      <c r="B78">
        <v>63675</v>
      </c>
      <c r="C78">
        <v>3767</v>
      </c>
      <c r="D78">
        <v>1643</v>
      </c>
      <c r="E78">
        <f t="shared" si="68"/>
        <v>1643</v>
      </c>
      <c r="F78">
        <f t="shared" si="69"/>
        <v>0.4749137244491638</v>
      </c>
      <c r="G78">
        <f t="shared" si="70"/>
        <v>0.64419269550938363</v>
      </c>
      <c r="H78">
        <v>3.5537986713287166E-2</v>
      </c>
      <c r="I78">
        <f t="shared" si="71"/>
        <v>3329.0851261401058</v>
      </c>
      <c r="J78">
        <f t="shared" si="72"/>
        <v>0.49324654829743142</v>
      </c>
      <c r="K78">
        <f t="shared" si="73"/>
        <v>4.2032501560929603E-16</v>
      </c>
      <c r="L78">
        <f t="shared" ref="L78:M78" si="85">AVERAGE(G76:G78)</f>
        <v>0.59672712679321638</v>
      </c>
      <c r="M78">
        <f t="shared" si="85"/>
        <v>3.6372420974068502E-2</v>
      </c>
    </row>
    <row r="79" spans="1:13" x14ac:dyDescent="0.25">
      <c r="A79" s="18">
        <v>19876</v>
      </c>
      <c r="B79">
        <v>63343</v>
      </c>
      <c r="C79">
        <v>3551</v>
      </c>
      <c r="D79">
        <v>1573</v>
      </c>
      <c r="E79">
        <f t="shared" si="68"/>
        <v>1573</v>
      </c>
      <c r="F79">
        <f t="shared" si="69"/>
        <v>0.42664038299070683</v>
      </c>
      <c r="G79">
        <f t="shared" si="70"/>
        <v>0.55624215527267451</v>
      </c>
      <c r="H79">
        <v>3.5427791337288739E-2</v>
      </c>
      <c r="I79">
        <f t="shared" si="71"/>
        <v>3792.8284164773081</v>
      </c>
      <c r="J79">
        <f t="shared" si="72"/>
        <v>0.44659763973325939</v>
      </c>
      <c r="K79">
        <f t="shared" si="73"/>
        <v>3.6854838962909056E-16</v>
      </c>
      <c r="L79">
        <f t="shared" ref="L79:M79" si="86">AVERAGE(G77:G79)</f>
        <v>0.58954096171871362</v>
      </c>
      <c r="M79">
        <f t="shared" si="86"/>
        <v>3.5585788254805982E-2</v>
      </c>
    </row>
    <row r="80" spans="1:13" x14ac:dyDescent="0.25">
      <c r="A80" s="18">
        <v>19906</v>
      </c>
      <c r="B80">
        <v>63302</v>
      </c>
      <c r="C80">
        <v>3659</v>
      </c>
      <c r="D80">
        <v>1623</v>
      </c>
      <c r="E80">
        <f t="shared" si="68"/>
        <v>1623</v>
      </c>
      <c r="F80">
        <f t="shared" si="69"/>
        <v>0.3804318119704837</v>
      </c>
      <c r="G80">
        <f t="shared" si="70"/>
        <v>0.47873251451167775</v>
      </c>
      <c r="H80">
        <v>3.354753349243654E-2</v>
      </c>
      <c r="I80">
        <f t="shared" si="71"/>
        <v>4145.4395372453828</v>
      </c>
      <c r="J80">
        <f t="shared" si="72"/>
        <v>0.40087202024546464</v>
      </c>
      <c r="K80">
        <f t="shared" si="73"/>
        <v>5.2100749175890799E-16</v>
      </c>
      <c r="L80">
        <f t="shared" ref="L80:M80" si="87">AVERAGE(G78:G80)</f>
        <v>0.55972245509791196</v>
      </c>
      <c r="M80">
        <f t="shared" si="87"/>
        <v>3.4837770514337486E-2</v>
      </c>
    </row>
    <row r="81" spans="1:13" x14ac:dyDescent="0.25">
      <c r="A81" s="18">
        <v>19937</v>
      </c>
      <c r="B81">
        <v>63707</v>
      </c>
      <c r="C81">
        <v>3854</v>
      </c>
      <c r="D81">
        <v>1587</v>
      </c>
      <c r="E81">
        <f t="shared" si="68"/>
        <v>1587</v>
      </c>
      <c r="F81">
        <f t="shared" si="69"/>
        <v>0.40659055526725485</v>
      </c>
      <c r="G81">
        <f t="shared" si="70"/>
        <v>0.52187065495153062</v>
      </c>
      <c r="H81">
        <v>3.5194568072560529E-2</v>
      </c>
      <c r="I81">
        <f t="shared" si="71"/>
        <v>4024.9153160682026</v>
      </c>
      <c r="J81">
        <f t="shared" si="72"/>
        <v>0.42711210264618349</v>
      </c>
      <c r="K81">
        <f t="shared" si="73"/>
        <v>4.1319532753401977E-16</v>
      </c>
      <c r="L81">
        <f t="shared" ref="L81:M81" si="88">AVERAGE(G79:G81)</f>
        <v>0.51894844157862763</v>
      </c>
      <c r="M81">
        <f t="shared" si="88"/>
        <v>3.472329763409527E-2</v>
      </c>
    </row>
    <row r="82" spans="1:13" x14ac:dyDescent="0.25">
      <c r="A82" s="18">
        <v>19968</v>
      </c>
      <c r="B82">
        <v>64209</v>
      </c>
      <c r="C82">
        <v>3927</v>
      </c>
      <c r="D82">
        <v>1640</v>
      </c>
      <c r="E82">
        <f t="shared" si="68"/>
        <v>1640</v>
      </c>
      <c r="F82">
        <f t="shared" si="69"/>
        <v>0.45734657499363385</v>
      </c>
      <c r="G82">
        <f t="shared" si="70"/>
        <v>0.61128442247939252</v>
      </c>
      <c r="H82">
        <v>3.3945764869112563E-2</v>
      </c>
      <c r="I82">
        <f t="shared" si="71"/>
        <v>3378.0558616417902</v>
      </c>
      <c r="J82">
        <f t="shared" si="72"/>
        <v>0.47545821467395988</v>
      </c>
      <c r="K82">
        <f t="shared" si="73"/>
        <v>4.1902078752977448E-16</v>
      </c>
      <c r="L82">
        <f t="shared" ref="L82:M82" si="89">AVERAGE(G80:G82)</f>
        <v>0.53729586398086693</v>
      </c>
      <c r="M82">
        <f t="shared" si="89"/>
        <v>3.4229288811369878E-2</v>
      </c>
    </row>
    <row r="83" spans="1:13" x14ac:dyDescent="0.25">
      <c r="A83" s="18">
        <v>19998</v>
      </c>
      <c r="B83">
        <v>63936</v>
      </c>
      <c r="C83">
        <v>3666</v>
      </c>
      <c r="D83">
        <v>1535</v>
      </c>
      <c r="E83">
        <f t="shared" si="68"/>
        <v>1535</v>
      </c>
      <c r="F83">
        <f t="shared" si="69"/>
        <v>0.46944899072558643</v>
      </c>
      <c r="G83">
        <f t="shared" si="70"/>
        <v>0.63383917234710363</v>
      </c>
      <c r="H83">
        <v>3.2553383150439298E-2</v>
      </c>
      <c r="I83">
        <f t="shared" si="71"/>
        <v>3123.2838481404087</v>
      </c>
      <c r="J83">
        <f t="shared" si="72"/>
        <v>0.48644212831060551</v>
      </c>
      <c r="K83">
        <f t="shared" si="73"/>
        <v>4.3590593190241021E-16</v>
      </c>
      <c r="L83">
        <f t="shared" ref="L83:M83" si="90">AVERAGE(G81:G83)</f>
        <v>0.58899808325934222</v>
      </c>
      <c r="M83">
        <f t="shared" si="90"/>
        <v>3.3897905364037466E-2</v>
      </c>
    </row>
    <row r="84" spans="1:13" x14ac:dyDescent="0.25">
      <c r="A84" s="18">
        <v>20029</v>
      </c>
      <c r="B84">
        <v>63759</v>
      </c>
      <c r="C84">
        <v>3402</v>
      </c>
      <c r="D84">
        <v>1457</v>
      </c>
      <c r="E84">
        <f t="shared" si="68"/>
        <v>1457</v>
      </c>
      <c r="F84">
        <f t="shared" si="69"/>
        <v>0.47619047619047616</v>
      </c>
      <c r="G84">
        <f t="shared" si="70"/>
        <v>0.64662716492505246</v>
      </c>
      <c r="H84">
        <v>3.1746328373994236E-2</v>
      </c>
      <c r="I84">
        <f t="shared" si="71"/>
        <v>2983.7754139742165</v>
      </c>
      <c r="J84">
        <f t="shared" si="72"/>
        <v>0.49255832120431919</v>
      </c>
      <c r="K84">
        <f t="shared" si="73"/>
        <v>4.3132276318345092E-16</v>
      </c>
      <c r="L84">
        <f t="shared" ref="L84:M84" si="91">AVERAGE(G82:G84)</f>
        <v>0.6305835865838495</v>
      </c>
      <c r="M84">
        <f t="shared" si="91"/>
        <v>3.2748492131182035E-2</v>
      </c>
    </row>
    <row r="85" spans="1:13" x14ac:dyDescent="0.25">
      <c r="A85" s="18">
        <v>20059</v>
      </c>
      <c r="B85">
        <v>63312</v>
      </c>
      <c r="C85">
        <v>3196</v>
      </c>
      <c r="D85">
        <v>1414</v>
      </c>
      <c r="E85">
        <f t="shared" si="68"/>
        <v>1414</v>
      </c>
      <c r="F85">
        <f t="shared" si="69"/>
        <v>0.44962453066332919</v>
      </c>
      <c r="G85">
        <f t="shared" si="70"/>
        <v>0.59715456214860718</v>
      </c>
      <c r="H85">
        <v>3.0873410093274569E-2</v>
      </c>
      <c r="I85">
        <f t="shared" si="71"/>
        <v>3112.3730569640506</v>
      </c>
      <c r="J85">
        <f t="shared" si="72"/>
        <v>0.46635687690030281</v>
      </c>
      <c r="K85">
        <f t="shared" si="73"/>
        <v>4.4248166725442222E-16</v>
      </c>
      <c r="L85">
        <f t="shared" ref="L85:M85" si="92">AVERAGE(G83:G85)</f>
        <v>0.62587363314025446</v>
      </c>
      <c r="M85">
        <f t="shared" si="92"/>
        <v>3.1724373872569371E-2</v>
      </c>
    </row>
    <row r="86" spans="1:13" x14ac:dyDescent="0.25">
      <c r="A86" s="18">
        <v>20090</v>
      </c>
      <c r="B86">
        <v>63910</v>
      </c>
      <c r="C86">
        <v>3157</v>
      </c>
      <c r="D86">
        <v>1398</v>
      </c>
      <c r="E86">
        <f t="shared" si="68"/>
        <v>1398</v>
      </c>
      <c r="F86">
        <f t="shared" si="69"/>
        <v>0.47006651884700668</v>
      </c>
      <c r="G86">
        <f t="shared" si="70"/>
        <v>0.63500378757116771</v>
      </c>
      <c r="H86">
        <v>2.8763361127426692E-2</v>
      </c>
      <c r="I86">
        <f t="shared" si="71"/>
        <v>2769.4446964692524</v>
      </c>
      <c r="J86">
        <f t="shared" si="72"/>
        <v>0.48509205851688642</v>
      </c>
      <c r="K86">
        <f t="shared" si="73"/>
        <v>4.4660448742182406E-16</v>
      </c>
      <c r="L86">
        <f t="shared" ref="L86:M86" si="93">AVERAGE(G84:G86)</f>
        <v>0.62626183821494241</v>
      </c>
      <c r="M86">
        <f t="shared" si="93"/>
        <v>3.0461033198231832E-2</v>
      </c>
    </row>
    <row r="87" spans="1:13" x14ac:dyDescent="0.25">
      <c r="A87" s="18">
        <v>20121</v>
      </c>
      <c r="B87">
        <v>63696</v>
      </c>
      <c r="C87">
        <v>2969</v>
      </c>
      <c r="D87">
        <v>1296</v>
      </c>
      <c r="E87">
        <f t="shared" si="68"/>
        <v>1296</v>
      </c>
      <c r="F87">
        <f t="shared" si="69"/>
        <v>0.41596497137083188</v>
      </c>
      <c r="G87">
        <f t="shared" si="70"/>
        <v>0.53779431742327255</v>
      </c>
      <c r="H87">
        <v>2.5194972538159468E-2</v>
      </c>
      <c r="I87">
        <f t="shared" si="71"/>
        <v>2850.5319717548173</v>
      </c>
      <c r="J87">
        <f t="shared" si="72"/>
        <v>0.43049589609220329</v>
      </c>
      <c r="K87">
        <f t="shared" si="73"/>
        <v>4.9789420180625632E-16</v>
      </c>
      <c r="L87">
        <f t="shared" ref="L87:M87" si="94">AVERAGE(G85:G87)</f>
        <v>0.58998422238101578</v>
      </c>
      <c r="M87">
        <f t="shared" si="94"/>
        <v>2.8277247919620243E-2</v>
      </c>
    </row>
    <row r="88" spans="1:13" x14ac:dyDescent="0.25">
      <c r="A88" s="18">
        <v>20149</v>
      </c>
      <c r="B88">
        <v>63882</v>
      </c>
      <c r="C88">
        <v>2918</v>
      </c>
      <c r="D88">
        <v>1184</v>
      </c>
      <c r="E88">
        <f t="shared" si="68"/>
        <v>1184</v>
      </c>
      <c r="F88">
        <f t="shared" si="69"/>
        <v>0.40095956134338584</v>
      </c>
      <c r="G88">
        <f t="shared" si="70"/>
        <v>0.51242617286725012</v>
      </c>
      <c r="H88">
        <v>2.7307541466877968E-2</v>
      </c>
      <c r="I88">
        <f t="shared" si="71"/>
        <v>3232.0759620125768</v>
      </c>
      <c r="J88">
        <f t="shared" si="72"/>
        <v>0.41709654945698438</v>
      </c>
      <c r="K88">
        <f t="shared" si="73"/>
        <v>5.211528201547032E-16</v>
      </c>
      <c r="L88">
        <f t="shared" ref="L88:M88" si="95">AVERAGE(G86:G88)</f>
        <v>0.56174142595389676</v>
      </c>
      <c r="M88">
        <f t="shared" si="95"/>
        <v>2.7088625044154709E-2</v>
      </c>
    </row>
    <row r="89" spans="1:13" x14ac:dyDescent="0.25">
      <c r="A89" s="18">
        <v>20180</v>
      </c>
      <c r="B89">
        <v>64564</v>
      </c>
      <c r="C89">
        <v>3049</v>
      </c>
      <c r="D89">
        <v>1301</v>
      </c>
      <c r="E89">
        <f t="shared" si="68"/>
        <v>1301</v>
      </c>
      <c r="F89">
        <f t="shared" si="69"/>
        <v>0.52377828796326664</v>
      </c>
      <c r="G89">
        <f t="shared" si="70"/>
        <v>0.74187175160351337</v>
      </c>
      <c r="H89">
        <v>2.9726390804482271E-2</v>
      </c>
      <c r="I89">
        <f t="shared" si="71"/>
        <v>2487.3759933000911</v>
      </c>
      <c r="J89">
        <f t="shared" si="72"/>
        <v>0.53772630154217116</v>
      </c>
      <c r="K89">
        <f t="shared" si="73"/>
        <v>3.9850137467786965E-16</v>
      </c>
      <c r="L89">
        <f t="shared" ref="L89:M89" si="96">AVERAGE(G87:G89)</f>
        <v>0.59736408063134538</v>
      </c>
      <c r="M89">
        <f t="shared" si="96"/>
        <v>2.7409634936506569E-2</v>
      </c>
    </row>
    <row r="90" spans="1:13" x14ac:dyDescent="0.25">
      <c r="A90" s="18">
        <v>20210</v>
      </c>
      <c r="B90">
        <v>64381</v>
      </c>
      <c r="C90">
        <v>2747</v>
      </c>
      <c r="D90">
        <v>1295</v>
      </c>
      <c r="E90">
        <f t="shared" si="68"/>
        <v>1295</v>
      </c>
      <c r="F90">
        <f t="shared" si="69"/>
        <v>0.49180924645067348</v>
      </c>
      <c r="G90">
        <f t="shared" si="70"/>
        <v>0.6768984027729561</v>
      </c>
      <c r="H90">
        <v>2.912850318695813E-2</v>
      </c>
      <c r="I90">
        <f t="shared" si="71"/>
        <v>2656.1624604516496</v>
      </c>
      <c r="J90">
        <f t="shared" si="72"/>
        <v>0.50639856834516017</v>
      </c>
      <c r="K90">
        <f t="shared" si="73"/>
        <v>4.2924751178316257E-16</v>
      </c>
      <c r="L90">
        <f t="shared" ref="L90:M90" si="97">AVERAGE(G88:G90)</f>
        <v>0.6437321090812399</v>
      </c>
      <c r="M90">
        <f t="shared" si="97"/>
        <v>2.8720811819439456E-2</v>
      </c>
    </row>
    <row r="91" spans="1:13" x14ac:dyDescent="0.25">
      <c r="A91" s="18">
        <v>20241</v>
      </c>
      <c r="B91">
        <v>64482</v>
      </c>
      <c r="C91">
        <v>2701</v>
      </c>
      <c r="D91">
        <v>1305</v>
      </c>
      <c r="E91">
        <f t="shared" si="68"/>
        <v>1305</v>
      </c>
      <c r="F91">
        <f t="shared" si="69"/>
        <v>0.50018511662347276</v>
      </c>
      <c r="G91">
        <f t="shared" si="70"/>
        <v>0.69351748236014044</v>
      </c>
      <c r="H91">
        <v>2.8751534974312192E-2</v>
      </c>
      <c r="I91">
        <f t="shared" si="71"/>
        <v>2566.850347611005</v>
      </c>
      <c r="J91">
        <f t="shared" si="72"/>
        <v>0.51435094128623593</v>
      </c>
      <c r="K91">
        <f t="shared" si="73"/>
        <v>4.2021314522171252E-16</v>
      </c>
      <c r="L91">
        <f t="shared" ref="L91:M91" si="98">AVERAGE(G89:G91)</f>
        <v>0.70409587891220327</v>
      </c>
      <c r="M91">
        <f t="shared" si="98"/>
        <v>2.9202142988584198E-2</v>
      </c>
    </row>
    <row r="92" spans="1:13" x14ac:dyDescent="0.25">
      <c r="A92" s="18">
        <v>20271</v>
      </c>
      <c r="B92">
        <v>65145</v>
      </c>
      <c r="C92">
        <v>2632</v>
      </c>
      <c r="D92">
        <v>1282</v>
      </c>
      <c r="E92">
        <f t="shared" si="68"/>
        <v>1282</v>
      </c>
      <c r="F92">
        <f t="shared" si="69"/>
        <v>0.49126139817629177</v>
      </c>
      <c r="G92">
        <f t="shared" si="70"/>
        <v>0.67582094675403526</v>
      </c>
      <c r="H92">
        <v>3.1846728489887025E-2</v>
      </c>
      <c r="I92">
        <f t="shared" si="71"/>
        <v>2931.6799396815577</v>
      </c>
      <c r="J92">
        <f t="shared" si="72"/>
        <v>0.50720779035790664</v>
      </c>
      <c r="K92">
        <f t="shared" si="73"/>
        <v>4.1916973959703813E-16</v>
      </c>
      <c r="L92">
        <f t="shared" ref="L92:M92" si="99">AVERAGE(G90:G92)</f>
        <v>0.68207894396237734</v>
      </c>
      <c r="M92">
        <f t="shared" si="99"/>
        <v>2.990892221705245E-2</v>
      </c>
    </row>
    <row r="93" spans="1:13" x14ac:dyDescent="0.25">
      <c r="A93" s="18">
        <v>20302</v>
      </c>
      <c r="B93">
        <v>65581</v>
      </c>
      <c r="C93">
        <v>2784</v>
      </c>
      <c r="D93">
        <v>1445</v>
      </c>
      <c r="E93">
        <f t="shared" si="68"/>
        <v>1445</v>
      </c>
      <c r="F93">
        <f t="shared" si="69"/>
        <v>0.52550287356321834</v>
      </c>
      <c r="G93">
        <f t="shared" si="70"/>
        <v>0.7454997169319848</v>
      </c>
      <c r="H93">
        <v>3.0623571671931478E-2</v>
      </c>
      <c r="I93">
        <f t="shared" si="71"/>
        <v>2587.6358605724799</v>
      </c>
      <c r="J93">
        <f t="shared" si="72"/>
        <v>0.5398134317640263</v>
      </c>
      <c r="K93">
        <f t="shared" si="73"/>
        <v>4.0969017036784163E-16</v>
      </c>
      <c r="L93">
        <f t="shared" ref="L93:M93" si="100">AVERAGE(G91:G93)</f>
        <v>0.70494604868205357</v>
      </c>
      <c r="M93">
        <f t="shared" si="100"/>
        <v>3.0407278378710229E-2</v>
      </c>
    </row>
    <row r="94" spans="1:13" x14ac:dyDescent="0.25">
      <c r="A94" s="18">
        <v>20333</v>
      </c>
      <c r="B94">
        <v>65628</v>
      </c>
      <c r="C94">
        <v>2678</v>
      </c>
      <c r="D94">
        <v>1357</v>
      </c>
      <c r="E94">
        <f t="shared" si="68"/>
        <v>1357</v>
      </c>
      <c r="F94">
        <f t="shared" si="69"/>
        <v>0.47684839432412252</v>
      </c>
      <c r="G94">
        <f t="shared" si="70"/>
        <v>0.64788397991411084</v>
      </c>
      <c r="H94">
        <v>3.0888190471912838E-2</v>
      </c>
      <c r="I94">
        <f t="shared" si="71"/>
        <v>2986.466229365074</v>
      </c>
      <c r="J94">
        <f t="shared" si="72"/>
        <v>0.492760586252733</v>
      </c>
      <c r="K94">
        <f t="shared" si="73"/>
        <v>4.4537523085712126E-16</v>
      </c>
      <c r="L94">
        <f t="shared" ref="L94:M94" si="101">AVERAGE(G92:G94)</f>
        <v>0.68973488120004367</v>
      </c>
      <c r="M94">
        <f t="shared" si="101"/>
        <v>3.1119496877910446E-2</v>
      </c>
    </row>
    <row r="95" spans="1:13" x14ac:dyDescent="0.25">
      <c r="A95" s="18">
        <v>20363</v>
      </c>
      <c r="B95">
        <v>65821</v>
      </c>
      <c r="C95">
        <v>2830</v>
      </c>
      <c r="D95">
        <v>1429</v>
      </c>
      <c r="E95">
        <f t="shared" si="68"/>
        <v>1429</v>
      </c>
      <c r="F95">
        <f t="shared" si="69"/>
        <v>0.50742049469964656</v>
      </c>
      <c r="G95">
        <f t="shared" si="70"/>
        <v>0.70809939931681398</v>
      </c>
      <c r="H95">
        <v>3.0690063319987162E-2</v>
      </c>
      <c r="I95">
        <f t="shared" si="71"/>
        <v>2734.2710744345841</v>
      </c>
      <c r="J95">
        <f t="shared" si="72"/>
        <v>0.52230817053508738</v>
      </c>
      <c r="K95">
        <f t="shared" si="73"/>
        <v>4.2593751878352957E-16</v>
      </c>
      <c r="L95">
        <f t="shared" ref="L95:M95" si="102">AVERAGE(G93:G95)</f>
        <v>0.70049436538763654</v>
      </c>
      <c r="M95">
        <f t="shared" si="102"/>
        <v>3.0733941821277158E-2</v>
      </c>
    </row>
    <row r="96" spans="1:13" x14ac:dyDescent="0.25">
      <c r="A96" s="18">
        <v>20394</v>
      </c>
      <c r="B96">
        <v>66037</v>
      </c>
      <c r="C96">
        <v>2780</v>
      </c>
      <c r="D96">
        <v>1386</v>
      </c>
      <c r="E96">
        <f t="shared" si="68"/>
        <v>1386</v>
      </c>
      <c r="F96">
        <f t="shared" si="69"/>
        <v>0.48812949640287773</v>
      </c>
      <c r="G96">
        <f t="shared" si="70"/>
        <v>0.66968360859483045</v>
      </c>
      <c r="H96">
        <v>2.9013643967958313E-2</v>
      </c>
      <c r="I96">
        <f t="shared" si="71"/>
        <v>2742.2091609554213</v>
      </c>
      <c r="J96">
        <f t="shared" si="72"/>
        <v>0.50276734940357759</v>
      </c>
      <c r="K96">
        <f t="shared" si="73"/>
        <v>4.7609875780755065E-16</v>
      </c>
      <c r="L96">
        <f t="shared" ref="L96:M96" si="103">AVERAGE(G94:G96)</f>
        <v>0.67522232927525172</v>
      </c>
      <c r="M96">
        <f t="shared" si="103"/>
        <v>3.0197299253286108E-2</v>
      </c>
    </row>
    <row r="97" spans="1:13" x14ac:dyDescent="0.25">
      <c r="A97" s="18">
        <v>20424</v>
      </c>
      <c r="B97">
        <v>66445</v>
      </c>
      <c r="C97">
        <v>2761</v>
      </c>
      <c r="D97">
        <v>1338</v>
      </c>
      <c r="E97">
        <f t="shared" si="68"/>
        <v>1338</v>
      </c>
      <c r="F97">
        <f t="shared" si="69"/>
        <v>0.51829047446577325</v>
      </c>
      <c r="G97">
        <f t="shared" si="70"/>
        <v>0.73041399071435498</v>
      </c>
      <c r="H97">
        <v>2.9537194264306305E-2</v>
      </c>
      <c r="I97">
        <f t="shared" si="71"/>
        <v>2582.5328148503909</v>
      </c>
      <c r="J97">
        <f t="shared" si="72"/>
        <v>0.53231074328626526</v>
      </c>
      <c r="K97">
        <f t="shared" si="73"/>
        <v>4.3279733752959918E-16</v>
      </c>
      <c r="L97">
        <f t="shared" ref="L97:M97" si="104">AVERAGE(G95:G97)</f>
        <v>0.7027323328753331</v>
      </c>
      <c r="M97">
        <f t="shared" si="104"/>
        <v>2.9746967184083928E-2</v>
      </c>
    </row>
    <row r="98" spans="1:13" x14ac:dyDescent="0.25">
      <c r="A98" s="18">
        <v>20455</v>
      </c>
      <c r="B98">
        <v>66419</v>
      </c>
      <c r="C98">
        <v>2666</v>
      </c>
      <c r="D98">
        <v>1336</v>
      </c>
      <c r="E98">
        <f t="shared" si="68"/>
        <v>1336</v>
      </c>
      <c r="F98">
        <f t="shared" si="69"/>
        <v>0.50600150037509373</v>
      </c>
      <c r="G98">
        <f t="shared" si="70"/>
        <v>0.70522279899537288</v>
      </c>
      <c r="H98">
        <v>2.8162705255953449E-2</v>
      </c>
      <c r="I98">
        <f t="shared" si="71"/>
        <v>2550.5531668569097</v>
      </c>
      <c r="J98">
        <f t="shared" si="72"/>
        <v>0.51971975622503819</v>
      </c>
      <c r="K98">
        <f t="shared" si="73"/>
        <v>4.8051451509669657E-16</v>
      </c>
      <c r="L98">
        <f t="shared" ref="L98:M98" si="105">AVERAGE(G96:G98)</f>
        <v>0.70177346610151947</v>
      </c>
      <c r="M98">
        <f t="shared" si="105"/>
        <v>2.8904514496072689E-2</v>
      </c>
    </row>
    <row r="99" spans="1:13" x14ac:dyDescent="0.25">
      <c r="A99" s="18">
        <v>20486</v>
      </c>
      <c r="B99">
        <v>66124</v>
      </c>
      <c r="C99">
        <v>2606</v>
      </c>
      <c r="D99">
        <v>1289</v>
      </c>
      <c r="E99">
        <f t="shared" si="68"/>
        <v>1289</v>
      </c>
      <c r="F99">
        <f t="shared" si="69"/>
        <v>0.51573292402148885</v>
      </c>
      <c r="G99">
        <f t="shared" si="70"/>
        <v>0.72511871458363186</v>
      </c>
      <c r="H99">
        <v>3.3298847004021651E-2</v>
      </c>
      <c r="I99">
        <f t="shared" si="71"/>
        <v>2903.2199026148874</v>
      </c>
      <c r="J99">
        <f t="shared" si="72"/>
        <v>0.53159293381844153</v>
      </c>
      <c r="K99">
        <f t="shared" si="73"/>
        <v>4.112564213480743E-16</v>
      </c>
      <c r="L99">
        <f t="shared" ref="L99:M99" si="106">AVERAGE(G97:G99)</f>
        <v>0.72025183476445331</v>
      </c>
      <c r="M99">
        <f t="shared" si="106"/>
        <v>3.0332915508093802E-2</v>
      </c>
    </row>
    <row r="100" spans="1:13" x14ac:dyDescent="0.25">
      <c r="A100" s="18">
        <v>20515</v>
      </c>
      <c r="B100">
        <v>66175</v>
      </c>
      <c r="C100">
        <v>2764</v>
      </c>
      <c r="D100">
        <v>1502</v>
      </c>
      <c r="E100">
        <f t="shared" si="68"/>
        <v>1502</v>
      </c>
      <c r="F100">
        <f t="shared" si="69"/>
        <v>0.53075253256150501</v>
      </c>
      <c r="G100">
        <f t="shared" si="70"/>
        <v>0.75662500057111648</v>
      </c>
      <c r="H100">
        <v>3.0383179061617919E-2</v>
      </c>
      <c r="I100">
        <f t="shared" si="71"/>
        <v>2554.7471124643666</v>
      </c>
      <c r="J100">
        <f t="shared" si="72"/>
        <v>0.54479534940847296</v>
      </c>
      <c r="K100">
        <f t="shared" si="73"/>
        <v>4.1179147299434172E-16</v>
      </c>
      <c r="L100">
        <f t="shared" ref="L100:M100" si="107">AVERAGE(G98:G100)</f>
        <v>0.72898883805004033</v>
      </c>
      <c r="M100">
        <f t="shared" si="107"/>
        <v>3.0614910440531006E-2</v>
      </c>
    </row>
    <row r="101" spans="1:13" x14ac:dyDescent="0.25">
      <c r="A101" s="18">
        <v>20546</v>
      </c>
      <c r="B101">
        <v>66264</v>
      </c>
      <c r="C101">
        <v>2650</v>
      </c>
      <c r="D101">
        <v>1353</v>
      </c>
      <c r="E101">
        <f t="shared" si="68"/>
        <v>1353</v>
      </c>
      <c r="F101">
        <f t="shared" si="69"/>
        <v>0.48</v>
      </c>
      <c r="G101">
        <f t="shared" si="70"/>
        <v>0.65392646740666394</v>
      </c>
      <c r="H101">
        <v>3.1824069558118964E-2</v>
      </c>
      <c r="I101">
        <f t="shared" si="71"/>
        <v>3075.1563892796385</v>
      </c>
      <c r="J101">
        <f t="shared" si="72"/>
        <v>0.49628796683311094</v>
      </c>
      <c r="K101">
        <f t="shared" si="73"/>
        <v>4.7083464904525402E-16</v>
      </c>
      <c r="L101">
        <f t="shared" ref="L101:M101" si="108">AVERAGE(G99:G101)</f>
        <v>0.71189006085380413</v>
      </c>
      <c r="M101">
        <f t="shared" si="108"/>
        <v>3.1835365207919512E-2</v>
      </c>
    </row>
    <row r="102" spans="1:13" x14ac:dyDescent="0.25">
      <c r="A102" s="18">
        <v>20576</v>
      </c>
      <c r="B102">
        <v>66722</v>
      </c>
      <c r="C102">
        <v>2861</v>
      </c>
      <c r="D102">
        <v>1483</v>
      </c>
      <c r="E102">
        <f t="shared" si="68"/>
        <v>1483</v>
      </c>
      <c r="F102">
        <f t="shared" si="69"/>
        <v>0.5186997553303041</v>
      </c>
      <c r="G102">
        <f t="shared" si="70"/>
        <v>0.73126399432145539</v>
      </c>
      <c r="H102">
        <v>3.3231337677941473E-2</v>
      </c>
      <c r="I102">
        <f t="shared" si="71"/>
        <v>2900.2941152678745</v>
      </c>
      <c r="J102">
        <f t="shared" si="72"/>
        <v>0.53443117061325851</v>
      </c>
      <c r="K102">
        <f t="shared" si="73"/>
        <v>4.3357344325484467E-16</v>
      </c>
      <c r="L102">
        <f t="shared" ref="L102:M102" si="109">AVERAGE(G100:G102)</f>
        <v>0.71393848743307853</v>
      </c>
      <c r="M102">
        <f t="shared" si="109"/>
        <v>3.1812862099226118E-2</v>
      </c>
    </row>
    <row r="103" spans="1:13" x14ac:dyDescent="0.25">
      <c r="A103" s="18">
        <v>20607</v>
      </c>
      <c r="B103">
        <v>66702</v>
      </c>
      <c r="C103">
        <v>2882</v>
      </c>
      <c r="D103">
        <v>1505</v>
      </c>
      <c r="E103">
        <f t="shared" si="68"/>
        <v>1505</v>
      </c>
      <c r="F103">
        <f t="shared" si="69"/>
        <v>0.4854267869535045</v>
      </c>
      <c r="G103">
        <f t="shared" si="70"/>
        <v>0.66441743442153522</v>
      </c>
      <c r="H103">
        <v>3.1526352794215513E-2</v>
      </c>
      <c r="I103">
        <f t="shared" si="71"/>
        <v>3021.6101109152492</v>
      </c>
      <c r="J103">
        <f t="shared" si="72"/>
        <v>0.50139634989712278</v>
      </c>
      <c r="K103">
        <f t="shared" si="73"/>
        <v>4.6823324873683601E-16</v>
      </c>
      <c r="L103">
        <f t="shared" ref="L103:M103" si="110">AVERAGE(G101:G103)</f>
        <v>0.68320263204988496</v>
      </c>
      <c r="M103">
        <f t="shared" si="110"/>
        <v>3.2193920010091977E-2</v>
      </c>
    </row>
    <row r="104" spans="1:13" x14ac:dyDescent="0.25">
      <c r="A104" s="18">
        <v>20637</v>
      </c>
      <c r="B104">
        <v>66752</v>
      </c>
      <c r="C104">
        <v>2952</v>
      </c>
      <c r="D104">
        <v>1469</v>
      </c>
      <c r="E104">
        <f t="shared" si="68"/>
        <v>1469</v>
      </c>
      <c r="F104">
        <f t="shared" si="69"/>
        <v>0.55115176151761514</v>
      </c>
      <c r="G104">
        <f t="shared" si="70"/>
        <v>0.8010704473000404</v>
      </c>
      <c r="H104">
        <v>3.1269202150017113E-2</v>
      </c>
      <c r="I104">
        <f t="shared" si="71"/>
        <v>2507.7284054616989</v>
      </c>
      <c r="J104">
        <f t="shared" si="72"/>
        <v>0.56496972362354092</v>
      </c>
      <c r="K104">
        <f t="shared" si="73"/>
        <v>3.9625323673929343E-16</v>
      </c>
      <c r="L104">
        <f t="shared" ref="L104:M104" si="111">AVERAGE(G102:G104)</f>
        <v>0.73225062534767693</v>
      </c>
      <c r="M104">
        <f t="shared" si="111"/>
        <v>3.2008964207391362E-2</v>
      </c>
    </row>
    <row r="105" spans="1:13" x14ac:dyDescent="0.25">
      <c r="A105" s="18">
        <v>20668</v>
      </c>
      <c r="B105">
        <v>66673</v>
      </c>
      <c r="C105">
        <v>2701</v>
      </c>
      <c r="D105">
        <v>1376</v>
      </c>
      <c r="E105">
        <f t="shared" si="68"/>
        <v>1376</v>
      </c>
      <c r="F105">
        <f t="shared" si="69"/>
        <v>0.5264716771566087</v>
      </c>
      <c r="G105">
        <f t="shared" si="70"/>
        <v>0.747543552213773</v>
      </c>
      <c r="H105">
        <v>3.0078172251610556E-2</v>
      </c>
      <c r="I105">
        <f t="shared" si="71"/>
        <v>2578.8914010990993</v>
      </c>
      <c r="J105">
        <f t="shared" si="72"/>
        <v>0.54050247544802721</v>
      </c>
      <c r="K105">
        <f t="shared" si="73"/>
        <v>4.2323887181357737E-16</v>
      </c>
      <c r="L105">
        <f t="shared" ref="L105:M105" si="112">AVERAGE(G103:G105)</f>
        <v>0.73767714464511636</v>
      </c>
      <c r="M105">
        <f t="shared" si="112"/>
        <v>3.0957909065281061E-2</v>
      </c>
    </row>
    <row r="106" spans="1:13" x14ac:dyDescent="0.25">
      <c r="A106" s="18">
        <v>20699</v>
      </c>
      <c r="B106">
        <v>66714</v>
      </c>
      <c r="C106">
        <v>2635</v>
      </c>
      <c r="D106">
        <v>1356</v>
      </c>
      <c r="E106">
        <f t="shared" si="68"/>
        <v>1356</v>
      </c>
      <c r="F106">
        <f t="shared" si="69"/>
        <v>0.52485768500948771</v>
      </c>
      <c r="G106">
        <f t="shared" si="70"/>
        <v>0.74414090931541899</v>
      </c>
      <c r="H106">
        <v>2.9165677943727524E-2</v>
      </c>
      <c r="I106">
        <f t="shared" si="71"/>
        <v>2516.1547443094332</v>
      </c>
      <c r="J106">
        <f t="shared" si="72"/>
        <v>0.53851539640766077</v>
      </c>
      <c r="K106">
        <f t="shared" si="73"/>
        <v>4.253745934253658E-16</v>
      </c>
      <c r="L106">
        <f t="shared" ref="L106:M106" si="113">AVERAGE(G104:G106)</f>
        <v>0.76425163627641091</v>
      </c>
      <c r="M106">
        <f t="shared" si="113"/>
        <v>3.0171017448451732E-2</v>
      </c>
    </row>
    <row r="107" spans="1:13" x14ac:dyDescent="0.25">
      <c r="A107" s="18">
        <v>20729</v>
      </c>
      <c r="B107">
        <v>66546</v>
      </c>
      <c r="C107">
        <v>2571</v>
      </c>
      <c r="D107">
        <v>1319</v>
      </c>
      <c r="E107">
        <f t="shared" si="68"/>
        <v>1319</v>
      </c>
      <c r="F107">
        <f t="shared" si="69"/>
        <v>0.46324387397899647</v>
      </c>
      <c r="G107">
        <f t="shared" si="70"/>
        <v>0.622211429114639</v>
      </c>
      <c r="H107">
        <v>3.117923840609926E-2</v>
      </c>
      <c r="I107">
        <f t="shared" si="71"/>
        <v>3175.517652930705</v>
      </c>
      <c r="J107">
        <f t="shared" si="72"/>
        <v>0.4797213094047913</v>
      </c>
      <c r="K107">
        <f t="shared" si="73"/>
        <v>4.9412666294977636E-16</v>
      </c>
      <c r="L107">
        <f t="shared" ref="L107:M107" si="114">AVERAGE(G105:G107)</f>
        <v>0.70463196354794366</v>
      </c>
      <c r="M107">
        <f t="shared" si="114"/>
        <v>3.0141029533812449E-2</v>
      </c>
    </row>
    <row r="108" spans="1:13" x14ac:dyDescent="0.25">
      <c r="A108" s="18">
        <v>20760</v>
      </c>
      <c r="B108">
        <v>66657</v>
      </c>
      <c r="C108">
        <v>2861</v>
      </c>
      <c r="D108">
        <v>1481</v>
      </c>
      <c r="E108">
        <f t="shared" si="68"/>
        <v>1481</v>
      </c>
      <c r="F108">
        <f t="shared" si="69"/>
        <v>0.5302341838518001</v>
      </c>
      <c r="G108">
        <f t="shared" si="70"/>
        <v>0.75552097196701551</v>
      </c>
      <c r="H108">
        <v>3.2273876217129148E-2</v>
      </c>
      <c r="I108">
        <f t="shared" si="71"/>
        <v>2730.7614056677894</v>
      </c>
      <c r="J108">
        <f t="shared" si="72"/>
        <v>0.54515330377736682</v>
      </c>
      <c r="K108">
        <f t="shared" si="73"/>
        <v>4.192442255568373E-16</v>
      </c>
      <c r="L108">
        <f t="shared" ref="L108:M108" si="115">AVERAGE(G106:G108)</f>
        <v>0.70729110346569113</v>
      </c>
      <c r="M108">
        <f t="shared" si="115"/>
        <v>3.0872930855651976E-2</v>
      </c>
    </row>
    <row r="109" spans="1:13" x14ac:dyDescent="0.25">
      <c r="A109" s="18">
        <v>20790</v>
      </c>
      <c r="B109">
        <v>66700</v>
      </c>
      <c r="C109">
        <v>2790</v>
      </c>
      <c r="D109">
        <v>1446</v>
      </c>
      <c r="E109">
        <f t="shared" si="68"/>
        <v>1446</v>
      </c>
      <c r="F109">
        <f t="shared" si="69"/>
        <v>0.48996415770609314</v>
      </c>
      <c r="G109">
        <f t="shared" si="70"/>
        <v>0.67327427672555884</v>
      </c>
      <c r="H109">
        <v>2.9522587623490505E-2</v>
      </c>
      <c r="I109">
        <f t="shared" si="71"/>
        <v>2801.885856890819</v>
      </c>
      <c r="J109">
        <f t="shared" si="72"/>
        <v>0.50480163749360285</v>
      </c>
      <c r="K109">
        <f t="shared" si="73"/>
        <v>4.6225000011012889E-16</v>
      </c>
      <c r="L109">
        <f t="shared" ref="L109:M109" si="116">AVERAGE(G107:G109)</f>
        <v>0.68366889260240438</v>
      </c>
      <c r="M109">
        <f t="shared" si="116"/>
        <v>3.0991900748906304E-2</v>
      </c>
    </row>
    <row r="110" spans="1:13" x14ac:dyDescent="0.25">
      <c r="A110" s="18">
        <v>20821</v>
      </c>
      <c r="B110">
        <v>66428</v>
      </c>
      <c r="C110">
        <v>2796</v>
      </c>
      <c r="D110">
        <v>1373</v>
      </c>
      <c r="E110">
        <f t="shared" si="68"/>
        <v>1373</v>
      </c>
      <c r="F110">
        <f t="shared" si="69"/>
        <v>0.52467811158798283</v>
      </c>
      <c r="G110">
        <f t="shared" si="70"/>
        <v>0.74376304464045551</v>
      </c>
      <c r="H110">
        <v>2.875571756015852E-2</v>
      </c>
      <c r="I110">
        <f t="shared" si="71"/>
        <v>2472.6710852236333</v>
      </c>
      <c r="J110">
        <f t="shared" si="72"/>
        <v>0.53815168402076963</v>
      </c>
      <c r="K110">
        <f t="shared" si="73"/>
        <v>4.1985898722206248E-16</v>
      </c>
      <c r="L110">
        <f t="shared" ref="L110:M110" si="117">AVERAGE(G108:G110)</f>
        <v>0.72418609777767662</v>
      </c>
      <c r="M110">
        <f t="shared" si="117"/>
        <v>3.0184060466926056E-2</v>
      </c>
    </row>
    <row r="111" spans="1:13" x14ac:dyDescent="0.25">
      <c r="A111" s="18">
        <v>20852</v>
      </c>
      <c r="B111">
        <v>66879</v>
      </c>
      <c r="C111">
        <v>2622</v>
      </c>
      <c r="D111">
        <v>1293</v>
      </c>
      <c r="E111">
        <f t="shared" si="68"/>
        <v>1293</v>
      </c>
      <c r="F111">
        <f t="shared" si="69"/>
        <v>0.51639969488939741</v>
      </c>
      <c r="G111">
        <f t="shared" si="70"/>
        <v>0.72649652932647391</v>
      </c>
      <c r="H111">
        <v>2.7140933408777421E-2</v>
      </c>
      <c r="I111">
        <f t="shared" si="71"/>
        <v>2408.5300627939723</v>
      </c>
      <c r="J111">
        <f t="shared" si="72"/>
        <v>0.52934854180465774</v>
      </c>
      <c r="K111">
        <f t="shared" si="73"/>
        <v>4.3503288660643296E-16</v>
      </c>
      <c r="L111">
        <f t="shared" ref="L111:M111" si="118">AVERAGE(G109:G111)</f>
        <v>0.71451128356416271</v>
      </c>
      <c r="M111">
        <f t="shared" si="118"/>
        <v>2.8473079530808815E-2</v>
      </c>
    </row>
    <row r="112" spans="1:13" x14ac:dyDescent="0.25">
      <c r="A112" s="18">
        <v>20880</v>
      </c>
      <c r="B112">
        <v>66913</v>
      </c>
      <c r="C112">
        <v>2509</v>
      </c>
      <c r="D112">
        <v>1241</v>
      </c>
      <c r="E112">
        <f t="shared" si="68"/>
        <v>1241</v>
      </c>
      <c r="F112">
        <f t="shared" si="69"/>
        <v>0.49581506576325229</v>
      </c>
      <c r="G112">
        <f t="shared" si="70"/>
        <v>0.68481214520480171</v>
      </c>
      <c r="H112">
        <v>2.8654807837388836E-2</v>
      </c>
      <c r="I112">
        <f t="shared" si="71"/>
        <v>2687.4113070655649</v>
      </c>
      <c r="J112">
        <f t="shared" si="72"/>
        <v>0.5100573585733047</v>
      </c>
      <c r="K112">
        <f t="shared" si="73"/>
        <v>4.6107749640725335E-16</v>
      </c>
      <c r="L112">
        <f t="shared" ref="L112:M112" si="119">AVERAGE(G110:G112)</f>
        <v>0.71835723972391052</v>
      </c>
      <c r="M112">
        <f t="shared" si="119"/>
        <v>2.8183819602108261E-2</v>
      </c>
    </row>
    <row r="113" spans="1:13" x14ac:dyDescent="0.25">
      <c r="A113" s="18">
        <v>20911</v>
      </c>
      <c r="B113">
        <v>66647</v>
      </c>
      <c r="C113">
        <v>2600</v>
      </c>
      <c r="D113">
        <v>1335</v>
      </c>
      <c r="E113">
        <f t="shared" si="68"/>
        <v>1335</v>
      </c>
      <c r="F113">
        <f t="shared" si="69"/>
        <v>0.505</v>
      </c>
      <c r="G113">
        <f t="shared" si="70"/>
        <v>0.70319751641344674</v>
      </c>
      <c r="H113">
        <v>3.0970847059237194E-2</v>
      </c>
      <c r="I113">
        <f t="shared" si="71"/>
        <v>2811.4995778264429</v>
      </c>
      <c r="J113">
        <f t="shared" si="72"/>
        <v>0.52009560090678053</v>
      </c>
      <c r="K113">
        <f t="shared" si="73"/>
        <v>4.4833599564675988E-16</v>
      </c>
      <c r="L113">
        <f t="shared" ref="L113:M113" si="120">AVERAGE(G111:G113)</f>
        <v>0.70483539698157427</v>
      </c>
      <c r="M113">
        <f t="shared" si="120"/>
        <v>2.8922196101801152E-2</v>
      </c>
    </row>
    <row r="114" spans="1:13" x14ac:dyDescent="0.25">
      <c r="A114" s="18">
        <v>20941</v>
      </c>
      <c r="B114">
        <v>66695</v>
      </c>
      <c r="C114">
        <v>2710</v>
      </c>
      <c r="D114">
        <v>1423</v>
      </c>
      <c r="E114">
        <f t="shared" si="68"/>
        <v>1423</v>
      </c>
      <c r="F114">
        <f t="shared" si="69"/>
        <v>0.45977859778597785</v>
      </c>
      <c r="G114">
        <f t="shared" si="70"/>
        <v>0.61577621935248972</v>
      </c>
      <c r="H114">
        <v>2.9176545448750049E-2</v>
      </c>
      <c r="I114">
        <f t="shared" si="71"/>
        <v>3017.1662250398713</v>
      </c>
      <c r="J114">
        <f t="shared" si="72"/>
        <v>0.47531267476863537</v>
      </c>
      <c r="K114">
        <f t="shared" si="73"/>
        <v>4.9665703429297021E-16</v>
      </c>
      <c r="L114">
        <f t="shared" ref="L114:M114" si="121">AVERAGE(G112:G114)</f>
        <v>0.66792862699024613</v>
      </c>
      <c r="M114">
        <f t="shared" si="121"/>
        <v>2.9600733448458694E-2</v>
      </c>
    </row>
    <row r="115" spans="1:13" x14ac:dyDescent="0.25">
      <c r="A115" s="18">
        <v>20972</v>
      </c>
      <c r="B115">
        <v>67052</v>
      </c>
      <c r="C115">
        <v>2856</v>
      </c>
      <c r="D115">
        <v>1392</v>
      </c>
      <c r="E115">
        <f t="shared" si="68"/>
        <v>1392</v>
      </c>
      <c r="F115">
        <f t="shared" si="69"/>
        <v>0.49929971988795518</v>
      </c>
      <c r="G115">
        <f t="shared" si="70"/>
        <v>0.69174760020552206</v>
      </c>
      <c r="H115">
        <v>2.946314987301079E-2</v>
      </c>
      <c r="I115">
        <f t="shared" si="71"/>
        <v>2739.2313898122011</v>
      </c>
      <c r="J115">
        <f t="shared" si="72"/>
        <v>0.51383672274720049</v>
      </c>
      <c r="K115">
        <f t="shared" si="73"/>
        <v>4.5607211960760081E-16</v>
      </c>
      <c r="L115">
        <f t="shared" ref="L115:M115" si="122">AVERAGE(G113:G115)</f>
        <v>0.67024044532381943</v>
      </c>
      <c r="M115">
        <f t="shared" si="122"/>
        <v>2.9870180793666008E-2</v>
      </c>
    </row>
    <row r="116" spans="1:13" x14ac:dyDescent="0.25">
      <c r="A116" s="18">
        <v>21002</v>
      </c>
      <c r="B116">
        <v>67336</v>
      </c>
      <c r="C116">
        <v>2796</v>
      </c>
      <c r="D116">
        <v>1366</v>
      </c>
      <c r="E116">
        <f t="shared" si="68"/>
        <v>1366</v>
      </c>
      <c r="F116">
        <f t="shared" si="69"/>
        <v>0.51645207439198848</v>
      </c>
      <c r="G116">
        <f t="shared" si="70"/>
        <v>0.72660484675079129</v>
      </c>
      <c r="H116">
        <v>3.0395456151549195E-2</v>
      </c>
      <c r="I116">
        <f t="shared" si="71"/>
        <v>2703.7088724715604</v>
      </c>
      <c r="J116">
        <f t="shared" si="72"/>
        <v>0.53092860918690488</v>
      </c>
      <c r="K116">
        <f t="shared" si="73"/>
        <v>4.4244340518800796E-16</v>
      </c>
      <c r="L116">
        <f t="shared" ref="L116:M116" si="123">AVERAGE(G114:G116)</f>
        <v>0.67804288876960106</v>
      </c>
      <c r="M116">
        <f t="shared" si="123"/>
        <v>2.9678383824436678E-2</v>
      </c>
    </row>
    <row r="117" spans="1:13" x14ac:dyDescent="0.25">
      <c r="A117" s="18">
        <v>21033</v>
      </c>
      <c r="B117">
        <v>66706</v>
      </c>
      <c r="C117">
        <v>2747</v>
      </c>
      <c r="D117">
        <v>1395</v>
      </c>
      <c r="E117">
        <f t="shared" si="68"/>
        <v>1395</v>
      </c>
      <c r="F117">
        <f t="shared" si="69"/>
        <v>0.46887513651255919</v>
      </c>
      <c r="G117">
        <f t="shared" si="70"/>
        <v>0.63275813757248833</v>
      </c>
      <c r="H117">
        <v>3.1370454334635547E-2</v>
      </c>
      <c r="I117">
        <f t="shared" si="71"/>
        <v>3150.892089794022</v>
      </c>
      <c r="J117">
        <f t="shared" si="72"/>
        <v>0.48527813486531146</v>
      </c>
      <c r="K117">
        <f t="shared" si="73"/>
        <v>4.8824089569710224E-16</v>
      </c>
      <c r="L117">
        <f t="shared" ref="L117:M117" si="124">AVERAGE(G115:G117)</f>
        <v>0.68370352817626723</v>
      </c>
      <c r="M117">
        <f t="shared" si="124"/>
        <v>3.0409686786398511E-2</v>
      </c>
    </row>
    <row r="118" spans="1:13" x14ac:dyDescent="0.25">
      <c r="A118" s="18">
        <v>21064</v>
      </c>
      <c r="B118">
        <v>67064</v>
      </c>
      <c r="C118">
        <v>2943</v>
      </c>
      <c r="D118">
        <v>1484</v>
      </c>
      <c r="E118">
        <f t="shared" si="68"/>
        <v>1484</v>
      </c>
      <c r="F118">
        <f t="shared" si="69"/>
        <v>0.44920149507305474</v>
      </c>
      <c r="G118">
        <f t="shared" si="70"/>
        <v>0.59638622649779671</v>
      </c>
      <c r="H118">
        <v>2.8987927124825282E-2</v>
      </c>
      <c r="I118">
        <f t="shared" si="71"/>
        <v>3108.6131932986877</v>
      </c>
      <c r="J118">
        <f t="shared" si="72"/>
        <v>0.46493880402233867</v>
      </c>
      <c r="K118">
        <f t="shared" si="73"/>
        <v>5.1131665501779631E-16</v>
      </c>
      <c r="L118">
        <f t="shared" ref="L118:M118" si="125">AVERAGE(G116:G118)</f>
        <v>0.65191640360702552</v>
      </c>
      <c r="M118">
        <f t="shared" si="125"/>
        <v>3.0251279203670007E-2</v>
      </c>
    </row>
    <row r="119" spans="1:13" x14ac:dyDescent="0.25">
      <c r="A119" s="18">
        <v>21094</v>
      </c>
      <c r="B119">
        <v>67066</v>
      </c>
      <c r="C119">
        <v>3020</v>
      </c>
      <c r="D119">
        <v>1399</v>
      </c>
      <c r="E119">
        <f t="shared" si="68"/>
        <v>1399</v>
      </c>
      <c r="F119">
        <f t="shared" si="69"/>
        <v>0.38543046357615895</v>
      </c>
      <c r="G119">
        <f t="shared" si="70"/>
        <v>0.48683319702276945</v>
      </c>
      <c r="H119">
        <v>3.1640130754822041E-2</v>
      </c>
      <c r="I119">
        <f t="shared" si="71"/>
        <v>4092.7409290245209</v>
      </c>
      <c r="J119">
        <f t="shared" si="72"/>
        <v>0.40457112083799152</v>
      </c>
      <c r="K119">
        <f t="shared" si="73"/>
        <v>5.8752637215277239E-16</v>
      </c>
      <c r="L119">
        <f t="shared" ref="L119:M119" si="126">AVERAGE(G117:G119)</f>
        <v>0.57199252036435155</v>
      </c>
      <c r="M119">
        <f t="shared" si="126"/>
        <v>3.066617073809429E-2</v>
      </c>
    </row>
    <row r="120" spans="1:13" x14ac:dyDescent="0.25">
      <c r="A120" s="18">
        <v>21125</v>
      </c>
      <c r="B120">
        <v>67123</v>
      </c>
      <c r="C120">
        <v>3454</v>
      </c>
      <c r="D120">
        <v>1598</v>
      </c>
      <c r="E120">
        <f t="shared" si="68"/>
        <v>1598</v>
      </c>
      <c r="F120">
        <f t="shared" si="69"/>
        <v>0.45251881876085698</v>
      </c>
      <c r="G120">
        <f t="shared" si="70"/>
        <v>0.60242719004816647</v>
      </c>
      <c r="H120">
        <v>3.3148164582792808E-2</v>
      </c>
      <c r="I120">
        <f t="shared" si="71"/>
        <v>3500.7717575561578</v>
      </c>
      <c r="J120">
        <f t="shared" si="72"/>
        <v>0.4703693248235099</v>
      </c>
      <c r="K120">
        <f t="shared" si="73"/>
        <v>5.0620859780716572E-16</v>
      </c>
      <c r="L120">
        <f t="shared" ref="L120:M120" si="127">AVERAGE(G118:G120)</f>
        <v>0.56188220452291082</v>
      </c>
      <c r="M120">
        <f t="shared" si="127"/>
        <v>3.1258740820813376E-2</v>
      </c>
    </row>
    <row r="121" spans="1:13" x14ac:dyDescent="0.25">
      <c r="A121" s="18">
        <v>21155</v>
      </c>
      <c r="B121">
        <v>67398</v>
      </c>
      <c r="C121">
        <v>3476</v>
      </c>
      <c r="D121">
        <v>1585</v>
      </c>
      <c r="E121">
        <f t="shared" si="68"/>
        <v>1585</v>
      </c>
      <c r="F121">
        <f t="shared" si="69"/>
        <v>0.37456846950517841</v>
      </c>
      <c r="G121">
        <f t="shared" si="70"/>
        <v>0.46931341870412796</v>
      </c>
      <c r="H121">
        <v>3.3462769598037095E-2</v>
      </c>
      <c r="I121">
        <f t="shared" si="71"/>
        <v>4485.7409675357776</v>
      </c>
      <c r="J121">
        <f t="shared" si="72"/>
        <v>0.39515084843815662</v>
      </c>
      <c r="K121">
        <f t="shared" si="73"/>
        <v>6.015861454856128E-16</v>
      </c>
      <c r="L121">
        <f t="shared" ref="L121:M121" si="128">AVERAGE(G119:G121)</f>
        <v>0.51952460192502126</v>
      </c>
      <c r="M121">
        <f t="shared" si="128"/>
        <v>3.2750354978550646E-2</v>
      </c>
    </row>
    <row r="122" spans="1:13" x14ac:dyDescent="0.25">
      <c r="A122" s="18">
        <v>21186</v>
      </c>
      <c r="B122">
        <v>67095</v>
      </c>
      <c r="C122">
        <v>3875</v>
      </c>
      <c r="D122">
        <v>1701</v>
      </c>
      <c r="E122">
        <f t="shared" si="68"/>
        <v>1701</v>
      </c>
      <c r="F122">
        <f t="shared" si="69"/>
        <v>0.37548387096774194</v>
      </c>
      <c r="G122">
        <f t="shared" si="70"/>
        <v>0.47077812263671531</v>
      </c>
      <c r="H122">
        <v>3.7491451092082961E-2</v>
      </c>
      <c r="I122">
        <f t="shared" si="71"/>
        <v>4949.1235380646976</v>
      </c>
      <c r="J122">
        <f t="shared" si="72"/>
        <v>0.39846440828911145</v>
      </c>
      <c r="K122">
        <f t="shared" si="73"/>
        <v>5.9322779641567477E-16</v>
      </c>
      <c r="L122">
        <f t="shared" ref="L122:M122" si="129">AVERAGE(G120:G122)</f>
        <v>0.51417291046300329</v>
      </c>
      <c r="M122">
        <f t="shared" si="129"/>
        <v>3.4700795090970953E-2</v>
      </c>
    </row>
    <row r="123" spans="1:13" x14ac:dyDescent="0.25">
      <c r="A123" s="18">
        <v>21217</v>
      </c>
      <c r="B123">
        <v>67201</v>
      </c>
      <c r="C123">
        <v>4303</v>
      </c>
      <c r="D123">
        <v>1883</v>
      </c>
      <c r="E123">
        <f t="shared" si="68"/>
        <v>1883</v>
      </c>
      <c r="F123">
        <f t="shared" si="69"/>
        <v>0.40529862886358359</v>
      </c>
      <c r="G123">
        <f t="shared" si="70"/>
        <v>0.51969589667881089</v>
      </c>
      <c r="H123">
        <v>3.9476491655470625E-2</v>
      </c>
      <c r="I123">
        <f t="shared" si="71"/>
        <v>4744.2609311269543</v>
      </c>
      <c r="J123">
        <f t="shared" si="72"/>
        <v>0.42831800119012864</v>
      </c>
      <c r="K123">
        <f t="shared" si="73"/>
        <v>5.5659626842488645E-16</v>
      </c>
      <c r="L123">
        <f t="shared" ref="L123:M123" si="130">AVERAGE(G121:G123)</f>
        <v>0.48659581267321811</v>
      </c>
      <c r="M123">
        <f t="shared" si="130"/>
        <v>3.6810237448530229E-2</v>
      </c>
    </row>
    <row r="124" spans="1:13" x14ac:dyDescent="0.25">
      <c r="A124" s="18">
        <v>21245</v>
      </c>
      <c r="B124">
        <v>67223</v>
      </c>
      <c r="C124">
        <v>4492</v>
      </c>
      <c r="D124">
        <v>1933</v>
      </c>
      <c r="E124">
        <f t="shared" si="68"/>
        <v>1933</v>
      </c>
      <c r="F124">
        <f t="shared" si="69"/>
        <v>0.30209260908281388</v>
      </c>
      <c r="G124">
        <f t="shared" si="70"/>
        <v>0.35966886279131272</v>
      </c>
      <c r="H124">
        <v>3.5868665634917578E-2</v>
      </c>
      <c r="I124">
        <f t="shared" si="71"/>
        <v>6096.0064132720217</v>
      </c>
      <c r="J124">
        <f t="shared" si="72"/>
        <v>0.32668198561436823</v>
      </c>
      <c r="K124">
        <f t="shared" si="73"/>
        <v>6.7003988818620304E-16</v>
      </c>
      <c r="L124">
        <f t="shared" ref="L124:M124" si="131">AVERAGE(G122:G124)</f>
        <v>0.45004762736894627</v>
      </c>
      <c r="M124">
        <f t="shared" si="131"/>
        <v>3.7612202794157057E-2</v>
      </c>
    </row>
    <row r="125" spans="1:13" x14ac:dyDescent="0.25">
      <c r="A125" s="18">
        <v>21276</v>
      </c>
      <c r="B125">
        <v>67647</v>
      </c>
      <c r="C125">
        <v>5016</v>
      </c>
      <c r="D125">
        <v>1881</v>
      </c>
      <c r="E125">
        <f t="shared" si="68"/>
        <v>1881</v>
      </c>
      <c r="F125">
        <f t="shared" si="69"/>
        <v>0.3688197767145136</v>
      </c>
      <c r="G125">
        <f t="shared" si="70"/>
        <v>0.46016384187179926</v>
      </c>
      <c r="H125">
        <v>3.6954977182405348E-2</v>
      </c>
      <c r="I125">
        <f t="shared" si="71"/>
        <v>5028.7642423482512</v>
      </c>
      <c r="J125">
        <f t="shared" si="72"/>
        <v>0.3917192958207989</v>
      </c>
      <c r="K125">
        <f t="shared" si="73"/>
        <v>5.9256342562718749E-16</v>
      </c>
      <c r="L125">
        <f t="shared" ref="L125:M125" si="132">AVERAGE(G123:G125)</f>
        <v>0.44650953378064101</v>
      </c>
      <c r="M125">
        <f t="shared" si="132"/>
        <v>3.7433378157597848E-2</v>
      </c>
    </row>
    <row r="126" spans="1:13" x14ac:dyDescent="0.25">
      <c r="A126" s="18">
        <v>21306</v>
      </c>
      <c r="B126">
        <v>67895</v>
      </c>
      <c r="C126">
        <v>5021</v>
      </c>
      <c r="D126">
        <v>1855</v>
      </c>
      <c r="E126">
        <f t="shared" si="68"/>
        <v>1855</v>
      </c>
      <c r="F126">
        <f t="shared" si="69"/>
        <v>0.36486755626369249</v>
      </c>
      <c r="G126">
        <f t="shared" si="70"/>
        <v>0.45392172902464789</v>
      </c>
      <c r="H126">
        <v>3.470119741278635E-2</v>
      </c>
      <c r="I126">
        <f t="shared" si="71"/>
        <v>4821.7913463845789</v>
      </c>
      <c r="J126">
        <f t="shared" si="72"/>
        <v>0.38652939306630241</v>
      </c>
      <c r="K126">
        <f t="shared" si="73"/>
        <v>5.990903099669688E-16</v>
      </c>
      <c r="L126">
        <f t="shared" ref="L126:M126" si="133">AVERAGE(G124:G126)</f>
        <v>0.42458481122925323</v>
      </c>
      <c r="M126">
        <f t="shared" si="133"/>
        <v>3.5841613410036423E-2</v>
      </c>
    </row>
    <row r="127" spans="1:13" x14ac:dyDescent="0.25">
      <c r="A127" s="18">
        <v>21337</v>
      </c>
      <c r="B127">
        <v>67674</v>
      </c>
      <c r="C127">
        <v>4944</v>
      </c>
      <c r="D127">
        <v>1755</v>
      </c>
      <c r="E127">
        <f t="shared" si="68"/>
        <v>1755</v>
      </c>
      <c r="F127">
        <f t="shared" si="69"/>
        <v>0.34041262135922334</v>
      </c>
      <c r="G127">
        <f t="shared" si="70"/>
        <v>0.41614082334820762</v>
      </c>
      <c r="H127">
        <v>3.5472195659374858E-2</v>
      </c>
      <c r="I127">
        <f t="shared" si="71"/>
        <v>5315.4919544341774</v>
      </c>
      <c r="J127">
        <f t="shared" si="72"/>
        <v>0.36339952565225386</v>
      </c>
      <c r="K127">
        <f t="shared" si="73"/>
        <v>6.254643516845688E-16</v>
      </c>
      <c r="L127">
        <f t="shared" ref="L127:M127" si="134">AVERAGE(G125:G127)</f>
        <v>0.44340879808155159</v>
      </c>
      <c r="M127">
        <f t="shared" si="134"/>
        <v>3.5709456751522185E-2</v>
      </c>
    </row>
    <row r="128" spans="1:13" x14ac:dyDescent="0.25">
      <c r="A128" s="18">
        <v>21367</v>
      </c>
      <c r="B128">
        <v>67824</v>
      </c>
      <c r="C128">
        <v>5079</v>
      </c>
      <c r="D128">
        <v>1818</v>
      </c>
      <c r="E128">
        <f t="shared" si="68"/>
        <v>1818</v>
      </c>
      <c r="F128">
        <f t="shared" si="69"/>
        <v>0.35715692065367199</v>
      </c>
      <c r="G128">
        <f t="shared" si="70"/>
        <v>0.4418546290907136</v>
      </c>
      <c r="H128">
        <v>3.4684756405705779E-2</v>
      </c>
      <c r="I128">
        <f t="shared" si="71"/>
        <v>4936.5466739123594</v>
      </c>
      <c r="J128">
        <f t="shared" si="72"/>
        <v>0.37907152790638632</v>
      </c>
      <c r="K128">
        <f t="shared" si="73"/>
        <v>6.0574247742796616E-16</v>
      </c>
      <c r="L128">
        <f t="shared" ref="L128:M128" si="135">AVERAGE(G126:G128)</f>
        <v>0.43730572715452309</v>
      </c>
      <c r="M128">
        <f t="shared" si="135"/>
        <v>3.4952716492622327E-2</v>
      </c>
    </row>
    <row r="129" spans="1:13" x14ac:dyDescent="0.25">
      <c r="A129" s="18">
        <v>21398</v>
      </c>
      <c r="B129">
        <v>68037</v>
      </c>
      <c r="C129">
        <v>5025</v>
      </c>
      <c r="D129">
        <v>1760</v>
      </c>
      <c r="E129">
        <f t="shared" si="68"/>
        <v>1760</v>
      </c>
      <c r="F129">
        <f t="shared" si="69"/>
        <v>0.36417910447761193</v>
      </c>
      <c r="G129">
        <f t="shared" si="70"/>
        <v>0.45283836611564132</v>
      </c>
      <c r="H129">
        <v>3.2026844222964687E-2</v>
      </c>
      <c r="I129">
        <f t="shared" si="71"/>
        <v>4494.0539224831882</v>
      </c>
      <c r="J129">
        <f t="shared" si="72"/>
        <v>0.38421980802571931</v>
      </c>
      <c r="K129">
        <f t="shared" si="73"/>
        <v>5.9935747276121117E-16</v>
      </c>
      <c r="L129">
        <f t="shared" ref="L129:M129" si="136">AVERAGE(G127:G129)</f>
        <v>0.43694460618485415</v>
      </c>
      <c r="M129">
        <f t="shared" si="136"/>
        <v>3.4061265429348439E-2</v>
      </c>
    </row>
    <row r="130" spans="1:13" x14ac:dyDescent="0.25">
      <c r="A130" s="18">
        <v>21429</v>
      </c>
      <c r="B130">
        <v>68002</v>
      </c>
      <c r="C130">
        <v>4821</v>
      </c>
      <c r="D130">
        <v>1626</v>
      </c>
      <c r="E130">
        <f t="shared" si="68"/>
        <v>1626</v>
      </c>
      <c r="F130">
        <f t="shared" si="69"/>
        <v>0.39286455092304506</v>
      </c>
      <c r="G130">
        <f t="shared" si="70"/>
        <v>0.49900336771373649</v>
      </c>
      <c r="H130">
        <v>3.2953631622038439E-2</v>
      </c>
      <c r="I130">
        <f t="shared" si="71"/>
        <v>4212.5827094294482</v>
      </c>
      <c r="J130">
        <f t="shared" si="72"/>
        <v>0.41254580345793379</v>
      </c>
      <c r="K130">
        <f t="shared" si="73"/>
        <v>5.6989229018172501E-16</v>
      </c>
      <c r="L130">
        <f t="shared" ref="L130:M130" si="137">AVERAGE(G128:G130)</f>
        <v>0.4645654543066971</v>
      </c>
      <c r="M130">
        <f t="shared" si="137"/>
        <v>3.3221744083569628E-2</v>
      </c>
    </row>
    <row r="131" spans="1:13" x14ac:dyDescent="0.25">
      <c r="A131" s="18">
        <v>21459</v>
      </c>
      <c r="B131">
        <v>68045</v>
      </c>
      <c r="C131">
        <v>4570</v>
      </c>
      <c r="D131">
        <v>1643</v>
      </c>
      <c r="E131">
        <f t="shared" ref="E131:E194" si="138">IF(A131&gt;A$554,1.16*D131,D131)</f>
        <v>1643</v>
      </c>
      <c r="F131">
        <f t="shared" ref="F131:F194" si="139">1 - ( (C132-E132)/C131 )</f>
        <v>0.41859956236323848</v>
      </c>
      <c r="G131">
        <f t="shared" ref="G131:G194" si="140">-LN(1-F131)</f>
        <v>0.5423155381284368</v>
      </c>
      <c r="H131">
        <v>3.1137315634964465E-2</v>
      </c>
      <c r="I131">
        <f t="shared" ref="I131:I194" si="141">H131*B131/(H131+G131)</f>
        <v>3694.7041565431282</v>
      </c>
      <c r="J131">
        <f t="shared" ref="J131:J194" si="142">1-EXP(-H131-G131)</f>
        <v>0.43642387066302069</v>
      </c>
      <c r="K131">
        <f t="shared" ref="K131:K194" si="143">( ( (J131*I131) + ( (1-J131)*C131 ) ) - C132 )^2</f>
        <v>5.428213033031154E-16</v>
      </c>
      <c r="L131">
        <f t="shared" ref="L131:M131" si="144">AVERAGE(G129:G131)</f>
        <v>0.49805242398593824</v>
      </c>
      <c r="M131">
        <f t="shared" si="144"/>
        <v>3.2039263826655867E-2</v>
      </c>
    </row>
    <row r="132" spans="1:13" x14ac:dyDescent="0.25">
      <c r="A132" s="18">
        <v>21490</v>
      </c>
      <c r="B132">
        <v>67658</v>
      </c>
      <c r="C132">
        <v>4188</v>
      </c>
      <c r="D132">
        <v>1531</v>
      </c>
      <c r="E132">
        <f t="shared" si="138"/>
        <v>1531</v>
      </c>
      <c r="F132">
        <f t="shared" si="139"/>
        <v>0.40329512893982811</v>
      </c>
      <c r="G132">
        <f t="shared" si="140"/>
        <v>0.51633264115547517</v>
      </c>
      <c r="H132">
        <v>3.4131119735228449E-2</v>
      </c>
      <c r="I132">
        <f t="shared" si="141"/>
        <v>4195.08687603614</v>
      </c>
      <c r="J132">
        <f t="shared" si="142"/>
        <v>0.42331769434355759</v>
      </c>
      <c r="K132">
        <f t="shared" si="143"/>
        <v>5.6249102961236086E-16</v>
      </c>
      <c r="L132">
        <f t="shared" ref="L132:M132" si="145">AVERAGE(G130:G132)</f>
        <v>0.51921718233254943</v>
      </c>
      <c r="M132">
        <f t="shared" si="145"/>
        <v>3.274068899741045E-2</v>
      </c>
    </row>
    <row r="133" spans="1:13" x14ac:dyDescent="0.25">
      <c r="A133" s="18">
        <v>21520</v>
      </c>
      <c r="B133">
        <v>67740</v>
      </c>
      <c r="C133">
        <v>4191</v>
      </c>
      <c r="D133">
        <v>1692</v>
      </c>
      <c r="E133">
        <f t="shared" si="138"/>
        <v>1692</v>
      </c>
      <c r="F133">
        <f t="shared" si="139"/>
        <v>0.40491529467907417</v>
      </c>
      <c r="G133">
        <f t="shared" si="140"/>
        <v>0.51905152168508972</v>
      </c>
      <c r="H133">
        <v>3.171378319367759E-2</v>
      </c>
      <c r="I133">
        <f t="shared" si="141"/>
        <v>3900.5573780879226</v>
      </c>
      <c r="J133">
        <f t="shared" si="142"/>
        <v>0.42349156320997794</v>
      </c>
      <c r="K133">
        <f t="shared" si="143"/>
        <v>5.5930314170603049E-16</v>
      </c>
      <c r="L133">
        <f t="shared" ref="L133:M133" si="146">AVERAGE(G131:G133)</f>
        <v>0.5258999003230006</v>
      </c>
      <c r="M133">
        <f t="shared" si="146"/>
        <v>3.2327406187956841E-2</v>
      </c>
    </row>
    <row r="134" spans="1:13" x14ac:dyDescent="0.25">
      <c r="A134" s="18">
        <v>21551</v>
      </c>
      <c r="B134">
        <v>67936</v>
      </c>
      <c r="C134">
        <v>4068</v>
      </c>
      <c r="D134">
        <v>1574</v>
      </c>
      <c r="E134">
        <f t="shared" si="138"/>
        <v>1574</v>
      </c>
      <c r="F134">
        <f t="shared" si="139"/>
        <v>0.4073254670599803</v>
      </c>
      <c r="G134">
        <f t="shared" si="140"/>
        <v>0.52310987898727945</v>
      </c>
      <c r="H134">
        <v>3.1218122101468432E-2</v>
      </c>
      <c r="I134">
        <f t="shared" si="141"/>
        <v>3825.9556416415157</v>
      </c>
      <c r="J134">
        <f t="shared" si="142"/>
        <v>0.42554183321951611</v>
      </c>
      <c r="K134">
        <f t="shared" si="143"/>
        <v>5.6119755074489944E-16</v>
      </c>
      <c r="L134">
        <f t="shared" ref="L134:M134" si="147">AVERAGE(G132:G134)</f>
        <v>0.51949801394261474</v>
      </c>
      <c r="M134">
        <f t="shared" si="147"/>
        <v>3.2354341676791493E-2</v>
      </c>
    </row>
    <row r="135" spans="1:13" x14ac:dyDescent="0.25">
      <c r="A135" s="18">
        <v>21582</v>
      </c>
      <c r="B135">
        <v>67649</v>
      </c>
      <c r="C135">
        <v>3965</v>
      </c>
      <c r="D135">
        <v>1554</v>
      </c>
      <c r="E135">
        <f t="shared" si="138"/>
        <v>1554</v>
      </c>
      <c r="F135">
        <f t="shared" si="139"/>
        <v>0.40933165195460275</v>
      </c>
      <c r="G135">
        <f t="shared" si="140"/>
        <v>0.52650058991128568</v>
      </c>
      <c r="H135">
        <v>2.9423198678412688E-2</v>
      </c>
      <c r="I135">
        <f t="shared" si="141"/>
        <v>3580.4367581488746</v>
      </c>
      <c r="J135">
        <f t="shared" si="142"/>
        <v>0.42645781533109905</v>
      </c>
      <c r="K135">
        <f t="shared" si="143"/>
        <v>5.5338236155238823E-16</v>
      </c>
      <c r="L135">
        <f t="shared" ref="L135:M135" si="148">AVERAGE(G133:G135)</f>
        <v>0.52288733019455158</v>
      </c>
      <c r="M135">
        <f t="shared" si="148"/>
        <v>3.0785034657852903E-2</v>
      </c>
    </row>
    <row r="136" spans="1:13" x14ac:dyDescent="0.25">
      <c r="A136" s="18">
        <v>21610</v>
      </c>
      <c r="B136">
        <v>68068</v>
      </c>
      <c r="C136">
        <v>3801</v>
      </c>
      <c r="D136">
        <v>1459</v>
      </c>
      <c r="E136">
        <f t="shared" si="138"/>
        <v>1459</v>
      </c>
      <c r="F136">
        <f t="shared" si="139"/>
        <v>0.45356485135490665</v>
      </c>
      <c r="G136">
        <f t="shared" si="140"/>
        <v>0.60433964511313654</v>
      </c>
      <c r="H136">
        <v>3.0907908274626174E-2</v>
      </c>
      <c r="I136">
        <f t="shared" si="141"/>
        <v>3311.8419570725137</v>
      </c>
      <c r="J136">
        <f t="shared" si="142"/>
        <v>0.47019568277126667</v>
      </c>
      <c r="K136">
        <f t="shared" si="143"/>
        <v>5.1318985328460302E-16</v>
      </c>
      <c r="L136">
        <f t="shared" ref="L136:M136" si="149">AVERAGE(G134:G136)</f>
        <v>0.55131670467056726</v>
      </c>
      <c r="M136">
        <f t="shared" si="149"/>
        <v>3.0516409684835766E-2</v>
      </c>
    </row>
    <row r="137" spans="1:13" x14ac:dyDescent="0.25">
      <c r="A137" s="18">
        <v>21641</v>
      </c>
      <c r="B137">
        <v>68339</v>
      </c>
      <c r="C137">
        <v>3571</v>
      </c>
      <c r="D137">
        <v>1494</v>
      </c>
      <c r="E137">
        <f t="shared" si="138"/>
        <v>1494</v>
      </c>
      <c r="F137">
        <f t="shared" si="139"/>
        <v>0.43993279193503221</v>
      </c>
      <c r="G137">
        <f t="shared" si="140"/>
        <v>0.57969848805236612</v>
      </c>
      <c r="H137">
        <v>3.0064555946925867E-2</v>
      </c>
      <c r="I137">
        <f t="shared" si="141"/>
        <v>3369.4755841243677</v>
      </c>
      <c r="J137">
        <f t="shared" si="142"/>
        <v>0.45652036542130614</v>
      </c>
      <c r="K137">
        <f t="shared" si="143"/>
        <v>5.3551435952155576E-16</v>
      </c>
      <c r="L137">
        <f t="shared" ref="L137:M137" si="150">AVERAGE(G135:G137)</f>
        <v>0.57017957435892941</v>
      </c>
      <c r="M137">
        <f t="shared" si="150"/>
        <v>3.0131887633321575E-2</v>
      </c>
    </row>
    <row r="138" spans="1:13" x14ac:dyDescent="0.25">
      <c r="A138" s="18">
        <v>21671</v>
      </c>
      <c r="B138">
        <v>68178</v>
      </c>
      <c r="C138">
        <v>3479</v>
      </c>
      <c r="D138">
        <v>1479</v>
      </c>
      <c r="E138">
        <f t="shared" si="138"/>
        <v>1479</v>
      </c>
      <c r="F138">
        <f t="shared" si="139"/>
        <v>0.45185398102903129</v>
      </c>
      <c r="G138">
        <f t="shared" si="140"/>
        <v>0.60121356955152294</v>
      </c>
      <c r="H138">
        <v>3.128570208004023E-2</v>
      </c>
      <c r="I138">
        <f t="shared" si="141"/>
        <v>3372.330518121883</v>
      </c>
      <c r="J138">
        <f t="shared" si="142"/>
        <v>0.46873762857773116</v>
      </c>
      <c r="K138">
        <f t="shared" si="143"/>
        <v>5.2150584491691404E-16</v>
      </c>
      <c r="L138">
        <f t="shared" ref="L138:M138" si="151">AVERAGE(G136:G138)</f>
        <v>0.5950839009056752</v>
      </c>
      <c r="M138">
        <f t="shared" si="151"/>
        <v>3.075272210053076E-2</v>
      </c>
    </row>
    <row r="139" spans="1:13" x14ac:dyDescent="0.25">
      <c r="A139" s="18">
        <v>21702</v>
      </c>
      <c r="B139">
        <v>68278</v>
      </c>
      <c r="C139">
        <v>3429</v>
      </c>
      <c r="D139">
        <v>1522</v>
      </c>
      <c r="E139">
        <f t="shared" si="138"/>
        <v>1522</v>
      </c>
      <c r="F139">
        <f t="shared" si="139"/>
        <v>0.4351122776319627</v>
      </c>
      <c r="G139">
        <f t="shared" si="140"/>
        <v>0.5711282890559245</v>
      </c>
      <c r="H139">
        <v>3.2232579775874307E-2</v>
      </c>
      <c r="I139">
        <f t="shared" si="141"/>
        <v>3647.5286940603114</v>
      </c>
      <c r="J139">
        <f t="shared" si="142"/>
        <v>0.4530297517634484</v>
      </c>
      <c r="K139">
        <f t="shared" si="143"/>
        <v>5.4445415059446472E-16</v>
      </c>
      <c r="L139">
        <f t="shared" ref="L139:M139" si="152">AVERAGE(G137:G139)</f>
        <v>0.58401344888660445</v>
      </c>
      <c r="M139">
        <f t="shared" si="152"/>
        <v>3.1194279267613468E-2</v>
      </c>
    </row>
    <row r="140" spans="1:13" x14ac:dyDescent="0.25">
      <c r="A140" s="18">
        <v>21732</v>
      </c>
      <c r="B140">
        <v>68539</v>
      </c>
      <c r="C140">
        <v>3528</v>
      </c>
      <c r="D140">
        <v>1591</v>
      </c>
      <c r="E140">
        <f t="shared" si="138"/>
        <v>1591</v>
      </c>
      <c r="F140">
        <f t="shared" si="139"/>
        <v>0.43849206349206349</v>
      </c>
      <c r="G140">
        <f t="shared" si="140"/>
        <v>0.57712937042813095</v>
      </c>
      <c r="H140">
        <v>3.2552183635837104E-2</v>
      </c>
      <c r="I140">
        <f t="shared" si="141"/>
        <v>3659.4417189511232</v>
      </c>
      <c r="J140">
        <f t="shared" si="142"/>
        <v>0.4564760754964674</v>
      </c>
      <c r="K140">
        <f t="shared" si="143"/>
        <v>5.437540586316098E-16</v>
      </c>
      <c r="L140">
        <f t="shared" ref="L140:M140" si="153">AVERAGE(G138:G140)</f>
        <v>0.58315707634519276</v>
      </c>
      <c r="M140">
        <f t="shared" si="153"/>
        <v>3.2023488497250549E-2</v>
      </c>
    </row>
    <row r="141" spans="1:13" x14ac:dyDescent="0.25">
      <c r="A141" s="18">
        <v>21763</v>
      </c>
      <c r="B141">
        <v>68432</v>
      </c>
      <c r="C141">
        <v>3588</v>
      </c>
      <c r="D141">
        <v>1607</v>
      </c>
      <c r="E141">
        <f t="shared" si="138"/>
        <v>1607</v>
      </c>
      <c r="F141">
        <f t="shared" si="139"/>
        <v>0.39437012263099225</v>
      </c>
      <c r="G141">
        <f t="shared" si="140"/>
        <v>0.50148624292225719</v>
      </c>
      <c r="H141">
        <v>3.1468901372329196E-2</v>
      </c>
      <c r="I141">
        <f t="shared" si="141"/>
        <v>4040.6399708582494</v>
      </c>
      <c r="J141">
        <f t="shared" si="142"/>
        <v>0.41313187536172846</v>
      </c>
      <c r="K141">
        <f t="shared" si="143"/>
        <v>5.9278484119765263E-16</v>
      </c>
      <c r="L141">
        <f t="shared" ref="L141:M141" si="154">AVERAGE(G139:G141)</f>
        <v>0.54991463413543762</v>
      </c>
      <c r="M141">
        <f t="shared" si="154"/>
        <v>3.2084554928013535E-2</v>
      </c>
    </row>
    <row r="142" spans="1:13" x14ac:dyDescent="0.25">
      <c r="A142" s="18">
        <v>21794</v>
      </c>
      <c r="B142">
        <v>68545</v>
      </c>
      <c r="C142">
        <v>3775</v>
      </c>
      <c r="D142">
        <v>1602</v>
      </c>
      <c r="E142">
        <f t="shared" si="138"/>
        <v>1602</v>
      </c>
      <c r="F142">
        <f t="shared" si="139"/>
        <v>0.42781456953642383</v>
      </c>
      <c r="G142">
        <f t="shared" si="140"/>
        <v>0.55829216100491441</v>
      </c>
      <c r="H142">
        <v>3.5302786395001881E-2</v>
      </c>
      <c r="I142">
        <f t="shared" si="141"/>
        <v>4076.5668643994009</v>
      </c>
      <c r="J142">
        <f t="shared" si="142"/>
        <v>0.44766191501990027</v>
      </c>
      <c r="K142">
        <f t="shared" si="143"/>
        <v>5.5612431308176881E-16</v>
      </c>
      <c r="L142">
        <f t="shared" ref="L142:M142" si="155">AVERAGE(G140:G142)</f>
        <v>0.54563592478510081</v>
      </c>
      <c r="M142">
        <f t="shared" si="155"/>
        <v>3.3107957134389396E-2</v>
      </c>
    </row>
    <row r="143" spans="1:13" x14ac:dyDescent="0.25">
      <c r="A143" s="18">
        <v>21824</v>
      </c>
      <c r="B143">
        <v>68821</v>
      </c>
      <c r="C143">
        <v>3910</v>
      </c>
      <c r="D143">
        <v>1750</v>
      </c>
      <c r="E143">
        <f t="shared" si="138"/>
        <v>1750</v>
      </c>
      <c r="F143">
        <f t="shared" si="139"/>
        <v>0.42250639386189259</v>
      </c>
      <c r="G143">
        <f t="shared" si="140"/>
        <v>0.54905790826980416</v>
      </c>
      <c r="H143">
        <v>3.4964828188217799E-2</v>
      </c>
      <c r="I143">
        <f t="shared" si="141"/>
        <v>4120.2410292022878</v>
      </c>
      <c r="J143">
        <f t="shared" si="142"/>
        <v>0.44234943282305916</v>
      </c>
      <c r="K143">
        <f t="shared" si="143"/>
        <v>5.649311241178619E-16</v>
      </c>
      <c r="L143">
        <f t="shared" ref="L143:M143" si="156">AVERAGE(G141:G143)</f>
        <v>0.53627877073232522</v>
      </c>
      <c r="M143">
        <f t="shared" si="156"/>
        <v>3.3912171985182961E-2</v>
      </c>
    </row>
    <row r="144" spans="1:13" x14ac:dyDescent="0.25">
      <c r="A144" s="18">
        <v>21855</v>
      </c>
      <c r="B144">
        <v>68533</v>
      </c>
      <c r="C144">
        <v>4003</v>
      </c>
      <c r="D144">
        <v>1745</v>
      </c>
      <c r="E144">
        <f t="shared" si="138"/>
        <v>1745</v>
      </c>
      <c r="F144">
        <f t="shared" si="139"/>
        <v>0.50137396952285784</v>
      </c>
      <c r="G144">
        <f t="shared" si="140"/>
        <v>0.69589890212116434</v>
      </c>
      <c r="H144">
        <v>3.5521751050287965E-2</v>
      </c>
      <c r="I144">
        <f t="shared" si="141"/>
        <v>3328.3339131507055</v>
      </c>
      <c r="J144">
        <f t="shared" si="142"/>
        <v>0.51877514936741154</v>
      </c>
      <c r="K144">
        <f t="shared" si="143"/>
        <v>4.6785939804834292E-16</v>
      </c>
      <c r="L144">
        <f t="shared" ref="L144:M144" si="157">AVERAGE(G142:G144)</f>
        <v>0.60108299046529434</v>
      </c>
      <c r="M144">
        <f t="shared" si="157"/>
        <v>3.5263121877835875E-2</v>
      </c>
    </row>
    <row r="145" spans="1:13" x14ac:dyDescent="0.25">
      <c r="A145" s="18">
        <v>21885</v>
      </c>
      <c r="B145">
        <v>68994</v>
      </c>
      <c r="C145">
        <v>3653</v>
      </c>
      <c r="D145">
        <v>1657</v>
      </c>
      <c r="E145">
        <f t="shared" si="138"/>
        <v>1657</v>
      </c>
      <c r="F145">
        <f t="shared" si="139"/>
        <v>0.45880098549137693</v>
      </c>
      <c r="G145">
        <f t="shared" si="140"/>
        <v>0.61396820362466553</v>
      </c>
      <c r="H145">
        <v>3.3534914014888201E-2</v>
      </c>
      <c r="I145">
        <f t="shared" si="141"/>
        <v>3573.2767835585478</v>
      </c>
      <c r="J145">
        <f t="shared" si="142"/>
        <v>0.47664910766567048</v>
      </c>
      <c r="K145">
        <f t="shared" si="143"/>
        <v>5.2646074198570977E-16</v>
      </c>
      <c r="L145">
        <f t="shared" ref="L145:M145" si="158">AVERAGE(G143:G145)</f>
        <v>0.61964167133854475</v>
      </c>
      <c r="M145">
        <f t="shared" si="158"/>
        <v>3.4673831084464653E-2</v>
      </c>
    </row>
    <row r="146" spans="1:13" x14ac:dyDescent="0.25">
      <c r="A146" s="18">
        <v>21916</v>
      </c>
      <c r="B146">
        <v>68962</v>
      </c>
      <c r="C146">
        <v>3615</v>
      </c>
      <c r="D146">
        <v>1638</v>
      </c>
      <c r="E146">
        <f t="shared" si="138"/>
        <v>1638</v>
      </c>
      <c r="F146">
        <f t="shared" si="139"/>
        <v>0.47496542185338864</v>
      </c>
      <c r="G146">
        <f t="shared" si="140"/>
        <v>0.64429115542299187</v>
      </c>
      <c r="H146">
        <v>2.962644197367055E-2</v>
      </c>
      <c r="I146">
        <f t="shared" si="141"/>
        <v>3031.6743460635839</v>
      </c>
      <c r="J146">
        <f t="shared" si="142"/>
        <v>0.49029216878697757</v>
      </c>
      <c r="K146">
        <f t="shared" si="143"/>
        <v>5.0322543792962285E-16</v>
      </c>
      <c r="L146">
        <f t="shared" ref="L146:M146" si="159">AVERAGE(G144:G146)</f>
        <v>0.65138608705627388</v>
      </c>
      <c r="M146">
        <f t="shared" si="159"/>
        <v>3.2894369012948906E-2</v>
      </c>
    </row>
    <row r="147" spans="1:13" x14ac:dyDescent="0.25">
      <c r="A147" s="18">
        <v>21947</v>
      </c>
      <c r="B147">
        <v>68949</v>
      </c>
      <c r="C147">
        <v>3329</v>
      </c>
      <c r="D147">
        <v>1431</v>
      </c>
      <c r="E147">
        <f t="shared" si="138"/>
        <v>1431</v>
      </c>
      <c r="F147">
        <f t="shared" si="139"/>
        <v>0.38119555422048668</v>
      </c>
      <c r="G147">
        <f t="shared" si="140"/>
        <v>0.47996597579139827</v>
      </c>
      <c r="H147">
        <v>3.2079919631843569E-2</v>
      </c>
      <c r="I147">
        <f t="shared" si="141"/>
        <v>4319.6877437474805</v>
      </c>
      <c r="J147">
        <f t="shared" si="142"/>
        <v>0.40073171645712613</v>
      </c>
      <c r="K147">
        <f t="shared" si="143"/>
        <v>6.2325995360921831E-16</v>
      </c>
      <c r="L147">
        <f t="shared" ref="L147:M147" si="160">AVERAGE(G145:G147)</f>
        <v>0.57940844494635191</v>
      </c>
      <c r="M147">
        <f t="shared" si="160"/>
        <v>3.1747091873467442E-2</v>
      </c>
    </row>
    <row r="148" spans="1:13" x14ac:dyDescent="0.25">
      <c r="A148" s="18">
        <v>21976</v>
      </c>
      <c r="B148">
        <v>68399</v>
      </c>
      <c r="C148">
        <v>3726</v>
      </c>
      <c r="D148">
        <v>1666</v>
      </c>
      <c r="E148">
        <f t="shared" si="138"/>
        <v>1666</v>
      </c>
      <c r="F148">
        <f t="shared" si="139"/>
        <v>0.49409554482018248</v>
      </c>
      <c r="G148">
        <f t="shared" si="140"/>
        <v>0.68140745127942259</v>
      </c>
      <c r="H148">
        <v>3.6960260774307759E-2</v>
      </c>
      <c r="I148">
        <f t="shared" si="141"/>
        <v>3519.151590867702</v>
      </c>
      <c r="J148">
        <f t="shared" si="142"/>
        <v>0.51245257540426725</v>
      </c>
      <c r="K148">
        <f t="shared" si="143"/>
        <v>4.7866218990546702E-16</v>
      </c>
      <c r="L148">
        <f t="shared" ref="L148:M148" si="161">AVERAGE(G146:G148)</f>
        <v>0.60188819416460426</v>
      </c>
      <c r="M148">
        <f t="shared" si="161"/>
        <v>3.2888874126607293E-2</v>
      </c>
    </row>
    <row r="149" spans="1:13" x14ac:dyDescent="0.25">
      <c r="A149" s="18">
        <v>22007</v>
      </c>
      <c r="B149">
        <v>69579</v>
      </c>
      <c r="C149">
        <v>3620</v>
      </c>
      <c r="D149">
        <v>1735</v>
      </c>
      <c r="E149">
        <f t="shared" si="138"/>
        <v>1735</v>
      </c>
      <c r="F149">
        <f t="shared" si="139"/>
        <v>0.48867403314917124</v>
      </c>
      <c r="G149">
        <f t="shared" si="140"/>
        <v>0.6707479922463192</v>
      </c>
      <c r="H149">
        <v>3.5734147407069601E-2</v>
      </c>
      <c r="I149">
        <f t="shared" si="141"/>
        <v>3519.3334733930233</v>
      </c>
      <c r="J149">
        <f t="shared" si="142"/>
        <v>0.50662322120934045</v>
      </c>
      <c r="K149">
        <f t="shared" si="143"/>
        <v>5.0255238360586014E-16</v>
      </c>
      <c r="L149">
        <f t="shared" ref="L149:M149" si="162">AVERAGE(G147:G149)</f>
        <v>0.61070713977238</v>
      </c>
      <c r="M149">
        <f t="shared" si="162"/>
        <v>3.4924775937740314E-2</v>
      </c>
    </row>
    <row r="150" spans="1:13" x14ac:dyDescent="0.25">
      <c r="A150" s="18">
        <v>22037</v>
      </c>
      <c r="B150">
        <v>69626</v>
      </c>
      <c r="C150">
        <v>3569</v>
      </c>
      <c r="D150">
        <v>1718</v>
      </c>
      <c r="E150">
        <f t="shared" si="138"/>
        <v>1718</v>
      </c>
      <c r="F150">
        <f t="shared" si="139"/>
        <v>0.43177360605211546</v>
      </c>
      <c r="G150">
        <f t="shared" si="140"/>
        <v>0.56523535877908659</v>
      </c>
      <c r="H150">
        <v>3.4504581792847475E-2</v>
      </c>
      <c r="I150">
        <f t="shared" si="141"/>
        <v>4005.7629138685779</v>
      </c>
      <c r="J150">
        <f t="shared" si="142"/>
        <v>0.45104562170585205</v>
      </c>
      <c r="K150">
        <f t="shared" si="143"/>
        <v>5.718045332346006E-16</v>
      </c>
      <c r="L150">
        <f t="shared" ref="L150:M150" si="163">AVERAGE(G148:G150)</f>
        <v>0.63913026743494272</v>
      </c>
      <c r="M150">
        <f t="shared" si="163"/>
        <v>3.5732996658074945E-2</v>
      </c>
    </row>
    <row r="151" spans="1:13" x14ac:dyDescent="0.25">
      <c r="A151" s="18">
        <v>22068</v>
      </c>
      <c r="B151">
        <v>69934</v>
      </c>
      <c r="C151">
        <v>3766</v>
      </c>
      <c r="D151">
        <v>1738</v>
      </c>
      <c r="E151">
        <f t="shared" si="138"/>
        <v>1738</v>
      </c>
      <c r="F151">
        <f t="shared" si="139"/>
        <v>0.43520977164099839</v>
      </c>
      <c r="G151">
        <f t="shared" si="140"/>
        <v>0.57130089401686046</v>
      </c>
      <c r="H151">
        <v>3.3926156605876161E-2</v>
      </c>
      <c r="I151">
        <f t="shared" si="141"/>
        <v>3920.1681974295616</v>
      </c>
      <c r="J151">
        <f t="shared" si="142"/>
        <v>0.45404954582437451</v>
      </c>
      <c r="K151">
        <f t="shared" si="143"/>
        <v>5.5013509531296636E-16</v>
      </c>
      <c r="L151">
        <f t="shared" ref="L151:M151" si="164">AVERAGE(G149:G151)</f>
        <v>0.60242808168075535</v>
      </c>
      <c r="M151">
        <f t="shared" si="164"/>
        <v>3.4721628601931086E-2</v>
      </c>
    </row>
    <row r="152" spans="1:13" x14ac:dyDescent="0.25">
      <c r="A152" s="18">
        <v>22098</v>
      </c>
      <c r="B152">
        <v>69745</v>
      </c>
      <c r="C152">
        <v>3836</v>
      </c>
      <c r="D152">
        <v>1709</v>
      </c>
      <c r="E152">
        <f t="shared" si="138"/>
        <v>1709</v>
      </c>
      <c r="F152">
        <f t="shared" si="139"/>
        <v>0.42648592283628783</v>
      </c>
      <c r="G152">
        <f t="shared" si="140"/>
        <v>0.55597279665692168</v>
      </c>
      <c r="H152">
        <v>3.456841646049582E-2</v>
      </c>
      <c r="I152">
        <f t="shared" si="141"/>
        <v>4082.6519004659312</v>
      </c>
      <c r="J152">
        <f t="shared" si="142"/>
        <v>0.44597264329352115</v>
      </c>
      <c r="K152">
        <f t="shared" si="143"/>
        <v>5.8378466614682246E-16</v>
      </c>
      <c r="L152">
        <f t="shared" ref="L152:M152" si="165">AVERAGE(G150:G152)</f>
        <v>0.56416968315095628</v>
      </c>
      <c r="M152">
        <f t="shared" si="165"/>
        <v>3.4333051619739818E-2</v>
      </c>
    </row>
    <row r="153" spans="1:13" x14ac:dyDescent="0.25">
      <c r="A153" s="18">
        <v>22129</v>
      </c>
      <c r="B153">
        <v>69841</v>
      </c>
      <c r="C153">
        <v>3946</v>
      </c>
      <c r="D153">
        <v>1746</v>
      </c>
      <c r="E153">
        <f t="shared" si="138"/>
        <v>1746</v>
      </c>
      <c r="F153">
        <f t="shared" si="139"/>
        <v>0.44069944247339077</v>
      </c>
      <c r="G153">
        <f t="shared" si="140"/>
        <v>0.58106828032582425</v>
      </c>
      <c r="H153">
        <v>3.3536735760807491E-2</v>
      </c>
      <c r="I153">
        <f t="shared" si="141"/>
        <v>3810.9665573253392</v>
      </c>
      <c r="J153">
        <f t="shared" si="142"/>
        <v>0.45914551805526149</v>
      </c>
      <c r="K153">
        <f t="shared" si="143"/>
        <v>6.9845245779361649E-17</v>
      </c>
      <c r="L153">
        <f t="shared" ref="L153:M153" si="166">AVERAGE(G151:G153)</f>
        <v>0.5694473236665355</v>
      </c>
      <c r="M153">
        <f t="shared" si="166"/>
        <v>3.4010436275726495E-2</v>
      </c>
    </row>
    <row r="154" spans="1:13" x14ac:dyDescent="0.25">
      <c r="A154" s="18">
        <v>22160</v>
      </c>
      <c r="B154">
        <v>70151</v>
      </c>
      <c r="C154">
        <v>3884</v>
      </c>
      <c r="D154">
        <v>1677</v>
      </c>
      <c r="E154">
        <f t="shared" si="138"/>
        <v>1677</v>
      </c>
      <c r="F154">
        <f t="shared" si="139"/>
        <v>0.35993820803295573</v>
      </c>
      <c r="G154">
        <f t="shared" si="140"/>
        <v>0.44619055734055912</v>
      </c>
      <c r="H154">
        <v>3.3141992897859893E-2</v>
      </c>
      <c r="I154">
        <f t="shared" si="141"/>
        <v>4850.3777651264172</v>
      </c>
      <c r="J154">
        <f t="shared" si="142"/>
        <v>0.38080346350520355</v>
      </c>
      <c r="K154">
        <f t="shared" si="143"/>
        <v>2.1191708526968732E-16</v>
      </c>
      <c r="L154">
        <f t="shared" ref="L154:M154" si="167">AVERAGE(G152:G154)</f>
        <v>0.52774387810776835</v>
      </c>
      <c r="M154">
        <f t="shared" si="167"/>
        <v>3.3749048373054404E-2</v>
      </c>
    </row>
    <row r="155" spans="1:13" x14ac:dyDescent="0.25">
      <c r="A155" s="18">
        <v>22190</v>
      </c>
      <c r="B155">
        <v>69884</v>
      </c>
      <c r="C155">
        <v>4252</v>
      </c>
      <c r="D155">
        <v>1766</v>
      </c>
      <c r="E155">
        <f t="shared" si="138"/>
        <v>1766</v>
      </c>
      <c r="F155">
        <f t="shared" si="139"/>
        <v>0.38570084666039506</v>
      </c>
      <c r="G155">
        <f t="shared" si="140"/>
        <v>0.48727324906551678</v>
      </c>
      <c r="H155">
        <v>3.3092581423210414E-2</v>
      </c>
      <c r="I155">
        <f t="shared" si="141"/>
        <v>4444.2617571711135</v>
      </c>
      <c r="J155">
        <f t="shared" si="142"/>
        <v>0.4056969059943577</v>
      </c>
      <c r="K155">
        <f t="shared" si="143"/>
        <v>6.431012361435315E-16</v>
      </c>
      <c r="L155">
        <f t="shared" ref="L155:M155" si="168">AVERAGE(G153:G155)</f>
        <v>0.5048440289106334</v>
      </c>
      <c r="M155">
        <f t="shared" si="168"/>
        <v>3.3257103360625935E-2</v>
      </c>
    </row>
    <row r="156" spans="1:13" x14ac:dyDescent="0.25">
      <c r="A156" s="18">
        <v>22221</v>
      </c>
      <c r="B156">
        <v>70439</v>
      </c>
      <c r="C156">
        <v>4330</v>
      </c>
      <c r="D156">
        <v>1718</v>
      </c>
      <c r="E156">
        <f t="shared" si="138"/>
        <v>1718</v>
      </c>
      <c r="F156">
        <f t="shared" si="139"/>
        <v>0.41916859122401851</v>
      </c>
      <c r="G156">
        <f t="shared" si="140"/>
        <v>0.54329473846269605</v>
      </c>
      <c r="H156">
        <v>4.1317914259892591E-2</v>
      </c>
      <c r="I156">
        <f t="shared" si="141"/>
        <v>4978.3263311162345</v>
      </c>
      <c r="J156">
        <f t="shared" si="142"/>
        <v>0.442678302950126</v>
      </c>
      <c r="K156">
        <f t="shared" si="143"/>
        <v>2.694975115213078E-16</v>
      </c>
      <c r="L156">
        <f t="shared" ref="L156:M156" si="169">AVERAGE(G154:G156)</f>
        <v>0.49225284828959065</v>
      </c>
      <c r="M156">
        <f t="shared" si="169"/>
        <v>3.5850829526987628E-2</v>
      </c>
    </row>
    <row r="157" spans="1:13" x14ac:dyDescent="0.25">
      <c r="A157" s="18">
        <v>22251</v>
      </c>
      <c r="B157">
        <v>70395</v>
      </c>
      <c r="C157">
        <v>4617</v>
      </c>
      <c r="D157">
        <v>2102</v>
      </c>
      <c r="E157">
        <f t="shared" si="138"/>
        <v>2102</v>
      </c>
      <c r="F157">
        <f t="shared" si="139"/>
        <v>0.39636127355425599</v>
      </c>
      <c r="G157">
        <f t="shared" si="140"/>
        <v>0.50477939502504066</v>
      </c>
      <c r="H157">
        <v>3.6493855800488667E-2</v>
      </c>
      <c r="I157">
        <f t="shared" si="141"/>
        <v>4746.1886859498072</v>
      </c>
      <c r="J157">
        <f t="shared" si="142"/>
        <v>0.41799326015352611</v>
      </c>
      <c r="K157">
        <f t="shared" si="143"/>
        <v>2.2832252527122701E-16</v>
      </c>
      <c r="L157">
        <f t="shared" ref="L157:M157" si="170">AVERAGE(G155:G157)</f>
        <v>0.51178246085108448</v>
      </c>
      <c r="M157">
        <f t="shared" si="170"/>
        <v>3.6968117161197224E-2</v>
      </c>
    </row>
    <row r="158" spans="1:13" x14ac:dyDescent="0.25">
      <c r="A158" s="18">
        <v>22282</v>
      </c>
      <c r="B158">
        <v>70447</v>
      </c>
      <c r="C158">
        <v>4671</v>
      </c>
      <c r="D158">
        <v>1884</v>
      </c>
      <c r="E158">
        <f t="shared" si="138"/>
        <v>1884</v>
      </c>
      <c r="F158">
        <f t="shared" si="139"/>
        <v>0.40162706058659814</v>
      </c>
      <c r="G158">
        <f t="shared" si="140"/>
        <v>0.51354107491290846</v>
      </c>
      <c r="H158">
        <v>3.9655310931614902E-2</v>
      </c>
      <c r="I158">
        <f t="shared" si="141"/>
        <v>5049.9203550194916</v>
      </c>
      <c r="J158">
        <f t="shared" si="142"/>
        <v>0.42489139964995626</v>
      </c>
      <c r="K158">
        <f t="shared" si="143"/>
        <v>8.1071971836322242E-21</v>
      </c>
      <c r="L158">
        <f t="shared" ref="L158:M158" si="171">AVERAGE(G156:G158)</f>
        <v>0.52053840280021502</v>
      </c>
      <c r="M158">
        <f t="shared" si="171"/>
        <v>3.9155693663998715E-2</v>
      </c>
    </row>
    <row r="159" spans="1:13" x14ac:dyDescent="0.25">
      <c r="A159" s="18">
        <v>22313</v>
      </c>
      <c r="B159">
        <v>70420</v>
      </c>
      <c r="C159">
        <v>4832</v>
      </c>
      <c r="D159">
        <v>2037</v>
      </c>
      <c r="E159">
        <f t="shared" si="138"/>
        <v>2037</v>
      </c>
      <c r="F159">
        <f t="shared" si="139"/>
        <v>0.38120860927152322</v>
      </c>
      <c r="G159">
        <f t="shared" si="140"/>
        <v>0.47998707322991885</v>
      </c>
      <c r="H159">
        <v>3.5771428664835694E-2</v>
      </c>
      <c r="I159">
        <f t="shared" si="141"/>
        <v>4884.1153317367134</v>
      </c>
      <c r="J159">
        <f t="shared" si="142"/>
        <v>0.40295243887979404</v>
      </c>
      <c r="K159">
        <f t="shared" si="143"/>
        <v>6.9369325015105488E-16</v>
      </c>
      <c r="L159">
        <f t="shared" ref="L159:M159" si="172">AVERAGE(G157:G159)</f>
        <v>0.49943584772262267</v>
      </c>
      <c r="M159">
        <f t="shared" si="172"/>
        <v>3.7306865132313086E-2</v>
      </c>
    </row>
    <row r="160" spans="1:13" x14ac:dyDescent="0.25">
      <c r="A160" s="18">
        <v>22341</v>
      </c>
      <c r="B160">
        <v>70703</v>
      </c>
      <c r="C160">
        <v>4853</v>
      </c>
      <c r="D160">
        <v>1863</v>
      </c>
      <c r="E160">
        <f t="shared" si="138"/>
        <v>1863</v>
      </c>
      <c r="F160">
        <f t="shared" si="139"/>
        <v>0.34803214506490832</v>
      </c>
      <c r="G160">
        <f t="shared" si="140"/>
        <v>0.4277600205176717</v>
      </c>
      <c r="H160">
        <v>3.2282812832765351E-2</v>
      </c>
      <c r="I160">
        <f t="shared" si="141"/>
        <v>4961.4765196794688</v>
      </c>
      <c r="J160">
        <f t="shared" si="142"/>
        <v>0.3687433939075887</v>
      </c>
      <c r="K160">
        <f t="shared" si="143"/>
        <v>6.7032242661367155E-16</v>
      </c>
      <c r="L160">
        <f t="shared" ref="L160:M160" si="173">AVERAGE(G158:G160)</f>
        <v>0.47376272288683302</v>
      </c>
      <c r="M160">
        <f t="shared" si="173"/>
        <v>3.5903184143071983E-2</v>
      </c>
    </row>
    <row r="161" spans="1:13" x14ac:dyDescent="0.25">
      <c r="A161" s="18">
        <v>22372</v>
      </c>
      <c r="B161">
        <v>70267</v>
      </c>
      <c r="C161">
        <v>4893</v>
      </c>
      <c r="D161">
        <v>1729</v>
      </c>
      <c r="E161">
        <f t="shared" si="138"/>
        <v>1729</v>
      </c>
      <c r="F161">
        <f t="shared" si="139"/>
        <v>0.33476394849785407</v>
      </c>
      <c r="G161">
        <f t="shared" si="140"/>
        <v>0.40761333664645394</v>
      </c>
      <c r="H161">
        <v>3.2588395010009021E-2</v>
      </c>
      <c r="I161">
        <f t="shared" si="141"/>
        <v>5201.9076425518278</v>
      </c>
      <c r="J161">
        <f t="shared" si="142"/>
        <v>0.35609348834704335</v>
      </c>
      <c r="K161">
        <f t="shared" si="143"/>
        <v>1.7801662972886328E-16</v>
      </c>
      <c r="L161">
        <f t="shared" ref="L161:M161" si="174">AVERAGE(G159:G161)</f>
        <v>0.43845347679801483</v>
      </c>
      <c r="M161">
        <f t="shared" si="174"/>
        <v>3.3547545502536691E-2</v>
      </c>
    </row>
    <row r="162" spans="1:13" x14ac:dyDescent="0.25">
      <c r="A162" s="18">
        <v>22402</v>
      </c>
      <c r="B162">
        <v>70452</v>
      </c>
      <c r="C162">
        <v>5003</v>
      </c>
      <c r="D162">
        <v>1748</v>
      </c>
      <c r="E162">
        <f t="shared" si="138"/>
        <v>1748</v>
      </c>
      <c r="F162">
        <f t="shared" si="139"/>
        <v>0.39156506096342192</v>
      </c>
      <c r="G162">
        <f t="shared" si="140"/>
        <v>0.49686529250662853</v>
      </c>
      <c r="H162">
        <v>3.5655592834131299E-2</v>
      </c>
      <c r="I162">
        <f t="shared" si="141"/>
        <v>4717.2005746643836</v>
      </c>
      <c r="J162">
        <f t="shared" si="142"/>
        <v>0.41287696727983636</v>
      </c>
      <c r="K162">
        <f t="shared" si="143"/>
        <v>2.9279430570259008E-16</v>
      </c>
      <c r="L162">
        <f t="shared" ref="L162:M162" si="175">AVERAGE(G160:G162)</f>
        <v>0.44407954989025139</v>
      </c>
      <c r="M162">
        <f t="shared" si="175"/>
        <v>3.3508933558968557E-2</v>
      </c>
    </row>
    <row r="163" spans="1:13" x14ac:dyDescent="0.25">
      <c r="A163" s="18">
        <v>22433</v>
      </c>
      <c r="B163">
        <v>70878</v>
      </c>
      <c r="C163">
        <v>4885</v>
      </c>
      <c r="D163">
        <v>1841</v>
      </c>
      <c r="E163">
        <f t="shared" si="138"/>
        <v>1841</v>
      </c>
      <c r="F163">
        <f t="shared" si="139"/>
        <v>0.35742067553735923</v>
      </c>
      <c r="G163">
        <f t="shared" si="140"/>
        <v>0.44226500763492954</v>
      </c>
      <c r="H163">
        <v>3.3556634365596215E-2</v>
      </c>
      <c r="I163">
        <f t="shared" si="141"/>
        <v>4998.568624505946</v>
      </c>
      <c r="J163">
        <f t="shared" si="142"/>
        <v>0.37862570055842548</v>
      </c>
      <c r="K163">
        <f t="shared" si="143"/>
        <v>2.256368848892266E-16</v>
      </c>
      <c r="L163">
        <f t="shared" ref="L163:M163" si="176">AVERAGE(G161:G163)</f>
        <v>0.44891454559600397</v>
      </c>
      <c r="M163">
        <f t="shared" si="176"/>
        <v>3.3933540736578845E-2</v>
      </c>
    </row>
    <row r="164" spans="1:13" x14ac:dyDescent="0.25">
      <c r="A164" s="18">
        <v>22463</v>
      </c>
      <c r="B164">
        <v>70536</v>
      </c>
      <c r="C164">
        <v>4928</v>
      </c>
      <c r="D164">
        <v>1789</v>
      </c>
      <c r="E164">
        <f t="shared" si="138"/>
        <v>1789</v>
      </c>
      <c r="F164">
        <f t="shared" si="139"/>
        <v>0.3950892857142857</v>
      </c>
      <c r="G164">
        <f t="shared" si="140"/>
        <v>0.50267441153528425</v>
      </c>
      <c r="H164">
        <v>3.2914422958766829E-2</v>
      </c>
      <c r="I164">
        <f t="shared" si="141"/>
        <v>4334.7650068410167</v>
      </c>
      <c r="J164">
        <f t="shared" si="142"/>
        <v>0.4146754706218726</v>
      </c>
      <c r="K164">
        <f t="shared" si="143"/>
        <v>5.0334785983310008E-16</v>
      </c>
      <c r="L164">
        <f t="shared" ref="L164:M164" si="177">AVERAGE(G162:G164)</f>
        <v>0.48060157055894742</v>
      </c>
      <c r="M164">
        <f t="shared" si="177"/>
        <v>3.4042216719498114E-2</v>
      </c>
    </row>
    <row r="165" spans="1:13" x14ac:dyDescent="0.25">
      <c r="A165" s="18">
        <v>22494</v>
      </c>
      <c r="B165">
        <v>70534</v>
      </c>
      <c r="C165">
        <v>4682</v>
      </c>
      <c r="D165">
        <v>1701</v>
      </c>
      <c r="E165">
        <f t="shared" si="138"/>
        <v>1701</v>
      </c>
      <c r="F165">
        <f t="shared" si="139"/>
        <v>0.39833404527979499</v>
      </c>
      <c r="G165">
        <f t="shared" si="140"/>
        <v>0.50805288017448358</v>
      </c>
      <c r="H165">
        <v>3.6003828904723444E-2</v>
      </c>
      <c r="I165">
        <f t="shared" si="141"/>
        <v>4667.7010421647956</v>
      </c>
      <c r="J165">
        <f t="shared" si="142"/>
        <v>0.41961099911833932</v>
      </c>
      <c r="K165">
        <f t="shared" si="143"/>
        <v>2.695871026262728E-16</v>
      </c>
      <c r="L165">
        <f t="shared" ref="L165:M165" si="178">AVERAGE(G163:G165)</f>
        <v>0.48433076644823253</v>
      </c>
      <c r="M165">
        <f t="shared" si="178"/>
        <v>3.4158295409695498E-2</v>
      </c>
    </row>
    <row r="166" spans="1:13" x14ac:dyDescent="0.25">
      <c r="A166" s="18">
        <v>22525</v>
      </c>
      <c r="B166">
        <v>70217</v>
      </c>
      <c r="C166">
        <v>4676</v>
      </c>
      <c r="D166">
        <v>1859</v>
      </c>
      <c r="E166">
        <f t="shared" si="138"/>
        <v>1859</v>
      </c>
      <c r="F166">
        <f t="shared" si="139"/>
        <v>0.40932420872540631</v>
      </c>
      <c r="G166">
        <f t="shared" si="140"/>
        <v>0.52648798862272161</v>
      </c>
      <c r="H166">
        <v>3.5507823507723711E-2</v>
      </c>
      <c r="I166">
        <f t="shared" si="141"/>
        <v>4436.4260185325447</v>
      </c>
      <c r="J166">
        <f t="shared" si="142"/>
        <v>0.4299298252474566</v>
      </c>
      <c r="K166">
        <f t="shared" si="143"/>
        <v>1.9209377220020608E-16</v>
      </c>
      <c r="L166">
        <f t="shared" ref="L166:M166" si="179">AVERAGE(G164:G166)</f>
        <v>0.51240509344416318</v>
      </c>
      <c r="M166">
        <f t="shared" si="179"/>
        <v>3.4808691790404661E-2</v>
      </c>
    </row>
    <row r="167" spans="1:13" x14ac:dyDescent="0.25">
      <c r="A167" s="18">
        <v>22555</v>
      </c>
      <c r="B167">
        <v>70492</v>
      </c>
      <c r="C167">
        <v>4573</v>
      </c>
      <c r="D167">
        <v>1811</v>
      </c>
      <c r="E167">
        <f t="shared" si="138"/>
        <v>1811</v>
      </c>
      <c r="F167">
        <f t="shared" si="139"/>
        <v>0.4189809752897441</v>
      </c>
      <c r="G167">
        <f t="shared" si="140"/>
        <v>0.54297177789824158</v>
      </c>
      <c r="H167">
        <v>3.2122025937569715E-2</v>
      </c>
      <c r="I167">
        <f t="shared" si="141"/>
        <v>3937.3504588090345</v>
      </c>
      <c r="J167">
        <f t="shared" si="142"/>
        <v>0.43734791259258055</v>
      </c>
      <c r="K167">
        <f t="shared" si="143"/>
        <v>3.8807641659068323E-16</v>
      </c>
      <c r="L167">
        <f t="shared" ref="L167:M167" si="180">AVERAGE(G165:G167)</f>
        <v>0.52583754889848222</v>
      </c>
      <c r="M167">
        <f t="shared" si="180"/>
        <v>3.4544559450005626E-2</v>
      </c>
    </row>
    <row r="168" spans="1:13" x14ac:dyDescent="0.25">
      <c r="A168" s="18">
        <v>22586</v>
      </c>
      <c r="B168">
        <v>70376</v>
      </c>
      <c r="C168">
        <v>4295</v>
      </c>
      <c r="D168">
        <v>1638</v>
      </c>
      <c r="E168">
        <f t="shared" si="138"/>
        <v>1638</v>
      </c>
      <c r="F168">
        <f t="shared" si="139"/>
        <v>0.43119906868451685</v>
      </c>
      <c r="G168">
        <f t="shared" si="140"/>
        <v>0.56422476316061521</v>
      </c>
      <c r="H168">
        <v>3.4299279492518465E-2</v>
      </c>
      <c r="I168">
        <f t="shared" si="141"/>
        <v>4032.9977102764283</v>
      </c>
      <c r="J168">
        <f t="shared" si="142"/>
        <v>0.4503777432660484</v>
      </c>
      <c r="K168">
        <f t="shared" si="143"/>
        <v>5.6456369276451253E-16</v>
      </c>
      <c r="L168">
        <f t="shared" ref="L168:M168" si="181">AVERAGE(G166:G168)</f>
        <v>0.54456150989385954</v>
      </c>
      <c r="M168">
        <f t="shared" si="181"/>
        <v>3.3976376312603966E-2</v>
      </c>
    </row>
    <row r="169" spans="1:13" x14ac:dyDescent="0.25">
      <c r="A169" s="18">
        <v>22616</v>
      </c>
      <c r="B169">
        <v>70077</v>
      </c>
      <c r="C169">
        <v>4177</v>
      </c>
      <c r="D169">
        <v>1734</v>
      </c>
      <c r="E169">
        <f t="shared" si="138"/>
        <v>1734</v>
      </c>
      <c r="F169">
        <f t="shared" si="139"/>
        <v>0.43021307158247546</v>
      </c>
      <c r="G169">
        <f t="shared" si="140"/>
        <v>0.56249279783165496</v>
      </c>
      <c r="H169">
        <v>3.3719077452916843E-2</v>
      </c>
      <c r="I169">
        <f t="shared" si="141"/>
        <v>3963.2417411012266</v>
      </c>
      <c r="J169">
        <f t="shared" si="142"/>
        <v>0.44910545431331006</v>
      </c>
      <c r="K169">
        <f t="shared" si="143"/>
        <v>5.7812891217990035E-16</v>
      </c>
      <c r="L169">
        <f t="shared" ref="L169:M169" si="182">AVERAGE(G167:G169)</f>
        <v>0.55656311296350391</v>
      </c>
      <c r="M169">
        <f t="shared" si="182"/>
        <v>3.3380127627668336E-2</v>
      </c>
    </row>
    <row r="170" spans="1:13" x14ac:dyDescent="0.25">
      <c r="A170" s="18">
        <v>22647</v>
      </c>
      <c r="B170">
        <v>70189</v>
      </c>
      <c r="C170">
        <v>4081</v>
      </c>
      <c r="D170">
        <v>1701</v>
      </c>
      <c r="E170">
        <f t="shared" si="138"/>
        <v>1701</v>
      </c>
      <c r="F170">
        <f t="shared" si="139"/>
        <v>0.41999509924038225</v>
      </c>
      <c r="G170">
        <f t="shared" si="140"/>
        <v>0.54471872589182169</v>
      </c>
      <c r="H170">
        <v>2.9451374485829743E-2</v>
      </c>
      <c r="I170">
        <f t="shared" si="141"/>
        <v>3600.2615295123514</v>
      </c>
      <c r="J170">
        <f t="shared" si="142"/>
        <v>0.43682794880449749</v>
      </c>
      <c r="K170">
        <f t="shared" si="143"/>
        <v>6.4869490193367538E-16</v>
      </c>
      <c r="L170">
        <f t="shared" ref="L170:M170" si="183">AVERAGE(G168:G170)</f>
        <v>0.55714542896136399</v>
      </c>
      <c r="M170">
        <f t="shared" si="183"/>
        <v>3.2489910477088352E-2</v>
      </c>
    </row>
    <row r="171" spans="1:13" x14ac:dyDescent="0.25">
      <c r="A171" s="18">
        <v>22678</v>
      </c>
      <c r="B171">
        <v>70409</v>
      </c>
      <c r="C171">
        <v>3871</v>
      </c>
      <c r="D171">
        <v>1504</v>
      </c>
      <c r="E171">
        <f t="shared" si="138"/>
        <v>1504</v>
      </c>
      <c r="F171">
        <f t="shared" si="139"/>
        <v>0.43167140273831051</v>
      </c>
      <c r="G171">
        <f t="shared" si="140"/>
        <v>0.56505551123124087</v>
      </c>
      <c r="H171">
        <v>3.3872206259934881E-2</v>
      </c>
      <c r="I171">
        <f t="shared" si="141"/>
        <v>3981.9632668626541</v>
      </c>
      <c r="J171">
        <f t="shared" si="142"/>
        <v>0.45059956716614413</v>
      </c>
      <c r="K171">
        <f t="shared" si="143"/>
        <v>3.8625106141653083E-16</v>
      </c>
      <c r="L171">
        <f t="shared" ref="L171:M171" si="184">AVERAGE(G169:G171)</f>
        <v>0.55742234498490584</v>
      </c>
      <c r="M171">
        <f t="shared" si="184"/>
        <v>3.2347552732893824E-2</v>
      </c>
    </row>
    <row r="172" spans="1:13" x14ac:dyDescent="0.25">
      <c r="A172" s="18">
        <v>22706</v>
      </c>
      <c r="B172">
        <v>70414</v>
      </c>
      <c r="C172">
        <v>3921</v>
      </c>
      <c r="D172">
        <v>1721</v>
      </c>
      <c r="E172">
        <f t="shared" si="138"/>
        <v>1721</v>
      </c>
      <c r="F172">
        <f t="shared" si="139"/>
        <v>0.41928079571537868</v>
      </c>
      <c r="G172">
        <f t="shared" si="140"/>
        <v>0.54348793622859193</v>
      </c>
      <c r="H172">
        <v>3.1752072171711741E-2</v>
      </c>
      <c r="I172">
        <f t="shared" si="141"/>
        <v>3886.7088124076499</v>
      </c>
      <c r="J172">
        <f t="shared" si="142"/>
        <v>0.43743016888271158</v>
      </c>
      <c r="K172">
        <f t="shared" si="143"/>
        <v>4.1166229075051324E-16</v>
      </c>
      <c r="L172">
        <f t="shared" ref="L172:M172" si="185">AVERAGE(G170:G172)</f>
        <v>0.55108739111721816</v>
      </c>
      <c r="M172">
        <f t="shared" si="185"/>
        <v>3.1691884305825452E-2</v>
      </c>
    </row>
    <row r="173" spans="1:13" x14ac:dyDescent="0.25">
      <c r="A173" s="18">
        <v>22737</v>
      </c>
      <c r="B173">
        <v>70278</v>
      </c>
      <c r="C173">
        <v>3906</v>
      </c>
      <c r="D173">
        <v>1629</v>
      </c>
      <c r="E173">
        <f t="shared" si="138"/>
        <v>1629</v>
      </c>
      <c r="F173">
        <f t="shared" si="139"/>
        <v>0.40604198668714797</v>
      </c>
      <c r="G173">
        <f t="shared" si="140"/>
        <v>0.52094664677626856</v>
      </c>
      <c r="H173">
        <v>2.9815203927627057E-2</v>
      </c>
      <c r="I173">
        <f t="shared" si="141"/>
        <v>3804.462671021658</v>
      </c>
      <c r="J173">
        <f t="shared" si="142"/>
        <v>0.423489571845583</v>
      </c>
      <c r="K173">
        <f t="shared" si="143"/>
        <v>6.0603350872557891E-16</v>
      </c>
      <c r="L173">
        <f t="shared" ref="L173:M173" si="186">AVERAGE(G171:G173)</f>
        <v>0.54316336474536708</v>
      </c>
      <c r="M173">
        <f t="shared" si="186"/>
        <v>3.1813160786424557E-2</v>
      </c>
    </row>
    <row r="174" spans="1:13" x14ac:dyDescent="0.25">
      <c r="A174" s="18">
        <v>22767</v>
      </c>
      <c r="B174">
        <v>70551</v>
      </c>
      <c r="C174">
        <v>3863</v>
      </c>
      <c r="D174">
        <v>1543</v>
      </c>
      <c r="E174">
        <f t="shared" si="138"/>
        <v>1543</v>
      </c>
      <c r="F174">
        <f t="shared" si="139"/>
        <v>0.4185865907325913</v>
      </c>
      <c r="G174">
        <f t="shared" si="140"/>
        <v>0.54229322736789287</v>
      </c>
      <c r="H174">
        <v>3.1038784422472088E-2</v>
      </c>
      <c r="I174">
        <f t="shared" si="141"/>
        <v>3819.4575477333024</v>
      </c>
      <c r="J174">
        <f t="shared" si="142"/>
        <v>0.43635576289653988</v>
      </c>
      <c r="K174">
        <f t="shared" si="143"/>
        <v>5.1889214856869042E-16</v>
      </c>
      <c r="L174">
        <f t="shared" ref="L174:M174" si="187">AVERAGE(G172:G174)</f>
        <v>0.53557593679091775</v>
      </c>
      <c r="M174">
        <f t="shared" si="187"/>
        <v>3.0868686840603631E-2</v>
      </c>
    </row>
    <row r="175" spans="1:13" x14ac:dyDescent="0.25">
      <c r="A175" s="18">
        <v>22798</v>
      </c>
      <c r="B175">
        <v>70514</v>
      </c>
      <c r="C175">
        <v>3844</v>
      </c>
      <c r="D175">
        <v>1598</v>
      </c>
      <c r="E175">
        <f t="shared" si="138"/>
        <v>1598</v>
      </c>
      <c r="F175">
        <f t="shared" si="139"/>
        <v>0.42065556711758589</v>
      </c>
      <c r="G175">
        <f t="shared" si="140"/>
        <v>0.54585810283281555</v>
      </c>
      <c r="H175">
        <v>3.0979131321350505E-2</v>
      </c>
      <c r="I175">
        <f t="shared" si="141"/>
        <v>3786.9650859082508</v>
      </c>
      <c r="J175">
        <f t="shared" si="142"/>
        <v>0.43832800269280181</v>
      </c>
      <c r="K175">
        <f t="shared" si="143"/>
        <v>5.0212431081462389E-16</v>
      </c>
      <c r="L175">
        <f t="shared" ref="L175:M175" si="188">AVERAGE(G173:G175)</f>
        <v>0.53636599232565896</v>
      </c>
      <c r="M175">
        <f t="shared" si="188"/>
        <v>3.0611039890483218E-2</v>
      </c>
    </row>
    <row r="176" spans="1:13" x14ac:dyDescent="0.25">
      <c r="A176" s="18">
        <v>22828</v>
      </c>
      <c r="B176">
        <v>70302</v>
      </c>
      <c r="C176">
        <v>3819</v>
      </c>
      <c r="D176">
        <v>1592</v>
      </c>
      <c r="E176">
        <f t="shared" si="138"/>
        <v>1592</v>
      </c>
      <c r="F176">
        <f t="shared" si="139"/>
        <v>0.40246137732390674</v>
      </c>
      <c r="G176">
        <f t="shared" si="140"/>
        <v>0.51493635680349525</v>
      </c>
      <c r="H176">
        <v>3.3370393517765419E-2</v>
      </c>
      <c r="I176">
        <f t="shared" si="141"/>
        <v>4278.6367370297503</v>
      </c>
      <c r="J176">
        <f t="shared" si="142"/>
        <v>0.42207244198661309</v>
      </c>
      <c r="K176">
        <f t="shared" si="143"/>
        <v>6.2028905647746138E-16</v>
      </c>
      <c r="L176">
        <f t="shared" ref="L176:M176" si="189">AVERAGE(G174:G176)</f>
        <v>0.53436256233473456</v>
      </c>
      <c r="M176">
        <f t="shared" si="189"/>
        <v>3.1796103087196E-2</v>
      </c>
    </row>
    <row r="177" spans="1:13" x14ac:dyDescent="0.25">
      <c r="A177" s="18">
        <v>22859</v>
      </c>
      <c r="B177">
        <v>70981</v>
      </c>
      <c r="C177">
        <v>4013</v>
      </c>
      <c r="D177">
        <v>1731</v>
      </c>
      <c r="E177">
        <f t="shared" si="138"/>
        <v>1731</v>
      </c>
      <c r="F177">
        <f t="shared" si="139"/>
        <v>0.4487914278594568</v>
      </c>
      <c r="G177">
        <f t="shared" si="140"/>
        <v>0.59564200762469133</v>
      </c>
      <c r="H177">
        <v>3.4646602673522299E-2</v>
      </c>
      <c r="I177">
        <f t="shared" si="141"/>
        <v>3901.7847763514574</v>
      </c>
      <c r="J177">
        <f t="shared" si="142"/>
        <v>0.46756188829239342</v>
      </c>
      <c r="K177">
        <f t="shared" si="143"/>
        <v>5.7729822018564703E-16</v>
      </c>
      <c r="L177">
        <f t="shared" ref="L177:M177" si="190">AVERAGE(G175:G177)</f>
        <v>0.55214548908700067</v>
      </c>
      <c r="M177">
        <f t="shared" si="190"/>
        <v>3.2998709170879409E-2</v>
      </c>
    </row>
    <row r="178" spans="1:13" x14ac:dyDescent="0.25">
      <c r="A178" s="18">
        <v>22890</v>
      </c>
      <c r="B178">
        <v>71153</v>
      </c>
      <c r="C178">
        <v>3961</v>
      </c>
      <c r="D178">
        <v>1749</v>
      </c>
      <c r="E178">
        <f t="shared" si="138"/>
        <v>1749</v>
      </c>
      <c r="F178">
        <f t="shared" si="139"/>
        <v>0.45291593032062616</v>
      </c>
      <c r="G178">
        <f t="shared" si="140"/>
        <v>0.60315279608555772</v>
      </c>
      <c r="H178">
        <v>3.2378834715742218E-2</v>
      </c>
      <c r="I178">
        <f t="shared" si="141"/>
        <v>3625.0772028835636</v>
      </c>
      <c r="J178">
        <f t="shared" si="142"/>
        <v>0.47034616683581187</v>
      </c>
      <c r="K178">
        <f t="shared" si="143"/>
        <v>5.5318982306390248E-16</v>
      </c>
      <c r="L178">
        <f t="shared" ref="L178:M178" si="191">AVERAGE(G176:G178)</f>
        <v>0.57124372017124803</v>
      </c>
      <c r="M178">
        <f t="shared" si="191"/>
        <v>3.3465276969009979E-2</v>
      </c>
    </row>
    <row r="179" spans="1:13" x14ac:dyDescent="0.25">
      <c r="A179" s="18">
        <v>22920</v>
      </c>
      <c r="B179">
        <v>70917</v>
      </c>
      <c r="C179">
        <v>3803</v>
      </c>
      <c r="D179">
        <v>1636</v>
      </c>
      <c r="E179">
        <f t="shared" si="138"/>
        <v>1636</v>
      </c>
      <c r="F179">
        <f t="shared" si="139"/>
        <v>0.42519063896923481</v>
      </c>
      <c r="G179">
        <f t="shared" si="140"/>
        <v>0.55371683919177583</v>
      </c>
      <c r="H179">
        <v>3.573444702816414E-2</v>
      </c>
      <c r="I179">
        <f t="shared" si="141"/>
        <v>4299.218339394286</v>
      </c>
      <c r="J179">
        <f t="shared" si="142"/>
        <v>0.44536846478011272</v>
      </c>
      <c r="K179">
        <f t="shared" si="143"/>
        <v>1.3852750787751763E-16</v>
      </c>
      <c r="L179">
        <f t="shared" ref="L179:M179" si="192">AVERAGE(G177:G179)</f>
        <v>0.58417054763400822</v>
      </c>
      <c r="M179">
        <f t="shared" si="192"/>
        <v>3.4253294805809555E-2</v>
      </c>
    </row>
    <row r="180" spans="1:13" x14ac:dyDescent="0.25">
      <c r="A180" s="18">
        <v>22951</v>
      </c>
      <c r="B180">
        <v>70871</v>
      </c>
      <c r="C180">
        <v>4024</v>
      </c>
      <c r="D180">
        <v>1838</v>
      </c>
      <c r="E180">
        <f t="shared" si="138"/>
        <v>1838</v>
      </c>
      <c r="F180">
        <f t="shared" si="139"/>
        <v>0.45949304174950301</v>
      </c>
      <c r="G180">
        <f t="shared" si="140"/>
        <v>0.61524776825679073</v>
      </c>
      <c r="H180">
        <v>3.4655978529916857E-2</v>
      </c>
      <c r="I180">
        <f t="shared" si="141"/>
        <v>3779.1809426201203</v>
      </c>
      <c r="J180">
        <f t="shared" si="142"/>
        <v>0.47790397223711356</v>
      </c>
      <c r="K180">
        <f t="shared" si="143"/>
        <v>1.4173582631779744E-18</v>
      </c>
      <c r="L180">
        <f t="shared" ref="L180:M180" si="193">AVERAGE(G178:G180)</f>
        <v>0.59070580117804139</v>
      </c>
      <c r="M180">
        <f t="shared" si="193"/>
        <v>3.4256420091274407E-2</v>
      </c>
    </row>
    <row r="181" spans="1:13" x14ac:dyDescent="0.25">
      <c r="A181" s="18">
        <v>22981</v>
      </c>
      <c r="B181">
        <v>70854</v>
      </c>
      <c r="C181">
        <v>3907</v>
      </c>
      <c r="D181">
        <v>1732</v>
      </c>
      <c r="E181">
        <f t="shared" si="138"/>
        <v>1732</v>
      </c>
      <c r="F181">
        <f t="shared" si="139"/>
        <v>0.40005119017148705</v>
      </c>
      <c r="G181">
        <f t="shared" si="140"/>
        <v>0.51091094435816731</v>
      </c>
      <c r="H181">
        <v>3.3050735011336263E-2</v>
      </c>
      <c r="I181">
        <f t="shared" si="141"/>
        <v>4305.0399822420059</v>
      </c>
      <c r="J181">
        <f t="shared" si="142"/>
        <v>0.41955584229934373</v>
      </c>
      <c r="K181">
        <f t="shared" si="143"/>
        <v>3.3710518018376884E-16</v>
      </c>
      <c r="L181">
        <f t="shared" ref="L181:M181" si="194">AVERAGE(G179:G181)</f>
        <v>0.55995851726891122</v>
      </c>
      <c r="M181">
        <f t="shared" si="194"/>
        <v>3.4480386856472423E-2</v>
      </c>
    </row>
    <row r="182" spans="1:13" x14ac:dyDescent="0.25">
      <c r="A182" s="18">
        <v>23012</v>
      </c>
      <c r="B182">
        <v>71146</v>
      </c>
      <c r="C182">
        <v>4074</v>
      </c>
      <c r="D182">
        <v>1730</v>
      </c>
      <c r="E182">
        <f t="shared" si="138"/>
        <v>1730</v>
      </c>
      <c r="F182">
        <f t="shared" si="139"/>
        <v>0.41580756013745701</v>
      </c>
      <c r="G182">
        <f t="shared" si="140"/>
        <v>0.53752483012123065</v>
      </c>
      <c r="H182">
        <v>3.5862397284766812E-2</v>
      </c>
      <c r="I182">
        <f t="shared" si="141"/>
        <v>4449.8133116163863</v>
      </c>
      <c r="J182">
        <f t="shared" si="142"/>
        <v>0.43638688400089587</v>
      </c>
      <c r="K182">
        <f t="shared" si="143"/>
        <v>4.9874691665713824E-16</v>
      </c>
      <c r="L182">
        <f t="shared" ref="L182:M182" si="195">AVERAGE(G180:G182)</f>
        <v>0.55456118091206286</v>
      </c>
      <c r="M182">
        <f t="shared" si="195"/>
        <v>3.4523036942006646E-2</v>
      </c>
    </row>
    <row r="183" spans="1:13" x14ac:dyDescent="0.25">
      <c r="A183" s="18">
        <v>23043</v>
      </c>
      <c r="B183">
        <v>71262</v>
      </c>
      <c r="C183">
        <v>4238</v>
      </c>
      <c r="D183">
        <v>1858</v>
      </c>
      <c r="E183">
        <f t="shared" si="138"/>
        <v>1858</v>
      </c>
      <c r="F183">
        <f t="shared" si="139"/>
        <v>0.44053798961774426</v>
      </c>
      <c r="G183">
        <f t="shared" si="140"/>
        <v>0.58077965276283894</v>
      </c>
      <c r="H183">
        <v>3.3408640872866491E-2</v>
      </c>
      <c r="I183">
        <f t="shared" si="141"/>
        <v>3876.2812488482891</v>
      </c>
      <c r="J183">
        <f t="shared" si="142"/>
        <v>0.45892008488168112</v>
      </c>
      <c r="K183">
        <f t="shared" si="143"/>
        <v>3.2984733598221398E-16</v>
      </c>
      <c r="L183">
        <f t="shared" ref="L183:M183" si="196">AVERAGE(G181:G183)</f>
        <v>0.5430718090807457</v>
      </c>
      <c r="M183">
        <f t="shared" si="196"/>
        <v>3.4107257722989857E-2</v>
      </c>
    </row>
    <row r="184" spans="1:13" x14ac:dyDescent="0.25">
      <c r="A184" s="18">
        <v>23071</v>
      </c>
      <c r="B184">
        <v>71423</v>
      </c>
      <c r="C184">
        <v>4072</v>
      </c>
      <c r="D184">
        <v>1701</v>
      </c>
      <c r="E184">
        <f t="shared" si="138"/>
        <v>1701</v>
      </c>
      <c r="F184">
        <f t="shared" si="139"/>
        <v>0.42583497053045183</v>
      </c>
      <c r="G184">
        <f t="shared" si="140"/>
        <v>0.55483841619834484</v>
      </c>
      <c r="H184">
        <v>3.3211333482582449E-2</v>
      </c>
      <c r="I184">
        <f t="shared" si="141"/>
        <v>4033.7625730026239</v>
      </c>
      <c r="J184">
        <f t="shared" si="142"/>
        <v>0.44459058343057911</v>
      </c>
      <c r="K184">
        <f t="shared" si="143"/>
        <v>4.9964101948996926E-16</v>
      </c>
      <c r="L184">
        <f t="shared" ref="L184:M184" si="197">AVERAGE(G182:G184)</f>
        <v>0.5577142996941381</v>
      </c>
      <c r="M184">
        <f t="shared" si="197"/>
        <v>3.4160790546738588E-2</v>
      </c>
    </row>
    <row r="185" spans="1:13" x14ac:dyDescent="0.25">
      <c r="A185" s="18">
        <v>23102</v>
      </c>
      <c r="B185">
        <v>71697</v>
      </c>
      <c r="C185">
        <v>4055</v>
      </c>
      <c r="D185">
        <v>1717</v>
      </c>
      <c r="E185">
        <f t="shared" si="138"/>
        <v>1717</v>
      </c>
      <c r="F185">
        <f t="shared" si="139"/>
        <v>0.42120838471023425</v>
      </c>
      <c r="G185">
        <f t="shared" si="140"/>
        <v>0.54681277069848977</v>
      </c>
      <c r="H185">
        <v>3.5940505577053902E-2</v>
      </c>
      <c r="I185">
        <f t="shared" si="141"/>
        <v>4421.8137130466021</v>
      </c>
      <c r="J185">
        <f t="shared" si="142"/>
        <v>0.44164106810701997</v>
      </c>
      <c r="K185">
        <f t="shared" si="143"/>
        <v>6.8662088900095099E-16</v>
      </c>
      <c r="L185">
        <f t="shared" ref="L185:M185" si="198">AVERAGE(G183:G185)</f>
        <v>0.56081027988655785</v>
      </c>
      <c r="M185">
        <f t="shared" si="198"/>
        <v>3.4186826644167619E-2</v>
      </c>
    </row>
    <row r="186" spans="1:13" x14ac:dyDescent="0.25">
      <c r="A186" s="18">
        <v>23132</v>
      </c>
      <c r="B186">
        <v>71832</v>
      </c>
      <c r="C186">
        <v>4217</v>
      </c>
      <c r="D186">
        <v>1870</v>
      </c>
      <c r="E186">
        <f t="shared" si="138"/>
        <v>1870</v>
      </c>
      <c r="F186">
        <f t="shared" si="139"/>
        <v>0.46454825705477831</v>
      </c>
      <c r="G186">
        <f t="shared" si="140"/>
        <v>0.62464450903695257</v>
      </c>
      <c r="H186">
        <v>3.4111633460858042E-2</v>
      </c>
      <c r="I186">
        <f t="shared" si="141"/>
        <v>3719.5962157855683</v>
      </c>
      <c r="J186">
        <f t="shared" si="142"/>
        <v>0.48250537610113953</v>
      </c>
      <c r="K186">
        <f t="shared" si="143"/>
        <v>5.5156527839115651E-16</v>
      </c>
      <c r="L186">
        <f t="shared" ref="L186:M186" si="199">AVERAGE(G184:G186)</f>
        <v>0.57543189864459576</v>
      </c>
      <c r="M186">
        <f t="shared" si="199"/>
        <v>3.4421157506831467E-2</v>
      </c>
    </row>
    <row r="187" spans="1:13" x14ac:dyDescent="0.25">
      <c r="A187" s="18">
        <v>23163</v>
      </c>
      <c r="B187">
        <v>71626</v>
      </c>
      <c r="C187">
        <v>3977</v>
      </c>
      <c r="D187">
        <v>1719</v>
      </c>
      <c r="E187">
        <f t="shared" si="138"/>
        <v>1719</v>
      </c>
      <c r="F187">
        <f t="shared" si="139"/>
        <v>0.40709077193864718</v>
      </c>
      <c r="G187">
        <f t="shared" si="140"/>
        <v>0.5227139641103743</v>
      </c>
      <c r="H187">
        <v>3.215498389470775E-2</v>
      </c>
      <c r="I187">
        <f t="shared" si="141"/>
        <v>4150.76908650733</v>
      </c>
      <c r="J187">
        <f t="shared" si="142"/>
        <v>0.42585250055855373</v>
      </c>
      <c r="K187">
        <f t="shared" si="143"/>
        <v>7.9604636147714427E-17</v>
      </c>
      <c r="L187">
        <f t="shared" ref="L187:M187" si="200">AVERAGE(G185:G187)</f>
        <v>0.56472374794860558</v>
      </c>
      <c r="M187">
        <f t="shared" si="200"/>
        <v>3.4069040977539898E-2</v>
      </c>
    </row>
    <row r="188" spans="1:13" x14ac:dyDescent="0.25">
      <c r="A188" s="18">
        <v>23193</v>
      </c>
      <c r="B188">
        <v>71956</v>
      </c>
      <c r="C188">
        <v>4051</v>
      </c>
      <c r="D188">
        <v>1693</v>
      </c>
      <c r="E188">
        <f t="shared" si="138"/>
        <v>1693</v>
      </c>
      <c r="F188">
        <f t="shared" si="139"/>
        <v>0.45667736361392253</v>
      </c>
      <c r="G188">
        <f t="shared" si="140"/>
        <v>0.61005196167622899</v>
      </c>
      <c r="H188">
        <v>3.2939871424262218E-2</v>
      </c>
      <c r="I188">
        <f t="shared" si="141"/>
        <v>3686.2387143784722</v>
      </c>
      <c r="J188">
        <f t="shared" si="142"/>
        <v>0.47428278932211232</v>
      </c>
      <c r="K188">
        <f t="shared" si="143"/>
        <v>3.4976254302748557E-16</v>
      </c>
      <c r="L188">
        <f t="shared" ref="L188:M188" si="201">AVERAGE(G186:G188)</f>
        <v>0.58580347827451862</v>
      </c>
      <c r="M188">
        <f t="shared" si="201"/>
        <v>3.3068829593276006E-2</v>
      </c>
    </row>
    <row r="189" spans="1:13" x14ac:dyDescent="0.25">
      <c r="A189" s="18">
        <v>23224</v>
      </c>
      <c r="B189">
        <v>71786</v>
      </c>
      <c r="C189">
        <v>3878</v>
      </c>
      <c r="D189">
        <v>1677</v>
      </c>
      <c r="E189">
        <f t="shared" si="138"/>
        <v>1677</v>
      </c>
      <c r="F189">
        <f t="shared" si="139"/>
        <v>0.41670964414646727</v>
      </c>
      <c r="G189">
        <f t="shared" si="140"/>
        <v>0.53907017912653143</v>
      </c>
      <c r="H189">
        <v>3.2311678176570428E-2</v>
      </c>
      <c r="I189">
        <f t="shared" si="141"/>
        <v>4059.5025899690791</v>
      </c>
      <c r="J189">
        <f t="shared" si="142"/>
        <v>0.43525549706285815</v>
      </c>
      <c r="K189">
        <f t="shared" si="143"/>
        <v>2.3066477402963523E-16</v>
      </c>
      <c r="L189">
        <f t="shared" ref="L189:M189" si="202">AVERAGE(G187:G189)</f>
        <v>0.55727870163771165</v>
      </c>
      <c r="M189">
        <f t="shared" si="202"/>
        <v>3.246884449851347E-2</v>
      </c>
    </row>
    <row r="190" spans="1:13" x14ac:dyDescent="0.25">
      <c r="A190" s="18">
        <v>23255</v>
      </c>
      <c r="B190">
        <v>72131</v>
      </c>
      <c r="C190">
        <v>3957</v>
      </c>
      <c r="D190">
        <v>1695</v>
      </c>
      <c r="E190">
        <f t="shared" si="138"/>
        <v>1695</v>
      </c>
      <c r="F190">
        <f t="shared" si="139"/>
        <v>0.43164013141268642</v>
      </c>
      <c r="G190">
        <f t="shared" si="140"/>
        <v>0.5650004894261087</v>
      </c>
      <c r="H190">
        <v>3.337889041773219E-2</v>
      </c>
      <c r="I190">
        <f t="shared" si="141"/>
        <v>4023.6225141143163</v>
      </c>
      <c r="J190">
        <f t="shared" si="142"/>
        <v>0.45029822761499938</v>
      </c>
      <c r="K190">
        <f t="shared" si="143"/>
        <v>6.2160353994221736E-16</v>
      </c>
      <c r="L190">
        <f t="shared" ref="L190:M190" si="203">AVERAGE(G188:G190)</f>
        <v>0.57137421007628963</v>
      </c>
      <c r="M190">
        <f t="shared" si="203"/>
        <v>3.2876813339521617E-2</v>
      </c>
    </row>
    <row r="191" spans="1:13" x14ac:dyDescent="0.25">
      <c r="A191" s="18">
        <v>23285</v>
      </c>
      <c r="B191">
        <v>72281</v>
      </c>
      <c r="C191">
        <v>3987</v>
      </c>
      <c r="D191">
        <v>1738</v>
      </c>
      <c r="E191">
        <f t="shared" si="138"/>
        <v>1738</v>
      </c>
      <c r="F191">
        <f t="shared" si="139"/>
        <v>0.42513167795334839</v>
      </c>
      <c r="G191">
        <f t="shared" si="140"/>
        <v>0.55361426954672488</v>
      </c>
      <c r="H191">
        <v>3.5497746876113206E-2</v>
      </c>
      <c r="I191">
        <f t="shared" si="141"/>
        <v>4355.3900963220449</v>
      </c>
      <c r="J191">
        <f t="shared" si="142"/>
        <v>0.44518026312792947</v>
      </c>
      <c r="K191">
        <f t="shared" si="143"/>
        <v>2.0652350785227512E-16</v>
      </c>
      <c r="L191">
        <f t="shared" ref="L191:M191" si="204">AVERAGE(G189:G191)</f>
        <v>0.55256164603312163</v>
      </c>
      <c r="M191">
        <f t="shared" si="204"/>
        <v>3.3729438490138604E-2</v>
      </c>
    </row>
    <row r="192" spans="1:13" x14ac:dyDescent="0.25">
      <c r="A192" s="18">
        <v>23316</v>
      </c>
      <c r="B192">
        <v>72418</v>
      </c>
      <c r="C192">
        <v>4151</v>
      </c>
      <c r="D192">
        <v>1859</v>
      </c>
      <c r="E192">
        <f t="shared" si="138"/>
        <v>1859</v>
      </c>
      <c r="F192">
        <f t="shared" si="139"/>
        <v>0.46976632136834495</v>
      </c>
      <c r="G192">
        <f t="shared" si="140"/>
        <v>0.63443746652657707</v>
      </c>
      <c r="H192">
        <v>3.5040514988127568E-2</v>
      </c>
      <c r="I192">
        <f t="shared" si="141"/>
        <v>3790.362169445727</v>
      </c>
      <c r="J192">
        <f t="shared" si="142"/>
        <v>0.48802423114349747</v>
      </c>
      <c r="K192">
        <f t="shared" si="143"/>
        <v>5.0588124604283154E-16</v>
      </c>
      <c r="L192">
        <f t="shared" ref="L192:M192" si="205">AVERAGE(G190:G192)</f>
        <v>0.58435074183313684</v>
      </c>
      <c r="M192">
        <f t="shared" si="205"/>
        <v>3.4639050760657653E-2</v>
      </c>
    </row>
    <row r="193" spans="1:13" x14ac:dyDescent="0.25">
      <c r="A193" s="18">
        <v>23346</v>
      </c>
      <c r="B193">
        <v>72188</v>
      </c>
      <c r="C193">
        <v>3975</v>
      </c>
      <c r="D193">
        <v>1774</v>
      </c>
      <c r="E193">
        <f t="shared" si="138"/>
        <v>1774</v>
      </c>
      <c r="F193">
        <f t="shared" si="139"/>
        <v>0.44050314465408802</v>
      </c>
      <c r="G193">
        <f t="shared" si="140"/>
        <v>0.58071737171795923</v>
      </c>
      <c r="H193">
        <v>3.4900502740207631E-2</v>
      </c>
      <c r="I193">
        <f t="shared" si="141"/>
        <v>4092.4696899477526</v>
      </c>
      <c r="J193">
        <f t="shared" si="142"/>
        <v>0.45969304971226177</v>
      </c>
      <c r="K193">
        <f t="shared" si="143"/>
        <v>4.3414176596650535E-16</v>
      </c>
      <c r="L193">
        <f t="shared" ref="L193:M193" si="206">AVERAGE(G191:G193)</f>
        <v>0.5895897025970871</v>
      </c>
      <c r="M193">
        <f t="shared" si="206"/>
        <v>3.5146254868149471E-2</v>
      </c>
    </row>
    <row r="194" spans="1:13" x14ac:dyDescent="0.25">
      <c r="A194" s="18">
        <v>23377</v>
      </c>
      <c r="B194">
        <v>72356</v>
      </c>
      <c r="C194">
        <v>4029</v>
      </c>
      <c r="D194">
        <v>1805</v>
      </c>
      <c r="E194">
        <f t="shared" si="138"/>
        <v>1805</v>
      </c>
      <c r="F194">
        <f t="shared" si="139"/>
        <v>0.44800198560436832</v>
      </c>
      <c r="G194">
        <f t="shared" si="140"/>
        <v>0.59421082982087425</v>
      </c>
      <c r="H194">
        <v>3.3127299393994294E-2</v>
      </c>
      <c r="I194">
        <f t="shared" si="141"/>
        <v>3820.8404101815286</v>
      </c>
      <c r="J194">
        <f t="shared" si="142"/>
        <v>0.46598861990776363</v>
      </c>
      <c r="K194">
        <f t="shared" si="143"/>
        <v>3.9697774769421638E-16</v>
      </c>
      <c r="L194">
        <f t="shared" ref="L194:M194" si="207">AVERAGE(G192:G194)</f>
        <v>0.60312188935513689</v>
      </c>
      <c r="M194">
        <f t="shared" si="207"/>
        <v>3.4356105707443164E-2</v>
      </c>
    </row>
    <row r="195" spans="1:13" x14ac:dyDescent="0.25">
      <c r="A195" s="18">
        <v>23408</v>
      </c>
      <c r="B195">
        <v>72683</v>
      </c>
      <c r="C195">
        <v>3932</v>
      </c>
      <c r="D195">
        <v>1708</v>
      </c>
      <c r="E195">
        <f t="shared" ref="E195:E258" si="208">IF(A195&gt;A$554,1.16*D195,D195)</f>
        <v>1708</v>
      </c>
      <c r="F195">
        <f t="shared" ref="F195:F258" si="209">1 - ( (C196-E196)/C195 )</f>
        <v>0.44888097660223802</v>
      </c>
      <c r="G195">
        <f t="shared" ref="G195:G258" si="210">-LN(1-F195)</f>
        <v>0.59580447973069806</v>
      </c>
      <c r="H195">
        <v>3.4428112903373359E-2</v>
      </c>
      <c r="I195">
        <f t="shared" ref="I195:I258" si="211">H195*B195/(H195+G195)</f>
        <v>3970.5000334833612</v>
      </c>
      <c r="J195">
        <f t="shared" ref="J195:J258" si="212">1-EXP(-H195-G195)</f>
        <v>0.46753206151767002</v>
      </c>
      <c r="K195">
        <f t="shared" ref="K195:K258" si="213">( ( (J195*I195) + ( (1-J195)*C195 ) ) - C196 )^2</f>
        <v>5.2785983382621589E-16</v>
      </c>
      <c r="L195">
        <f t="shared" ref="L195:M195" si="214">AVERAGE(G193:G195)</f>
        <v>0.59024422708984392</v>
      </c>
      <c r="M195">
        <f t="shared" si="214"/>
        <v>3.4151971679191762E-2</v>
      </c>
    </row>
    <row r="196" spans="1:13" x14ac:dyDescent="0.25">
      <c r="A196" s="18">
        <v>23437</v>
      </c>
      <c r="B196">
        <v>72713</v>
      </c>
      <c r="C196">
        <v>3950</v>
      </c>
      <c r="D196">
        <v>1783</v>
      </c>
      <c r="E196">
        <f t="shared" si="208"/>
        <v>1783</v>
      </c>
      <c r="F196">
        <f t="shared" si="209"/>
        <v>0.45544303797468355</v>
      </c>
      <c r="G196">
        <f t="shared" si="210"/>
        <v>0.60778272862743754</v>
      </c>
      <c r="H196">
        <v>3.4282635782766455E-2</v>
      </c>
      <c r="I196">
        <f t="shared" si="211"/>
        <v>3882.4603129965694</v>
      </c>
      <c r="J196">
        <f t="shared" si="212"/>
        <v>0.47379550309361207</v>
      </c>
      <c r="K196">
        <f t="shared" si="213"/>
        <v>3.0363093834575434E-16</v>
      </c>
      <c r="L196">
        <f t="shared" ref="L196:M196" si="215">AVERAGE(G194:G196)</f>
        <v>0.59926601272633662</v>
      </c>
      <c r="M196">
        <f t="shared" si="215"/>
        <v>3.3946016026711372E-2</v>
      </c>
    </row>
    <row r="197" spans="1:13" x14ac:dyDescent="0.25">
      <c r="A197" s="18">
        <v>23468</v>
      </c>
      <c r="B197">
        <v>73274</v>
      </c>
      <c r="C197">
        <v>3918</v>
      </c>
      <c r="D197">
        <v>1767</v>
      </c>
      <c r="E197">
        <f t="shared" si="208"/>
        <v>1767</v>
      </c>
      <c r="F197">
        <f t="shared" si="209"/>
        <v>0.46835119959162841</v>
      </c>
      <c r="G197">
        <f t="shared" si="210"/>
        <v>0.6317721572435141</v>
      </c>
      <c r="H197">
        <v>3.265036420390266E-2</v>
      </c>
      <c r="I197">
        <f t="shared" si="211"/>
        <v>3600.7551060505443</v>
      </c>
      <c r="J197">
        <f t="shared" si="212"/>
        <v>0.48542940459409922</v>
      </c>
      <c r="K197">
        <f t="shared" si="213"/>
        <v>3.8407344476107781E-16</v>
      </c>
      <c r="L197">
        <f t="shared" ref="L197:M197" si="216">AVERAGE(G195:G197)</f>
        <v>0.61178645520054997</v>
      </c>
      <c r="M197">
        <f t="shared" si="216"/>
        <v>3.3787037630014158E-2</v>
      </c>
    </row>
    <row r="198" spans="1:13" x14ac:dyDescent="0.25">
      <c r="A198" s="18">
        <v>23498</v>
      </c>
      <c r="B198">
        <v>73395</v>
      </c>
      <c r="C198">
        <v>3764</v>
      </c>
      <c r="D198">
        <v>1681</v>
      </c>
      <c r="E198">
        <f t="shared" si="208"/>
        <v>1681</v>
      </c>
      <c r="F198">
        <f t="shared" si="209"/>
        <v>0.44341126461211477</v>
      </c>
      <c r="G198">
        <f t="shared" si="210"/>
        <v>0.58592866834903212</v>
      </c>
      <c r="H198">
        <v>3.2636093286713665E-2</v>
      </c>
      <c r="I198">
        <f t="shared" si="211"/>
        <v>3872.3933455958568</v>
      </c>
      <c r="J198">
        <f t="shared" si="212"/>
        <v>0.46128292958715089</v>
      </c>
      <c r="K198">
        <f t="shared" si="213"/>
        <v>1.7716871997015967E-17</v>
      </c>
      <c r="L198">
        <f t="shared" ref="L198:M198" si="217">AVERAGE(G196:G198)</f>
        <v>0.60849451807332799</v>
      </c>
      <c r="M198">
        <f t="shared" si="217"/>
        <v>3.3189697757794262E-2</v>
      </c>
    </row>
    <row r="199" spans="1:13" x14ac:dyDescent="0.25">
      <c r="A199" s="18">
        <v>23529</v>
      </c>
      <c r="B199">
        <v>73032</v>
      </c>
      <c r="C199">
        <v>3814</v>
      </c>
      <c r="D199">
        <v>1719</v>
      </c>
      <c r="E199">
        <f t="shared" si="208"/>
        <v>1719</v>
      </c>
      <c r="F199">
        <f t="shared" si="209"/>
        <v>0.44362873623492394</v>
      </c>
      <c r="G199">
        <f t="shared" si="210"/>
        <v>0.58631946698643589</v>
      </c>
      <c r="H199">
        <v>2.8323115573383625E-2</v>
      </c>
      <c r="I199">
        <f t="shared" si="211"/>
        <v>3365.3603496533506</v>
      </c>
      <c r="J199">
        <f t="shared" si="212"/>
        <v>0.45916583566902303</v>
      </c>
      <c r="K199">
        <f t="shared" si="213"/>
        <v>1.1780347651553842E-15</v>
      </c>
      <c r="L199">
        <f t="shared" ref="L199:M199" si="218">AVERAGE(G197:G199)</f>
        <v>0.60134009752632733</v>
      </c>
      <c r="M199">
        <f t="shared" si="218"/>
        <v>3.1203191021333315E-2</v>
      </c>
    </row>
    <row r="200" spans="1:13" x14ac:dyDescent="0.25">
      <c r="A200" s="18">
        <v>23559</v>
      </c>
      <c r="B200">
        <v>73007</v>
      </c>
      <c r="C200">
        <v>3608</v>
      </c>
      <c r="D200">
        <v>1486</v>
      </c>
      <c r="E200">
        <f t="shared" si="208"/>
        <v>1486</v>
      </c>
      <c r="F200">
        <f t="shared" si="209"/>
        <v>0.45703991130820398</v>
      </c>
      <c r="G200">
        <f t="shared" si="210"/>
        <v>0.61071946323797355</v>
      </c>
      <c r="H200">
        <v>3.2669140462400076E-2</v>
      </c>
      <c r="I200">
        <f t="shared" si="211"/>
        <v>3707.053441762816</v>
      </c>
      <c r="J200">
        <f t="shared" si="212"/>
        <v>0.4744913370796161</v>
      </c>
      <c r="K200">
        <f t="shared" si="213"/>
        <v>5.9420288023047473E-16</v>
      </c>
      <c r="L200">
        <f t="shared" ref="L200:M200" si="219">AVERAGE(G198:G200)</f>
        <v>0.59432253285781378</v>
      </c>
      <c r="M200">
        <f t="shared" si="219"/>
        <v>3.1209449774165787E-2</v>
      </c>
    </row>
    <row r="201" spans="1:13" x14ac:dyDescent="0.25">
      <c r="A201" s="18">
        <v>23590</v>
      </c>
      <c r="B201">
        <v>73118</v>
      </c>
      <c r="C201">
        <v>3655</v>
      </c>
      <c r="D201">
        <v>1696</v>
      </c>
      <c r="E201">
        <f t="shared" si="208"/>
        <v>1696</v>
      </c>
      <c r="F201">
        <f t="shared" si="209"/>
        <v>0.45034199726402191</v>
      </c>
      <c r="G201">
        <f t="shared" si="210"/>
        <v>0.59845900736894453</v>
      </c>
      <c r="H201">
        <v>3.259622972107571E-2</v>
      </c>
      <c r="I201">
        <f t="shared" si="211"/>
        <v>3776.8027023054806</v>
      </c>
      <c r="J201">
        <f t="shared" si="212"/>
        <v>0.46796991319241377</v>
      </c>
      <c r="K201">
        <f t="shared" si="213"/>
        <v>6.0011475743918408E-16</v>
      </c>
      <c r="L201">
        <f t="shared" ref="L201:M201" si="220">AVERAGE(G199:G201)</f>
        <v>0.5984993125311181</v>
      </c>
      <c r="M201">
        <f t="shared" si="220"/>
        <v>3.1196161918953136E-2</v>
      </c>
    </row>
    <row r="202" spans="1:13" x14ac:dyDescent="0.25">
      <c r="A202" s="18">
        <v>23621</v>
      </c>
      <c r="B202">
        <v>73290</v>
      </c>
      <c r="C202">
        <v>3712</v>
      </c>
      <c r="D202">
        <v>1703</v>
      </c>
      <c r="E202">
        <f t="shared" si="208"/>
        <v>1703</v>
      </c>
      <c r="F202">
        <f t="shared" si="209"/>
        <v>0.46875</v>
      </c>
      <c r="G202">
        <f t="shared" si="210"/>
        <v>0.63252255874351049</v>
      </c>
      <c r="H202">
        <v>3.4020869686307624E-2</v>
      </c>
      <c r="I202">
        <f t="shared" si="211"/>
        <v>3740.7758188887774</v>
      </c>
      <c r="J202">
        <f t="shared" si="212"/>
        <v>0.48651960444792719</v>
      </c>
      <c r="K202">
        <f t="shared" si="213"/>
        <v>5.4911162804977695E-16</v>
      </c>
      <c r="L202">
        <f t="shared" ref="L202:M202" si="221">AVERAGE(G200:G202)</f>
        <v>0.61390034311680941</v>
      </c>
      <c r="M202">
        <f t="shared" si="221"/>
        <v>3.3095413289927801E-2</v>
      </c>
    </row>
    <row r="203" spans="1:13" x14ac:dyDescent="0.25">
      <c r="A203" s="18">
        <v>23651</v>
      </c>
      <c r="B203">
        <v>73308</v>
      </c>
      <c r="C203">
        <v>3726</v>
      </c>
      <c r="D203">
        <v>1754</v>
      </c>
      <c r="E203">
        <f t="shared" si="208"/>
        <v>1754</v>
      </c>
      <c r="F203">
        <f t="shared" si="209"/>
        <v>0.47530864197530864</v>
      </c>
      <c r="G203">
        <f t="shared" si="210"/>
        <v>0.64494507874206763</v>
      </c>
      <c r="H203">
        <v>3.107555308372717E-2</v>
      </c>
      <c r="I203">
        <f t="shared" si="211"/>
        <v>3369.8478096877316</v>
      </c>
      <c r="J203">
        <f t="shared" si="212"/>
        <v>0.4913629755384249</v>
      </c>
      <c r="K203">
        <f t="shared" si="213"/>
        <v>5.5867954947417601E-16</v>
      </c>
      <c r="L203">
        <f t="shared" ref="L203:M203" si="222">AVERAGE(G201:G203)</f>
        <v>0.62530888161817422</v>
      </c>
      <c r="M203">
        <f t="shared" si="222"/>
        <v>3.2564217497036835E-2</v>
      </c>
    </row>
    <row r="204" spans="1:13" x14ac:dyDescent="0.25">
      <c r="A204" s="18">
        <v>23682</v>
      </c>
      <c r="B204">
        <v>73286</v>
      </c>
      <c r="C204">
        <v>3551</v>
      </c>
      <c r="D204">
        <v>1596</v>
      </c>
      <c r="E204">
        <f t="shared" si="208"/>
        <v>1596</v>
      </c>
      <c r="F204">
        <f t="shared" si="209"/>
        <v>0.44269219938045623</v>
      </c>
      <c r="G204">
        <f t="shared" si="210"/>
        <v>0.58463758734052218</v>
      </c>
      <c r="H204">
        <v>3.1691549171539428E-2</v>
      </c>
      <c r="I204">
        <f t="shared" si="211"/>
        <v>3768.3548204928752</v>
      </c>
      <c r="J204">
        <f t="shared" si="212"/>
        <v>0.46007721290691006</v>
      </c>
      <c r="K204">
        <f t="shared" si="213"/>
        <v>5.8774684473733921E-16</v>
      </c>
      <c r="L204">
        <f t="shared" ref="L204:M204" si="223">AVERAGE(G202:G204)</f>
        <v>0.62070174160870017</v>
      </c>
      <c r="M204">
        <f t="shared" si="223"/>
        <v>3.2262657313858079E-2</v>
      </c>
    </row>
    <row r="205" spans="1:13" x14ac:dyDescent="0.25">
      <c r="A205" s="18">
        <v>23712</v>
      </c>
      <c r="B205">
        <v>73465</v>
      </c>
      <c r="C205">
        <v>3651</v>
      </c>
      <c r="D205">
        <v>1672</v>
      </c>
      <c r="E205">
        <f t="shared" si="208"/>
        <v>1672</v>
      </c>
      <c r="F205">
        <f t="shared" si="209"/>
        <v>0.46699534374144069</v>
      </c>
      <c r="G205">
        <f t="shared" si="210"/>
        <v>0.62922511890968646</v>
      </c>
      <c r="H205">
        <v>3.1359837518867874E-2</v>
      </c>
      <c r="I205">
        <f t="shared" si="211"/>
        <v>3487.5914761658696</v>
      </c>
      <c r="J205">
        <f t="shared" si="212"/>
        <v>0.48345091260970763</v>
      </c>
      <c r="K205">
        <f t="shared" si="213"/>
        <v>5.8488392714235949E-16</v>
      </c>
      <c r="L205">
        <f t="shared" ref="L205:M205" si="224">AVERAGE(G203:G205)</f>
        <v>0.61960259499742543</v>
      </c>
      <c r="M205">
        <f t="shared" si="224"/>
        <v>3.1375646591378155E-2</v>
      </c>
    </row>
    <row r="206" spans="1:13" x14ac:dyDescent="0.25">
      <c r="A206" s="18">
        <v>23743</v>
      </c>
      <c r="B206">
        <v>73569</v>
      </c>
      <c r="C206">
        <v>3572</v>
      </c>
      <c r="D206">
        <v>1626</v>
      </c>
      <c r="E206">
        <f t="shared" si="208"/>
        <v>1626</v>
      </c>
      <c r="F206">
        <f t="shared" si="209"/>
        <v>0.44372900335946253</v>
      </c>
      <c r="G206">
        <f t="shared" si="210"/>
        <v>0.58649969944457292</v>
      </c>
      <c r="H206">
        <v>3.2957618825041113E-2</v>
      </c>
      <c r="I206">
        <f t="shared" si="211"/>
        <v>3914.1664612381496</v>
      </c>
      <c r="J206">
        <f t="shared" si="212"/>
        <v>0.4617635505594998</v>
      </c>
      <c r="K206">
        <f t="shared" si="213"/>
        <v>5.6205970455375121E-16</v>
      </c>
      <c r="L206">
        <f t="shared" ref="L206:M206" si="225">AVERAGE(G204:G206)</f>
        <v>0.60012080189826056</v>
      </c>
      <c r="M206">
        <f t="shared" si="225"/>
        <v>3.2003001838482807E-2</v>
      </c>
    </row>
    <row r="207" spans="1:13" x14ac:dyDescent="0.25">
      <c r="A207" s="18">
        <v>23774</v>
      </c>
      <c r="B207">
        <v>73857</v>
      </c>
      <c r="C207">
        <v>3730</v>
      </c>
      <c r="D207">
        <v>1743</v>
      </c>
      <c r="E207">
        <f t="shared" si="208"/>
        <v>1743</v>
      </c>
      <c r="F207">
        <f t="shared" si="209"/>
        <v>0.51528150134048256</v>
      </c>
      <c r="G207">
        <f t="shared" si="210"/>
        <v>0.72418697168573942</v>
      </c>
      <c r="H207">
        <v>3.4043543822883333E-2</v>
      </c>
      <c r="I207">
        <f t="shared" si="211"/>
        <v>3316.0812769980116</v>
      </c>
      <c r="J207">
        <f t="shared" si="212"/>
        <v>0.53150531191891104</v>
      </c>
      <c r="K207">
        <f t="shared" si="213"/>
        <v>4.7308711231125328E-16</v>
      </c>
      <c r="L207">
        <f t="shared" ref="L207:M207" si="226">AVERAGE(G205:G207)</f>
        <v>0.64663726334666627</v>
      </c>
      <c r="M207">
        <f t="shared" si="226"/>
        <v>3.2787000055597433E-2</v>
      </c>
    </row>
    <row r="208" spans="1:13" x14ac:dyDescent="0.25">
      <c r="A208" s="18">
        <v>23802</v>
      </c>
      <c r="B208">
        <v>73949</v>
      </c>
      <c r="C208">
        <v>3510</v>
      </c>
      <c r="D208">
        <v>1702</v>
      </c>
      <c r="E208">
        <f t="shared" si="208"/>
        <v>1702</v>
      </c>
      <c r="F208">
        <f t="shared" si="209"/>
        <v>0.47350427350427349</v>
      </c>
      <c r="G208">
        <f t="shared" si="210"/>
        <v>0.641512064258282</v>
      </c>
      <c r="H208">
        <v>3.3626331011441066E-2</v>
      </c>
      <c r="I208">
        <f t="shared" si="211"/>
        <v>3683.1464028521523</v>
      </c>
      <c r="J208">
        <f t="shared" si="212"/>
        <v>0.49091403935683675</v>
      </c>
      <c r="K208">
        <f t="shared" si="213"/>
        <v>5.8836438800416925E-16</v>
      </c>
      <c r="L208">
        <f t="shared" ref="L208:M208" si="227">AVERAGE(G206:G208)</f>
        <v>0.65073291179619808</v>
      </c>
      <c r="M208">
        <f t="shared" si="227"/>
        <v>3.3542497886455171E-2</v>
      </c>
    </row>
    <row r="209" spans="1:13" x14ac:dyDescent="0.25">
      <c r="A209" s="18">
        <v>23833</v>
      </c>
      <c r="B209">
        <v>74228</v>
      </c>
      <c r="C209">
        <v>3595</v>
      </c>
      <c r="D209">
        <v>1747</v>
      </c>
      <c r="E209">
        <f t="shared" si="208"/>
        <v>1747</v>
      </c>
      <c r="F209">
        <f t="shared" si="209"/>
        <v>0.50987482614742696</v>
      </c>
      <c r="G209">
        <f t="shared" si="210"/>
        <v>0.71309446365902218</v>
      </c>
      <c r="H209">
        <v>3.3019606791673567E-2</v>
      </c>
      <c r="I209">
        <f t="shared" si="211"/>
        <v>3284.9928315275079</v>
      </c>
      <c r="J209">
        <f t="shared" si="212"/>
        <v>0.52579429301601399</v>
      </c>
      <c r="K209">
        <f t="shared" si="213"/>
        <v>5.3406311601137971E-16</v>
      </c>
      <c r="L209">
        <f t="shared" ref="L209:M209" si="228">AVERAGE(G207:G209)</f>
        <v>0.69293116653434783</v>
      </c>
      <c r="M209">
        <f t="shared" si="228"/>
        <v>3.3563160541999322E-2</v>
      </c>
    </row>
    <row r="210" spans="1:13" x14ac:dyDescent="0.25">
      <c r="A210" s="18">
        <v>23863</v>
      </c>
      <c r="B210">
        <v>74466</v>
      </c>
      <c r="C210">
        <v>3432</v>
      </c>
      <c r="D210">
        <v>1670</v>
      </c>
      <c r="E210">
        <f t="shared" si="208"/>
        <v>1670</v>
      </c>
      <c r="F210">
        <f t="shared" si="209"/>
        <v>0.49562937062937062</v>
      </c>
      <c r="G210">
        <f t="shared" si="210"/>
        <v>0.68444390543164368</v>
      </c>
      <c r="H210">
        <v>3.2181460674203979E-2</v>
      </c>
      <c r="I210">
        <f t="shared" si="211"/>
        <v>3344.0410623300691</v>
      </c>
      <c r="J210">
        <f t="shared" si="212"/>
        <v>0.51160235865385573</v>
      </c>
      <c r="K210">
        <f t="shared" si="213"/>
        <v>5.4642956026084215E-16</v>
      </c>
      <c r="L210">
        <f t="shared" ref="L210:M210" si="229">AVERAGE(G208:G210)</f>
        <v>0.67968347778298266</v>
      </c>
      <c r="M210">
        <f t="shared" si="229"/>
        <v>3.2942466159106204E-2</v>
      </c>
    </row>
    <row r="211" spans="1:13" x14ac:dyDescent="0.25">
      <c r="A211" s="18">
        <v>23894</v>
      </c>
      <c r="B211">
        <v>74412</v>
      </c>
      <c r="C211">
        <v>3387</v>
      </c>
      <c r="D211">
        <v>1656</v>
      </c>
      <c r="E211">
        <f t="shared" si="208"/>
        <v>1656</v>
      </c>
      <c r="F211">
        <f t="shared" si="209"/>
        <v>0.51372896368467669</v>
      </c>
      <c r="G211">
        <f t="shared" si="210"/>
        <v>0.72098912264013137</v>
      </c>
      <c r="H211">
        <v>3.2658230025728631E-2</v>
      </c>
      <c r="I211">
        <f t="shared" si="211"/>
        <v>3224.5375825687611</v>
      </c>
      <c r="J211">
        <f t="shared" si="212"/>
        <v>0.52935319649190271</v>
      </c>
      <c r="K211">
        <f t="shared" si="213"/>
        <v>5.2771357319787033E-16</v>
      </c>
      <c r="L211">
        <f t="shared" ref="L211:M211" si="230">AVERAGE(G209:G211)</f>
        <v>0.70617583057693245</v>
      </c>
      <c r="M211">
        <f t="shared" si="230"/>
        <v>3.2619765830535392E-2</v>
      </c>
    </row>
    <row r="212" spans="1:13" x14ac:dyDescent="0.25">
      <c r="A212" s="18">
        <v>23924</v>
      </c>
      <c r="B212">
        <v>74761</v>
      </c>
      <c r="C212">
        <v>3301</v>
      </c>
      <c r="D212">
        <v>1654</v>
      </c>
      <c r="E212">
        <f t="shared" si="208"/>
        <v>1654</v>
      </c>
      <c r="F212">
        <f t="shared" si="209"/>
        <v>0.50287791578309604</v>
      </c>
      <c r="G212">
        <f t="shared" si="210"/>
        <v>0.69891964076310209</v>
      </c>
      <c r="H212">
        <v>3.1358826466132729E-2</v>
      </c>
      <c r="I212">
        <f t="shared" si="211"/>
        <v>3210.3058362511392</v>
      </c>
      <c r="J212">
        <f t="shared" si="212"/>
        <v>0.51822518708817078</v>
      </c>
      <c r="K212">
        <f t="shared" si="213"/>
        <v>5.4949531660409029E-16</v>
      </c>
      <c r="L212">
        <f t="shared" ref="L212:M212" si="231">AVERAGE(G210:G212)</f>
        <v>0.70145088961162572</v>
      </c>
      <c r="M212">
        <f t="shared" si="231"/>
        <v>3.2066172388688446E-2</v>
      </c>
    </row>
    <row r="213" spans="1:13" x14ac:dyDescent="0.25">
      <c r="A213" s="18">
        <v>23955</v>
      </c>
      <c r="B213">
        <v>74616</v>
      </c>
      <c r="C213">
        <v>3254</v>
      </c>
      <c r="D213">
        <v>1613</v>
      </c>
      <c r="E213">
        <f t="shared" si="208"/>
        <v>1613</v>
      </c>
      <c r="F213">
        <f t="shared" si="209"/>
        <v>0.51167793484941604</v>
      </c>
      <c r="G213">
        <f t="shared" si="210"/>
        <v>0.71678012124226698</v>
      </c>
      <c r="H213">
        <v>3.1927612969271969E-2</v>
      </c>
      <c r="I213">
        <f t="shared" si="211"/>
        <v>3181.8968343154611</v>
      </c>
      <c r="J213">
        <f t="shared" si="212"/>
        <v>0.52702262953884638</v>
      </c>
      <c r="K213">
        <f t="shared" si="213"/>
        <v>5.2254484580482658E-16</v>
      </c>
      <c r="L213">
        <f t="shared" ref="L213:M213" si="232">AVERAGE(G211:G213)</f>
        <v>0.71222962821516678</v>
      </c>
      <c r="M213">
        <f t="shared" si="232"/>
        <v>3.1981556487044448E-2</v>
      </c>
    </row>
    <row r="214" spans="1:13" x14ac:dyDescent="0.25">
      <c r="A214" s="18">
        <v>23986</v>
      </c>
      <c r="B214">
        <v>74502</v>
      </c>
      <c r="C214">
        <v>3216</v>
      </c>
      <c r="D214">
        <v>1627</v>
      </c>
      <c r="E214">
        <f t="shared" si="208"/>
        <v>1627</v>
      </c>
      <c r="F214">
        <f t="shared" si="209"/>
        <v>0.49937810945273631</v>
      </c>
      <c r="G214">
        <f t="shared" si="210"/>
        <v>0.69190417232034829</v>
      </c>
      <c r="H214">
        <v>2.9776972732522059E-2</v>
      </c>
      <c r="I214">
        <f t="shared" si="211"/>
        <v>3073.9947104421512</v>
      </c>
      <c r="J214">
        <f t="shared" si="212"/>
        <v>0.5140653577309382</v>
      </c>
      <c r="K214">
        <f t="shared" si="213"/>
        <v>5.6449886434516006E-16</v>
      </c>
      <c r="L214">
        <f t="shared" ref="L214:M214" si="233">AVERAGE(G212:G214)</f>
        <v>0.70253464477523908</v>
      </c>
      <c r="M214">
        <f t="shared" si="233"/>
        <v>3.1021137389308919E-2</v>
      </c>
    </row>
    <row r="215" spans="1:13" x14ac:dyDescent="0.25">
      <c r="A215" s="18">
        <v>24016</v>
      </c>
      <c r="B215">
        <v>74838</v>
      </c>
      <c r="C215">
        <v>3143</v>
      </c>
      <c r="D215">
        <v>1533</v>
      </c>
      <c r="E215">
        <f t="shared" si="208"/>
        <v>1533</v>
      </c>
      <c r="F215">
        <f t="shared" si="209"/>
        <v>0.5093859370028635</v>
      </c>
      <c r="G215">
        <f t="shared" si="210"/>
        <v>0.71209748267429274</v>
      </c>
      <c r="H215">
        <v>2.9834337396004704E-2</v>
      </c>
      <c r="I215">
        <f t="shared" si="211"/>
        <v>3009.362965225901</v>
      </c>
      <c r="J215">
        <f t="shared" si="212"/>
        <v>0.52380689301221861</v>
      </c>
      <c r="K215">
        <f t="shared" si="213"/>
        <v>5.5758373099755327E-16</v>
      </c>
      <c r="L215">
        <f t="shared" ref="L215:M215" si="234">AVERAGE(G213:G215)</f>
        <v>0.70692725874563589</v>
      </c>
      <c r="M215">
        <f t="shared" si="234"/>
        <v>3.0512974365932911E-2</v>
      </c>
    </row>
    <row r="216" spans="1:13" x14ac:dyDescent="0.25">
      <c r="A216" s="18">
        <v>24047</v>
      </c>
      <c r="B216">
        <v>74797</v>
      </c>
      <c r="C216">
        <v>3073</v>
      </c>
      <c r="D216">
        <v>1531</v>
      </c>
      <c r="E216">
        <f t="shared" si="208"/>
        <v>1531</v>
      </c>
      <c r="F216">
        <f t="shared" si="209"/>
        <v>0.48096322811584769</v>
      </c>
      <c r="G216">
        <f t="shared" si="210"/>
        <v>0.65578054691153964</v>
      </c>
      <c r="H216">
        <v>2.7288615886118646E-2</v>
      </c>
      <c r="I216">
        <f t="shared" si="211"/>
        <v>2988.1404601464083</v>
      </c>
      <c r="J216">
        <f t="shared" si="212"/>
        <v>0.49493551399397318</v>
      </c>
      <c r="K216">
        <f t="shared" si="213"/>
        <v>6.3858858209025051E-16</v>
      </c>
      <c r="L216">
        <f t="shared" ref="L216:M216" si="235">AVERAGE(G214:G216)</f>
        <v>0.6865940673020603</v>
      </c>
      <c r="M216">
        <f t="shared" si="235"/>
        <v>2.8966642004881804E-2</v>
      </c>
    </row>
    <row r="217" spans="1:13" x14ac:dyDescent="0.25">
      <c r="A217" s="18">
        <v>24077</v>
      </c>
      <c r="B217">
        <v>75093</v>
      </c>
      <c r="C217">
        <v>3031</v>
      </c>
      <c r="D217">
        <v>1436</v>
      </c>
      <c r="E217">
        <f t="shared" si="208"/>
        <v>1436</v>
      </c>
      <c r="F217">
        <f t="shared" si="209"/>
        <v>0.51666116793137573</v>
      </c>
      <c r="G217">
        <f t="shared" si="210"/>
        <v>0.7270373556066354</v>
      </c>
      <c r="H217">
        <v>2.9729218014134359E-2</v>
      </c>
      <c r="I217">
        <f t="shared" si="211"/>
        <v>2949.9930971503481</v>
      </c>
      <c r="J217">
        <f t="shared" si="212"/>
        <v>0.53081896065418754</v>
      </c>
      <c r="K217">
        <f t="shared" si="213"/>
        <v>5.5381034480132317E-16</v>
      </c>
      <c r="L217">
        <f t="shared" ref="L217:M217" si="236">AVERAGE(G215:G217)</f>
        <v>0.69830512839748915</v>
      </c>
      <c r="M217">
        <f t="shared" si="236"/>
        <v>2.8950723765419236E-2</v>
      </c>
    </row>
    <row r="218" spans="1:13" x14ac:dyDescent="0.25">
      <c r="A218" s="18">
        <v>24108</v>
      </c>
      <c r="B218">
        <v>75186</v>
      </c>
      <c r="C218">
        <v>2988</v>
      </c>
      <c r="D218">
        <v>1523</v>
      </c>
      <c r="E218">
        <f t="shared" si="208"/>
        <v>1523</v>
      </c>
      <c r="F218">
        <f t="shared" si="209"/>
        <v>0.55990629183400276</v>
      </c>
      <c r="G218">
        <f t="shared" si="210"/>
        <v>0.82076760164084317</v>
      </c>
      <c r="H218">
        <v>3.0512217323821235E-2</v>
      </c>
      <c r="I218">
        <f t="shared" si="211"/>
        <v>2694.8736720893039</v>
      </c>
      <c r="J218">
        <f t="shared" si="212"/>
        <v>0.57313173189696687</v>
      </c>
      <c r="K218">
        <f t="shared" si="213"/>
        <v>3.9777547405951762E-16</v>
      </c>
      <c r="L218">
        <f t="shared" ref="L218:M218" si="237">AVERAGE(G216:G218)</f>
        <v>0.73452850138633929</v>
      </c>
      <c r="M218">
        <f t="shared" si="237"/>
        <v>2.9176683741358077E-2</v>
      </c>
    </row>
    <row r="219" spans="1:13" x14ac:dyDescent="0.25">
      <c r="A219" s="18">
        <v>24139</v>
      </c>
      <c r="B219">
        <v>74954</v>
      </c>
      <c r="C219">
        <v>2820</v>
      </c>
      <c r="D219">
        <v>1505</v>
      </c>
      <c r="E219">
        <f t="shared" si="208"/>
        <v>1505</v>
      </c>
      <c r="F219">
        <f t="shared" si="209"/>
        <v>0.51631205673758873</v>
      </c>
      <c r="G219">
        <f t="shared" si="210"/>
        <v>0.726315325528752</v>
      </c>
      <c r="H219">
        <v>2.9718270284646294E-2</v>
      </c>
      <c r="I219">
        <f t="shared" si="211"/>
        <v>2946.3019146905258</v>
      </c>
      <c r="J219">
        <f t="shared" si="212"/>
        <v>0.53047493529863465</v>
      </c>
      <c r="K219">
        <f t="shared" si="213"/>
        <v>5.5462396875081707E-16</v>
      </c>
      <c r="L219">
        <f t="shared" ref="L219:M219" si="238">AVERAGE(G217:G219)</f>
        <v>0.75804009425874364</v>
      </c>
      <c r="M219">
        <f t="shared" si="238"/>
        <v>2.9986568540867297E-2</v>
      </c>
    </row>
    <row r="220" spans="1:13" x14ac:dyDescent="0.25">
      <c r="A220" s="18">
        <v>24167</v>
      </c>
      <c r="B220">
        <v>75075</v>
      </c>
      <c r="C220">
        <v>2887</v>
      </c>
      <c r="D220">
        <v>1523</v>
      </c>
      <c r="E220">
        <f t="shared" si="208"/>
        <v>1523</v>
      </c>
      <c r="F220">
        <f t="shared" si="209"/>
        <v>0.56182888811915488</v>
      </c>
      <c r="G220">
        <f t="shared" si="210"/>
        <v>0.82514577850131454</v>
      </c>
      <c r="H220">
        <v>3.1782975737023891E-2</v>
      </c>
      <c r="I220">
        <f t="shared" si="211"/>
        <v>2784.486915225415</v>
      </c>
      <c r="J220">
        <f t="shared" si="212"/>
        <v>0.5755362851368605</v>
      </c>
      <c r="K220">
        <f t="shared" si="213"/>
        <v>1.1914378857084427E-16</v>
      </c>
      <c r="L220">
        <f t="shared" ref="L220:M220" si="239">AVERAGE(G218:G220)</f>
        <v>0.79074290189030327</v>
      </c>
      <c r="M220">
        <f t="shared" si="239"/>
        <v>3.0671154448497138E-2</v>
      </c>
    </row>
    <row r="221" spans="1:13" x14ac:dyDescent="0.25">
      <c r="A221" s="18">
        <v>24198</v>
      </c>
      <c r="B221">
        <v>75338</v>
      </c>
      <c r="C221">
        <v>2828</v>
      </c>
      <c r="D221">
        <v>1563</v>
      </c>
      <c r="E221">
        <f t="shared" si="208"/>
        <v>1563</v>
      </c>
      <c r="F221">
        <f t="shared" si="209"/>
        <v>0.53359264497878356</v>
      </c>
      <c r="G221">
        <f t="shared" si="210"/>
        <v>0.76269587429914876</v>
      </c>
      <c r="H221">
        <v>3.2185197902385589E-2</v>
      </c>
      <c r="I221">
        <f t="shared" si="211"/>
        <v>3050.4795300436449</v>
      </c>
      <c r="J221">
        <f t="shared" si="212"/>
        <v>0.54836505632164134</v>
      </c>
      <c r="K221">
        <f t="shared" si="213"/>
        <v>5.19638248937601E-16</v>
      </c>
      <c r="L221">
        <f t="shared" ref="L221:M221" si="240">AVERAGE(G219:G221)</f>
        <v>0.7713856594430718</v>
      </c>
      <c r="M221">
        <f t="shared" si="240"/>
        <v>3.1228814641351927E-2</v>
      </c>
    </row>
    <row r="222" spans="1:13" x14ac:dyDescent="0.25">
      <c r="A222" s="18">
        <v>24228</v>
      </c>
      <c r="B222">
        <v>75447</v>
      </c>
      <c r="C222">
        <v>2950</v>
      </c>
      <c r="D222">
        <v>1631</v>
      </c>
      <c r="E222">
        <f t="shared" si="208"/>
        <v>1631</v>
      </c>
      <c r="F222">
        <f t="shared" si="209"/>
        <v>0.5847457627118644</v>
      </c>
      <c r="G222">
        <f t="shared" si="210"/>
        <v>0.87886432635503819</v>
      </c>
      <c r="H222">
        <v>3.4121399457426593E-2</v>
      </c>
      <c r="I222">
        <f t="shared" si="211"/>
        <v>2819.7124577972422</v>
      </c>
      <c r="J222">
        <f t="shared" si="212"/>
        <v>0.59867581055360075</v>
      </c>
      <c r="K222">
        <f t="shared" si="213"/>
        <v>4.4526002643536079E-15</v>
      </c>
      <c r="L222">
        <f t="shared" ref="L222:M222" si="241">AVERAGE(G220:G222)</f>
        <v>0.82223532638516728</v>
      </c>
      <c r="M222">
        <f t="shared" si="241"/>
        <v>3.2696524365612024E-2</v>
      </c>
    </row>
    <row r="223" spans="1:13" x14ac:dyDescent="0.25">
      <c r="A223" s="18">
        <v>24259</v>
      </c>
      <c r="B223">
        <v>75647</v>
      </c>
      <c r="C223">
        <v>2872</v>
      </c>
      <c r="D223">
        <v>1647</v>
      </c>
      <c r="E223">
        <f t="shared" si="208"/>
        <v>1647</v>
      </c>
      <c r="F223">
        <f t="shared" si="209"/>
        <v>0.5696378830083566</v>
      </c>
      <c r="G223">
        <f t="shared" si="210"/>
        <v>0.84312829215047891</v>
      </c>
      <c r="H223">
        <v>3.335582656437458E-2</v>
      </c>
      <c r="I223">
        <f t="shared" si="211"/>
        <v>2878.8521756845867</v>
      </c>
      <c r="J223">
        <f t="shared" si="212"/>
        <v>0.58375619418155478</v>
      </c>
      <c r="K223">
        <f t="shared" si="213"/>
        <v>2.5204524136735774E-19</v>
      </c>
      <c r="L223">
        <f t="shared" ref="L223:M223" si="242">AVERAGE(G221:G223)</f>
        <v>0.82822949760155529</v>
      </c>
      <c r="M223">
        <f t="shared" si="242"/>
        <v>3.3220807974728921E-2</v>
      </c>
    </row>
    <row r="224" spans="1:13" x14ac:dyDescent="0.25">
      <c r="A224" s="18">
        <v>24289</v>
      </c>
      <c r="B224">
        <v>75736</v>
      </c>
      <c r="C224">
        <v>2876</v>
      </c>
      <c r="D224">
        <v>1640</v>
      </c>
      <c r="E224">
        <f t="shared" si="208"/>
        <v>1640</v>
      </c>
      <c r="F224">
        <f t="shared" si="209"/>
        <v>0.55563282336578579</v>
      </c>
      <c r="G224">
        <f t="shared" si="210"/>
        <v>0.81110408390345712</v>
      </c>
      <c r="H224">
        <v>3.2504328780570829E-2</v>
      </c>
      <c r="I224">
        <f t="shared" si="211"/>
        <v>2918.1167559638307</v>
      </c>
      <c r="J224">
        <f t="shared" si="212"/>
        <v>0.56984445910290527</v>
      </c>
      <c r="K224">
        <f t="shared" si="213"/>
        <v>4.5702434449296802E-16</v>
      </c>
      <c r="L224">
        <f t="shared" ref="L224:M224" si="243">AVERAGE(G222:G224)</f>
        <v>0.84436556746965807</v>
      </c>
      <c r="M224">
        <f t="shared" si="243"/>
        <v>3.3327184934124003E-2</v>
      </c>
    </row>
    <row r="225" spans="1:13" x14ac:dyDescent="0.25">
      <c r="A225" s="18">
        <v>24320</v>
      </c>
      <c r="B225">
        <v>76046</v>
      </c>
      <c r="C225">
        <v>2900</v>
      </c>
      <c r="D225">
        <v>1622</v>
      </c>
      <c r="E225">
        <f t="shared" si="208"/>
        <v>1622</v>
      </c>
      <c r="F225">
        <f t="shared" si="209"/>
        <v>0.57137931034482758</v>
      </c>
      <c r="G225">
        <f t="shared" si="210"/>
        <v>0.84718292446385424</v>
      </c>
      <c r="H225">
        <v>3.1492335457529413E-2</v>
      </c>
      <c r="I225">
        <f t="shared" si="211"/>
        <v>2725.5417916484348</v>
      </c>
      <c r="J225">
        <f t="shared" si="212"/>
        <v>0.58466724465182951</v>
      </c>
      <c r="K225">
        <f t="shared" si="213"/>
        <v>2.6229007922179952E-16</v>
      </c>
      <c r="L225">
        <f t="shared" ref="L225:M225" si="244">AVERAGE(G223:G225)</f>
        <v>0.83380510017259668</v>
      </c>
      <c r="M225">
        <f t="shared" si="244"/>
        <v>3.2450830267491605E-2</v>
      </c>
    </row>
    <row r="226" spans="1:13" x14ac:dyDescent="0.25">
      <c r="A226" s="18">
        <v>24351</v>
      </c>
      <c r="B226">
        <v>76056</v>
      </c>
      <c r="C226">
        <v>2798</v>
      </c>
      <c r="D226">
        <v>1555</v>
      </c>
      <c r="E226">
        <f t="shared" si="208"/>
        <v>1555</v>
      </c>
      <c r="F226">
        <f t="shared" si="209"/>
        <v>0.55075053609721225</v>
      </c>
      <c r="G226">
        <f t="shared" si="210"/>
        <v>0.80017694663517902</v>
      </c>
      <c r="H226">
        <v>3.0561782968669675E-2</v>
      </c>
      <c r="I226">
        <f t="shared" si="211"/>
        <v>2798.0000000404125</v>
      </c>
      <c r="J226">
        <f t="shared" si="212"/>
        <v>0.56427271724358041</v>
      </c>
      <c r="K226">
        <f t="shared" si="213"/>
        <v>5.2001150012694514E-16</v>
      </c>
      <c r="L226">
        <f t="shared" ref="L226:M226" si="245">AVERAGE(G224:G226)</f>
        <v>0.8194879850008302</v>
      </c>
      <c r="M226">
        <f t="shared" si="245"/>
        <v>3.1519482402256639E-2</v>
      </c>
    </row>
    <row r="227" spans="1:13" x14ac:dyDescent="0.25">
      <c r="A227" s="18">
        <v>24381</v>
      </c>
      <c r="B227">
        <v>76199</v>
      </c>
      <c r="C227">
        <v>2798</v>
      </c>
      <c r="D227">
        <v>1541</v>
      </c>
      <c r="E227">
        <f t="shared" si="208"/>
        <v>1541</v>
      </c>
      <c r="F227">
        <f t="shared" si="209"/>
        <v>0.54574696211579699</v>
      </c>
      <c r="G227">
        <f t="shared" si="210"/>
        <v>0.78910088403597245</v>
      </c>
      <c r="H227">
        <v>2.9521356483348523E-2</v>
      </c>
      <c r="I227">
        <f t="shared" si="211"/>
        <v>2747.9070703571756</v>
      </c>
      <c r="J227">
        <f t="shared" si="212"/>
        <v>0.55896111839602258</v>
      </c>
      <c r="K227">
        <f t="shared" si="213"/>
        <v>5.3423127521246684E-16</v>
      </c>
      <c r="L227">
        <f t="shared" ref="L227:M227" si="246">AVERAGE(G225:G227)</f>
        <v>0.81215358504500179</v>
      </c>
      <c r="M227">
        <f t="shared" si="246"/>
        <v>3.0525158303182535E-2</v>
      </c>
    </row>
    <row r="228" spans="1:13" x14ac:dyDescent="0.25">
      <c r="A228" s="18">
        <v>24412</v>
      </c>
      <c r="B228">
        <v>76610</v>
      </c>
      <c r="C228">
        <v>2770</v>
      </c>
      <c r="D228">
        <v>1499</v>
      </c>
      <c r="E228">
        <f t="shared" si="208"/>
        <v>1499</v>
      </c>
      <c r="F228">
        <f t="shared" si="209"/>
        <v>0.5198555956678701</v>
      </c>
      <c r="G228">
        <f t="shared" si="210"/>
        <v>0.73366837796558482</v>
      </c>
      <c r="H228">
        <v>3.0272765170528383E-2</v>
      </c>
      <c r="I228">
        <f t="shared" si="211"/>
        <v>3035.831438785282</v>
      </c>
      <c r="J228">
        <f t="shared" si="212"/>
        <v>0.53417308604572911</v>
      </c>
      <c r="K228">
        <f t="shared" si="213"/>
        <v>5.7171754361266208E-16</v>
      </c>
      <c r="L228">
        <f t="shared" ref="L228:M228" si="247">AVERAGE(G226:G228)</f>
        <v>0.7743154028789121</v>
      </c>
      <c r="M228">
        <f t="shared" si="247"/>
        <v>3.0118634874182194E-2</v>
      </c>
    </row>
    <row r="229" spans="1:13" x14ac:dyDescent="0.25">
      <c r="A229" s="18">
        <v>24442</v>
      </c>
      <c r="B229">
        <v>76641</v>
      </c>
      <c r="C229">
        <v>2912</v>
      </c>
      <c r="D229">
        <v>1582</v>
      </c>
      <c r="E229">
        <f t="shared" si="208"/>
        <v>1582</v>
      </c>
      <c r="F229">
        <f t="shared" si="209"/>
        <v>0.53296703296703296</v>
      </c>
      <c r="G229">
        <f t="shared" si="210"/>
        <v>0.76135543058647892</v>
      </c>
      <c r="H229">
        <v>3.1170348486215579E-2</v>
      </c>
      <c r="I229">
        <f t="shared" si="211"/>
        <v>3014.3204693319176</v>
      </c>
      <c r="J229">
        <f t="shared" si="212"/>
        <v>0.54730006995684399</v>
      </c>
      <c r="K229">
        <f t="shared" si="213"/>
        <v>5.4642956026084215E-16</v>
      </c>
      <c r="L229">
        <f t="shared" ref="L229:M229" si="248">AVERAGE(G227:G229)</f>
        <v>0.7613748975293454</v>
      </c>
      <c r="M229">
        <f t="shared" si="248"/>
        <v>3.0321490046697496E-2</v>
      </c>
    </row>
    <row r="230" spans="1:13" x14ac:dyDescent="0.25">
      <c r="A230" s="18">
        <v>24473</v>
      </c>
      <c r="B230">
        <v>76639</v>
      </c>
      <c r="C230">
        <v>2968</v>
      </c>
      <c r="D230">
        <v>1608</v>
      </c>
      <c r="E230">
        <f t="shared" si="208"/>
        <v>1608</v>
      </c>
      <c r="F230">
        <f t="shared" si="209"/>
        <v>0.55559299191374656</v>
      </c>
      <c r="G230">
        <f t="shared" si="210"/>
        <v>0.81101445156995633</v>
      </c>
      <c r="H230">
        <v>3.1608936610379161E-2</v>
      </c>
      <c r="I230">
        <f t="shared" si="211"/>
        <v>2874.9229215133037</v>
      </c>
      <c r="J230">
        <f t="shared" si="212"/>
        <v>0.56942053660197378</v>
      </c>
      <c r="K230">
        <f t="shared" si="213"/>
        <v>5.1806377681605532E-16</v>
      </c>
      <c r="L230">
        <f t="shared" ref="L230:M230" si="249">AVERAGE(G228:G230)</f>
        <v>0.76867942004067336</v>
      </c>
      <c r="M230">
        <f t="shared" si="249"/>
        <v>3.1017350089041041E-2</v>
      </c>
    </row>
    <row r="231" spans="1:13" x14ac:dyDescent="0.25">
      <c r="A231" s="18">
        <v>24504</v>
      </c>
      <c r="B231">
        <v>76521</v>
      </c>
      <c r="C231">
        <v>2915</v>
      </c>
      <c r="D231">
        <v>1596</v>
      </c>
      <c r="E231">
        <f t="shared" si="208"/>
        <v>1596</v>
      </c>
      <c r="F231">
        <f t="shared" si="209"/>
        <v>0.55300171526586617</v>
      </c>
      <c r="G231">
        <f t="shared" si="210"/>
        <v>0.80520052165974754</v>
      </c>
      <c r="H231">
        <v>3.1366807213382565E-2</v>
      </c>
      <c r="I231">
        <f t="shared" si="211"/>
        <v>2869.1288458615545</v>
      </c>
      <c r="J231">
        <f t="shared" si="212"/>
        <v>0.56680500993675331</v>
      </c>
      <c r="K231">
        <f t="shared" si="213"/>
        <v>5.1748431032718232E-16</v>
      </c>
      <c r="L231">
        <f t="shared" ref="L231:M231" si="250">AVERAGE(G229:G231)</f>
        <v>0.79252346793872752</v>
      </c>
      <c r="M231">
        <f t="shared" si="250"/>
        <v>3.1382030769992436E-2</v>
      </c>
    </row>
    <row r="232" spans="1:13" x14ac:dyDescent="0.25">
      <c r="A232" s="18">
        <v>24532</v>
      </c>
      <c r="B232">
        <v>76328</v>
      </c>
      <c r="C232">
        <v>2889</v>
      </c>
      <c r="D232">
        <v>1586</v>
      </c>
      <c r="E232">
        <f t="shared" si="208"/>
        <v>1586</v>
      </c>
      <c r="F232">
        <f t="shared" si="209"/>
        <v>0.53340256143994469</v>
      </c>
      <c r="G232">
        <f t="shared" si="210"/>
        <v>0.76228840899398309</v>
      </c>
      <c r="H232">
        <v>3.0105789886662578E-2</v>
      </c>
      <c r="I232">
        <f t="shared" si="211"/>
        <v>2899.9641008418139</v>
      </c>
      <c r="J232">
        <f t="shared" si="212"/>
        <v>0.54724049969406097</v>
      </c>
      <c r="K232">
        <f t="shared" si="213"/>
        <v>5.4617446768609815E-16</v>
      </c>
      <c r="L232">
        <f t="shared" ref="L232:M232" si="251">AVERAGE(G230:G232)</f>
        <v>0.79283446074122887</v>
      </c>
      <c r="M232">
        <f t="shared" si="251"/>
        <v>3.1027177903474767E-2</v>
      </c>
    </row>
    <row r="233" spans="1:13" x14ac:dyDescent="0.25">
      <c r="A233" s="18">
        <v>24563</v>
      </c>
      <c r="B233">
        <v>76777</v>
      </c>
      <c r="C233">
        <v>2895</v>
      </c>
      <c r="D233">
        <v>1547</v>
      </c>
      <c r="E233">
        <f t="shared" si="208"/>
        <v>1547</v>
      </c>
      <c r="F233">
        <f t="shared" si="209"/>
        <v>0.53436960276338508</v>
      </c>
      <c r="G233">
        <f t="shared" si="210"/>
        <v>0.76436309853484308</v>
      </c>
      <c r="H233">
        <v>3.0617984339861466E-2</v>
      </c>
      <c r="I233">
        <f t="shared" si="211"/>
        <v>2956.9973855994785</v>
      </c>
      <c r="J233">
        <f t="shared" si="212"/>
        <v>0.54841022237780424</v>
      </c>
      <c r="K233">
        <f t="shared" si="213"/>
        <v>5.5000710979268909E-16</v>
      </c>
      <c r="L233">
        <f t="shared" ref="L233:M233" si="252">AVERAGE(G231:G233)</f>
        <v>0.77728400972952461</v>
      </c>
      <c r="M233">
        <f t="shared" si="252"/>
        <v>3.0696860479968873E-2</v>
      </c>
    </row>
    <row r="234" spans="1:13" x14ac:dyDescent="0.25">
      <c r="A234" s="18">
        <v>24593</v>
      </c>
      <c r="B234">
        <v>76773</v>
      </c>
      <c r="C234">
        <v>2929</v>
      </c>
      <c r="D234">
        <v>1581</v>
      </c>
      <c r="E234">
        <f t="shared" si="208"/>
        <v>1581</v>
      </c>
      <c r="F234">
        <f t="shared" si="209"/>
        <v>0.56025947422328437</v>
      </c>
      <c r="G234">
        <f t="shared" si="210"/>
        <v>0.8215704401634345</v>
      </c>
      <c r="H234">
        <v>3.3856798702339347E-2</v>
      </c>
      <c r="I234">
        <f t="shared" si="211"/>
        <v>3038.5845676613485</v>
      </c>
      <c r="J234">
        <f t="shared" si="212"/>
        <v>0.57489846761732499</v>
      </c>
      <c r="K234">
        <f t="shared" si="213"/>
        <v>5.2976306619388378E-16</v>
      </c>
      <c r="L234">
        <f t="shared" ref="L234:M234" si="253">AVERAGE(G232:G234)</f>
        <v>0.78274064923075359</v>
      </c>
      <c r="M234">
        <f t="shared" si="253"/>
        <v>3.1526857642954466E-2</v>
      </c>
    </row>
    <row r="235" spans="1:13" x14ac:dyDescent="0.25">
      <c r="A235" s="18">
        <v>24624</v>
      </c>
      <c r="B235">
        <v>77270</v>
      </c>
      <c r="C235">
        <v>2992</v>
      </c>
      <c r="D235">
        <v>1704</v>
      </c>
      <c r="E235">
        <f t="shared" si="208"/>
        <v>1704</v>
      </c>
      <c r="F235">
        <f t="shared" si="209"/>
        <v>0.56483957219251335</v>
      </c>
      <c r="G235">
        <f t="shared" si="210"/>
        <v>0.8320405163258533</v>
      </c>
      <c r="H235">
        <v>3.255017072929222E-2</v>
      </c>
      <c r="I235">
        <f t="shared" si="211"/>
        <v>2909.0663708386528</v>
      </c>
      <c r="J235">
        <f t="shared" si="212"/>
        <v>0.57877607024604938</v>
      </c>
      <c r="K235">
        <f t="shared" si="213"/>
        <v>5.1767053205092031E-16</v>
      </c>
      <c r="L235">
        <f t="shared" ref="L235:M235" si="254">AVERAGE(G233:G235)</f>
        <v>0.80599135167471037</v>
      </c>
      <c r="M235">
        <f t="shared" si="254"/>
        <v>3.2341651257164344E-2</v>
      </c>
    </row>
    <row r="236" spans="1:13" x14ac:dyDescent="0.25">
      <c r="A236" s="18">
        <v>24654</v>
      </c>
      <c r="B236">
        <v>77464</v>
      </c>
      <c r="C236">
        <v>2944</v>
      </c>
      <c r="D236">
        <v>1642</v>
      </c>
      <c r="E236">
        <f t="shared" si="208"/>
        <v>1642</v>
      </c>
      <c r="F236">
        <f t="shared" si="209"/>
        <v>0.54144021739130432</v>
      </c>
      <c r="G236">
        <f t="shared" si="210"/>
        <v>0.7796646084162917</v>
      </c>
      <c r="H236">
        <v>3.0821148693001673E-2</v>
      </c>
      <c r="I236">
        <f t="shared" si="211"/>
        <v>2945.8006404333705</v>
      </c>
      <c r="J236">
        <f t="shared" si="212"/>
        <v>0.55535797426950251</v>
      </c>
      <c r="K236">
        <f t="shared" si="213"/>
        <v>5.5058316188678863E-16</v>
      </c>
      <c r="L236">
        <f t="shared" ref="L236:M236" si="255">AVERAGE(G234:G236)</f>
        <v>0.81109185496852643</v>
      </c>
      <c r="M236">
        <f t="shared" si="255"/>
        <v>3.2409372708211086E-2</v>
      </c>
    </row>
    <row r="237" spans="1:13" x14ac:dyDescent="0.25">
      <c r="A237" s="18">
        <v>24685</v>
      </c>
      <c r="B237">
        <v>77712</v>
      </c>
      <c r="C237">
        <v>2945</v>
      </c>
      <c r="D237">
        <v>1595</v>
      </c>
      <c r="E237">
        <f t="shared" si="208"/>
        <v>1595</v>
      </c>
      <c r="F237">
        <f t="shared" si="209"/>
        <v>0.56162988115449908</v>
      </c>
      <c r="G237">
        <f t="shared" si="210"/>
        <v>0.82469170523904445</v>
      </c>
      <c r="H237">
        <v>3.2742751006041085E-2</v>
      </c>
      <c r="I237">
        <f t="shared" si="211"/>
        <v>2967.5792098727534</v>
      </c>
      <c r="J237">
        <f t="shared" si="212"/>
        <v>0.57575088302339383</v>
      </c>
      <c r="K237">
        <f t="shared" si="213"/>
        <v>4.931971129461556E-16</v>
      </c>
      <c r="L237">
        <f t="shared" ref="L237:M237" si="256">AVERAGE(G235:G237)</f>
        <v>0.81213227666039645</v>
      </c>
      <c r="M237">
        <f t="shared" si="256"/>
        <v>3.2038023476111656E-2</v>
      </c>
    </row>
    <row r="238" spans="1:13" x14ac:dyDescent="0.25">
      <c r="A238" s="18">
        <v>24716</v>
      </c>
      <c r="B238">
        <v>77812</v>
      </c>
      <c r="C238">
        <v>2958</v>
      </c>
      <c r="D238">
        <v>1667</v>
      </c>
      <c r="E238">
        <f t="shared" si="208"/>
        <v>1667</v>
      </c>
      <c r="F238">
        <f t="shared" si="209"/>
        <v>0.52231237322515212</v>
      </c>
      <c r="G238">
        <f t="shared" si="210"/>
        <v>0.73879826058621767</v>
      </c>
      <c r="H238">
        <v>3.2741336756697118E-2</v>
      </c>
      <c r="I238">
        <f t="shared" si="211"/>
        <v>3302.0585132454212</v>
      </c>
      <c r="J238">
        <f t="shared" si="212"/>
        <v>0.53769923690616706</v>
      </c>
      <c r="K238">
        <f t="shared" si="213"/>
        <v>5.35135584420081E-16</v>
      </c>
      <c r="L238">
        <f t="shared" ref="L238:M238" si="257">AVERAGE(G236:G238)</f>
        <v>0.78105152474718453</v>
      </c>
      <c r="M238">
        <f t="shared" si="257"/>
        <v>3.2101745485246629E-2</v>
      </c>
    </row>
    <row r="239" spans="1:13" x14ac:dyDescent="0.25">
      <c r="A239" s="18">
        <v>24746</v>
      </c>
      <c r="B239">
        <v>78194</v>
      </c>
      <c r="C239">
        <v>3143</v>
      </c>
      <c r="D239">
        <v>1730</v>
      </c>
      <c r="E239">
        <f t="shared" si="208"/>
        <v>1730</v>
      </c>
      <c r="F239">
        <f t="shared" si="209"/>
        <v>0.55902004454342991</v>
      </c>
      <c r="G239">
        <f t="shared" si="210"/>
        <v>0.81875585704771925</v>
      </c>
      <c r="H239">
        <v>3.2763970935596583E-2</v>
      </c>
      <c r="I239">
        <f t="shared" si="211"/>
        <v>3008.674442033353</v>
      </c>
      <c r="J239">
        <f t="shared" si="212"/>
        <v>0.57323417183734116</v>
      </c>
      <c r="K239">
        <f t="shared" si="213"/>
        <v>5.0177790928757777E-16</v>
      </c>
      <c r="L239">
        <f t="shared" ref="L239:M239" si="258">AVERAGE(G237:G239)</f>
        <v>0.79408194095766049</v>
      </c>
      <c r="M239">
        <f t="shared" si="258"/>
        <v>3.2749352899444924E-2</v>
      </c>
    </row>
    <row r="240" spans="1:13" x14ac:dyDescent="0.25">
      <c r="A240" s="18">
        <v>24777</v>
      </c>
      <c r="B240">
        <v>78191</v>
      </c>
      <c r="C240">
        <v>3066</v>
      </c>
      <c r="D240">
        <v>1680</v>
      </c>
      <c r="E240">
        <f t="shared" si="208"/>
        <v>1680</v>
      </c>
      <c r="F240">
        <f t="shared" si="209"/>
        <v>0.54272667971298105</v>
      </c>
      <c r="G240">
        <f t="shared" si="210"/>
        <v>0.78247399183722399</v>
      </c>
      <c r="H240">
        <v>3.1000647515970377E-2</v>
      </c>
      <c r="I240">
        <f t="shared" si="211"/>
        <v>2979.7752906575856</v>
      </c>
      <c r="J240">
        <f t="shared" si="212"/>
        <v>0.55668497281601814</v>
      </c>
      <c r="K240">
        <f t="shared" si="213"/>
        <v>5.5926012417827467E-16</v>
      </c>
      <c r="L240">
        <f t="shared" ref="L240:M240" si="259">AVERAGE(G238:G240)</f>
        <v>0.78000936982372027</v>
      </c>
      <c r="M240">
        <f t="shared" si="259"/>
        <v>3.2168651736088023E-2</v>
      </c>
    </row>
    <row r="241" spans="1:13" x14ac:dyDescent="0.25">
      <c r="A241" s="18">
        <v>24807</v>
      </c>
      <c r="B241">
        <v>78491</v>
      </c>
      <c r="C241">
        <v>3018</v>
      </c>
      <c r="D241">
        <v>1616</v>
      </c>
      <c r="E241">
        <f t="shared" si="208"/>
        <v>1616</v>
      </c>
      <c r="F241">
        <f t="shared" si="209"/>
        <v>0.52948972829688534</v>
      </c>
      <c r="G241">
        <f t="shared" si="210"/>
        <v>0.75393748873248778</v>
      </c>
      <c r="H241">
        <v>2.7475152454631866E-2</v>
      </c>
      <c r="I241">
        <f t="shared" si="211"/>
        <v>2759.8122651820458</v>
      </c>
      <c r="J241">
        <f t="shared" si="212"/>
        <v>0.54224109473483584</v>
      </c>
      <c r="K241">
        <f t="shared" si="213"/>
        <v>6.3528328747649682E-16</v>
      </c>
      <c r="L241">
        <f t="shared" ref="L241:M241" si="260">AVERAGE(G239:G241)</f>
        <v>0.78505577920581038</v>
      </c>
      <c r="M241">
        <f t="shared" si="260"/>
        <v>3.0413256968732941E-2</v>
      </c>
    </row>
    <row r="242" spans="1:13" x14ac:dyDescent="0.25">
      <c r="A242" s="18">
        <v>24838</v>
      </c>
      <c r="B242">
        <v>77578</v>
      </c>
      <c r="C242">
        <v>2878</v>
      </c>
      <c r="D242">
        <v>1458</v>
      </c>
      <c r="E242">
        <f t="shared" si="208"/>
        <v>1458</v>
      </c>
      <c r="F242">
        <f t="shared" si="209"/>
        <v>0.55142460041695629</v>
      </c>
      <c r="G242">
        <f t="shared" si="210"/>
        <v>0.80167849660067081</v>
      </c>
      <c r="H242">
        <v>3.3315228750671139E-2</v>
      </c>
      <c r="I242">
        <f t="shared" si="211"/>
        <v>3095.2673505804705</v>
      </c>
      <c r="J242">
        <f t="shared" si="212"/>
        <v>0.56612279614853533</v>
      </c>
      <c r="K242">
        <f t="shared" si="213"/>
        <v>5.0175753644947604E-16</v>
      </c>
      <c r="L242">
        <f t="shared" ref="L242:M242" si="261">AVERAGE(G240:G242)</f>
        <v>0.77936332572346079</v>
      </c>
      <c r="M242">
        <f t="shared" si="261"/>
        <v>3.0597009573757796E-2</v>
      </c>
    </row>
    <row r="243" spans="1:13" x14ac:dyDescent="0.25">
      <c r="A243" s="18">
        <v>24869</v>
      </c>
      <c r="B243">
        <v>78230</v>
      </c>
      <c r="C243">
        <v>3001</v>
      </c>
      <c r="D243">
        <v>1710</v>
      </c>
      <c r="E243">
        <f t="shared" si="208"/>
        <v>1710</v>
      </c>
      <c r="F243">
        <f t="shared" si="209"/>
        <v>0.59146951016327898</v>
      </c>
      <c r="G243">
        <f t="shared" si="210"/>
        <v>0.89518872894421053</v>
      </c>
      <c r="H243">
        <v>3.3180314431564405E-2</v>
      </c>
      <c r="I243">
        <f t="shared" si="211"/>
        <v>2795.9743126964931</v>
      </c>
      <c r="J243">
        <f t="shared" si="212"/>
        <v>0.60480226459516861</v>
      </c>
      <c r="K243">
        <f t="shared" si="213"/>
        <v>3.4813155461776782E-16</v>
      </c>
      <c r="L243">
        <f t="shared" ref="L243:M243" si="262">AVERAGE(G241:G243)</f>
        <v>0.816934904759123</v>
      </c>
      <c r="M243">
        <f t="shared" si="262"/>
        <v>3.1323565212289135E-2</v>
      </c>
    </row>
    <row r="244" spans="1:13" x14ac:dyDescent="0.25">
      <c r="A244" s="18">
        <v>24898</v>
      </c>
      <c r="B244">
        <v>78256</v>
      </c>
      <c r="C244">
        <v>2877</v>
      </c>
      <c r="D244">
        <v>1651</v>
      </c>
      <c r="E244">
        <f t="shared" si="208"/>
        <v>1651</v>
      </c>
      <c r="F244">
        <f t="shared" si="209"/>
        <v>0.55752519986096627</v>
      </c>
      <c r="G244">
        <f t="shared" si="210"/>
        <v>0.81537176499414132</v>
      </c>
      <c r="H244">
        <v>2.7821524132208533E-2</v>
      </c>
      <c r="I244">
        <f t="shared" si="211"/>
        <v>2582.0902758203333</v>
      </c>
      <c r="J244">
        <f t="shared" si="212"/>
        <v>0.5696658543354548</v>
      </c>
      <c r="K244">
        <f t="shared" si="213"/>
        <v>5.4553699681113109E-16</v>
      </c>
      <c r="L244">
        <f t="shared" ref="L244:M244" si="263">AVERAGE(G242:G244)</f>
        <v>0.83741299684634096</v>
      </c>
      <c r="M244">
        <f t="shared" si="263"/>
        <v>3.1439022438148029E-2</v>
      </c>
    </row>
    <row r="245" spans="1:13" x14ac:dyDescent="0.25">
      <c r="A245" s="18">
        <v>24929</v>
      </c>
      <c r="B245">
        <v>78270</v>
      </c>
      <c r="C245">
        <v>2709</v>
      </c>
      <c r="D245">
        <v>1436</v>
      </c>
      <c r="E245">
        <f t="shared" si="208"/>
        <v>1436</v>
      </c>
      <c r="F245">
        <f t="shared" si="209"/>
        <v>0.56699889258028791</v>
      </c>
      <c r="G245">
        <f t="shared" si="210"/>
        <v>0.83701499343161956</v>
      </c>
      <c r="H245">
        <v>3.0622182629948105E-2</v>
      </c>
      <c r="I245">
        <f t="shared" si="211"/>
        <v>2762.4429895059743</v>
      </c>
      <c r="J245">
        <f t="shared" si="212"/>
        <v>0.58005737159106618</v>
      </c>
      <c r="K245">
        <f t="shared" si="213"/>
        <v>5.2005298075312284E-16</v>
      </c>
      <c r="L245">
        <f t="shared" ref="L245:M245" si="264">AVERAGE(G243:G245)</f>
        <v>0.84919182912332369</v>
      </c>
      <c r="M245">
        <f t="shared" si="264"/>
        <v>3.0541340397907013E-2</v>
      </c>
    </row>
    <row r="246" spans="1:13" x14ac:dyDescent="0.25">
      <c r="A246" s="18">
        <v>24959</v>
      </c>
      <c r="B246">
        <v>78847</v>
      </c>
      <c r="C246">
        <v>2740</v>
      </c>
      <c r="D246">
        <v>1567</v>
      </c>
      <c r="E246">
        <f t="shared" si="208"/>
        <v>1567</v>
      </c>
      <c r="F246">
        <f t="shared" si="209"/>
        <v>0.56824817518248172</v>
      </c>
      <c r="G246">
        <f t="shared" si="210"/>
        <v>0.83990433540372911</v>
      </c>
      <c r="H246">
        <v>3.4140301247853125E-2</v>
      </c>
      <c r="I246">
        <f t="shared" si="211"/>
        <v>3079.7744412709249</v>
      </c>
      <c r="J246">
        <f t="shared" si="212"/>
        <v>0.58273953532697698</v>
      </c>
      <c r="K246">
        <f t="shared" si="213"/>
        <v>4.9291438013124314E-16</v>
      </c>
      <c r="L246">
        <f t="shared" ref="L246:M246" si="265">AVERAGE(G244:G246)</f>
        <v>0.83076369794316329</v>
      </c>
      <c r="M246">
        <f t="shared" si="265"/>
        <v>3.0861336003336588E-2</v>
      </c>
    </row>
    <row r="247" spans="1:13" x14ac:dyDescent="0.25">
      <c r="A247" s="18">
        <v>24990</v>
      </c>
      <c r="B247">
        <v>79120</v>
      </c>
      <c r="C247">
        <v>2938</v>
      </c>
      <c r="D247">
        <v>1755</v>
      </c>
      <c r="E247">
        <f t="shared" si="208"/>
        <v>1755</v>
      </c>
      <c r="F247">
        <f t="shared" si="209"/>
        <v>0.57930565010211033</v>
      </c>
      <c r="G247">
        <f t="shared" si="210"/>
        <v>0.86584871871618663</v>
      </c>
      <c r="H247">
        <v>3.2297866304542927E-2</v>
      </c>
      <c r="I247">
        <f t="shared" si="211"/>
        <v>2845.2005770933893</v>
      </c>
      <c r="J247">
        <f t="shared" si="212"/>
        <v>0.59267609921700859</v>
      </c>
      <c r="K247">
        <f t="shared" si="213"/>
        <v>4.8930658329273212E-16</v>
      </c>
      <c r="L247">
        <f t="shared" ref="L247:M247" si="266">AVERAGE(G245:G247)</f>
        <v>0.8475893491838451</v>
      </c>
      <c r="M247">
        <f t="shared" si="266"/>
        <v>3.2353450060781386E-2</v>
      </c>
    </row>
    <row r="248" spans="1:13" x14ac:dyDescent="0.25">
      <c r="A248" s="18">
        <v>25020</v>
      </c>
      <c r="B248">
        <v>78970</v>
      </c>
      <c r="C248">
        <v>2883</v>
      </c>
      <c r="D248">
        <v>1647</v>
      </c>
      <c r="E248">
        <f t="shared" si="208"/>
        <v>1647</v>
      </c>
      <c r="F248">
        <f t="shared" si="209"/>
        <v>0.6104751994450226</v>
      </c>
      <c r="G248">
        <f t="shared" si="210"/>
        <v>0.94282774289995919</v>
      </c>
      <c r="H248">
        <v>3.3357226082907261E-2</v>
      </c>
      <c r="I248">
        <f t="shared" si="211"/>
        <v>2698.4846391477486</v>
      </c>
      <c r="J248">
        <f t="shared" si="212"/>
        <v>0.62325434296335636</v>
      </c>
      <c r="K248">
        <f t="shared" si="213"/>
        <v>2.8979909628506414E-17</v>
      </c>
      <c r="L248">
        <f t="shared" ref="L248:M248" si="267">AVERAGE(G246:G248)</f>
        <v>0.88286026567329168</v>
      </c>
      <c r="M248">
        <f t="shared" si="267"/>
        <v>3.3265131211767773E-2</v>
      </c>
    </row>
    <row r="249" spans="1:13" x14ac:dyDescent="0.25">
      <c r="A249" s="18">
        <v>25051</v>
      </c>
      <c r="B249">
        <v>78811</v>
      </c>
      <c r="C249">
        <v>2768</v>
      </c>
      <c r="D249">
        <v>1645</v>
      </c>
      <c r="E249">
        <f t="shared" si="208"/>
        <v>1645</v>
      </c>
      <c r="F249">
        <f t="shared" si="209"/>
        <v>0.58381502890173409</v>
      </c>
      <c r="G249">
        <f t="shared" si="210"/>
        <v>0.87662547548172365</v>
      </c>
      <c r="H249">
        <v>3.0269348364970441E-2</v>
      </c>
      <c r="I249">
        <f t="shared" si="211"/>
        <v>2630.4677800156369</v>
      </c>
      <c r="J249">
        <f t="shared" si="212"/>
        <v>0.59622392474135588</v>
      </c>
      <c r="K249">
        <f t="shared" si="213"/>
        <v>5.0766249863505961E-16</v>
      </c>
      <c r="L249">
        <f t="shared" ref="L249:M249" si="268">AVERAGE(G247:G249)</f>
        <v>0.89510064569928982</v>
      </c>
      <c r="M249">
        <f t="shared" si="268"/>
        <v>3.1974813584140206E-2</v>
      </c>
    </row>
    <row r="250" spans="1:13" x14ac:dyDescent="0.25">
      <c r="A250" s="18">
        <v>25082</v>
      </c>
      <c r="B250">
        <v>78858</v>
      </c>
      <c r="C250">
        <v>2686</v>
      </c>
      <c r="D250">
        <v>1534</v>
      </c>
      <c r="E250">
        <f t="shared" si="208"/>
        <v>1534</v>
      </c>
      <c r="F250">
        <f t="shared" si="209"/>
        <v>0.55994043186895004</v>
      </c>
      <c r="G250">
        <f t="shared" si="210"/>
        <v>0.82084517911713917</v>
      </c>
      <c r="H250">
        <v>2.9003352252910508E-2</v>
      </c>
      <c r="I250">
        <f t="shared" si="211"/>
        <v>2691.2399886987914</v>
      </c>
      <c r="J250">
        <f t="shared" si="212"/>
        <v>0.57252032319382717</v>
      </c>
      <c r="K250">
        <f t="shared" si="213"/>
        <v>5.4587693495566589E-16</v>
      </c>
      <c r="L250">
        <f t="shared" ref="L250:M250" si="269">AVERAGE(G248:G250)</f>
        <v>0.88009946583294063</v>
      </c>
      <c r="M250">
        <f t="shared" si="269"/>
        <v>3.0876642233596069E-2</v>
      </c>
    </row>
    <row r="251" spans="1:13" x14ac:dyDescent="0.25">
      <c r="A251" s="18">
        <v>25112</v>
      </c>
      <c r="B251">
        <v>78913</v>
      </c>
      <c r="C251">
        <v>2689</v>
      </c>
      <c r="D251">
        <v>1507</v>
      </c>
      <c r="E251">
        <f t="shared" si="208"/>
        <v>1507</v>
      </c>
      <c r="F251">
        <f t="shared" si="209"/>
        <v>0.58274451468947563</v>
      </c>
      <c r="G251">
        <f t="shared" si="210"/>
        <v>0.87405657018622307</v>
      </c>
      <c r="H251">
        <v>3.1353127475939289E-2</v>
      </c>
      <c r="I251">
        <f t="shared" si="211"/>
        <v>2732.651698890892</v>
      </c>
      <c r="J251">
        <f t="shared" si="212"/>
        <v>0.59562382081457332</v>
      </c>
      <c r="K251">
        <f t="shared" si="213"/>
        <v>6.9248361117632758E-11</v>
      </c>
      <c r="L251">
        <f t="shared" ref="L251:M251" si="270">AVERAGE(G249:G251)</f>
        <v>0.85717574159502863</v>
      </c>
      <c r="M251">
        <f t="shared" si="270"/>
        <v>3.0208609364606748E-2</v>
      </c>
    </row>
    <row r="252" spans="1:13" x14ac:dyDescent="0.25">
      <c r="A252" s="18">
        <v>25143</v>
      </c>
      <c r="B252">
        <v>79209</v>
      </c>
      <c r="C252">
        <v>2715</v>
      </c>
      <c r="D252">
        <v>1593</v>
      </c>
      <c r="E252">
        <f t="shared" si="208"/>
        <v>1593</v>
      </c>
      <c r="F252">
        <f t="shared" si="209"/>
        <v>0.57348066298342548</v>
      </c>
      <c r="G252">
        <f t="shared" si="210"/>
        <v>0.85209757423509547</v>
      </c>
      <c r="H252">
        <v>2.9653301841507135E-2</v>
      </c>
      <c r="I252">
        <f t="shared" si="211"/>
        <v>2663.8004557648828</v>
      </c>
      <c r="J252">
        <f t="shared" si="212"/>
        <v>0.58594268639394553</v>
      </c>
      <c r="K252">
        <f t="shared" si="213"/>
        <v>2.2762657239244062E-12</v>
      </c>
      <c r="L252">
        <f t="shared" ref="L252:M252" si="271">AVERAGE(G250:G252)</f>
        <v>0.84899977451281927</v>
      </c>
      <c r="M252">
        <f t="shared" si="271"/>
        <v>3.0003260523452313E-2</v>
      </c>
    </row>
    <row r="253" spans="1:13" x14ac:dyDescent="0.25">
      <c r="A253" s="18">
        <v>25173</v>
      </c>
      <c r="B253">
        <v>79463</v>
      </c>
      <c r="C253">
        <v>2685</v>
      </c>
      <c r="D253">
        <v>1527</v>
      </c>
      <c r="E253">
        <f t="shared" si="208"/>
        <v>1527</v>
      </c>
      <c r="F253">
        <f t="shared" si="209"/>
        <v>0.56648044692737431</v>
      </c>
      <c r="G253">
        <f t="shared" si="210"/>
        <v>0.83581837865158193</v>
      </c>
      <c r="H253">
        <v>2.9871732088845818E-2</v>
      </c>
      <c r="I253">
        <f t="shared" si="211"/>
        <v>2741.9713099710975</v>
      </c>
      <c r="J253">
        <f t="shared" si="212"/>
        <v>0.57923891933098348</v>
      </c>
      <c r="K253">
        <f t="shared" si="213"/>
        <v>4.2144453839393754E-16</v>
      </c>
      <c r="L253">
        <f t="shared" ref="L253:M253" si="272">AVERAGE(G251:G253)</f>
        <v>0.85399084102430012</v>
      </c>
      <c r="M253">
        <f t="shared" si="272"/>
        <v>3.0292720468764078E-2</v>
      </c>
    </row>
    <row r="254" spans="1:13" x14ac:dyDescent="0.25">
      <c r="A254" s="18">
        <v>25204</v>
      </c>
      <c r="B254">
        <v>79523</v>
      </c>
      <c r="C254">
        <v>2718</v>
      </c>
      <c r="D254">
        <v>1554</v>
      </c>
      <c r="E254">
        <f t="shared" si="208"/>
        <v>1554</v>
      </c>
      <c r="F254">
        <f t="shared" si="209"/>
        <v>0.54010301692420892</v>
      </c>
      <c r="G254">
        <f t="shared" si="210"/>
        <v>0.77675276441474206</v>
      </c>
      <c r="H254">
        <v>2.6995383064914745E-2</v>
      </c>
      <c r="I254">
        <f t="shared" si="211"/>
        <v>2670.9285168530359</v>
      </c>
      <c r="J254">
        <f t="shared" si="212"/>
        <v>0.55235203482322581</v>
      </c>
      <c r="K254">
        <f t="shared" si="213"/>
        <v>8.7015400353162113E-10</v>
      </c>
      <c r="L254">
        <f t="shared" ref="L254:M254" si="273">AVERAGE(G252:G254)</f>
        <v>0.82155623910047326</v>
      </c>
      <c r="M254">
        <f t="shared" si="273"/>
        <v>2.8840138998422565E-2</v>
      </c>
    </row>
    <row r="255" spans="1:13" x14ac:dyDescent="0.25">
      <c r="A255" s="18">
        <v>25235</v>
      </c>
      <c r="B255">
        <v>80019</v>
      </c>
      <c r="C255">
        <v>2692</v>
      </c>
      <c r="D255">
        <v>1442</v>
      </c>
      <c r="E255">
        <f t="shared" si="208"/>
        <v>1442</v>
      </c>
      <c r="F255">
        <f t="shared" si="209"/>
        <v>0.58803863298662706</v>
      </c>
      <c r="G255">
        <f t="shared" si="210"/>
        <v>0.88682570341425149</v>
      </c>
      <c r="H255">
        <v>3.126852465765774E-2</v>
      </c>
      <c r="I255">
        <f t="shared" si="211"/>
        <v>2725.2933283718903</v>
      </c>
      <c r="J255">
        <f t="shared" si="212"/>
        <v>0.60072074835028832</v>
      </c>
      <c r="K255">
        <f t="shared" si="213"/>
        <v>4.7133253486689349E-11</v>
      </c>
      <c r="L255">
        <f t="shared" ref="L255:M255" si="274">AVERAGE(G253:G255)</f>
        <v>0.83313228216019175</v>
      </c>
      <c r="M255">
        <f t="shared" si="274"/>
        <v>2.9378546603806104E-2</v>
      </c>
    </row>
    <row r="256" spans="1:13" x14ac:dyDescent="0.25">
      <c r="A256" s="18">
        <v>25263</v>
      </c>
      <c r="B256">
        <v>80079</v>
      </c>
      <c r="C256">
        <v>2712</v>
      </c>
      <c r="D256">
        <v>1603</v>
      </c>
      <c r="E256">
        <f t="shared" si="208"/>
        <v>1603</v>
      </c>
      <c r="F256">
        <f t="shared" si="209"/>
        <v>0.57300884955752207</v>
      </c>
      <c r="G256">
        <f t="shared" si="210"/>
        <v>0.85099199092734557</v>
      </c>
      <c r="H256">
        <v>3.0725141103623971E-2</v>
      </c>
      <c r="I256">
        <f t="shared" si="211"/>
        <v>2790.5078454919744</v>
      </c>
      <c r="J256">
        <f t="shared" si="212"/>
        <v>0.58592871418932246</v>
      </c>
      <c r="K256">
        <f t="shared" si="213"/>
        <v>9.2715058181344558E-13</v>
      </c>
      <c r="L256">
        <f t="shared" ref="L256:M256" si="275">AVERAGE(G254:G256)</f>
        <v>0.83819015291877974</v>
      </c>
      <c r="M256">
        <f t="shared" si="275"/>
        <v>2.9663016275398819E-2</v>
      </c>
    </row>
    <row r="257" spans="1:13" x14ac:dyDescent="0.25">
      <c r="A257" s="18">
        <v>25294</v>
      </c>
      <c r="B257">
        <v>80281</v>
      </c>
      <c r="C257">
        <v>2758</v>
      </c>
      <c r="D257">
        <v>1600</v>
      </c>
      <c r="E257">
        <f t="shared" si="208"/>
        <v>1600</v>
      </c>
      <c r="F257">
        <f t="shared" si="209"/>
        <v>0.6142131979695431</v>
      </c>
      <c r="G257">
        <f t="shared" si="210"/>
        <v>0.95247038845165732</v>
      </c>
      <c r="H257">
        <v>3.2972883606037097E-2</v>
      </c>
      <c r="I257">
        <f t="shared" si="211"/>
        <v>2686.1983270217966</v>
      </c>
      <c r="J257">
        <f t="shared" si="212"/>
        <v>0.6267262715547488</v>
      </c>
      <c r="K257">
        <f t="shared" si="213"/>
        <v>2.7070972401919882E-11</v>
      </c>
      <c r="L257">
        <f t="shared" ref="L257:M257" si="276">AVERAGE(G255:G257)</f>
        <v>0.89676269426441813</v>
      </c>
      <c r="M257">
        <f t="shared" si="276"/>
        <v>3.1655516455772935E-2</v>
      </c>
    </row>
    <row r="258" spans="1:13" x14ac:dyDescent="0.25">
      <c r="A258" s="18">
        <v>25324</v>
      </c>
      <c r="B258">
        <v>80125</v>
      </c>
      <c r="C258">
        <v>2713</v>
      </c>
      <c r="D258">
        <v>1649</v>
      </c>
      <c r="E258">
        <f t="shared" si="208"/>
        <v>1649</v>
      </c>
      <c r="F258">
        <f t="shared" si="209"/>
        <v>0.57537781054183568</v>
      </c>
      <c r="G258">
        <f t="shared" si="210"/>
        <v>0.8565554714030954</v>
      </c>
      <c r="H258">
        <v>3.2027162172162955E-2</v>
      </c>
      <c r="I258">
        <f t="shared" si="211"/>
        <v>2887.9434191949185</v>
      </c>
      <c r="J258">
        <f t="shared" si="212"/>
        <v>0.58876178488779041</v>
      </c>
      <c r="K258">
        <f t="shared" si="213"/>
        <v>6.7821978514890692E-14</v>
      </c>
      <c r="L258">
        <f t="shared" ref="L258:M258" si="277">AVERAGE(G256:G258)</f>
        <v>0.8866726169273661</v>
      </c>
      <c r="M258">
        <f t="shared" si="277"/>
        <v>3.1908395627274676E-2</v>
      </c>
    </row>
    <row r="259" spans="1:13" x14ac:dyDescent="0.25">
      <c r="A259" s="18">
        <v>25355</v>
      </c>
      <c r="B259">
        <v>80696</v>
      </c>
      <c r="C259">
        <v>2816</v>
      </c>
      <c r="D259">
        <v>1664</v>
      </c>
      <c r="E259">
        <f t="shared" ref="E259:E322" si="278">IF(A259&gt;A$554,1.16*D259,D259)</f>
        <v>1664</v>
      </c>
      <c r="F259">
        <f t="shared" ref="F259:F322" si="279">1 - ( (C260-E260)/C259 )</f>
        <v>0.58025568181818188</v>
      </c>
      <c r="G259">
        <f t="shared" ref="G259:G322" si="280">-LN(1-F259)</f>
        <v>0.86810951931188962</v>
      </c>
      <c r="H259">
        <v>3.2402120038415243E-2</v>
      </c>
      <c r="I259">
        <f t="shared" ref="I259:I322" si="281">H259*B259/(H259+G259)</f>
        <v>2903.5954277130813</v>
      </c>
      <c r="J259">
        <f t="shared" ref="J259:J322" si="282">1-EXP(-H259-G259)</f>
        <v>0.59363830409018803</v>
      </c>
      <c r="K259">
        <f t="shared" ref="K259:K322" si="283">( ( (J259*I259) + ( (1-J259)*C259 ) ) - C260 )^2</f>
        <v>1.3309049872165787E-12</v>
      </c>
      <c r="L259">
        <f t="shared" ref="L259:M259" si="284">AVERAGE(G257:G259)</f>
        <v>0.89237845972221408</v>
      </c>
      <c r="M259">
        <f t="shared" si="284"/>
        <v>3.2467388605538432E-2</v>
      </c>
    </row>
    <row r="260" spans="1:13" x14ac:dyDescent="0.25">
      <c r="A260" s="18">
        <v>25385</v>
      </c>
      <c r="B260">
        <v>80827</v>
      </c>
      <c r="C260">
        <v>2868</v>
      </c>
      <c r="D260">
        <v>1686</v>
      </c>
      <c r="E260">
        <f t="shared" si="278"/>
        <v>1686</v>
      </c>
      <c r="F260">
        <f t="shared" si="279"/>
        <v>0.57496513249651326</v>
      </c>
      <c r="G260">
        <f t="shared" si="280"/>
        <v>0.85558407223823951</v>
      </c>
      <c r="H260">
        <v>3.1243574408911224E-2</v>
      </c>
      <c r="I260">
        <f t="shared" si="281"/>
        <v>2847.5932141906246</v>
      </c>
      <c r="J260">
        <f t="shared" si="282"/>
        <v>0.5880394335227308</v>
      </c>
      <c r="K260">
        <f t="shared" si="283"/>
        <v>2.7380468791873958E-11</v>
      </c>
      <c r="L260">
        <f t="shared" ref="L260:M260" si="285">AVERAGE(G258:G260)</f>
        <v>0.86008302098440803</v>
      </c>
      <c r="M260">
        <f t="shared" si="285"/>
        <v>3.1890952206496473E-2</v>
      </c>
    </row>
    <row r="261" spans="1:13" x14ac:dyDescent="0.25">
      <c r="A261" s="18">
        <v>25416</v>
      </c>
      <c r="B261">
        <v>81106</v>
      </c>
      <c r="C261">
        <v>2856</v>
      </c>
      <c r="D261">
        <v>1637</v>
      </c>
      <c r="E261">
        <f t="shared" si="278"/>
        <v>1637</v>
      </c>
      <c r="F261">
        <f t="shared" si="279"/>
        <v>0.52836134453781514</v>
      </c>
      <c r="G261">
        <f t="shared" si="280"/>
        <v>0.75154214704911104</v>
      </c>
      <c r="H261">
        <v>3.0820098681856291E-2</v>
      </c>
      <c r="I261">
        <f t="shared" si="281"/>
        <v>3195.0607756578938</v>
      </c>
      <c r="J261">
        <f t="shared" si="282"/>
        <v>0.54267557834480762</v>
      </c>
      <c r="K261">
        <f t="shared" si="283"/>
        <v>6.3715179118365154E-12</v>
      </c>
      <c r="L261">
        <f t="shared" ref="L261:M261" si="286">AVERAGE(G259:G261)</f>
        <v>0.82507857953308006</v>
      </c>
      <c r="M261">
        <f t="shared" si="286"/>
        <v>3.1488597709727589E-2</v>
      </c>
    </row>
    <row r="262" spans="1:13" x14ac:dyDescent="0.25">
      <c r="A262" s="18">
        <v>25447</v>
      </c>
      <c r="B262">
        <v>81290</v>
      </c>
      <c r="C262">
        <v>3040</v>
      </c>
      <c r="D262">
        <v>1693</v>
      </c>
      <c r="E262">
        <f t="shared" si="278"/>
        <v>1693</v>
      </c>
      <c r="F262">
        <f t="shared" si="279"/>
        <v>0.59375</v>
      </c>
      <c r="G262">
        <f t="shared" si="280"/>
        <v>0.9007865453381898</v>
      </c>
      <c r="H262">
        <v>3.5172530350354829E-2</v>
      </c>
      <c r="I262">
        <f t="shared" si="281"/>
        <v>3054.8077009424505</v>
      </c>
      <c r="J262">
        <f t="shared" si="282"/>
        <v>0.60779047353010962</v>
      </c>
      <c r="K262">
        <f t="shared" si="283"/>
        <v>4.1747871856198184E-10</v>
      </c>
      <c r="L262">
        <f t="shared" ref="L262:M262" si="287">AVERAGE(G260:G262)</f>
        <v>0.83597092154184682</v>
      </c>
      <c r="M262">
        <f t="shared" si="287"/>
        <v>3.2412067813707451E-2</v>
      </c>
    </row>
    <row r="263" spans="1:13" x14ac:dyDescent="0.25">
      <c r="A263" s="18">
        <v>25477</v>
      </c>
      <c r="B263">
        <v>81494</v>
      </c>
      <c r="C263">
        <v>3049</v>
      </c>
      <c r="D263">
        <v>1814</v>
      </c>
      <c r="E263">
        <f t="shared" si="278"/>
        <v>1814</v>
      </c>
      <c r="F263">
        <f t="shared" si="279"/>
        <v>0.58150213184650701</v>
      </c>
      <c r="G263">
        <f t="shared" si="280"/>
        <v>0.87108348308351946</v>
      </c>
      <c r="H263">
        <v>3.01240104912644E-2</v>
      </c>
      <c r="I263">
        <f t="shared" si="281"/>
        <v>2724.0409433761401</v>
      </c>
      <c r="J263">
        <f t="shared" si="282"/>
        <v>0.59392097423294077</v>
      </c>
      <c r="K263">
        <f t="shared" si="283"/>
        <v>2.5415687180392478E-13</v>
      </c>
      <c r="L263">
        <f t="shared" ref="L263:M263" si="288">AVERAGE(G261:G263)</f>
        <v>0.84113739182360681</v>
      </c>
      <c r="M263">
        <f t="shared" si="288"/>
        <v>3.2038879841158503E-2</v>
      </c>
    </row>
    <row r="264" spans="1:13" x14ac:dyDescent="0.25">
      <c r="A264" s="18">
        <v>25508</v>
      </c>
      <c r="B264">
        <v>81397</v>
      </c>
      <c r="C264">
        <v>2856</v>
      </c>
      <c r="D264">
        <v>1580</v>
      </c>
      <c r="E264">
        <f t="shared" si="278"/>
        <v>1580</v>
      </c>
      <c r="F264">
        <f t="shared" si="279"/>
        <v>0.54516806722689082</v>
      </c>
      <c r="G264">
        <f t="shared" si="280"/>
        <v>0.78782730678887558</v>
      </c>
      <c r="H264">
        <v>2.9169645719384397E-2</v>
      </c>
      <c r="I264">
        <f t="shared" si="281"/>
        <v>2906.1572938936106</v>
      </c>
      <c r="J264">
        <f t="shared" si="282"/>
        <v>0.5582437203580457</v>
      </c>
      <c r="K264">
        <f t="shared" si="283"/>
        <v>3.1964767036096796E-11</v>
      </c>
      <c r="L264">
        <f t="shared" ref="L264:M264" si="289">AVERAGE(G262:G264)</f>
        <v>0.85323244507019502</v>
      </c>
      <c r="M264">
        <f t="shared" si="289"/>
        <v>3.1488728853667873E-2</v>
      </c>
    </row>
    <row r="265" spans="1:13" x14ac:dyDescent="0.25">
      <c r="A265" s="18">
        <v>25538</v>
      </c>
      <c r="B265">
        <v>81624</v>
      </c>
      <c r="C265">
        <v>2884</v>
      </c>
      <c r="D265">
        <v>1585</v>
      </c>
      <c r="E265">
        <f t="shared" si="278"/>
        <v>1585</v>
      </c>
      <c r="F265">
        <f t="shared" si="279"/>
        <v>0.51421636615811372</v>
      </c>
      <c r="G265">
        <f t="shared" si="280"/>
        <v>0.72199195206783273</v>
      </c>
      <c r="H265">
        <v>3.2177357533263146E-2</v>
      </c>
      <c r="I265">
        <f t="shared" si="281"/>
        <v>3482.5663121776738</v>
      </c>
      <c r="J265">
        <f t="shared" si="282"/>
        <v>0.52959878975491126</v>
      </c>
      <c r="K265">
        <f t="shared" si="283"/>
        <v>3.0059376963661846E-11</v>
      </c>
      <c r="L265">
        <f t="shared" ref="L265:M265" si="290">AVERAGE(G263:G265)</f>
        <v>0.79363424731340926</v>
      </c>
      <c r="M265">
        <f t="shared" si="290"/>
        <v>3.0490337914637317E-2</v>
      </c>
    </row>
    <row r="266" spans="1:13" x14ac:dyDescent="0.25">
      <c r="A266" s="18">
        <v>25569</v>
      </c>
      <c r="B266">
        <v>81981</v>
      </c>
      <c r="C266">
        <v>3201</v>
      </c>
      <c r="D266">
        <v>1800</v>
      </c>
      <c r="E266">
        <f t="shared" si="278"/>
        <v>1800</v>
      </c>
      <c r="F266">
        <f t="shared" si="279"/>
        <v>0.53045923149015928</v>
      </c>
      <c r="G266">
        <f t="shared" si="280"/>
        <v>0.75600015021688849</v>
      </c>
      <c r="H266">
        <v>3.5347574511429877E-2</v>
      </c>
      <c r="I266">
        <f t="shared" si="281"/>
        <v>3661.8914991085635</v>
      </c>
      <c r="J266">
        <f t="shared" si="282"/>
        <v>0.54676645058296058</v>
      </c>
      <c r="K266">
        <f t="shared" si="283"/>
        <v>8.2291184380895158E-11</v>
      </c>
      <c r="L266">
        <f t="shared" ref="L266:M266" si="291">AVERAGE(G264:G266)</f>
        <v>0.75527313635786564</v>
      </c>
      <c r="M266">
        <f t="shared" si="291"/>
        <v>3.2231525921359139E-2</v>
      </c>
    </row>
    <row r="267" spans="1:13" x14ac:dyDescent="0.25">
      <c r="A267" s="18">
        <v>25600</v>
      </c>
      <c r="B267">
        <v>82151</v>
      </c>
      <c r="C267">
        <v>3453</v>
      </c>
      <c r="D267">
        <v>1950</v>
      </c>
      <c r="E267">
        <f t="shared" si="278"/>
        <v>1950</v>
      </c>
      <c r="F267">
        <f t="shared" si="279"/>
        <v>0.52012742542716484</v>
      </c>
      <c r="G267">
        <f t="shared" si="280"/>
        <v>0.7342346799634295</v>
      </c>
      <c r="H267">
        <v>3.5531530715241351E-2</v>
      </c>
      <c r="I267">
        <f t="shared" si="281"/>
        <v>3791.9965039960307</v>
      </c>
      <c r="J267">
        <f t="shared" si="282"/>
        <v>0.53687867152322277</v>
      </c>
      <c r="K267">
        <f t="shared" si="283"/>
        <v>5.305074427284253E-11</v>
      </c>
      <c r="L267">
        <f t="shared" ref="L267:M267" si="292">AVERAGE(G265:G267)</f>
        <v>0.73740892741605013</v>
      </c>
      <c r="M267">
        <f t="shared" si="292"/>
        <v>3.4352154253311458E-2</v>
      </c>
    </row>
    <row r="268" spans="1:13" x14ac:dyDescent="0.25">
      <c r="A268" s="18">
        <v>25628</v>
      </c>
      <c r="B268">
        <v>82498</v>
      </c>
      <c r="C268">
        <v>3635</v>
      </c>
      <c r="D268">
        <v>1978</v>
      </c>
      <c r="E268">
        <f t="shared" si="278"/>
        <v>1978</v>
      </c>
      <c r="F268">
        <f t="shared" si="279"/>
        <v>0.54387895460797797</v>
      </c>
      <c r="G268">
        <f t="shared" si="280"/>
        <v>0.78499705427237942</v>
      </c>
      <c r="H268">
        <v>3.9198262105141726E-2</v>
      </c>
      <c r="I268">
        <f t="shared" si="281"/>
        <v>3923.5581213479695</v>
      </c>
      <c r="J268">
        <f t="shared" si="282"/>
        <v>0.56141222509372668</v>
      </c>
      <c r="K268">
        <f t="shared" si="283"/>
        <v>3.2461311420614155E-9</v>
      </c>
      <c r="L268">
        <f t="shared" ref="L268:M268" si="293">AVERAGE(G266:G268)</f>
        <v>0.75841062815089921</v>
      </c>
      <c r="M268">
        <f t="shared" si="293"/>
        <v>3.6692455777270989E-2</v>
      </c>
    </row>
    <row r="269" spans="1:13" x14ac:dyDescent="0.25">
      <c r="A269" s="18">
        <v>25659</v>
      </c>
      <c r="B269">
        <v>82727</v>
      </c>
      <c r="C269">
        <v>3797</v>
      </c>
      <c r="D269">
        <v>2139</v>
      </c>
      <c r="E269">
        <f t="shared" si="278"/>
        <v>2139</v>
      </c>
      <c r="F269">
        <f t="shared" si="279"/>
        <v>0.52330787463787198</v>
      </c>
      <c r="G269">
        <f t="shared" si="280"/>
        <v>0.74088443597193088</v>
      </c>
      <c r="H269">
        <v>3.7865781263933286E-2</v>
      </c>
      <c r="I269">
        <f t="shared" si="281"/>
        <v>4022.4996632940206</v>
      </c>
      <c r="J269">
        <f t="shared" si="282"/>
        <v>0.54102072260845202</v>
      </c>
      <c r="K269">
        <f t="shared" si="283"/>
        <v>8.4947679267957365E-11</v>
      </c>
      <c r="L269">
        <f t="shared" ref="L269:M269" si="294">AVERAGE(G267:G269)</f>
        <v>0.75337205673591334</v>
      </c>
      <c r="M269">
        <f t="shared" si="294"/>
        <v>3.7531858028105457E-2</v>
      </c>
    </row>
    <row r="270" spans="1:13" x14ac:dyDescent="0.25">
      <c r="A270" s="18">
        <v>25689</v>
      </c>
      <c r="B270">
        <v>82483</v>
      </c>
      <c r="C270">
        <v>3919</v>
      </c>
      <c r="D270">
        <v>2109</v>
      </c>
      <c r="E270">
        <f t="shared" si="278"/>
        <v>2109</v>
      </c>
      <c r="F270">
        <f t="shared" si="279"/>
        <v>0.49706557795355955</v>
      </c>
      <c r="G270">
        <f t="shared" si="280"/>
        <v>0.68729549104691123</v>
      </c>
      <c r="H270">
        <v>3.7003530775718427E-2</v>
      </c>
      <c r="I270">
        <f t="shared" si="281"/>
        <v>4213.9532665571005</v>
      </c>
      <c r="J270">
        <f t="shared" si="282"/>
        <v>0.51533581107184734</v>
      </c>
      <c r="K270">
        <f t="shared" si="283"/>
        <v>3.6674187919234583E-10</v>
      </c>
      <c r="L270">
        <f t="shared" ref="L270:M270" si="295">AVERAGE(G268:G270)</f>
        <v>0.7377256604304071</v>
      </c>
      <c r="M270">
        <f t="shared" si="295"/>
        <v>3.8022524714931151E-2</v>
      </c>
    </row>
    <row r="271" spans="1:13" x14ac:dyDescent="0.25">
      <c r="A271" s="18">
        <v>25720</v>
      </c>
      <c r="B271">
        <v>82484</v>
      </c>
      <c r="C271">
        <v>4071</v>
      </c>
      <c r="D271">
        <v>2100</v>
      </c>
      <c r="E271">
        <f t="shared" si="278"/>
        <v>2100</v>
      </c>
      <c r="F271">
        <f t="shared" si="279"/>
        <v>0.49815770081061161</v>
      </c>
      <c r="G271">
        <f t="shared" si="280"/>
        <v>0.68946935368535667</v>
      </c>
      <c r="H271">
        <v>3.7661904199450216E-2</v>
      </c>
      <c r="I271">
        <f t="shared" si="281"/>
        <v>4272.2747403599969</v>
      </c>
      <c r="J271">
        <f t="shared" si="282"/>
        <v>0.51670655241794905</v>
      </c>
      <c r="K271">
        <f t="shared" si="283"/>
        <v>5.2074180081676037E-10</v>
      </c>
      <c r="L271">
        <f t="shared" ref="L271:M271" si="296">AVERAGE(G269:G271)</f>
        <v>0.70588309356806622</v>
      </c>
      <c r="M271">
        <f t="shared" si="296"/>
        <v>3.7510405413033979E-2</v>
      </c>
    </row>
    <row r="272" spans="1:13" x14ac:dyDescent="0.25">
      <c r="A272" s="18">
        <v>25750</v>
      </c>
      <c r="B272">
        <v>82901</v>
      </c>
      <c r="C272">
        <v>4175</v>
      </c>
      <c r="D272">
        <v>2132</v>
      </c>
      <c r="E272">
        <f t="shared" si="278"/>
        <v>2132</v>
      </c>
      <c r="F272">
        <f t="shared" si="279"/>
        <v>0.50323353293413176</v>
      </c>
      <c r="G272">
        <f t="shared" si="280"/>
        <v>0.69963524849548331</v>
      </c>
      <c r="H272">
        <v>3.8558027181088375E-2</v>
      </c>
      <c r="I272">
        <f t="shared" si="281"/>
        <v>4330.1654413063297</v>
      </c>
      <c r="J272">
        <f t="shared" si="282"/>
        <v>0.5220232919833514</v>
      </c>
      <c r="K272">
        <f t="shared" si="283"/>
        <v>6.5163899738835809E-10</v>
      </c>
      <c r="L272">
        <f t="shared" ref="L272:M272" si="297">AVERAGE(G270:G272)</f>
        <v>0.69213336440925044</v>
      </c>
      <c r="M272">
        <f t="shared" si="297"/>
        <v>3.7741154052085675E-2</v>
      </c>
    </row>
    <row r="273" spans="1:13" x14ac:dyDescent="0.25">
      <c r="A273" s="18">
        <v>25781</v>
      </c>
      <c r="B273">
        <v>82880</v>
      </c>
      <c r="C273">
        <v>4256</v>
      </c>
      <c r="D273">
        <v>2182</v>
      </c>
      <c r="E273">
        <f t="shared" si="278"/>
        <v>2182</v>
      </c>
      <c r="F273">
        <f t="shared" si="279"/>
        <v>0.47814849624060152</v>
      </c>
      <c r="G273">
        <f t="shared" si="280"/>
        <v>0.6503722071270529</v>
      </c>
      <c r="H273">
        <v>3.8725404593461542E-2</v>
      </c>
      <c r="I273">
        <f t="shared" si="281"/>
        <v>4657.6297437638386</v>
      </c>
      <c r="J273">
        <f t="shared" si="282"/>
        <v>0.49797111028865515</v>
      </c>
      <c r="K273">
        <f t="shared" si="283"/>
        <v>8.8868841456395942E-11</v>
      </c>
      <c r="L273">
        <f t="shared" ref="L273:M273" si="298">AVERAGE(G271:G273)</f>
        <v>0.67982560310263096</v>
      </c>
      <c r="M273">
        <f t="shared" si="298"/>
        <v>3.8315111991333382E-2</v>
      </c>
    </row>
    <row r="274" spans="1:13" x14ac:dyDescent="0.25">
      <c r="A274" s="18">
        <v>25812</v>
      </c>
      <c r="B274">
        <v>82954</v>
      </c>
      <c r="C274">
        <v>4456</v>
      </c>
      <c r="D274">
        <v>2235</v>
      </c>
      <c r="E274">
        <f t="shared" si="278"/>
        <v>2235</v>
      </c>
      <c r="F274">
        <f t="shared" si="279"/>
        <v>0.50516157989228005</v>
      </c>
      <c r="G274">
        <f t="shared" si="280"/>
        <v>0.70352399372617358</v>
      </c>
      <c r="H274">
        <v>4.2376276903358504E-2</v>
      </c>
      <c r="I274">
        <f t="shared" si="281"/>
        <v>4712.8038595217831</v>
      </c>
      <c r="J274">
        <f t="shared" si="282"/>
        <v>0.52569289708183597</v>
      </c>
      <c r="K274">
        <f t="shared" si="283"/>
        <v>1.2324450800319017E-9</v>
      </c>
      <c r="L274">
        <f t="shared" ref="L274:M274" si="299">AVERAGE(G272:G274)</f>
        <v>0.68451048311623663</v>
      </c>
      <c r="M274">
        <f t="shared" si="299"/>
        <v>3.9886569559302802E-2</v>
      </c>
    </row>
    <row r="275" spans="1:13" x14ac:dyDescent="0.25">
      <c r="A275" s="18">
        <v>25842</v>
      </c>
      <c r="B275">
        <v>83276</v>
      </c>
      <c r="C275">
        <v>4591</v>
      </c>
      <c r="D275">
        <v>2386</v>
      </c>
      <c r="E275">
        <f t="shared" si="278"/>
        <v>2386</v>
      </c>
      <c r="F275">
        <f t="shared" si="279"/>
        <v>0.44238727945981271</v>
      </c>
      <c r="G275">
        <f t="shared" si="280"/>
        <v>0.58409060677561397</v>
      </c>
      <c r="H275">
        <v>3.9323034808273039E-2</v>
      </c>
      <c r="I275">
        <f t="shared" si="281"/>
        <v>5252.79658361968</v>
      </c>
      <c r="J275">
        <f t="shared" si="282"/>
        <v>0.46388878115124765</v>
      </c>
      <c r="K275">
        <f t="shared" si="283"/>
        <v>1.1120530924749319E-10</v>
      </c>
      <c r="L275">
        <f t="shared" ref="L275:M275" si="300">AVERAGE(G273:G275)</f>
        <v>0.64599560254294686</v>
      </c>
      <c r="M275">
        <f t="shared" si="300"/>
        <v>4.0141572101697692E-2</v>
      </c>
    </row>
    <row r="276" spans="1:13" x14ac:dyDescent="0.25">
      <c r="A276" s="18">
        <v>25873</v>
      </c>
      <c r="B276">
        <v>83548</v>
      </c>
      <c r="C276">
        <v>4898</v>
      </c>
      <c r="D276">
        <v>2338</v>
      </c>
      <c r="E276">
        <f t="shared" si="278"/>
        <v>2338</v>
      </c>
      <c r="F276">
        <f t="shared" si="279"/>
        <v>0.44732543895467536</v>
      </c>
      <c r="G276">
        <f t="shared" si="280"/>
        <v>0.59298594789781178</v>
      </c>
      <c r="H276">
        <v>3.9983256560000367E-2</v>
      </c>
      <c r="I276">
        <f t="shared" si="281"/>
        <v>5277.5413014545147</v>
      </c>
      <c r="J276">
        <f t="shared" si="282"/>
        <v>0.46898722755344402</v>
      </c>
      <c r="K276">
        <f t="shared" si="283"/>
        <v>5.1579763541719901E-10</v>
      </c>
      <c r="L276">
        <f t="shared" ref="L276:M276" si="301">AVERAGE(G274:G276)</f>
        <v>0.62686684946653315</v>
      </c>
      <c r="M276">
        <f t="shared" si="301"/>
        <v>4.0560856090543967E-2</v>
      </c>
    </row>
    <row r="277" spans="1:13" x14ac:dyDescent="0.25">
      <c r="A277" s="18">
        <v>25903</v>
      </c>
      <c r="B277">
        <v>83670</v>
      </c>
      <c r="C277">
        <v>5076</v>
      </c>
      <c r="D277">
        <v>2369</v>
      </c>
      <c r="E277">
        <f t="shared" si="278"/>
        <v>2369</v>
      </c>
      <c r="F277">
        <f t="shared" si="279"/>
        <v>0.47123719464144997</v>
      </c>
      <c r="G277">
        <f t="shared" si="280"/>
        <v>0.63721533074270587</v>
      </c>
      <c r="H277">
        <v>3.9578592494493872E-2</v>
      </c>
      <c r="I277">
        <f t="shared" si="281"/>
        <v>4892.9825170042013</v>
      </c>
      <c r="J277">
        <f t="shared" si="282"/>
        <v>0.49175614814287205</v>
      </c>
      <c r="K277">
        <f t="shared" si="283"/>
        <v>7.5730539817799938E-10</v>
      </c>
      <c r="L277">
        <f t="shared" ref="L277:M277" si="302">AVERAGE(G275:G277)</f>
        <v>0.60476396180537728</v>
      </c>
      <c r="M277">
        <f t="shared" si="302"/>
        <v>3.9628294620922426E-2</v>
      </c>
    </row>
    <row r="278" spans="1:13" x14ac:dyDescent="0.25">
      <c r="A278" s="18">
        <v>25934</v>
      </c>
      <c r="B278">
        <v>83850</v>
      </c>
      <c r="C278">
        <v>4986</v>
      </c>
      <c r="D278">
        <v>2302</v>
      </c>
      <c r="E278">
        <f t="shared" si="278"/>
        <v>2302</v>
      </c>
      <c r="F278">
        <f t="shared" si="279"/>
        <v>0.45346971520256718</v>
      </c>
      <c r="G278">
        <f t="shared" si="280"/>
        <v>0.6041655569861587</v>
      </c>
      <c r="H278">
        <v>3.6771511664984352E-2</v>
      </c>
      <c r="I278">
        <f t="shared" si="281"/>
        <v>4810.5990492916062</v>
      </c>
      <c r="J278">
        <f t="shared" si="282"/>
        <v>0.47320145372268219</v>
      </c>
      <c r="K278">
        <f t="shared" si="283"/>
        <v>2.2923314840768623E-10</v>
      </c>
      <c r="L278">
        <f t="shared" ref="L278:M278" si="303">AVERAGE(G276:G278)</f>
        <v>0.61145561187555886</v>
      </c>
      <c r="M278">
        <f t="shared" si="303"/>
        <v>3.8777786906492862E-2</v>
      </c>
    </row>
    <row r="279" spans="1:13" x14ac:dyDescent="0.25">
      <c r="A279" s="18">
        <v>25965</v>
      </c>
      <c r="B279">
        <v>83603</v>
      </c>
      <c r="C279">
        <v>4903</v>
      </c>
      <c r="D279">
        <v>2178</v>
      </c>
      <c r="E279">
        <f t="shared" si="278"/>
        <v>2178</v>
      </c>
      <c r="F279">
        <f t="shared" si="279"/>
        <v>0.42015092800326326</v>
      </c>
      <c r="G279">
        <f t="shared" si="280"/>
        <v>0.54498743000023342</v>
      </c>
      <c r="H279">
        <v>3.5359496818333239E-2</v>
      </c>
      <c r="I279">
        <f t="shared" si="281"/>
        <v>5093.7807643931837</v>
      </c>
      <c r="J279">
        <f t="shared" si="282"/>
        <v>0.44029584350334261</v>
      </c>
      <c r="K279">
        <f t="shared" si="283"/>
        <v>5.0253493097768919E-10</v>
      </c>
      <c r="L279">
        <f t="shared" ref="L279:M279" si="304">AVERAGE(G277:G279)</f>
        <v>0.59545610590969933</v>
      </c>
      <c r="M279">
        <f t="shared" si="304"/>
        <v>3.7236533659270488E-2</v>
      </c>
    </row>
    <row r="280" spans="1:13" x14ac:dyDescent="0.25">
      <c r="A280" s="18">
        <v>25993</v>
      </c>
      <c r="B280">
        <v>83575</v>
      </c>
      <c r="C280">
        <v>4987</v>
      </c>
      <c r="D280">
        <v>2144</v>
      </c>
      <c r="E280">
        <f t="shared" si="278"/>
        <v>2144</v>
      </c>
      <c r="F280">
        <f t="shared" si="279"/>
        <v>0.44796470824142776</v>
      </c>
      <c r="G280">
        <f t="shared" si="280"/>
        <v>0.59414330040351526</v>
      </c>
      <c r="H280">
        <v>3.7222343649769216E-2</v>
      </c>
      <c r="I280">
        <f t="shared" si="281"/>
        <v>4927.1882305127765</v>
      </c>
      <c r="J280">
        <f t="shared" si="282"/>
        <v>0.46813503340746687</v>
      </c>
      <c r="K280">
        <f t="shared" si="283"/>
        <v>2.338739762095777E-10</v>
      </c>
      <c r="L280">
        <f t="shared" ref="L280:M280" si="305">AVERAGE(G278:G280)</f>
        <v>0.5810987624633025</v>
      </c>
      <c r="M280">
        <f t="shared" si="305"/>
        <v>3.6451117377695602E-2</v>
      </c>
    </row>
    <row r="281" spans="1:13" x14ac:dyDescent="0.25">
      <c r="A281" s="18">
        <v>26024</v>
      </c>
      <c r="B281">
        <v>83946</v>
      </c>
      <c r="C281">
        <v>4959</v>
      </c>
      <c r="D281">
        <v>2206</v>
      </c>
      <c r="E281">
        <f t="shared" si="278"/>
        <v>2206</v>
      </c>
      <c r="F281">
        <f t="shared" si="279"/>
        <v>0.44202460173422065</v>
      </c>
      <c r="G281">
        <f t="shared" si="280"/>
        <v>0.58344040670220798</v>
      </c>
      <c r="H281">
        <v>3.7258589934049978E-2</v>
      </c>
      <c r="I281">
        <f t="shared" si="281"/>
        <v>5039.0118359360904</v>
      </c>
      <c r="J281">
        <f t="shared" si="282"/>
        <v>0.46243145236948269</v>
      </c>
      <c r="K281">
        <f t="shared" si="283"/>
        <v>1.10277827814728E-10</v>
      </c>
      <c r="L281">
        <f t="shared" ref="L281:M281" si="306">AVERAGE(G279:G281)</f>
        <v>0.57419037903531889</v>
      </c>
      <c r="M281">
        <f t="shared" si="306"/>
        <v>3.6613476800717477E-2</v>
      </c>
    </row>
    <row r="282" spans="1:13" x14ac:dyDescent="0.25">
      <c r="A282" s="18">
        <v>26054</v>
      </c>
      <c r="B282">
        <v>84135</v>
      </c>
      <c r="C282">
        <v>4996</v>
      </c>
      <c r="D282">
        <v>2229</v>
      </c>
      <c r="E282">
        <f t="shared" si="278"/>
        <v>2229</v>
      </c>
      <c r="F282">
        <f t="shared" si="279"/>
        <v>0.44575660528422734</v>
      </c>
      <c r="G282">
        <f t="shared" si="280"/>
        <v>0.59015134807450631</v>
      </c>
      <c r="H282">
        <v>3.6456651907585028E-2</v>
      </c>
      <c r="I282">
        <f t="shared" si="281"/>
        <v>4895.0546567109423</v>
      </c>
      <c r="J282">
        <f t="shared" si="282"/>
        <v>0.4655985802161593</v>
      </c>
      <c r="K282">
        <f t="shared" si="283"/>
        <v>7.250213487549154E-11</v>
      </c>
      <c r="L282">
        <f t="shared" ref="L282:M282" si="307">AVERAGE(G280:G282)</f>
        <v>0.58924501839340981</v>
      </c>
      <c r="M282">
        <f t="shared" si="307"/>
        <v>3.6979195163801402E-2</v>
      </c>
    </row>
    <row r="283" spans="1:13" x14ac:dyDescent="0.25">
      <c r="A283" s="18">
        <v>26085</v>
      </c>
      <c r="B283">
        <v>83706</v>
      </c>
      <c r="C283">
        <v>4949</v>
      </c>
      <c r="D283">
        <v>2180</v>
      </c>
      <c r="E283">
        <f t="shared" si="278"/>
        <v>2180</v>
      </c>
      <c r="F283">
        <f t="shared" si="279"/>
        <v>0.42917761163871493</v>
      </c>
      <c r="G283">
        <f t="shared" si="280"/>
        <v>0.56067717137134476</v>
      </c>
      <c r="H283">
        <v>3.6682707899473581E-2</v>
      </c>
      <c r="I283">
        <f t="shared" si="281"/>
        <v>5140.2225927551272</v>
      </c>
      <c r="J283">
        <f t="shared" si="282"/>
        <v>0.44973752057105076</v>
      </c>
      <c r="K283">
        <f t="shared" si="283"/>
        <v>6.3792316166779941E-10</v>
      </c>
      <c r="L283">
        <f t="shared" ref="L283:M283" si="308">AVERAGE(G281:G283)</f>
        <v>0.57808964204935298</v>
      </c>
      <c r="M283">
        <f t="shared" si="308"/>
        <v>3.6799316580369529E-2</v>
      </c>
    </row>
    <row r="284" spans="1:13" x14ac:dyDescent="0.25">
      <c r="A284" s="18">
        <v>26115</v>
      </c>
      <c r="B284">
        <v>84340</v>
      </c>
      <c r="C284">
        <v>5035</v>
      </c>
      <c r="D284">
        <v>2210</v>
      </c>
      <c r="E284">
        <f t="shared" si="278"/>
        <v>2210</v>
      </c>
      <c r="F284">
        <f t="shared" si="279"/>
        <v>0.44448857994041713</v>
      </c>
      <c r="G284">
        <f t="shared" si="280"/>
        <v>0.58786611195070304</v>
      </c>
      <c r="H284">
        <v>3.9003301352367729E-2</v>
      </c>
      <c r="I284">
        <f t="shared" si="281"/>
        <v>5247.5657070674633</v>
      </c>
      <c r="J284">
        <f t="shared" si="282"/>
        <v>0.46573826160795739</v>
      </c>
      <c r="K284">
        <f t="shared" si="283"/>
        <v>2.9285251262956466E-10</v>
      </c>
      <c r="L284">
        <f t="shared" ref="L284:M284" si="309">AVERAGE(G282:G284)</f>
        <v>0.57956487713218463</v>
      </c>
      <c r="M284">
        <f t="shared" si="309"/>
        <v>3.738088705314211E-2</v>
      </c>
    </row>
    <row r="285" spans="1:13" x14ac:dyDescent="0.25">
      <c r="A285" s="18">
        <v>26146</v>
      </c>
      <c r="B285">
        <v>84673</v>
      </c>
      <c r="C285">
        <v>5134</v>
      </c>
      <c r="D285">
        <v>2337</v>
      </c>
      <c r="E285">
        <f t="shared" si="278"/>
        <v>2337</v>
      </c>
      <c r="F285">
        <f t="shared" si="279"/>
        <v>0.46610829762368522</v>
      </c>
      <c r="G285">
        <f t="shared" si="280"/>
        <v>0.62756226512829993</v>
      </c>
      <c r="H285">
        <v>3.8922614043406883E-2</v>
      </c>
      <c r="I285">
        <f t="shared" si="281"/>
        <v>4944.89012712968</v>
      </c>
      <c r="J285">
        <f t="shared" si="282"/>
        <v>0.48648953967158648</v>
      </c>
      <c r="K285">
        <f t="shared" si="283"/>
        <v>6.2499828585832099E-10</v>
      </c>
      <c r="L285">
        <f t="shared" ref="L285:M285" si="310">AVERAGE(G283:G285)</f>
        <v>0.59203518281678258</v>
      </c>
      <c r="M285">
        <f t="shared" si="310"/>
        <v>3.8202874431749398E-2</v>
      </c>
    </row>
    <row r="286" spans="1:13" x14ac:dyDescent="0.25">
      <c r="A286" s="18">
        <v>26177</v>
      </c>
      <c r="B286">
        <v>84731</v>
      </c>
      <c r="C286">
        <v>5042</v>
      </c>
      <c r="D286">
        <v>2301</v>
      </c>
      <c r="E286">
        <f t="shared" si="278"/>
        <v>2301</v>
      </c>
      <c r="F286">
        <f t="shared" si="279"/>
        <v>0.45815152717175722</v>
      </c>
      <c r="G286">
        <f t="shared" si="280"/>
        <v>0.61276888705718446</v>
      </c>
      <c r="H286">
        <v>3.7268656772573745E-2</v>
      </c>
      <c r="I286">
        <f t="shared" si="281"/>
        <v>4857.8894972625794</v>
      </c>
      <c r="J286">
        <f t="shared" si="282"/>
        <v>0.47797382246883524</v>
      </c>
      <c r="K286">
        <f t="shared" si="283"/>
        <v>5.6259588188199011E-13</v>
      </c>
      <c r="L286">
        <f t="shared" ref="L286:M286" si="311">AVERAGE(G284:G286)</f>
        <v>0.60939908804539578</v>
      </c>
      <c r="M286">
        <f t="shared" si="311"/>
        <v>3.8398190722782784E-2</v>
      </c>
    </row>
    <row r="287" spans="1:13" x14ac:dyDescent="0.25">
      <c r="A287" s="18">
        <v>26207</v>
      </c>
      <c r="B287">
        <v>84872</v>
      </c>
      <c r="C287">
        <v>4954</v>
      </c>
      <c r="D287">
        <v>2222</v>
      </c>
      <c r="E287">
        <f t="shared" si="278"/>
        <v>2222</v>
      </c>
      <c r="F287">
        <f t="shared" si="279"/>
        <v>0.42329430763019782</v>
      </c>
      <c r="G287">
        <f t="shared" si="280"/>
        <v>0.55042320781853182</v>
      </c>
      <c r="H287">
        <v>3.7545743855352497E-2</v>
      </c>
      <c r="I287">
        <f t="shared" si="281"/>
        <v>5419.643951299844</v>
      </c>
      <c r="J287">
        <f t="shared" si="282"/>
        <v>0.44454570564363394</v>
      </c>
      <c r="K287">
        <f t="shared" si="283"/>
        <v>3.5756082771280169E-10</v>
      </c>
      <c r="L287">
        <f t="shared" ref="L287:M287" si="312">AVERAGE(G285:G287)</f>
        <v>0.59691812000133881</v>
      </c>
      <c r="M287">
        <f t="shared" si="312"/>
        <v>3.7912338223777708E-2</v>
      </c>
    </row>
    <row r="288" spans="1:13" x14ac:dyDescent="0.25">
      <c r="A288" s="18">
        <v>26238</v>
      </c>
      <c r="B288">
        <v>85458</v>
      </c>
      <c r="C288">
        <v>5161</v>
      </c>
      <c r="D288">
        <v>2304</v>
      </c>
      <c r="E288">
        <f t="shared" si="278"/>
        <v>2304</v>
      </c>
      <c r="F288">
        <f t="shared" si="279"/>
        <v>0.45088161209068012</v>
      </c>
      <c r="G288">
        <f t="shared" si="280"/>
        <v>0.59944121789810145</v>
      </c>
      <c r="H288">
        <v>3.8410499243106383E-2</v>
      </c>
      <c r="I288">
        <f t="shared" si="281"/>
        <v>5146.1560047673393</v>
      </c>
      <c r="J288">
        <f t="shared" si="282"/>
        <v>0.47157358505032065</v>
      </c>
      <c r="K288">
        <f t="shared" si="283"/>
        <v>1.2994824894209627E-9</v>
      </c>
      <c r="L288">
        <f t="shared" ref="L288:M288" si="313">AVERAGE(G286:G288)</f>
        <v>0.58754443759127251</v>
      </c>
      <c r="M288">
        <f t="shared" si="313"/>
        <v>3.7741633290344211E-2</v>
      </c>
    </row>
    <row r="289" spans="1:13" x14ac:dyDescent="0.25">
      <c r="A289" s="18">
        <v>26268</v>
      </c>
      <c r="B289">
        <v>85625</v>
      </c>
      <c r="C289">
        <v>5154</v>
      </c>
      <c r="D289">
        <v>2320</v>
      </c>
      <c r="E289">
        <f t="shared" si="278"/>
        <v>2320</v>
      </c>
      <c r="F289">
        <f t="shared" si="279"/>
        <v>0.47710516103996892</v>
      </c>
      <c r="G289">
        <f t="shared" si="280"/>
        <v>0.64837490786921281</v>
      </c>
      <c r="H289">
        <v>3.9207109464727066E-2</v>
      </c>
      <c r="I289">
        <f t="shared" si="281"/>
        <v>4882.4847993178373</v>
      </c>
      <c r="J289">
        <f t="shared" si="282"/>
        <v>0.49720966124331667</v>
      </c>
      <c r="K289">
        <f t="shared" si="283"/>
        <v>3.627657594427914E-10</v>
      </c>
      <c r="L289">
        <f t="shared" ref="L289:M289" si="314">AVERAGE(G287:G289)</f>
        <v>0.59941311119528207</v>
      </c>
      <c r="M289">
        <f t="shared" si="314"/>
        <v>3.8387784187728653E-2</v>
      </c>
    </row>
    <row r="290" spans="1:13" x14ac:dyDescent="0.25">
      <c r="A290" s="18">
        <v>26299</v>
      </c>
      <c r="B290">
        <v>85978</v>
      </c>
      <c r="C290">
        <v>5019</v>
      </c>
      <c r="D290">
        <v>2324</v>
      </c>
      <c r="E290">
        <f t="shared" si="278"/>
        <v>2324</v>
      </c>
      <c r="F290">
        <f t="shared" si="279"/>
        <v>0.43873281530185293</v>
      </c>
      <c r="G290">
        <f t="shared" si="280"/>
        <v>0.57755822177856098</v>
      </c>
      <c r="H290">
        <v>3.4302593197699814E-2</v>
      </c>
      <c r="I290">
        <f t="shared" si="281"/>
        <v>4820.1621770242991</v>
      </c>
      <c r="J290">
        <f t="shared" si="282"/>
        <v>0.45765926623110875</v>
      </c>
      <c r="K290">
        <f t="shared" si="283"/>
        <v>7.7495142382255073E-10</v>
      </c>
      <c r="L290">
        <f t="shared" ref="L290:M290" si="315">AVERAGE(G288:G290)</f>
        <v>0.60845811584862508</v>
      </c>
      <c r="M290">
        <f t="shared" si="315"/>
        <v>3.7306733968511085E-2</v>
      </c>
    </row>
    <row r="291" spans="1:13" x14ac:dyDescent="0.25">
      <c r="A291" s="18">
        <v>26330</v>
      </c>
      <c r="B291">
        <v>86036</v>
      </c>
      <c r="C291">
        <v>4928</v>
      </c>
      <c r="D291">
        <v>2111</v>
      </c>
      <c r="E291">
        <f t="shared" si="278"/>
        <v>2111</v>
      </c>
      <c r="F291">
        <f t="shared" si="279"/>
        <v>0.44500811688311692</v>
      </c>
      <c r="G291">
        <f t="shared" si="280"/>
        <v>0.5888017903572742</v>
      </c>
      <c r="H291">
        <v>3.7599753647603103E-2</v>
      </c>
      <c r="I291">
        <f t="shared" si="281"/>
        <v>5164.3110330519758</v>
      </c>
      <c r="J291">
        <f t="shared" si="282"/>
        <v>0.46548823845884757</v>
      </c>
      <c r="K291">
        <f t="shared" si="283"/>
        <v>4.2298826181425039E-11</v>
      </c>
      <c r="L291">
        <f t="shared" ref="L291:M291" si="316">AVERAGE(G289:G291)</f>
        <v>0.60491164000168263</v>
      </c>
      <c r="M291">
        <f t="shared" si="316"/>
        <v>3.7036485436676654E-2</v>
      </c>
    </row>
    <row r="292" spans="1:13" x14ac:dyDescent="0.25">
      <c r="A292" s="18">
        <v>26359</v>
      </c>
      <c r="B292">
        <v>86611</v>
      </c>
      <c r="C292">
        <v>5038</v>
      </c>
      <c r="D292">
        <v>2303</v>
      </c>
      <c r="E292">
        <f t="shared" si="278"/>
        <v>2303</v>
      </c>
      <c r="F292">
        <f t="shared" si="279"/>
        <v>0.45811830091306072</v>
      </c>
      <c r="G292">
        <f t="shared" si="280"/>
        <v>0.61270756873355003</v>
      </c>
      <c r="H292">
        <v>3.652459092503739E-2</v>
      </c>
      <c r="I292">
        <f t="shared" si="281"/>
        <v>4872.5733892664393</v>
      </c>
      <c r="J292">
        <f t="shared" si="282"/>
        <v>0.47755322149856794</v>
      </c>
      <c r="K292">
        <f t="shared" si="283"/>
        <v>1.183178746852278E-10</v>
      </c>
      <c r="L292">
        <f t="shared" ref="L292:M292" si="317">AVERAGE(G290:G292)</f>
        <v>0.59302252695646163</v>
      </c>
      <c r="M292">
        <f t="shared" si="317"/>
        <v>3.6142312590113433E-2</v>
      </c>
    </row>
    <row r="293" spans="1:13" x14ac:dyDescent="0.25">
      <c r="A293" s="18">
        <v>26390</v>
      </c>
      <c r="B293">
        <v>86614</v>
      </c>
      <c r="C293">
        <v>4959</v>
      </c>
      <c r="D293">
        <v>2229</v>
      </c>
      <c r="E293">
        <f t="shared" si="278"/>
        <v>2229</v>
      </c>
      <c r="F293">
        <f t="shared" si="279"/>
        <v>0.44948578342407741</v>
      </c>
      <c r="G293">
        <f t="shared" si="280"/>
        <v>0.59690249831012843</v>
      </c>
      <c r="H293">
        <v>3.5639115692207693E-2</v>
      </c>
      <c r="I293">
        <f t="shared" si="281"/>
        <v>4880.0684385541099</v>
      </c>
      <c r="J293">
        <f t="shared" si="282"/>
        <v>0.46876012300980252</v>
      </c>
      <c r="K293">
        <f t="shared" si="283"/>
        <v>9.9523011880520233E-10</v>
      </c>
      <c r="L293">
        <f t="shared" ref="L293:M293" si="318">AVERAGE(G291:G293)</f>
        <v>0.59947061913365085</v>
      </c>
      <c r="M293">
        <f t="shared" si="318"/>
        <v>3.6587820088282728E-2</v>
      </c>
    </row>
    <row r="294" spans="1:13" x14ac:dyDescent="0.25">
      <c r="A294" s="18">
        <v>26420</v>
      </c>
      <c r="B294">
        <v>86809</v>
      </c>
      <c r="C294">
        <v>4922</v>
      </c>
      <c r="D294">
        <v>2192</v>
      </c>
      <c r="E294">
        <f t="shared" si="278"/>
        <v>2192</v>
      </c>
      <c r="F294">
        <f t="shared" si="279"/>
        <v>0.46281999187322231</v>
      </c>
      <c r="G294">
        <f t="shared" si="280"/>
        <v>0.62142202997942431</v>
      </c>
      <c r="H294">
        <v>3.7368623989349897E-2</v>
      </c>
      <c r="I294">
        <f t="shared" si="281"/>
        <v>4924.0724050181097</v>
      </c>
      <c r="J294">
        <f t="shared" si="282"/>
        <v>0.48252323529365082</v>
      </c>
      <c r="K294">
        <f t="shared" si="283"/>
        <v>2.6980764974534583E-10</v>
      </c>
      <c r="L294">
        <f t="shared" ref="L294:M294" si="319">AVERAGE(G292:G294)</f>
        <v>0.61034403234103429</v>
      </c>
      <c r="M294">
        <f t="shared" si="319"/>
        <v>3.6510776868864996E-2</v>
      </c>
    </row>
    <row r="295" spans="1:13" x14ac:dyDescent="0.25">
      <c r="A295" s="18">
        <v>26451</v>
      </c>
      <c r="B295">
        <v>87006</v>
      </c>
      <c r="C295">
        <v>4923</v>
      </c>
      <c r="D295">
        <v>2279</v>
      </c>
      <c r="E295">
        <f t="shared" si="278"/>
        <v>2279</v>
      </c>
      <c r="F295">
        <f t="shared" si="279"/>
        <v>0.45866341661588461</v>
      </c>
      <c r="G295">
        <f t="shared" si="280"/>
        <v>0.61371404315825562</v>
      </c>
      <c r="H295">
        <v>3.6642331148371024E-2</v>
      </c>
      <c r="I295">
        <f t="shared" si="281"/>
        <v>4902.0856715583741</v>
      </c>
      <c r="J295">
        <f t="shared" si="282"/>
        <v>0.47814023379404458</v>
      </c>
      <c r="K295">
        <f t="shared" si="283"/>
        <v>3.2794585969986295E-10</v>
      </c>
      <c r="L295">
        <f t="shared" ref="L295:M295" si="320">AVERAGE(G293:G295)</f>
        <v>0.61067952381593615</v>
      </c>
      <c r="M295">
        <f t="shared" si="320"/>
        <v>3.6550023609976202E-2</v>
      </c>
    </row>
    <row r="296" spans="1:13" x14ac:dyDescent="0.25">
      <c r="A296" s="18">
        <v>26481</v>
      </c>
      <c r="B296">
        <v>87143</v>
      </c>
      <c r="C296">
        <v>4913</v>
      </c>
      <c r="D296">
        <v>2248</v>
      </c>
      <c r="E296">
        <f t="shared" si="278"/>
        <v>2248</v>
      </c>
      <c r="F296">
        <f t="shared" si="279"/>
        <v>0.45980052920822312</v>
      </c>
      <c r="G296">
        <f t="shared" si="280"/>
        <v>0.61581681727649551</v>
      </c>
      <c r="H296">
        <v>3.7223824422820947E-2</v>
      </c>
      <c r="I296">
        <f t="shared" si="281"/>
        <v>4967.2187679422359</v>
      </c>
      <c r="J296">
        <f t="shared" si="282"/>
        <v>0.47953916655325646</v>
      </c>
      <c r="K296">
        <f t="shared" si="283"/>
        <v>5.1940980239818634E-10</v>
      </c>
      <c r="L296">
        <f t="shared" ref="L296:M296" si="321">AVERAGE(G294:G296)</f>
        <v>0.61698429680472511</v>
      </c>
      <c r="M296">
        <f t="shared" si="321"/>
        <v>3.7078259853513956E-2</v>
      </c>
    </row>
    <row r="297" spans="1:13" x14ac:dyDescent="0.25">
      <c r="A297" s="18">
        <v>26512</v>
      </c>
      <c r="B297">
        <v>87517</v>
      </c>
      <c r="C297">
        <v>4939</v>
      </c>
      <c r="D297">
        <v>2285</v>
      </c>
      <c r="E297">
        <f t="shared" si="278"/>
        <v>2285</v>
      </c>
      <c r="F297">
        <f t="shared" si="279"/>
        <v>0.49463454140514274</v>
      </c>
      <c r="G297">
        <f t="shared" si="280"/>
        <v>0.68247343105130653</v>
      </c>
      <c r="H297">
        <v>3.9288713799033433E-2</v>
      </c>
      <c r="I297">
        <f t="shared" si="281"/>
        <v>4763.9383557071706</v>
      </c>
      <c r="J297">
        <f t="shared" si="282"/>
        <v>0.51410471674448788</v>
      </c>
      <c r="K297">
        <f t="shared" si="283"/>
        <v>2.9077032320449107E-10</v>
      </c>
      <c r="L297">
        <f t="shared" ref="L297:M297" si="322">AVERAGE(G295:G297)</f>
        <v>0.63733476382868581</v>
      </c>
      <c r="M297">
        <f t="shared" si="322"/>
        <v>3.7718289790075132E-2</v>
      </c>
    </row>
    <row r="298" spans="1:13" x14ac:dyDescent="0.25">
      <c r="A298" s="18">
        <v>26543</v>
      </c>
      <c r="B298">
        <v>87392</v>
      </c>
      <c r="C298">
        <v>4849</v>
      </c>
      <c r="D298">
        <v>2353</v>
      </c>
      <c r="E298">
        <f t="shared" si="278"/>
        <v>2353</v>
      </c>
      <c r="F298">
        <f t="shared" si="279"/>
        <v>0.47948030521757068</v>
      </c>
      <c r="G298">
        <f t="shared" si="280"/>
        <v>0.65292755344424858</v>
      </c>
      <c r="H298">
        <v>3.8792708555746847E-2</v>
      </c>
      <c r="I298">
        <f t="shared" si="281"/>
        <v>4901.0742815335534</v>
      </c>
      <c r="J298">
        <f t="shared" si="282"/>
        <v>0.49928603145368244</v>
      </c>
      <c r="K298">
        <f t="shared" si="283"/>
        <v>1.4924553722224452E-9</v>
      </c>
      <c r="L298">
        <f t="shared" ref="L298:M298" si="323">AVERAGE(G296:G298)</f>
        <v>0.65040593392401691</v>
      </c>
      <c r="M298">
        <f t="shared" si="323"/>
        <v>3.8435082259200413E-2</v>
      </c>
    </row>
    <row r="299" spans="1:13" x14ac:dyDescent="0.25">
      <c r="A299" s="18">
        <v>26573</v>
      </c>
      <c r="B299">
        <v>87491</v>
      </c>
      <c r="C299">
        <v>4875</v>
      </c>
      <c r="D299">
        <v>2351</v>
      </c>
      <c r="E299">
        <f t="shared" si="278"/>
        <v>2351</v>
      </c>
      <c r="F299">
        <f t="shared" si="279"/>
        <v>0.50543589743589745</v>
      </c>
      <c r="G299">
        <f t="shared" si="280"/>
        <v>0.70407850525077653</v>
      </c>
      <c r="H299">
        <v>3.6867756679686524E-2</v>
      </c>
      <c r="I299">
        <f t="shared" si="281"/>
        <v>4353.347962453412</v>
      </c>
      <c r="J299">
        <f t="shared" si="282"/>
        <v>0.52333734567440038</v>
      </c>
      <c r="K299">
        <f t="shared" si="283"/>
        <v>5.3359019613564056E-11</v>
      </c>
      <c r="L299">
        <f t="shared" ref="L299:M299" si="324">AVERAGE(G297:G299)</f>
        <v>0.67982649658211047</v>
      </c>
      <c r="M299">
        <f t="shared" si="324"/>
        <v>3.8316393011488932E-2</v>
      </c>
    </row>
    <row r="300" spans="1:13" x14ac:dyDescent="0.25">
      <c r="A300" s="18">
        <v>26604</v>
      </c>
      <c r="B300">
        <v>87592</v>
      </c>
      <c r="C300">
        <v>4602</v>
      </c>
      <c r="D300">
        <v>2191</v>
      </c>
      <c r="E300">
        <f t="shared" si="278"/>
        <v>2191</v>
      </c>
      <c r="F300">
        <f t="shared" si="279"/>
        <v>0.44806605823554979</v>
      </c>
      <c r="G300">
        <f t="shared" si="280"/>
        <v>0.59432691058272902</v>
      </c>
      <c r="H300">
        <v>3.200023553739393E-2</v>
      </c>
      <c r="I300">
        <f t="shared" si="281"/>
        <v>4475.2405329304211</v>
      </c>
      <c r="J300">
        <f t="shared" si="282"/>
        <v>0.46544847043510251</v>
      </c>
      <c r="K300">
        <f t="shared" si="283"/>
        <v>3.6850027956389355E-15</v>
      </c>
      <c r="L300">
        <f t="shared" ref="L300:M300" si="325">AVERAGE(G298:G300)</f>
        <v>0.6504443230925846</v>
      </c>
      <c r="M300">
        <f t="shared" si="325"/>
        <v>3.58869002576091E-2</v>
      </c>
    </row>
    <row r="301" spans="1:13" x14ac:dyDescent="0.25">
      <c r="A301" s="18">
        <v>26634</v>
      </c>
      <c r="B301">
        <v>87943</v>
      </c>
      <c r="C301">
        <v>4543</v>
      </c>
      <c r="D301">
        <v>2003</v>
      </c>
      <c r="E301">
        <f t="shared" si="278"/>
        <v>2003</v>
      </c>
      <c r="F301">
        <f t="shared" si="279"/>
        <v>0.49570768214836014</v>
      </c>
      <c r="G301">
        <f t="shared" si="280"/>
        <v>0.68459918330590785</v>
      </c>
      <c r="H301">
        <v>3.3644548130379301E-2</v>
      </c>
      <c r="I301">
        <f t="shared" si="281"/>
        <v>4119.4964421244122</v>
      </c>
      <c r="J301">
        <f t="shared" si="282"/>
        <v>0.51239212522628519</v>
      </c>
      <c r="K301">
        <f t="shared" si="283"/>
        <v>1.2530392233254599E-8</v>
      </c>
      <c r="L301">
        <f t="shared" ref="L301:M301" si="326">AVERAGE(G299:G301)</f>
        <v>0.66100153304647113</v>
      </c>
      <c r="M301">
        <f t="shared" si="326"/>
        <v>3.4170846782486587E-2</v>
      </c>
    </row>
    <row r="302" spans="1:13" x14ac:dyDescent="0.25">
      <c r="A302" s="18">
        <v>26665</v>
      </c>
      <c r="B302">
        <v>87487</v>
      </c>
      <c r="C302">
        <v>4326</v>
      </c>
      <c r="D302">
        <v>2035</v>
      </c>
      <c r="E302">
        <f t="shared" si="278"/>
        <v>2035</v>
      </c>
      <c r="F302">
        <f t="shared" si="279"/>
        <v>0.49306518723994452</v>
      </c>
      <c r="G302">
        <f t="shared" si="280"/>
        <v>0.67937285809511594</v>
      </c>
      <c r="H302">
        <v>3.7463207240596721E-2</v>
      </c>
      <c r="I302">
        <f t="shared" si="281"/>
        <v>4572.2359272243484</v>
      </c>
      <c r="J302">
        <f t="shared" si="282"/>
        <v>0.51170525282051371</v>
      </c>
      <c r="K302">
        <f t="shared" si="283"/>
        <v>4.7260076573997249E-8</v>
      </c>
      <c r="L302">
        <f t="shared" ref="L302:M302" si="327">AVERAGE(G300:G302)</f>
        <v>0.65276631732791757</v>
      </c>
      <c r="M302">
        <f t="shared" si="327"/>
        <v>3.4369330302789984E-2</v>
      </c>
    </row>
    <row r="303" spans="1:13" x14ac:dyDescent="0.25">
      <c r="A303" s="18">
        <v>26696</v>
      </c>
      <c r="B303">
        <v>88364</v>
      </c>
      <c r="C303">
        <v>4452</v>
      </c>
      <c r="D303">
        <v>2259</v>
      </c>
      <c r="E303">
        <f t="shared" si="278"/>
        <v>2259</v>
      </c>
      <c r="F303">
        <f t="shared" si="279"/>
        <v>0.49281221922731355</v>
      </c>
      <c r="G303">
        <f t="shared" si="280"/>
        <v>0.67887396768582808</v>
      </c>
      <c r="H303">
        <v>3.5051010885885997E-2</v>
      </c>
      <c r="I303">
        <f t="shared" si="281"/>
        <v>4338.3375268880727</v>
      </c>
      <c r="J303">
        <f t="shared" si="282"/>
        <v>0.51028171342703277</v>
      </c>
      <c r="K303">
        <f t="shared" si="283"/>
        <v>1.4034688676784565E-8</v>
      </c>
      <c r="L303">
        <f t="shared" ref="L303:M303" si="328">AVERAGE(G301:G303)</f>
        <v>0.6809486696956174</v>
      </c>
      <c r="M303">
        <f t="shared" si="328"/>
        <v>3.5386255418954009E-2</v>
      </c>
    </row>
    <row r="304" spans="1:13" x14ac:dyDescent="0.25">
      <c r="A304" s="18">
        <v>26724</v>
      </c>
      <c r="B304">
        <v>88846</v>
      </c>
      <c r="C304">
        <v>4394</v>
      </c>
      <c r="D304">
        <v>2136</v>
      </c>
      <c r="E304">
        <f t="shared" si="278"/>
        <v>2136</v>
      </c>
      <c r="F304">
        <f t="shared" si="279"/>
        <v>0.49954483386436044</v>
      </c>
      <c r="G304">
        <f t="shared" si="280"/>
        <v>0.69223726238979422</v>
      </c>
      <c r="H304">
        <v>3.7100960992089441E-2</v>
      </c>
      <c r="I304">
        <f t="shared" si="281"/>
        <v>4519.5382260628348</v>
      </c>
      <c r="J304">
        <f t="shared" si="282"/>
        <v>0.51777198825920423</v>
      </c>
      <c r="K304">
        <f t="shared" si="283"/>
        <v>3.1297532948413622E-8</v>
      </c>
      <c r="L304">
        <f t="shared" ref="L304:M304" si="329">AVERAGE(G302:G304)</f>
        <v>0.68349469605691271</v>
      </c>
      <c r="M304">
        <f t="shared" si="329"/>
        <v>3.6538393039524053E-2</v>
      </c>
    </row>
    <row r="305" spans="1:13" x14ac:dyDescent="0.25">
      <c r="A305" s="18">
        <v>26755</v>
      </c>
      <c r="B305">
        <v>89018</v>
      </c>
      <c r="C305">
        <v>4459</v>
      </c>
      <c r="D305">
        <v>2260</v>
      </c>
      <c r="E305">
        <f t="shared" si="278"/>
        <v>2260</v>
      </c>
      <c r="F305">
        <f t="shared" si="279"/>
        <v>0.5276967930029155</v>
      </c>
      <c r="G305">
        <f t="shared" si="280"/>
        <v>0.75013411193355595</v>
      </c>
      <c r="H305">
        <v>3.7335031374489319E-2</v>
      </c>
      <c r="I305">
        <f t="shared" si="281"/>
        <v>4220.4699081068557</v>
      </c>
      <c r="J305">
        <f t="shared" si="282"/>
        <v>0.54500513386200722</v>
      </c>
      <c r="K305">
        <f t="shared" si="283"/>
        <v>1.554069892906729E-8</v>
      </c>
      <c r="L305">
        <f t="shared" ref="L305:M305" si="330">AVERAGE(G303:G305)</f>
        <v>0.70708178066972616</v>
      </c>
      <c r="M305">
        <f t="shared" si="330"/>
        <v>3.6495667750821588E-2</v>
      </c>
    </row>
    <row r="306" spans="1:13" x14ac:dyDescent="0.25">
      <c r="A306" s="18">
        <v>26785</v>
      </c>
      <c r="B306">
        <v>88977</v>
      </c>
      <c r="C306">
        <v>4329</v>
      </c>
      <c r="D306">
        <v>2223</v>
      </c>
      <c r="E306">
        <f t="shared" si="278"/>
        <v>2223</v>
      </c>
      <c r="F306">
        <f t="shared" si="279"/>
        <v>0.52852852852852861</v>
      </c>
      <c r="G306">
        <f t="shared" si="280"/>
        <v>0.75189668463213599</v>
      </c>
      <c r="H306">
        <v>3.9034122820725832E-2</v>
      </c>
      <c r="I306">
        <f t="shared" si="281"/>
        <v>4391.2047849099818</v>
      </c>
      <c r="J306">
        <f t="shared" si="282"/>
        <v>0.54657745029038629</v>
      </c>
      <c r="K306">
        <f t="shared" si="283"/>
        <v>7.1432205345016957E-8</v>
      </c>
      <c r="L306">
        <f t="shared" ref="L306:M306" si="331">AVERAGE(G304:G306)</f>
        <v>0.73142268631849527</v>
      </c>
      <c r="M306">
        <f t="shared" si="331"/>
        <v>3.7823371729101531E-2</v>
      </c>
    </row>
    <row r="307" spans="1:13" x14ac:dyDescent="0.25">
      <c r="A307" s="18">
        <v>26816</v>
      </c>
      <c r="B307">
        <v>89548</v>
      </c>
      <c r="C307">
        <v>4363</v>
      </c>
      <c r="D307">
        <v>2322</v>
      </c>
      <c r="E307">
        <f t="shared" si="278"/>
        <v>2322</v>
      </c>
      <c r="F307">
        <f t="shared" si="279"/>
        <v>0.53380701352280546</v>
      </c>
      <c r="G307">
        <f t="shared" si="280"/>
        <v>0.76315559651510445</v>
      </c>
      <c r="H307">
        <v>3.809756494982381E-2</v>
      </c>
      <c r="I307">
        <f t="shared" si="281"/>
        <v>4257.7813233079523</v>
      </c>
      <c r="J307">
        <f t="shared" si="282"/>
        <v>0.55123376495684773</v>
      </c>
      <c r="K307">
        <f t="shared" si="283"/>
        <v>7.6207199100002903E-9</v>
      </c>
      <c r="L307">
        <f t="shared" ref="L307:M307" si="332">AVERAGE(G305:G307)</f>
        <v>0.75506213102693209</v>
      </c>
      <c r="M307">
        <f t="shared" si="332"/>
        <v>3.8155573048346318E-2</v>
      </c>
    </row>
    <row r="308" spans="1:13" x14ac:dyDescent="0.25">
      <c r="A308" s="18">
        <v>26846</v>
      </c>
      <c r="B308">
        <v>89604</v>
      </c>
      <c r="C308">
        <v>4305</v>
      </c>
      <c r="D308">
        <v>2271</v>
      </c>
      <c r="E308">
        <f t="shared" si="278"/>
        <v>2271</v>
      </c>
      <c r="F308">
        <f t="shared" si="279"/>
        <v>0.53193960511033689</v>
      </c>
      <c r="G308">
        <f t="shared" si="280"/>
        <v>0.75915794248104795</v>
      </c>
      <c r="H308">
        <v>3.8314341236746451E-2</v>
      </c>
      <c r="I308">
        <f t="shared" si="281"/>
        <v>4305.0000636665691</v>
      </c>
      <c r="J308">
        <f t="shared" si="282"/>
        <v>0.54953382307395027</v>
      </c>
      <c r="K308">
        <f t="shared" si="283"/>
        <v>1.2240855027840557E-9</v>
      </c>
      <c r="L308">
        <f t="shared" ref="L308:M308" si="333">AVERAGE(G306:G308)</f>
        <v>0.75807007454276276</v>
      </c>
      <c r="M308">
        <f t="shared" si="333"/>
        <v>3.8482009669098698E-2</v>
      </c>
    </row>
    <row r="309" spans="1:13" x14ac:dyDescent="0.25">
      <c r="A309" s="18">
        <v>26877</v>
      </c>
      <c r="B309">
        <v>89509</v>
      </c>
      <c r="C309">
        <v>4305</v>
      </c>
      <c r="D309">
        <v>2290</v>
      </c>
      <c r="E309">
        <f t="shared" si="278"/>
        <v>2290</v>
      </c>
      <c r="F309">
        <f t="shared" si="279"/>
        <v>0.50313588850174218</v>
      </c>
      <c r="G309">
        <f t="shared" si="280"/>
        <v>0.69943870777942563</v>
      </c>
      <c r="H309">
        <v>3.6085673648107053E-2</v>
      </c>
      <c r="I309">
        <f t="shared" si="281"/>
        <v>4391.4146752001961</v>
      </c>
      <c r="J309">
        <f t="shared" si="282"/>
        <v>0.52074591886749677</v>
      </c>
      <c r="K309">
        <f t="shared" si="283"/>
        <v>7.9996499370522136E-9</v>
      </c>
      <c r="L309">
        <f t="shared" ref="L309:M309" si="334">AVERAGE(G307:G309)</f>
        <v>0.74058408225852601</v>
      </c>
      <c r="M309">
        <f t="shared" si="334"/>
        <v>3.7499193278225769E-2</v>
      </c>
    </row>
    <row r="310" spans="1:13" x14ac:dyDescent="0.25">
      <c r="A310" s="18">
        <v>26908</v>
      </c>
      <c r="B310">
        <v>89838</v>
      </c>
      <c r="C310">
        <v>4350</v>
      </c>
      <c r="D310">
        <v>2211</v>
      </c>
      <c r="E310">
        <f t="shared" si="278"/>
        <v>2211</v>
      </c>
      <c r="F310">
        <f t="shared" si="279"/>
        <v>0.52160919540229878</v>
      </c>
      <c r="G310">
        <f t="shared" si="280"/>
        <v>0.73732729768909522</v>
      </c>
      <c r="H310">
        <v>3.4060990597342466E-2</v>
      </c>
      <c r="I310">
        <f t="shared" si="281"/>
        <v>3966.8365721256596</v>
      </c>
      <c r="J310">
        <f t="shared" si="282"/>
        <v>0.5376292813215714</v>
      </c>
      <c r="K310">
        <f t="shared" si="283"/>
        <v>1.4797070133078342E-8</v>
      </c>
      <c r="L310">
        <f t="shared" ref="L310:M310" si="335">AVERAGE(G308:G310)</f>
        <v>0.7319746493165229</v>
      </c>
      <c r="M310">
        <f t="shared" si="335"/>
        <v>3.6153668494065323E-2</v>
      </c>
    </row>
    <row r="311" spans="1:13" x14ac:dyDescent="0.25">
      <c r="A311" s="18">
        <v>26938</v>
      </c>
      <c r="B311">
        <v>90131</v>
      </c>
      <c r="C311">
        <v>4144</v>
      </c>
      <c r="D311">
        <v>2063</v>
      </c>
      <c r="E311">
        <f t="shared" si="278"/>
        <v>2063</v>
      </c>
      <c r="F311">
        <f t="shared" si="279"/>
        <v>0.49131274131274127</v>
      </c>
      <c r="G311">
        <f t="shared" si="280"/>
        <v>0.67592187427806594</v>
      </c>
      <c r="H311">
        <v>3.6672770053615987E-2</v>
      </c>
      <c r="I311">
        <f t="shared" si="281"/>
        <v>4638.4763960756964</v>
      </c>
      <c r="J311">
        <f t="shared" si="282"/>
        <v>0.50962979088113969</v>
      </c>
      <c r="K311">
        <f t="shared" si="283"/>
        <v>9.5398748895412867E-9</v>
      </c>
      <c r="L311">
        <f t="shared" ref="L311:M311" si="336">AVERAGE(G309:G311)</f>
        <v>0.7042292932488623</v>
      </c>
      <c r="M311">
        <f t="shared" si="336"/>
        <v>3.5606478099688504E-2</v>
      </c>
    </row>
    <row r="312" spans="1:13" x14ac:dyDescent="0.25">
      <c r="A312" s="18">
        <v>26969</v>
      </c>
      <c r="B312">
        <v>90716</v>
      </c>
      <c r="C312">
        <v>4396</v>
      </c>
      <c r="D312">
        <v>2288</v>
      </c>
      <c r="E312">
        <f t="shared" si="278"/>
        <v>2288</v>
      </c>
      <c r="F312">
        <f t="shared" si="279"/>
        <v>0.50932666060054599</v>
      </c>
      <c r="G312">
        <f t="shared" si="280"/>
        <v>0.71197666913435564</v>
      </c>
      <c r="H312">
        <v>3.7789967522926245E-2</v>
      </c>
      <c r="I312">
        <f t="shared" si="281"/>
        <v>4572.2955999931819</v>
      </c>
      <c r="J312">
        <f t="shared" si="282"/>
        <v>0.52752320135807373</v>
      </c>
      <c r="K312">
        <f t="shared" si="283"/>
        <v>3.722486322433396E-10</v>
      </c>
      <c r="L312">
        <f t="shared" ref="L312:M312" si="337">AVERAGE(G310:G312)</f>
        <v>0.70840861370050556</v>
      </c>
      <c r="M312">
        <f t="shared" si="337"/>
        <v>3.6174576057961566E-2</v>
      </c>
    </row>
    <row r="313" spans="1:13" x14ac:dyDescent="0.25">
      <c r="A313" s="18">
        <v>26999</v>
      </c>
      <c r="B313">
        <v>90890</v>
      </c>
      <c r="C313">
        <v>4489</v>
      </c>
      <c r="D313">
        <v>2332</v>
      </c>
      <c r="E313">
        <f t="shared" si="278"/>
        <v>2332</v>
      </c>
      <c r="F313">
        <f t="shared" si="279"/>
        <v>0.50011138338159944</v>
      </c>
      <c r="G313">
        <f t="shared" si="280"/>
        <v>0.69336997213934515</v>
      </c>
      <c r="H313">
        <v>3.8554188215720799E-2</v>
      </c>
      <c r="I313">
        <f t="shared" si="281"/>
        <v>4787.6410654717765</v>
      </c>
      <c r="J313">
        <f t="shared" si="282"/>
        <v>0.51901738854693713</v>
      </c>
      <c r="K313">
        <f t="shared" si="283"/>
        <v>8.8521685484727984E-9</v>
      </c>
      <c r="L313">
        <f t="shared" ref="L313:M313" si="338">AVERAGE(G311:G313)</f>
        <v>0.69375617185058891</v>
      </c>
      <c r="M313">
        <f t="shared" si="338"/>
        <v>3.767230859742101E-2</v>
      </c>
    </row>
    <row r="314" spans="1:13" x14ac:dyDescent="0.25">
      <c r="A314" s="18">
        <v>27030</v>
      </c>
      <c r="B314">
        <v>91199</v>
      </c>
      <c r="C314">
        <v>4644</v>
      </c>
      <c r="D314">
        <v>2400</v>
      </c>
      <c r="E314">
        <f t="shared" si="278"/>
        <v>2400</v>
      </c>
      <c r="F314">
        <f t="shared" si="279"/>
        <v>0.50495262704565036</v>
      </c>
      <c r="G314">
        <f t="shared" si="280"/>
        <v>0.7031018180546007</v>
      </c>
      <c r="H314">
        <v>3.9147948487326181E-2</v>
      </c>
      <c r="I314">
        <f t="shared" si="281"/>
        <v>4810.0436201268785</v>
      </c>
      <c r="J314">
        <f t="shared" si="282"/>
        <v>0.52395827286377961</v>
      </c>
      <c r="K314">
        <f t="shared" si="283"/>
        <v>5.1234489756191921E-9</v>
      </c>
      <c r="L314">
        <f t="shared" ref="L314:M314" si="339">AVERAGE(G312:G314)</f>
        <v>0.70281615310943391</v>
      </c>
      <c r="M314">
        <f t="shared" si="339"/>
        <v>3.849736807532441E-2</v>
      </c>
    </row>
    <row r="315" spans="1:13" x14ac:dyDescent="0.25">
      <c r="A315" s="18">
        <v>27061</v>
      </c>
      <c r="B315">
        <v>91485</v>
      </c>
      <c r="C315">
        <v>4731</v>
      </c>
      <c r="D315">
        <v>2432</v>
      </c>
      <c r="E315">
        <f t="shared" si="278"/>
        <v>2432</v>
      </c>
      <c r="F315">
        <f t="shared" si="279"/>
        <v>0.5305432255337138</v>
      </c>
      <c r="G315">
        <f t="shared" si="280"/>
        <v>0.75617905173672062</v>
      </c>
      <c r="H315">
        <v>3.9615712785524018E-2</v>
      </c>
      <c r="I315">
        <f t="shared" si="281"/>
        <v>4554.2439404706056</v>
      </c>
      <c r="J315">
        <f t="shared" si="282"/>
        <v>0.54877752323882212</v>
      </c>
      <c r="K315">
        <f t="shared" si="283"/>
        <v>6.1223587008263366E-8</v>
      </c>
      <c r="L315">
        <f t="shared" ref="L315:M315" si="340">AVERAGE(G313:G315)</f>
        <v>0.71755028064355553</v>
      </c>
      <c r="M315">
        <f t="shared" si="340"/>
        <v>3.9105949829523666E-2</v>
      </c>
    </row>
    <row r="316" spans="1:13" x14ac:dyDescent="0.25">
      <c r="A316" s="18">
        <v>27089</v>
      </c>
      <c r="B316">
        <v>91453</v>
      </c>
      <c r="C316">
        <v>4634</v>
      </c>
      <c r="D316">
        <v>2413</v>
      </c>
      <c r="E316">
        <f t="shared" si="278"/>
        <v>2413</v>
      </c>
      <c r="F316">
        <f t="shared" si="279"/>
        <v>0.50776866637893825</v>
      </c>
      <c r="G316">
        <f t="shared" si="280"/>
        <v>0.70880648270793345</v>
      </c>
      <c r="H316">
        <v>3.7571293590583629E-2</v>
      </c>
      <c r="I316">
        <f t="shared" si="281"/>
        <v>4603.5769309473626</v>
      </c>
      <c r="J316">
        <f t="shared" si="282"/>
        <v>0.52591932734714919</v>
      </c>
      <c r="K316">
        <f t="shared" si="283"/>
        <v>6.4019200913704442E-9</v>
      </c>
      <c r="L316">
        <f t="shared" ref="L316:M316" si="341">AVERAGE(G314:G316)</f>
        <v>0.72269578416641822</v>
      </c>
      <c r="M316">
        <f t="shared" si="341"/>
        <v>3.8778318287811274E-2</v>
      </c>
    </row>
    <row r="317" spans="1:13" x14ac:dyDescent="0.25">
      <c r="A317" s="18">
        <v>27120</v>
      </c>
      <c r="B317">
        <v>91287</v>
      </c>
      <c r="C317">
        <v>4618</v>
      </c>
      <c r="D317">
        <v>2337</v>
      </c>
      <c r="E317">
        <f t="shared" si="278"/>
        <v>2337</v>
      </c>
      <c r="F317">
        <f t="shared" si="279"/>
        <v>0.51320918146383709</v>
      </c>
      <c r="G317">
        <f t="shared" si="280"/>
        <v>0.71992077890085882</v>
      </c>
      <c r="H317">
        <v>3.9792618623377102E-2</v>
      </c>
      <c r="I317">
        <f t="shared" si="281"/>
        <v>4781.4725765137528</v>
      </c>
      <c r="J317">
        <f t="shared" si="282"/>
        <v>0.53219951942515387</v>
      </c>
      <c r="K317">
        <f t="shared" si="283"/>
        <v>7.1074551339956043E-10</v>
      </c>
      <c r="L317">
        <f t="shared" ref="L317:M317" si="342">AVERAGE(G315:G317)</f>
        <v>0.72830210444850429</v>
      </c>
      <c r="M317">
        <f t="shared" si="342"/>
        <v>3.8993208333161583E-2</v>
      </c>
    </row>
    <row r="318" spans="1:13" x14ac:dyDescent="0.25">
      <c r="A318" s="18">
        <v>27150</v>
      </c>
      <c r="B318">
        <v>91596</v>
      </c>
      <c r="C318">
        <v>4705</v>
      </c>
      <c r="D318">
        <v>2457</v>
      </c>
      <c r="E318">
        <f t="shared" si="278"/>
        <v>2457</v>
      </c>
      <c r="F318">
        <f t="shared" si="279"/>
        <v>0.48352816153028688</v>
      </c>
      <c r="G318">
        <f t="shared" si="280"/>
        <v>0.66073451568488573</v>
      </c>
      <c r="H318">
        <v>3.9330382945702715E-2</v>
      </c>
      <c r="I318">
        <f t="shared" si="281"/>
        <v>5145.9597007956299</v>
      </c>
      <c r="J318">
        <f t="shared" si="282"/>
        <v>0.50344692286903248</v>
      </c>
      <c r="K318">
        <f t="shared" si="283"/>
        <v>3.8230100305762024E-8</v>
      </c>
      <c r="L318">
        <f t="shared" ref="L318:M318" si="343">AVERAGE(G316:G318)</f>
        <v>0.69648725909789266</v>
      </c>
      <c r="M318">
        <f t="shared" si="343"/>
        <v>3.8898098386554482E-2</v>
      </c>
    </row>
    <row r="319" spans="1:13" x14ac:dyDescent="0.25">
      <c r="A319" s="18">
        <v>27181</v>
      </c>
      <c r="B319">
        <v>91868</v>
      </c>
      <c r="C319">
        <v>4927</v>
      </c>
      <c r="D319">
        <v>2497</v>
      </c>
      <c r="E319">
        <f t="shared" si="278"/>
        <v>2497</v>
      </c>
      <c r="F319">
        <f t="shared" si="279"/>
        <v>0.48508220012177794</v>
      </c>
      <c r="G319">
        <f t="shared" si="280"/>
        <v>0.66374800294468117</v>
      </c>
      <c r="H319">
        <v>3.9793548259271193E-2</v>
      </c>
      <c r="I319">
        <f t="shared" si="281"/>
        <v>5196.2157533222162</v>
      </c>
      <c r="J319">
        <f t="shared" si="282"/>
        <v>0.50517026793057496</v>
      </c>
      <c r="K319">
        <f t="shared" si="283"/>
        <v>4.2338446952383909E-8</v>
      </c>
      <c r="L319">
        <f t="shared" ref="L319:M319" si="344">AVERAGE(G317:G319)</f>
        <v>0.68146776584347535</v>
      </c>
      <c r="M319">
        <f t="shared" si="344"/>
        <v>3.9638849942783667E-2</v>
      </c>
    </row>
    <row r="320" spans="1:13" x14ac:dyDescent="0.25">
      <c r="A320" s="18">
        <v>27211</v>
      </c>
      <c r="B320">
        <v>92212</v>
      </c>
      <c r="C320">
        <v>5063</v>
      </c>
      <c r="D320">
        <v>2526</v>
      </c>
      <c r="E320">
        <f t="shared" si="278"/>
        <v>2526</v>
      </c>
      <c r="F320">
        <f t="shared" si="279"/>
        <v>0.52340509579300809</v>
      </c>
      <c r="G320">
        <f t="shared" si="280"/>
        <v>0.74108840634487738</v>
      </c>
      <c r="H320">
        <v>4.237562910554514E-2</v>
      </c>
      <c r="I320">
        <f t="shared" si="281"/>
        <v>4987.5186789321315</v>
      </c>
      <c r="J320">
        <f t="shared" si="282"/>
        <v>0.54317917621062262</v>
      </c>
      <c r="K320">
        <f t="shared" si="283"/>
        <v>1.3971964703053833E-8</v>
      </c>
      <c r="L320">
        <f t="shared" ref="L320:M320" si="345">AVERAGE(G318:G320)</f>
        <v>0.68852364165814806</v>
      </c>
      <c r="M320">
        <f t="shared" si="345"/>
        <v>4.0499853436839685E-2</v>
      </c>
    </row>
    <row r="321" spans="1:13" x14ac:dyDescent="0.25">
      <c r="A321" s="18">
        <v>27242</v>
      </c>
      <c r="B321">
        <v>92059</v>
      </c>
      <c r="C321">
        <v>5022</v>
      </c>
      <c r="D321">
        <v>2609</v>
      </c>
      <c r="E321">
        <f t="shared" si="278"/>
        <v>2609</v>
      </c>
      <c r="F321">
        <f t="shared" si="279"/>
        <v>0.45957785742731982</v>
      </c>
      <c r="G321">
        <f t="shared" si="280"/>
        <v>0.61540469932271591</v>
      </c>
      <c r="H321">
        <v>4.2014512693092781E-2</v>
      </c>
      <c r="I321">
        <f t="shared" si="281"/>
        <v>5883.3297739409854</v>
      </c>
      <c r="J321">
        <f t="shared" si="282"/>
        <v>0.48181305907743055</v>
      </c>
      <c r="K321">
        <f t="shared" si="283"/>
        <v>4.4546308931929908E-9</v>
      </c>
      <c r="L321">
        <f t="shared" ref="L321:M321" si="346">AVERAGE(G319:G321)</f>
        <v>0.67341370287075819</v>
      </c>
      <c r="M321">
        <f t="shared" si="346"/>
        <v>4.1394563352636367E-2</v>
      </c>
    </row>
    <row r="322" spans="1:13" x14ac:dyDescent="0.25">
      <c r="A322" s="18">
        <v>27273</v>
      </c>
      <c r="B322">
        <v>92488</v>
      </c>
      <c r="C322">
        <v>5437</v>
      </c>
      <c r="D322">
        <v>2723</v>
      </c>
      <c r="E322">
        <f t="shared" si="278"/>
        <v>2723</v>
      </c>
      <c r="F322">
        <f t="shared" si="279"/>
        <v>0.48501011587272391</v>
      </c>
      <c r="G322">
        <f t="shared" si="280"/>
        <v>0.66360802098262539</v>
      </c>
      <c r="H322">
        <v>4.282501259289466E-2</v>
      </c>
      <c r="I322">
        <f t="shared" si="281"/>
        <v>5606.7589940472662</v>
      </c>
      <c r="J322">
        <f t="shared" si="282"/>
        <v>0.50659899281594667</v>
      </c>
      <c r="K322">
        <f t="shared" si="283"/>
        <v>7.0010093781794386E-8</v>
      </c>
      <c r="L322">
        <f t="shared" ref="L322:M322" si="347">AVERAGE(G320:G322)</f>
        <v>0.6733670422167396</v>
      </c>
      <c r="M322">
        <f t="shared" si="347"/>
        <v>4.2405051463844191E-2</v>
      </c>
    </row>
    <row r="323" spans="1:13" x14ac:dyDescent="0.25">
      <c r="A323" s="18">
        <v>27303</v>
      </c>
      <c r="B323">
        <v>92518</v>
      </c>
      <c r="C323">
        <v>5523</v>
      </c>
      <c r="D323">
        <v>2723</v>
      </c>
      <c r="E323">
        <f t="shared" ref="E323:E386" si="348">IF(A323&gt;A$554,1.16*D323,D323)</f>
        <v>2723</v>
      </c>
      <c r="F323">
        <f t="shared" ref="F323:F386" si="349">1 - ( (C324-E324)/C323 )</f>
        <v>0.44088357776570708</v>
      </c>
      <c r="G323">
        <f t="shared" ref="G323:G386" si="350">-LN(1-F323)</f>
        <v>0.58139755875652077</v>
      </c>
      <c r="H323">
        <v>4.6461177405079761E-2</v>
      </c>
      <c r="I323">
        <f t="shared" ref="I323:I386" si="351">H323*B323/(H323+G323)</f>
        <v>6846.2776156336022</v>
      </c>
      <c r="J323">
        <f t="shared" ref="J323:J386" si="352">1-EXP(-H323-G323)</f>
        <v>0.46626655758745261</v>
      </c>
      <c r="K323">
        <f t="shared" ref="K323:K386" si="353">( ( (J323*I323) + ( (1-J323)*C323 ) ) - C324 )^2</f>
        <v>9.7168357717519583E-9</v>
      </c>
      <c r="L323">
        <f t="shared" ref="L323:M323" si="354">AVERAGE(G321:G323)</f>
        <v>0.62013675968728743</v>
      </c>
      <c r="M323">
        <f t="shared" si="354"/>
        <v>4.3766900897022398E-2</v>
      </c>
    </row>
    <row r="324" spans="1:13" x14ac:dyDescent="0.25">
      <c r="A324" s="18">
        <v>27334</v>
      </c>
      <c r="B324">
        <v>92766</v>
      </c>
      <c r="C324">
        <v>6140</v>
      </c>
      <c r="D324">
        <v>3052</v>
      </c>
      <c r="E324">
        <f t="shared" si="348"/>
        <v>3052</v>
      </c>
      <c r="F324">
        <f t="shared" si="349"/>
        <v>0.42817589576547233</v>
      </c>
      <c r="G324">
        <f t="shared" si="350"/>
        <v>0.55892384497275593</v>
      </c>
      <c r="H324">
        <v>4.7251631700915876E-2</v>
      </c>
      <c r="I324">
        <f t="shared" si="351"/>
        <v>7231.1484628516082</v>
      </c>
      <c r="J324">
        <f t="shared" si="352"/>
        <v>0.45456709399075768</v>
      </c>
      <c r="K324">
        <f t="shared" si="353"/>
        <v>3.4548005729377468E-8</v>
      </c>
      <c r="L324">
        <f t="shared" ref="L324:M324" si="355">AVERAGE(G322:G324)</f>
        <v>0.60130980823730074</v>
      </c>
      <c r="M324">
        <f t="shared" si="355"/>
        <v>4.551260723296343E-2</v>
      </c>
    </row>
    <row r="325" spans="1:13" x14ac:dyDescent="0.25">
      <c r="A325" s="18">
        <v>27364</v>
      </c>
      <c r="B325">
        <v>92780</v>
      </c>
      <c r="C325">
        <v>6636</v>
      </c>
      <c r="D325">
        <v>3125</v>
      </c>
      <c r="E325">
        <f t="shared" si="348"/>
        <v>3125</v>
      </c>
      <c r="F325">
        <f t="shared" si="349"/>
        <v>0.36588306208559374</v>
      </c>
      <c r="G325">
        <f t="shared" si="350"/>
        <v>0.45552189689278932</v>
      </c>
      <c r="H325">
        <v>4.7870427112601456E-2</v>
      </c>
      <c r="I325">
        <f t="shared" si="351"/>
        <v>8822.9756706810658</v>
      </c>
      <c r="J325">
        <f t="shared" si="352"/>
        <v>0.39552340281168841</v>
      </c>
      <c r="K325">
        <f t="shared" si="353"/>
        <v>3.4968476398963901E-9</v>
      </c>
      <c r="L325">
        <f t="shared" ref="L325:M325" si="356">AVERAGE(G323:G325)</f>
        <v>0.53194776687402212</v>
      </c>
      <c r="M325">
        <f t="shared" si="356"/>
        <v>4.7194412072865698E-2</v>
      </c>
    </row>
    <row r="326" spans="1:13" x14ac:dyDescent="0.25">
      <c r="A326" s="18">
        <v>27395</v>
      </c>
      <c r="B326">
        <v>93128</v>
      </c>
      <c r="C326">
        <v>7501</v>
      </c>
      <c r="D326">
        <v>3293</v>
      </c>
      <c r="E326">
        <f t="shared" si="348"/>
        <v>3293</v>
      </c>
      <c r="F326">
        <f t="shared" si="349"/>
        <v>0.39034795360618579</v>
      </c>
      <c r="G326">
        <f t="shared" si="350"/>
        <v>0.49486690031158104</v>
      </c>
      <c r="H326">
        <v>4.363774976178305E-2</v>
      </c>
      <c r="I326">
        <f t="shared" si="351"/>
        <v>7546.6318800806639</v>
      </c>
      <c r="J326">
        <f t="shared" si="352"/>
        <v>0.41637968321134633</v>
      </c>
      <c r="K326">
        <f t="shared" si="353"/>
        <v>3.5258446134262068E-8</v>
      </c>
      <c r="L326">
        <f t="shared" ref="L326:M326" si="357">AVERAGE(G324:G326)</f>
        <v>0.50310421405904215</v>
      </c>
      <c r="M326">
        <f t="shared" si="357"/>
        <v>4.6253269525100123E-2</v>
      </c>
    </row>
    <row r="327" spans="1:13" x14ac:dyDescent="0.25">
      <c r="A327" s="18">
        <v>27426</v>
      </c>
      <c r="B327">
        <v>92776</v>
      </c>
      <c r="C327">
        <v>7520</v>
      </c>
      <c r="D327">
        <v>2947</v>
      </c>
      <c r="E327">
        <f t="shared" si="348"/>
        <v>2947</v>
      </c>
      <c r="F327">
        <f t="shared" si="349"/>
        <v>0.36369680851063835</v>
      </c>
      <c r="G327">
        <f t="shared" si="350"/>
        <v>0.45208011305683093</v>
      </c>
      <c r="H327">
        <v>4.6698400694899105E-2</v>
      </c>
      <c r="I327">
        <f t="shared" si="351"/>
        <v>8686.2017978314161</v>
      </c>
      <c r="J327">
        <f t="shared" si="352"/>
        <v>0.39272801876252217</v>
      </c>
      <c r="K327">
        <f t="shared" si="353"/>
        <v>1.4771880241076786E-8</v>
      </c>
      <c r="L327">
        <f t="shared" ref="L327:M327" si="358">AVERAGE(G325:G327)</f>
        <v>0.46748963675373378</v>
      </c>
      <c r="M327">
        <f t="shared" si="358"/>
        <v>4.6068859189761203E-2</v>
      </c>
    </row>
    <row r="328" spans="1:13" x14ac:dyDescent="0.25">
      <c r="A328" s="18">
        <v>27454</v>
      </c>
      <c r="B328">
        <v>93165</v>
      </c>
      <c r="C328">
        <v>7978</v>
      </c>
      <c r="D328">
        <v>3193</v>
      </c>
      <c r="E328">
        <f t="shared" si="348"/>
        <v>3193</v>
      </c>
      <c r="F328">
        <f t="shared" si="349"/>
        <v>0.33629982451742291</v>
      </c>
      <c r="G328">
        <f t="shared" si="350"/>
        <v>0.4099247744298451</v>
      </c>
      <c r="H328">
        <v>4.1775250451782368E-2</v>
      </c>
      <c r="I328">
        <f t="shared" si="351"/>
        <v>8616.3183395002907</v>
      </c>
      <c r="J328">
        <f t="shared" si="352"/>
        <v>0.36345491122347195</v>
      </c>
      <c r="K328">
        <f t="shared" si="353"/>
        <v>4.1711716526182159E-9</v>
      </c>
      <c r="L328">
        <f t="shared" ref="L328:M328" si="359">AVERAGE(G326:G328)</f>
        <v>0.45229059593275234</v>
      </c>
      <c r="M328">
        <f t="shared" si="359"/>
        <v>4.4037133636154836E-2</v>
      </c>
    </row>
    <row r="329" spans="1:13" x14ac:dyDescent="0.25">
      <c r="A329" s="18">
        <v>27485</v>
      </c>
      <c r="B329">
        <v>93399</v>
      </c>
      <c r="C329">
        <v>8210</v>
      </c>
      <c r="D329">
        <v>2915</v>
      </c>
      <c r="E329">
        <f t="shared" si="348"/>
        <v>2915</v>
      </c>
      <c r="F329">
        <f t="shared" si="349"/>
        <v>0.3444579780755177</v>
      </c>
      <c r="G329">
        <f t="shared" si="350"/>
        <v>0.42229287115962283</v>
      </c>
      <c r="H329">
        <v>4.3973266842739611E-2</v>
      </c>
      <c r="I329">
        <f t="shared" si="351"/>
        <v>8808.401072059467</v>
      </c>
      <c r="J329">
        <f t="shared" si="352"/>
        <v>0.37265969726668124</v>
      </c>
      <c r="K329">
        <f t="shared" si="353"/>
        <v>1.4169398361107576E-9</v>
      </c>
      <c r="L329">
        <f t="shared" ref="L329:M329" si="360">AVERAGE(G327:G329)</f>
        <v>0.42809925288209966</v>
      </c>
      <c r="M329">
        <f t="shared" si="360"/>
        <v>4.4148972663140364E-2</v>
      </c>
    </row>
    <row r="330" spans="1:13" x14ac:dyDescent="0.25">
      <c r="A330" s="18">
        <v>27515</v>
      </c>
      <c r="B330">
        <v>93884</v>
      </c>
      <c r="C330">
        <v>8433</v>
      </c>
      <c r="D330">
        <v>3051</v>
      </c>
      <c r="E330">
        <f t="shared" si="348"/>
        <v>3051</v>
      </c>
      <c r="F330">
        <f t="shared" si="349"/>
        <v>0.36582473615557931</v>
      </c>
      <c r="G330">
        <f t="shared" si="350"/>
        <v>0.45542992135280785</v>
      </c>
      <c r="H330">
        <v>4.178204257561751E-2</v>
      </c>
      <c r="I330">
        <f t="shared" si="351"/>
        <v>7889.3219989653135</v>
      </c>
      <c r="J330">
        <f t="shared" si="352"/>
        <v>0.39177595141185073</v>
      </c>
      <c r="K330">
        <f t="shared" si="353"/>
        <v>1.1480537146768612E-9</v>
      </c>
      <c r="L330">
        <f t="shared" ref="L330:M330" si="361">AVERAGE(G328:G330)</f>
        <v>0.42921585564742526</v>
      </c>
      <c r="M330">
        <f t="shared" si="361"/>
        <v>4.2510186623379832E-2</v>
      </c>
    </row>
    <row r="331" spans="1:13" x14ac:dyDescent="0.25">
      <c r="A331" s="18">
        <v>27546</v>
      </c>
      <c r="B331">
        <v>93575</v>
      </c>
      <c r="C331">
        <v>8220</v>
      </c>
      <c r="D331">
        <v>2872</v>
      </c>
      <c r="E331">
        <f t="shared" si="348"/>
        <v>2872</v>
      </c>
      <c r="F331">
        <f t="shared" si="349"/>
        <v>0.36192214111922139</v>
      </c>
      <c r="G331">
        <f t="shared" si="350"/>
        <v>0.44929496721982803</v>
      </c>
      <c r="H331">
        <v>4.1889781095523597E-2</v>
      </c>
      <c r="I331">
        <f t="shared" si="351"/>
        <v>7980.3704806750175</v>
      </c>
      <c r="J331">
        <f t="shared" si="352"/>
        <v>0.38809898412382271</v>
      </c>
      <c r="K331">
        <f t="shared" si="353"/>
        <v>7.2813057390058579E-10</v>
      </c>
      <c r="L331">
        <f t="shared" ref="L331:M331" si="362">AVERAGE(G329:G331)</f>
        <v>0.44233925324408624</v>
      </c>
      <c r="M331">
        <f t="shared" si="362"/>
        <v>4.2548363504626908E-2</v>
      </c>
    </row>
    <row r="332" spans="1:13" x14ac:dyDescent="0.25">
      <c r="A332" s="18">
        <v>27576</v>
      </c>
      <c r="B332">
        <v>94021</v>
      </c>
      <c r="C332">
        <v>8127</v>
      </c>
      <c r="D332">
        <v>2882</v>
      </c>
      <c r="E332">
        <f t="shared" si="348"/>
        <v>2882</v>
      </c>
      <c r="F332">
        <f t="shared" si="349"/>
        <v>0.3700012304663467</v>
      </c>
      <c r="G332">
        <f t="shared" si="350"/>
        <v>0.46203741271965126</v>
      </c>
      <c r="H332">
        <v>4.076855124953406E-2</v>
      </c>
      <c r="I332">
        <f t="shared" si="351"/>
        <v>7623.4178424887486</v>
      </c>
      <c r="J332">
        <f t="shared" si="352"/>
        <v>0.39516885795696699</v>
      </c>
      <c r="K332">
        <f t="shared" si="353"/>
        <v>1.9401072047404039E-10</v>
      </c>
      <c r="L332">
        <f t="shared" ref="L332:M332" si="363">AVERAGE(G330:G332)</f>
        <v>0.45558743376409572</v>
      </c>
      <c r="M332">
        <f t="shared" si="363"/>
        <v>4.1480124973558387E-2</v>
      </c>
    </row>
    <row r="333" spans="1:13" x14ac:dyDescent="0.25">
      <c r="A333" s="18">
        <v>27607</v>
      </c>
      <c r="B333">
        <v>94162</v>
      </c>
      <c r="C333">
        <v>7928</v>
      </c>
      <c r="D333">
        <v>2808</v>
      </c>
      <c r="E333">
        <f t="shared" si="348"/>
        <v>2808</v>
      </c>
      <c r="F333">
        <f t="shared" si="349"/>
        <v>0.36364783047426841</v>
      </c>
      <c r="G333">
        <f t="shared" si="350"/>
        <v>0.4520031432221146</v>
      </c>
      <c r="H333">
        <v>4.1481852890381248E-2</v>
      </c>
      <c r="I333">
        <f t="shared" si="351"/>
        <v>7915.163100467711</v>
      </c>
      <c r="J333">
        <f t="shared" si="352"/>
        <v>0.38950489050123449</v>
      </c>
      <c r="K333">
        <f t="shared" si="353"/>
        <v>1.2352904999233699E-9</v>
      </c>
      <c r="L333">
        <f t="shared" ref="L333:M333" si="364">AVERAGE(G331:G333)</f>
        <v>0.45444517438719795</v>
      </c>
      <c r="M333">
        <f t="shared" si="364"/>
        <v>4.1380061745146302E-2</v>
      </c>
    </row>
    <row r="334" spans="1:13" x14ac:dyDescent="0.25">
      <c r="A334" s="18">
        <v>27638</v>
      </c>
      <c r="B334">
        <v>94202</v>
      </c>
      <c r="C334">
        <v>7923</v>
      </c>
      <c r="D334">
        <v>2878</v>
      </c>
      <c r="E334">
        <f t="shared" si="348"/>
        <v>2878</v>
      </c>
      <c r="F334">
        <f t="shared" si="349"/>
        <v>0.37712987504733053</v>
      </c>
      <c r="G334">
        <f t="shared" si="350"/>
        <v>0.47341724909765992</v>
      </c>
      <c r="H334">
        <v>4.3088061766738121E-2</v>
      </c>
      <c r="I334">
        <f t="shared" si="351"/>
        <v>7858.5476454392146</v>
      </c>
      <c r="J334">
        <f t="shared" si="352"/>
        <v>0.40339815290141223</v>
      </c>
      <c r="K334">
        <f t="shared" si="353"/>
        <v>1.5382109653168841E-9</v>
      </c>
      <c r="L334">
        <f t="shared" ref="L334:M334" si="365">AVERAGE(G332:G334)</f>
        <v>0.46248593501314189</v>
      </c>
      <c r="M334">
        <f t="shared" si="365"/>
        <v>4.1779488635551143E-2</v>
      </c>
    </row>
    <row r="335" spans="1:13" x14ac:dyDescent="0.25">
      <c r="A335" s="18">
        <v>27668</v>
      </c>
      <c r="B335">
        <v>94267</v>
      </c>
      <c r="C335">
        <v>7897</v>
      </c>
      <c r="D335">
        <v>2962</v>
      </c>
      <c r="E335">
        <f t="shared" si="348"/>
        <v>2962</v>
      </c>
      <c r="F335">
        <f t="shared" si="349"/>
        <v>0.35722426237811822</v>
      </c>
      <c r="G335">
        <f t="shared" si="350"/>
        <v>0.44195939066330259</v>
      </c>
      <c r="H335">
        <v>3.8907160734622644E-2</v>
      </c>
      <c r="I335">
        <f t="shared" si="351"/>
        <v>7627.191598809336</v>
      </c>
      <c r="J335">
        <f t="shared" si="352"/>
        <v>0.38175258354840613</v>
      </c>
      <c r="K335">
        <f t="shared" si="353"/>
        <v>2.9395482848604434E-9</v>
      </c>
      <c r="L335">
        <f t="shared" ref="L335:M335" si="366">AVERAGE(G333:G335)</f>
        <v>0.45579326099435907</v>
      </c>
      <c r="M335">
        <f t="shared" si="366"/>
        <v>4.1159025130580673E-2</v>
      </c>
    </row>
    <row r="336" spans="1:13" x14ac:dyDescent="0.25">
      <c r="A336" s="18">
        <v>27699</v>
      </c>
      <c r="B336">
        <v>94250</v>
      </c>
      <c r="C336">
        <v>7794</v>
      </c>
      <c r="D336">
        <v>2718</v>
      </c>
      <c r="E336">
        <f t="shared" si="348"/>
        <v>2718</v>
      </c>
      <c r="F336">
        <f t="shared" si="349"/>
        <v>0.3607903515524763</v>
      </c>
      <c r="G336">
        <f t="shared" si="350"/>
        <v>0.44752279007652884</v>
      </c>
      <c r="H336">
        <v>3.9613552350886171E-2</v>
      </c>
      <c r="I336">
        <f t="shared" si="351"/>
        <v>7664.3374429148398</v>
      </c>
      <c r="J336">
        <f t="shared" si="352"/>
        <v>0.38561673927122397</v>
      </c>
      <c r="K336">
        <f t="shared" si="353"/>
        <v>2.7529695624177463E-9</v>
      </c>
      <c r="L336">
        <f t="shared" ref="L336:M336" si="367">AVERAGE(G334:G336)</f>
        <v>0.45429980994583047</v>
      </c>
      <c r="M336">
        <f t="shared" si="367"/>
        <v>4.0536258284082312E-2</v>
      </c>
    </row>
    <row r="337" spans="1:13" x14ac:dyDescent="0.25">
      <c r="A337" s="18">
        <v>27729</v>
      </c>
      <c r="B337">
        <v>94409</v>
      </c>
      <c r="C337">
        <v>7744</v>
      </c>
      <c r="D337">
        <v>2762</v>
      </c>
      <c r="E337">
        <f t="shared" si="348"/>
        <v>2762</v>
      </c>
      <c r="F337">
        <f t="shared" si="349"/>
        <v>0.38210227272727271</v>
      </c>
      <c r="G337">
        <f t="shared" si="350"/>
        <v>0.48143232506935829</v>
      </c>
      <c r="H337">
        <v>3.9909260163880848E-2</v>
      </c>
      <c r="I337">
        <f t="shared" si="351"/>
        <v>7227.110688141599</v>
      </c>
      <c r="J337">
        <f t="shared" si="352"/>
        <v>0.40627651723281666</v>
      </c>
      <c r="K337">
        <f t="shared" si="353"/>
        <v>1.1200628874521015E-10</v>
      </c>
      <c r="L337">
        <f t="shared" ref="L337:M337" si="368">AVERAGE(G335:G337)</f>
        <v>0.45697150193639652</v>
      </c>
      <c r="M337">
        <f t="shared" si="368"/>
        <v>3.9476657749796557E-2</v>
      </c>
    </row>
    <row r="338" spans="1:13" x14ac:dyDescent="0.25">
      <c r="A338" s="18">
        <v>27760</v>
      </c>
      <c r="B338">
        <v>94934</v>
      </c>
      <c r="C338">
        <v>7534</v>
      </c>
      <c r="D338">
        <v>2749</v>
      </c>
      <c r="E338">
        <f t="shared" si="348"/>
        <v>2749</v>
      </c>
      <c r="F338">
        <f t="shared" si="349"/>
        <v>0.39912397132997079</v>
      </c>
      <c r="G338">
        <f t="shared" si="350"/>
        <v>0.50936664081602778</v>
      </c>
      <c r="H338">
        <v>4.0813833726361742E-2</v>
      </c>
      <c r="I338">
        <f t="shared" si="351"/>
        <v>7042.4536497794224</v>
      </c>
      <c r="J338">
        <f t="shared" si="352"/>
        <v>0.42315430497715512</v>
      </c>
      <c r="K338">
        <f t="shared" si="353"/>
        <v>2.0984053068316369E-9</v>
      </c>
      <c r="L338">
        <f t="shared" ref="L338:M338" si="369">AVERAGE(G336:G338)</f>
        <v>0.47944058532063832</v>
      </c>
      <c r="M338">
        <f t="shared" si="369"/>
        <v>4.0112215413709587E-2</v>
      </c>
    </row>
    <row r="339" spans="1:13" x14ac:dyDescent="0.25">
      <c r="A339" s="18">
        <v>27791</v>
      </c>
      <c r="B339">
        <v>94998</v>
      </c>
      <c r="C339">
        <v>7326</v>
      </c>
      <c r="D339">
        <v>2799</v>
      </c>
      <c r="E339">
        <f t="shared" si="348"/>
        <v>2799</v>
      </c>
      <c r="F339">
        <f t="shared" si="349"/>
        <v>0.37182637182637179</v>
      </c>
      <c r="G339">
        <f t="shared" si="350"/>
        <v>0.46493867274344847</v>
      </c>
      <c r="H339">
        <v>3.7457966483005985E-2</v>
      </c>
      <c r="I339">
        <f t="shared" si="351"/>
        <v>7082.9134236080054</v>
      </c>
      <c r="J339">
        <f t="shared" si="352"/>
        <v>0.394921234929696</v>
      </c>
      <c r="K339">
        <f t="shared" si="353"/>
        <v>2.5952461590334444E-9</v>
      </c>
      <c r="L339">
        <f t="shared" ref="L339:M339" si="370">AVERAGE(G337:G339)</f>
        <v>0.48524587954294485</v>
      </c>
      <c r="M339">
        <f t="shared" si="370"/>
        <v>3.9393686791082856E-2</v>
      </c>
    </row>
    <row r="340" spans="1:13" x14ac:dyDescent="0.25">
      <c r="A340" s="18">
        <v>27820</v>
      </c>
      <c r="B340">
        <v>95215</v>
      </c>
      <c r="C340">
        <v>7230</v>
      </c>
      <c r="D340">
        <v>2628</v>
      </c>
      <c r="E340">
        <f t="shared" si="348"/>
        <v>2628</v>
      </c>
      <c r="F340">
        <f t="shared" si="349"/>
        <v>0.39253112033195026</v>
      </c>
      <c r="G340">
        <f t="shared" si="350"/>
        <v>0.49845433196344391</v>
      </c>
      <c r="H340">
        <v>4.2431041973203451E-2</v>
      </c>
      <c r="I340">
        <f t="shared" si="351"/>
        <v>7469.3675520828019</v>
      </c>
      <c r="J340">
        <f t="shared" si="352"/>
        <v>0.41776746940329001</v>
      </c>
      <c r="K340">
        <f t="shared" si="353"/>
        <v>5.5267813309947754E-10</v>
      </c>
      <c r="L340">
        <f t="shared" ref="L340:M340" si="371">AVERAGE(G338:G340)</f>
        <v>0.4909198818409734</v>
      </c>
      <c r="M340">
        <f t="shared" si="371"/>
        <v>4.0234280727523726E-2</v>
      </c>
    </row>
    <row r="341" spans="1:13" x14ac:dyDescent="0.25">
      <c r="A341" s="18">
        <v>27851</v>
      </c>
      <c r="B341">
        <v>95746</v>
      </c>
      <c r="C341">
        <v>7330</v>
      </c>
      <c r="D341">
        <v>2938</v>
      </c>
      <c r="E341">
        <f t="shared" si="348"/>
        <v>2938</v>
      </c>
      <c r="F341">
        <f t="shared" si="349"/>
        <v>0.41909959072305591</v>
      </c>
      <c r="G341">
        <f t="shared" si="350"/>
        <v>0.54317594942727232</v>
      </c>
      <c r="H341">
        <v>4.0894813131558322E-2</v>
      </c>
      <c r="I341">
        <f t="shared" si="351"/>
        <v>6703.836297061338</v>
      </c>
      <c r="J341">
        <f t="shared" si="352"/>
        <v>0.44237621396231241</v>
      </c>
      <c r="K341">
        <f t="shared" si="353"/>
        <v>5.1514170485317038E-9</v>
      </c>
      <c r="L341">
        <f t="shared" ref="L341:M341" si="372">AVERAGE(G339:G341)</f>
        <v>0.50218965137805494</v>
      </c>
      <c r="M341">
        <f t="shared" si="372"/>
        <v>4.0261273862589257E-2</v>
      </c>
    </row>
    <row r="342" spans="1:13" x14ac:dyDescent="0.25">
      <c r="A342" s="18">
        <v>27881</v>
      </c>
      <c r="B342">
        <v>95847</v>
      </c>
      <c r="C342">
        <v>7053</v>
      </c>
      <c r="D342">
        <v>2795</v>
      </c>
      <c r="E342">
        <f t="shared" si="348"/>
        <v>2795</v>
      </c>
      <c r="F342">
        <f t="shared" si="349"/>
        <v>0.35701120090741534</v>
      </c>
      <c r="G342">
        <f t="shared" si="350"/>
        <v>0.44162797465894232</v>
      </c>
      <c r="H342">
        <v>3.8894391684556037E-2</v>
      </c>
      <c r="I342">
        <f t="shared" si="351"/>
        <v>7758.0379622220735</v>
      </c>
      <c r="J342">
        <f t="shared" si="352"/>
        <v>0.38153975540369323</v>
      </c>
      <c r="K342">
        <f t="shared" si="353"/>
        <v>1.3587464341402364E-10</v>
      </c>
      <c r="L342">
        <f t="shared" ref="L342:M342" si="373">AVERAGE(G340:G342)</f>
        <v>0.49441941868321954</v>
      </c>
      <c r="M342">
        <f t="shared" si="373"/>
        <v>4.0740082263105937E-2</v>
      </c>
    </row>
    <row r="343" spans="1:13" x14ac:dyDescent="0.25">
      <c r="A343" s="18">
        <v>27912</v>
      </c>
      <c r="B343">
        <v>95885</v>
      </c>
      <c r="C343">
        <v>7322</v>
      </c>
      <c r="D343">
        <v>2787</v>
      </c>
      <c r="E343">
        <f t="shared" si="348"/>
        <v>2787</v>
      </c>
      <c r="F343">
        <f t="shared" si="349"/>
        <v>0.3819994537011745</v>
      </c>
      <c r="G343">
        <f t="shared" si="350"/>
        <v>0.48126593754615493</v>
      </c>
      <c r="H343">
        <v>4.2225552095189842E-2</v>
      </c>
      <c r="I343">
        <f t="shared" si="351"/>
        <v>7734.2175427172579</v>
      </c>
      <c r="J343">
        <f t="shared" si="352"/>
        <v>0.40755159482701664</v>
      </c>
      <c r="K343">
        <f t="shared" si="353"/>
        <v>6.8972872895490091E-9</v>
      </c>
      <c r="L343">
        <f t="shared" ref="L343:M343" si="374">AVERAGE(G341:G343)</f>
        <v>0.48868995387745651</v>
      </c>
      <c r="M343">
        <f t="shared" si="374"/>
        <v>4.0671585637101403E-2</v>
      </c>
    </row>
    <row r="344" spans="1:13" x14ac:dyDescent="0.25">
      <c r="A344" s="18">
        <v>27942</v>
      </c>
      <c r="B344">
        <v>96583</v>
      </c>
      <c r="C344">
        <v>7490</v>
      </c>
      <c r="D344">
        <v>2965</v>
      </c>
      <c r="E344">
        <f t="shared" si="348"/>
        <v>2965</v>
      </c>
      <c r="F344">
        <f t="shared" si="349"/>
        <v>0.38251001335113488</v>
      </c>
      <c r="G344">
        <f t="shared" si="350"/>
        <v>0.48209242656473966</v>
      </c>
      <c r="H344">
        <v>4.0932844863011249E-2</v>
      </c>
      <c r="I344">
        <f t="shared" si="351"/>
        <v>7558.7493977340791</v>
      </c>
      <c r="J344">
        <f t="shared" si="352"/>
        <v>0.40727532019278145</v>
      </c>
      <c r="K344">
        <f t="shared" si="353"/>
        <v>4.4923227239572517E-9</v>
      </c>
      <c r="L344">
        <f t="shared" ref="L344:M344" si="375">AVERAGE(G342:G344)</f>
        <v>0.46832877958994562</v>
      </c>
      <c r="M344">
        <f t="shared" si="375"/>
        <v>4.0684262880919038E-2</v>
      </c>
    </row>
    <row r="345" spans="1:13" x14ac:dyDescent="0.25">
      <c r="A345" s="18">
        <v>27973</v>
      </c>
      <c r="B345">
        <v>96741</v>
      </c>
      <c r="C345">
        <v>7518</v>
      </c>
      <c r="D345">
        <v>2893</v>
      </c>
      <c r="E345">
        <f t="shared" si="348"/>
        <v>2893</v>
      </c>
      <c r="F345">
        <f t="shared" si="349"/>
        <v>0.40542697525937754</v>
      </c>
      <c r="G345">
        <f t="shared" si="350"/>
        <v>0.5199117365165089</v>
      </c>
      <c r="H345">
        <v>4.178664470383657E-2</v>
      </c>
      <c r="I345">
        <f t="shared" si="351"/>
        <v>7196.8905919065692</v>
      </c>
      <c r="J345">
        <f t="shared" si="352"/>
        <v>0.42976024353838826</v>
      </c>
      <c r="K345">
        <f t="shared" si="353"/>
        <v>3.2975962357348554E-9</v>
      </c>
      <c r="L345">
        <f t="shared" ref="L345:M345" si="376">AVERAGE(G343:G345)</f>
        <v>0.49442336687580113</v>
      </c>
      <c r="M345">
        <f t="shared" si="376"/>
        <v>4.164834722067922E-2</v>
      </c>
    </row>
    <row r="346" spans="1:13" x14ac:dyDescent="0.25">
      <c r="A346" s="18">
        <v>28004</v>
      </c>
      <c r="B346">
        <v>96553</v>
      </c>
      <c r="C346">
        <v>7380</v>
      </c>
      <c r="D346">
        <v>2910</v>
      </c>
      <c r="E346">
        <f t="shared" si="348"/>
        <v>2910</v>
      </c>
      <c r="F346">
        <f t="shared" si="349"/>
        <v>0.39227642276422769</v>
      </c>
      <c r="G346">
        <f t="shared" si="350"/>
        <v>0.49803514310162178</v>
      </c>
      <c r="H346">
        <v>4.1943276005491824E-2</v>
      </c>
      <c r="I346">
        <f t="shared" si="351"/>
        <v>7499.835150550558</v>
      </c>
      <c r="J346">
        <f t="shared" si="352"/>
        <v>0.41723917126269205</v>
      </c>
      <c r="K346">
        <f t="shared" si="353"/>
        <v>6.5765846755478677E-9</v>
      </c>
      <c r="L346">
        <f t="shared" ref="L346:M346" si="377">AVERAGE(G344:G346)</f>
        <v>0.50001310206095673</v>
      </c>
      <c r="M346">
        <f t="shared" si="377"/>
        <v>4.1554255190779883E-2</v>
      </c>
    </row>
    <row r="347" spans="1:13" x14ac:dyDescent="0.25">
      <c r="A347" s="18">
        <v>28034</v>
      </c>
      <c r="B347">
        <v>96704</v>
      </c>
      <c r="C347">
        <v>7430</v>
      </c>
      <c r="D347">
        <v>2945</v>
      </c>
      <c r="E347">
        <f t="shared" si="348"/>
        <v>2945</v>
      </c>
      <c r="F347">
        <f t="shared" si="349"/>
        <v>0.35477792732166891</v>
      </c>
      <c r="G347">
        <f t="shared" si="350"/>
        <v>0.43816072271747519</v>
      </c>
      <c r="H347">
        <v>3.9143217913937739E-2</v>
      </c>
      <c r="I347">
        <f t="shared" si="351"/>
        <v>7930.5981428562127</v>
      </c>
      <c r="J347">
        <f t="shared" si="352"/>
        <v>0.37954608052425232</v>
      </c>
      <c r="K347">
        <f t="shared" si="353"/>
        <v>3.9738896631854262E-9</v>
      </c>
      <c r="L347">
        <f t="shared" ref="L347:M347" si="378">AVERAGE(G345:G347)</f>
        <v>0.48536920077853524</v>
      </c>
      <c r="M347">
        <f t="shared" si="378"/>
        <v>4.0957712874422042E-2</v>
      </c>
    </row>
    <row r="348" spans="1:13" x14ac:dyDescent="0.25">
      <c r="A348" s="18">
        <v>28065</v>
      </c>
      <c r="B348">
        <v>97254</v>
      </c>
      <c r="C348">
        <v>7620</v>
      </c>
      <c r="D348">
        <v>2826</v>
      </c>
      <c r="E348">
        <f t="shared" si="348"/>
        <v>2826</v>
      </c>
      <c r="F348">
        <f t="shared" si="349"/>
        <v>0.39317585301837266</v>
      </c>
      <c r="G348">
        <f t="shared" si="350"/>
        <v>0.49951623832847847</v>
      </c>
      <c r="H348">
        <v>4.1381733001949472E-2</v>
      </c>
      <c r="I348">
        <f t="shared" si="351"/>
        <v>7440.4772705517371</v>
      </c>
      <c r="J348">
        <f t="shared" si="352"/>
        <v>0.41777480396955147</v>
      </c>
      <c r="K348">
        <f t="shared" si="353"/>
        <v>5.3440964097443322E-9</v>
      </c>
      <c r="L348">
        <f t="shared" ref="L348:M348" si="379">AVERAGE(G346:G348)</f>
        <v>0.47857070138252517</v>
      </c>
      <c r="M348">
        <f t="shared" si="379"/>
        <v>4.0822742307126347E-2</v>
      </c>
    </row>
    <row r="349" spans="1:13" x14ac:dyDescent="0.25">
      <c r="A349" s="18">
        <v>28095</v>
      </c>
      <c r="B349">
        <v>97348</v>
      </c>
      <c r="C349">
        <v>7545</v>
      </c>
      <c r="D349">
        <v>2921</v>
      </c>
      <c r="E349">
        <f t="shared" si="348"/>
        <v>2921</v>
      </c>
      <c r="F349">
        <f t="shared" si="349"/>
        <v>0.41868787276341946</v>
      </c>
      <c r="G349">
        <f t="shared" si="350"/>
        <v>0.54246744222411569</v>
      </c>
      <c r="H349">
        <v>4.1680392096467594E-2</v>
      </c>
      <c r="I349">
        <f t="shared" si="351"/>
        <v>6946.0204616288102</v>
      </c>
      <c r="J349">
        <f t="shared" si="352"/>
        <v>0.44241918935378177</v>
      </c>
      <c r="K349">
        <f t="shared" si="353"/>
        <v>1.7477152401728126E-9</v>
      </c>
      <c r="L349">
        <f t="shared" ref="L349:M349" si="380">AVERAGE(G347:G349)</f>
        <v>0.49338146775668984</v>
      </c>
      <c r="M349">
        <f t="shared" si="380"/>
        <v>4.0735114337451604E-2</v>
      </c>
    </row>
    <row r="350" spans="1:13" x14ac:dyDescent="0.25">
      <c r="A350" s="18">
        <v>28126</v>
      </c>
      <c r="B350">
        <v>97208</v>
      </c>
      <c r="C350">
        <v>7280</v>
      </c>
      <c r="D350">
        <v>2894</v>
      </c>
      <c r="E350">
        <f t="shared" si="348"/>
        <v>2894</v>
      </c>
      <c r="F350">
        <f t="shared" si="349"/>
        <v>0.39175824175824181</v>
      </c>
      <c r="G350">
        <f t="shared" si="350"/>
        <v>0.49718284736220425</v>
      </c>
      <c r="H350">
        <v>4.2594313432866515E-2</v>
      </c>
      <c r="I350">
        <f t="shared" si="351"/>
        <v>7670.7729057733395</v>
      </c>
      <c r="J350">
        <f t="shared" si="352"/>
        <v>0.41712187399884693</v>
      </c>
      <c r="K350">
        <f t="shared" si="353"/>
        <v>5.3634897725060529E-9</v>
      </c>
      <c r="L350">
        <f t="shared" ref="L350:M350" si="381">AVERAGE(G348:G350)</f>
        <v>0.51305550930493282</v>
      </c>
      <c r="M350">
        <f t="shared" si="381"/>
        <v>4.1885479510427863E-2</v>
      </c>
    </row>
    <row r="351" spans="1:13" x14ac:dyDescent="0.25">
      <c r="A351" s="18">
        <v>28157</v>
      </c>
      <c r="B351">
        <v>97785</v>
      </c>
      <c r="C351">
        <v>7443</v>
      </c>
      <c r="D351">
        <v>3015</v>
      </c>
      <c r="E351">
        <f t="shared" si="348"/>
        <v>3015</v>
      </c>
      <c r="F351">
        <f t="shared" si="349"/>
        <v>0.42039500201531643</v>
      </c>
      <c r="G351">
        <f t="shared" si="350"/>
        <v>0.54540844541080902</v>
      </c>
      <c r="H351">
        <v>4.2943109469736257E-2</v>
      </c>
      <c r="I351">
        <f t="shared" si="351"/>
        <v>7137.2157083034044</v>
      </c>
      <c r="J351">
        <f t="shared" si="352"/>
        <v>0.44475818358784491</v>
      </c>
      <c r="K351">
        <f t="shared" si="353"/>
        <v>4.3751178770954588E-9</v>
      </c>
      <c r="L351">
        <f t="shared" ref="L351:M351" si="382">AVERAGE(G349:G351)</f>
        <v>0.52835291166570963</v>
      </c>
      <c r="M351">
        <f t="shared" si="382"/>
        <v>4.2405938333023453E-2</v>
      </c>
    </row>
    <row r="352" spans="1:13" x14ac:dyDescent="0.25">
      <c r="A352" s="18">
        <v>28185</v>
      </c>
      <c r="B352">
        <v>98115</v>
      </c>
      <c r="C352">
        <v>7307</v>
      </c>
      <c r="D352">
        <v>2993</v>
      </c>
      <c r="E352">
        <f t="shared" si="348"/>
        <v>2993</v>
      </c>
      <c r="F352">
        <f t="shared" si="349"/>
        <v>0.44655809497741894</v>
      </c>
      <c r="G352">
        <f t="shared" si="350"/>
        <v>0.59159849165085587</v>
      </c>
      <c r="H352">
        <v>4.3913703862703976E-2</v>
      </c>
      <c r="I352">
        <f t="shared" si="351"/>
        <v>6779.7173443814245</v>
      </c>
      <c r="J352">
        <f t="shared" si="352"/>
        <v>0.47033587276112787</v>
      </c>
      <c r="K352">
        <f t="shared" si="353"/>
        <v>2.7016949560181074E-9</v>
      </c>
      <c r="L352">
        <f t="shared" ref="L352:M352" si="383">AVERAGE(G350:G352)</f>
        <v>0.54472992814128973</v>
      </c>
      <c r="M352">
        <f t="shared" si="383"/>
        <v>4.3150375588435576E-2</v>
      </c>
    </row>
    <row r="353" spans="1:13" x14ac:dyDescent="0.25">
      <c r="A353" s="18">
        <v>28216</v>
      </c>
      <c r="B353">
        <v>98330</v>
      </c>
      <c r="C353">
        <v>7059</v>
      </c>
      <c r="D353">
        <v>3015</v>
      </c>
      <c r="E353">
        <f t="shared" si="348"/>
        <v>3015</v>
      </c>
      <c r="F353">
        <f t="shared" si="349"/>
        <v>0.41110638900694152</v>
      </c>
      <c r="G353">
        <f t="shared" si="350"/>
        <v>0.52950973814283475</v>
      </c>
      <c r="H353">
        <v>3.8827116970444234E-2</v>
      </c>
      <c r="I353">
        <f t="shared" si="351"/>
        <v>6717.6189215158611</v>
      </c>
      <c r="J353">
        <f t="shared" si="352"/>
        <v>0.43353322798891858</v>
      </c>
      <c r="K353">
        <f t="shared" si="353"/>
        <v>1.6752294669922837E-9</v>
      </c>
      <c r="L353">
        <f t="shared" ref="L353:M353" si="384">AVERAGE(G351:G353)</f>
        <v>0.55550555840149984</v>
      </c>
      <c r="M353">
        <f t="shared" si="384"/>
        <v>4.1894643434294825E-2</v>
      </c>
    </row>
    <row r="354" spans="1:13" x14ac:dyDescent="0.25">
      <c r="A354" s="18">
        <v>28246</v>
      </c>
      <c r="B354">
        <v>98665</v>
      </c>
      <c r="C354">
        <v>6911</v>
      </c>
      <c r="D354">
        <v>2754</v>
      </c>
      <c r="E354">
        <f t="shared" si="348"/>
        <v>2754</v>
      </c>
      <c r="F354">
        <f t="shared" si="349"/>
        <v>0.42179134712776734</v>
      </c>
      <c r="G354">
        <f t="shared" si="350"/>
        <v>0.54782048432295016</v>
      </c>
      <c r="H354">
        <v>4.4483191666677649E-2</v>
      </c>
      <c r="I354">
        <f t="shared" si="351"/>
        <v>7409.9389953298341</v>
      </c>
      <c r="J354">
        <f t="shared" si="352"/>
        <v>0.44694823596443645</v>
      </c>
      <c r="K354">
        <f t="shared" si="353"/>
        <v>9.2512585602250278E-9</v>
      </c>
      <c r="L354">
        <f t="shared" ref="L354:M354" si="385">AVERAGE(G352:G354)</f>
        <v>0.5563095713722136</v>
      </c>
      <c r="M354">
        <f t="shared" si="385"/>
        <v>4.2408004166608615E-2</v>
      </c>
    </row>
    <row r="355" spans="1:13" x14ac:dyDescent="0.25">
      <c r="A355" s="18">
        <v>28277</v>
      </c>
      <c r="B355">
        <v>99093</v>
      </c>
      <c r="C355">
        <v>7134</v>
      </c>
      <c r="D355">
        <v>3138</v>
      </c>
      <c r="E355">
        <f t="shared" si="348"/>
        <v>3138</v>
      </c>
      <c r="F355">
        <f t="shared" si="349"/>
        <v>0.44350995234090274</v>
      </c>
      <c r="G355">
        <f t="shared" si="350"/>
        <v>0.58610599223760074</v>
      </c>
      <c r="H355">
        <v>4.1004307463576209E-2</v>
      </c>
      <c r="I355">
        <f t="shared" si="351"/>
        <v>6479.3064974763192</v>
      </c>
      <c r="J355">
        <f t="shared" si="352"/>
        <v>0.46586694249440475</v>
      </c>
      <c r="K355">
        <f t="shared" si="353"/>
        <v>3.6350843502298424E-9</v>
      </c>
      <c r="L355">
        <f t="shared" ref="L355:M355" si="386">AVERAGE(G353:G355)</f>
        <v>0.55447873823446192</v>
      </c>
      <c r="M355">
        <f t="shared" si="386"/>
        <v>4.1438205366899364E-2</v>
      </c>
    </row>
    <row r="356" spans="1:13" x14ac:dyDescent="0.25">
      <c r="A356" s="18">
        <v>28307</v>
      </c>
      <c r="B356">
        <v>98913</v>
      </c>
      <c r="C356">
        <v>6829</v>
      </c>
      <c r="D356">
        <v>2859</v>
      </c>
      <c r="E356">
        <f t="shared" si="348"/>
        <v>2859</v>
      </c>
      <c r="F356">
        <f t="shared" si="349"/>
        <v>0.41001610777566266</v>
      </c>
      <c r="G356">
        <f t="shared" si="350"/>
        <v>0.52766004376974207</v>
      </c>
      <c r="H356">
        <v>4.0498139420418418E-2</v>
      </c>
      <c r="I356">
        <f t="shared" si="351"/>
        <v>7050.4880207826254</v>
      </c>
      <c r="J356">
        <f t="shared" si="352"/>
        <v>0.43343200723899689</v>
      </c>
      <c r="K356">
        <f t="shared" si="353"/>
        <v>6.6192693461041913E-12</v>
      </c>
      <c r="L356">
        <f t="shared" ref="L356:M356" si="387">AVERAGE(G354:G356)</f>
        <v>0.55386217344343092</v>
      </c>
      <c r="M356">
        <f t="shared" si="387"/>
        <v>4.199521285022409E-2</v>
      </c>
    </row>
    <row r="357" spans="1:13" x14ac:dyDescent="0.25">
      <c r="A357" s="18">
        <v>28338</v>
      </c>
      <c r="B357">
        <v>99366</v>
      </c>
      <c r="C357">
        <v>6925</v>
      </c>
      <c r="D357">
        <v>2896</v>
      </c>
      <c r="E357">
        <f t="shared" si="348"/>
        <v>2896</v>
      </c>
      <c r="F357">
        <f t="shared" si="349"/>
        <v>0.44144404332129961</v>
      </c>
      <c r="G357">
        <f t="shared" si="350"/>
        <v>0.58240047448235421</v>
      </c>
      <c r="H357">
        <v>4.1099490149689825E-2</v>
      </c>
      <c r="I357">
        <f t="shared" si="351"/>
        <v>6549.9473454247454</v>
      </c>
      <c r="J357">
        <f t="shared" si="352"/>
        <v>0.46393505790840572</v>
      </c>
      <c r="K357">
        <f t="shared" si="353"/>
        <v>5.6278611679761935E-9</v>
      </c>
      <c r="L357">
        <f t="shared" ref="L357:M357" si="388">AVERAGE(G355:G357)</f>
        <v>0.56538883682989904</v>
      </c>
      <c r="M357">
        <f t="shared" si="388"/>
        <v>4.0867312344561486E-2</v>
      </c>
    </row>
    <row r="358" spans="1:13" x14ac:dyDescent="0.25">
      <c r="A358" s="18">
        <v>28369</v>
      </c>
      <c r="B358">
        <v>99453</v>
      </c>
      <c r="C358">
        <v>6751</v>
      </c>
      <c r="D358">
        <v>2883</v>
      </c>
      <c r="E358">
        <f t="shared" si="348"/>
        <v>2883</v>
      </c>
      <c r="F358">
        <f t="shared" si="349"/>
        <v>0.42527033032143391</v>
      </c>
      <c r="G358">
        <f t="shared" si="350"/>
        <v>0.55385548842455146</v>
      </c>
      <c r="H358">
        <v>4.0506091901839181E-2</v>
      </c>
      <c r="I358">
        <f t="shared" si="351"/>
        <v>6777.7805485028284</v>
      </c>
      <c r="J358">
        <f t="shared" si="352"/>
        <v>0.44808519331212293</v>
      </c>
      <c r="K358">
        <f t="shared" si="353"/>
        <v>1.0723729619177438E-9</v>
      </c>
      <c r="L358">
        <f t="shared" ref="L358:M358" si="389">AVERAGE(G356:G358)</f>
        <v>0.55463866889221591</v>
      </c>
      <c r="M358">
        <f t="shared" si="389"/>
        <v>4.0701240490649139E-2</v>
      </c>
    </row>
    <row r="359" spans="1:13" x14ac:dyDescent="0.25">
      <c r="A359" s="18">
        <v>28399</v>
      </c>
      <c r="B359">
        <v>99815</v>
      </c>
      <c r="C359">
        <v>6763</v>
      </c>
      <c r="D359">
        <v>2883</v>
      </c>
      <c r="E359">
        <f t="shared" si="348"/>
        <v>2883</v>
      </c>
      <c r="F359">
        <f t="shared" si="349"/>
        <v>0.42466361082359905</v>
      </c>
      <c r="G359">
        <f t="shared" si="350"/>
        <v>0.5528003845903865</v>
      </c>
      <c r="H359">
        <v>4.0918457310073493E-2</v>
      </c>
      <c r="I359">
        <f t="shared" si="351"/>
        <v>6879.1413176840624</v>
      </c>
      <c r="J359">
        <f t="shared" si="352"/>
        <v>0.44773034243209264</v>
      </c>
      <c r="K359">
        <f t="shared" si="353"/>
        <v>6.5008738671175433E-11</v>
      </c>
      <c r="L359">
        <f t="shared" ref="L359:M359" si="390">AVERAGE(G357:G359)</f>
        <v>0.56301878249909743</v>
      </c>
      <c r="M359">
        <f t="shared" si="390"/>
        <v>4.08413464538675E-2</v>
      </c>
    </row>
    <row r="360" spans="1:13" x14ac:dyDescent="0.25">
      <c r="A360" s="18">
        <v>28430</v>
      </c>
      <c r="B360">
        <v>100576</v>
      </c>
      <c r="C360">
        <v>6815</v>
      </c>
      <c r="D360">
        <v>2924</v>
      </c>
      <c r="E360">
        <f t="shared" si="348"/>
        <v>2924</v>
      </c>
      <c r="F360">
        <f t="shared" si="349"/>
        <v>0.46338958180484224</v>
      </c>
      <c r="G360">
        <f t="shared" si="350"/>
        <v>0.62248292598125177</v>
      </c>
      <c r="H360">
        <v>3.8990684273956439E-2</v>
      </c>
      <c r="I360">
        <f t="shared" si="351"/>
        <v>5928.4709181738153</v>
      </c>
      <c r="J360">
        <f t="shared" si="352"/>
        <v>0.48390974203241544</v>
      </c>
      <c r="K360">
        <f t="shared" si="353"/>
        <v>3.5153922758120706E-9</v>
      </c>
      <c r="L360">
        <f t="shared" ref="L360:M360" si="391">AVERAGE(G358:G360)</f>
        <v>0.57637959966539665</v>
      </c>
      <c r="M360">
        <f t="shared" si="391"/>
        <v>4.0138411161956371E-2</v>
      </c>
    </row>
    <row r="361" spans="1:13" x14ac:dyDescent="0.25">
      <c r="A361" s="18">
        <v>28460</v>
      </c>
      <c r="B361">
        <v>100491</v>
      </c>
      <c r="C361">
        <v>6386</v>
      </c>
      <c r="D361">
        <v>2729</v>
      </c>
      <c r="E361">
        <f t="shared" si="348"/>
        <v>2729</v>
      </c>
      <c r="F361">
        <f t="shared" si="349"/>
        <v>0.42608831819605386</v>
      </c>
      <c r="G361">
        <f t="shared" si="350"/>
        <v>0.55527975895397541</v>
      </c>
      <c r="H361">
        <v>3.9133350098913312E-2</v>
      </c>
      <c r="I361">
        <f t="shared" si="351"/>
        <v>6615.8525525384966</v>
      </c>
      <c r="J361">
        <f t="shared" si="352"/>
        <v>0.44811363204653476</v>
      </c>
      <c r="K361">
        <f t="shared" si="353"/>
        <v>3.8630193540920972E-9</v>
      </c>
      <c r="L361">
        <f t="shared" ref="L361:M361" si="392">AVERAGE(G359:G361)</f>
        <v>0.57685435650853789</v>
      </c>
      <c r="M361">
        <f t="shared" si="392"/>
        <v>3.9680830560981074E-2</v>
      </c>
    </row>
    <row r="362" spans="1:13" x14ac:dyDescent="0.25">
      <c r="A362" s="18">
        <v>28491</v>
      </c>
      <c r="B362">
        <v>100873</v>
      </c>
      <c r="C362">
        <v>6489</v>
      </c>
      <c r="D362">
        <v>2824</v>
      </c>
      <c r="E362">
        <f t="shared" si="348"/>
        <v>2824</v>
      </c>
      <c r="F362">
        <f t="shared" si="349"/>
        <v>0.45230389890584066</v>
      </c>
      <c r="G362">
        <f t="shared" si="350"/>
        <v>0.60203470590657182</v>
      </c>
      <c r="H362">
        <v>3.893652829707922E-2</v>
      </c>
      <c r="I362">
        <f t="shared" si="351"/>
        <v>6127.6453752109728</v>
      </c>
      <c r="J362">
        <f t="shared" si="352"/>
        <v>0.47321945177861757</v>
      </c>
      <c r="K362">
        <f t="shared" si="353"/>
        <v>1.4017784342687002E-9</v>
      </c>
      <c r="L362">
        <f t="shared" ref="L362:M362" si="393">AVERAGE(G360:G362)</f>
        <v>0.59326579694726633</v>
      </c>
      <c r="M362">
        <f t="shared" si="393"/>
        <v>3.9020187556649655E-2</v>
      </c>
    </row>
    <row r="363" spans="1:13" x14ac:dyDescent="0.25">
      <c r="A363" s="18">
        <v>28522</v>
      </c>
      <c r="B363">
        <v>100837</v>
      </c>
      <c r="C363">
        <v>6318</v>
      </c>
      <c r="D363">
        <v>2764</v>
      </c>
      <c r="E363">
        <f t="shared" si="348"/>
        <v>2764</v>
      </c>
      <c r="F363">
        <f t="shared" si="349"/>
        <v>0.45140867363089587</v>
      </c>
      <c r="G363">
        <f t="shared" si="350"/>
        <v>0.6004015110864791</v>
      </c>
      <c r="H363">
        <v>4.0405316599914788E-2</v>
      </c>
      <c r="I363">
        <f t="shared" si="351"/>
        <v>6358.1577691609191</v>
      </c>
      <c r="J363">
        <f t="shared" si="352"/>
        <v>0.47313283850362731</v>
      </c>
      <c r="K363">
        <f t="shared" si="353"/>
        <v>1.655588309821507E-9</v>
      </c>
      <c r="L363">
        <f t="shared" ref="L363:M363" si="394">AVERAGE(G361:G363)</f>
        <v>0.58590532531567552</v>
      </c>
      <c r="M363">
        <f t="shared" si="394"/>
        <v>3.9491731665302433E-2</v>
      </c>
    </row>
    <row r="364" spans="1:13" x14ac:dyDescent="0.25">
      <c r="A364" s="18">
        <v>28550</v>
      </c>
      <c r="B364">
        <v>101092</v>
      </c>
      <c r="C364">
        <v>6337</v>
      </c>
      <c r="D364">
        <v>2871</v>
      </c>
      <c r="E364">
        <f t="shared" si="348"/>
        <v>2871</v>
      </c>
      <c r="F364">
        <f t="shared" si="349"/>
        <v>0.45873441691652206</v>
      </c>
      <c r="G364">
        <f t="shared" si="350"/>
        <v>0.61384520916353147</v>
      </c>
      <c r="H364">
        <v>3.8796592084824451E-2</v>
      </c>
      <c r="I364">
        <f t="shared" si="351"/>
        <v>6009.4604414506211</v>
      </c>
      <c r="J364">
        <f t="shared" si="352"/>
        <v>0.47933154431841662</v>
      </c>
      <c r="K364">
        <f t="shared" si="353"/>
        <v>1.7998675979740101E-9</v>
      </c>
      <c r="L364">
        <f t="shared" ref="L364:M364" si="395">AVERAGE(G362:G364)</f>
        <v>0.60542714205219417</v>
      </c>
      <c r="M364">
        <f t="shared" si="395"/>
        <v>3.9379478993939482E-2</v>
      </c>
    </row>
    <row r="365" spans="1:13" x14ac:dyDescent="0.25">
      <c r="A365" s="18">
        <v>28581</v>
      </c>
      <c r="B365">
        <v>101574</v>
      </c>
      <c r="C365">
        <v>6180</v>
      </c>
      <c r="D365">
        <v>2750</v>
      </c>
      <c r="E365">
        <f t="shared" si="348"/>
        <v>2750</v>
      </c>
      <c r="F365">
        <f t="shared" si="349"/>
        <v>0.47297734627831711</v>
      </c>
      <c r="G365">
        <f t="shared" si="350"/>
        <v>0.64051174517550291</v>
      </c>
      <c r="H365">
        <v>4.0728720585879861E-2</v>
      </c>
      <c r="I365">
        <f t="shared" si="351"/>
        <v>6072.7148088105723</v>
      </c>
      <c r="J365">
        <f t="shared" si="352"/>
        <v>0.49401105904890175</v>
      </c>
      <c r="K365">
        <f t="shared" si="353"/>
        <v>5.0296114865204066E-9</v>
      </c>
      <c r="L365">
        <f t="shared" ref="L365:M365" si="396">AVERAGE(G363:G365)</f>
        <v>0.61825282180850449</v>
      </c>
      <c r="M365">
        <f t="shared" si="396"/>
        <v>3.9976876423539698E-2</v>
      </c>
    </row>
    <row r="366" spans="1:13" x14ac:dyDescent="0.25">
      <c r="A366" s="18">
        <v>28611</v>
      </c>
      <c r="B366">
        <v>101896</v>
      </c>
      <c r="C366">
        <v>6127</v>
      </c>
      <c r="D366">
        <v>2870</v>
      </c>
      <c r="E366">
        <f t="shared" si="348"/>
        <v>2870</v>
      </c>
      <c r="F366">
        <f t="shared" si="349"/>
        <v>0.47119307981067404</v>
      </c>
      <c r="G366">
        <f t="shared" si="350"/>
        <v>0.63713190393927943</v>
      </c>
      <c r="H366">
        <v>3.9339190847270875E-2</v>
      </c>
      <c r="I366">
        <f t="shared" si="351"/>
        <v>5925.6134097471422</v>
      </c>
      <c r="J366">
        <f t="shared" si="352"/>
        <v>0.49159204608064277</v>
      </c>
      <c r="K366">
        <f t="shared" si="353"/>
        <v>2.1119177931711703E-9</v>
      </c>
      <c r="L366">
        <f t="shared" ref="L366:M366" si="397">AVERAGE(G364:G366)</f>
        <v>0.63049628609277131</v>
      </c>
      <c r="M366">
        <f t="shared" si="397"/>
        <v>3.9621501172658398E-2</v>
      </c>
    </row>
    <row r="367" spans="1:13" x14ac:dyDescent="0.25">
      <c r="A367" s="18">
        <v>28642</v>
      </c>
      <c r="B367">
        <v>102371</v>
      </c>
      <c r="C367">
        <v>6028</v>
      </c>
      <c r="D367">
        <v>2788</v>
      </c>
      <c r="E367">
        <f t="shared" si="348"/>
        <v>2788</v>
      </c>
      <c r="F367">
        <f t="shared" si="349"/>
        <v>0.46250829462508292</v>
      </c>
      <c r="G367">
        <f t="shared" si="350"/>
        <v>0.62084195096001094</v>
      </c>
      <c r="H367">
        <v>4.2835715805167499E-2</v>
      </c>
      <c r="I367">
        <f t="shared" si="351"/>
        <v>6607.326541609159</v>
      </c>
      <c r="J367">
        <f t="shared" si="352"/>
        <v>0.48504598149725164</v>
      </c>
      <c r="K367">
        <f t="shared" si="353"/>
        <v>1.2060922427250605E-10</v>
      </c>
      <c r="L367">
        <f t="shared" ref="L367:M367" si="398">AVERAGE(G365:G367)</f>
        <v>0.63282853335826439</v>
      </c>
      <c r="M367">
        <f t="shared" si="398"/>
        <v>4.0967875746106074E-2</v>
      </c>
    </row>
    <row r="368" spans="1:13" x14ac:dyDescent="0.25">
      <c r="A368" s="18">
        <v>28672</v>
      </c>
      <c r="B368">
        <v>102399</v>
      </c>
      <c r="C368">
        <v>6309</v>
      </c>
      <c r="D368">
        <v>3069</v>
      </c>
      <c r="E368">
        <f t="shared" si="348"/>
        <v>3069</v>
      </c>
      <c r="F368">
        <f t="shared" si="349"/>
        <v>0.48930099857346643</v>
      </c>
      <c r="G368">
        <f t="shared" si="350"/>
        <v>0.67197490063388965</v>
      </c>
      <c r="H368">
        <v>4.0787433232084433E-2</v>
      </c>
      <c r="I368">
        <f t="shared" si="351"/>
        <v>5859.7265555247041</v>
      </c>
      <c r="J368">
        <f t="shared" si="352"/>
        <v>0.5097120139389717</v>
      </c>
      <c r="K368">
        <f t="shared" si="353"/>
        <v>5.2118006289989744E-9</v>
      </c>
      <c r="L368">
        <f t="shared" ref="L368:M368" si="399">AVERAGE(G366:G368)</f>
        <v>0.64331625184439334</v>
      </c>
      <c r="M368">
        <f t="shared" si="399"/>
        <v>4.0987446628174266E-2</v>
      </c>
    </row>
    <row r="369" spans="1:13" x14ac:dyDescent="0.25">
      <c r="A369" s="18">
        <v>28703</v>
      </c>
      <c r="B369">
        <v>102511</v>
      </c>
      <c r="C369">
        <v>6080</v>
      </c>
      <c r="D369">
        <v>2858</v>
      </c>
      <c r="E369">
        <f t="shared" si="348"/>
        <v>2858</v>
      </c>
      <c r="F369">
        <f t="shared" si="349"/>
        <v>0.47631578947368425</v>
      </c>
      <c r="G369">
        <f t="shared" si="350"/>
        <v>0.64686642799593908</v>
      </c>
      <c r="H369">
        <v>4.1430631206888585E-2</v>
      </c>
      <c r="I369">
        <f t="shared" si="351"/>
        <v>6170.4396072362406</v>
      </c>
      <c r="J369">
        <f t="shared" si="352"/>
        <v>0.49756904888288278</v>
      </c>
      <c r="K369">
        <f t="shared" si="353"/>
        <v>2.5650296698837052E-9</v>
      </c>
      <c r="L369">
        <f t="shared" ref="L369:M369" si="400">AVERAGE(G367:G369)</f>
        <v>0.64656109319661315</v>
      </c>
      <c r="M369">
        <f t="shared" si="400"/>
        <v>4.1684593414713506E-2</v>
      </c>
    </row>
    <row r="370" spans="1:13" x14ac:dyDescent="0.25">
      <c r="A370" s="18">
        <v>28734</v>
      </c>
      <c r="B370">
        <v>102795</v>
      </c>
      <c r="C370">
        <v>6125</v>
      </c>
      <c r="D370">
        <v>2941</v>
      </c>
      <c r="E370">
        <f t="shared" si="348"/>
        <v>2941</v>
      </c>
      <c r="F370">
        <f t="shared" si="349"/>
        <v>0.48391836734693883</v>
      </c>
      <c r="G370">
        <f t="shared" si="350"/>
        <v>0.66149032319731016</v>
      </c>
      <c r="H370">
        <v>3.9350640962541303E-2</v>
      </c>
      <c r="I370">
        <f t="shared" si="351"/>
        <v>5771.7076264135403</v>
      </c>
      <c r="J370">
        <f t="shared" si="352"/>
        <v>0.50383213110289393</v>
      </c>
      <c r="K370">
        <f t="shared" si="353"/>
        <v>2.4489102465483569E-9</v>
      </c>
      <c r="L370">
        <f t="shared" ref="L370:M370" si="401">AVERAGE(G368:G370)</f>
        <v>0.66011055060904622</v>
      </c>
      <c r="M370">
        <f t="shared" si="401"/>
        <v>4.0522901800504774E-2</v>
      </c>
    </row>
    <row r="371" spans="1:13" x14ac:dyDescent="0.25">
      <c r="A371" s="18">
        <v>28764</v>
      </c>
      <c r="B371">
        <v>103080</v>
      </c>
      <c r="C371">
        <v>5947</v>
      </c>
      <c r="D371">
        <v>2786</v>
      </c>
      <c r="E371">
        <f t="shared" si="348"/>
        <v>2786</v>
      </c>
      <c r="F371">
        <f t="shared" si="349"/>
        <v>0.46628552211198926</v>
      </c>
      <c r="G371">
        <f t="shared" si="350"/>
        <v>0.62789426862023934</v>
      </c>
      <c r="H371">
        <v>4.0277963914089596E-2</v>
      </c>
      <c r="I371">
        <f t="shared" si="351"/>
        <v>6213.745974621962</v>
      </c>
      <c r="J371">
        <f t="shared" si="352"/>
        <v>0.48735528266098183</v>
      </c>
      <c r="K371">
        <f t="shared" si="353"/>
        <v>3.5832873223962066E-9</v>
      </c>
      <c r="L371">
        <f t="shared" ref="L371:M371" si="402">AVERAGE(G369:G371)</f>
        <v>0.64541700660449619</v>
      </c>
      <c r="M371">
        <f t="shared" si="402"/>
        <v>4.0353078694506495E-2</v>
      </c>
    </row>
    <row r="372" spans="1:13" x14ac:dyDescent="0.25">
      <c r="A372" s="18">
        <v>28795</v>
      </c>
      <c r="B372">
        <v>103562</v>
      </c>
      <c r="C372">
        <v>6077</v>
      </c>
      <c r="D372">
        <v>2903</v>
      </c>
      <c r="E372">
        <f t="shared" si="348"/>
        <v>2903</v>
      </c>
      <c r="F372">
        <f t="shared" si="349"/>
        <v>0.46519664308046738</v>
      </c>
      <c r="G372">
        <f t="shared" si="350"/>
        <v>0.62585615681157214</v>
      </c>
      <c r="H372">
        <v>4.1137026059777669E-2</v>
      </c>
      <c r="I372">
        <f t="shared" si="351"/>
        <v>6387.2207425910265</v>
      </c>
      <c r="J372">
        <f t="shared" si="352"/>
        <v>0.48675049261108583</v>
      </c>
      <c r="K372">
        <f t="shared" si="353"/>
        <v>9.8553983439342267E-9</v>
      </c>
      <c r="L372">
        <f t="shared" ref="L372:M372" si="403">AVERAGE(G370:G372)</f>
        <v>0.63841358287637384</v>
      </c>
      <c r="M372">
        <f t="shared" si="403"/>
        <v>4.0255210312136191E-2</v>
      </c>
    </row>
    <row r="373" spans="1:13" x14ac:dyDescent="0.25">
      <c r="A373" s="18">
        <v>28825</v>
      </c>
      <c r="B373">
        <v>103809</v>
      </c>
      <c r="C373">
        <v>6228</v>
      </c>
      <c r="D373">
        <v>2978</v>
      </c>
      <c r="E373">
        <f t="shared" si="348"/>
        <v>2978</v>
      </c>
      <c r="F373">
        <f t="shared" si="349"/>
        <v>0.46724470134874763</v>
      </c>
      <c r="G373">
        <f t="shared" si="350"/>
        <v>0.62969306220349919</v>
      </c>
      <c r="H373">
        <v>3.8517485370396627E-2</v>
      </c>
      <c r="I373">
        <f t="shared" si="351"/>
        <v>5983.8349653906398</v>
      </c>
      <c r="J373">
        <f t="shared" si="352"/>
        <v>0.48737492428732321</v>
      </c>
      <c r="K373">
        <f t="shared" si="353"/>
        <v>7.1814864380383863E-9</v>
      </c>
      <c r="L373">
        <f t="shared" ref="L373:M373" si="404">AVERAGE(G371:G373)</f>
        <v>0.62781449587843685</v>
      </c>
      <c r="M373">
        <f t="shared" si="404"/>
        <v>3.9977491781421293E-2</v>
      </c>
    </row>
    <row r="374" spans="1:13" x14ac:dyDescent="0.25">
      <c r="A374" s="18">
        <v>28856</v>
      </c>
      <c r="B374">
        <v>104057</v>
      </c>
      <c r="C374">
        <v>6109</v>
      </c>
      <c r="D374">
        <v>2791</v>
      </c>
      <c r="E374">
        <f t="shared" si="348"/>
        <v>2791</v>
      </c>
      <c r="F374">
        <f t="shared" si="349"/>
        <v>0.46406940579472911</v>
      </c>
      <c r="G374">
        <f t="shared" si="350"/>
        <v>0.62375061471868676</v>
      </c>
      <c r="H374">
        <v>3.9797212785704722E-2</v>
      </c>
      <c r="I374">
        <f t="shared" si="351"/>
        <v>6240.9647039567317</v>
      </c>
      <c r="J374">
        <f t="shared" si="352"/>
        <v>0.48497911590735454</v>
      </c>
      <c r="K374">
        <f t="shared" si="353"/>
        <v>1.5739185851816929E-8</v>
      </c>
      <c r="L374">
        <f t="shared" ref="L374:M374" si="405">AVERAGE(G372:G374)</f>
        <v>0.62643327791125269</v>
      </c>
      <c r="M374">
        <f t="shared" si="405"/>
        <v>3.9817241405293004E-2</v>
      </c>
    </row>
    <row r="375" spans="1:13" x14ac:dyDescent="0.25">
      <c r="A375" s="18">
        <v>28887</v>
      </c>
      <c r="B375">
        <v>104502</v>
      </c>
      <c r="C375">
        <v>6173</v>
      </c>
      <c r="D375">
        <v>2899</v>
      </c>
      <c r="E375">
        <f t="shared" si="348"/>
        <v>2899</v>
      </c>
      <c r="F375">
        <f t="shared" si="349"/>
        <v>0.47092175603434305</v>
      </c>
      <c r="G375">
        <f t="shared" si="350"/>
        <v>0.63661894886348536</v>
      </c>
      <c r="H375">
        <v>3.9070978114801862E-2</v>
      </c>
      <c r="I375">
        <f t="shared" si="351"/>
        <v>6042.7056730183103</v>
      </c>
      <c r="J375">
        <f t="shared" si="352"/>
        <v>0.49119473899202615</v>
      </c>
      <c r="K375">
        <f t="shared" si="353"/>
        <v>1.2558807909336368E-8</v>
      </c>
      <c r="L375">
        <f t="shared" ref="L375:M375" si="406">AVERAGE(G373:G375)</f>
        <v>0.63002087526189043</v>
      </c>
      <c r="M375">
        <f t="shared" si="406"/>
        <v>3.9128558756967739E-2</v>
      </c>
    </row>
    <row r="376" spans="1:13" x14ac:dyDescent="0.25">
      <c r="A376" s="18">
        <v>28915</v>
      </c>
      <c r="B376">
        <v>104589</v>
      </c>
      <c r="C376">
        <v>6109</v>
      </c>
      <c r="D376">
        <v>2843</v>
      </c>
      <c r="E376">
        <f t="shared" si="348"/>
        <v>2843</v>
      </c>
      <c r="F376">
        <f t="shared" si="349"/>
        <v>0.48747749222458669</v>
      </c>
      <c r="G376">
        <f t="shared" si="350"/>
        <v>0.6684106513233613</v>
      </c>
      <c r="H376">
        <v>4.0896338561669333E-2</v>
      </c>
      <c r="I376">
        <f t="shared" si="351"/>
        <v>6030.2622345787531</v>
      </c>
      <c r="J376">
        <f t="shared" si="352"/>
        <v>0.50801497005068819</v>
      </c>
      <c r="K376">
        <f t="shared" si="353"/>
        <v>1.3291614971362437E-9</v>
      </c>
      <c r="L376">
        <f t="shared" ref="L376:M376" si="407">AVERAGE(G374:G376)</f>
        <v>0.64292673830184455</v>
      </c>
      <c r="M376">
        <f t="shared" si="407"/>
        <v>3.9921509820725308E-2</v>
      </c>
    </row>
    <row r="377" spans="1:13" x14ac:dyDescent="0.25">
      <c r="A377" s="18">
        <v>28946</v>
      </c>
      <c r="B377">
        <v>104172</v>
      </c>
      <c r="C377">
        <v>6069</v>
      </c>
      <c r="D377">
        <v>2938</v>
      </c>
      <c r="E377">
        <f t="shared" si="348"/>
        <v>2938</v>
      </c>
      <c r="F377">
        <f t="shared" si="349"/>
        <v>0.49464491679024547</v>
      </c>
      <c r="G377">
        <f t="shared" si="350"/>
        <v>0.68249396172160359</v>
      </c>
      <c r="H377">
        <v>3.8944821363234489E-2</v>
      </c>
      <c r="I377">
        <f t="shared" si="351"/>
        <v>5623.4292169648752</v>
      </c>
      <c r="J377">
        <f t="shared" si="352"/>
        <v>0.51394757138181368</v>
      </c>
      <c r="K377">
        <f t="shared" si="353"/>
        <v>4.7609474914819342E-10</v>
      </c>
      <c r="L377">
        <f t="shared" ref="L377:M377" si="408">AVERAGE(G375:G377)</f>
        <v>0.66250785396948342</v>
      </c>
      <c r="M377">
        <f t="shared" si="408"/>
        <v>3.9637379346568559E-2</v>
      </c>
    </row>
    <row r="378" spans="1:13" x14ac:dyDescent="0.25">
      <c r="A378" s="18">
        <v>28976</v>
      </c>
      <c r="B378">
        <v>104171</v>
      </c>
      <c r="C378">
        <v>5840</v>
      </c>
      <c r="D378">
        <v>2773</v>
      </c>
      <c r="E378">
        <f t="shared" si="348"/>
        <v>2773</v>
      </c>
      <c r="F378">
        <f t="shared" si="349"/>
        <v>0.48424657534246573</v>
      </c>
      <c r="G378">
        <f t="shared" si="350"/>
        <v>0.66212648690248854</v>
      </c>
      <c r="H378">
        <v>4.1009632885254277E-2</v>
      </c>
      <c r="I378">
        <f t="shared" si="351"/>
        <v>6075.6578236649611</v>
      </c>
      <c r="J378">
        <f t="shared" si="352"/>
        <v>0.50496960773729493</v>
      </c>
      <c r="K378">
        <f t="shared" si="353"/>
        <v>1.5036030123251646E-9</v>
      </c>
      <c r="L378">
        <f t="shared" ref="L378:M378" si="409">AVERAGE(G376:G378)</f>
        <v>0.67101036664915126</v>
      </c>
      <c r="M378">
        <f t="shared" si="409"/>
        <v>4.0283597603386033E-2</v>
      </c>
    </row>
    <row r="379" spans="1:13" x14ac:dyDescent="0.25">
      <c r="A379" s="18">
        <v>29007</v>
      </c>
      <c r="B379">
        <v>104638</v>
      </c>
      <c r="C379">
        <v>5959</v>
      </c>
      <c r="D379">
        <v>2947</v>
      </c>
      <c r="E379">
        <f t="shared" si="348"/>
        <v>2947</v>
      </c>
      <c r="F379">
        <f t="shared" si="349"/>
        <v>0.47877160597415669</v>
      </c>
      <c r="G379">
        <f t="shared" si="350"/>
        <v>0.65156695703834644</v>
      </c>
      <c r="H379">
        <v>3.9866046584855354E-2</v>
      </c>
      <c r="I379">
        <f t="shared" si="351"/>
        <v>6033.127375590775</v>
      </c>
      <c r="J379">
        <f t="shared" si="352"/>
        <v>0.49914217651106052</v>
      </c>
      <c r="K379">
        <f t="shared" si="353"/>
        <v>9.9184534164206424E-9</v>
      </c>
      <c r="L379">
        <f t="shared" ref="L379:M379" si="410">AVERAGE(G377:G379)</f>
        <v>0.66539580188747949</v>
      </c>
      <c r="M379">
        <f t="shared" si="410"/>
        <v>3.994016694444804E-2</v>
      </c>
    </row>
    <row r="380" spans="1:13" x14ac:dyDescent="0.25">
      <c r="A380" s="18">
        <v>29037</v>
      </c>
      <c r="B380">
        <v>105002</v>
      </c>
      <c r="C380">
        <v>5996</v>
      </c>
      <c r="D380">
        <v>2890</v>
      </c>
      <c r="E380">
        <f t="shared" si="348"/>
        <v>2890</v>
      </c>
      <c r="F380">
        <f t="shared" si="349"/>
        <v>0.49566377585056709</v>
      </c>
      <c r="G380">
        <f t="shared" si="350"/>
        <v>0.68451212192306476</v>
      </c>
      <c r="H380">
        <v>4.6067644033728594E-2</v>
      </c>
      <c r="I380">
        <f t="shared" si="351"/>
        <v>6621.0357639656313</v>
      </c>
      <c r="J380">
        <f t="shared" si="352"/>
        <v>0.51837032336048583</v>
      </c>
      <c r="K380">
        <f t="shared" si="353"/>
        <v>7.958900811469167E-11</v>
      </c>
      <c r="L380">
        <f t="shared" ref="L380:M380" si="411">AVERAGE(G378:G380)</f>
        <v>0.66606852195463329</v>
      </c>
      <c r="M380">
        <f t="shared" si="411"/>
        <v>4.2314441167946075E-2</v>
      </c>
    </row>
    <row r="381" spans="1:13" x14ac:dyDescent="0.25">
      <c r="A381" s="18">
        <v>29068</v>
      </c>
      <c r="B381">
        <v>105096</v>
      </c>
      <c r="C381">
        <v>6320</v>
      </c>
      <c r="D381">
        <v>3296</v>
      </c>
      <c r="E381">
        <f t="shared" si="348"/>
        <v>3296</v>
      </c>
      <c r="F381">
        <f t="shared" si="349"/>
        <v>0.48670886075949371</v>
      </c>
      <c r="G381">
        <f t="shared" si="350"/>
        <v>0.66691207190559965</v>
      </c>
      <c r="H381">
        <v>4.0834809440549229E-2</v>
      </c>
      <c r="I381">
        <f t="shared" si="351"/>
        <v>6063.7146500756025</v>
      </c>
      <c r="J381">
        <f t="shared" si="352"/>
        <v>0.50724682096228868</v>
      </c>
      <c r="K381">
        <f t="shared" si="353"/>
        <v>5.0398132527210751E-9</v>
      </c>
      <c r="L381">
        <f t="shared" ref="L381:M381" si="412">AVERAGE(G379:G381)</f>
        <v>0.66766371695567039</v>
      </c>
      <c r="M381">
        <f t="shared" si="412"/>
        <v>4.2256166686377723E-2</v>
      </c>
    </row>
    <row r="382" spans="1:13" x14ac:dyDescent="0.25">
      <c r="A382" s="18">
        <v>29099</v>
      </c>
      <c r="B382">
        <v>105530</v>
      </c>
      <c r="C382">
        <v>6190</v>
      </c>
      <c r="D382">
        <v>2946</v>
      </c>
      <c r="E382">
        <f t="shared" si="348"/>
        <v>2946</v>
      </c>
      <c r="F382">
        <f t="shared" si="349"/>
        <v>0.47382875605815833</v>
      </c>
      <c r="G382">
        <f t="shared" si="350"/>
        <v>0.64212856040240829</v>
      </c>
      <c r="H382">
        <v>4.1484837835094115E-2</v>
      </c>
      <c r="I382">
        <f t="shared" si="351"/>
        <v>6404.050810040595</v>
      </c>
      <c r="J382">
        <f t="shared" si="352"/>
        <v>0.49521031320214759</v>
      </c>
      <c r="K382">
        <f t="shared" si="353"/>
        <v>2.8453406823648896E-8</v>
      </c>
      <c r="L382">
        <f t="shared" ref="L382:M382" si="413">AVERAGE(G380:G382)</f>
        <v>0.66451758474369094</v>
      </c>
      <c r="M382">
        <f t="shared" si="413"/>
        <v>4.2795763769790642E-2</v>
      </c>
    </row>
    <row r="383" spans="1:13" x14ac:dyDescent="0.25">
      <c r="A383" s="18">
        <v>29129</v>
      </c>
      <c r="B383">
        <v>105700</v>
      </c>
      <c r="C383">
        <v>6296</v>
      </c>
      <c r="D383">
        <v>3039</v>
      </c>
      <c r="E383">
        <f t="shared" si="348"/>
        <v>3039</v>
      </c>
      <c r="F383">
        <f t="shared" si="349"/>
        <v>0.4904701397712834</v>
      </c>
      <c r="G383">
        <f t="shared" si="350"/>
        <v>0.67426682111083414</v>
      </c>
      <c r="H383">
        <v>4.1889235195622349E-2</v>
      </c>
      <c r="I383">
        <f t="shared" si="351"/>
        <v>6182.5800692280818</v>
      </c>
      <c r="J383">
        <f t="shared" si="352"/>
        <v>0.51137309506115503</v>
      </c>
      <c r="K383">
        <f t="shared" si="353"/>
        <v>9.7929909333393351E-9</v>
      </c>
      <c r="L383">
        <f t="shared" ref="L383:M383" si="414">AVERAGE(G381:G383)</f>
        <v>0.66110248447294728</v>
      </c>
      <c r="M383">
        <f t="shared" si="414"/>
        <v>4.1402960823755226E-2</v>
      </c>
    </row>
    <row r="384" spans="1:13" x14ac:dyDescent="0.25">
      <c r="A384" s="18">
        <v>29160</v>
      </c>
      <c r="B384">
        <v>105812</v>
      </c>
      <c r="C384">
        <v>6238</v>
      </c>
      <c r="D384">
        <v>3030</v>
      </c>
      <c r="E384">
        <f t="shared" si="348"/>
        <v>3030</v>
      </c>
      <c r="F384">
        <f t="shared" si="349"/>
        <v>0.46906059634498232</v>
      </c>
      <c r="G384">
        <f t="shared" si="350"/>
        <v>0.63310738166259817</v>
      </c>
      <c r="H384">
        <v>4.0863180449838242E-2</v>
      </c>
      <c r="I384">
        <f t="shared" si="351"/>
        <v>6415.4357665208463</v>
      </c>
      <c r="J384">
        <f t="shared" si="352"/>
        <v>0.49031916460246638</v>
      </c>
      <c r="K384">
        <f t="shared" si="353"/>
        <v>2.4589721136165778E-8</v>
      </c>
      <c r="L384">
        <f t="shared" ref="L384:M384" si="415">AVERAGE(G382:G384)</f>
        <v>0.64983425439194686</v>
      </c>
      <c r="M384">
        <f t="shared" si="415"/>
        <v>4.1412417826851566E-2</v>
      </c>
    </row>
    <row r="385" spans="1:13" x14ac:dyDescent="0.25">
      <c r="A385" s="18">
        <v>29190</v>
      </c>
      <c r="B385">
        <v>106258</v>
      </c>
      <c r="C385">
        <v>6325</v>
      </c>
      <c r="D385">
        <v>3013</v>
      </c>
      <c r="E385">
        <f t="shared" si="348"/>
        <v>3013</v>
      </c>
      <c r="F385">
        <f t="shared" si="349"/>
        <v>0.45169960474308302</v>
      </c>
      <c r="G385">
        <f t="shared" si="350"/>
        <v>0.60093197569528856</v>
      </c>
      <c r="H385">
        <v>4.2892949154111161E-2</v>
      </c>
      <c r="I385">
        <f t="shared" si="351"/>
        <v>7079.1279046608242</v>
      </c>
      <c r="J385">
        <f t="shared" si="352"/>
        <v>0.47472057760836239</v>
      </c>
      <c r="K385">
        <f t="shared" si="353"/>
        <v>1.189640903922119E-9</v>
      </c>
      <c r="L385">
        <f t="shared" ref="L385:M385" si="416">AVERAGE(G383:G385)</f>
        <v>0.63610205948957355</v>
      </c>
      <c r="M385">
        <f t="shared" si="416"/>
        <v>4.1881788266523917E-2</v>
      </c>
    </row>
    <row r="386" spans="1:13" x14ac:dyDescent="0.25">
      <c r="A386" s="18">
        <v>29221</v>
      </c>
      <c r="B386">
        <v>106562</v>
      </c>
      <c r="C386">
        <v>6683</v>
      </c>
      <c r="D386">
        <v>3215</v>
      </c>
      <c r="E386">
        <f t="shared" si="348"/>
        <v>3215</v>
      </c>
      <c r="F386">
        <f t="shared" si="349"/>
        <v>0.46610803531348199</v>
      </c>
      <c r="G386">
        <f t="shared" si="350"/>
        <v>0.62756177381117018</v>
      </c>
      <c r="H386">
        <v>4.2251763363193202E-2</v>
      </c>
      <c r="I386">
        <f t="shared" si="351"/>
        <v>6721.9190978168263</v>
      </c>
      <c r="J386">
        <f t="shared" si="352"/>
        <v>0.48819599868994756</v>
      </c>
      <c r="K386">
        <f t="shared" si="353"/>
        <v>2.1852761857935122E-8</v>
      </c>
      <c r="L386">
        <f t="shared" ref="L386:M386" si="417">AVERAGE(G384:G386)</f>
        <v>0.62053371038968563</v>
      </c>
      <c r="M386">
        <f t="shared" si="417"/>
        <v>4.2002630989047531E-2</v>
      </c>
    </row>
    <row r="387" spans="1:13" x14ac:dyDescent="0.25">
      <c r="A387" s="18">
        <v>29252</v>
      </c>
      <c r="B387">
        <v>106697</v>
      </c>
      <c r="C387">
        <v>6702</v>
      </c>
      <c r="D387">
        <v>3134</v>
      </c>
      <c r="E387">
        <f t="shared" ref="E387:E450" si="418">IF(A387&gt;A$554,1.16*D387,D387)</f>
        <v>3134</v>
      </c>
      <c r="F387">
        <f t="shared" ref="F387:F450" si="419">1 - ( (C388-E388)/C387 )</f>
        <v>0.45807221724858249</v>
      </c>
      <c r="G387">
        <f t="shared" ref="G387:G450" si="420">-LN(1-F387)</f>
        <v>0.6126225285760718</v>
      </c>
      <c r="H387">
        <v>4.1427887991527503E-2</v>
      </c>
      <c r="I387">
        <f t="shared" ref="I387:I450" si="421">H387*B387/(H387+G387)</f>
        <v>6758.242565197048</v>
      </c>
      <c r="J387">
        <f t="shared" ref="J387:J450" si="422">1-EXP(-H387-G387)</f>
        <v>0.48006444956936878</v>
      </c>
      <c r="K387">
        <f t="shared" ref="K387:K450" si="423">( ( (J387*I387) + ( (1-J387)*C387 ) ) - C388 )^2</f>
        <v>3.1476240809949799E-9</v>
      </c>
      <c r="L387">
        <f t="shared" ref="L387:M387" si="424">AVERAGE(G385:G387)</f>
        <v>0.61370542602751021</v>
      </c>
      <c r="M387">
        <f t="shared" si="424"/>
        <v>4.2190866836277291E-2</v>
      </c>
    </row>
    <row r="388" spans="1:13" x14ac:dyDescent="0.25">
      <c r="A388" s="18">
        <v>29281</v>
      </c>
      <c r="B388">
        <v>106442</v>
      </c>
      <c r="C388">
        <v>6729</v>
      </c>
      <c r="D388">
        <v>3097</v>
      </c>
      <c r="E388">
        <f t="shared" si="418"/>
        <v>3097</v>
      </c>
      <c r="F388">
        <f t="shared" si="419"/>
        <v>0.40793580026749887</v>
      </c>
      <c r="G388">
        <f t="shared" si="420"/>
        <v>0.52414020448382914</v>
      </c>
      <c r="H388">
        <v>4.3638376050598386E-2</v>
      </c>
      <c r="I388">
        <f t="shared" si="421"/>
        <v>8180.9285922791942</v>
      </c>
      <c r="J388">
        <f t="shared" si="422"/>
        <v>0.43321689569841848</v>
      </c>
      <c r="K388">
        <f t="shared" si="423"/>
        <v>6.1356898432697185E-12</v>
      </c>
      <c r="L388">
        <f t="shared" ref="L388:M388" si="425">AVERAGE(G386:G388)</f>
        <v>0.58810816895702367</v>
      </c>
      <c r="M388">
        <f t="shared" si="425"/>
        <v>4.2439342468439695E-2</v>
      </c>
    </row>
    <row r="389" spans="1:13" x14ac:dyDescent="0.25">
      <c r="A389" s="18">
        <v>29312</v>
      </c>
      <c r="B389">
        <v>106591</v>
      </c>
      <c r="C389">
        <v>7358</v>
      </c>
      <c r="D389">
        <v>3374</v>
      </c>
      <c r="E389">
        <f t="shared" si="418"/>
        <v>3374</v>
      </c>
      <c r="F389">
        <f t="shared" si="419"/>
        <v>0.42511552052188095</v>
      </c>
      <c r="G389">
        <f t="shared" si="420"/>
        <v>0.55358616362439605</v>
      </c>
      <c r="H389">
        <v>4.944819733395802E-2</v>
      </c>
      <c r="I389">
        <f t="shared" si="421"/>
        <v>8740.3523634168487</v>
      </c>
      <c r="J389">
        <f t="shared" si="422"/>
        <v>0.45285113251215003</v>
      </c>
      <c r="K389">
        <f t="shared" si="423"/>
        <v>2.7787500531766728E-8</v>
      </c>
      <c r="L389">
        <f t="shared" ref="L389:M389" si="426">AVERAGE(G387:G389)</f>
        <v>0.56344963222809896</v>
      </c>
      <c r="M389">
        <f t="shared" si="426"/>
        <v>4.483815379202797E-2</v>
      </c>
    </row>
    <row r="390" spans="1:13" x14ac:dyDescent="0.25">
      <c r="A390" s="18">
        <v>29342</v>
      </c>
      <c r="B390">
        <v>106929</v>
      </c>
      <c r="C390">
        <v>7984</v>
      </c>
      <c r="D390">
        <v>3754</v>
      </c>
      <c r="E390">
        <f t="shared" si="418"/>
        <v>3754</v>
      </c>
      <c r="F390">
        <f t="shared" si="419"/>
        <v>0.4127004008016032</v>
      </c>
      <c r="G390">
        <f t="shared" si="420"/>
        <v>0.53222019890171357</v>
      </c>
      <c r="H390">
        <v>4.4461657318517742E-2</v>
      </c>
      <c r="I390">
        <f t="shared" si="421"/>
        <v>8244.1306313548539</v>
      </c>
      <c r="J390">
        <f t="shared" si="422"/>
        <v>0.43824072447793239</v>
      </c>
      <c r="K390">
        <f t="shared" si="423"/>
        <v>2.6783334277178737E-8</v>
      </c>
      <c r="L390">
        <f t="shared" ref="L390:M390" si="427">AVERAGE(G388:G390)</f>
        <v>0.53664885566997966</v>
      </c>
      <c r="M390">
        <f t="shared" si="427"/>
        <v>4.5849410234358047E-2</v>
      </c>
    </row>
    <row r="391" spans="1:13" x14ac:dyDescent="0.25">
      <c r="A391" s="18">
        <v>29373</v>
      </c>
      <c r="B391">
        <v>106780</v>
      </c>
      <c r="C391">
        <v>8098</v>
      </c>
      <c r="D391">
        <v>3409</v>
      </c>
      <c r="E391">
        <f t="shared" si="418"/>
        <v>3409</v>
      </c>
      <c r="F391">
        <f t="shared" si="419"/>
        <v>0.3942948876265745</v>
      </c>
      <c r="G391">
        <f t="shared" si="420"/>
        <v>0.50136202459264301</v>
      </c>
      <c r="H391">
        <v>4.4627429531772303E-2</v>
      </c>
      <c r="I391">
        <f t="shared" si="421"/>
        <v>8727.8552532569011</v>
      </c>
      <c r="J391">
        <f t="shared" si="422"/>
        <v>0.42073165975958338</v>
      </c>
      <c r="K391">
        <f t="shared" si="423"/>
        <v>2.1262306394760625E-9</v>
      </c>
      <c r="L391">
        <f t="shared" ref="L391:M391" si="428">AVERAGE(G389:G391)</f>
        <v>0.52905612903958421</v>
      </c>
      <c r="M391">
        <f t="shared" si="428"/>
        <v>4.6179094728082681E-2</v>
      </c>
    </row>
    <row r="392" spans="1:13" x14ac:dyDescent="0.25">
      <c r="A392" s="18">
        <v>29403</v>
      </c>
      <c r="B392">
        <v>107159</v>
      </c>
      <c r="C392">
        <v>8363</v>
      </c>
      <c r="D392">
        <v>3458</v>
      </c>
      <c r="E392">
        <f t="shared" si="418"/>
        <v>3458</v>
      </c>
      <c r="F392">
        <f t="shared" si="419"/>
        <v>0.41815138108334327</v>
      </c>
      <c r="G392">
        <f t="shared" si="420"/>
        <v>0.54154497003805779</v>
      </c>
      <c r="H392">
        <v>4.4744392172165408E-2</v>
      </c>
      <c r="I392">
        <f t="shared" si="421"/>
        <v>8178.1533656035108</v>
      </c>
      <c r="J392">
        <f t="shared" si="422"/>
        <v>0.44361198655041567</v>
      </c>
      <c r="K392">
        <f t="shared" si="423"/>
        <v>3.3376288337506769E-8</v>
      </c>
      <c r="L392">
        <f t="shared" ref="L392:M392" si="429">AVERAGE(G390:G392)</f>
        <v>0.52504239784413809</v>
      </c>
      <c r="M392">
        <f t="shared" si="429"/>
        <v>4.4611159674151822E-2</v>
      </c>
    </row>
    <row r="393" spans="1:13" x14ac:dyDescent="0.25">
      <c r="A393" s="18">
        <v>29434</v>
      </c>
      <c r="B393">
        <v>107105</v>
      </c>
      <c r="C393">
        <v>8281</v>
      </c>
      <c r="D393">
        <v>3415</v>
      </c>
      <c r="E393">
        <f t="shared" si="418"/>
        <v>3415</v>
      </c>
      <c r="F393">
        <f t="shared" si="419"/>
        <v>0.41178601618162058</v>
      </c>
      <c r="G393">
        <f t="shared" si="420"/>
        <v>0.53066447922715743</v>
      </c>
      <c r="H393">
        <v>4.101302951706913E-2</v>
      </c>
      <c r="I393">
        <f t="shared" si="421"/>
        <v>7683.8785140855034</v>
      </c>
      <c r="J393">
        <f t="shared" si="422"/>
        <v>0.43542243990935614</v>
      </c>
      <c r="K393">
        <f t="shared" si="423"/>
        <v>8.8961095803962704E-9</v>
      </c>
      <c r="L393">
        <f t="shared" ref="L393:M393" si="430">AVERAGE(G391:G393)</f>
        <v>0.52452382461928604</v>
      </c>
      <c r="M393">
        <f t="shared" si="430"/>
        <v>4.3461617073668947E-2</v>
      </c>
    </row>
    <row r="394" spans="1:13" x14ac:dyDescent="0.25">
      <c r="A394" s="18">
        <v>29465</v>
      </c>
      <c r="B394">
        <v>107098</v>
      </c>
      <c r="C394">
        <v>8021</v>
      </c>
      <c r="D394">
        <v>3150</v>
      </c>
      <c r="E394">
        <f t="shared" si="418"/>
        <v>3150</v>
      </c>
      <c r="F394">
        <f t="shared" si="419"/>
        <v>0.39508789427752156</v>
      </c>
      <c r="G394">
        <f t="shared" si="420"/>
        <v>0.50267211130298384</v>
      </c>
      <c r="H394">
        <v>4.1571818541558253E-2</v>
      </c>
      <c r="I394">
        <f t="shared" si="421"/>
        <v>8180.6307393002062</v>
      </c>
      <c r="J394">
        <f t="shared" si="422"/>
        <v>0.41971964982012533</v>
      </c>
      <c r="K394">
        <f t="shared" si="423"/>
        <v>2.4963876651206617E-8</v>
      </c>
      <c r="L394">
        <f t="shared" ref="L394:M394" si="431">AVERAGE(G392:G394)</f>
        <v>0.52496052018939965</v>
      </c>
      <c r="M394">
        <f t="shared" si="431"/>
        <v>4.2443080076930928E-2</v>
      </c>
    </row>
    <row r="395" spans="1:13" x14ac:dyDescent="0.25">
      <c r="A395" s="18">
        <v>29495</v>
      </c>
      <c r="B395">
        <v>107405</v>
      </c>
      <c r="C395">
        <v>8088</v>
      </c>
      <c r="D395">
        <v>3236</v>
      </c>
      <c r="E395">
        <f t="shared" si="418"/>
        <v>3236</v>
      </c>
      <c r="F395">
        <f t="shared" si="419"/>
        <v>0.39700791295746785</v>
      </c>
      <c r="G395">
        <f t="shared" si="420"/>
        <v>0.50585120499025471</v>
      </c>
      <c r="H395">
        <v>4.0345211760801608E-2</v>
      </c>
      <c r="I395">
        <f t="shared" si="421"/>
        <v>7933.5516240559737</v>
      </c>
      <c r="J395">
        <f t="shared" si="422"/>
        <v>0.4208515342516117</v>
      </c>
      <c r="K395">
        <f t="shared" si="423"/>
        <v>2.6902982511778075E-8</v>
      </c>
      <c r="L395">
        <f t="shared" ref="L395:M395" si="432">AVERAGE(G393:G395)</f>
        <v>0.51306259850679858</v>
      </c>
      <c r="M395">
        <f t="shared" si="432"/>
        <v>4.0976686606476333E-2</v>
      </c>
    </row>
    <row r="396" spans="1:13" x14ac:dyDescent="0.25">
      <c r="A396" s="18">
        <v>29526</v>
      </c>
      <c r="B396">
        <v>107568</v>
      </c>
      <c r="C396">
        <v>8023</v>
      </c>
      <c r="D396">
        <v>3146</v>
      </c>
      <c r="E396">
        <f t="shared" si="418"/>
        <v>3146</v>
      </c>
      <c r="F396">
        <f t="shared" si="419"/>
        <v>0.42403091113049984</v>
      </c>
      <c r="G396">
        <f t="shared" si="420"/>
        <v>0.55170128488338965</v>
      </c>
      <c r="H396">
        <v>4.0405282226234546E-2</v>
      </c>
      <c r="I396">
        <f t="shared" si="421"/>
        <v>7340.4276188460335</v>
      </c>
      <c r="J396">
        <f t="shared" si="422"/>
        <v>0.44683921380637859</v>
      </c>
      <c r="K396">
        <f t="shared" si="423"/>
        <v>1.1270112364250353E-8</v>
      </c>
      <c r="L396">
        <f t="shared" ref="L396:M396" si="433">AVERAGE(G394:G396)</f>
        <v>0.52007486705887607</v>
      </c>
      <c r="M396">
        <f t="shared" si="433"/>
        <v>4.0774104176198138E-2</v>
      </c>
    </row>
    <row r="397" spans="1:13" x14ac:dyDescent="0.25">
      <c r="A397" s="18">
        <v>29556</v>
      </c>
      <c r="B397">
        <v>107352</v>
      </c>
      <c r="C397">
        <v>7718</v>
      </c>
      <c r="D397">
        <v>3097</v>
      </c>
      <c r="E397">
        <f t="shared" si="418"/>
        <v>3097</v>
      </c>
      <c r="F397">
        <f t="shared" si="419"/>
        <v>0.38416688261207566</v>
      </c>
      <c r="G397">
        <f t="shared" si="420"/>
        <v>0.4847792654835546</v>
      </c>
      <c r="H397">
        <v>4.2110635830150143E-2</v>
      </c>
      <c r="I397">
        <f t="shared" si="421"/>
        <v>8579.8967988697968</v>
      </c>
      <c r="J397">
        <f t="shared" si="422"/>
        <v>0.40956156112151099</v>
      </c>
      <c r="K397">
        <f t="shared" si="423"/>
        <v>4.0614039810884769E-8</v>
      </c>
      <c r="L397">
        <f t="shared" ref="L397:M397" si="434">AVERAGE(G395:G397)</f>
        <v>0.51411058511906627</v>
      </c>
      <c r="M397">
        <f t="shared" si="434"/>
        <v>4.0953709939062104E-2</v>
      </c>
    </row>
    <row r="398" spans="1:13" x14ac:dyDescent="0.25">
      <c r="A398" s="18">
        <v>29587</v>
      </c>
      <c r="B398">
        <v>108026</v>
      </c>
      <c r="C398">
        <v>8071</v>
      </c>
      <c r="D398">
        <v>3318</v>
      </c>
      <c r="E398">
        <f t="shared" si="418"/>
        <v>3318</v>
      </c>
      <c r="F398">
        <f t="shared" si="419"/>
        <v>0.40973857018956761</v>
      </c>
      <c r="G398">
        <f t="shared" si="420"/>
        <v>0.52718973884918163</v>
      </c>
      <c r="H398">
        <v>4.2306197247783117E-2</v>
      </c>
      <c r="I398">
        <f t="shared" si="421"/>
        <v>8024.9374476851108</v>
      </c>
      <c r="J398">
        <f t="shared" si="422"/>
        <v>0.43418942848402331</v>
      </c>
      <c r="K398">
        <f t="shared" si="423"/>
        <v>1.6061984266872474E-8</v>
      </c>
      <c r="L398">
        <f t="shared" ref="L398:M398" si="435">AVERAGE(G396:G398)</f>
        <v>0.52122342973870861</v>
      </c>
      <c r="M398">
        <f t="shared" si="435"/>
        <v>4.1607371768055935E-2</v>
      </c>
    </row>
    <row r="399" spans="1:13" x14ac:dyDescent="0.25">
      <c r="A399" s="18">
        <v>29618</v>
      </c>
      <c r="B399">
        <v>108242</v>
      </c>
      <c r="C399">
        <v>8051</v>
      </c>
      <c r="D399">
        <v>3287</v>
      </c>
      <c r="E399">
        <f t="shared" si="418"/>
        <v>3287</v>
      </c>
      <c r="F399">
        <f t="shared" si="419"/>
        <v>0.42193516333374737</v>
      </c>
      <c r="G399">
        <f t="shared" si="420"/>
        <v>0.54806924243774369</v>
      </c>
      <c r="H399">
        <v>4.3128733966547608E-2</v>
      </c>
      <c r="I399">
        <f t="shared" si="421"/>
        <v>7896.4079856974968</v>
      </c>
      <c r="J399">
        <f t="shared" si="422"/>
        <v>0.44633638866095338</v>
      </c>
      <c r="K399">
        <f t="shared" si="423"/>
        <v>1.7122714201492267E-9</v>
      </c>
      <c r="L399">
        <f t="shared" ref="L399:M399" si="436">AVERAGE(G397:G399)</f>
        <v>0.52001274892349336</v>
      </c>
      <c r="M399">
        <f t="shared" si="436"/>
        <v>4.2515189014826961E-2</v>
      </c>
    </row>
    <row r="400" spans="1:13" x14ac:dyDescent="0.25">
      <c r="A400" s="18">
        <v>29646</v>
      </c>
      <c r="B400">
        <v>108553</v>
      </c>
      <c r="C400">
        <v>7982</v>
      </c>
      <c r="D400">
        <v>3328</v>
      </c>
      <c r="E400">
        <f t="shared" si="418"/>
        <v>3328</v>
      </c>
      <c r="F400">
        <f t="shared" si="419"/>
        <v>0.41317965422199954</v>
      </c>
      <c r="G400">
        <f t="shared" si="420"/>
        <v>0.53303656089107132</v>
      </c>
      <c r="H400">
        <v>4.0828769889814258E-2</v>
      </c>
      <c r="I400">
        <f t="shared" si="421"/>
        <v>7723.2152216236173</v>
      </c>
      <c r="J400">
        <f t="shared" si="422"/>
        <v>0.43665628492790831</v>
      </c>
      <c r="K400">
        <f t="shared" si="423"/>
        <v>6.1272215679546429E-15</v>
      </c>
      <c r="L400">
        <f t="shared" ref="L400:M400" si="437">AVERAGE(G398:G400)</f>
        <v>0.53609851405933229</v>
      </c>
      <c r="M400">
        <f t="shared" si="437"/>
        <v>4.2087900368048325E-2</v>
      </c>
    </row>
    <row r="401" spans="1:13" x14ac:dyDescent="0.25">
      <c r="A401" s="18">
        <v>29677</v>
      </c>
      <c r="B401">
        <v>108925</v>
      </c>
      <c r="C401">
        <v>7869</v>
      </c>
      <c r="D401">
        <v>3185</v>
      </c>
      <c r="E401">
        <f t="shared" si="418"/>
        <v>3185</v>
      </c>
      <c r="F401">
        <f t="shared" si="419"/>
        <v>0.3944592705553438</v>
      </c>
      <c r="G401">
        <f t="shared" si="420"/>
        <v>0.50163345244668101</v>
      </c>
      <c r="H401">
        <v>4.2975261249700511E-2</v>
      </c>
      <c r="I401">
        <f t="shared" si="421"/>
        <v>8595.3092815061391</v>
      </c>
      <c r="J401">
        <f t="shared" si="422"/>
        <v>0.41993128811794711</v>
      </c>
      <c r="K401">
        <f t="shared" si="423"/>
        <v>6.1545684324901681E-11</v>
      </c>
      <c r="L401">
        <f t="shared" ref="L401:M401" si="438">AVERAGE(G399:G401)</f>
        <v>0.52757975192516537</v>
      </c>
      <c r="M401">
        <f t="shared" si="438"/>
        <v>4.2310921702020797E-2</v>
      </c>
    </row>
    <row r="402" spans="1:13" x14ac:dyDescent="0.25">
      <c r="A402" s="18">
        <v>29707</v>
      </c>
      <c r="B402">
        <v>109222</v>
      </c>
      <c r="C402">
        <v>8174</v>
      </c>
      <c r="D402">
        <v>3409</v>
      </c>
      <c r="E402">
        <f t="shared" si="418"/>
        <v>3409</v>
      </c>
      <c r="F402">
        <f t="shared" si="419"/>
        <v>0.41791044776119401</v>
      </c>
      <c r="G402">
        <f t="shared" si="420"/>
        <v>0.54113097326131965</v>
      </c>
      <c r="H402">
        <v>4.2780349480298963E-2</v>
      </c>
      <c r="I402">
        <f t="shared" si="421"/>
        <v>8002.1659949978812</v>
      </c>
      <c r="J402">
        <f t="shared" si="422"/>
        <v>0.44228729943972434</v>
      </c>
      <c r="K402">
        <f t="shared" si="423"/>
        <v>3.903393641754011E-12</v>
      </c>
      <c r="L402">
        <f t="shared" ref="L402:M402" si="439">AVERAGE(G400:G402)</f>
        <v>0.52526699553302403</v>
      </c>
      <c r="M402">
        <f t="shared" si="439"/>
        <v>4.2194793539937908E-2</v>
      </c>
    </row>
    <row r="403" spans="1:13" x14ac:dyDescent="0.25">
      <c r="A403" s="18">
        <v>29738</v>
      </c>
      <c r="B403">
        <v>108396</v>
      </c>
      <c r="C403">
        <v>8098</v>
      </c>
      <c r="D403">
        <v>3340</v>
      </c>
      <c r="E403">
        <f t="shared" si="418"/>
        <v>3340</v>
      </c>
      <c r="F403">
        <f t="shared" si="419"/>
        <v>0.43739194862929121</v>
      </c>
      <c r="G403">
        <f t="shared" si="420"/>
        <v>0.57517207202503373</v>
      </c>
      <c r="H403">
        <v>4.3297272754755173E-2</v>
      </c>
      <c r="I403">
        <f t="shared" si="421"/>
        <v>7588.4944292518057</v>
      </c>
      <c r="J403">
        <f t="shared" si="422"/>
        <v>0.46123152444562221</v>
      </c>
      <c r="K403">
        <f t="shared" si="423"/>
        <v>9.6781508156472636E-10</v>
      </c>
      <c r="L403">
        <f t="shared" ref="L403:M403" si="440">AVERAGE(G401:G403)</f>
        <v>0.5393121659110115</v>
      </c>
      <c r="M403">
        <f t="shared" si="440"/>
        <v>4.3017627828251546E-2</v>
      </c>
    </row>
    <row r="404" spans="1:13" x14ac:dyDescent="0.25">
      <c r="A404" s="18">
        <v>29768</v>
      </c>
      <c r="B404">
        <v>108556</v>
      </c>
      <c r="C404">
        <v>7863</v>
      </c>
      <c r="D404">
        <v>3307</v>
      </c>
      <c r="E404">
        <f t="shared" si="418"/>
        <v>3307</v>
      </c>
      <c r="F404">
        <f t="shared" si="419"/>
        <v>0.40022892025944301</v>
      </c>
      <c r="G404">
        <f t="shared" si="420"/>
        <v>0.51120723033425453</v>
      </c>
      <c r="H404">
        <v>4.2156660365286189E-2</v>
      </c>
      <c r="I404">
        <f t="shared" si="421"/>
        <v>8270.070562119181</v>
      </c>
      <c r="J404">
        <f t="shared" si="422"/>
        <v>0.42498772506496463</v>
      </c>
      <c r="K404">
        <f t="shared" si="423"/>
        <v>6.1843333664390274E-11</v>
      </c>
      <c r="L404">
        <f t="shared" ref="L404:M404" si="441">AVERAGE(G402:G404)</f>
        <v>0.54250342520686934</v>
      </c>
      <c r="M404">
        <f t="shared" si="441"/>
        <v>4.2744760866780106E-2</v>
      </c>
    </row>
    <row r="405" spans="1:13" x14ac:dyDescent="0.25">
      <c r="A405" s="18">
        <v>29799</v>
      </c>
      <c r="B405">
        <v>108725</v>
      </c>
      <c r="C405">
        <v>8036</v>
      </c>
      <c r="D405">
        <v>3320</v>
      </c>
      <c r="E405">
        <f t="shared" si="418"/>
        <v>3320</v>
      </c>
      <c r="F405">
        <f t="shared" si="419"/>
        <v>0.41052762568442014</v>
      </c>
      <c r="G405">
        <f t="shared" si="420"/>
        <v>0.52852742301107325</v>
      </c>
      <c r="H405">
        <v>4.4713268562770497E-2</v>
      </c>
      <c r="I405">
        <f t="shared" si="421"/>
        <v>8480.6438132296826</v>
      </c>
      <c r="J405">
        <f t="shared" si="422"/>
        <v>0.43630428843247282</v>
      </c>
      <c r="K405">
        <f t="shared" si="423"/>
        <v>6.4367704933165738E-12</v>
      </c>
      <c r="L405">
        <f t="shared" ref="L405:M405" si="442">AVERAGE(G403:G405)</f>
        <v>0.53830224179012054</v>
      </c>
      <c r="M405">
        <f t="shared" si="442"/>
        <v>4.338906722760396E-2</v>
      </c>
    </row>
    <row r="406" spans="1:13" x14ac:dyDescent="0.25">
      <c r="A406" s="18">
        <v>29830</v>
      </c>
      <c r="B406">
        <v>108294</v>
      </c>
      <c r="C406">
        <v>8230</v>
      </c>
      <c r="D406">
        <v>3493</v>
      </c>
      <c r="E406">
        <f t="shared" si="418"/>
        <v>3493</v>
      </c>
      <c r="F406">
        <f t="shared" si="419"/>
        <v>0.39368165249088705</v>
      </c>
      <c r="G406">
        <f t="shared" si="420"/>
        <v>0.50035010492555121</v>
      </c>
      <c r="H406">
        <v>4.6549747993405721E-2</v>
      </c>
      <c r="I406">
        <f t="shared" si="421"/>
        <v>9217.5164836712702</v>
      </c>
      <c r="J406">
        <f t="shared" si="422"/>
        <v>0.42125878497476621</v>
      </c>
      <c r="K406">
        <f t="shared" si="423"/>
        <v>3.5355952815110817E-11</v>
      </c>
      <c r="L406">
        <f t="shared" ref="L406:M406" si="443">AVERAGE(G404:G406)</f>
        <v>0.51336158609029303</v>
      </c>
      <c r="M406">
        <f t="shared" si="443"/>
        <v>4.4473225640487467E-2</v>
      </c>
    </row>
    <row r="407" spans="1:13" x14ac:dyDescent="0.25">
      <c r="A407" s="18">
        <v>29860</v>
      </c>
      <c r="B407">
        <v>109024</v>
      </c>
      <c r="C407">
        <v>8646</v>
      </c>
      <c r="D407">
        <v>3656</v>
      </c>
      <c r="E407">
        <f t="shared" si="418"/>
        <v>3656</v>
      </c>
      <c r="F407">
        <f t="shared" si="419"/>
        <v>0.39659958362248438</v>
      </c>
      <c r="G407">
        <f t="shared" si="420"/>
        <v>0.50517426220518435</v>
      </c>
      <c r="H407">
        <v>4.8481696479627405E-2</v>
      </c>
      <c r="I407">
        <f t="shared" si="421"/>
        <v>9546.846546275412</v>
      </c>
      <c r="J407">
        <f t="shared" si="422"/>
        <v>0.42515564321865884</v>
      </c>
      <c r="K407">
        <f t="shared" si="423"/>
        <v>5.1508898809104786E-11</v>
      </c>
      <c r="L407">
        <f t="shared" ref="L407:M407" si="444">AVERAGE(G405:G407)</f>
        <v>0.51135059671393623</v>
      </c>
      <c r="M407">
        <f t="shared" si="444"/>
        <v>4.6581571011934546E-2</v>
      </c>
    </row>
    <row r="408" spans="1:13" x14ac:dyDescent="0.25">
      <c r="A408" s="18">
        <v>29891</v>
      </c>
      <c r="B408">
        <v>109236</v>
      </c>
      <c r="C408">
        <v>9029</v>
      </c>
      <c r="D408">
        <v>3812</v>
      </c>
      <c r="E408">
        <f t="shared" si="418"/>
        <v>3812</v>
      </c>
      <c r="F408">
        <f t="shared" si="419"/>
        <v>0.41100897109314427</v>
      </c>
      <c r="G408">
        <f t="shared" si="420"/>
        <v>0.52934432650451402</v>
      </c>
      <c r="H408">
        <v>5.0826079359964298E-2</v>
      </c>
      <c r="I408">
        <f t="shared" si="421"/>
        <v>9569.6670303137762</v>
      </c>
      <c r="J408">
        <f t="shared" si="422"/>
        <v>0.44019703527102549</v>
      </c>
      <c r="K408">
        <f t="shared" si="423"/>
        <v>5.6705488035180058E-10</v>
      </c>
      <c r="L408">
        <f t="shared" ref="L408:M408" si="445">AVERAGE(G406:G408)</f>
        <v>0.51162289787841653</v>
      </c>
      <c r="M408">
        <f t="shared" si="445"/>
        <v>4.8619174610999148E-2</v>
      </c>
    </row>
    <row r="409" spans="1:13" x14ac:dyDescent="0.25">
      <c r="A409" s="18">
        <v>29921</v>
      </c>
      <c r="B409">
        <v>108912</v>
      </c>
      <c r="C409">
        <v>9267</v>
      </c>
      <c r="D409">
        <v>3949</v>
      </c>
      <c r="E409">
        <f t="shared" si="418"/>
        <v>3949</v>
      </c>
      <c r="F409">
        <f t="shared" si="419"/>
        <v>0.40940973346282505</v>
      </c>
      <c r="G409">
        <f t="shared" si="420"/>
        <v>0.52663279044277322</v>
      </c>
      <c r="H409">
        <v>5.0694197192030971E-2</v>
      </c>
      <c r="I409">
        <f t="shared" si="421"/>
        <v>9563.395654164342</v>
      </c>
      <c r="J409">
        <f t="shared" si="422"/>
        <v>0.4386030161585619</v>
      </c>
      <c r="K409">
        <f t="shared" si="423"/>
        <v>7.780065702820352E-10</v>
      </c>
      <c r="L409">
        <f t="shared" ref="L409:M409" si="446">AVERAGE(G407:G409)</f>
        <v>0.52038379305082383</v>
      </c>
      <c r="M409">
        <f t="shared" si="446"/>
        <v>5.0000657677207551E-2</v>
      </c>
    </row>
    <row r="410" spans="1:13" x14ac:dyDescent="0.25">
      <c r="A410" s="18">
        <v>29952</v>
      </c>
      <c r="B410">
        <v>109089</v>
      </c>
      <c r="C410">
        <v>9397</v>
      </c>
      <c r="D410">
        <v>3924</v>
      </c>
      <c r="E410">
        <f t="shared" si="418"/>
        <v>3924</v>
      </c>
      <c r="F410">
        <f t="shared" si="419"/>
        <v>0.3724592955198468</v>
      </c>
      <c r="G410">
        <f t="shared" si="420"/>
        <v>0.4659467423825609</v>
      </c>
      <c r="H410">
        <v>4.7871204186233751E-2</v>
      </c>
      <c r="I410">
        <f t="shared" si="421"/>
        <v>10163.564407092688</v>
      </c>
      <c r="J410">
        <f t="shared" si="422"/>
        <v>0.40179271016027696</v>
      </c>
      <c r="K410">
        <f t="shared" si="423"/>
        <v>8.7643708670561216E-11</v>
      </c>
      <c r="L410">
        <f t="shared" ref="L410:M410" si="447">AVERAGE(G408:G410)</f>
        <v>0.50730795310994947</v>
      </c>
      <c r="M410">
        <f t="shared" si="447"/>
        <v>4.979716024607634E-2</v>
      </c>
    </row>
    <row r="411" spans="1:13" x14ac:dyDescent="0.25">
      <c r="A411" s="18">
        <v>29983</v>
      </c>
      <c r="B411">
        <v>109467</v>
      </c>
      <c r="C411">
        <v>9705</v>
      </c>
      <c r="D411">
        <v>3808</v>
      </c>
      <c r="E411">
        <f t="shared" si="418"/>
        <v>3808</v>
      </c>
      <c r="F411">
        <f t="shared" si="419"/>
        <v>0.38186501803194228</v>
      </c>
      <c r="G411">
        <f t="shared" si="420"/>
        <v>0.48104842795001751</v>
      </c>
      <c r="H411">
        <v>4.9251070653823718E-2</v>
      </c>
      <c r="I411">
        <f t="shared" si="421"/>
        <v>10166.645387099879</v>
      </c>
      <c r="J411">
        <f t="shared" si="422"/>
        <v>0.41157129029215234</v>
      </c>
      <c r="K411">
        <f t="shared" si="423"/>
        <v>1.5311297511288929E-10</v>
      </c>
      <c r="L411">
        <f t="shared" ref="L411:M411" si="448">AVERAGE(G409:G411)</f>
        <v>0.4912093202584506</v>
      </c>
      <c r="M411">
        <f t="shared" si="448"/>
        <v>4.9272157344029482E-2</v>
      </c>
    </row>
    <row r="412" spans="1:13" x14ac:dyDescent="0.25">
      <c r="A412" s="18">
        <v>30011</v>
      </c>
      <c r="B412">
        <v>109567</v>
      </c>
      <c r="C412">
        <v>9895</v>
      </c>
      <c r="D412">
        <v>3896</v>
      </c>
      <c r="E412">
        <f t="shared" si="418"/>
        <v>3896</v>
      </c>
      <c r="F412">
        <f t="shared" si="419"/>
        <v>0.36402223345123796</v>
      </c>
      <c r="G412">
        <f t="shared" si="420"/>
        <v>0.45259167450973248</v>
      </c>
      <c r="H412">
        <v>4.9384855890086052E-2</v>
      </c>
      <c r="I412">
        <f t="shared" si="421"/>
        <v>10779.28982257258</v>
      </c>
      <c r="J412">
        <f t="shared" si="422"/>
        <v>0.39466698259659472</v>
      </c>
      <c r="K412">
        <f t="shared" si="423"/>
        <v>1.5875456915076839E-11</v>
      </c>
      <c r="L412">
        <f t="shared" ref="L412:M412" si="449">AVERAGE(G410:G412)</f>
        <v>0.46652894828077035</v>
      </c>
      <c r="M412">
        <f t="shared" si="449"/>
        <v>4.8835710243381181E-2</v>
      </c>
    </row>
    <row r="413" spans="1:13" x14ac:dyDescent="0.25">
      <c r="A413" s="18">
        <v>30042</v>
      </c>
      <c r="B413">
        <v>109820</v>
      </c>
      <c r="C413">
        <v>10244</v>
      </c>
      <c r="D413">
        <v>3951</v>
      </c>
      <c r="E413">
        <f t="shared" si="418"/>
        <v>3951</v>
      </c>
      <c r="F413">
        <f t="shared" si="419"/>
        <v>0.37036313939867238</v>
      </c>
      <c r="G413">
        <f t="shared" si="420"/>
        <v>0.46261203752959767</v>
      </c>
      <c r="H413">
        <v>4.8759134188340623E-2</v>
      </c>
      <c r="I413">
        <f t="shared" si="421"/>
        <v>10471.314013604826</v>
      </c>
      <c r="J413">
        <f t="shared" si="422"/>
        <v>0.40032723950063276</v>
      </c>
      <c r="K413">
        <f t="shared" si="423"/>
        <v>7.1128473636368225E-11</v>
      </c>
      <c r="L413">
        <f t="shared" ref="L413:M413" si="450">AVERAGE(G411:G413)</f>
        <v>0.46541737999644922</v>
      </c>
      <c r="M413">
        <f t="shared" si="450"/>
        <v>4.9131686910750129E-2</v>
      </c>
    </row>
    <row r="414" spans="1:13" x14ac:dyDescent="0.25">
      <c r="A414" s="18">
        <v>30072</v>
      </c>
      <c r="B414">
        <v>110451</v>
      </c>
      <c r="C414">
        <v>10335</v>
      </c>
      <c r="D414">
        <v>3885</v>
      </c>
      <c r="E414">
        <f t="shared" si="418"/>
        <v>3885</v>
      </c>
      <c r="F414">
        <f t="shared" si="419"/>
        <v>0.32926947266569906</v>
      </c>
      <c r="G414">
        <f t="shared" si="420"/>
        <v>0.39938782128037192</v>
      </c>
      <c r="H414">
        <v>4.3738877359280906E-2</v>
      </c>
      <c r="I414">
        <f t="shared" si="421"/>
        <v>10902.080055299193</v>
      </c>
      <c r="J414">
        <f t="shared" si="422"/>
        <v>0.3579741418683442</v>
      </c>
      <c r="K414">
        <f t="shared" si="423"/>
        <v>1.4696629986220042E-11</v>
      </c>
      <c r="L414">
        <f t="shared" ref="L414:M414" si="451">AVERAGE(G412:G414)</f>
        <v>0.43819717777323403</v>
      </c>
      <c r="M414">
        <f t="shared" si="451"/>
        <v>4.7294289145902522E-2</v>
      </c>
    </row>
    <row r="415" spans="1:13" x14ac:dyDescent="0.25">
      <c r="A415" s="18">
        <v>30103</v>
      </c>
      <c r="B415">
        <v>110081</v>
      </c>
      <c r="C415">
        <v>10538</v>
      </c>
      <c r="D415">
        <v>3606</v>
      </c>
      <c r="E415">
        <f t="shared" si="418"/>
        <v>3606</v>
      </c>
      <c r="F415">
        <f t="shared" si="419"/>
        <v>0.3433289049155438</v>
      </c>
      <c r="G415">
        <f t="shared" si="420"/>
        <v>0.42057200215751589</v>
      </c>
      <c r="H415">
        <v>4.8437346823351046E-2</v>
      </c>
      <c r="I415">
        <f t="shared" si="421"/>
        <v>11368.710639238931</v>
      </c>
      <c r="J415">
        <f t="shared" si="422"/>
        <v>0.37437826579665312</v>
      </c>
      <c r="K415">
        <f t="shared" si="423"/>
        <v>7.2200704509251068E-11</v>
      </c>
      <c r="L415">
        <f t="shared" ref="L415:M415" si="452">AVERAGE(G413:G415)</f>
        <v>0.42752395365582846</v>
      </c>
      <c r="M415">
        <f t="shared" si="452"/>
        <v>4.6978452790324192E-2</v>
      </c>
    </row>
    <row r="416" spans="1:13" x14ac:dyDescent="0.25">
      <c r="A416" s="18">
        <v>30133</v>
      </c>
      <c r="B416">
        <v>110342</v>
      </c>
      <c r="C416">
        <v>10849</v>
      </c>
      <c r="D416">
        <v>3929</v>
      </c>
      <c r="E416">
        <f t="shared" si="418"/>
        <v>3929</v>
      </c>
      <c r="F416">
        <f t="shared" si="419"/>
        <v>0.35606968384182869</v>
      </c>
      <c r="G416">
        <f t="shared" si="420"/>
        <v>0.44016476345567329</v>
      </c>
      <c r="H416">
        <v>4.8403391453451343E-2</v>
      </c>
      <c r="I416">
        <f t="shared" si="421"/>
        <v>10931.795218520043</v>
      </c>
      <c r="J416">
        <f t="shared" si="422"/>
        <v>0.38649579142338941</v>
      </c>
      <c r="K416">
        <f t="shared" si="423"/>
        <v>1.230589305168644E-11</v>
      </c>
      <c r="L416">
        <f t="shared" ref="L416:M416" si="453">AVERAGE(G414:G416)</f>
        <v>0.42004152896452035</v>
      </c>
      <c r="M416">
        <f t="shared" si="453"/>
        <v>4.6859871878694427E-2</v>
      </c>
    </row>
    <row r="417" spans="1:13" x14ac:dyDescent="0.25">
      <c r="A417" s="18">
        <v>30164</v>
      </c>
      <c r="B417">
        <v>110514</v>
      </c>
      <c r="C417">
        <v>10881</v>
      </c>
      <c r="D417">
        <v>3895</v>
      </c>
      <c r="E417">
        <f t="shared" si="418"/>
        <v>3895</v>
      </c>
      <c r="F417">
        <f t="shared" si="419"/>
        <v>0.33360904328646268</v>
      </c>
      <c r="G417">
        <f t="shared" si="420"/>
        <v>0.40587875857941941</v>
      </c>
      <c r="H417">
        <v>4.8522757478048982E-2</v>
      </c>
      <c r="I417">
        <f t="shared" si="421"/>
        <v>11801.113839705838</v>
      </c>
      <c r="J417">
        <f t="shared" si="422"/>
        <v>0.36517221148366452</v>
      </c>
      <c r="K417">
        <f t="shared" si="423"/>
        <v>3.2059450692399619E-11</v>
      </c>
      <c r="L417">
        <f t="shared" ref="L417:M417" si="454">AVERAGE(G415:G417)</f>
        <v>0.42220517473086955</v>
      </c>
      <c r="M417">
        <f t="shared" si="454"/>
        <v>4.8454498584950462E-2</v>
      </c>
    </row>
    <row r="418" spans="1:13" x14ac:dyDescent="0.25">
      <c r="A418" s="18">
        <v>30195</v>
      </c>
      <c r="B418">
        <v>110721</v>
      </c>
      <c r="C418">
        <v>11217</v>
      </c>
      <c r="D418">
        <v>3966</v>
      </c>
      <c r="E418">
        <f t="shared" si="418"/>
        <v>3966</v>
      </c>
      <c r="F418">
        <f t="shared" si="419"/>
        <v>0.31746456271730406</v>
      </c>
      <c r="G418">
        <f t="shared" si="420"/>
        <v>0.38194083051243316</v>
      </c>
      <c r="H418">
        <v>4.691166647691996E-2</v>
      </c>
      <c r="I418">
        <f t="shared" si="421"/>
        <v>12111.638991156455</v>
      </c>
      <c r="J418">
        <f t="shared" si="422"/>
        <v>0.34874401568496416</v>
      </c>
      <c r="K418">
        <f t="shared" si="423"/>
        <v>3.1761712340643066E-11</v>
      </c>
      <c r="L418">
        <f t="shared" ref="L418:M418" si="455">AVERAGE(G416:G418)</f>
        <v>0.40932811751584192</v>
      </c>
      <c r="M418">
        <f t="shared" si="455"/>
        <v>4.7945938469473426E-2</v>
      </c>
    </row>
    <row r="419" spans="1:13" x14ac:dyDescent="0.25">
      <c r="A419" s="18">
        <v>30225</v>
      </c>
      <c r="B419">
        <v>110744</v>
      </c>
      <c r="C419">
        <v>11529</v>
      </c>
      <c r="D419">
        <v>3873</v>
      </c>
      <c r="E419">
        <f t="shared" si="418"/>
        <v>3873</v>
      </c>
      <c r="F419">
        <f t="shared" si="419"/>
        <v>0.30922022725301412</v>
      </c>
      <c r="G419">
        <f t="shared" si="420"/>
        <v>0.36993421404886667</v>
      </c>
      <c r="H419">
        <v>4.8030865489791658E-2</v>
      </c>
      <c r="I419">
        <f t="shared" si="421"/>
        <v>12726.254962908955</v>
      </c>
      <c r="J419">
        <f t="shared" si="422"/>
        <v>0.3416147808610055</v>
      </c>
      <c r="K419">
        <f t="shared" si="423"/>
        <v>6.7422253918291339E-11</v>
      </c>
      <c r="L419">
        <f t="shared" ref="L419:M419" si="456">AVERAGE(G417:G419)</f>
        <v>0.38591793438023975</v>
      </c>
      <c r="M419">
        <f t="shared" si="456"/>
        <v>4.7821763148253538E-2</v>
      </c>
    </row>
    <row r="420" spans="1:13" x14ac:dyDescent="0.25">
      <c r="A420" s="18">
        <v>30256</v>
      </c>
      <c r="B420">
        <v>111050</v>
      </c>
      <c r="C420">
        <v>11938</v>
      </c>
      <c r="D420">
        <v>3974</v>
      </c>
      <c r="E420">
        <f t="shared" si="418"/>
        <v>3974</v>
      </c>
      <c r="F420">
        <f t="shared" si="419"/>
        <v>0.32048919416987776</v>
      </c>
      <c r="G420">
        <f t="shared" si="420"/>
        <v>0.38638214289763084</v>
      </c>
      <c r="H420">
        <v>4.7945156151486749E-2</v>
      </c>
      <c r="I420">
        <f t="shared" si="421"/>
        <v>12258.749570379832</v>
      </c>
      <c r="J420">
        <f t="shared" si="422"/>
        <v>0.35229977087987474</v>
      </c>
      <c r="K420">
        <f t="shared" si="423"/>
        <v>2.3911144861820105E-14</v>
      </c>
      <c r="L420">
        <f t="shared" ref="L420:M420" si="457">AVERAGE(G418:G420)</f>
        <v>0.37941906248631024</v>
      </c>
      <c r="M420">
        <f t="shared" si="457"/>
        <v>4.7629229372732791E-2</v>
      </c>
    </row>
    <row r="421" spans="1:13" x14ac:dyDescent="0.25">
      <c r="A421" s="18">
        <v>30286</v>
      </c>
      <c r="B421">
        <v>111083</v>
      </c>
      <c r="C421">
        <v>12051</v>
      </c>
      <c r="D421">
        <v>3939</v>
      </c>
      <c r="E421">
        <f t="shared" si="418"/>
        <v>3939</v>
      </c>
      <c r="F421">
        <f t="shared" si="419"/>
        <v>0.34611235582109368</v>
      </c>
      <c r="G421">
        <f t="shared" si="420"/>
        <v>0.42481974017546709</v>
      </c>
      <c r="H421">
        <v>4.5152412983495586E-2</v>
      </c>
      <c r="I421">
        <f t="shared" si="421"/>
        <v>10672.261021706001</v>
      </c>
      <c r="J421">
        <f t="shared" si="422"/>
        <v>0.37498032713615614</v>
      </c>
      <c r="K421">
        <f t="shared" si="423"/>
        <v>4.7388729160125171E-11</v>
      </c>
      <c r="L421">
        <f t="shared" ref="L421:M421" si="458">AVERAGE(G419:G421)</f>
        <v>0.39371203237398822</v>
      </c>
      <c r="M421">
        <f t="shared" si="458"/>
        <v>4.7042811541591338E-2</v>
      </c>
    </row>
    <row r="422" spans="1:13" x14ac:dyDescent="0.25">
      <c r="A422" s="18">
        <v>30317</v>
      </c>
      <c r="B422">
        <v>110695</v>
      </c>
      <c r="C422">
        <v>11534</v>
      </c>
      <c r="D422">
        <v>3654</v>
      </c>
      <c r="E422">
        <f t="shared" si="418"/>
        <v>3654</v>
      </c>
      <c r="F422">
        <f t="shared" si="419"/>
        <v>0.32131090688399511</v>
      </c>
      <c r="G422">
        <f t="shared" si="420"/>
        <v>0.38759214565939104</v>
      </c>
      <c r="H422">
        <v>4.521978857065858E-2</v>
      </c>
      <c r="I422">
        <f t="shared" si="421"/>
        <v>11565.310704137044</v>
      </c>
      <c r="J422">
        <f t="shared" si="422"/>
        <v>0.35131752469667243</v>
      </c>
      <c r="K422">
        <f t="shared" si="423"/>
        <v>8.5759430289485572E-13</v>
      </c>
      <c r="L422">
        <f t="shared" ref="L422:M422" si="459">AVERAGE(G420:G422)</f>
        <v>0.3995980095774963</v>
      </c>
      <c r="M422">
        <f t="shared" si="459"/>
        <v>4.6105785901880303E-2</v>
      </c>
    </row>
    <row r="423" spans="1:13" x14ac:dyDescent="0.25">
      <c r="A423" s="18">
        <v>30348</v>
      </c>
      <c r="B423">
        <v>110634</v>
      </c>
      <c r="C423">
        <v>11545</v>
      </c>
      <c r="D423">
        <v>3717</v>
      </c>
      <c r="E423">
        <f t="shared" si="418"/>
        <v>3717</v>
      </c>
      <c r="F423">
        <f t="shared" si="419"/>
        <v>0.31520138588133395</v>
      </c>
      <c r="G423">
        <f t="shared" si="420"/>
        <v>0.37863047793196497</v>
      </c>
      <c r="H423">
        <v>4.2420741102154776E-2</v>
      </c>
      <c r="I423">
        <f t="shared" si="421"/>
        <v>11146.331037496609</v>
      </c>
      <c r="J423">
        <f t="shared" si="422"/>
        <v>0.34364351739685994</v>
      </c>
      <c r="K423">
        <f t="shared" si="423"/>
        <v>2.0717251949820895E-11</v>
      </c>
      <c r="L423">
        <f t="shared" ref="L423:M423" si="460">AVERAGE(G421:G423)</f>
        <v>0.3970141212556077</v>
      </c>
      <c r="M423">
        <f t="shared" si="460"/>
        <v>4.4264314218769647E-2</v>
      </c>
    </row>
    <row r="424" spans="1:13" x14ac:dyDescent="0.25">
      <c r="A424" s="18">
        <v>30376</v>
      </c>
      <c r="B424">
        <v>110587</v>
      </c>
      <c r="C424">
        <v>11408</v>
      </c>
      <c r="D424">
        <v>3502</v>
      </c>
      <c r="E424">
        <f t="shared" si="418"/>
        <v>3502</v>
      </c>
      <c r="F424">
        <f t="shared" si="419"/>
        <v>0.32249298737727905</v>
      </c>
      <c r="G424">
        <f t="shared" si="420"/>
        <v>0.3893353755472061</v>
      </c>
      <c r="H424">
        <v>4.3044364605851655E-2</v>
      </c>
      <c r="I424">
        <f t="shared" si="421"/>
        <v>11009.181759955443</v>
      </c>
      <c r="J424">
        <f t="shared" si="422"/>
        <v>0.35103710738001126</v>
      </c>
      <c r="K424">
        <f t="shared" si="423"/>
        <v>1.8377254275967121E-12</v>
      </c>
      <c r="L424">
        <f t="shared" ref="L424:M424" si="461">AVERAGE(G422:G424)</f>
        <v>0.385185999712854</v>
      </c>
      <c r="M424">
        <f t="shared" si="461"/>
        <v>4.3561631426221666E-2</v>
      </c>
    </row>
    <row r="425" spans="1:13" x14ac:dyDescent="0.25">
      <c r="A425" s="18">
        <v>30407</v>
      </c>
      <c r="B425">
        <v>110828</v>
      </c>
      <c r="C425">
        <v>11268</v>
      </c>
      <c r="D425">
        <v>3539</v>
      </c>
      <c r="E425">
        <f t="shared" si="418"/>
        <v>3539</v>
      </c>
      <c r="F425">
        <f t="shared" si="419"/>
        <v>0.32348242811501593</v>
      </c>
      <c r="G425">
        <f t="shared" si="420"/>
        <v>0.39079685700798938</v>
      </c>
      <c r="H425">
        <v>4.2818423769118735E-2</v>
      </c>
      <c r="I425">
        <f t="shared" si="421"/>
        <v>10943.987631107533</v>
      </c>
      <c r="J425">
        <f t="shared" si="422"/>
        <v>0.35183843226068368</v>
      </c>
      <c r="K425">
        <f t="shared" si="423"/>
        <v>1.5242740021168633E-11</v>
      </c>
      <c r="L425">
        <f t="shared" ref="L425:M425" si="462">AVERAGE(G423:G425)</f>
        <v>0.38625423682905352</v>
      </c>
      <c r="M425">
        <f t="shared" si="462"/>
        <v>4.2761176492375062E-2</v>
      </c>
    </row>
    <row r="426" spans="1:13" x14ac:dyDescent="0.25">
      <c r="A426" s="18">
        <v>30437</v>
      </c>
      <c r="B426">
        <v>110796</v>
      </c>
      <c r="C426">
        <v>11154</v>
      </c>
      <c r="D426">
        <v>3531</v>
      </c>
      <c r="E426">
        <f t="shared" si="418"/>
        <v>3531</v>
      </c>
      <c r="F426">
        <f t="shared" si="419"/>
        <v>0.32221624529316839</v>
      </c>
      <c r="G426">
        <f t="shared" si="420"/>
        <v>0.38892698777592039</v>
      </c>
      <c r="H426">
        <v>4.4674677436562005E-2</v>
      </c>
      <c r="I426">
        <f t="shared" si="421"/>
        <v>11415.490203054762</v>
      </c>
      <c r="J426">
        <f t="shared" si="422"/>
        <v>0.35182960711489064</v>
      </c>
      <c r="K426">
        <f t="shared" si="423"/>
        <v>2.1112654856358516E-11</v>
      </c>
      <c r="L426">
        <f t="shared" ref="L426:M426" si="463">AVERAGE(G424:G426)</f>
        <v>0.38968640677703864</v>
      </c>
      <c r="M426">
        <f t="shared" si="463"/>
        <v>4.3512488603844129E-2</v>
      </c>
    </row>
    <row r="427" spans="1:13" x14ac:dyDescent="0.25">
      <c r="A427" s="18">
        <v>30468</v>
      </c>
      <c r="B427">
        <v>111879</v>
      </c>
      <c r="C427">
        <v>11246</v>
      </c>
      <c r="D427">
        <v>3686</v>
      </c>
      <c r="E427">
        <f t="shared" si="418"/>
        <v>3686</v>
      </c>
      <c r="F427">
        <f t="shared" si="419"/>
        <v>0.36964253956962478</v>
      </c>
      <c r="G427">
        <f t="shared" si="420"/>
        <v>0.46146822299712953</v>
      </c>
      <c r="H427">
        <v>4.2739241467213432E-2</v>
      </c>
      <c r="I427">
        <f t="shared" si="421"/>
        <v>9483.4446792457657</v>
      </c>
      <c r="J427">
        <f t="shared" si="422"/>
        <v>0.39601593537366486</v>
      </c>
      <c r="K427">
        <f t="shared" si="423"/>
        <v>3.6044195717330598E-11</v>
      </c>
      <c r="L427">
        <f t="shared" ref="L427:M427" si="464">AVERAGE(G425:G427)</f>
        <v>0.41373068926034645</v>
      </c>
      <c r="M427">
        <f t="shared" si="464"/>
        <v>4.3410780890964729E-2</v>
      </c>
    </row>
    <row r="428" spans="1:13" x14ac:dyDescent="0.25">
      <c r="A428" s="18">
        <v>30498</v>
      </c>
      <c r="B428">
        <v>111756</v>
      </c>
      <c r="C428">
        <v>10548</v>
      </c>
      <c r="D428">
        <v>3459</v>
      </c>
      <c r="E428">
        <f t="shared" si="418"/>
        <v>3459</v>
      </c>
      <c r="F428">
        <f t="shared" si="419"/>
        <v>0.33722032612817598</v>
      </c>
      <c r="G428">
        <f t="shared" si="420"/>
        <v>0.41131266096119218</v>
      </c>
      <c r="H428">
        <v>4.3789841951109194E-2</v>
      </c>
      <c r="I428">
        <f t="shared" si="421"/>
        <v>10753.132636651735</v>
      </c>
      <c r="J428">
        <f t="shared" si="422"/>
        <v>0.36561706148328021</v>
      </c>
      <c r="K428">
        <f t="shared" si="423"/>
        <v>6.6799169864207592E-11</v>
      </c>
      <c r="L428">
        <f t="shared" ref="L428:M428" si="465">AVERAGE(G426:G428)</f>
        <v>0.42056929057808068</v>
      </c>
      <c r="M428">
        <f t="shared" si="465"/>
        <v>4.3734586951628213E-2</v>
      </c>
    </row>
    <row r="429" spans="1:13" x14ac:dyDescent="0.25">
      <c r="A429" s="18">
        <v>30529</v>
      </c>
      <c r="B429">
        <v>112231</v>
      </c>
      <c r="C429">
        <v>10623</v>
      </c>
      <c r="D429">
        <v>3632</v>
      </c>
      <c r="E429">
        <f t="shared" si="418"/>
        <v>3632</v>
      </c>
      <c r="F429">
        <f t="shared" si="419"/>
        <v>0.38680222159465316</v>
      </c>
      <c r="G429">
        <f t="shared" si="420"/>
        <v>0.4890677549438347</v>
      </c>
      <c r="H429">
        <v>4.6796323842629349E-2</v>
      </c>
      <c r="I429">
        <f t="shared" si="421"/>
        <v>9800.9895215891083</v>
      </c>
      <c r="J429">
        <f t="shared" si="422"/>
        <v>0.41483655568790379</v>
      </c>
      <c r="K429">
        <f t="shared" si="423"/>
        <v>1.9330612810580433E-11</v>
      </c>
      <c r="L429">
        <f t="shared" ref="L429:M429" si="466">AVERAGE(G427:G429)</f>
        <v>0.45394954630071882</v>
      </c>
      <c r="M429">
        <f t="shared" si="466"/>
        <v>4.4441802420317332E-2</v>
      </c>
    </row>
    <row r="430" spans="1:13" x14ac:dyDescent="0.25">
      <c r="A430" s="18">
        <v>30560</v>
      </c>
      <c r="B430">
        <v>112298</v>
      </c>
      <c r="C430">
        <v>10282</v>
      </c>
      <c r="D430">
        <v>3768</v>
      </c>
      <c r="E430">
        <f t="shared" si="418"/>
        <v>3768</v>
      </c>
      <c r="F430">
        <f t="shared" si="419"/>
        <v>0.37794203462361409</v>
      </c>
      <c r="G430">
        <f t="shared" si="420"/>
        <v>0.47472199866160514</v>
      </c>
      <c r="H430">
        <v>4.2886254308572611E-2</v>
      </c>
      <c r="I430">
        <f t="shared" si="421"/>
        <v>9304.4122822778209</v>
      </c>
      <c r="J430">
        <f t="shared" si="422"/>
        <v>0.40405580745484548</v>
      </c>
      <c r="K430">
        <f t="shared" si="423"/>
        <v>2.8706299576864501E-11</v>
      </c>
      <c r="L430">
        <f t="shared" ref="L430:M430" si="467">AVERAGE(G428:G430)</f>
        <v>0.45836747152221063</v>
      </c>
      <c r="M430">
        <f t="shared" si="467"/>
        <v>4.449080670077038E-2</v>
      </c>
    </row>
    <row r="431" spans="1:13" x14ac:dyDescent="0.25">
      <c r="A431" s="18">
        <v>30590</v>
      </c>
      <c r="B431">
        <v>111926</v>
      </c>
      <c r="C431">
        <v>9887</v>
      </c>
      <c r="D431">
        <v>3491</v>
      </c>
      <c r="E431">
        <f t="shared" si="418"/>
        <v>3491</v>
      </c>
      <c r="F431">
        <f t="shared" si="419"/>
        <v>0.37776878729644991</v>
      </c>
      <c r="G431">
        <f t="shared" si="420"/>
        <v>0.47444353071165313</v>
      </c>
      <c r="H431">
        <v>4.1104390101593842E-2</v>
      </c>
      <c r="I431">
        <f t="shared" si="421"/>
        <v>8923.8066545855399</v>
      </c>
      <c r="J431">
        <f t="shared" si="422"/>
        <v>0.40282669871987697</v>
      </c>
      <c r="K431">
        <f t="shared" si="423"/>
        <v>1.9693514262045711E-11</v>
      </c>
      <c r="L431">
        <f t="shared" ref="L431:M431" si="468">AVERAGE(G429:G431)</f>
        <v>0.47941109477236427</v>
      </c>
      <c r="M431">
        <f t="shared" si="468"/>
        <v>4.3595656084265265E-2</v>
      </c>
    </row>
    <row r="432" spans="1:13" x14ac:dyDescent="0.25">
      <c r="A432" s="18">
        <v>30621</v>
      </c>
      <c r="B432">
        <v>112228</v>
      </c>
      <c r="C432">
        <v>9499</v>
      </c>
      <c r="D432">
        <v>3347</v>
      </c>
      <c r="E432">
        <f t="shared" si="418"/>
        <v>3347</v>
      </c>
      <c r="F432">
        <f t="shared" si="419"/>
        <v>0.38140856932308664</v>
      </c>
      <c r="G432">
        <f t="shared" si="420"/>
        <v>0.48031027159641454</v>
      </c>
      <c r="H432">
        <v>4.2312884723074082E-2</v>
      </c>
      <c r="I432">
        <f t="shared" si="421"/>
        <v>9086.2610454218011</v>
      </c>
      <c r="J432">
        <f t="shared" si="422"/>
        <v>0.4070369287167962</v>
      </c>
      <c r="K432">
        <f t="shared" si="423"/>
        <v>1.2721412971348781E-11</v>
      </c>
      <c r="L432">
        <f t="shared" ref="L432:M432" si="469">AVERAGE(G430:G432)</f>
        <v>0.47649193365655762</v>
      </c>
      <c r="M432">
        <f t="shared" si="469"/>
        <v>4.2101176377746852E-2</v>
      </c>
    </row>
    <row r="433" spans="1:13" x14ac:dyDescent="0.25">
      <c r="A433" s="18">
        <v>30651</v>
      </c>
      <c r="B433">
        <v>112327</v>
      </c>
      <c r="C433">
        <v>9331</v>
      </c>
      <c r="D433">
        <v>3455</v>
      </c>
      <c r="E433">
        <f t="shared" si="418"/>
        <v>3455</v>
      </c>
      <c r="F433">
        <f t="shared" si="419"/>
        <v>0.38924016718465326</v>
      </c>
      <c r="G433">
        <f t="shared" si="420"/>
        <v>0.49305146939902234</v>
      </c>
      <c r="H433">
        <v>4.0621433721511828E-2</v>
      </c>
      <c r="I433">
        <f t="shared" si="421"/>
        <v>8549.9633932242123</v>
      </c>
      <c r="J433">
        <f t="shared" si="422"/>
        <v>0.41355295400332182</v>
      </c>
      <c r="K433">
        <f t="shared" si="423"/>
        <v>1.6672047798490168E-11</v>
      </c>
      <c r="L433">
        <f t="shared" ref="L433:M433" si="470">AVERAGE(G431:G433)</f>
        <v>0.48260175723569665</v>
      </c>
      <c r="M433">
        <f t="shared" si="470"/>
        <v>4.1346236182059924E-2</v>
      </c>
    </row>
    <row r="434" spans="1:13" x14ac:dyDescent="0.25">
      <c r="A434" s="18">
        <v>30682</v>
      </c>
      <c r="B434">
        <v>112209</v>
      </c>
      <c r="C434">
        <v>9008</v>
      </c>
      <c r="D434">
        <v>3309</v>
      </c>
      <c r="E434">
        <f t="shared" si="418"/>
        <v>3309</v>
      </c>
      <c r="F434">
        <f t="shared" si="419"/>
        <v>0.39342806394316165</v>
      </c>
      <c r="G434">
        <f t="shared" si="420"/>
        <v>0.49993194912884564</v>
      </c>
      <c r="H434">
        <v>4.0914730483940349E-2</v>
      </c>
      <c r="I434">
        <f t="shared" si="421"/>
        <v>8488.5442879289676</v>
      </c>
      <c r="J434">
        <f t="shared" si="422"/>
        <v>0.41774493987330885</v>
      </c>
      <c r="K434">
        <f t="shared" si="423"/>
        <v>2.2982813207894679E-11</v>
      </c>
      <c r="L434">
        <f t="shared" ref="L434:M434" si="471">AVERAGE(G432:G434)</f>
        <v>0.49109789670809417</v>
      </c>
      <c r="M434">
        <f t="shared" si="471"/>
        <v>4.1283016309508751E-2</v>
      </c>
    </row>
    <row r="435" spans="1:13" x14ac:dyDescent="0.25">
      <c r="A435" s="18">
        <v>30713</v>
      </c>
      <c r="B435">
        <v>112615</v>
      </c>
      <c r="C435">
        <v>8791</v>
      </c>
      <c r="D435">
        <v>3327</v>
      </c>
      <c r="E435">
        <f t="shared" si="418"/>
        <v>3327</v>
      </c>
      <c r="F435">
        <f t="shared" si="419"/>
        <v>0.38448413149812311</v>
      </c>
      <c r="G435">
        <f t="shared" si="420"/>
        <v>0.48529455220844336</v>
      </c>
      <c r="H435">
        <v>4.0533606505857037E-2</v>
      </c>
      <c r="I435">
        <f t="shared" si="421"/>
        <v>8680.9578776043381</v>
      </c>
      <c r="J435">
        <f t="shared" si="422"/>
        <v>0.40893433456097106</v>
      </c>
      <c r="K435">
        <f t="shared" si="423"/>
        <v>4.3913161121633461E-12</v>
      </c>
      <c r="L435">
        <f t="shared" ref="L435:M435" si="472">AVERAGE(G433:G435)</f>
        <v>0.49275932357877045</v>
      </c>
      <c r="M435">
        <f t="shared" si="472"/>
        <v>4.0689923570436402E-2</v>
      </c>
    </row>
    <row r="436" spans="1:13" x14ac:dyDescent="0.25">
      <c r="A436" s="18">
        <v>30742</v>
      </c>
      <c r="B436">
        <v>112713</v>
      </c>
      <c r="C436">
        <v>8746</v>
      </c>
      <c r="D436">
        <v>3335</v>
      </c>
      <c r="E436">
        <f t="shared" si="418"/>
        <v>3335</v>
      </c>
      <c r="F436">
        <f t="shared" si="419"/>
        <v>0.38257489137891609</v>
      </c>
      <c r="G436">
        <f t="shared" si="420"/>
        <v>0.48219749942050016</v>
      </c>
      <c r="H436">
        <v>4.0761453091262473E-2</v>
      </c>
      <c r="I436">
        <f t="shared" si="421"/>
        <v>8785.2892472896892</v>
      </c>
      <c r="J436">
        <f t="shared" si="422"/>
        <v>0.40723601003104781</v>
      </c>
      <c r="K436">
        <f t="shared" si="423"/>
        <v>1.3665021792376062E-11</v>
      </c>
      <c r="L436">
        <f t="shared" ref="L436:M436" si="473">AVERAGE(G434:G436)</f>
        <v>0.48914133358592976</v>
      </c>
      <c r="M436">
        <f t="shared" si="473"/>
        <v>4.0736596693686622E-2</v>
      </c>
    </row>
    <row r="437" spans="1:13" x14ac:dyDescent="0.25">
      <c r="A437" s="18">
        <v>30773</v>
      </c>
      <c r="B437">
        <v>113098</v>
      </c>
      <c r="C437">
        <v>8762</v>
      </c>
      <c r="D437">
        <v>3362</v>
      </c>
      <c r="E437">
        <f t="shared" si="418"/>
        <v>3362</v>
      </c>
      <c r="F437">
        <f t="shared" si="419"/>
        <v>0.39637069162291716</v>
      </c>
      <c r="G437">
        <f t="shared" si="420"/>
        <v>0.50479499730786392</v>
      </c>
      <c r="H437">
        <v>3.8590546327873489E-2</v>
      </c>
      <c r="I437">
        <f t="shared" si="421"/>
        <v>8032.0753095257542</v>
      </c>
      <c r="J437">
        <f t="shared" si="422"/>
        <v>0.41922133132602701</v>
      </c>
      <c r="K437">
        <f t="shared" si="423"/>
        <v>2.5842089131952519E-13</v>
      </c>
      <c r="L437">
        <f t="shared" ref="L437:M437" si="474">AVERAGE(G435:G437)</f>
        <v>0.49076234964560256</v>
      </c>
      <c r="M437">
        <f t="shared" si="474"/>
        <v>3.9961868641664337E-2</v>
      </c>
    </row>
    <row r="438" spans="1:13" x14ac:dyDescent="0.25">
      <c r="A438" s="18">
        <v>30803</v>
      </c>
      <c r="B438">
        <v>113649</v>
      </c>
      <c r="C438">
        <v>8456</v>
      </c>
      <c r="D438">
        <v>3167</v>
      </c>
      <c r="E438">
        <f t="shared" si="418"/>
        <v>3167</v>
      </c>
      <c r="F438">
        <f t="shared" si="419"/>
        <v>0.41284295175023655</v>
      </c>
      <c r="G438">
        <f t="shared" si="420"/>
        <v>0.53246295107080066</v>
      </c>
      <c r="H438">
        <v>3.9930753989814646E-2</v>
      </c>
      <c r="I438">
        <f t="shared" si="421"/>
        <v>7928.2672399548319</v>
      </c>
      <c r="J438">
        <f t="shared" si="422"/>
        <v>0.43582664351636402</v>
      </c>
      <c r="K438">
        <f t="shared" si="423"/>
        <v>6.3296919243095317E-12</v>
      </c>
      <c r="L438">
        <f t="shared" ref="L438:M438" si="475">AVERAGE(G436:G438)</f>
        <v>0.50648514926638821</v>
      </c>
      <c r="M438">
        <f t="shared" si="475"/>
        <v>3.9760917802983534E-2</v>
      </c>
    </row>
    <row r="439" spans="1:13" x14ac:dyDescent="0.25">
      <c r="A439" s="18">
        <v>30834</v>
      </c>
      <c r="B439">
        <v>113817</v>
      </c>
      <c r="C439">
        <v>8226</v>
      </c>
      <c r="D439">
        <v>3261</v>
      </c>
      <c r="E439">
        <f t="shared" si="418"/>
        <v>3261</v>
      </c>
      <c r="F439">
        <f t="shared" si="419"/>
        <v>0.37454412837345008</v>
      </c>
      <c r="G439">
        <f t="shared" si="420"/>
        <v>0.46927450052221947</v>
      </c>
      <c r="H439">
        <v>4.0317781267435529E-2</v>
      </c>
      <c r="I439">
        <f t="shared" si="421"/>
        <v>9004.941939858214</v>
      </c>
      <c r="J439">
        <f t="shared" si="422"/>
        <v>0.39925953828680394</v>
      </c>
      <c r="K439">
        <f t="shared" si="423"/>
        <v>5.4757495758591657E-13</v>
      </c>
      <c r="L439">
        <f t="shared" ref="L439:M439" si="476">AVERAGE(G437:G439)</f>
        <v>0.5021774829669613</v>
      </c>
      <c r="M439">
        <f t="shared" si="476"/>
        <v>3.9613027195041221E-2</v>
      </c>
    </row>
    <row r="440" spans="1:13" x14ac:dyDescent="0.25">
      <c r="A440" s="18">
        <v>30864</v>
      </c>
      <c r="B440">
        <v>113972</v>
      </c>
      <c r="C440">
        <v>8537</v>
      </c>
      <c r="D440">
        <v>3392</v>
      </c>
      <c r="E440">
        <f t="shared" si="418"/>
        <v>3392</v>
      </c>
      <c r="F440">
        <f t="shared" si="419"/>
        <v>0.41993674592948338</v>
      </c>
      <c r="G440">
        <f t="shared" si="420"/>
        <v>0.54461812264587428</v>
      </c>
      <c r="H440">
        <v>4.387150385040535E-2</v>
      </c>
      <c r="I440">
        <f t="shared" si="421"/>
        <v>8496.5355576578004</v>
      </c>
      <c r="J440">
        <f t="shared" si="422"/>
        <v>0.44483484143030239</v>
      </c>
      <c r="K440">
        <f t="shared" si="423"/>
        <v>3.8528602727522024E-11</v>
      </c>
      <c r="L440">
        <f t="shared" ref="L440:M440" si="477">AVERAGE(G438:G440)</f>
        <v>0.51545185807963145</v>
      </c>
      <c r="M440">
        <f t="shared" si="477"/>
        <v>4.1373346369218508E-2</v>
      </c>
    </row>
    <row r="441" spans="1:13" x14ac:dyDescent="0.25">
      <c r="A441" s="18">
        <v>30895</v>
      </c>
      <c r="B441">
        <v>113682</v>
      </c>
      <c r="C441">
        <v>8519</v>
      </c>
      <c r="D441">
        <v>3567</v>
      </c>
      <c r="E441">
        <f t="shared" si="418"/>
        <v>3567</v>
      </c>
      <c r="F441">
        <f t="shared" si="419"/>
        <v>0.40814649606761355</v>
      </c>
      <c r="G441">
        <f t="shared" si="420"/>
        <v>0.52449613429497532</v>
      </c>
      <c r="H441">
        <v>4.0596142022746931E-2</v>
      </c>
      <c r="I441">
        <f t="shared" si="421"/>
        <v>8166.8973561321709</v>
      </c>
      <c r="J441">
        <f t="shared" si="422"/>
        <v>0.43169229700424661</v>
      </c>
      <c r="K441">
        <f t="shared" si="423"/>
        <v>7.8752941594670454E-13</v>
      </c>
      <c r="L441">
        <f t="shared" ref="L441:M441" si="478">AVERAGE(G439:G441)</f>
        <v>0.51279625248768967</v>
      </c>
      <c r="M441">
        <f t="shared" si="478"/>
        <v>4.1595142380195939E-2</v>
      </c>
    </row>
    <row r="442" spans="1:13" x14ac:dyDescent="0.25">
      <c r="A442" s="18">
        <v>30926</v>
      </c>
      <c r="B442">
        <v>113857</v>
      </c>
      <c r="C442">
        <v>8367</v>
      </c>
      <c r="D442">
        <v>3325</v>
      </c>
      <c r="E442">
        <f t="shared" si="418"/>
        <v>3325</v>
      </c>
      <c r="F442">
        <f t="shared" si="419"/>
        <v>0.40743396677423205</v>
      </c>
      <c r="G442">
        <f t="shared" si="420"/>
        <v>0.52329296370046274</v>
      </c>
      <c r="H442">
        <v>4.1678997591611658E-2</v>
      </c>
      <c r="I442">
        <f t="shared" si="421"/>
        <v>8399.435642674076</v>
      </c>
      <c r="J442">
        <f t="shared" si="422"/>
        <v>0.43162391693489233</v>
      </c>
      <c r="K442">
        <f t="shared" si="423"/>
        <v>7.4083007528244727E-13</v>
      </c>
      <c r="L442">
        <f t="shared" ref="L442:M442" si="479">AVERAGE(G440:G442)</f>
        <v>0.53080240688043745</v>
      </c>
      <c r="M442">
        <f t="shared" si="479"/>
        <v>4.2048881154921315E-2</v>
      </c>
    </row>
    <row r="443" spans="1:13" x14ac:dyDescent="0.25">
      <c r="A443" s="18">
        <v>30956</v>
      </c>
      <c r="B443">
        <v>114019</v>
      </c>
      <c r="C443">
        <v>8381</v>
      </c>
      <c r="D443">
        <v>3423</v>
      </c>
      <c r="E443">
        <f t="shared" si="418"/>
        <v>3423</v>
      </c>
      <c r="F443">
        <f t="shared" si="419"/>
        <v>0.42656007636320248</v>
      </c>
      <c r="G443">
        <f t="shared" si="420"/>
        <v>0.55610210180249198</v>
      </c>
      <c r="H443">
        <v>4.1817927725183973E-2</v>
      </c>
      <c r="I443">
        <f t="shared" si="421"/>
        <v>7974.374608363999</v>
      </c>
      <c r="J443">
        <f t="shared" si="422"/>
        <v>0.45004566392889434</v>
      </c>
      <c r="K443">
        <f t="shared" si="423"/>
        <v>3.1931866412952955E-11</v>
      </c>
      <c r="L443">
        <f t="shared" ref="L443:M443" si="480">AVERAGE(G441:G443)</f>
        <v>0.53463039993264339</v>
      </c>
      <c r="M443">
        <f t="shared" si="480"/>
        <v>4.1364355779847518E-2</v>
      </c>
    </row>
    <row r="444" spans="1:13" x14ac:dyDescent="0.25">
      <c r="A444" s="18">
        <v>30987</v>
      </c>
      <c r="B444">
        <v>114170</v>
      </c>
      <c r="C444">
        <v>8198</v>
      </c>
      <c r="D444">
        <v>3392</v>
      </c>
      <c r="E444">
        <f t="shared" si="418"/>
        <v>3392</v>
      </c>
      <c r="F444">
        <f t="shared" si="419"/>
        <v>0.3916808977799463</v>
      </c>
      <c r="G444">
        <f t="shared" si="420"/>
        <v>0.49705569551816026</v>
      </c>
      <c r="H444">
        <v>4.0403997745484282E-2</v>
      </c>
      <c r="I444">
        <f t="shared" si="421"/>
        <v>8582.8285923929288</v>
      </c>
      <c r="J444">
        <f t="shared" si="422"/>
        <v>0.41576950643836308</v>
      </c>
      <c r="K444">
        <f t="shared" si="423"/>
        <v>3.6935056442627467E-11</v>
      </c>
      <c r="L444">
        <f t="shared" ref="L444:M444" si="481">AVERAGE(G442:G444)</f>
        <v>0.52548358700703834</v>
      </c>
      <c r="M444">
        <f t="shared" si="481"/>
        <v>4.1300307687426638E-2</v>
      </c>
    </row>
    <row r="445" spans="1:13" x14ac:dyDescent="0.25">
      <c r="A445" s="18">
        <v>31017</v>
      </c>
      <c r="B445">
        <v>114581</v>
      </c>
      <c r="C445">
        <v>8358</v>
      </c>
      <c r="D445">
        <v>3371</v>
      </c>
      <c r="E445">
        <f t="shared" si="418"/>
        <v>3371</v>
      </c>
      <c r="F445">
        <f t="shared" si="419"/>
        <v>0.43096434553720986</v>
      </c>
      <c r="G445">
        <f t="shared" si="420"/>
        <v>0.56381218519718823</v>
      </c>
      <c r="H445">
        <v>4.5179773393672934E-2</v>
      </c>
      <c r="I445">
        <f t="shared" si="421"/>
        <v>8500.5122681731955</v>
      </c>
      <c r="J445">
        <f t="shared" si="422"/>
        <v>0.4561011345946886</v>
      </c>
      <c r="K445">
        <f t="shared" si="423"/>
        <v>5.194742620448211E-11</v>
      </c>
      <c r="L445">
        <f t="shared" ref="L445:M445" si="482">AVERAGE(G443:G445)</f>
        <v>0.53898999417261351</v>
      </c>
      <c r="M445">
        <f t="shared" si="482"/>
        <v>4.2467232954780394E-2</v>
      </c>
    </row>
    <row r="446" spans="1:13" x14ac:dyDescent="0.25">
      <c r="A446" s="18">
        <v>31048</v>
      </c>
      <c r="B446">
        <v>114725</v>
      </c>
      <c r="C446">
        <v>8423</v>
      </c>
      <c r="D446">
        <v>3667</v>
      </c>
      <c r="E446">
        <f t="shared" si="418"/>
        <v>3667</v>
      </c>
      <c r="F446">
        <f t="shared" si="419"/>
        <v>0.42419565475483789</v>
      </c>
      <c r="G446">
        <f t="shared" si="420"/>
        <v>0.55198735438383473</v>
      </c>
      <c r="H446">
        <v>4.2464735404526846E-2</v>
      </c>
      <c r="I446">
        <f t="shared" si="421"/>
        <v>8195.3900961451764</v>
      </c>
      <c r="J446">
        <f t="shared" si="422"/>
        <v>0.44813514456376546</v>
      </c>
      <c r="K446">
        <f t="shared" si="423"/>
        <v>8.0195083357343501E-12</v>
      </c>
      <c r="L446">
        <f t="shared" ref="L446:M446" si="483">AVERAGE(G444:G446)</f>
        <v>0.53761841169972768</v>
      </c>
      <c r="M446">
        <f t="shared" si="483"/>
        <v>4.2682835514561347E-2</v>
      </c>
    </row>
    <row r="447" spans="1:13" x14ac:dyDescent="0.25">
      <c r="A447" s="18">
        <v>31079</v>
      </c>
      <c r="B447">
        <v>114876</v>
      </c>
      <c r="C447">
        <v>8321</v>
      </c>
      <c r="D447">
        <v>3471</v>
      </c>
      <c r="E447">
        <f t="shared" si="418"/>
        <v>3471</v>
      </c>
      <c r="F447">
        <f t="shared" si="419"/>
        <v>0.42074269919480833</v>
      </c>
      <c r="G447">
        <f t="shared" si="420"/>
        <v>0.54600851185578392</v>
      </c>
      <c r="H447">
        <v>4.2861938261993908E-2</v>
      </c>
      <c r="I447">
        <f t="shared" si="421"/>
        <v>8361.445236044734</v>
      </c>
      <c r="J447">
        <f t="shared" si="422"/>
        <v>0.44504622118476211</v>
      </c>
      <c r="K447">
        <f t="shared" si="423"/>
        <v>2.8447917463920985E-13</v>
      </c>
      <c r="L447">
        <f t="shared" ref="L447:M447" si="484">AVERAGE(G445:G447)</f>
        <v>0.55393601714560237</v>
      </c>
      <c r="M447">
        <f t="shared" si="484"/>
        <v>4.3502149020064558E-2</v>
      </c>
    </row>
    <row r="448" spans="1:13" x14ac:dyDescent="0.25">
      <c r="A448" s="18">
        <v>31107</v>
      </c>
      <c r="B448">
        <v>115328</v>
      </c>
      <c r="C448">
        <v>8339</v>
      </c>
      <c r="D448">
        <v>3519</v>
      </c>
      <c r="E448">
        <f t="shared" si="418"/>
        <v>3519</v>
      </c>
      <c r="F448">
        <f t="shared" si="419"/>
        <v>0.41287924211536153</v>
      </c>
      <c r="G448">
        <f t="shared" si="420"/>
        <v>0.53252475989482329</v>
      </c>
      <c r="H448">
        <v>4.2194516204211038E-2</v>
      </c>
      <c r="I448">
        <f t="shared" si="421"/>
        <v>8467.1062328536136</v>
      </c>
      <c r="J448">
        <f t="shared" si="422"/>
        <v>0.43713714431287132</v>
      </c>
      <c r="K448">
        <f t="shared" si="423"/>
        <v>5.1864366435918304E-11</v>
      </c>
      <c r="L448">
        <f t="shared" ref="L448:M448" si="485">AVERAGE(G446:G448)</f>
        <v>0.54350687537814735</v>
      </c>
      <c r="M448">
        <f t="shared" si="485"/>
        <v>4.2507063290243931E-2</v>
      </c>
    </row>
    <row r="449" spans="1:13" x14ac:dyDescent="0.25">
      <c r="A449" s="18">
        <v>31138</v>
      </c>
      <c r="B449">
        <v>115331</v>
      </c>
      <c r="C449">
        <v>8395</v>
      </c>
      <c r="D449">
        <v>3499</v>
      </c>
      <c r="E449">
        <f t="shared" si="418"/>
        <v>3499</v>
      </c>
      <c r="F449">
        <f t="shared" si="419"/>
        <v>0.42835020845741512</v>
      </c>
      <c r="G449">
        <f t="shared" si="420"/>
        <v>0.5592287276533956</v>
      </c>
      <c r="H449">
        <v>4.2744649524179675E-2</v>
      </c>
      <c r="I449">
        <f t="shared" si="421"/>
        <v>8189.3707615227913</v>
      </c>
      <c r="J449">
        <f t="shared" si="422"/>
        <v>0.45227030837006232</v>
      </c>
      <c r="K449">
        <f t="shared" si="423"/>
        <v>8.172381801713357E-13</v>
      </c>
      <c r="L449">
        <f t="shared" ref="L449:M449" si="486">AVERAGE(G447:G449)</f>
        <v>0.54592066646800086</v>
      </c>
      <c r="M449">
        <f t="shared" si="486"/>
        <v>4.2600367996794869E-2</v>
      </c>
    </row>
    <row r="450" spans="1:13" x14ac:dyDescent="0.25">
      <c r="A450" s="18">
        <v>31168</v>
      </c>
      <c r="B450">
        <v>115234</v>
      </c>
      <c r="C450">
        <v>8302</v>
      </c>
      <c r="D450">
        <v>3503</v>
      </c>
      <c r="E450">
        <f t="shared" si="418"/>
        <v>3503</v>
      </c>
      <c r="F450">
        <f t="shared" si="419"/>
        <v>0.40713081185256561</v>
      </c>
      <c r="G450">
        <f t="shared" si="420"/>
        <v>0.52278149766198279</v>
      </c>
      <c r="H450">
        <v>4.2522129728061776E-2</v>
      </c>
      <c r="I450">
        <f t="shared" si="421"/>
        <v>8667.8996200790407</v>
      </c>
      <c r="J450">
        <f t="shared" si="422"/>
        <v>0.43181239675463123</v>
      </c>
      <c r="K450">
        <f t="shared" si="423"/>
        <v>6.5319709333011276E-11</v>
      </c>
      <c r="L450">
        <f t="shared" ref="L450:M450" si="487">AVERAGE(G448:G450)</f>
        <v>0.53817832840340063</v>
      </c>
      <c r="M450">
        <f t="shared" si="487"/>
        <v>4.2487098485484161E-2</v>
      </c>
    </row>
    <row r="451" spans="1:13" x14ac:dyDescent="0.25">
      <c r="A451" s="18">
        <v>31199</v>
      </c>
      <c r="B451">
        <v>114965</v>
      </c>
      <c r="C451">
        <v>8460</v>
      </c>
      <c r="D451">
        <v>3538</v>
      </c>
      <c r="E451">
        <f t="shared" ref="E451:E514" si="488">IF(A451&gt;A$554,1.16*D451,D451)</f>
        <v>3538</v>
      </c>
      <c r="F451">
        <f t="shared" ref="F451:F514" si="489">1 - ( (C452-E452)/C451 )</f>
        <v>0.41394799054373521</v>
      </c>
      <c r="G451">
        <f t="shared" ref="G451:G514" si="490">-LN(1-F451)</f>
        <v>0.53434674000513316</v>
      </c>
      <c r="H451">
        <v>4.3099763766975996E-2</v>
      </c>
      <c r="I451">
        <f t="shared" ref="I451:I514" si="491">H451*B451/(H451+G451)</f>
        <v>8580.8197107482792</v>
      </c>
      <c r="J451">
        <f t="shared" ref="J451:J514" si="492">1-EXP(-H451-G451)</f>
        <v>0.43867010814819773</v>
      </c>
      <c r="K451">
        <f t="shared" ref="K451:K514" si="493">( ( (J451*I451) + ( (1-J451)*C451 ) ) - C452 )^2</f>
        <v>1.9533028239575079E-11</v>
      </c>
      <c r="L451">
        <f t="shared" ref="L451:M451" si="494">AVERAGE(G449:G451)</f>
        <v>0.53878565510683718</v>
      </c>
      <c r="M451">
        <f t="shared" si="494"/>
        <v>4.2788847673072485E-2</v>
      </c>
    </row>
    <row r="452" spans="1:13" x14ac:dyDescent="0.25">
      <c r="A452" s="18">
        <v>31229</v>
      </c>
      <c r="B452">
        <v>115320</v>
      </c>
      <c r="C452">
        <v>8513</v>
      </c>
      <c r="D452">
        <v>3555</v>
      </c>
      <c r="E452">
        <f t="shared" si="488"/>
        <v>3555</v>
      </c>
      <c r="F452">
        <f t="shared" si="489"/>
        <v>0.44120756490074009</v>
      </c>
      <c r="G452">
        <f t="shared" si="490"/>
        <v>0.58197718945177568</v>
      </c>
      <c r="H452">
        <v>4.2395879185794072E-2</v>
      </c>
      <c r="I452">
        <f t="shared" si="491"/>
        <v>7830.4030607440363</v>
      </c>
      <c r="J452">
        <f t="shared" si="492"/>
        <v>0.46440289409202518</v>
      </c>
      <c r="K452">
        <f t="shared" si="493"/>
        <v>3.4941950674086528E-11</v>
      </c>
      <c r="L452">
        <f t="shared" ref="L452:M452" si="495">AVERAGE(G450:G452)</f>
        <v>0.54636847570629721</v>
      </c>
      <c r="M452">
        <f t="shared" si="495"/>
        <v>4.2672590893610612E-2</v>
      </c>
    </row>
    <row r="453" spans="1:13" x14ac:dyDescent="0.25">
      <c r="A453" s="18">
        <v>31260</v>
      </c>
      <c r="B453">
        <v>115291</v>
      </c>
      <c r="C453">
        <v>8196</v>
      </c>
      <c r="D453">
        <v>3439</v>
      </c>
      <c r="E453">
        <f t="shared" si="488"/>
        <v>3439</v>
      </c>
      <c r="F453">
        <f t="shared" si="489"/>
        <v>0.41996095656417765</v>
      </c>
      <c r="G453">
        <f t="shared" si="490"/>
        <v>0.54465986143865108</v>
      </c>
      <c r="H453">
        <v>4.2324836551339472E-2</v>
      </c>
      <c r="I453">
        <f t="shared" si="491"/>
        <v>8313.1174416469858</v>
      </c>
      <c r="J453">
        <f t="shared" si="492"/>
        <v>0.44399872857023659</v>
      </c>
      <c r="K453">
        <f t="shared" si="493"/>
        <v>2.318749649785773E-11</v>
      </c>
      <c r="L453">
        <f t="shared" ref="L453:M453" si="496">AVERAGE(G451:G453)</f>
        <v>0.55366126363185331</v>
      </c>
      <c r="M453">
        <f t="shared" si="496"/>
        <v>4.2606826501369849E-2</v>
      </c>
    </row>
    <row r="454" spans="1:13" x14ac:dyDescent="0.25">
      <c r="A454" s="18">
        <v>31291</v>
      </c>
      <c r="B454">
        <v>115905</v>
      </c>
      <c r="C454">
        <v>8248</v>
      </c>
      <c r="D454">
        <v>3494</v>
      </c>
      <c r="E454">
        <f t="shared" si="488"/>
        <v>3494</v>
      </c>
      <c r="F454">
        <f t="shared" si="489"/>
        <v>0.40906886517943741</v>
      </c>
      <c r="G454">
        <f t="shared" si="490"/>
        <v>0.52605579151164428</v>
      </c>
      <c r="H454">
        <v>4.0911548781063407E-2</v>
      </c>
      <c r="I454">
        <f t="shared" si="491"/>
        <v>8363.5382930894793</v>
      </c>
      <c r="J454">
        <f t="shared" si="492"/>
        <v>0.43275691188241783</v>
      </c>
      <c r="K454">
        <f t="shared" si="493"/>
        <v>2.5790462018897811E-11</v>
      </c>
      <c r="L454">
        <f t="shared" ref="L454:M454" si="497">AVERAGE(G452:G454)</f>
        <v>0.55089761413402361</v>
      </c>
      <c r="M454">
        <f t="shared" si="497"/>
        <v>4.1877421506065653E-2</v>
      </c>
    </row>
    <row r="455" spans="1:13" x14ac:dyDescent="0.25">
      <c r="A455" s="18">
        <v>31321</v>
      </c>
      <c r="B455">
        <v>116145</v>
      </c>
      <c r="C455">
        <v>8298</v>
      </c>
      <c r="D455">
        <v>3424</v>
      </c>
      <c r="E455">
        <f t="shared" si="488"/>
        <v>3424</v>
      </c>
      <c r="F455">
        <f t="shared" si="489"/>
        <v>0.43781634128705715</v>
      </c>
      <c r="G455">
        <f t="shared" si="490"/>
        <v>0.57592668761136911</v>
      </c>
      <c r="H455">
        <v>4.2199785405792181E-2</v>
      </c>
      <c r="I455">
        <f t="shared" si="491"/>
        <v>7929.2738459037928</v>
      </c>
      <c r="J455">
        <f t="shared" si="492"/>
        <v>0.46104676427604829</v>
      </c>
      <c r="K455">
        <f t="shared" si="493"/>
        <v>6.2504135111521789E-14</v>
      </c>
      <c r="L455">
        <f t="shared" ref="L455:M455" si="498">AVERAGE(G453:G455)</f>
        <v>0.54888078018722153</v>
      </c>
      <c r="M455">
        <f t="shared" si="498"/>
        <v>4.1812056912731689E-2</v>
      </c>
    </row>
    <row r="456" spans="1:13" x14ac:dyDescent="0.25">
      <c r="A456" s="18">
        <v>31352</v>
      </c>
      <c r="B456">
        <v>116135</v>
      </c>
      <c r="C456">
        <v>8128</v>
      </c>
      <c r="D456">
        <v>3463</v>
      </c>
      <c r="E456">
        <f t="shared" si="488"/>
        <v>3463</v>
      </c>
      <c r="F456">
        <f t="shared" si="489"/>
        <v>0.41621555118110232</v>
      </c>
      <c r="G456">
        <f t="shared" si="490"/>
        <v>0.53822345877423483</v>
      </c>
      <c r="H456">
        <v>4.0625627834939886E-2</v>
      </c>
      <c r="I456">
        <f t="shared" si="491"/>
        <v>8150.7553484251512</v>
      </c>
      <c r="J456">
        <f t="shared" si="492"/>
        <v>0.43945686794356931</v>
      </c>
      <c r="K456">
        <f t="shared" si="493"/>
        <v>3.4247297986345357E-11</v>
      </c>
      <c r="L456">
        <f t="shared" ref="L456:M456" si="499">AVERAGE(G454:G456)</f>
        <v>0.54673531263241604</v>
      </c>
      <c r="M456">
        <f t="shared" si="499"/>
        <v>4.124565400726516E-2</v>
      </c>
    </row>
    <row r="457" spans="1:13" x14ac:dyDescent="0.25">
      <c r="A457" s="18">
        <v>31382</v>
      </c>
      <c r="B457">
        <v>116354</v>
      </c>
      <c r="C457">
        <v>8138</v>
      </c>
      <c r="D457">
        <v>3393</v>
      </c>
      <c r="E457">
        <f t="shared" si="488"/>
        <v>3393</v>
      </c>
      <c r="F457">
        <f t="shared" si="489"/>
        <v>0.45170803637257306</v>
      </c>
      <c r="G457">
        <f t="shared" si="490"/>
        <v>0.60094735356915729</v>
      </c>
      <c r="H457">
        <v>4.0897260696367024E-2</v>
      </c>
      <c r="I457">
        <f t="shared" si="491"/>
        <v>7413.8814368808007</v>
      </c>
      <c r="J457">
        <f t="shared" si="492"/>
        <v>0.47367933055270806</v>
      </c>
      <c r="K457">
        <f t="shared" si="493"/>
        <v>1.4295270052978089E-11</v>
      </c>
      <c r="L457">
        <f t="shared" ref="L457:M457" si="500">AVERAGE(G455:G457)</f>
        <v>0.57169916665158704</v>
      </c>
      <c r="M457">
        <f t="shared" si="500"/>
        <v>4.1240891312366364E-2</v>
      </c>
    </row>
    <row r="458" spans="1:13" x14ac:dyDescent="0.25">
      <c r="A458" s="18">
        <v>31413</v>
      </c>
      <c r="B458">
        <v>116682</v>
      </c>
      <c r="C458">
        <v>7795</v>
      </c>
      <c r="D458">
        <v>3333</v>
      </c>
      <c r="E458">
        <f t="shared" si="488"/>
        <v>3333</v>
      </c>
      <c r="F458">
        <f t="shared" si="489"/>
        <v>0.37318794098781272</v>
      </c>
      <c r="G458">
        <f t="shared" si="490"/>
        <v>0.46710852967419114</v>
      </c>
      <c r="H458">
        <v>4.0548139059579456E-2</v>
      </c>
      <c r="I458">
        <f t="shared" si="491"/>
        <v>9319.7593041588589</v>
      </c>
      <c r="J458">
        <f t="shared" si="492"/>
        <v>0.39809561111299419</v>
      </c>
      <c r="K458">
        <f t="shared" si="493"/>
        <v>1.6927713270214583E-10</v>
      </c>
      <c r="L458">
        <f t="shared" ref="L458:M458" si="501">AVERAGE(G456:G458)</f>
        <v>0.53542644733919442</v>
      </c>
      <c r="M458">
        <f t="shared" si="501"/>
        <v>4.0690342530295458E-2</v>
      </c>
    </row>
    <row r="459" spans="1:13" x14ac:dyDescent="0.25">
      <c r="A459" s="18">
        <v>31444</v>
      </c>
      <c r="B459">
        <v>116882</v>
      </c>
      <c r="C459">
        <v>8402</v>
      </c>
      <c r="D459">
        <v>3516</v>
      </c>
      <c r="E459">
        <f t="shared" si="488"/>
        <v>3516</v>
      </c>
      <c r="F459">
        <f t="shared" si="489"/>
        <v>0.42358962151868607</v>
      </c>
      <c r="G459">
        <f t="shared" si="490"/>
        <v>0.5509354093260983</v>
      </c>
      <c r="H459">
        <v>4.2438864370612894E-2</v>
      </c>
      <c r="I459">
        <f t="shared" si="491"/>
        <v>8359.5456784183625</v>
      </c>
      <c r="J459">
        <f t="shared" si="492"/>
        <v>0.44754001507970553</v>
      </c>
      <c r="K459">
        <f t="shared" si="493"/>
        <v>5.9611435523758197E-11</v>
      </c>
      <c r="L459">
        <f t="shared" ref="L459:M459" si="502">AVERAGE(G457:G459)</f>
        <v>0.53966376418981554</v>
      </c>
      <c r="M459">
        <f t="shared" si="502"/>
        <v>4.1294754708853125E-2</v>
      </c>
    </row>
    <row r="460" spans="1:13" x14ac:dyDescent="0.25">
      <c r="A460" s="18">
        <v>31472</v>
      </c>
      <c r="B460">
        <v>117220</v>
      </c>
      <c r="C460">
        <v>8383</v>
      </c>
      <c r="D460">
        <v>3540</v>
      </c>
      <c r="E460">
        <f t="shared" si="488"/>
        <v>3540</v>
      </c>
      <c r="F460">
        <f t="shared" si="489"/>
        <v>0.43146844804962425</v>
      </c>
      <c r="G460">
        <f t="shared" si="490"/>
        <v>0.56469846697916992</v>
      </c>
      <c r="H460">
        <v>4.3262033691085743E-2</v>
      </c>
      <c r="I460">
        <f t="shared" si="491"/>
        <v>8341.2912248053508</v>
      </c>
      <c r="J460">
        <f t="shared" si="492"/>
        <v>0.45553983637397411</v>
      </c>
      <c r="K460">
        <f t="shared" si="493"/>
        <v>7.4434249513596118E-11</v>
      </c>
      <c r="L460">
        <f t="shared" ref="L460:M460" si="503">AVERAGE(G458:G460)</f>
        <v>0.52758080199315316</v>
      </c>
      <c r="M460">
        <f t="shared" si="503"/>
        <v>4.2083012373759367E-2</v>
      </c>
    </row>
    <row r="461" spans="1:13" x14ac:dyDescent="0.25">
      <c r="A461" s="18">
        <v>31503</v>
      </c>
      <c r="B461">
        <v>117316</v>
      </c>
      <c r="C461">
        <v>8364</v>
      </c>
      <c r="D461">
        <v>3598</v>
      </c>
      <c r="E461">
        <f t="shared" si="488"/>
        <v>3598</v>
      </c>
      <c r="F461">
        <f t="shared" si="489"/>
        <v>0.41977522716403637</v>
      </c>
      <c r="G461">
        <f t="shared" si="490"/>
        <v>0.54433971114330804</v>
      </c>
      <c r="H461">
        <v>4.2697819300415073E-2</v>
      </c>
      <c r="I461">
        <f t="shared" si="491"/>
        <v>8532.9082201290366</v>
      </c>
      <c r="J461">
        <f t="shared" si="492"/>
        <v>0.44402810270572401</v>
      </c>
      <c r="K461">
        <f t="shared" si="493"/>
        <v>1.2143158371341278E-11</v>
      </c>
      <c r="L461">
        <f t="shared" ref="L461:M461" si="504">AVERAGE(G459:G461)</f>
        <v>0.55332452914952546</v>
      </c>
      <c r="M461">
        <f t="shared" si="504"/>
        <v>4.2799572454037906E-2</v>
      </c>
    </row>
    <row r="462" spans="1:13" x14ac:dyDescent="0.25">
      <c r="A462" s="18">
        <v>31533</v>
      </c>
      <c r="B462">
        <v>117528</v>
      </c>
      <c r="C462">
        <v>8439</v>
      </c>
      <c r="D462">
        <v>3586</v>
      </c>
      <c r="E462">
        <f t="shared" si="488"/>
        <v>3586</v>
      </c>
      <c r="F462">
        <f t="shared" si="489"/>
        <v>0.40526128688233198</v>
      </c>
      <c r="G462">
        <f t="shared" si="490"/>
        <v>0.51963310750303282</v>
      </c>
      <c r="H462">
        <v>4.1024526145508909E-2</v>
      </c>
      <c r="I462">
        <f t="shared" si="491"/>
        <v>8599.7767968532353</v>
      </c>
      <c r="J462">
        <f t="shared" si="492"/>
        <v>0.42916645896017269</v>
      </c>
      <c r="K462">
        <f t="shared" si="493"/>
        <v>7.3761682123243592E-11</v>
      </c>
      <c r="L462">
        <f t="shared" ref="L462:M462" si="505">AVERAGE(G460:G462)</f>
        <v>0.542890428541837</v>
      </c>
      <c r="M462">
        <f t="shared" si="505"/>
        <v>4.2328126379003239E-2</v>
      </c>
    </row>
    <row r="463" spans="1:13" x14ac:dyDescent="0.25">
      <c r="A463" s="18">
        <v>31564</v>
      </c>
      <c r="B463">
        <v>118084</v>
      </c>
      <c r="C463">
        <v>8508</v>
      </c>
      <c r="D463">
        <v>3489</v>
      </c>
      <c r="E463">
        <f t="shared" si="488"/>
        <v>3489</v>
      </c>
      <c r="F463">
        <f t="shared" si="489"/>
        <v>0.42724494593323925</v>
      </c>
      <c r="G463">
        <f t="shared" si="490"/>
        <v>0.55729713347662158</v>
      </c>
      <c r="H463">
        <v>4.0979254285128087E-2</v>
      </c>
      <c r="I463">
        <f t="shared" si="491"/>
        <v>8088.2253787560276</v>
      </c>
      <c r="J463">
        <f t="shared" si="492"/>
        <v>0.45024160976938732</v>
      </c>
      <c r="K463">
        <f t="shared" si="493"/>
        <v>1.4622142169711411E-12</v>
      </c>
      <c r="L463">
        <f t="shared" ref="L463:M463" si="506">AVERAGE(G461:G463)</f>
        <v>0.54042331737432081</v>
      </c>
      <c r="M463">
        <f t="shared" si="506"/>
        <v>4.156719991035069E-2</v>
      </c>
    </row>
    <row r="464" spans="1:13" x14ac:dyDescent="0.25">
      <c r="A464" s="18">
        <v>31594</v>
      </c>
      <c r="B464">
        <v>118129</v>
      </c>
      <c r="C464">
        <v>8319</v>
      </c>
      <c r="D464">
        <v>3446</v>
      </c>
      <c r="E464">
        <f t="shared" si="488"/>
        <v>3446</v>
      </c>
      <c r="F464">
        <f t="shared" si="489"/>
        <v>0.43550907561004926</v>
      </c>
      <c r="G464">
        <f t="shared" si="490"/>
        <v>0.57183097277595529</v>
      </c>
      <c r="H464">
        <v>4.1079589459107495E-2</v>
      </c>
      <c r="I464">
        <f t="shared" si="491"/>
        <v>7917.4534136251514</v>
      </c>
      <c r="J464">
        <f t="shared" si="492"/>
        <v>0.45822828821283279</v>
      </c>
      <c r="K464">
        <f t="shared" si="493"/>
        <v>2.4130235861534572E-11</v>
      </c>
      <c r="L464">
        <f t="shared" ref="L464:M464" si="507">AVERAGE(G462:G464)</f>
        <v>0.5495870712518699</v>
      </c>
      <c r="M464">
        <f t="shared" si="507"/>
        <v>4.1027789963248164E-2</v>
      </c>
    </row>
    <row r="465" spans="1:13" x14ac:dyDescent="0.25">
      <c r="A465" s="18">
        <v>31625</v>
      </c>
      <c r="B465">
        <v>118150</v>
      </c>
      <c r="C465">
        <v>8135</v>
      </c>
      <c r="D465">
        <v>3439</v>
      </c>
      <c r="E465">
        <f t="shared" si="488"/>
        <v>3439</v>
      </c>
      <c r="F465">
        <f t="shared" si="489"/>
        <v>0.39704978488014753</v>
      </c>
      <c r="G465">
        <f t="shared" si="490"/>
        <v>0.50592064765367473</v>
      </c>
      <c r="H465">
        <v>3.9473735417326274E-2</v>
      </c>
      <c r="I465">
        <f t="shared" si="491"/>
        <v>8551.2832260869654</v>
      </c>
      <c r="J465">
        <f t="shared" si="492"/>
        <v>0.42038685135557174</v>
      </c>
      <c r="K465">
        <f t="shared" si="493"/>
        <v>2.8229676915001198E-11</v>
      </c>
      <c r="L465">
        <f t="shared" ref="L465:M465" si="508">AVERAGE(G463:G465)</f>
        <v>0.54501625130208387</v>
      </c>
      <c r="M465">
        <f t="shared" si="508"/>
        <v>4.0510859720520619E-2</v>
      </c>
    </row>
    <row r="466" spans="1:13" x14ac:dyDescent="0.25">
      <c r="A466" s="18">
        <v>31656</v>
      </c>
      <c r="B466">
        <v>118395</v>
      </c>
      <c r="C466">
        <v>8310</v>
      </c>
      <c r="D466">
        <v>3405</v>
      </c>
      <c r="E466">
        <f t="shared" si="488"/>
        <v>3405</v>
      </c>
      <c r="F466">
        <f t="shared" si="489"/>
        <v>0.41913357400722018</v>
      </c>
      <c r="G466">
        <f t="shared" si="490"/>
        <v>0.5432344521890009</v>
      </c>
      <c r="H466">
        <v>4.0203872022325192E-2</v>
      </c>
      <c r="I466">
        <f t="shared" si="491"/>
        <v>8158.424345053998</v>
      </c>
      <c r="J466">
        <f t="shared" si="492"/>
        <v>0.44202343975433156</v>
      </c>
      <c r="K466">
        <f t="shared" si="493"/>
        <v>5.8030160754798943E-11</v>
      </c>
      <c r="L466">
        <f t="shared" ref="L466:M466" si="509">AVERAGE(G464:G466)</f>
        <v>0.54032869087287694</v>
      </c>
      <c r="M466">
        <f t="shared" si="509"/>
        <v>4.0252398966252989E-2</v>
      </c>
    </row>
    <row r="467" spans="1:13" x14ac:dyDescent="0.25">
      <c r="A467" s="18">
        <v>31686</v>
      </c>
      <c r="B467">
        <v>118516</v>
      </c>
      <c r="C467">
        <v>8243</v>
      </c>
      <c r="D467">
        <v>3416</v>
      </c>
      <c r="E467">
        <f t="shared" si="488"/>
        <v>3416</v>
      </c>
      <c r="F467">
        <f t="shared" si="489"/>
        <v>0.41574669416474586</v>
      </c>
      <c r="G467">
        <f t="shared" si="490"/>
        <v>0.53742064732457062</v>
      </c>
      <c r="H467">
        <v>3.91703062301463E-2</v>
      </c>
      <c r="I467">
        <f t="shared" si="491"/>
        <v>8051.3022005494868</v>
      </c>
      <c r="J467">
        <f t="shared" si="492"/>
        <v>0.43818965674134858</v>
      </c>
      <c r="K467">
        <f t="shared" si="493"/>
        <v>4.9853590444542014E-11</v>
      </c>
      <c r="L467">
        <f t="shared" ref="L467:M467" si="510">AVERAGE(G465:G467)</f>
        <v>0.52885858238908212</v>
      </c>
      <c r="M467">
        <f t="shared" si="510"/>
        <v>3.9615971223265926E-2</v>
      </c>
    </row>
    <row r="468" spans="1:13" x14ac:dyDescent="0.25">
      <c r="A468" s="18">
        <v>31717</v>
      </c>
      <c r="B468">
        <v>118634</v>
      </c>
      <c r="C468">
        <v>8159</v>
      </c>
      <c r="D468">
        <v>3343</v>
      </c>
      <c r="E468">
        <f t="shared" si="488"/>
        <v>3343</v>
      </c>
      <c r="F468">
        <f t="shared" si="489"/>
        <v>0.43792131388650568</v>
      </c>
      <c r="G468">
        <f t="shared" si="490"/>
        <v>0.57611342801095045</v>
      </c>
      <c r="H468">
        <v>3.9202915918249454E-2</v>
      </c>
      <c r="I468">
        <f t="shared" si="491"/>
        <v>7558.3864672717691</v>
      </c>
      <c r="J468">
        <f t="shared" si="492"/>
        <v>0.45953010610673573</v>
      </c>
      <c r="K468">
        <f t="shared" si="493"/>
        <v>1.7956093903693574E-13</v>
      </c>
      <c r="L468">
        <f t="shared" ref="L468:M468" si="511">AVERAGE(G466:G468)</f>
        <v>0.55225617584150732</v>
      </c>
      <c r="M468">
        <f t="shared" si="511"/>
        <v>3.9525698056906984E-2</v>
      </c>
    </row>
    <row r="469" spans="1:13" x14ac:dyDescent="0.25">
      <c r="A469" s="18">
        <v>31747</v>
      </c>
      <c r="B469">
        <v>118611</v>
      </c>
      <c r="C469">
        <v>7883</v>
      </c>
      <c r="D469">
        <v>3297</v>
      </c>
      <c r="E469">
        <f t="shared" si="488"/>
        <v>3297</v>
      </c>
      <c r="F469">
        <f t="shared" si="489"/>
        <v>0.42889762780667262</v>
      </c>
      <c r="G469">
        <f t="shared" si="490"/>
        <v>0.5601867995932307</v>
      </c>
      <c r="H469">
        <v>3.9989179715884213E-2</v>
      </c>
      <c r="I469">
        <f t="shared" si="491"/>
        <v>7902.9430680327587</v>
      </c>
      <c r="J469">
        <f t="shared" si="492"/>
        <v>0.45128493490102994</v>
      </c>
      <c r="K469">
        <f t="shared" si="493"/>
        <v>3.7931935339590862E-11</v>
      </c>
      <c r="L469">
        <f t="shared" ref="L469:M469" si="512">AVERAGE(G467:G469)</f>
        <v>0.55790695830958381</v>
      </c>
      <c r="M469">
        <f t="shared" si="512"/>
        <v>3.9454133954759989E-2</v>
      </c>
    </row>
    <row r="470" spans="1:13" x14ac:dyDescent="0.25">
      <c r="A470" s="18">
        <v>31778</v>
      </c>
      <c r="B470">
        <v>118845</v>
      </c>
      <c r="C470">
        <v>7892</v>
      </c>
      <c r="D470">
        <v>3390</v>
      </c>
      <c r="E470">
        <f t="shared" si="488"/>
        <v>3390</v>
      </c>
      <c r="F470">
        <f t="shared" si="489"/>
        <v>0.4244804865686771</v>
      </c>
      <c r="G470">
        <f t="shared" si="490"/>
        <v>0.55248214447700206</v>
      </c>
      <c r="H470">
        <v>3.897525862943834E-2</v>
      </c>
      <c r="I470">
        <f t="shared" si="491"/>
        <v>7831.5269831562318</v>
      </c>
      <c r="J470">
        <f t="shared" si="492"/>
        <v>0.44648000515596065</v>
      </c>
      <c r="K470">
        <f t="shared" si="493"/>
        <v>5.0805494197150124E-11</v>
      </c>
      <c r="L470">
        <f t="shared" ref="L470:M470" si="513">AVERAGE(G468:G470)</f>
        <v>0.5629274573603944</v>
      </c>
      <c r="M470">
        <f t="shared" si="513"/>
        <v>3.9389118087857333E-2</v>
      </c>
    </row>
    <row r="471" spans="1:13" x14ac:dyDescent="0.25">
      <c r="A471" s="18">
        <v>31809</v>
      </c>
      <c r="B471">
        <v>119122</v>
      </c>
      <c r="C471">
        <v>7865</v>
      </c>
      <c r="D471">
        <v>3323</v>
      </c>
      <c r="E471">
        <f t="shared" si="488"/>
        <v>3323</v>
      </c>
      <c r="F471">
        <f t="shared" si="489"/>
        <v>0.43089637635092182</v>
      </c>
      <c r="G471">
        <f t="shared" si="490"/>
        <v>0.56369274606056241</v>
      </c>
      <c r="H471">
        <v>3.981275509113745E-2</v>
      </c>
      <c r="I471">
        <f t="shared" si="491"/>
        <v>7858.3790916834741</v>
      </c>
      <c r="J471">
        <f t="shared" si="492"/>
        <v>0.4531088556187427</v>
      </c>
      <c r="K471">
        <f t="shared" si="493"/>
        <v>6.0988957094151868E-11</v>
      </c>
      <c r="L471">
        <f t="shared" ref="L471:M471" si="514">AVERAGE(G469:G471)</f>
        <v>0.55878723004359843</v>
      </c>
      <c r="M471">
        <f t="shared" si="514"/>
        <v>3.9592397812153332E-2</v>
      </c>
    </row>
    <row r="472" spans="1:13" x14ac:dyDescent="0.25">
      <c r="A472" s="18">
        <v>31837</v>
      </c>
      <c r="B472">
        <v>119270</v>
      </c>
      <c r="C472">
        <v>7862</v>
      </c>
      <c r="D472">
        <v>3386</v>
      </c>
      <c r="E472">
        <f t="shared" si="488"/>
        <v>3386</v>
      </c>
      <c r="F472">
        <f t="shared" si="489"/>
        <v>0.44288984991096414</v>
      </c>
      <c r="G472">
        <f t="shared" si="490"/>
        <v>0.58499230261131385</v>
      </c>
      <c r="H472">
        <v>3.7424226330151543E-2</v>
      </c>
      <c r="I472">
        <f t="shared" si="491"/>
        <v>7171.3832567851823</v>
      </c>
      <c r="J472">
        <f t="shared" si="492"/>
        <v>0.46335395127868795</v>
      </c>
      <c r="K472">
        <f t="shared" si="493"/>
        <v>1.0318198160158687E-11</v>
      </c>
      <c r="L472">
        <f t="shared" ref="L472:M472" si="515">AVERAGE(G470:G472)</f>
        <v>0.56705573104962614</v>
      </c>
      <c r="M472">
        <f t="shared" si="515"/>
        <v>3.8737413350242444E-2</v>
      </c>
    </row>
    <row r="473" spans="1:13" x14ac:dyDescent="0.25">
      <c r="A473" s="18">
        <v>31868</v>
      </c>
      <c r="B473">
        <v>119336</v>
      </c>
      <c r="C473">
        <v>7542</v>
      </c>
      <c r="D473">
        <v>3162</v>
      </c>
      <c r="E473">
        <f t="shared" si="488"/>
        <v>3162</v>
      </c>
      <c r="F473">
        <f t="shared" si="489"/>
        <v>0.43529567753911425</v>
      </c>
      <c r="G473">
        <f t="shared" si="490"/>
        <v>0.5714530078950889</v>
      </c>
      <c r="H473">
        <v>3.8934577968330497E-2</v>
      </c>
      <c r="I473">
        <f t="shared" si="491"/>
        <v>7612.0434033013671</v>
      </c>
      <c r="J473">
        <f t="shared" si="492"/>
        <v>0.45685968523465736</v>
      </c>
      <c r="K473">
        <f t="shared" si="493"/>
        <v>5.1624603418838896E-11</v>
      </c>
      <c r="L473">
        <f t="shared" ref="L473:M473" si="516">AVERAGE(G471:G473)</f>
        <v>0.57337935218898839</v>
      </c>
      <c r="M473">
        <f t="shared" si="516"/>
        <v>3.8723853129873163E-2</v>
      </c>
    </row>
    <row r="474" spans="1:13" x14ac:dyDescent="0.25">
      <c r="A474" s="18">
        <v>31898</v>
      </c>
      <c r="B474">
        <v>120008</v>
      </c>
      <c r="C474">
        <v>7574</v>
      </c>
      <c r="D474">
        <v>3315</v>
      </c>
      <c r="E474">
        <f t="shared" si="488"/>
        <v>3315</v>
      </c>
      <c r="F474">
        <f t="shared" si="489"/>
        <v>0.44137839978875104</v>
      </c>
      <c r="G474">
        <f t="shared" si="490"/>
        <v>0.58228295774167271</v>
      </c>
      <c r="H474">
        <v>3.7124995829427042E-2</v>
      </c>
      <c r="I474">
        <f t="shared" si="491"/>
        <v>7192.8306277172651</v>
      </c>
      <c r="J474">
        <f t="shared" si="492"/>
        <v>0.46173698002362595</v>
      </c>
      <c r="K474">
        <f t="shared" si="493"/>
        <v>2.6673809457784025E-11</v>
      </c>
      <c r="L474">
        <f t="shared" ref="L474:M474" si="517">AVERAGE(G472:G474)</f>
        <v>0.57957608941602512</v>
      </c>
      <c r="M474">
        <f t="shared" si="517"/>
        <v>3.7827933375969701E-2</v>
      </c>
    </row>
    <row r="475" spans="1:13" x14ac:dyDescent="0.25">
      <c r="A475" s="18">
        <v>31929</v>
      </c>
      <c r="B475">
        <v>119644</v>
      </c>
      <c r="C475">
        <v>7398</v>
      </c>
      <c r="D475">
        <v>3167</v>
      </c>
      <c r="E475">
        <f t="shared" si="488"/>
        <v>3167</v>
      </c>
      <c r="F475">
        <f t="shared" si="489"/>
        <v>0.4524195728575291</v>
      </c>
      <c r="G475">
        <f t="shared" si="490"/>
        <v>0.60224592918970876</v>
      </c>
      <c r="H475">
        <v>3.8125001047649279E-2</v>
      </c>
      <c r="I475">
        <f t="shared" si="491"/>
        <v>7123.1022677032279</v>
      </c>
      <c r="J475">
        <f t="shared" si="492"/>
        <v>0.47290312839056137</v>
      </c>
      <c r="K475">
        <f t="shared" si="493"/>
        <v>5.8051368526864042E-12</v>
      </c>
      <c r="L475">
        <f t="shared" ref="L475:M475" si="518">AVERAGE(G473:G475)</f>
        <v>0.58532729827549013</v>
      </c>
      <c r="M475">
        <f t="shared" si="518"/>
        <v>3.8061524948468942E-2</v>
      </c>
    </row>
    <row r="476" spans="1:13" x14ac:dyDescent="0.25">
      <c r="A476" s="18">
        <v>31959</v>
      </c>
      <c r="B476">
        <v>119902</v>
      </c>
      <c r="C476">
        <v>7268</v>
      </c>
      <c r="D476">
        <v>3217</v>
      </c>
      <c r="E476">
        <f t="shared" si="488"/>
        <v>3217</v>
      </c>
      <c r="F476">
        <f t="shared" si="489"/>
        <v>0.44001100715465047</v>
      </c>
      <c r="G476">
        <f t="shared" si="490"/>
        <v>0.57983815107942105</v>
      </c>
      <c r="H476">
        <v>3.7332269103087345E-2</v>
      </c>
      <c r="I476">
        <f t="shared" si="491"/>
        <v>7252.8001725596023</v>
      </c>
      <c r="J476">
        <f t="shared" si="492"/>
        <v>0.46053125011716922</v>
      </c>
      <c r="K476">
        <f t="shared" si="493"/>
        <v>1.9956848154549952E-11</v>
      </c>
      <c r="L476">
        <f t="shared" ref="L476:M476" si="519">AVERAGE(G474:G476)</f>
        <v>0.5881223460036008</v>
      </c>
      <c r="M476">
        <f t="shared" si="519"/>
        <v>3.7527421993387884E-2</v>
      </c>
    </row>
    <row r="477" spans="1:13" x14ac:dyDescent="0.25">
      <c r="A477" s="18">
        <v>31990</v>
      </c>
      <c r="B477">
        <v>120318</v>
      </c>
      <c r="C477">
        <v>7261</v>
      </c>
      <c r="D477">
        <v>3191</v>
      </c>
      <c r="E477">
        <f t="shared" si="488"/>
        <v>3191</v>
      </c>
      <c r="F477">
        <f t="shared" si="489"/>
        <v>0.46591378597989253</v>
      </c>
      <c r="G477">
        <f t="shared" si="490"/>
        <v>0.62719800357764954</v>
      </c>
      <c r="H477">
        <v>3.8355403457012195E-2</v>
      </c>
      <c r="I477">
        <f t="shared" si="491"/>
        <v>6933.8469074961158</v>
      </c>
      <c r="J477">
        <f t="shared" si="492"/>
        <v>0.48601099614532906</v>
      </c>
      <c r="K477">
        <f t="shared" si="493"/>
        <v>1.4427670057671531E-13</v>
      </c>
      <c r="L477">
        <f t="shared" ref="L477:M477" si="520">AVERAGE(G475:G477)</f>
        <v>0.60309402794892641</v>
      </c>
      <c r="M477">
        <f t="shared" si="520"/>
        <v>3.7937557869249607E-2</v>
      </c>
    </row>
    <row r="478" spans="1:13" x14ac:dyDescent="0.25">
      <c r="A478" s="18">
        <v>32021</v>
      </c>
      <c r="B478">
        <v>120011</v>
      </c>
      <c r="C478">
        <v>7102</v>
      </c>
      <c r="D478">
        <v>3224</v>
      </c>
      <c r="E478">
        <f t="shared" si="488"/>
        <v>3224</v>
      </c>
      <c r="F478">
        <f t="shared" si="489"/>
        <v>0.43874964798648264</v>
      </c>
      <c r="G478">
        <f t="shared" si="490"/>
        <v>0.57758821273029315</v>
      </c>
      <c r="H478">
        <v>3.7812879087485179E-2</v>
      </c>
      <c r="I478">
        <f t="shared" si="491"/>
        <v>7373.9898945643799</v>
      </c>
      <c r="J478">
        <f t="shared" si="492"/>
        <v>0.45957590784825553</v>
      </c>
      <c r="K478">
        <f t="shared" si="493"/>
        <v>7.3982732043617686E-12</v>
      </c>
      <c r="L478">
        <f t="shared" ref="L478:M478" si="521">AVERAGE(G476:G478)</f>
        <v>0.59487478912912128</v>
      </c>
      <c r="M478">
        <f t="shared" si="521"/>
        <v>3.7833517215861569E-2</v>
      </c>
    </row>
    <row r="479" spans="1:13" x14ac:dyDescent="0.25">
      <c r="A479" s="18">
        <v>32051</v>
      </c>
      <c r="B479">
        <v>120509</v>
      </c>
      <c r="C479">
        <v>7227</v>
      </c>
      <c r="D479">
        <v>3241</v>
      </c>
      <c r="E479">
        <f t="shared" si="488"/>
        <v>3241</v>
      </c>
      <c r="F479">
        <f t="shared" si="489"/>
        <v>0.46547668465476688</v>
      </c>
      <c r="G479">
        <f t="shared" si="490"/>
        <v>0.62637992861669978</v>
      </c>
      <c r="H479">
        <v>3.7641445328439896E-2</v>
      </c>
      <c r="I479">
        <f t="shared" si="491"/>
        <v>6831.305607129043</v>
      </c>
      <c r="J479">
        <f t="shared" si="492"/>
        <v>0.48522294447729541</v>
      </c>
      <c r="K479">
        <f t="shared" si="493"/>
        <v>2.490080128939263E-12</v>
      </c>
      <c r="L479">
        <f t="shared" ref="L479:M479" si="522">AVERAGE(G477:G479)</f>
        <v>0.61038871497488079</v>
      </c>
      <c r="M479">
        <f t="shared" si="522"/>
        <v>3.7936575957645755E-2</v>
      </c>
    </row>
    <row r="480" spans="1:13" x14ac:dyDescent="0.25">
      <c r="A480" s="18">
        <v>32082</v>
      </c>
      <c r="B480">
        <v>120540</v>
      </c>
      <c r="C480">
        <v>7035</v>
      </c>
      <c r="D480">
        <v>3172</v>
      </c>
      <c r="E480">
        <f t="shared" si="488"/>
        <v>3172</v>
      </c>
      <c r="F480">
        <f t="shared" si="489"/>
        <v>0.46581378820184793</v>
      </c>
      <c r="G480">
        <f t="shared" si="490"/>
        <v>0.62701078957507883</v>
      </c>
      <c r="H480">
        <v>3.7667953277474332E-2</v>
      </c>
      <c r="I480">
        <f t="shared" si="491"/>
        <v>6831.1122281128555</v>
      </c>
      <c r="J480">
        <f t="shared" si="492"/>
        <v>0.48556123170591081</v>
      </c>
      <c r="K480">
        <f t="shared" si="493"/>
        <v>5.5352186591639773E-12</v>
      </c>
      <c r="L480">
        <f t="shared" ref="L480:M480" si="523">AVERAGE(G478:G480)</f>
        <v>0.61032631030735729</v>
      </c>
      <c r="M480">
        <f t="shared" si="523"/>
        <v>3.7707425897799803E-2</v>
      </c>
    </row>
    <row r="481" spans="1:13" x14ac:dyDescent="0.25">
      <c r="A481" s="18">
        <v>32112</v>
      </c>
      <c r="B481">
        <v>120729</v>
      </c>
      <c r="C481">
        <v>6936</v>
      </c>
      <c r="D481">
        <v>3178</v>
      </c>
      <c r="E481">
        <f t="shared" si="488"/>
        <v>3178</v>
      </c>
      <c r="F481">
        <f t="shared" si="489"/>
        <v>0.44247404844290661</v>
      </c>
      <c r="G481">
        <f t="shared" si="490"/>
        <v>0.58424622685308081</v>
      </c>
      <c r="H481">
        <v>3.5811899927547998E-2</v>
      </c>
      <c r="I481">
        <f t="shared" si="491"/>
        <v>6972.7896137753087</v>
      </c>
      <c r="J481">
        <f t="shared" si="492"/>
        <v>0.46208683047487509</v>
      </c>
      <c r="K481">
        <f t="shared" si="493"/>
        <v>1.5809948488978995E-11</v>
      </c>
      <c r="L481">
        <f t="shared" ref="L481:M481" si="524">AVERAGE(G479:G481)</f>
        <v>0.6125456483482864</v>
      </c>
      <c r="M481">
        <f t="shared" si="524"/>
        <v>3.7040432844487409E-2</v>
      </c>
    </row>
    <row r="482" spans="1:13" x14ac:dyDescent="0.25">
      <c r="A482" s="18">
        <v>32143</v>
      </c>
      <c r="B482">
        <v>120969</v>
      </c>
      <c r="C482">
        <v>6953</v>
      </c>
      <c r="D482">
        <v>3086</v>
      </c>
      <c r="E482">
        <f t="shared" si="488"/>
        <v>3086</v>
      </c>
      <c r="F482">
        <f t="shared" si="489"/>
        <v>0.44311807852725438</v>
      </c>
      <c r="G482">
        <f t="shared" si="490"/>
        <v>0.58540205170255011</v>
      </c>
      <c r="H482">
        <v>3.5416824887650987E-2</v>
      </c>
      <c r="I482">
        <f t="shared" si="491"/>
        <v>6901.1076360397446</v>
      </c>
      <c r="J482">
        <f t="shared" si="492"/>
        <v>0.46249589219961484</v>
      </c>
      <c r="K482">
        <f t="shared" si="493"/>
        <v>2.670972723900392E-11</v>
      </c>
      <c r="L482">
        <f t="shared" ref="L482:M482" si="525">AVERAGE(G480:G482)</f>
        <v>0.59888635604356988</v>
      </c>
      <c r="M482">
        <f t="shared" si="525"/>
        <v>3.6298892697557768E-2</v>
      </c>
    </row>
    <row r="483" spans="1:13" x14ac:dyDescent="0.25">
      <c r="A483" s="18">
        <v>32174</v>
      </c>
      <c r="B483">
        <v>121156</v>
      </c>
      <c r="C483">
        <v>6929</v>
      </c>
      <c r="D483">
        <v>3057</v>
      </c>
      <c r="E483">
        <f t="shared" si="488"/>
        <v>3057</v>
      </c>
      <c r="F483">
        <f t="shared" si="489"/>
        <v>0.44667340164525904</v>
      </c>
      <c r="G483">
        <f t="shared" si="490"/>
        <v>0.59180685802179145</v>
      </c>
      <c r="H483">
        <v>3.5274379680523507E-2</v>
      </c>
      <c r="I483">
        <f t="shared" si="491"/>
        <v>6815.2298101482947</v>
      </c>
      <c r="J483">
        <f t="shared" si="492"/>
        <v>0.46585141929452889</v>
      </c>
      <c r="K483">
        <f t="shared" si="493"/>
        <v>1.9499510962976655E-11</v>
      </c>
      <c r="L483">
        <f t="shared" ref="L483:M483" si="526">AVERAGE(G481:G483)</f>
        <v>0.5871517121924742</v>
      </c>
      <c r="M483">
        <f t="shared" si="526"/>
        <v>3.5501034831907495E-2</v>
      </c>
    </row>
    <row r="484" spans="1:13" x14ac:dyDescent="0.25">
      <c r="A484" s="18">
        <v>32203</v>
      </c>
      <c r="B484">
        <v>120913</v>
      </c>
      <c r="C484">
        <v>6876</v>
      </c>
      <c r="D484">
        <v>3042</v>
      </c>
      <c r="E484">
        <f t="shared" si="488"/>
        <v>3042</v>
      </c>
      <c r="F484">
        <f t="shared" si="489"/>
        <v>0.49185573007562533</v>
      </c>
      <c r="G484">
        <f t="shared" si="490"/>
        <v>0.67698987580873793</v>
      </c>
      <c r="H484">
        <v>3.7445292199752095E-2</v>
      </c>
      <c r="I484">
        <f t="shared" si="491"/>
        <v>6337.3456661848159</v>
      </c>
      <c r="J484">
        <f t="shared" si="492"/>
        <v>0.51053149879949089</v>
      </c>
      <c r="K484">
        <f t="shared" si="493"/>
        <v>1.916256875197247E-11</v>
      </c>
      <c r="L484">
        <f t="shared" ref="L484:M484" si="527">AVERAGE(G482:G484)</f>
        <v>0.61806626184435975</v>
      </c>
      <c r="M484">
        <f t="shared" si="527"/>
        <v>3.6045498922642194E-2</v>
      </c>
    </row>
    <row r="485" spans="1:13" x14ac:dyDescent="0.25">
      <c r="A485" s="18">
        <v>32234</v>
      </c>
      <c r="B485">
        <v>121251</v>
      </c>
      <c r="C485">
        <v>6601</v>
      </c>
      <c r="D485">
        <v>3107</v>
      </c>
      <c r="E485">
        <f t="shared" si="488"/>
        <v>3107</v>
      </c>
      <c r="F485">
        <f t="shared" si="489"/>
        <v>0.44190274200878654</v>
      </c>
      <c r="G485">
        <f t="shared" si="490"/>
        <v>0.58322203431357333</v>
      </c>
      <c r="H485">
        <v>3.5661358366503283E-2</v>
      </c>
      <c r="I485">
        <f t="shared" si="491"/>
        <v>6986.7367818223393</v>
      </c>
      <c r="J485">
        <f t="shared" si="492"/>
        <v>0.46145455422597437</v>
      </c>
      <c r="K485">
        <f t="shared" si="493"/>
        <v>2.8043487476371496E-11</v>
      </c>
      <c r="L485">
        <f t="shared" ref="L485:M485" si="528">AVERAGE(G483:G485)</f>
        <v>0.61733958938136757</v>
      </c>
      <c r="M485">
        <f t="shared" si="528"/>
        <v>3.6127010082259631E-2</v>
      </c>
    </row>
    <row r="486" spans="1:13" x14ac:dyDescent="0.25">
      <c r="A486" s="18">
        <v>32264</v>
      </c>
      <c r="B486">
        <v>121071</v>
      </c>
      <c r="C486">
        <v>6779</v>
      </c>
      <c r="D486">
        <v>3095</v>
      </c>
      <c r="E486">
        <f t="shared" si="488"/>
        <v>3095</v>
      </c>
      <c r="F486">
        <f t="shared" si="489"/>
        <v>0.49181295176279682</v>
      </c>
      <c r="G486">
        <f t="shared" si="490"/>
        <v>0.67690569398320655</v>
      </c>
      <c r="H486">
        <v>3.7296732474581436E-2</v>
      </c>
      <c r="I486">
        <f t="shared" si="491"/>
        <v>6322.5109998935786</v>
      </c>
      <c r="J486">
        <f t="shared" si="492"/>
        <v>0.51041756588355425</v>
      </c>
      <c r="K486">
        <f t="shared" si="493"/>
        <v>1.8377828225598886E-11</v>
      </c>
      <c r="L486">
        <f t="shared" ref="L486:M486" si="529">AVERAGE(G484:G486)</f>
        <v>0.6457058680351726</v>
      </c>
      <c r="M486">
        <f t="shared" si="529"/>
        <v>3.6801127680278933E-2</v>
      </c>
    </row>
    <row r="487" spans="1:13" x14ac:dyDescent="0.25">
      <c r="A487" s="18">
        <v>32295</v>
      </c>
      <c r="B487">
        <v>121473</v>
      </c>
      <c r="C487">
        <v>6546</v>
      </c>
      <c r="D487">
        <v>3101</v>
      </c>
      <c r="E487">
        <f t="shared" si="488"/>
        <v>3101</v>
      </c>
      <c r="F487">
        <f t="shared" si="489"/>
        <v>0.44897647418270703</v>
      </c>
      <c r="G487">
        <f t="shared" si="490"/>
        <v>0.5959777741575869</v>
      </c>
      <c r="H487">
        <v>3.4637779318133603E-2</v>
      </c>
      <c r="I487">
        <f t="shared" si="491"/>
        <v>6672.139537188943</v>
      </c>
      <c r="J487">
        <f t="shared" si="492"/>
        <v>0.46773593684691683</v>
      </c>
      <c r="K487">
        <f t="shared" si="493"/>
        <v>2.915453116293877E-11</v>
      </c>
      <c r="L487">
        <f t="shared" ref="L487:M487" si="530">AVERAGE(G485:G487)</f>
        <v>0.61870183415145563</v>
      </c>
      <c r="M487">
        <f t="shared" si="530"/>
        <v>3.5865290053072769E-2</v>
      </c>
    </row>
    <row r="488" spans="1:13" x14ac:dyDescent="0.25">
      <c r="A488" s="18">
        <v>32325</v>
      </c>
      <c r="B488">
        <v>121665</v>
      </c>
      <c r="C488">
        <v>6605</v>
      </c>
      <c r="D488">
        <v>2998</v>
      </c>
      <c r="E488">
        <f t="shared" si="488"/>
        <v>2998</v>
      </c>
      <c r="F488">
        <f t="shared" si="489"/>
        <v>0.44420893262679784</v>
      </c>
      <c r="G488">
        <f t="shared" si="490"/>
        <v>0.58736283345959128</v>
      </c>
      <c r="H488">
        <v>3.6497831492704601E-2</v>
      </c>
      <c r="I488">
        <f t="shared" si="491"/>
        <v>7117.7891443106982</v>
      </c>
      <c r="J488">
        <f t="shared" si="492"/>
        <v>0.46412838183659655</v>
      </c>
      <c r="K488">
        <f t="shared" si="493"/>
        <v>1.787346798611011E-11</v>
      </c>
      <c r="L488">
        <f t="shared" ref="L488:M488" si="531">AVERAGE(G486:G488)</f>
        <v>0.62008210053346158</v>
      </c>
      <c r="M488">
        <f t="shared" si="531"/>
        <v>3.6144114428473213E-2</v>
      </c>
    </row>
    <row r="489" spans="1:13" x14ac:dyDescent="0.25">
      <c r="A489" s="18">
        <v>32356</v>
      </c>
      <c r="B489">
        <v>122125</v>
      </c>
      <c r="C489">
        <v>6843</v>
      </c>
      <c r="D489">
        <v>3172</v>
      </c>
      <c r="E489">
        <f t="shared" si="488"/>
        <v>3172</v>
      </c>
      <c r="F489">
        <f t="shared" si="489"/>
        <v>0.4955428905450826</v>
      </c>
      <c r="G489">
        <f t="shared" si="490"/>
        <v>0.68427245874917919</v>
      </c>
      <c r="H489">
        <v>3.7706730994781196E-2</v>
      </c>
      <c r="I489">
        <f t="shared" si="491"/>
        <v>6378.2094943356024</v>
      </c>
      <c r="J489">
        <f t="shared" si="492"/>
        <v>0.51421016639048511</v>
      </c>
      <c r="K489">
        <f t="shared" si="493"/>
        <v>1.0591168840419446E-11</v>
      </c>
      <c r="L489">
        <f t="shared" ref="L489:M489" si="532">AVERAGE(G487:G489)</f>
        <v>0.62253768878878579</v>
      </c>
      <c r="M489">
        <f t="shared" si="532"/>
        <v>3.6280780601873133E-2</v>
      </c>
    </row>
    <row r="490" spans="1:13" x14ac:dyDescent="0.25">
      <c r="A490" s="18">
        <v>32387</v>
      </c>
      <c r="B490">
        <v>121960</v>
      </c>
      <c r="C490">
        <v>6604</v>
      </c>
      <c r="D490">
        <v>3152</v>
      </c>
      <c r="E490">
        <f t="shared" si="488"/>
        <v>3152</v>
      </c>
      <c r="F490">
        <f t="shared" si="489"/>
        <v>0.4757722592368262</v>
      </c>
      <c r="G490">
        <f t="shared" si="490"/>
        <v>0.64582906930386408</v>
      </c>
      <c r="H490">
        <v>3.6542410653903401E-2</v>
      </c>
      <c r="I490">
        <f t="shared" si="491"/>
        <v>6531.2114211248809</v>
      </c>
      <c r="J490">
        <f t="shared" si="492"/>
        <v>0.4945830162175221</v>
      </c>
      <c r="K490">
        <f t="shared" si="493"/>
        <v>2.6150498719626684E-11</v>
      </c>
      <c r="L490">
        <f t="shared" ref="L490:M490" si="533">AVERAGE(G488:G490)</f>
        <v>0.63915478717087815</v>
      </c>
      <c r="M490">
        <f t="shared" si="533"/>
        <v>3.6915657713796401E-2</v>
      </c>
    </row>
    <row r="491" spans="1:13" x14ac:dyDescent="0.25">
      <c r="A491" s="18">
        <v>32417</v>
      </c>
      <c r="B491">
        <v>122206</v>
      </c>
      <c r="C491">
        <v>6568</v>
      </c>
      <c r="D491">
        <v>3106</v>
      </c>
      <c r="E491">
        <f t="shared" si="488"/>
        <v>3106</v>
      </c>
      <c r="F491">
        <f t="shared" si="489"/>
        <v>0.47624847746650423</v>
      </c>
      <c r="G491">
        <f t="shared" si="490"/>
        <v>0.64673790076482007</v>
      </c>
      <c r="H491">
        <v>3.6363395136461148E-2</v>
      </c>
      <c r="I491">
        <f t="shared" si="491"/>
        <v>6505.3676412415607</v>
      </c>
      <c r="J491">
        <f t="shared" si="492"/>
        <v>0.49495174302269229</v>
      </c>
      <c r="K491">
        <f t="shared" si="493"/>
        <v>2.3647680580035197E-11</v>
      </c>
      <c r="L491">
        <f t="shared" ref="L491:M491" si="534">AVERAGE(G489:G491)</f>
        <v>0.65894647627262115</v>
      </c>
      <c r="M491">
        <f t="shared" si="534"/>
        <v>3.6870845595048579E-2</v>
      </c>
    </row>
    <row r="492" spans="1:13" x14ac:dyDescent="0.25">
      <c r="A492" s="18">
        <v>32448</v>
      </c>
      <c r="B492">
        <v>122637</v>
      </c>
      <c r="C492">
        <v>6537</v>
      </c>
      <c r="D492">
        <v>3097</v>
      </c>
      <c r="E492">
        <f t="shared" si="488"/>
        <v>3097</v>
      </c>
      <c r="F492">
        <f t="shared" si="489"/>
        <v>0.45754933455713631</v>
      </c>
      <c r="G492">
        <f t="shared" si="490"/>
        <v>0.61165813697857641</v>
      </c>
      <c r="H492">
        <v>3.4217204778994162E-2</v>
      </c>
      <c r="I492">
        <f t="shared" si="491"/>
        <v>6497.0669588692663</v>
      </c>
      <c r="J492">
        <f t="shared" si="492"/>
        <v>0.47579651597947847</v>
      </c>
      <c r="K492">
        <f t="shared" si="493"/>
        <v>3.3946917166217983E-12</v>
      </c>
      <c r="L492">
        <f t="shared" ref="L492:M492" si="535">AVERAGE(G490:G492)</f>
        <v>0.63474170234908689</v>
      </c>
      <c r="M492">
        <f t="shared" si="535"/>
        <v>3.5707670189786232E-2</v>
      </c>
    </row>
    <row r="493" spans="1:13" x14ac:dyDescent="0.25">
      <c r="A493" s="18">
        <v>32478</v>
      </c>
      <c r="B493">
        <v>122622</v>
      </c>
      <c r="C493">
        <v>6518</v>
      </c>
      <c r="D493">
        <v>2972</v>
      </c>
      <c r="E493">
        <f t="shared" si="488"/>
        <v>2972</v>
      </c>
      <c r="F493">
        <f t="shared" si="489"/>
        <v>0.45750230131942315</v>
      </c>
      <c r="G493">
        <f t="shared" si="490"/>
        <v>0.61157143563997285</v>
      </c>
      <c r="H493">
        <v>3.6252325527157014E-2</v>
      </c>
      <c r="I493">
        <f t="shared" si="491"/>
        <v>6861.9475345922228</v>
      </c>
      <c r="J493">
        <f t="shared" si="492"/>
        <v>0.47681688984137682</v>
      </c>
      <c r="K493">
        <f t="shared" si="493"/>
        <v>3.952797458501873E-11</v>
      </c>
      <c r="L493">
        <f t="shared" ref="L493:M493" si="536">AVERAGE(G491:G493)</f>
        <v>0.62332249112778981</v>
      </c>
      <c r="M493">
        <f t="shared" si="536"/>
        <v>3.5610975147537444E-2</v>
      </c>
    </row>
    <row r="494" spans="1:13" x14ac:dyDescent="0.25">
      <c r="A494" s="18">
        <v>32509</v>
      </c>
      <c r="B494">
        <v>123390</v>
      </c>
      <c r="C494">
        <v>6682</v>
      </c>
      <c r="D494">
        <v>3146</v>
      </c>
      <c r="E494">
        <f t="shared" si="488"/>
        <v>3146</v>
      </c>
      <c r="F494">
        <f t="shared" si="489"/>
        <v>0.5263394193355283</v>
      </c>
      <c r="G494">
        <f t="shared" si="490"/>
        <v>0.74726428833842529</v>
      </c>
      <c r="H494">
        <v>3.8787488389388711E-2</v>
      </c>
      <c r="I494">
        <f t="shared" si="491"/>
        <v>6088.6424203375545</v>
      </c>
      <c r="J494">
        <f t="shared" si="492"/>
        <v>0.54435978210259706</v>
      </c>
      <c r="K494">
        <f t="shared" si="493"/>
        <v>7.6949283813140834E-12</v>
      </c>
      <c r="L494">
        <f t="shared" ref="L494:M494" si="537">AVERAGE(G492:G494)</f>
        <v>0.65683128698565818</v>
      </c>
      <c r="M494">
        <f t="shared" si="537"/>
        <v>3.6419006231846629E-2</v>
      </c>
    </row>
    <row r="495" spans="1:13" x14ac:dyDescent="0.25">
      <c r="A495" s="18">
        <v>32540</v>
      </c>
      <c r="B495">
        <v>123135</v>
      </c>
      <c r="C495">
        <v>6359</v>
      </c>
      <c r="D495">
        <v>3194</v>
      </c>
      <c r="E495">
        <f t="shared" si="488"/>
        <v>3194</v>
      </c>
      <c r="F495">
        <f t="shared" si="489"/>
        <v>0.50259474760182421</v>
      </c>
      <c r="G495">
        <f t="shared" si="490"/>
        <v>0.69835018796175896</v>
      </c>
      <c r="H495">
        <v>3.616658174112039E-2</v>
      </c>
      <c r="I495">
        <f t="shared" si="491"/>
        <v>6062.9957359507262</v>
      </c>
      <c r="J495">
        <f t="shared" si="492"/>
        <v>0.52026277346565131</v>
      </c>
      <c r="K495">
        <f t="shared" si="493"/>
        <v>3.9446704886162171E-13</v>
      </c>
      <c r="L495">
        <f t="shared" ref="L495:M495" si="538">AVERAGE(G493:G495)</f>
        <v>0.68572863731338574</v>
      </c>
      <c r="M495">
        <f t="shared" si="538"/>
        <v>3.706879855255537E-2</v>
      </c>
    </row>
    <row r="496" spans="1:13" x14ac:dyDescent="0.25">
      <c r="A496" s="18">
        <v>32568</v>
      </c>
      <c r="B496">
        <v>123227</v>
      </c>
      <c r="C496">
        <v>6205</v>
      </c>
      <c r="D496">
        <v>3042</v>
      </c>
      <c r="E496">
        <f t="shared" si="488"/>
        <v>3042</v>
      </c>
      <c r="F496">
        <f t="shared" si="489"/>
        <v>0.45882352941176474</v>
      </c>
      <c r="G496">
        <f t="shared" si="490"/>
        <v>0.61400986000122149</v>
      </c>
      <c r="H496">
        <v>3.5613314680212817E-2</v>
      </c>
      <c r="I496">
        <f t="shared" si="491"/>
        <v>6755.4885649679172</v>
      </c>
      <c r="J496">
        <f t="shared" si="492"/>
        <v>0.47775746610364322</v>
      </c>
      <c r="K496">
        <f t="shared" si="493"/>
        <v>4.8040323484100488E-10</v>
      </c>
      <c r="L496">
        <f t="shared" ref="L496:M496" si="539">AVERAGE(G494:G496)</f>
        <v>0.68654144543380191</v>
      </c>
      <c r="M496">
        <f t="shared" si="539"/>
        <v>3.6855794936907306E-2</v>
      </c>
    </row>
    <row r="497" spans="1:13" x14ac:dyDescent="0.25">
      <c r="A497" s="18">
        <v>32599</v>
      </c>
      <c r="B497">
        <v>123565</v>
      </c>
      <c r="C497">
        <v>6468</v>
      </c>
      <c r="D497">
        <v>3110</v>
      </c>
      <c r="E497">
        <f t="shared" si="488"/>
        <v>3110</v>
      </c>
      <c r="F497">
        <f t="shared" si="489"/>
        <v>0.48623995052566482</v>
      </c>
      <c r="G497">
        <f t="shared" si="490"/>
        <v>0.66599895234240325</v>
      </c>
      <c r="H497">
        <v>3.5682111802002689E-2</v>
      </c>
      <c r="I497">
        <f t="shared" si="491"/>
        <v>6283.5672360499648</v>
      </c>
      <c r="J497">
        <f t="shared" si="492"/>
        <v>0.50424878668121309</v>
      </c>
      <c r="K497">
        <f t="shared" si="493"/>
        <v>6.5225689832628505E-12</v>
      </c>
      <c r="L497">
        <f t="shared" ref="L497:M497" si="540">AVERAGE(G495:G497)</f>
        <v>0.65945300010179453</v>
      </c>
      <c r="M497">
        <f t="shared" si="540"/>
        <v>3.582066940777863E-2</v>
      </c>
    </row>
    <row r="498" spans="1:13" x14ac:dyDescent="0.25">
      <c r="A498" s="18">
        <v>32629</v>
      </c>
      <c r="B498">
        <v>123474</v>
      </c>
      <c r="C498">
        <v>6375</v>
      </c>
      <c r="D498">
        <v>3052</v>
      </c>
      <c r="E498">
        <f t="shared" si="488"/>
        <v>3052</v>
      </c>
      <c r="F498">
        <f t="shared" si="489"/>
        <v>0.48643137254901958</v>
      </c>
      <c r="G498">
        <f t="shared" si="490"/>
        <v>0.66637161209554663</v>
      </c>
      <c r="H498">
        <v>3.8682045097913335E-2</v>
      </c>
      <c r="I498">
        <f t="shared" si="491"/>
        <v>6774.2742523058787</v>
      </c>
      <c r="J498">
        <f t="shared" si="492"/>
        <v>0.50591793751193748</v>
      </c>
      <c r="K498">
        <f t="shared" si="493"/>
        <v>3.8790607561883961E-11</v>
      </c>
      <c r="L498">
        <f t="shared" ref="L498:M498" si="541">AVERAGE(G496:G498)</f>
        <v>0.64879347481305716</v>
      </c>
      <c r="M498">
        <f t="shared" si="541"/>
        <v>3.6659157193376285E-2</v>
      </c>
    </row>
    <row r="499" spans="1:13" x14ac:dyDescent="0.25">
      <c r="A499" s="18">
        <v>32660</v>
      </c>
      <c r="B499">
        <v>123995</v>
      </c>
      <c r="C499">
        <v>6577</v>
      </c>
      <c r="D499">
        <v>3303</v>
      </c>
      <c r="E499">
        <f t="shared" si="488"/>
        <v>3303</v>
      </c>
      <c r="F499">
        <f t="shared" si="489"/>
        <v>0.49490649232172723</v>
      </c>
      <c r="G499">
        <f t="shared" si="490"/>
        <v>0.68301170312811088</v>
      </c>
      <c r="H499">
        <v>3.7278110057208283E-2</v>
      </c>
      <c r="I499">
        <f t="shared" si="491"/>
        <v>6417.2770070181405</v>
      </c>
      <c r="J499">
        <f t="shared" si="492"/>
        <v>0.51338879082219357</v>
      </c>
      <c r="K499">
        <f t="shared" si="493"/>
        <v>3.3253006836444885E-11</v>
      </c>
      <c r="L499">
        <f t="shared" ref="L499:M499" si="542">AVERAGE(G497:G499)</f>
        <v>0.67179408918868688</v>
      </c>
      <c r="M499">
        <f t="shared" si="542"/>
        <v>3.7214088985708098E-2</v>
      </c>
    </row>
    <row r="500" spans="1:13" x14ac:dyDescent="0.25">
      <c r="A500" s="18">
        <v>32690</v>
      </c>
      <c r="B500">
        <v>123967</v>
      </c>
      <c r="C500">
        <v>6495</v>
      </c>
      <c r="D500">
        <v>3173</v>
      </c>
      <c r="E500">
        <f t="shared" si="488"/>
        <v>3173</v>
      </c>
      <c r="F500">
        <f t="shared" si="489"/>
        <v>0.47328714395688987</v>
      </c>
      <c r="G500">
        <f t="shared" si="490"/>
        <v>0.64109974412709514</v>
      </c>
      <c r="H500">
        <v>3.563370606997017E-2</v>
      </c>
      <c r="I500">
        <f t="shared" si="491"/>
        <v>6527.5384851888739</v>
      </c>
      <c r="J500">
        <f t="shared" si="492"/>
        <v>0.49172541216268084</v>
      </c>
      <c r="K500">
        <f t="shared" si="493"/>
        <v>1.6523376402340077E-15</v>
      </c>
      <c r="L500">
        <f t="shared" ref="L500:M500" si="543">AVERAGE(G498:G500)</f>
        <v>0.66349435311691751</v>
      </c>
      <c r="M500">
        <f t="shared" si="543"/>
        <v>3.7197953741697258E-2</v>
      </c>
    </row>
    <row r="501" spans="1:13" x14ac:dyDescent="0.25">
      <c r="A501" s="18">
        <v>32721</v>
      </c>
      <c r="B501">
        <v>124166</v>
      </c>
      <c r="C501">
        <v>6511</v>
      </c>
      <c r="D501">
        <v>3090</v>
      </c>
      <c r="E501">
        <f t="shared" si="488"/>
        <v>3090</v>
      </c>
      <c r="F501">
        <f t="shared" si="489"/>
        <v>0.48149285823990173</v>
      </c>
      <c r="G501">
        <f t="shared" si="490"/>
        <v>0.65680147752101437</v>
      </c>
      <c r="H501">
        <v>3.7278457376869537E-2</v>
      </c>
      <c r="I501">
        <f t="shared" si="491"/>
        <v>6668.8528308160649</v>
      </c>
      <c r="J501">
        <f t="shared" si="492"/>
        <v>0.50046615972891684</v>
      </c>
      <c r="K501">
        <f t="shared" si="493"/>
        <v>1.6690903339654196E-15</v>
      </c>
      <c r="L501">
        <f t="shared" ref="L501:M501" si="544">AVERAGE(G499:G501)</f>
        <v>0.6603043082587402</v>
      </c>
      <c r="M501">
        <f t="shared" si="544"/>
        <v>3.6730091168015996E-2</v>
      </c>
    </row>
    <row r="502" spans="1:13" x14ac:dyDescent="0.25">
      <c r="A502" s="18">
        <v>32752</v>
      </c>
      <c r="B502">
        <v>123944</v>
      </c>
      <c r="C502">
        <v>6590</v>
      </c>
      <c r="D502">
        <v>3214</v>
      </c>
      <c r="E502">
        <f t="shared" si="488"/>
        <v>3214</v>
      </c>
      <c r="F502">
        <f t="shared" si="489"/>
        <v>0.48224582701062213</v>
      </c>
      <c r="G502">
        <f t="shared" si="490"/>
        <v>0.6582547188849831</v>
      </c>
      <c r="H502">
        <v>3.7437265563589284E-2</v>
      </c>
      <c r="I502">
        <f t="shared" si="491"/>
        <v>6669.7971900472885</v>
      </c>
      <c r="J502">
        <f t="shared" si="492"/>
        <v>0.50127078431008387</v>
      </c>
      <c r="K502">
        <f t="shared" si="493"/>
        <v>1.6601845766184287E-15</v>
      </c>
      <c r="L502">
        <f t="shared" ref="L502:M502" si="545">AVERAGE(G500:G502)</f>
        <v>0.6520519801776975</v>
      </c>
      <c r="M502">
        <f t="shared" si="545"/>
        <v>3.6783143003476328E-2</v>
      </c>
    </row>
    <row r="503" spans="1:13" x14ac:dyDescent="0.25">
      <c r="A503" s="18">
        <v>32782</v>
      </c>
      <c r="B503">
        <v>124211</v>
      </c>
      <c r="C503">
        <v>6630</v>
      </c>
      <c r="D503">
        <v>3218</v>
      </c>
      <c r="E503">
        <f t="shared" si="488"/>
        <v>3218</v>
      </c>
      <c r="F503">
        <f t="shared" si="489"/>
        <v>0.47541478129713421</v>
      </c>
      <c r="G503">
        <f t="shared" si="490"/>
        <v>0.64514738826567986</v>
      </c>
      <c r="H503">
        <v>3.7492565886250204E-2</v>
      </c>
      <c r="I503">
        <f t="shared" si="491"/>
        <v>6822.0283225035973</v>
      </c>
      <c r="J503">
        <f t="shared" si="492"/>
        <v>0.49471868942176722</v>
      </c>
      <c r="K503">
        <f t="shared" si="493"/>
        <v>1.6679015232239482E-15</v>
      </c>
      <c r="L503">
        <f t="shared" ref="L503:M503" si="546">AVERAGE(G501:G503)</f>
        <v>0.65340119489055903</v>
      </c>
      <c r="M503">
        <f t="shared" si="546"/>
        <v>3.7402762942236344E-2</v>
      </c>
    </row>
    <row r="504" spans="1:13" x14ac:dyDescent="0.25">
      <c r="A504" s="18">
        <v>32813</v>
      </c>
      <c r="B504">
        <v>124637</v>
      </c>
      <c r="C504">
        <v>6725</v>
      </c>
      <c r="D504">
        <v>3247</v>
      </c>
      <c r="E504">
        <f t="shared" si="488"/>
        <v>3247</v>
      </c>
      <c r="F504">
        <f t="shared" si="489"/>
        <v>0.49561338289962831</v>
      </c>
      <c r="G504">
        <f t="shared" si="490"/>
        <v>0.68441220755824628</v>
      </c>
      <c r="H504">
        <v>3.834392649161425E-2</v>
      </c>
      <c r="I504">
        <f t="shared" si="491"/>
        <v>6612.2883514754549</v>
      </c>
      <c r="J504">
        <f t="shared" si="492"/>
        <v>0.51458745145185336</v>
      </c>
      <c r="K504">
        <f t="shared" si="493"/>
        <v>1.3555102673895857E-15</v>
      </c>
      <c r="L504">
        <f t="shared" ref="L504:M504" si="547">AVERAGE(G502:G504)</f>
        <v>0.66260477156963649</v>
      </c>
      <c r="M504">
        <f t="shared" si="547"/>
        <v>3.775791931381791E-2</v>
      </c>
    </row>
    <row r="505" spans="1:13" x14ac:dyDescent="0.25">
      <c r="A505" s="18">
        <v>32843</v>
      </c>
      <c r="B505">
        <v>124497</v>
      </c>
      <c r="C505">
        <v>6667</v>
      </c>
      <c r="D505">
        <v>3275</v>
      </c>
      <c r="E505">
        <f t="shared" si="488"/>
        <v>3275</v>
      </c>
      <c r="F505">
        <f t="shared" si="489"/>
        <v>0.46557672116394178</v>
      </c>
      <c r="G505">
        <f t="shared" si="490"/>
        <v>0.62656709701222391</v>
      </c>
      <c r="H505">
        <v>3.6438866872614342E-2</v>
      </c>
      <c r="I505">
        <f t="shared" si="491"/>
        <v>6842.3662171277947</v>
      </c>
      <c r="J505">
        <f t="shared" si="492"/>
        <v>0.48469996920406322</v>
      </c>
      <c r="K505">
        <f t="shared" si="493"/>
        <v>1.7035999153831603E-15</v>
      </c>
      <c r="L505">
        <f t="shared" ref="L505:M505" si="548">AVERAGE(G503:G505)</f>
        <v>0.65204223094538338</v>
      </c>
      <c r="M505">
        <f t="shared" si="548"/>
        <v>3.7425119750159601E-2</v>
      </c>
    </row>
    <row r="506" spans="1:13" x14ac:dyDescent="0.25">
      <c r="A506" s="18">
        <v>32874</v>
      </c>
      <c r="B506">
        <v>125833</v>
      </c>
      <c r="C506">
        <v>6752</v>
      </c>
      <c r="D506">
        <v>3189</v>
      </c>
      <c r="E506">
        <f t="shared" si="488"/>
        <v>3189</v>
      </c>
      <c r="F506">
        <f t="shared" si="489"/>
        <v>0.49229857819905209</v>
      </c>
      <c r="G506">
        <f t="shared" si="490"/>
        <v>0.67786175655812253</v>
      </c>
      <c r="H506">
        <v>3.7248105430437821E-2</v>
      </c>
      <c r="I506">
        <f t="shared" si="491"/>
        <v>6554.2948010738819</v>
      </c>
      <c r="J506">
        <f t="shared" si="492"/>
        <v>0.51086162886977615</v>
      </c>
      <c r="K506">
        <f t="shared" si="493"/>
        <v>1.6467229764640141E-15</v>
      </c>
      <c r="L506">
        <f t="shared" ref="L506:M506" si="549">AVERAGE(G504:G506)</f>
        <v>0.66294702037619757</v>
      </c>
      <c r="M506">
        <f t="shared" si="549"/>
        <v>3.7343632931555466E-2</v>
      </c>
    </row>
    <row r="507" spans="1:13" x14ac:dyDescent="0.25">
      <c r="A507" s="18">
        <v>32905</v>
      </c>
      <c r="B507">
        <v>125710</v>
      </c>
      <c r="C507">
        <v>6651</v>
      </c>
      <c r="D507">
        <v>3223</v>
      </c>
      <c r="E507">
        <f t="shared" si="488"/>
        <v>3223</v>
      </c>
      <c r="F507">
        <f t="shared" si="489"/>
        <v>0.4900015035333033</v>
      </c>
      <c r="G507">
        <f t="shared" si="490"/>
        <v>0.67334750137262755</v>
      </c>
      <c r="H507">
        <v>3.6993424572793338E-2</v>
      </c>
      <c r="I507">
        <f t="shared" si="491"/>
        <v>6546.7766718585044</v>
      </c>
      <c r="J507">
        <f t="shared" si="492"/>
        <v>0.50852338823308618</v>
      </c>
      <c r="K507">
        <f t="shared" si="493"/>
        <v>1.6449519099806442E-15</v>
      </c>
      <c r="L507">
        <f t="shared" ref="L507:M507" si="550">AVERAGE(G505:G507)</f>
        <v>0.65925878498099133</v>
      </c>
      <c r="M507">
        <f t="shared" si="550"/>
        <v>3.6893465625281834E-2</v>
      </c>
    </row>
    <row r="508" spans="1:13" x14ac:dyDescent="0.25">
      <c r="A508" s="18">
        <v>32933</v>
      </c>
      <c r="B508">
        <v>125801</v>
      </c>
      <c r="C508">
        <v>6598</v>
      </c>
      <c r="D508">
        <v>3206</v>
      </c>
      <c r="E508">
        <f t="shared" si="488"/>
        <v>3206</v>
      </c>
      <c r="F508">
        <f t="shared" si="489"/>
        <v>0.46529251288269169</v>
      </c>
      <c r="G508">
        <f t="shared" si="490"/>
        <v>0.62603543466184475</v>
      </c>
      <c r="H508">
        <v>3.6935172809390848E-2</v>
      </c>
      <c r="I508">
        <f t="shared" si="491"/>
        <v>7008.5786944872598</v>
      </c>
      <c r="J508">
        <f t="shared" si="492"/>
        <v>0.48468174972095901</v>
      </c>
      <c r="K508">
        <f t="shared" si="493"/>
        <v>1.7835744675279891E-15</v>
      </c>
      <c r="L508">
        <f t="shared" ref="L508:M508" si="551">AVERAGE(G506:G508)</f>
        <v>0.6590815641975315</v>
      </c>
      <c r="M508">
        <f t="shared" si="551"/>
        <v>3.7058900937540669E-2</v>
      </c>
    </row>
    <row r="509" spans="1:13" x14ac:dyDescent="0.25">
      <c r="A509" s="18">
        <v>32964</v>
      </c>
      <c r="B509">
        <v>125649</v>
      </c>
      <c r="C509">
        <v>6797</v>
      </c>
      <c r="D509">
        <v>3269</v>
      </c>
      <c r="E509">
        <f t="shared" si="488"/>
        <v>3269</v>
      </c>
      <c r="F509">
        <f t="shared" si="489"/>
        <v>0.46667647491540387</v>
      </c>
      <c r="G509">
        <f t="shared" si="490"/>
        <v>0.62862705005786312</v>
      </c>
      <c r="H509">
        <v>3.5317149481640116E-2</v>
      </c>
      <c r="I509">
        <f t="shared" si="491"/>
        <v>6683.6407612211897</v>
      </c>
      <c r="J509">
        <f t="shared" si="492"/>
        <v>0.4851832153309833</v>
      </c>
      <c r="K509">
        <f t="shared" si="493"/>
        <v>1.7492489296606383E-15</v>
      </c>
      <c r="L509">
        <f t="shared" ref="L509:M509" si="552">AVERAGE(G507:G509)</f>
        <v>0.64266999536411173</v>
      </c>
      <c r="M509">
        <f t="shared" si="552"/>
        <v>3.6415248954608098E-2</v>
      </c>
    </row>
    <row r="510" spans="1:13" x14ac:dyDescent="0.25">
      <c r="A510" s="18">
        <v>32994</v>
      </c>
      <c r="B510">
        <v>125893</v>
      </c>
      <c r="C510">
        <v>6742</v>
      </c>
      <c r="D510">
        <v>3117</v>
      </c>
      <c r="E510">
        <f t="shared" si="488"/>
        <v>3117</v>
      </c>
      <c r="F510">
        <f t="shared" si="489"/>
        <v>0.48991397211509935</v>
      </c>
      <c r="G510">
        <f t="shared" si="490"/>
        <v>0.67317588536173978</v>
      </c>
      <c r="H510">
        <v>3.6309454211340089E-2</v>
      </c>
      <c r="I510">
        <f t="shared" si="491"/>
        <v>6442.8478843253042</v>
      </c>
      <c r="J510">
        <f t="shared" si="492"/>
        <v>0.50810270760308951</v>
      </c>
      <c r="K510">
        <f t="shared" si="493"/>
        <v>1.6397917422525792E-15</v>
      </c>
      <c r="L510">
        <f t="shared" ref="L510:M510" si="553">AVERAGE(G508:G510)</f>
        <v>0.64261279002714922</v>
      </c>
      <c r="M510">
        <f t="shared" si="553"/>
        <v>3.618725883412368E-2</v>
      </c>
    </row>
    <row r="511" spans="1:13" x14ac:dyDescent="0.25">
      <c r="A511" s="18">
        <v>33025</v>
      </c>
      <c r="B511">
        <v>125573</v>
      </c>
      <c r="C511">
        <v>6590</v>
      </c>
      <c r="D511">
        <v>3151</v>
      </c>
      <c r="E511">
        <f t="shared" si="488"/>
        <v>3151</v>
      </c>
      <c r="F511">
        <f t="shared" si="489"/>
        <v>0.43839150227617607</v>
      </c>
      <c r="G511">
        <f t="shared" si="490"/>
        <v>0.57695029511039697</v>
      </c>
      <c r="H511">
        <v>3.5686776993358239E-2</v>
      </c>
      <c r="I511">
        <f t="shared" si="491"/>
        <v>7314.7640772023506</v>
      </c>
      <c r="J511">
        <f t="shared" si="492"/>
        <v>0.45808009873298094</v>
      </c>
      <c r="K511">
        <f t="shared" si="493"/>
        <v>1.8464197552762636E-15</v>
      </c>
      <c r="L511">
        <f t="shared" ref="L511:M511" si="554">AVERAGE(G509:G511)</f>
        <v>0.62625107684333337</v>
      </c>
      <c r="M511">
        <f t="shared" si="554"/>
        <v>3.5771126895446148E-2</v>
      </c>
    </row>
    <row r="512" spans="1:13" x14ac:dyDescent="0.25">
      <c r="A512" s="18">
        <v>33055</v>
      </c>
      <c r="B512">
        <v>125732</v>
      </c>
      <c r="C512">
        <v>6922</v>
      </c>
      <c r="D512">
        <v>3221</v>
      </c>
      <c r="E512">
        <f t="shared" si="488"/>
        <v>3221</v>
      </c>
      <c r="F512">
        <f t="shared" si="489"/>
        <v>0.44120196475007223</v>
      </c>
      <c r="G512">
        <f t="shared" si="490"/>
        <v>0.58196716762210465</v>
      </c>
      <c r="H512">
        <v>3.6908707313773811E-2</v>
      </c>
      <c r="I512">
        <f t="shared" si="491"/>
        <v>7498.4431869415175</v>
      </c>
      <c r="J512">
        <f t="shared" si="492"/>
        <v>0.46145050556385558</v>
      </c>
      <c r="K512">
        <f t="shared" si="493"/>
        <v>1.8492346575182265E-15</v>
      </c>
      <c r="L512">
        <f t="shared" ref="L512:M512" si="555">AVERAGE(G510:G512)</f>
        <v>0.6106977826980805</v>
      </c>
      <c r="M512">
        <f t="shared" si="555"/>
        <v>3.6301646172824047E-2</v>
      </c>
    </row>
    <row r="513" spans="1:13" x14ac:dyDescent="0.25">
      <c r="A513" s="18">
        <v>33086</v>
      </c>
      <c r="B513">
        <v>125990</v>
      </c>
      <c r="C513">
        <v>7188</v>
      </c>
      <c r="D513">
        <v>3320</v>
      </c>
      <c r="E513">
        <f t="shared" si="488"/>
        <v>3320</v>
      </c>
      <c r="F513">
        <f t="shared" si="489"/>
        <v>0.43127434613244298</v>
      </c>
      <c r="G513">
        <f t="shared" si="490"/>
        <v>0.56435711601990934</v>
      </c>
      <c r="H513">
        <v>3.6161198435727009E-2</v>
      </c>
      <c r="I513">
        <f t="shared" si="491"/>
        <v>7586.6951619072061</v>
      </c>
      <c r="J513">
        <f t="shared" si="492"/>
        <v>0.45147274720402875</v>
      </c>
      <c r="K513">
        <f t="shared" si="493"/>
        <v>1.8663262570727687E-15</v>
      </c>
      <c r="L513">
        <f t="shared" ref="L513:M513" si="556">AVERAGE(G511:G513)</f>
        <v>0.57442485958413692</v>
      </c>
      <c r="M513">
        <f t="shared" si="556"/>
        <v>3.6252227580953027E-2</v>
      </c>
    </row>
    <row r="514" spans="1:13" x14ac:dyDescent="0.25">
      <c r="A514" s="18">
        <v>33117</v>
      </c>
      <c r="B514">
        <v>125892</v>
      </c>
      <c r="C514">
        <v>7368</v>
      </c>
      <c r="D514">
        <v>3280</v>
      </c>
      <c r="E514">
        <f t="shared" si="488"/>
        <v>3280</v>
      </c>
      <c r="F514">
        <f t="shared" si="489"/>
        <v>0.44191096634093374</v>
      </c>
      <c r="G514">
        <f t="shared" si="490"/>
        <v>0.58323677080014169</v>
      </c>
      <c r="H514">
        <v>3.728716344172528E-2</v>
      </c>
      <c r="I514">
        <f t="shared" si="491"/>
        <v>7564.8259816776017</v>
      </c>
      <c r="J514">
        <f t="shared" si="492"/>
        <v>0.46233733609451533</v>
      </c>
      <c r="K514">
        <f t="shared" si="493"/>
        <v>1.8498604825173494E-15</v>
      </c>
      <c r="L514">
        <f t="shared" ref="L514:M514" si="557">AVERAGE(G512:G514)</f>
        <v>0.57652035148071856</v>
      </c>
      <c r="M514">
        <f t="shared" si="557"/>
        <v>3.6785689730408695E-2</v>
      </c>
    </row>
    <row r="515" spans="1:13" x14ac:dyDescent="0.25">
      <c r="A515" s="18">
        <v>33147</v>
      </c>
      <c r="B515">
        <v>125995</v>
      </c>
      <c r="C515">
        <v>7459</v>
      </c>
      <c r="D515">
        <v>3347</v>
      </c>
      <c r="E515">
        <f t="shared" ref="E515:E578" si="558">IF(A515&gt;A$554,1.16*D515,D515)</f>
        <v>3347</v>
      </c>
      <c r="F515">
        <f t="shared" ref="F515:F578" si="559">1 - ( (C516-E516)/C515 )</f>
        <v>0.42056575948518571</v>
      </c>
      <c r="G515">
        <f t="shared" ref="G515:G578" si="560">-LN(1-F515)</f>
        <v>0.54570309888833202</v>
      </c>
      <c r="H515">
        <v>3.7735176657827801E-2</v>
      </c>
      <c r="I515">
        <f t="shared" ref="I515:I578" si="561">H515*B515/(H515+G515)</f>
        <v>8149.0086994247222</v>
      </c>
      <c r="J515">
        <f t="shared" ref="J515:J578" si="562">1-EXP(-H515-G515)</f>
        <v>0.44202341260030875</v>
      </c>
      <c r="K515">
        <f t="shared" ref="K515:K578" si="563">( ( (J515*I515) + ( (1-J515)*C515 ) ) - C516 )^2</f>
        <v>1.9023317218364177E-15</v>
      </c>
      <c r="L515">
        <f t="shared" ref="L515:M515" si="564">AVERAGE(G513:G515)</f>
        <v>0.56443232856946102</v>
      </c>
      <c r="M515">
        <f t="shared" si="564"/>
        <v>3.706117951176003E-2</v>
      </c>
    </row>
    <row r="516" spans="1:13" x14ac:dyDescent="0.25">
      <c r="A516" s="18">
        <v>33178</v>
      </c>
      <c r="B516">
        <v>126070</v>
      </c>
      <c r="C516">
        <v>7764</v>
      </c>
      <c r="D516">
        <v>3442</v>
      </c>
      <c r="E516">
        <f t="shared" si="558"/>
        <v>3442</v>
      </c>
      <c r="F516">
        <f t="shared" si="559"/>
        <v>0.42825862957238536</v>
      </c>
      <c r="G516">
        <f t="shared" si="560"/>
        <v>0.55906853945486568</v>
      </c>
      <c r="H516">
        <v>3.8227748077645118E-2</v>
      </c>
      <c r="I516">
        <f t="shared" si="561"/>
        <v>8068.645830795328</v>
      </c>
      <c r="J516">
        <f t="shared" si="562"/>
        <v>0.44970252731082905</v>
      </c>
      <c r="K516">
        <f t="shared" si="563"/>
        <v>1.8806556093944207E-15</v>
      </c>
      <c r="L516">
        <f t="shared" ref="L516:M516" si="565">AVERAGE(G514:G516)</f>
        <v>0.56266946971444642</v>
      </c>
      <c r="M516">
        <f t="shared" si="565"/>
        <v>3.7750029392399402E-2</v>
      </c>
    </row>
    <row r="517" spans="1:13" x14ac:dyDescent="0.25">
      <c r="A517" s="18">
        <v>33208</v>
      </c>
      <c r="B517">
        <v>126142</v>
      </c>
      <c r="C517">
        <v>7901</v>
      </c>
      <c r="D517">
        <v>3462</v>
      </c>
      <c r="E517">
        <f t="shared" si="558"/>
        <v>3462</v>
      </c>
      <c r="F517">
        <f t="shared" si="559"/>
        <v>0.42475635995443617</v>
      </c>
      <c r="G517">
        <f t="shared" si="560"/>
        <v>0.55296160611115408</v>
      </c>
      <c r="H517">
        <v>3.8226575197367392E-2</v>
      </c>
      <c r="I517">
        <f t="shared" si="561"/>
        <v>8156.4158435533545</v>
      </c>
      <c r="J517">
        <f t="shared" si="562"/>
        <v>0.44633096544629558</v>
      </c>
      <c r="K517">
        <f t="shared" si="563"/>
        <v>1.887761802231578E-15</v>
      </c>
      <c r="L517">
        <f t="shared" ref="L517:M517" si="566">AVERAGE(G515:G517)</f>
        <v>0.55257774815145055</v>
      </c>
      <c r="M517">
        <f t="shared" si="566"/>
        <v>3.8063166644280104E-2</v>
      </c>
    </row>
    <row r="518" spans="1:13" x14ac:dyDescent="0.25">
      <c r="A518" s="18">
        <v>33239</v>
      </c>
      <c r="B518">
        <v>125955</v>
      </c>
      <c r="C518">
        <v>8015</v>
      </c>
      <c r="D518">
        <v>3470</v>
      </c>
      <c r="E518">
        <f t="shared" si="558"/>
        <v>3470</v>
      </c>
      <c r="F518">
        <f t="shared" si="559"/>
        <v>0.41609482220835936</v>
      </c>
      <c r="G518">
        <f t="shared" si="560"/>
        <v>0.53801667613196091</v>
      </c>
      <c r="H518">
        <v>3.9352903883922499E-2</v>
      </c>
      <c r="I518">
        <f t="shared" si="561"/>
        <v>8584.9604486663466</v>
      </c>
      <c r="J518">
        <f t="shared" si="562"/>
        <v>0.43862692688362348</v>
      </c>
      <c r="K518">
        <f t="shared" si="563"/>
        <v>1.912341259066632E-15</v>
      </c>
      <c r="L518">
        <f t="shared" ref="L518:M518" si="567">AVERAGE(G516:G518)</f>
        <v>0.55001560723266019</v>
      </c>
      <c r="M518">
        <f t="shared" si="567"/>
        <v>3.8602409052978334E-2</v>
      </c>
    </row>
    <row r="519" spans="1:13" x14ac:dyDescent="0.25">
      <c r="A519" s="18">
        <v>33270</v>
      </c>
      <c r="B519">
        <v>126020</v>
      </c>
      <c r="C519">
        <v>8265</v>
      </c>
      <c r="D519">
        <v>3585</v>
      </c>
      <c r="E519">
        <f t="shared" si="558"/>
        <v>3585</v>
      </c>
      <c r="F519">
        <f t="shared" si="559"/>
        <v>0.38935269207501511</v>
      </c>
      <c r="G519">
        <f t="shared" si="560"/>
        <v>0.49323572391486215</v>
      </c>
      <c r="H519">
        <v>3.813337555611393E-2</v>
      </c>
      <c r="I519">
        <f t="shared" si="561"/>
        <v>9043.7475426513065</v>
      </c>
      <c r="J519">
        <f t="shared" si="562"/>
        <v>0.412200337675518</v>
      </c>
      <c r="K519">
        <f t="shared" si="563"/>
        <v>2.0114330462187892E-15</v>
      </c>
      <c r="L519">
        <f t="shared" ref="L519:M519" si="568">AVERAGE(G517:G519)</f>
        <v>0.52807133538599238</v>
      </c>
      <c r="M519">
        <f t="shared" si="568"/>
        <v>3.8570951545801278E-2</v>
      </c>
    </row>
    <row r="520" spans="1:13" x14ac:dyDescent="0.25">
      <c r="A520" s="18">
        <v>33298</v>
      </c>
      <c r="B520">
        <v>126238</v>
      </c>
      <c r="C520">
        <v>8586</v>
      </c>
      <c r="D520">
        <v>3539</v>
      </c>
      <c r="E520">
        <f t="shared" si="558"/>
        <v>3539</v>
      </c>
      <c r="F520">
        <f t="shared" si="559"/>
        <v>0.41311437223386904</v>
      </c>
      <c r="G520">
        <f t="shared" si="560"/>
        <v>0.5329253201039077</v>
      </c>
      <c r="H520">
        <v>3.7252470299673206E-2</v>
      </c>
      <c r="I520">
        <f t="shared" si="561"/>
        <v>8247.738556006394</v>
      </c>
      <c r="J520">
        <f t="shared" si="562"/>
        <v>0.43457509735900646</v>
      </c>
      <c r="K520">
        <f t="shared" si="563"/>
        <v>1.9080482413183185E-15</v>
      </c>
      <c r="L520">
        <f t="shared" ref="L520:M520" si="569">AVERAGE(G518:G520)</f>
        <v>0.52139257338357692</v>
      </c>
      <c r="M520">
        <f t="shared" si="569"/>
        <v>3.8246249913236545E-2</v>
      </c>
    </row>
    <row r="521" spans="1:13" x14ac:dyDescent="0.25">
      <c r="A521" s="18">
        <v>33329</v>
      </c>
      <c r="B521">
        <v>126548</v>
      </c>
      <c r="C521">
        <v>8439</v>
      </c>
      <c r="D521">
        <v>3400</v>
      </c>
      <c r="E521">
        <f t="shared" si="558"/>
        <v>3400</v>
      </c>
      <c r="F521">
        <f t="shared" si="559"/>
        <v>0.39388553146107363</v>
      </c>
      <c r="G521">
        <f t="shared" si="560"/>
        <v>0.50068641877223974</v>
      </c>
      <c r="H521">
        <v>3.9028482776007747E-2</v>
      </c>
      <c r="I521">
        <f t="shared" si="561"/>
        <v>9151.0840708123578</v>
      </c>
      <c r="J521">
        <f t="shared" si="562"/>
        <v>0.41708558331602885</v>
      </c>
      <c r="K521">
        <f t="shared" si="563"/>
        <v>2.0093125290138401E-15</v>
      </c>
      <c r="L521">
        <f t="shared" ref="L521:M521" si="570">AVERAGE(G519:G521)</f>
        <v>0.50894915426366982</v>
      </c>
      <c r="M521">
        <f t="shared" si="570"/>
        <v>3.8138109543931632E-2</v>
      </c>
    </row>
    <row r="522" spans="1:13" x14ac:dyDescent="0.25">
      <c r="A522" s="18">
        <v>33359</v>
      </c>
      <c r="B522">
        <v>126176</v>
      </c>
      <c r="C522">
        <v>8736</v>
      </c>
      <c r="D522">
        <v>3621</v>
      </c>
      <c r="E522">
        <f t="shared" si="558"/>
        <v>3621</v>
      </c>
      <c r="F522">
        <f t="shared" si="559"/>
        <v>0.39743589743589747</v>
      </c>
      <c r="G522">
        <f t="shared" si="560"/>
        <v>0.50656122497953315</v>
      </c>
      <c r="H522">
        <v>3.7195822393393002E-2</v>
      </c>
      <c r="I522">
        <f t="shared" si="561"/>
        <v>8631.0974891880214</v>
      </c>
      <c r="J522">
        <f t="shared" si="562"/>
        <v>0.41943705269878973</v>
      </c>
      <c r="K522">
        <f t="shared" si="563"/>
        <v>1.9643949905520427E-15</v>
      </c>
      <c r="L522">
        <f t="shared" ref="L522:M522" si="571">AVERAGE(G520:G522)</f>
        <v>0.51339098795189353</v>
      </c>
      <c r="M522">
        <f t="shared" si="571"/>
        <v>3.7825591823024647E-2</v>
      </c>
    </row>
    <row r="523" spans="1:13" x14ac:dyDescent="0.25">
      <c r="A523" s="18">
        <v>33390</v>
      </c>
      <c r="B523">
        <v>126331</v>
      </c>
      <c r="C523">
        <v>8692</v>
      </c>
      <c r="D523">
        <v>3428</v>
      </c>
      <c r="E523">
        <f t="shared" si="558"/>
        <v>3428</v>
      </c>
      <c r="F523">
        <f t="shared" si="559"/>
        <v>0.40589047399907963</v>
      </c>
      <c r="G523">
        <f t="shared" si="560"/>
        <v>0.52069158940978721</v>
      </c>
      <c r="H523">
        <v>3.7296660278114957E-2</v>
      </c>
      <c r="I523">
        <f t="shared" si="561"/>
        <v>8444.1283346556756</v>
      </c>
      <c r="J523">
        <f t="shared" si="562"/>
        <v>0.42764064948187863</v>
      </c>
      <c r="K523">
        <f t="shared" si="563"/>
        <v>1.9357989861991701E-15</v>
      </c>
      <c r="L523">
        <f t="shared" ref="L523:M523" si="572">AVERAGE(G521:G523)</f>
        <v>0.50931307772052004</v>
      </c>
      <c r="M523">
        <f t="shared" si="572"/>
        <v>3.7840321815838567E-2</v>
      </c>
    </row>
    <row r="524" spans="1:13" x14ac:dyDescent="0.25">
      <c r="A524" s="18">
        <v>33420</v>
      </c>
      <c r="B524">
        <v>126154</v>
      </c>
      <c r="C524">
        <v>8586</v>
      </c>
      <c r="D524">
        <v>3422</v>
      </c>
      <c r="E524">
        <f t="shared" si="558"/>
        <v>3422</v>
      </c>
      <c r="F524">
        <f t="shared" si="559"/>
        <v>0.39203354297693915</v>
      </c>
      <c r="G524">
        <f t="shared" si="560"/>
        <v>0.49763556790782143</v>
      </c>
      <c r="H524">
        <v>3.7220939015017288E-2</v>
      </c>
      <c r="I524">
        <f t="shared" si="561"/>
        <v>8779.1216517403227</v>
      </c>
      <c r="J524">
        <f t="shared" si="562"/>
        <v>0.41424666433673363</v>
      </c>
      <c r="K524">
        <f t="shared" si="563"/>
        <v>1.9917391629269347E-15</v>
      </c>
      <c r="L524">
        <f t="shared" ref="L524:M524" si="573">AVERAGE(G522:G524)</f>
        <v>0.50829612743238062</v>
      </c>
      <c r="M524">
        <f t="shared" si="573"/>
        <v>3.7237807228841749E-2</v>
      </c>
    </row>
    <row r="525" spans="1:13" x14ac:dyDescent="0.25">
      <c r="A525" s="18">
        <v>33451</v>
      </c>
      <c r="B525">
        <v>126150</v>
      </c>
      <c r="C525">
        <v>8666</v>
      </c>
      <c r="D525">
        <v>3446</v>
      </c>
      <c r="E525">
        <f t="shared" si="558"/>
        <v>3446</v>
      </c>
      <c r="F525">
        <f t="shared" si="559"/>
        <v>0.39487652896376646</v>
      </c>
      <c r="G525">
        <f t="shared" si="560"/>
        <v>0.50232275741626431</v>
      </c>
      <c r="H525">
        <v>3.7669835922903551E-2</v>
      </c>
      <c r="I525">
        <f t="shared" si="561"/>
        <v>8800.212929382782</v>
      </c>
      <c r="J525">
        <f t="shared" si="562"/>
        <v>0.41724743139136999</v>
      </c>
      <c r="K525">
        <f t="shared" si="563"/>
        <v>1.9781243523794631E-15</v>
      </c>
      <c r="L525">
        <f t="shared" ref="L525:M525" si="574">AVERAGE(G523:G525)</f>
        <v>0.50688330491129097</v>
      </c>
      <c r="M525">
        <f t="shared" si="574"/>
        <v>3.7395811738678598E-2</v>
      </c>
    </row>
    <row r="526" spans="1:13" x14ac:dyDescent="0.25">
      <c r="A526" s="18">
        <v>33482</v>
      </c>
      <c r="B526">
        <v>126650</v>
      </c>
      <c r="C526">
        <v>8722</v>
      </c>
      <c r="D526">
        <v>3478</v>
      </c>
      <c r="E526">
        <f t="shared" si="558"/>
        <v>3478</v>
      </c>
      <c r="F526">
        <f t="shared" si="559"/>
        <v>0.384430176565008</v>
      </c>
      <c r="G526">
        <f t="shared" si="560"/>
        <v>0.48520689798014222</v>
      </c>
      <c r="H526">
        <v>3.7192483599118198E-2</v>
      </c>
      <c r="I526">
        <f t="shared" si="561"/>
        <v>9016.9096938596504</v>
      </c>
      <c r="J526">
        <f t="shared" si="562"/>
        <v>0.40690422371209467</v>
      </c>
      <c r="K526">
        <f t="shared" si="563"/>
        <v>2.0369664838368556E-15</v>
      </c>
      <c r="L526">
        <f t="shared" ref="L526:M526" si="575">AVERAGE(G524:G526)</f>
        <v>0.49505507443474267</v>
      </c>
      <c r="M526">
        <f t="shared" si="575"/>
        <v>3.7361086179013014E-2</v>
      </c>
    </row>
    <row r="527" spans="1:13" x14ac:dyDescent="0.25">
      <c r="A527" s="18">
        <v>33512</v>
      </c>
      <c r="B527">
        <v>126642</v>
      </c>
      <c r="C527">
        <v>8842</v>
      </c>
      <c r="D527">
        <v>3473</v>
      </c>
      <c r="E527">
        <f t="shared" si="558"/>
        <v>3473</v>
      </c>
      <c r="F527">
        <f t="shared" si="559"/>
        <v>0.38124858629269398</v>
      </c>
      <c r="G527">
        <f t="shared" si="560"/>
        <v>0.48005168032236262</v>
      </c>
      <c r="H527">
        <v>3.6999998030863318E-2</v>
      </c>
      <c r="I527">
        <f t="shared" si="561"/>
        <v>9062.4476175155178</v>
      </c>
      <c r="J527">
        <f t="shared" si="562"/>
        <v>0.40372402772263116</v>
      </c>
      <c r="K527">
        <f t="shared" si="563"/>
        <v>2.0450198381800556E-15</v>
      </c>
      <c r="L527">
        <f t="shared" ref="L527:M527" si="576">AVERAGE(G525:G527)</f>
        <v>0.48919377857292307</v>
      </c>
      <c r="M527">
        <f t="shared" si="576"/>
        <v>3.7287439184295022E-2</v>
      </c>
    </row>
    <row r="528" spans="1:13" x14ac:dyDescent="0.25">
      <c r="A528" s="18">
        <v>33543</v>
      </c>
      <c r="B528">
        <v>126701</v>
      </c>
      <c r="C528">
        <v>8931</v>
      </c>
      <c r="D528">
        <v>3460</v>
      </c>
      <c r="E528">
        <f t="shared" si="558"/>
        <v>3460</v>
      </c>
      <c r="F528">
        <f t="shared" si="559"/>
        <v>0.35897435897435892</v>
      </c>
      <c r="G528">
        <f t="shared" si="560"/>
        <v>0.44468582126144557</v>
      </c>
      <c r="H528">
        <v>3.657868338246438E-2</v>
      </c>
      <c r="I528">
        <f t="shared" si="561"/>
        <v>9629.9554995661911</v>
      </c>
      <c r="J528">
        <f t="shared" si="562"/>
        <v>0.38199856816616984</v>
      </c>
      <c r="K528">
        <f t="shared" si="563"/>
        <v>2.1302874520629815E-15</v>
      </c>
      <c r="L528">
        <f t="shared" ref="L528:M528" si="577">AVERAGE(G526:G528)</f>
        <v>0.46998146652131684</v>
      </c>
      <c r="M528">
        <f t="shared" si="577"/>
        <v>3.6923721670815299E-2</v>
      </c>
    </row>
    <row r="529" spans="1:13" x14ac:dyDescent="0.25">
      <c r="A529" s="18">
        <v>33573</v>
      </c>
      <c r="B529">
        <v>126664</v>
      </c>
      <c r="C529">
        <v>9198</v>
      </c>
      <c r="D529">
        <v>3473</v>
      </c>
      <c r="E529">
        <f t="shared" si="558"/>
        <v>3473</v>
      </c>
      <c r="F529">
        <f t="shared" si="559"/>
        <v>0.3601869971732985</v>
      </c>
      <c r="G529">
        <f t="shared" si="560"/>
        <v>0.44657932840549197</v>
      </c>
      <c r="H529">
        <v>3.5880881555909801E-2</v>
      </c>
      <c r="I529">
        <f t="shared" si="561"/>
        <v>9420.084573941047</v>
      </c>
      <c r="J529">
        <f t="shared" si="562"/>
        <v>0.38273707415867253</v>
      </c>
      <c r="K529">
        <f t="shared" si="563"/>
        <v>2.1133621886034564E-15</v>
      </c>
      <c r="L529">
        <f t="shared" ref="L529:M529" si="578">AVERAGE(G527:G529)</f>
        <v>0.4571056099964334</v>
      </c>
      <c r="M529">
        <f t="shared" si="578"/>
        <v>3.6486520989745835E-2</v>
      </c>
    </row>
    <row r="530" spans="1:13" x14ac:dyDescent="0.25">
      <c r="A530" s="18">
        <v>33604</v>
      </c>
      <c r="B530">
        <v>127261</v>
      </c>
      <c r="C530">
        <v>9283</v>
      </c>
      <c r="D530">
        <v>3398</v>
      </c>
      <c r="E530">
        <f t="shared" si="558"/>
        <v>3398</v>
      </c>
      <c r="F530">
        <f t="shared" si="559"/>
        <v>0.33459011095551006</v>
      </c>
      <c r="G530">
        <f t="shared" si="560"/>
        <v>0.40735205370403338</v>
      </c>
      <c r="H530">
        <v>3.384475336502301E-2</v>
      </c>
      <c r="I530">
        <f t="shared" si="561"/>
        <v>9762.3488859746903</v>
      </c>
      <c r="J530">
        <f t="shared" si="562"/>
        <v>0.35673390520042203</v>
      </c>
      <c r="K530">
        <f t="shared" si="563"/>
        <v>2.2299913197812034E-15</v>
      </c>
      <c r="L530">
        <f t="shared" ref="L530:M530" si="579">AVERAGE(G528:G530)</f>
        <v>0.43287240112365694</v>
      </c>
      <c r="M530">
        <f t="shared" si="579"/>
        <v>3.5434772767799071E-2</v>
      </c>
    </row>
    <row r="531" spans="1:13" x14ac:dyDescent="0.25">
      <c r="A531" s="18">
        <v>33635</v>
      </c>
      <c r="B531">
        <v>127207</v>
      </c>
      <c r="C531">
        <v>9454</v>
      </c>
      <c r="D531">
        <v>3277</v>
      </c>
      <c r="E531">
        <f t="shared" si="558"/>
        <v>3277</v>
      </c>
      <c r="F531">
        <f t="shared" si="559"/>
        <v>0.36027078485297226</v>
      </c>
      <c r="G531">
        <f t="shared" si="560"/>
        <v>0.44671029349381269</v>
      </c>
      <c r="H531">
        <v>3.5929131773684377E-2</v>
      </c>
      <c r="I531">
        <f t="shared" si="561"/>
        <v>9469.6720289726818</v>
      </c>
      <c r="J531">
        <f t="shared" si="562"/>
        <v>0.38284768721079643</v>
      </c>
      <c r="K531">
        <f t="shared" si="563"/>
        <v>2.1244146186063653E-15</v>
      </c>
      <c r="L531">
        <f t="shared" ref="L531:M531" si="580">AVERAGE(G529:G531)</f>
        <v>0.43354722520111272</v>
      </c>
      <c r="M531">
        <f t="shared" si="580"/>
        <v>3.5218255564872396E-2</v>
      </c>
    </row>
    <row r="532" spans="1:13" x14ac:dyDescent="0.25">
      <c r="A532" s="18">
        <v>33664</v>
      </c>
      <c r="B532">
        <v>127604</v>
      </c>
      <c r="C532">
        <v>9460</v>
      </c>
      <c r="D532">
        <v>3412</v>
      </c>
      <c r="E532">
        <f t="shared" si="558"/>
        <v>3412</v>
      </c>
      <c r="F532">
        <f t="shared" si="559"/>
        <v>0.35317124735729388</v>
      </c>
      <c r="G532">
        <f t="shared" si="560"/>
        <v>0.43567369858338345</v>
      </c>
      <c r="H532">
        <v>3.4407762811027295E-2</v>
      </c>
      <c r="I532">
        <f t="shared" si="561"/>
        <v>9340.0155639290861</v>
      </c>
      <c r="J532">
        <f t="shared" si="562"/>
        <v>0.37504864319989506</v>
      </c>
      <c r="K532">
        <f t="shared" si="563"/>
        <v>2.1621408308023614E-15</v>
      </c>
      <c r="L532">
        <f t="shared" ref="L532:M532" si="581">AVERAGE(G530:G532)</f>
        <v>0.42991201526040984</v>
      </c>
      <c r="M532">
        <f t="shared" si="581"/>
        <v>3.4727215983244894E-2</v>
      </c>
    </row>
    <row r="533" spans="1:13" x14ac:dyDescent="0.25">
      <c r="A533" s="18">
        <v>33695</v>
      </c>
      <c r="B533">
        <v>127841</v>
      </c>
      <c r="C533">
        <v>9415</v>
      </c>
      <c r="D533">
        <v>3296</v>
      </c>
      <c r="E533">
        <f t="shared" si="558"/>
        <v>3296</v>
      </c>
      <c r="F533">
        <f t="shared" si="559"/>
        <v>0.32798725438130638</v>
      </c>
      <c r="G533">
        <f t="shared" si="560"/>
        <v>0.39747797194436846</v>
      </c>
      <c r="H533">
        <v>3.5021987481724713E-2</v>
      </c>
      <c r="I533">
        <f t="shared" si="561"/>
        <v>10352.014616584614</v>
      </c>
      <c r="J533">
        <f t="shared" si="562"/>
        <v>0.35111512053775251</v>
      </c>
      <c r="K533">
        <f t="shared" si="563"/>
        <v>2.2793954693418762E-15</v>
      </c>
      <c r="L533">
        <f t="shared" ref="L533:M533" si="582">AVERAGE(G531:G533)</f>
        <v>0.42662065467385485</v>
      </c>
      <c r="M533">
        <f t="shared" si="582"/>
        <v>3.51196273554788E-2</v>
      </c>
    </row>
    <row r="534" spans="1:13" x14ac:dyDescent="0.25">
      <c r="A534" s="18">
        <v>33725</v>
      </c>
      <c r="B534">
        <v>128119</v>
      </c>
      <c r="C534">
        <v>9744</v>
      </c>
      <c r="D534">
        <v>3417</v>
      </c>
      <c r="E534">
        <f t="shared" si="558"/>
        <v>3417</v>
      </c>
      <c r="F534">
        <f t="shared" si="559"/>
        <v>0.33066502463054193</v>
      </c>
      <c r="G534">
        <f t="shared" si="560"/>
        <v>0.40147063360041391</v>
      </c>
      <c r="H534">
        <v>3.6134352731315003E-2</v>
      </c>
      <c r="I534">
        <f t="shared" si="561"/>
        <v>10579.169072982022</v>
      </c>
      <c r="J534">
        <f t="shared" si="562"/>
        <v>0.35441925428439736</v>
      </c>
      <c r="K534">
        <f t="shared" si="563"/>
        <v>2.2733204398563275E-15</v>
      </c>
      <c r="L534">
        <f t="shared" ref="L534:M534" si="583">AVERAGE(G532:G534)</f>
        <v>0.41154076804272194</v>
      </c>
      <c r="M534">
        <f t="shared" si="583"/>
        <v>3.5188034341355666E-2</v>
      </c>
    </row>
    <row r="535" spans="1:13" x14ac:dyDescent="0.25">
      <c r="A535" s="18">
        <v>33756</v>
      </c>
      <c r="B535">
        <v>128459</v>
      </c>
      <c r="C535">
        <v>10040</v>
      </c>
      <c r="D535">
        <v>3518</v>
      </c>
      <c r="E535">
        <f t="shared" si="558"/>
        <v>3518</v>
      </c>
      <c r="F535">
        <f t="shared" si="559"/>
        <v>0.36135458167330681</v>
      </c>
      <c r="G535">
        <f t="shared" si="560"/>
        <v>0.4484058795162767</v>
      </c>
      <c r="H535">
        <v>3.5993180113696184E-2</v>
      </c>
      <c r="I535">
        <f t="shared" si="561"/>
        <v>9545.1215940783459</v>
      </c>
      <c r="J535">
        <f t="shared" si="562"/>
        <v>0.38393269473903635</v>
      </c>
      <c r="K535">
        <f t="shared" si="563"/>
        <v>2.1474488027954967E-15</v>
      </c>
      <c r="L535">
        <f t="shared" ref="L535:M535" si="584">AVERAGE(G533:G535)</f>
        <v>0.4157848283536863</v>
      </c>
      <c r="M535">
        <f t="shared" si="584"/>
        <v>3.5716506775578631E-2</v>
      </c>
    </row>
    <row r="536" spans="1:13" x14ac:dyDescent="0.25">
      <c r="A536" s="18">
        <v>33786</v>
      </c>
      <c r="B536">
        <v>128563</v>
      </c>
      <c r="C536">
        <v>9850</v>
      </c>
      <c r="D536">
        <v>3438</v>
      </c>
      <c r="E536">
        <f t="shared" si="558"/>
        <v>3438</v>
      </c>
      <c r="F536">
        <f t="shared" si="559"/>
        <v>0.3552284263959391</v>
      </c>
      <c r="G536">
        <f t="shared" si="560"/>
        <v>0.43885917436315974</v>
      </c>
      <c r="H536">
        <v>3.5747008506016538E-2</v>
      </c>
      <c r="I536">
        <f t="shared" si="561"/>
        <v>9683.2759884752832</v>
      </c>
      <c r="J536">
        <f t="shared" si="562"/>
        <v>0.37786998631533197</v>
      </c>
      <c r="K536">
        <f t="shared" si="563"/>
        <v>2.1826578448304898E-15</v>
      </c>
      <c r="L536">
        <f t="shared" ref="L536:M536" si="585">AVERAGE(G534:G536)</f>
        <v>0.42957856249328347</v>
      </c>
      <c r="M536">
        <f t="shared" si="585"/>
        <v>3.5958180450342575E-2</v>
      </c>
    </row>
    <row r="537" spans="1:13" x14ac:dyDescent="0.25">
      <c r="A537" s="18">
        <v>33817</v>
      </c>
      <c r="B537">
        <v>128613</v>
      </c>
      <c r="C537">
        <v>9787</v>
      </c>
      <c r="D537">
        <v>3436</v>
      </c>
      <c r="E537">
        <f t="shared" si="558"/>
        <v>3436</v>
      </c>
      <c r="F537">
        <f t="shared" si="559"/>
        <v>0.35087360784714416</v>
      </c>
      <c r="G537">
        <f t="shared" si="560"/>
        <v>0.43212783215928624</v>
      </c>
      <c r="H537">
        <v>3.5528614691320251E-2</v>
      </c>
      <c r="I537">
        <f t="shared" si="561"/>
        <v>9770.9370886840043</v>
      </c>
      <c r="J537">
        <f t="shared" si="562"/>
        <v>0.37353128800987456</v>
      </c>
      <c r="K537">
        <f t="shared" si="563"/>
        <v>2.2041256434157438E-15</v>
      </c>
      <c r="L537">
        <f t="shared" ref="L537:M537" si="586">AVERAGE(G535:G537)</f>
        <v>0.43979762867957423</v>
      </c>
      <c r="M537">
        <f t="shared" si="586"/>
        <v>3.5756267770344324E-2</v>
      </c>
    </row>
    <row r="538" spans="1:13" x14ac:dyDescent="0.25">
      <c r="A538" s="18">
        <v>33848</v>
      </c>
      <c r="B538">
        <v>128501</v>
      </c>
      <c r="C538">
        <v>9781</v>
      </c>
      <c r="D538">
        <v>3428</v>
      </c>
      <c r="E538">
        <f t="shared" si="558"/>
        <v>3428</v>
      </c>
      <c r="F538">
        <f t="shared" si="559"/>
        <v>0.38227175135466718</v>
      </c>
      <c r="G538">
        <f t="shared" si="560"/>
        <v>0.48170664534387558</v>
      </c>
      <c r="H538">
        <v>3.5554375523623269E-2</v>
      </c>
      <c r="I538">
        <f t="shared" si="561"/>
        <v>8832.6253571143279</v>
      </c>
      <c r="J538">
        <f t="shared" si="562"/>
        <v>0.40384884056909476</v>
      </c>
      <c r="K538">
        <f t="shared" si="563"/>
        <v>2.0696062234799203E-15</v>
      </c>
      <c r="L538">
        <f t="shared" ref="L538:M538" si="587">AVERAGE(G536:G538)</f>
        <v>0.4508978839554405</v>
      </c>
      <c r="M538">
        <f t="shared" si="587"/>
        <v>3.5609999573653357E-2</v>
      </c>
    </row>
    <row r="539" spans="1:13" x14ac:dyDescent="0.25">
      <c r="A539" s="18">
        <v>33878</v>
      </c>
      <c r="B539">
        <v>128026</v>
      </c>
      <c r="C539">
        <v>9398</v>
      </c>
      <c r="D539">
        <v>3356</v>
      </c>
      <c r="E539">
        <f t="shared" si="558"/>
        <v>3356</v>
      </c>
      <c r="F539">
        <f t="shared" si="559"/>
        <v>0.33517769738242176</v>
      </c>
      <c r="G539">
        <f t="shared" si="560"/>
        <v>0.40823548814323907</v>
      </c>
      <c r="H539">
        <v>3.4083392176596589E-2</v>
      </c>
      <c r="I539">
        <f t="shared" si="561"/>
        <v>9865.1912928648089</v>
      </c>
      <c r="J539">
        <f t="shared" si="562"/>
        <v>0.35745529207838189</v>
      </c>
      <c r="K539">
        <f t="shared" si="563"/>
        <v>2.2532440120009468E-15</v>
      </c>
      <c r="L539">
        <f t="shared" ref="L539:M539" si="588">AVERAGE(G537:G539)</f>
        <v>0.44068998854880032</v>
      </c>
      <c r="M539">
        <f t="shared" si="588"/>
        <v>3.5055460797180034E-2</v>
      </c>
    </row>
    <row r="540" spans="1:13" x14ac:dyDescent="0.25">
      <c r="A540" s="18">
        <v>33909</v>
      </c>
      <c r="B540">
        <v>128441</v>
      </c>
      <c r="C540">
        <v>9565</v>
      </c>
      <c r="D540">
        <v>3317</v>
      </c>
      <c r="E540">
        <f t="shared" si="558"/>
        <v>3317</v>
      </c>
      <c r="F540">
        <f t="shared" si="559"/>
        <v>0.33423941453214845</v>
      </c>
      <c r="G540">
        <f t="shared" si="560"/>
        <v>0.40682515435013428</v>
      </c>
      <c r="H540">
        <v>3.2650798737965184E-2</v>
      </c>
      <c r="I540">
        <f t="shared" si="561"/>
        <v>9542.5044561250361</v>
      </c>
      <c r="J540">
        <f t="shared" si="562"/>
        <v>0.35562598516948407</v>
      </c>
      <c r="K540">
        <f t="shared" si="563"/>
        <v>2.2603298164903659E-15</v>
      </c>
      <c r="L540">
        <f t="shared" ref="L540:M540" si="589">AVERAGE(G538:G540)</f>
        <v>0.43225576261241633</v>
      </c>
      <c r="M540">
        <f t="shared" si="589"/>
        <v>3.4096188812728349E-2</v>
      </c>
    </row>
    <row r="541" spans="1:13" x14ac:dyDescent="0.25">
      <c r="A541" s="18">
        <v>33939</v>
      </c>
      <c r="B541">
        <v>128554</v>
      </c>
      <c r="C541">
        <v>9557</v>
      </c>
      <c r="D541">
        <v>3189</v>
      </c>
      <c r="E541">
        <f t="shared" si="558"/>
        <v>3189</v>
      </c>
      <c r="F541">
        <f t="shared" si="559"/>
        <v>0.36946740608977713</v>
      </c>
      <c r="G541">
        <f t="shared" si="560"/>
        <v>0.46119042957593315</v>
      </c>
      <c r="H541">
        <v>3.4566894799071921E-2</v>
      </c>
      <c r="I541">
        <f t="shared" si="561"/>
        <v>8963.4834938687454</v>
      </c>
      <c r="J541">
        <f t="shared" si="562"/>
        <v>0.39089056084748752</v>
      </c>
      <c r="K541">
        <f t="shared" si="563"/>
        <v>2.1264272482983803E-15</v>
      </c>
      <c r="L541">
        <f t="shared" ref="L541:M541" si="590">AVERAGE(G539:G541)</f>
        <v>0.42541702402310211</v>
      </c>
      <c r="M541">
        <f t="shared" si="590"/>
        <v>3.3767028571211229E-2</v>
      </c>
    </row>
    <row r="542" spans="1:13" x14ac:dyDescent="0.25">
      <c r="A542" s="18">
        <v>33970</v>
      </c>
      <c r="B542">
        <v>128400</v>
      </c>
      <c r="C542">
        <v>9325</v>
      </c>
      <c r="D542">
        <v>3299</v>
      </c>
      <c r="E542">
        <f t="shared" si="558"/>
        <v>3299</v>
      </c>
      <c r="F542">
        <f t="shared" si="559"/>
        <v>0.38638069705093836</v>
      </c>
      <c r="G542">
        <f t="shared" si="560"/>
        <v>0.48838057090196074</v>
      </c>
      <c r="H542">
        <v>3.6713158408537179E-2</v>
      </c>
      <c r="I542">
        <f t="shared" si="561"/>
        <v>8977.3868483367733</v>
      </c>
      <c r="J542">
        <f t="shared" si="562"/>
        <v>0.40850007911122832</v>
      </c>
      <c r="K542">
        <f t="shared" si="563"/>
        <v>2.067289839832086E-15</v>
      </c>
      <c r="L542">
        <f t="shared" ref="L542:M542" si="591">AVERAGE(G540:G542)</f>
        <v>0.45213205160934278</v>
      </c>
      <c r="M542">
        <f t="shared" si="591"/>
        <v>3.4643617315191423E-2</v>
      </c>
    </row>
    <row r="543" spans="1:13" x14ac:dyDescent="0.25">
      <c r="A543" s="18">
        <v>34001</v>
      </c>
      <c r="B543">
        <v>128458</v>
      </c>
      <c r="C543">
        <v>9183</v>
      </c>
      <c r="D543">
        <v>3461</v>
      </c>
      <c r="E543">
        <f t="shared" si="558"/>
        <v>3461</v>
      </c>
      <c r="F543">
        <f t="shared" si="559"/>
        <v>0.36883371447239466</v>
      </c>
      <c r="G543">
        <f t="shared" si="560"/>
        <v>0.46018592417294923</v>
      </c>
      <c r="H543">
        <v>3.4080288450504016E-2</v>
      </c>
      <c r="I543">
        <f t="shared" si="561"/>
        <v>8857.3436378303468</v>
      </c>
      <c r="J543">
        <f t="shared" si="562"/>
        <v>0.38998163311678602</v>
      </c>
      <c r="K543">
        <f t="shared" si="563"/>
        <v>2.1351596550587597E-15</v>
      </c>
      <c r="L543">
        <f t="shared" ref="L543:M543" si="592">AVERAGE(G541:G543)</f>
        <v>0.46991897488361439</v>
      </c>
      <c r="M543">
        <f t="shared" si="592"/>
        <v>3.5120113886037703E-2</v>
      </c>
    </row>
    <row r="544" spans="1:13" x14ac:dyDescent="0.25">
      <c r="A544" s="18">
        <v>34029</v>
      </c>
      <c r="B544">
        <v>128598</v>
      </c>
      <c r="C544">
        <v>9056</v>
      </c>
      <c r="D544">
        <v>3260</v>
      </c>
      <c r="E544">
        <f t="shared" si="558"/>
        <v>3260</v>
      </c>
      <c r="F544">
        <f t="shared" si="559"/>
        <v>0.36395759717314491</v>
      </c>
      <c r="G544">
        <f t="shared" si="560"/>
        <v>0.45249004675302729</v>
      </c>
      <c r="H544">
        <v>3.4849446823039983E-2</v>
      </c>
      <c r="I544">
        <f t="shared" si="561"/>
        <v>9195.9901087921608</v>
      </c>
      <c r="J544">
        <f t="shared" si="562"/>
        <v>0.38574153925929411</v>
      </c>
      <c r="K544">
        <f t="shared" si="563"/>
        <v>2.1682349416902805E-15</v>
      </c>
      <c r="L544">
        <f t="shared" ref="L544:M544" si="593">AVERAGE(G542:G544)</f>
        <v>0.46701884727597909</v>
      </c>
      <c r="M544">
        <f t="shared" si="593"/>
        <v>3.5214297894027059E-2</v>
      </c>
    </row>
    <row r="545" spans="1:13" x14ac:dyDescent="0.25">
      <c r="A545" s="18">
        <v>34060</v>
      </c>
      <c r="B545">
        <v>128584</v>
      </c>
      <c r="C545">
        <v>9110</v>
      </c>
      <c r="D545">
        <v>3350</v>
      </c>
      <c r="E545">
        <f t="shared" si="558"/>
        <v>3350</v>
      </c>
      <c r="F545">
        <f t="shared" si="559"/>
        <v>0.36487376509330405</v>
      </c>
      <c r="G545">
        <f t="shared" si="560"/>
        <v>0.4539315047179236</v>
      </c>
      <c r="H545">
        <v>3.5025399629823754E-2</v>
      </c>
      <c r="I545">
        <f t="shared" si="561"/>
        <v>9210.8444444793258</v>
      </c>
      <c r="J545">
        <f t="shared" si="562"/>
        <v>0.38673424448781568</v>
      </c>
      <c r="K545">
        <f t="shared" si="563"/>
        <v>2.1628175307178788E-15</v>
      </c>
      <c r="L545">
        <f t="shared" ref="L545:M545" si="594">AVERAGE(G543:G545)</f>
        <v>0.45553582521463337</v>
      </c>
      <c r="M545">
        <f t="shared" si="594"/>
        <v>3.4651711634455913E-2</v>
      </c>
    </row>
    <row r="546" spans="1:13" x14ac:dyDescent="0.25">
      <c r="A546" s="18">
        <v>34090</v>
      </c>
      <c r="B546">
        <v>129264</v>
      </c>
      <c r="C546">
        <v>9149</v>
      </c>
      <c r="D546">
        <v>3363</v>
      </c>
      <c r="E546">
        <f t="shared" si="558"/>
        <v>3363</v>
      </c>
      <c r="F546">
        <f t="shared" si="559"/>
        <v>0.35479287353809164</v>
      </c>
      <c r="G546">
        <f t="shared" si="560"/>
        <v>0.43818388743884595</v>
      </c>
      <c r="H546">
        <v>3.3083547710730396E-2</v>
      </c>
      <c r="I546">
        <f t="shared" si="561"/>
        <v>9074.4901775836152</v>
      </c>
      <c r="J546">
        <f t="shared" si="562"/>
        <v>0.37578937977342475</v>
      </c>
      <c r="K546">
        <f t="shared" si="563"/>
        <v>2.2202097270580291E-15</v>
      </c>
      <c r="L546">
        <f t="shared" ref="L546:M546" si="595">AVERAGE(G544:G546)</f>
        <v>0.44820181296993228</v>
      </c>
      <c r="M546">
        <f t="shared" si="595"/>
        <v>3.4319464721198047E-2</v>
      </c>
    </row>
    <row r="547" spans="1:13" x14ac:dyDescent="0.25">
      <c r="A547" s="18">
        <v>34121</v>
      </c>
      <c r="B547">
        <v>129411</v>
      </c>
      <c r="C547">
        <v>9121</v>
      </c>
      <c r="D547">
        <v>3218</v>
      </c>
      <c r="E547">
        <f t="shared" si="558"/>
        <v>3218</v>
      </c>
      <c r="F547">
        <f t="shared" si="559"/>
        <v>0.38186602346233967</v>
      </c>
      <c r="G547">
        <f t="shared" si="560"/>
        <v>0.48105005450610056</v>
      </c>
      <c r="H547">
        <v>3.4443569095537696E-2</v>
      </c>
      <c r="I547">
        <f t="shared" si="561"/>
        <v>8646.8125232664133</v>
      </c>
      <c r="J547">
        <f t="shared" si="562"/>
        <v>0.40279427299446513</v>
      </c>
      <c r="K547">
        <f t="shared" si="563"/>
        <v>2.1173779188668298E-15</v>
      </c>
      <c r="L547">
        <f t="shared" ref="L547:M547" si="596">AVERAGE(G545:G547)</f>
        <v>0.45772181555428998</v>
      </c>
      <c r="M547">
        <f t="shared" si="596"/>
        <v>3.4184172145363949E-2</v>
      </c>
    </row>
    <row r="548" spans="1:13" x14ac:dyDescent="0.25">
      <c r="A548" s="18">
        <v>34151</v>
      </c>
      <c r="B548">
        <v>129397</v>
      </c>
      <c r="C548">
        <v>8930</v>
      </c>
      <c r="D548">
        <v>3292</v>
      </c>
      <c r="E548">
        <f t="shared" si="558"/>
        <v>3292</v>
      </c>
      <c r="F548">
        <f t="shared" si="559"/>
        <v>0.37435610302351618</v>
      </c>
      <c r="G548">
        <f t="shared" si="560"/>
        <v>0.46897392441139585</v>
      </c>
      <c r="H548">
        <v>3.3000989264464604E-2</v>
      </c>
      <c r="I548">
        <f t="shared" si="561"/>
        <v>8506.8573976813022</v>
      </c>
      <c r="J548">
        <f t="shared" si="562"/>
        <v>0.39466600393941187</v>
      </c>
      <c r="K548">
        <f t="shared" si="563"/>
        <v>2.1487977027639992E-15</v>
      </c>
      <c r="L548">
        <f t="shared" ref="L548:M548" si="597">AVERAGE(G546:G548)</f>
        <v>0.46273595545211405</v>
      </c>
      <c r="M548">
        <f t="shared" si="597"/>
        <v>3.3509368690244234E-2</v>
      </c>
    </row>
    <row r="549" spans="1:13" x14ac:dyDescent="0.25">
      <c r="A549" s="18">
        <v>34182</v>
      </c>
      <c r="B549">
        <v>129619</v>
      </c>
      <c r="C549">
        <v>8763</v>
      </c>
      <c r="D549">
        <v>3176</v>
      </c>
      <c r="E549">
        <f t="shared" si="558"/>
        <v>3176</v>
      </c>
      <c r="F549">
        <f t="shared" si="559"/>
        <v>0.36243295674997145</v>
      </c>
      <c r="G549">
        <f t="shared" si="560"/>
        <v>0.45009584159670185</v>
      </c>
      <c r="H549">
        <v>3.212442575930579E-2</v>
      </c>
      <c r="I549">
        <f t="shared" si="561"/>
        <v>8634.9252081961076</v>
      </c>
      <c r="J549">
        <f t="shared" si="562"/>
        <v>0.382588948713941</v>
      </c>
      <c r="K549">
        <f t="shared" si="563"/>
        <v>2.2082266593089939E-15</v>
      </c>
      <c r="L549">
        <f t="shared" ref="L549:M549" si="598">AVERAGE(G547:G549)</f>
        <v>0.46670660683806608</v>
      </c>
      <c r="M549">
        <f t="shared" si="598"/>
        <v>3.3189661373102697E-2</v>
      </c>
    </row>
    <row r="550" spans="1:13" x14ac:dyDescent="0.25">
      <c r="A550" s="18">
        <v>34213</v>
      </c>
      <c r="B550">
        <v>129268</v>
      </c>
      <c r="C550">
        <v>8714</v>
      </c>
      <c r="D550">
        <v>3127</v>
      </c>
      <c r="E550">
        <f t="shared" si="558"/>
        <v>3127</v>
      </c>
      <c r="F550">
        <f t="shared" si="559"/>
        <v>0.3787009410144595</v>
      </c>
      <c r="G550">
        <f t="shared" si="560"/>
        <v>0.47594273650314095</v>
      </c>
      <c r="H550">
        <v>3.4783891280123463E-2</v>
      </c>
      <c r="I550">
        <f t="shared" si="561"/>
        <v>8804.0133672198954</v>
      </c>
      <c r="J550">
        <f t="shared" si="562"/>
        <v>0.39994059947020577</v>
      </c>
      <c r="K550">
        <f t="shared" si="563"/>
        <v>2.1397008468431738E-15</v>
      </c>
      <c r="L550">
        <f t="shared" ref="L550:M550" si="599">AVERAGE(G548:G550)</f>
        <v>0.46500416750374624</v>
      </c>
      <c r="M550">
        <f t="shared" si="599"/>
        <v>3.330310210129795E-2</v>
      </c>
    </row>
    <row r="551" spans="1:13" x14ac:dyDescent="0.25">
      <c r="A551" s="18">
        <v>34243</v>
      </c>
      <c r="B551">
        <v>129573</v>
      </c>
      <c r="C551">
        <v>8750</v>
      </c>
      <c r="D551">
        <v>3336</v>
      </c>
      <c r="E551">
        <f t="shared" si="558"/>
        <v>3336</v>
      </c>
      <c r="F551">
        <f t="shared" si="559"/>
        <v>0.37657142857142856</v>
      </c>
      <c r="G551">
        <f t="shared" si="560"/>
        <v>0.47252108108448887</v>
      </c>
      <c r="H551">
        <v>3.2027779876056456E-2</v>
      </c>
      <c r="I551">
        <f t="shared" si="561"/>
        <v>8225.0418997671259</v>
      </c>
      <c r="J551">
        <f t="shared" si="562"/>
        <v>0.39622209822345067</v>
      </c>
      <c r="K551">
        <f t="shared" si="563"/>
        <v>2.1467745116299231E-15</v>
      </c>
      <c r="L551">
        <f t="shared" ref="L551:M551" si="600">AVERAGE(G549:G551)</f>
        <v>0.46618655306144391</v>
      </c>
      <c r="M551">
        <f t="shared" si="600"/>
        <v>3.297869897182857E-2</v>
      </c>
    </row>
    <row r="552" spans="1:13" x14ac:dyDescent="0.25">
      <c r="A552" s="18">
        <v>34274</v>
      </c>
      <c r="B552">
        <v>129711</v>
      </c>
      <c r="C552">
        <v>8542</v>
      </c>
      <c r="D552">
        <v>3087</v>
      </c>
      <c r="E552">
        <f t="shared" si="558"/>
        <v>3087</v>
      </c>
      <c r="F552">
        <f t="shared" si="559"/>
        <v>0.38761414188714582</v>
      </c>
      <c r="G552">
        <f t="shared" si="560"/>
        <v>0.49039270803080065</v>
      </c>
      <c r="H552">
        <v>3.3881714997940314E-2</v>
      </c>
      <c r="I552">
        <f t="shared" si="561"/>
        <v>8382.6922334086667</v>
      </c>
      <c r="J552">
        <f t="shared" si="562"/>
        <v>0.40801526093021478</v>
      </c>
      <c r="K552">
        <f t="shared" si="563"/>
        <v>2.1185498915197521E-15</v>
      </c>
      <c r="L552">
        <f t="shared" ref="L552:M552" si="601">AVERAGE(G550:G552)</f>
        <v>0.47961884187281018</v>
      </c>
      <c r="M552">
        <f t="shared" si="601"/>
        <v>3.3564462051373416E-2</v>
      </c>
    </row>
    <row r="553" spans="1:13" x14ac:dyDescent="0.25">
      <c r="A553" s="18">
        <v>34304</v>
      </c>
      <c r="B553">
        <v>129941</v>
      </c>
      <c r="C553">
        <v>8477</v>
      </c>
      <c r="D553">
        <v>3246</v>
      </c>
      <c r="E553">
        <f t="shared" si="558"/>
        <v>3246</v>
      </c>
      <c r="F553">
        <f t="shared" si="559"/>
        <v>0.35755573905862925</v>
      </c>
      <c r="G553">
        <f t="shared" si="560"/>
        <v>0.44247521937470069</v>
      </c>
      <c r="H553">
        <v>3.2462790671636134E-2</v>
      </c>
      <c r="I553">
        <f t="shared" si="561"/>
        <v>8881.6801212678711</v>
      </c>
      <c r="J553">
        <f t="shared" si="562"/>
        <v>0.37807639171424545</v>
      </c>
      <c r="K553">
        <f t="shared" si="563"/>
        <v>2.2504818375599506E-15</v>
      </c>
      <c r="L553">
        <f t="shared" ref="L553:M553" si="602">AVERAGE(G551:G553)</f>
        <v>0.4684630028299967</v>
      </c>
      <c r="M553">
        <f t="shared" si="602"/>
        <v>3.2790761848544299E-2</v>
      </c>
    </row>
    <row r="554" spans="1:13" x14ac:dyDescent="0.25">
      <c r="A554" s="18">
        <v>34335</v>
      </c>
      <c r="B554">
        <v>130596</v>
      </c>
      <c r="C554">
        <v>8630</v>
      </c>
      <c r="D554">
        <v>3184</v>
      </c>
      <c r="E554">
        <f t="shared" si="558"/>
        <v>3184</v>
      </c>
      <c r="F554">
        <f t="shared" si="559"/>
        <v>0.36191425260718424</v>
      </c>
      <c r="G554">
        <f t="shared" si="560"/>
        <v>0.44928260436603956</v>
      </c>
      <c r="H554">
        <v>3.1304740063168753E-2</v>
      </c>
      <c r="I554">
        <f t="shared" si="561"/>
        <v>8506.8279068921656</v>
      </c>
      <c r="J554">
        <f t="shared" si="562"/>
        <v>0.38157994046088661</v>
      </c>
      <c r="K554">
        <f t="shared" si="563"/>
        <v>2.0674552527935394E-15</v>
      </c>
      <c r="L554">
        <f t="shared" ref="L554:M554" si="603">AVERAGE(G552:G554)</f>
        <v>0.46071684392384699</v>
      </c>
      <c r="M554">
        <f t="shared" si="603"/>
        <v>3.2549748577581729E-2</v>
      </c>
    </row>
    <row r="555" spans="1:13" x14ac:dyDescent="0.25">
      <c r="A555" s="18">
        <v>34366</v>
      </c>
      <c r="B555">
        <v>130669</v>
      </c>
      <c r="C555">
        <v>8583</v>
      </c>
      <c r="D555">
        <v>2652</v>
      </c>
      <c r="E555">
        <f t="shared" si="558"/>
        <v>3076.3199999999997</v>
      </c>
      <c r="F555">
        <f t="shared" si="559"/>
        <v>0.39010136315973432</v>
      </c>
      <c r="G555">
        <f t="shared" si="560"/>
        <v>0.49446250473671555</v>
      </c>
      <c r="H555">
        <v>3.3570797388083731E-2</v>
      </c>
      <c r="I555">
        <f t="shared" si="561"/>
        <v>8307.5489864969477</v>
      </c>
      <c r="J555">
        <f t="shared" si="562"/>
        <v>0.41023628309908877</v>
      </c>
      <c r="K555">
        <f t="shared" si="563"/>
        <v>1.9919015252462891E-15</v>
      </c>
      <c r="L555">
        <f t="shared" ref="L555:M555" si="604">AVERAGE(G553:G555)</f>
        <v>0.46207344282581858</v>
      </c>
      <c r="M555">
        <f t="shared" si="604"/>
        <v>3.2446109374296206E-2</v>
      </c>
    </row>
    <row r="556" spans="1:13" x14ac:dyDescent="0.25">
      <c r="A556" s="18">
        <v>34394</v>
      </c>
      <c r="B556">
        <v>130400</v>
      </c>
      <c r="C556">
        <v>8470</v>
      </c>
      <c r="D556">
        <v>2789</v>
      </c>
      <c r="E556">
        <f t="shared" si="558"/>
        <v>3235.24</v>
      </c>
      <c r="F556">
        <f t="shared" si="559"/>
        <v>0.405634002361275</v>
      </c>
      <c r="G556">
        <f t="shared" si="560"/>
        <v>0.52025999172572146</v>
      </c>
      <c r="H556">
        <v>3.4655022106817625E-2</v>
      </c>
      <c r="I556">
        <f t="shared" si="561"/>
        <v>8143.6161755982985</v>
      </c>
      <c r="J556">
        <f t="shared" si="562"/>
        <v>0.42587894852901942</v>
      </c>
      <c r="K556">
        <f t="shared" si="563"/>
        <v>2.2017351443850248E-15</v>
      </c>
      <c r="L556">
        <f t="shared" ref="L556:M556" si="605">AVERAGE(G554:G556)</f>
        <v>0.4880017002761588</v>
      </c>
      <c r="M556">
        <f t="shared" si="605"/>
        <v>3.317685318602337E-2</v>
      </c>
    </row>
    <row r="557" spans="1:13" x14ac:dyDescent="0.25">
      <c r="A557" s="18">
        <v>34425</v>
      </c>
      <c r="B557">
        <v>130621</v>
      </c>
      <c r="C557">
        <v>8331</v>
      </c>
      <c r="D557">
        <v>2842</v>
      </c>
      <c r="E557">
        <f t="shared" si="558"/>
        <v>3296.72</v>
      </c>
      <c r="F557">
        <f t="shared" si="559"/>
        <v>0.4191957748169487</v>
      </c>
      <c r="G557">
        <f t="shared" si="560"/>
        <v>0.54334154073380492</v>
      </c>
      <c r="H557">
        <v>3.2540364189454045E-2</v>
      </c>
      <c r="I557">
        <f t="shared" si="561"/>
        <v>7380.7752500177712</v>
      </c>
      <c r="J557">
        <f t="shared" si="562"/>
        <v>0.43779116462787337</v>
      </c>
      <c r="K557">
        <f t="shared" si="563"/>
        <v>2.2137006097306249E-15</v>
      </c>
      <c r="L557">
        <f t="shared" ref="L557:M557" si="606">AVERAGE(G555:G557)</f>
        <v>0.51935467906541399</v>
      </c>
      <c r="M557">
        <f t="shared" si="606"/>
        <v>3.3588727894785141E-2</v>
      </c>
    </row>
    <row r="558" spans="1:13" x14ac:dyDescent="0.25">
      <c r="A558" s="18">
        <v>34455</v>
      </c>
      <c r="B558">
        <v>130779</v>
      </c>
      <c r="C558">
        <v>7915</v>
      </c>
      <c r="D558">
        <v>2652</v>
      </c>
      <c r="E558">
        <f t="shared" si="558"/>
        <v>3076.3199999999997</v>
      </c>
      <c r="F558">
        <f t="shared" si="559"/>
        <v>0.40254200884396718</v>
      </c>
      <c r="G558">
        <f t="shared" si="560"/>
        <v>0.51507130533682066</v>
      </c>
      <c r="H558">
        <v>3.3308201608497186E-2</v>
      </c>
      <c r="I558">
        <f t="shared" si="561"/>
        <v>7943.4283064702795</v>
      </c>
      <c r="J558">
        <f t="shared" si="562"/>
        <v>0.42211448851508349</v>
      </c>
      <c r="K558">
        <f t="shared" si="563"/>
        <v>2.0297484396372689E-15</v>
      </c>
      <c r="L558">
        <f t="shared" ref="L558:M558" si="607">AVERAGE(G556:G558)</f>
        <v>0.52622427926544901</v>
      </c>
      <c r="M558">
        <f t="shared" si="607"/>
        <v>3.3501195968256285E-2</v>
      </c>
    </row>
    <row r="559" spans="1:13" x14ac:dyDescent="0.25">
      <c r="A559" s="18">
        <v>34486</v>
      </c>
      <c r="B559">
        <v>130561</v>
      </c>
      <c r="C559">
        <v>7927</v>
      </c>
      <c r="D559">
        <v>2757</v>
      </c>
      <c r="E559">
        <f t="shared" si="558"/>
        <v>3198.12</v>
      </c>
      <c r="F559">
        <f t="shared" si="559"/>
        <v>0.41026870190488207</v>
      </c>
      <c r="G559">
        <f t="shared" si="560"/>
        <v>0.52808827277815396</v>
      </c>
      <c r="H559">
        <v>3.4337924324444692E-2</v>
      </c>
      <c r="I559">
        <f t="shared" si="561"/>
        <v>7971.1680587061855</v>
      </c>
      <c r="J559">
        <f t="shared" si="562"/>
        <v>0.43017512209391828</v>
      </c>
      <c r="K559">
        <f t="shared" si="563"/>
        <v>2.1700987417377625E-15</v>
      </c>
      <c r="L559">
        <f t="shared" ref="L559:M559" si="608">AVERAGE(G557:G559)</f>
        <v>0.52883370628292659</v>
      </c>
      <c r="M559">
        <f t="shared" si="608"/>
        <v>3.3395496707465305E-2</v>
      </c>
    </row>
    <row r="560" spans="1:13" x14ac:dyDescent="0.25">
      <c r="A560" s="18">
        <v>34516</v>
      </c>
      <c r="B560">
        <v>130652</v>
      </c>
      <c r="C560">
        <v>7946</v>
      </c>
      <c r="D560">
        <v>2820</v>
      </c>
      <c r="E560">
        <f t="shared" si="558"/>
        <v>3271.2</v>
      </c>
      <c r="F560">
        <f t="shared" si="559"/>
        <v>0.39156305059149255</v>
      </c>
      <c r="G560">
        <f t="shared" si="560"/>
        <v>0.49686198834298001</v>
      </c>
      <c r="H560">
        <v>3.2038578897168435E-2</v>
      </c>
      <c r="I560">
        <f t="shared" si="561"/>
        <v>7914.3503889876365</v>
      </c>
      <c r="J560">
        <f t="shared" si="562"/>
        <v>0.41074754286612991</v>
      </c>
      <c r="K560">
        <f t="shared" si="563"/>
        <v>1.9362792042494266E-15</v>
      </c>
      <c r="L560">
        <f t="shared" ref="L560:M560" si="609">AVERAGE(G558:G560)</f>
        <v>0.51334052215265158</v>
      </c>
      <c r="M560">
        <f t="shared" si="609"/>
        <v>3.3228234943370107E-2</v>
      </c>
    </row>
    <row r="561" spans="1:13" x14ac:dyDescent="0.25">
      <c r="A561" s="18">
        <v>34547</v>
      </c>
      <c r="B561">
        <v>131275</v>
      </c>
      <c r="C561">
        <v>7933</v>
      </c>
      <c r="D561">
        <v>2671</v>
      </c>
      <c r="E561">
        <f t="shared" si="558"/>
        <v>3098.3599999999997</v>
      </c>
      <c r="F561">
        <f t="shared" si="559"/>
        <v>0.41565107777637711</v>
      </c>
      <c r="G561">
        <f t="shared" si="560"/>
        <v>0.53725700500678897</v>
      </c>
      <c r="H561">
        <v>3.2438438207862602E-2</v>
      </c>
      <c r="I561">
        <f t="shared" si="561"/>
        <v>7474.7938156364835</v>
      </c>
      <c r="J561">
        <f t="shared" si="562"/>
        <v>0.43430230046054752</v>
      </c>
      <c r="K561">
        <f t="shared" si="563"/>
        <v>2.0861895404003834E-15</v>
      </c>
      <c r="L561">
        <f t="shared" ref="L561:M561" si="610">AVERAGE(G559:G561)</f>
        <v>0.52073575537597439</v>
      </c>
      <c r="M561">
        <f t="shared" si="610"/>
        <v>3.2938313809825238E-2</v>
      </c>
    </row>
    <row r="562" spans="1:13" x14ac:dyDescent="0.25">
      <c r="A562" s="18">
        <v>34578</v>
      </c>
      <c r="B562">
        <v>131421</v>
      </c>
      <c r="C562">
        <v>7734</v>
      </c>
      <c r="D562">
        <v>2671</v>
      </c>
      <c r="E562">
        <f t="shared" si="558"/>
        <v>3098.3599999999997</v>
      </c>
      <c r="F562">
        <f t="shared" si="559"/>
        <v>0.37675717610550818</v>
      </c>
      <c r="G562">
        <f t="shared" si="560"/>
        <v>0.47281907065279211</v>
      </c>
      <c r="H562">
        <v>2.8516231477572446E-2</v>
      </c>
      <c r="I562">
        <f t="shared" si="561"/>
        <v>7475.2997466744</v>
      </c>
      <c r="J562">
        <f t="shared" si="562"/>
        <v>0.39427870147829136</v>
      </c>
      <c r="K562">
        <f t="shared" si="563"/>
        <v>2.1787504586837486E-15</v>
      </c>
      <c r="L562">
        <f t="shared" ref="L562:M562" si="611">AVERAGE(G560:G562)</f>
        <v>0.50231268800085371</v>
      </c>
      <c r="M562">
        <f t="shared" si="611"/>
        <v>3.0997749527534493E-2</v>
      </c>
    </row>
    <row r="563" spans="1:13" x14ac:dyDescent="0.25">
      <c r="A563" s="18">
        <v>34608</v>
      </c>
      <c r="B563">
        <v>131744</v>
      </c>
      <c r="C563">
        <v>7632</v>
      </c>
      <c r="D563">
        <v>2424</v>
      </c>
      <c r="E563">
        <f t="shared" si="558"/>
        <v>2811.8399999999997</v>
      </c>
      <c r="F563">
        <f t="shared" si="559"/>
        <v>0.43174004192872117</v>
      </c>
      <c r="G563">
        <f t="shared" si="560"/>
        <v>0.56517629230047128</v>
      </c>
      <c r="H563">
        <v>3.2004117956868285E-2</v>
      </c>
      <c r="I563">
        <f t="shared" si="561"/>
        <v>7060.4300537801082</v>
      </c>
      <c r="J563">
        <f t="shared" si="562"/>
        <v>0.44963875664444608</v>
      </c>
      <c r="K563">
        <f t="shared" si="563"/>
        <v>2.1487977027639992E-15</v>
      </c>
      <c r="L563">
        <f t="shared" ref="L563:M563" si="612">AVERAGE(G561:G563)</f>
        <v>0.5250841226533508</v>
      </c>
      <c r="M563">
        <f t="shared" si="612"/>
        <v>3.0986262547434446E-2</v>
      </c>
    </row>
    <row r="564" spans="1:13" x14ac:dyDescent="0.25">
      <c r="A564" s="18">
        <v>34639</v>
      </c>
      <c r="B564">
        <v>131891</v>
      </c>
      <c r="C564">
        <v>7375</v>
      </c>
      <c r="D564">
        <v>2619</v>
      </c>
      <c r="E564">
        <f t="shared" si="558"/>
        <v>3038.04</v>
      </c>
      <c r="F564">
        <f t="shared" si="559"/>
        <v>0.42562169491525415</v>
      </c>
      <c r="G564">
        <f t="shared" si="560"/>
        <v>0.55446703166067424</v>
      </c>
      <c r="H564">
        <v>3.1302029631382254E-2</v>
      </c>
      <c r="I564">
        <f t="shared" si="561"/>
        <v>7047.9242809552288</v>
      </c>
      <c r="J564">
        <f t="shared" si="562"/>
        <v>0.44332242203235095</v>
      </c>
      <c r="K564">
        <f t="shared" si="563"/>
        <v>2.0340120990912816E-15</v>
      </c>
      <c r="L564">
        <f t="shared" ref="L564:M564" si="613">AVERAGE(G562:G564)</f>
        <v>0.53082079820464589</v>
      </c>
      <c r="M564">
        <f t="shared" si="613"/>
        <v>3.0607459688607664E-2</v>
      </c>
    </row>
    <row r="565" spans="1:13" x14ac:dyDescent="0.25">
      <c r="A565" s="18">
        <v>34669</v>
      </c>
      <c r="B565">
        <v>131951</v>
      </c>
      <c r="C565">
        <v>7230</v>
      </c>
      <c r="D565">
        <v>2581</v>
      </c>
      <c r="E565">
        <f t="shared" si="558"/>
        <v>2993.9599999999996</v>
      </c>
      <c r="F565">
        <f t="shared" si="559"/>
        <v>0.42340802213001383</v>
      </c>
      <c r="G565">
        <f t="shared" si="560"/>
        <v>0.55062040669115397</v>
      </c>
      <c r="H565">
        <v>3.3454108283568346E-2</v>
      </c>
      <c r="I565">
        <f t="shared" si="561"/>
        <v>7557.7737582270138</v>
      </c>
      <c r="J565">
        <f t="shared" si="562"/>
        <v>0.44237830639474296</v>
      </c>
      <c r="K565">
        <f t="shared" si="563"/>
        <v>2.0345043476563671E-15</v>
      </c>
      <c r="L565">
        <f t="shared" ref="L565:M565" si="614">AVERAGE(G563:G565)</f>
        <v>0.55675457688409979</v>
      </c>
      <c r="M565">
        <f t="shared" si="614"/>
        <v>3.2253418623939628E-2</v>
      </c>
    </row>
    <row r="566" spans="1:13" x14ac:dyDescent="0.25">
      <c r="A566" s="18">
        <v>34700</v>
      </c>
      <c r="B566">
        <v>132038</v>
      </c>
      <c r="C566">
        <v>7375</v>
      </c>
      <c r="D566">
        <v>2764</v>
      </c>
      <c r="E566">
        <f t="shared" si="558"/>
        <v>3206.24</v>
      </c>
      <c r="F566">
        <f t="shared" si="559"/>
        <v>0.43098033898305077</v>
      </c>
      <c r="G566">
        <f t="shared" si="560"/>
        <v>0.56384029182016948</v>
      </c>
      <c r="H566">
        <v>3.1355383823045577E-2</v>
      </c>
      <c r="I566">
        <f t="shared" si="561"/>
        <v>6955.867353628154</v>
      </c>
      <c r="J566">
        <f t="shared" si="562"/>
        <v>0.4485453509333307</v>
      </c>
      <c r="K566">
        <f t="shared" si="563"/>
        <v>2.0725035269729638E-15</v>
      </c>
      <c r="L566">
        <f t="shared" ref="L566:M566" si="615">AVERAGE(G564:G566)</f>
        <v>0.5563092433906659</v>
      </c>
      <c r="M566">
        <f t="shared" si="615"/>
        <v>3.2037173912665397E-2</v>
      </c>
    </row>
    <row r="567" spans="1:13" x14ac:dyDescent="0.25">
      <c r="A567" s="18">
        <v>34731</v>
      </c>
      <c r="B567">
        <v>132115</v>
      </c>
      <c r="C567">
        <v>7187</v>
      </c>
      <c r="D567">
        <v>2578</v>
      </c>
      <c r="E567">
        <f t="shared" si="558"/>
        <v>2990.48</v>
      </c>
      <c r="F567">
        <f t="shared" si="559"/>
        <v>0.41985807708362322</v>
      </c>
      <c r="G567">
        <f t="shared" si="560"/>
        <v>0.54448251069112497</v>
      </c>
      <c r="H567">
        <v>3.0965676958549546E-2</v>
      </c>
      <c r="I567">
        <f t="shared" si="561"/>
        <v>7109.2941105400441</v>
      </c>
      <c r="J567">
        <f t="shared" si="562"/>
        <v>0.43754727205822375</v>
      </c>
      <c r="K567">
        <f t="shared" si="563"/>
        <v>1.9306004414265857E-15</v>
      </c>
      <c r="L567">
        <f t="shared" ref="L567:M567" si="616">AVERAGE(G565:G567)</f>
        <v>0.55298106973414951</v>
      </c>
      <c r="M567">
        <f t="shared" si="616"/>
        <v>3.1925056355054486E-2</v>
      </c>
    </row>
    <row r="568" spans="1:13" x14ac:dyDescent="0.25">
      <c r="A568" s="18">
        <v>34759</v>
      </c>
      <c r="B568">
        <v>132108</v>
      </c>
      <c r="C568">
        <v>7153</v>
      </c>
      <c r="D568">
        <v>2572</v>
      </c>
      <c r="E568">
        <f t="shared" si="558"/>
        <v>2983.52</v>
      </c>
      <c r="F568">
        <f t="shared" si="559"/>
        <v>0.3739410037746399</v>
      </c>
      <c r="G568">
        <f t="shared" si="560"/>
        <v>0.46831066915114544</v>
      </c>
      <c r="H568">
        <v>3.1812003737232288E-2</v>
      </c>
      <c r="I568">
        <f t="shared" si="561"/>
        <v>8403.1786950324167</v>
      </c>
      <c r="J568">
        <f t="shared" si="562"/>
        <v>0.3935437405917398</v>
      </c>
      <c r="K568">
        <f t="shared" si="563"/>
        <v>2.6170650445769621E-15</v>
      </c>
      <c r="L568">
        <f t="shared" ref="L568:M568" si="617">AVERAGE(G566:G568)</f>
        <v>0.52554449055414665</v>
      </c>
      <c r="M568">
        <f t="shared" si="617"/>
        <v>3.1377688172942474E-2</v>
      </c>
    </row>
    <row r="569" spans="1:13" x14ac:dyDescent="0.25">
      <c r="A569" s="18">
        <v>34790</v>
      </c>
      <c r="B569">
        <v>132590</v>
      </c>
      <c r="C569">
        <v>7645</v>
      </c>
      <c r="D569">
        <v>2730</v>
      </c>
      <c r="E569">
        <f t="shared" si="558"/>
        <v>3166.7999999999997</v>
      </c>
      <c r="F569">
        <f t="shared" si="559"/>
        <v>0.4230843688685415</v>
      </c>
      <c r="G569">
        <f t="shared" si="560"/>
        <v>0.55005924304136089</v>
      </c>
      <c r="H569">
        <v>3.138720246784691E-2</v>
      </c>
      <c r="I569">
        <f t="shared" si="561"/>
        <v>7157.3731464937091</v>
      </c>
      <c r="J569">
        <f t="shared" si="562"/>
        <v>0.44091091048385467</v>
      </c>
      <c r="K569">
        <f t="shared" si="563"/>
        <v>1.9504724299392126E-15</v>
      </c>
      <c r="L569">
        <f t="shared" ref="L569:M569" si="618">AVERAGE(G567:G569)</f>
        <v>0.52095080762787715</v>
      </c>
      <c r="M569">
        <f t="shared" si="618"/>
        <v>3.1388294387876249E-2</v>
      </c>
    </row>
    <row r="570" spans="1:13" x14ac:dyDescent="0.25">
      <c r="A570" s="18">
        <v>34820</v>
      </c>
      <c r="B570">
        <v>131851</v>
      </c>
      <c r="C570">
        <v>7430</v>
      </c>
      <c r="D570">
        <v>2603</v>
      </c>
      <c r="E570">
        <f t="shared" si="558"/>
        <v>3019.48</v>
      </c>
      <c r="F570">
        <f t="shared" si="559"/>
        <v>0.42880753701211305</v>
      </c>
      <c r="G570">
        <f t="shared" si="560"/>
        <v>0.56002906309303535</v>
      </c>
      <c r="H570">
        <v>3.3411066044523256E-2</v>
      </c>
      <c r="I570">
        <f t="shared" si="561"/>
        <v>7423.2972337725032</v>
      </c>
      <c r="J570">
        <f t="shared" si="562"/>
        <v>0.44757639637759672</v>
      </c>
      <c r="K570">
        <f t="shared" si="563"/>
        <v>2.1285247508571463E-15</v>
      </c>
      <c r="L570">
        <f t="shared" ref="L570:M570" si="619">AVERAGE(G568:G570)</f>
        <v>0.52613299176184725</v>
      </c>
      <c r="M570">
        <f t="shared" si="619"/>
        <v>3.2203424083200816E-2</v>
      </c>
    </row>
    <row r="571" spans="1:13" x14ac:dyDescent="0.25">
      <c r="A571" s="18">
        <v>34851</v>
      </c>
      <c r="B571">
        <v>131949</v>
      </c>
      <c r="C571">
        <v>7427</v>
      </c>
      <c r="D571">
        <v>2744</v>
      </c>
      <c r="E571">
        <f t="shared" si="558"/>
        <v>3183.04</v>
      </c>
      <c r="F571">
        <f t="shared" si="559"/>
        <v>0.39683856200350065</v>
      </c>
      <c r="G571">
        <f t="shared" si="560"/>
        <v>0.50557039338283594</v>
      </c>
      <c r="H571">
        <v>3.1192069945871124E-2</v>
      </c>
      <c r="I571">
        <f t="shared" si="561"/>
        <v>7667.7538361457746</v>
      </c>
      <c r="J571">
        <f t="shared" si="562"/>
        <v>0.4153620214104764</v>
      </c>
      <c r="K571">
        <f t="shared" si="563"/>
        <v>1.9215796091943182E-15</v>
      </c>
      <c r="L571">
        <f t="shared" ref="L571:M571" si="620">AVERAGE(G569:G571)</f>
        <v>0.53855289983907739</v>
      </c>
      <c r="M571">
        <f t="shared" si="620"/>
        <v>3.1996779486080429E-2</v>
      </c>
    </row>
    <row r="572" spans="1:13" x14ac:dyDescent="0.25">
      <c r="A572" s="18">
        <v>34881</v>
      </c>
      <c r="B572">
        <v>132343</v>
      </c>
      <c r="C572">
        <v>7527</v>
      </c>
      <c r="D572">
        <v>2627</v>
      </c>
      <c r="E572">
        <f t="shared" si="558"/>
        <v>3047.3199999999997</v>
      </c>
      <c r="F572">
        <f t="shared" si="559"/>
        <v>0.4267463796997476</v>
      </c>
      <c r="G572">
        <f t="shared" si="560"/>
        <v>0.55642704186894554</v>
      </c>
      <c r="H572">
        <v>3.3099228686268044E-2</v>
      </c>
      <c r="I572">
        <f t="shared" si="561"/>
        <v>7430.4597450785013</v>
      </c>
      <c r="J572">
        <f t="shared" si="562"/>
        <v>0.44541005189789229</v>
      </c>
      <c r="K572">
        <f t="shared" si="563"/>
        <v>2.0411555324267967E-15</v>
      </c>
      <c r="L572">
        <f t="shared" ref="L572:M572" si="621">AVERAGE(G570:G572)</f>
        <v>0.54067549944827231</v>
      </c>
      <c r="M572">
        <f t="shared" si="621"/>
        <v>3.2567454892220814E-2</v>
      </c>
    </row>
    <row r="573" spans="1:13" x14ac:dyDescent="0.25">
      <c r="A573" s="18">
        <v>34912</v>
      </c>
      <c r="B573">
        <v>132336</v>
      </c>
      <c r="C573">
        <v>7484</v>
      </c>
      <c r="D573">
        <v>2732</v>
      </c>
      <c r="E573">
        <f t="shared" si="558"/>
        <v>3169.12</v>
      </c>
      <c r="F573">
        <f t="shared" si="559"/>
        <v>0.44362907536076968</v>
      </c>
      <c r="G573">
        <f t="shared" si="560"/>
        <v>0.58632007651818419</v>
      </c>
      <c r="H573">
        <v>3.508124347373421E-2</v>
      </c>
      <c r="I573">
        <f t="shared" si="561"/>
        <v>7471.0356849587461</v>
      </c>
      <c r="J573">
        <f t="shared" si="562"/>
        <v>0.46280886676676558</v>
      </c>
      <c r="K573">
        <f t="shared" si="563"/>
        <v>2.2420332166154034E-15</v>
      </c>
      <c r="L573">
        <f t="shared" ref="L573:M573" si="622">AVERAGE(G571:G573)</f>
        <v>0.54943917058998859</v>
      </c>
      <c r="M573">
        <f t="shared" si="622"/>
        <v>3.3124180701957794E-2</v>
      </c>
    </row>
    <row r="574" spans="1:13" x14ac:dyDescent="0.25">
      <c r="A574" s="18">
        <v>34943</v>
      </c>
      <c r="B574">
        <v>132611</v>
      </c>
      <c r="C574">
        <v>7478</v>
      </c>
      <c r="D574">
        <v>2857</v>
      </c>
      <c r="E574">
        <f t="shared" si="558"/>
        <v>3314.12</v>
      </c>
      <c r="F574">
        <f t="shared" si="559"/>
        <v>0.44276544530623163</v>
      </c>
      <c r="G574">
        <f t="shared" si="560"/>
        <v>0.58476902411460563</v>
      </c>
      <c r="H574">
        <v>3.3338920066322955E-2</v>
      </c>
      <c r="I574">
        <f t="shared" si="561"/>
        <v>7152.646346866939</v>
      </c>
      <c r="J574">
        <f t="shared" si="562"/>
        <v>0.46103677800728982</v>
      </c>
      <c r="K574">
        <f t="shared" si="563"/>
        <v>2.1745072702955353E-15</v>
      </c>
      <c r="L574">
        <f t="shared" ref="L574:M574" si="623">AVERAGE(G572:G574)</f>
        <v>0.57583871416724508</v>
      </c>
      <c r="M574">
        <f t="shared" si="623"/>
        <v>3.3839797408775067E-2</v>
      </c>
    </row>
    <row r="575" spans="1:13" x14ac:dyDescent="0.25">
      <c r="A575" s="18">
        <v>34973</v>
      </c>
      <c r="B575">
        <v>132716</v>
      </c>
      <c r="C575">
        <v>7328</v>
      </c>
      <c r="D575">
        <v>2725</v>
      </c>
      <c r="E575">
        <f t="shared" si="558"/>
        <v>3161</v>
      </c>
      <c r="F575">
        <f t="shared" si="559"/>
        <v>0.43175764192139743</v>
      </c>
      <c r="G575">
        <f t="shared" si="560"/>
        <v>0.56520726450779124</v>
      </c>
      <c r="H575">
        <v>3.4071195054743493E-2</v>
      </c>
      <c r="I575">
        <f t="shared" si="561"/>
        <v>7545.3950508853359</v>
      </c>
      <c r="J575">
        <f t="shared" si="562"/>
        <v>0.45079223122229162</v>
      </c>
      <c r="K575">
        <f t="shared" si="563"/>
        <v>2.0506172171839692E-15</v>
      </c>
      <c r="L575">
        <f t="shared" ref="L575:M575" si="624">AVERAGE(G573:G575)</f>
        <v>0.57876545504686039</v>
      </c>
      <c r="M575">
        <f t="shared" si="624"/>
        <v>3.4163786198266884E-2</v>
      </c>
    </row>
    <row r="576" spans="1:13" x14ac:dyDescent="0.25">
      <c r="A576" s="18">
        <v>35004</v>
      </c>
      <c r="B576">
        <v>132614</v>
      </c>
      <c r="C576">
        <v>7426</v>
      </c>
      <c r="D576">
        <v>2812</v>
      </c>
      <c r="E576">
        <f t="shared" si="558"/>
        <v>3261.9199999999996</v>
      </c>
      <c r="F576">
        <f t="shared" si="559"/>
        <v>0.41622946404524641</v>
      </c>
      <c r="G576">
        <f t="shared" si="560"/>
        <v>0.5382472912520645</v>
      </c>
      <c r="H576">
        <v>3.1896734029639759E-2</v>
      </c>
      <c r="I576">
        <f t="shared" si="561"/>
        <v>7419.0964020304446</v>
      </c>
      <c r="J576">
        <f t="shared" si="562"/>
        <v>0.43455600539593731</v>
      </c>
      <c r="K576">
        <f t="shared" si="563"/>
        <v>1.8913990311902595E-15</v>
      </c>
      <c r="L576">
        <f t="shared" ref="L576:M576" si="625">AVERAGE(G574:G576)</f>
        <v>0.56274119329148709</v>
      </c>
      <c r="M576">
        <f t="shared" si="625"/>
        <v>3.3102283050235402E-2</v>
      </c>
    </row>
    <row r="577" spans="1:13" x14ac:dyDescent="0.25">
      <c r="A577" s="18">
        <v>35034</v>
      </c>
      <c r="B577">
        <v>132511</v>
      </c>
      <c r="C577">
        <v>7423</v>
      </c>
      <c r="D577">
        <v>2662</v>
      </c>
      <c r="E577">
        <f t="shared" si="558"/>
        <v>3087.9199999999996</v>
      </c>
      <c r="F577">
        <f t="shared" si="559"/>
        <v>0.41667789303516101</v>
      </c>
      <c r="G577">
        <f t="shared" si="560"/>
        <v>0.53901574612101144</v>
      </c>
      <c r="H577">
        <v>3.2700134405112699E-2</v>
      </c>
      <c r="I577">
        <f t="shared" si="561"/>
        <v>7579.1624087270566</v>
      </c>
      <c r="J577">
        <f t="shared" si="562"/>
        <v>0.43544410334072137</v>
      </c>
      <c r="K577">
        <f t="shared" si="563"/>
        <v>1.9080482413183185E-15</v>
      </c>
      <c r="L577">
        <f t="shared" ref="L577:M577" si="626">AVERAGE(G575:G577)</f>
        <v>0.54749010062695569</v>
      </c>
      <c r="M577">
        <f t="shared" si="626"/>
        <v>3.288935449649865E-2</v>
      </c>
    </row>
    <row r="578" spans="1:13" x14ac:dyDescent="0.25">
      <c r="A578" s="18">
        <v>35065</v>
      </c>
      <c r="B578">
        <v>132616</v>
      </c>
      <c r="C578">
        <v>7491</v>
      </c>
      <c r="D578">
        <v>2725</v>
      </c>
      <c r="E578">
        <f t="shared" si="558"/>
        <v>3161</v>
      </c>
      <c r="F578">
        <f t="shared" si="559"/>
        <v>0.4438766519823788</v>
      </c>
      <c r="G578">
        <f t="shared" si="560"/>
        <v>0.58676516038383841</v>
      </c>
      <c r="H578">
        <v>3.3219689956763665E-2</v>
      </c>
      <c r="I578">
        <f t="shared" si="561"/>
        <v>7105.7581501966288</v>
      </c>
      <c r="J578">
        <f t="shared" si="562"/>
        <v>0.46204741266858818</v>
      </c>
      <c r="K578">
        <f t="shared" si="563"/>
        <v>2.1801091524707037E-15</v>
      </c>
      <c r="L578">
        <f t="shared" ref="L578:M578" si="627">AVERAGE(G576:G578)</f>
        <v>0.55467606591897145</v>
      </c>
      <c r="M578">
        <f t="shared" si="627"/>
        <v>3.260551946383871E-2</v>
      </c>
    </row>
    <row r="579" spans="1:13" x14ac:dyDescent="0.25">
      <c r="A579" s="18">
        <v>35096</v>
      </c>
      <c r="B579">
        <v>132952</v>
      </c>
      <c r="C579">
        <v>7313</v>
      </c>
      <c r="D579">
        <v>2713</v>
      </c>
      <c r="E579">
        <f t="shared" ref="E579:E642" si="628">IF(A579&gt;A$554,1.16*D579,D579)</f>
        <v>3147.08</v>
      </c>
      <c r="F579">
        <f t="shared" ref="F579:F642" si="629">1 - ( (C580-E580)/C579 )</f>
        <v>0.41078080131273076</v>
      </c>
      <c r="G579">
        <f t="shared" ref="G579:G642" si="630">-LN(1-F579)</f>
        <v>0.52895701059446321</v>
      </c>
      <c r="H579">
        <v>3.0840678516327994E-2</v>
      </c>
      <c r="I579">
        <f t="shared" ref="I579:I642" si="631">H579*B579/(H579+G579)</f>
        <v>7324.6638381376579</v>
      </c>
      <c r="J579">
        <f t="shared" ref="J579:J642" si="632">1-EXP(-H579-G579)</f>
        <v>0.42867536264705874</v>
      </c>
      <c r="K579">
        <f t="shared" ref="K579:K642" si="633">( ( (J579*I579) + ( (1-J579)*C579 ) ) - C580 )^2</f>
        <v>1.8937730230046744E-15</v>
      </c>
      <c r="L579">
        <f t="shared" ref="L579:M579" si="634">AVERAGE(G577:G579)</f>
        <v>0.55157930569977098</v>
      </c>
      <c r="M579">
        <f t="shared" si="634"/>
        <v>3.2253500959401452E-2</v>
      </c>
    </row>
    <row r="580" spans="1:13" x14ac:dyDescent="0.25">
      <c r="A580" s="18">
        <v>35125</v>
      </c>
      <c r="B580">
        <v>133180</v>
      </c>
      <c r="C580">
        <v>7318</v>
      </c>
      <c r="D580">
        <v>2594</v>
      </c>
      <c r="E580">
        <f t="shared" si="628"/>
        <v>3009.04</v>
      </c>
      <c r="F580">
        <f t="shared" si="629"/>
        <v>0.38778354741732701</v>
      </c>
      <c r="G580">
        <f t="shared" si="630"/>
        <v>0.49066937830944091</v>
      </c>
      <c r="H580">
        <v>2.9517448272064806E-2</v>
      </c>
      <c r="I580">
        <f t="shared" si="631"/>
        <v>7557.1574672655406</v>
      </c>
      <c r="J580">
        <f t="shared" si="632"/>
        <v>0.40559051389644041</v>
      </c>
      <c r="K580">
        <f t="shared" si="633"/>
        <v>2.5403079652802523E-15</v>
      </c>
      <c r="L580">
        <f t="shared" ref="L580:M580" si="635">AVERAGE(G578:G580)</f>
        <v>0.53546384976258088</v>
      </c>
      <c r="M580">
        <f t="shared" si="635"/>
        <v>3.1192605581718821E-2</v>
      </c>
    </row>
    <row r="581" spans="1:13" x14ac:dyDescent="0.25">
      <c r="A581" s="18">
        <v>35156</v>
      </c>
      <c r="B581">
        <v>133409</v>
      </c>
      <c r="C581">
        <v>7415</v>
      </c>
      <c r="D581">
        <v>2530</v>
      </c>
      <c r="E581">
        <f t="shared" si="628"/>
        <v>2934.7999999999997</v>
      </c>
      <c r="F581">
        <f t="shared" si="629"/>
        <v>0.43147673634524608</v>
      </c>
      <c r="G581">
        <f t="shared" si="630"/>
        <v>0.56471304551225077</v>
      </c>
      <c r="H581">
        <v>3.3318859461988239E-2</v>
      </c>
      <c r="I581">
        <f t="shared" si="631"/>
        <v>7432.7735443410247</v>
      </c>
      <c r="J581">
        <f t="shared" si="632"/>
        <v>0.45010718687431384</v>
      </c>
      <c r="K581">
        <f t="shared" si="633"/>
        <v>1.9470195919467785E-15</v>
      </c>
      <c r="L581">
        <f t="shared" ref="L581:M581" si="636">AVERAGE(G579:G581)</f>
        <v>0.52811314480538496</v>
      </c>
      <c r="M581">
        <f t="shared" si="636"/>
        <v>3.1225662083460348E-2</v>
      </c>
    </row>
    <row r="582" spans="1:13" x14ac:dyDescent="0.25">
      <c r="A582" s="18">
        <v>35186</v>
      </c>
      <c r="B582">
        <v>133667</v>
      </c>
      <c r="C582">
        <v>7423</v>
      </c>
      <c r="D582">
        <v>2765</v>
      </c>
      <c r="E582">
        <f t="shared" si="628"/>
        <v>3207.3999999999996</v>
      </c>
      <c r="F582">
        <f t="shared" si="629"/>
        <v>0.44299070456688672</v>
      </c>
      <c r="G582">
        <f t="shared" si="630"/>
        <v>0.58517335080431221</v>
      </c>
      <c r="H582">
        <v>3.0927340156382772E-2</v>
      </c>
      <c r="I582">
        <f t="shared" si="631"/>
        <v>6709.8849868794387</v>
      </c>
      <c r="J582">
        <f t="shared" si="632"/>
        <v>0.45995385585846915</v>
      </c>
      <c r="K582">
        <f t="shared" si="633"/>
        <v>1.9923074599959964E-15</v>
      </c>
      <c r="L582">
        <f t="shared" ref="L582:M582" si="637">AVERAGE(G580:G582)</f>
        <v>0.54685192487533463</v>
      </c>
      <c r="M582">
        <f t="shared" si="637"/>
        <v>3.1254549296811936E-2</v>
      </c>
    </row>
    <row r="583" spans="1:13" x14ac:dyDescent="0.25">
      <c r="A583" s="18">
        <v>35217</v>
      </c>
      <c r="B583">
        <v>133697</v>
      </c>
      <c r="C583">
        <v>7095</v>
      </c>
      <c r="D583">
        <v>2552</v>
      </c>
      <c r="E583">
        <f t="shared" si="628"/>
        <v>2960.3199999999997</v>
      </c>
      <c r="F583">
        <f t="shared" si="629"/>
        <v>0.40275123326286122</v>
      </c>
      <c r="G583">
        <f t="shared" si="630"/>
        <v>0.51542155768058728</v>
      </c>
      <c r="H583">
        <v>3.1366620316420332E-2</v>
      </c>
      <c r="I583">
        <f t="shared" si="631"/>
        <v>7669.556887287712</v>
      </c>
      <c r="J583">
        <f t="shared" si="632"/>
        <v>0.42119415048579079</v>
      </c>
      <c r="K583">
        <f t="shared" si="633"/>
        <v>2.2003697272740509E-15</v>
      </c>
      <c r="L583">
        <f t="shared" ref="L583:M583" si="638">AVERAGE(G581:G583)</f>
        <v>0.55510265133238346</v>
      </c>
      <c r="M583">
        <f t="shared" si="638"/>
        <v>3.1870939978263783E-2</v>
      </c>
    </row>
    <row r="584" spans="1:13" x14ac:dyDescent="0.25">
      <c r="A584" s="18">
        <v>35247</v>
      </c>
      <c r="B584">
        <v>134284</v>
      </c>
      <c r="C584">
        <v>7337</v>
      </c>
      <c r="D584">
        <v>2672</v>
      </c>
      <c r="E584">
        <f t="shared" si="628"/>
        <v>3099.52</v>
      </c>
      <c r="F584">
        <f t="shared" si="629"/>
        <v>0.45663895325064741</v>
      </c>
      <c r="G584">
        <f t="shared" si="630"/>
        <v>0.60998126886306314</v>
      </c>
      <c r="H584">
        <v>3.0400889018114306E-2</v>
      </c>
      <c r="I584">
        <f t="shared" si="631"/>
        <v>6374.8699595499029</v>
      </c>
      <c r="J584">
        <f t="shared" si="632"/>
        <v>0.47290904641327136</v>
      </c>
      <c r="K584">
        <f t="shared" si="633"/>
        <v>2.0414020810529936E-15</v>
      </c>
      <c r="L584">
        <f t="shared" ref="L584:M584" si="639">AVERAGE(G582:G584)</f>
        <v>0.57019205911598758</v>
      </c>
      <c r="M584">
        <f t="shared" si="639"/>
        <v>3.0898283163639139E-2</v>
      </c>
    </row>
    <row r="585" spans="1:13" x14ac:dyDescent="0.25">
      <c r="A585" s="18">
        <v>35278</v>
      </c>
      <c r="B585">
        <v>134054</v>
      </c>
      <c r="C585">
        <v>6882</v>
      </c>
      <c r="D585">
        <v>2496</v>
      </c>
      <c r="E585">
        <f t="shared" si="628"/>
        <v>2895.3599999999997</v>
      </c>
      <c r="F585">
        <f t="shared" si="629"/>
        <v>0.41150828247602445</v>
      </c>
      <c r="G585">
        <f t="shared" si="630"/>
        <v>0.53019242625684093</v>
      </c>
      <c r="H585">
        <v>2.9687817906242187E-2</v>
      </c>
      <c r="I585">
        <f t="shared" si="631"/>
        <v>7108.2535651037433</v>
      </c>
      <c r="J585">
        <f t="shared" si="632"/>
        <v>0.42872252643553976</v>
      </c>
      <c r="K585">
        <f t="shared" si="633"/>
        <v>2.1459317965654663E-15</v>
      </c>
      <c r="L585">
        <f t="shared" ref="L585:M585" si="640">AVERAGE(G583:G585)</f>
        <v>0.55186508426683045</v>
      </c>
      <c r="M585">
        <f t="shared" si="640"/>
        <v>3.0485109080258938E-2</v>
      </c>
    </row>
    <row r="586" spans="1:13" x14ac:dyDescent="0.25">
      <c r="A586" s="18">
        <v>35309</v>
      </c>
      <c r="B586">
        <v>134515</v>
      </c>
      <c r="C586">
        <v>6979</v>
      </c>
      <c r="D586">
        <v>2525</v>
      </c>
      <c r="E586">
        <f t="shared" si="628"/>
        <v>2929</v>
      </c>
      <c r="F586">
        <f t="shared" si="629"/>
        <v>0.40425848975497913</v>
      </c>
      <c r="G586">
        <f t="shared" si="630"/>
        <v>0.51794841363773203</v>
      </c>
      <c r="H586">
        <v>2.8872386078526185E-2</v>
      </c>
      <c r="I586">
        <f t="shared" si="631"/>
        <v>7102.4529706408621</v>
      </c>
      <c r="J586">
        <f t="shared" si="632"/>
        <v>0.42121303181974179</v>
      </c>
      <c r="K586">
        <f t="shared" si="633"/>
        <v>2.5796984185465908E-15</v>
      </c>
      <c r="L586">
        <f t="shared" ref="L586:M586" si="641">AVERAGE(G584:G586)</f>
        <v>0.55270736958587874</v>
      </c>
      <c r="M586">
        <f t="shared" si="641"/>
        <v>2.9653697667627561E-2</v>
      </c>
    </row>
    <row r="587" spans="1:13" x14ac:dyDescent="0.25">
      <c r="A587" s="18">
        <v>35339</v>
      </c>
      <c r="B587">
        <v>134921</v>
      </c>
      <c r="C587">
        <v>7031</v>
      </c>
      <c r="D587">
        <v>2477</v>
      </c>
      <c r="E587">
        <f t="shared" si="628"/>
        <v>2873.3199999999997</v>
      </c>
      <c r="F587">
        <f t="shared" si="629"/>
        <v>0.45259564784525674</v>
      </c>
      <c r="G587">
        <f t="shared" si="630"/>
        <v>0.60256753181391742</v>
      </c>
      <c r="H587">
        <v>3.5295466996944767E-2</v>
      </c>
      <c r="I587">
        <f t="shared" si="631"/>
        <v>7465.7092691887483</v>
      </c>
      <c r="J587">
        <f t="shared" si="632"/>
        <v>0.47157954654894285</v>
      </c>
      <c r="K587">
        <f t="shared" si="633"/>
        <v>1.9938503892392436E-15</v>
      </c>
      <c r="L587">
        <f t="shared" ref="L587:M587" si="642">AVERAGE(G585:G587)</f>
        <v>0.55023612390283017</v>
      </c>
      <c r="M587">
        <f t="shared" si="642"/>
        <v>3.1285223660571043E-2</v>
      </c>
    </row>
    <row r="588" spans="1:13" x14ac:dyDescent="0.25">
      <c r="A588" s="18">
        <v>35370</v>
      </c>
      <c r="B588">
        <v>135007</v>
      </c>
      <c r="C588">
        <v>7236</v>
      </c>
      <c r="D588">
        <v>2920</v>
      </c>
      <c r="E588">
        <f t="shared" si="628"/>
        <v>3387.2</v>
      </c>
      <c r="F588">
        <f t="shared" si="629"/>
        <v>0.4178220011055831</v>
      </c>
      <c r="G588">
        <f t="shared" si="630"/>
        <v>0.54097903798545455</v>
      </c>
      <c r="H588">
        <v>3.0811727290905446E-2</v>
      </c>
      <c r="I588">
        <f t="shared" si="631"/>
        <v>7275.0368123779381</v>
      </c>
      <c r="J588">
        <f t="shared" si="632"/>
        <v>0.43548637838513904</v>
      </c>
      <c r="K588">
        <f t="shared" si="633"/>
        <v>2.1315469710303946E-15</v>
      </c>
      <c r="L588">
        <f t="shared" ref="L588:M588" si="643">AVERAGE(G586:G588)</f>
        <v>0.55383166114570137</v>
      </c>
      <c r="M588">
        <f t="shared" si="643"/>
        <v>3.1659860122125467E-2</v>
      </c>
    </row>
    <row r="589" spans="1:13" x14ac:dyDescent="0.25">
      <c r="A589" s="18">
        <v>35400</v>
      </c>
      <c r="B589">
        <v>135113</v>
      </c>
      <c r="C589">
        <v>7253</v>
      </c>
      <c r="D589">
        <v>2621</v>
      </c>
      <c r="E589">
        <f t="shared" si="628"/>
        <v>3040.3599999999997</v>
      </c>
      <c r="F589">
        <f t="shared" si="629"/>
        <v>0.45419550530814834</v>
      </c>
      <c r="G589">
        <f t="shared" si="630"/>
        <v>0.60549443568894556</v>
      </c>
      <c r="H589">
        <v>3.3341915332074687E-2</v>
      </c>
      <c r="I589">
        <f t="shared" si="631"/>
        <v>7051.7687339842341</v>
      </c>
      <c r="J589">
        <f t="shared" si="632"/>
        <v>0.47209363552979133</v>
      </c>
      <c r="K589">
        <f t="shared" si="633"/>
        <v>1.9672983945021039E-15</v>
      </c>
      <c r="L589">
        <f t="shared" ref="L589:M589" si="644">AVERAGE(G587:G589)</f>
        <v>0.58301366849610581</v>
      </c>
      <c r="M589">
        <f t="shared" si="644"/>
        <v>3.314970320664163E-2</v>
      </c>
    </row>
    <row r="590" spans="1:13" x14ac:dyDescent="0.25">
      <c r="A590" s="18">
        <v>35431</v>
      </c>
      <c r="B590">
        <v>135456</v>
      </c>
      <c r="C590">
        <v>7158</v>
      </c>
      <c r="D590">
        <v>2758</v>
      </c>
      <c r="E590">
        <f t="shared" si="628"/>
        <v>3199.2799999999997</v>
      </c>
      <c r="F590">
        <f t="shared" si="629"/>
        <v>0.42090528080469403</v>
      </c>
      <c r="G590">
        <f t="shared" si="630"/>
        <v>0.54628922377780087</v>
      </c>
      <c r="H590">
        <v>2.9904316683028984E-2</v>
      </c>
      <c r="I590">
        <f t="shared" si="631"/>
        <v>7030.1362930529867</v>
      </c>
      <c r="J590">
        <f t="shared" si="632"/>
        <v>0.43796634158341163</v>
      </c>
      <c r="K590">
        <f t="shared" si="633"/>
        <v>2.2205525768783201E-15</v>
      </c>
      <c r="L590">
        <f t="shared" ref="L590:M590" si="645">AVERAGE(G588:G590)</f>
        <v>0.56425423248406703</v>
      </c>
      <c r="M590">
        <f t="shared" si="645"/>
        <v>3.1352653102003039E-2</v>
      </c>
    </row>
    <row r="591" spans="1:13" x14ac:dyDescent="0.25">
      <c r="A591" s="18">
        <v>35462</v>
      </c>
      <c r="B591">
        <v>135400</v>
      </c>
      <c r="C591">
        <v>7102</v>
      </c>
      <c r="D591">
        <v>2549</v>
      </c>
      <c r="E591">
        <f t="shared" si="628"/>
        <v>2956.8399999999997</v>
      </c>
      <c r="F591">
        <f t="shared" si="629"/>
        <v>0.43935792734441004</v>
      </c>
      <c r="G591">
        <f t="shared" si="630"/>
        <v>0.57867259373538316</v>
      </c>
      <c r="H591">
        <v>3.097087396233824E-2</v>
      </c>
      <c r="I591">
        <f t="shared" si="631"/>
        <v>6878.5389439780438</v>
      </c>
      <c r="J591">
        <f t="shared" si="632"/>
        <v>0.4564553742509998</v>
      </c>
      <c r="K591">
        <f t="shared" si="633"/>
        <v>1.8468105857079857E-15</v>
      </c>
      <c r="L591">
        <f t="shared" ref="L591:M591" si="646">AVERAGE(G589:G591)</f>
        <v>0.57681875106737657</v>
      </c>
      <c r="M591">
        <f t="shared" si="646"/>
        <v>3.1405701992480634E-2</v>
      </c>
    </row>
    <row r="592" spans="1:13" x14ac:dyDescent="0.25">
      <c r="A592" s="18">
        <v>35490</v>
      </c>
      <c r="B592">
        <v>135891</v>
      </c>
      <c r="C592">
        <v>7000</v>
      </c>
      <c r="D592">
        <v>2602</v>
      </c>
      <c r="E592">
        <f t="shared" si="628"/>
        <v>3018.3199999999997</v>
      </c>
      <c r="F592">
        <f t="shared" si="629"/>
        <v>0.42231999999999992</v>
      </c>
      <c r="G592">
        <f t="shared" si="630"/>
        <v>0.54873519683921068</v>
      </c>
      <c r="H592">
        <v>2.8504586462033462E-2</v>
      </c>
      <c r="I592">
        <f t="shared" si="631"/>
        <v>6710.4119829708916</v>
      </c>
      <c r="J592">
        <f t="shared" si="632"/>
        <v>0.43855405777406276</v>
      </c>
      <c r="K592">
        <f t="shared" si="633"/>
        <v>2.4147394758518518E-15</v>
      </c>
      <c r="L592">
        <f t="shared" ref="L592:M592" si="647">AVERAGE(G590:G592)</f>
        <v>0.55789900478413157</v>
      </c>
      <c r="M592">
        <f t="shared" si="647"/>
        <v>2.979325903580023E-2</v>
      </c>
    </row>
    <row r="593" spans="1:13" x14ac:dyDescent="0.25">
      <c r="A593" s="18">
        <v>35521</v>
      </c>
      <c r="B593">
        <v>136016</v>
      </c>
      <c r="C593">
        <v>6873</v>
      </c>
      <c r="D593">
        <v>2439</v>
      </c>
      <c r="E593">
        <f t="shared" si="628"/>
        <v>2829.24</v>
      </c>
      <c r="F593">
        <f t="shared" si="629"/>
        <v>0.45821620835152044</v>
      </c>
      <c r="G593">
        <f t="shared" si="630"/>
        <v>0.61288826552525033</v>
      </c>
      <c r="H593">
        <v>3.0329213303014312E-2</v>
      </c>
      <c r="I593">
        <f t="shared" si="631"/>
        <v>6413.4735333027456</v>
      </c>
      <c r="J593">
        <f t="shared" si="632"/>
        <v>0.47440140178201795</v>
      </c>
      <c r="K593">
        <f t="shared" si="633"/>
        <v>1.8390798409026682E-15</v>
      </c>
      <c r="L593">
        <f t="shared" ref="L593:M593" si="648">AVERAGE(G591:G593)</f>
        <v>0.58009868536661469</v>
      </c>
      <c r="M593">
        <f t="shared" si="648"/>
        <v>2.9934891242462004E-2</v>
      </c>
    </row>
    <row r="594" spans="1:13" x14ac:dyDescent="0.25">
      <c r="A594" s="18">
        <v>35551</v>
      </c>
      <c r="B594">
        <v>136119</v>
      </c>
      <c r="C594">
        <v>6655</v>
      </c>
      <c r="D594">
        <v>2527</v>
      </c>
      <c r="E594">
        <f t="shared" si="628"/>
        <v>2931.3199999999997</v>
      </c>
      <c r="F594">
        <f t="shared" si="629"/>
        <v>0.42493163035311787</v>
      </c>
      <c r="G594">
        <f t="shared" si="630"/>
        <v>0.55326634151956722</v>
      </c>
      <c r="H594">
        <v>2.9908192493060686E-2</v>
      </c>
      <c r="I594">
        <f t="shared" si="631"/>
        <v>6980.8831087860463</v>
      </c>
      <c r="J594">
        <f t="shared" si="632"/>
        <v>0.44187623159145373</v>
      </c>
      <c r="K594">
        <f t="shared" si="633"/>
        <v>2.468668343067859E-15</v>
      </c>
      <c r="L594">
        <f t="shared" ref="L594:M594" si="649">AVERAGE(G592:G594)</f>
        <v>0.57162993462800937</v>
      </c>
      <c r="M594">
        <f t="shared" si="649"/>
        <v>2.9580664086036153E-2</v>
      </c>
    </row>
    <row r="595" spans="1:13" x14ac:dyDescent="0.25">
      <c r="A595" s="18">
        <v>35582</v>
      </c>
      <c r="B595">
        <v>136211</v>
      </c>
      <c r="C595">
        <v>6799</v>
      </c>
      <c r="D595">
        <v>2562</v>
      </c>
      <c r="E595">
        <f t="shared" si="628"/>
        <v>2971.9199999999996</v>
      </c>
      <c r="F595">
        <f t="shared" si="629"/>
        <v>0.43099279305780258</v>
      </c>
      <c r="G595">
        <f t="shared" si="630"/>
        <v>0.56386217895676161</v>
      </c>
      <c r="H595">
        <v>2.8149574516083707E-2</v>
      </c>
      <c r="I595">
        <f t="shared" si="631"/>
        <v>6476.6985991708871</v>
      </c>
      <c r="J595">
        <f t="shared" si="632"/>
        <v>0.44678676413408325</v>
      </c>
      <c r="K595">
        <f t="shared" si="633"/>
        <v>2.2732337124506431E-15</v>
      </c>
      <c r="L595">
        <f t="shared" ref="L595:M595" si="650">AVERAGE(G593:G595)</f>
        <v>0.57667226200052646</v>
      </c>
      <c r="M595">
        <f t="shared" si="650"/>
        <v>2.9462326770719569E-2</v>
      </c>
    </row>
    <row r="596" spans="1:13" x14ac:dyDescent="0.25">
      <c r="A596" s="18">
        <v>35612</v>
      </c>
      <c r="B596">
        <v>136477</v>
      </c>
      <c r="C596">
        <v>6655</v>
      </c>
      <c r="D596">
        <v>2402</v>
      </c>
      <c r="E596">
        <f t="shared" si="628"/>
        <v>2786.3199999999997</v>
      </c>
      <c r="F596">
        <f t="shared" si="629"/>
        <v>0.44718256949661905</v>
      </c>
      <c r="G596">
        <f t="shared" si="630"/>
        <v>0.59272747572443762</v>
      </c>
      <c r="H596">
        <v>2.9898330164847511E-2</v>
      </c>
      <c r="I596">
        <f t="shared" si="631"/>
        <v>6553.5902420232696</v>
      </c>
      <c r="J596">
        <f t="shared" si="632"/>
        <v>0.46346624717494278</v>
      </c>
      <c r="K596">
        <f t="shared" si="633"/>
        <v>1.9014591199092487E-15</v>
      </c>
      <c r="L596">
        <f t="shared" ref="L596:M596" si="651">AVERAGE(G594:G596)</f>
        <v>0.56995199873358882</v>
      </c>
      <c r="M596">
        <f t="shared" si="651"/>
        <v>2.9318699057997302E-2</v>
      </c>
    </row>
    <row r="597" spans="1:13" x14ac:dyDescent="0.25">
      <c r="A597" s="18">
        <v>35643</v>
      </c>
      <c r="B597">
        <v>136618</v>
      </c>
      <c r="C597">
        <v>6608</v>
      </c>
      <c r="D597">
        <v>2525</v>
      </c>
      <c r="E597">
        <f t="shared" si="628"/>
        <v>2929</v>
      </c>
      <c r="F597">
        <f t="shared" si="629"/>
        <v>0.42703389830508465</v>
      </c>
      <c r="G597">
        <f t="shared" si="630"/>
        <v>0.55692872336307808</v>
      </c>
      <c r="H597">
        <v>2.8794760961958279E-2</v>
      </c>
      <c r="I597">
        <f t="shared" si="631"/>
        <v>6716.2795386872021</v>
      </c>
      <c r="J597">
        <f t="shared" si="632"/>
        <v>0.44329704977854834</v>
      </c>
      <c r="K597">
        <f t="shared" si="633"/>
        <v>2.6439333531803422E-15</v>
      </c>
      <c r="L597">
        <f t="shared" ref="L597:M597" si="652">AVERAGE(G595:G597)</f>
        <v>0.57117279268142573</v>
      </c>
      <c r="M597">
        <f t="shared" si="652"/>
        <v>2.89475552142965E-2</v>
      </c>
    </row>
    <row r="598" spans="1:13" x14ac:dyDescent="0.25">
      <c r="A598" s="18">
        <v>35674</v>
      </c>
      <c r="B598">
        <v>136675</v>
      </c>
      <c r="C598">
        <v>6656</v>
      </c>
      <c r="D598">
        <v>2474</v>
      </c>
      <c r="E598">
        <f t="shared" si="628"/>
        <v>2869.8399999999997</v>
      </c>
      <c r="F598">
        <f t="shared" si="629"/>
        <v>0.47754807692307688</v>
      </c>
      <c r="G598">
        <f t="shared" si="630"/>
        <v>0.64922231262655761</v>
      </c>
      <c r="H598">
        <v>3.1093765230488585E-2</v>
      </c>
      <c r="I598">
        <f t="shared" si="631"/>
        <v>6246.7145804689017</v>
      </c>
      <c r="J598">
        <f t="shared" si="632"/>
        <v>0.49354311274352769</v>
      </c>
      <c r="K598">
        <f t="shared" si="633"/>
        <v>1.943168874289442E-15</v>
      </c>
      <c r="L598">
        <f t="shared" ref="L598:M598" si="653">AVERAGE(G596:G598)</f>
        <v>0.5996261705713577</v>
      </c>
      <c r="M598">
        <f t="shared" si="653"/>
        <v>2.9928952119098125E-2</v>
      </c>
    </row>
    <row r="599" spans="1:13" x14ac:dyDescent="0.25">
      <c r="A599" s="18">
        <v>35704</v>
      </c>
      <c r="B599">
        <v>136633</v>
      </c>
      <c r="C599">
        <v>6454</v>
      </c>
      <c r="D599">
        <v>2566</v>
      </c>
      <c r="E599">
        <f t="shared" si="628"/>
        <v>2976.56</v>
      </c>
      <c r="F599">
        <f t="shared" si="629"/>
        <v>0.46818097303997519</v>
      </c>
      <c r="G599">
        <f t="shared" si="630"/>
        <v>0.63145202240026588</v>
      </c>
      <c r="H599">
        <v>2.9773164512769169E-2</v>
      </c>
      <c r="I599">
        <f t="shared" si="631"/>
        <v>6152.2108766982237</v>
      </c>
      <c r="J599">
        <f t="shared" si="632"/>
        <v>0.48378151723931173</v>
      </c>
      <c r="K599">
        <f t="shared" si="633"/>
        <v>1.8271642189792388E-15</v>
      </c>
      <c r="L599">
        <f t="shared" ref="L599:M599" si="654">AVERAGE(G597:G599)</f>
        <v>0.61253435279663382</v>
      </c>
      <c r="M599">
        <f t="shared" si="654"/>
        <v>2.9887230235072008E-2</v>
      </c>
    </row>
    <row r="600" spans="1:13" x14ac:dyDescent="0.25">
      <c r="A600" s="18">
        <v>35735</v>
      </c>
      <c r="B600">
        <v>136961</v>
      </c>
      <c r="C600">
        <v>6308</v>
      </c>
      <c r="D600">
        <v>2479</v>
      </c>
      <c r="E600">
        <f t="shared" si="628"/>
        <v>2875.64</v>
      </c>
      <c r="F600">
        <f t="shared" si="629"/>
        <v>0.43935320228281538</v>
      </c>
      <c r="G600">
        <f t="shared" si="630"/>
        <v>0.57866416582404012</v>
      </c>
      <c r="H600">
        <v>2.9654591814631582E-2</v>
      </c>
      <c r="I600">
        <f t="shared" si="631"/>
        <v>6676.6353963660167</v>
      </c>
      <c r="J600">
        <f t="shared" si="632"/>
        <v>0.45573485808558856</v>
      </c>
      <c r="K600">
        <f t="shared" si="633"/>
        <v>2.3224106255708802E-15</v>
      </c>
      <c r="L600">
        <f t="shared" ref="L600:M600" si="655">AVERAGE(G598:G600)</f>
        <v>0.61977950028362117</v>
      </c>
      <c r="M600">
        <f t="shared" si="655"/>
        <v>3.0173840519296447E-2</v>
      </c>
    </row>
    <row r="601" spans="1:13" x14ac:dyDescent="0.25">
      <c r="A601" s="18">
        <v>35765</v>
      </c>
      <c r="B601">
        <v>137155</v>
      </c>
      <c r="C601">
        <v>6476</v>
      </c>
      <c r="D601">
        <v>2534</v>
      </c>
      <c r="E601">
        <f t="shared" si="628"/>
        <v>2939.4399999999996</v>
      </c>
      <c r="F601">
        <f t="shared" si="629"/>
        <v>0.48006794317479917</v>
      </c>
      <c r="G601">
        <f t="shared" si="630"/>
        <v>0.65405713589495595</v>
      </c>
      <c r="H601">
        <v>3.1271068341367184E-2</v>
      </c>
      <c r="I601">
        <f t="shared" si="631"/>
        <v>6258.2910667444785</v>
      </c>
      <c r="J601">
        <f t="shared" si="632"/>
        <v>0.49607518782717908</v>
      </c>
      <c r="K601">
        <f t="shared" si="633"/>
        <v>1.9020143888836627E-15</v>
      </c>
      <c r="L601">
        <f t="shared" ref="L601:M601" si="656">AVERAGE(G599:G601)</f>
        <v>0.62139110803975406</v>
      </c>
      <c r="M601">
        <f t="shared" si="656"/>
        <v>3.0232941556255982E-2</v>
      </c>
    </row>
    <row r="602" spans="1:13" x14ac:dyDescent="0.25">
      <c r="A602" s="18">
        <v>35796</v>
      </c>
      <c r="B602">
        <v>137095</v>
      </c>
      <c r="C602">
        <v>6368</v>
      </c>
      <c r="D602">
        <v>2587</v>
      </c>
      <c r="E602">
        <f t="shared" si="628"/>
        <v>3000.9199999999996</v>
      </c>
      <c r="F602">
        <f t="shared" si="629"/>
        <v>0.47825376884422111</v>
      </c>
      <c r="G602">
        <f t="shared" si="630"/>
        <v>0.65057395651851779</v>
      </c>
      <c r="H602">
        <v>3.1036763701031381E-2</v>
      </c>
      <c r="I602">
        <f t="shared" si="631"/>
        <v>6242.544304793727</v>
      </c>
      <c r="J602">
        <f t="shared" si="632"/>
        <v>0.49419836903175385</v>
      </c>
      <c r="K602">
        <f t="shared" si="633"/>
        <v>1.8762407413244333E-15</v>
      </c>
      <c r="L602">
        <f t="shared" ref="L602:M602" si="657">AVERAGE(G600:G602)</f>
        <v>0.62776508607917136</v>
      </c>
      <c r="M602">
        <f t="shared" si="657"/>
        <v>3.0654141285676714E-2</v>
      </c>
    </row>
    <row r="603" spans="1:13" x14ac:dyDescent="0.25">
      <c r="A603" s="18">
        <v>35827</v>
      </c>
      <c r="B603">
        <v>137112</v>
      </c>
      <c r="C603">
        <v>6306</v>
      </c>
      <c r="D603">
        <v>2572</v>
      </c>
      <c r="E603">
        <f t="shared" si="628"/>
        <v>2983.52</v>
      </c>
      <c r="F603">
        <f t="shared" si="629"/>
        <v>0.49464636853790034</v>
      </c>
      <c r="G603">
        <f t="shared" si="630"/>
        <v>0.68249683445364551</v>
      </c>
      <c r="H603">
        <v>3.4144556170894444E-2</v>
      </c>
      <c r="I603">
        <f t="shared" si="631"/>
        <v>6532.7351265934067</v>
      </c>
      <c r="J603">
        <f t="shared" si="632"/>
        <v>0.51161018492828236</v>
      </c>
      <c r="K603">
        <f t="shared" si="633"/>
        <v>2.1335629756193088E-15</v>
      </c>
      <c r="L603">
        <f t="shared" ref="L603:M603" si="658">AVERAGE(G601:G603)</f>
        <v>0.66237597562237316</v>
      </c>
      <c r="M603">
        <f t="shared" si="658"/>
        <v>3.2150796071097672E-2</v>
      </c>
    </row>
    <row r="604" spans="1:13" x14ac:dyDescent="0.25">
      <c r="A604" s="18">
        <v>35855</v>
      </c>
      <c r="B604">
        <v>137236</v>
      </c>
      <c r="C604">
        <v>6422</v>
      </c>
      <c r="D604">
        <v>2789</v>
      </c>
      <c r="E604">
        <f t="shared" si="628"/>
        <v>3235.24</v>
      </c>
      <c r="F604">
        <f t="shared" si="629"/>
        <v>0.54959202740579249</v>
      </c>
      <c r="G604">
        <f t="shared" si="630"/>
        <v>0.79760150117165129</v>
      </c>
      <c r="H604">
        <v>3.3741571455362461E-2</v>
      </c>
      <c r="I604">
        <f t="shared" si="631"/>
        <v>5569.9727978916417</v>
      </c>
      <c r="J604">
        <f t="shared" si="632"/>
        <v>0.56453596643249948</v>
      </c>
      <c r="K604">
        <f t="shared" si="633"/>
        <v>9.5971136125609821E-16</v>
      </c>
      <c r="L604">
        <f t="shared" ref="L604:M604" si="659">AVERAGE(G602:G604)</f>
        <v>0.71022409738127157</v>
      </c>
      <c r="M604">
        <f t="shared" si="659"/>
        <v>3.29742971090961E-2</v>
      </c>
    </row>
    <row r="605" spans="1:13" x14ac:dyDescent="0.25">
      <c r="A605" s="18">
        <v>35886</v>
      </c>
      <c r="B605">
        <v>137150</v>
      </c>
      <c r="C605">
        <v>5941</v>
      </c>
      <c r="D605">
        <v>2628</v>
      </c>
      <c r="E605">
        <f t="shared" si="628"/>
        <v>3048.4799999999996</v>
      </c>
      <c r="F605">
        <f t="shared" si="629"/>
        <v>0.4978219155024407</v>
      </c>
      <c r="G605">
        <f t="shared" si="630"/>
        <v>0.68880047220417184</v>
      </c>
      <c r="H605">
        <v>3.2321999713612215E-2</v>
      </c>
      <c r="I605">
        <f t="shared" si="631"/>
        <v>6147.3084439217455</v>
      </c>
      <c r="J605">
        <f t="shared" si="632"/>
        <v>0.51379380325286195</v>
      </c>
      <c r="K605">
        <f t="shared" si="633"/>
        <v>2.0915101778585613E-15</v>
      </c>
      <c r="L605">
        <f t="shared" ref="L605:M605" si="660">AVERAGE(G603:G605)</f>
        <v>0.72296626927648955</v>
      </c>
      <c r="M605">
        <f t="shared" si="660"/>
        <v>3.3402709113289707E-2</v>
      </c>
    </row>
    <row r="606" spans="1:13" x14ac:dyDescent="0.25">
      <c r="A606" s="18">
        <v>35916</v>
      </c>
      <c r="B606">
        <v>137372</v>
      </c>
      <c r="C606">
        <v>6047</v>
      </c>
      <c r="D606">
        <v>2641</v>
      </c>
      <c r="E606">
        <f t="shared" si="628"/>
        <v>3063.56</v>
      </c>
      <c r="F606">
        <f t="shared" si="629"/>
        <v>0.46111460228212331</v>
      </c>
      <c r="G606">
        <f t="shared" si="630"/>
        <v>0.61825235086948505</v>
      </c>
      <c r="H606">
        <v>3.0175583221974101E-2</v>
      </c>
      <c r="I606">
        <f t="shared" si="631"/>
        <v>6392.8156089961803</v>
      </c>
      <c r="J606">
        <f t="shared" si="632"/>
        <v>0.47713288744279136</v>
      </c>
      <c r="K606">
        <f t="shared" si="633"/>
        <v>1.8605941675701977E-15</v>
      </c>
      <c r="L606">
        <f t="shared" ref="L606:M606" si="661">AVERAGE(G604:G606)</f>
        <v>0.70155144141510262</v>
      </c>
      <c r="M606">
        <f t="shared" si="661"/>
        <v>3.2079718130316258E-2</v>
      </c>
    </row>
    <row r="607" spans="1:13" x14ac:dyDescent="0.25">
      <c r="A607" s="18">
        <v>35947</v>
      </c>
      <c r="B607">
        <v>137455</v>
      </c>
      <c r="C607">
        <v>6212</v>
      </c>
      <c r="D607">
        <v>2546</v>
      </c>
      <c r="E607">
        <f t="shared" si="628"/>
        <v>2953.3599999999997</v>
      </c>
      <c r="F607">
        <f t="shared" si="629"/>
        <v>0.4766387636831938</v>
      </c>
      <c r="G607">
        <f t="shared" si="630"/>
        <v>0.64748335292642212</v>
      </c>
      <c r="H607">
        <v>3.1139979147497179E-2</v>
      </c>
      <c r="I607">
        <f t="shared" si="631"/>
        <v>6307.3956220134596</v>
      </c>
      <c r="J607">
        <f t="shared" si="632"/>
        <v>0.49268508397588173</v>
      </c>
      <c r="K607">
        <f t="shared" si="633"/>
        <v>1.8176130746388187E-15</v>
      </c>
      <c r="L607">
        <f t="shared" ref="L607:M607" si="662">AVERAGE(G605:G607)</f>
        <v>0.65151205866669304</v>
      </c>
      <c r="M607">
        <f t="shared" si="662"/>
        <v>3.1212520694361163E-2</v>
      </c>
    </row>
    <row r="608" spans="1:13" x14ac:dyDescent="0.25">
      <c r="A608" s="18">
        <v>35977</v>
      </c>
      <c r="B608">
        <v>137588</v>
      </c>
      <c r="C608">
        <v>6259</v>
      </c>
      <c r="D608">
        <v>2593</v>
      </c>
      <c r="E608">
        <f t="shared" si="628"/>
        <v>3007.8799999999997</v>
      </c>
      <c r="F608">
        <f t="shared" si="629"/>
        <v>0.49409170794056556</v>
      </c>
      <c r="G608">
        <f t="shared" si="630"/>
        <v>0.68139986711006439</v>
      </c>
      <c r="H608">
        <v>3.1622869981742595E-2</v>
      </c>
      <c r="I608">
        <f t="shared" si="631"/>
        <v>6102.0879261074469</v>
      </c>
      <c r="J608">
        <f t="shared" si="632"/>
        <v>0.50983966989039708</v>
      </c>
      <c r="K608">
        <f t="shared" si="633"/>
        <v>2.0073561211336991E-15</v>
      </c>
      <c r="L608">
        <f t="shared" ref="L608:M608" si="663">AVERAGE(G606:G608)</f>
        <v>0.64904519030199059</v>
      </c>
      <c r="M608">
        <f t="shared" si="663"/>
        <v>3.0979477450404625E-2</v>
      </c>
    </row>
    <row r="609" spans="1:13" x14ac:dyDescent="0.25">
      <c r="A609" s="18">
        <v>36008</v>
      </c>
      <c r="B609">
        <v>137570</v>
      </c>
      <c r="C609">
        <v>6179</v>
      </c>
      <c r="D609">
        <v>2597</v>
      </c>
      <c r="E609">
        <f t="shared" si="628"/>
        <v>3012.52</v>
      </c>
      <c r="F609">
        <f t="shared" si="629"/>
        <v>0.47302799805793816</v>
      </c>
      <c r="G609">
        <f t="shared" si="630"/>
        <v>0.64060785909674123</v>
      </c>
      <c r="H609">
        <v>3.1390973813621978E-2</v>
      </c>
      <c r="I609">
        <f t="shared" si="631"/>
        <v>6426.2853684390357</v>
      </c>
      <c r="J609">
        <f t="shared" si="632"/>
        <v>0.48931322061691207</v>
      </c>
      <c r="K609">
        <f t="shared" si="633"/>
        <v>1.7930358743524757E-15</v>
      </c>
      <c r="L609">
        <f t="shared" ref="L609:M609" si="664">AVERAGE(G607:G609)</f>
        <v>0.65649702637774265</v>
      </c>
      <c r="M609">
        <f t="shared" si="664"/>
        <v>3.1384607647620584E-2</v>
      </c>
    </row>
    <row r="610" spans="1:13" x14ac:dyDescent="0.25">
      <c r="A610" s="18">
        <v>36039</v>
      </c>
      <c r="B610">
        <v>138286</v>
      </c>
      <c r="C610">
        <v>6300</v>
      </c>
      <c r="D610">
        <v>2624</v>
      </c>
      <c r="E610">
        <f t="shared" si="628"/>
        <v>3043.8399999999997</v>
      </c>
      <c r="F610">
        <f t="shared" si="629"/>
        <v>0.5229650793650793</v>
      </c>
      <c r="G610">
        <f t="shared" si="630"/>
        <v>0.74016558189519455</v>
      </c>
      <c r="H610">
        <v>3.5112046159805781E-2</v>
      </c>
      <c r="I610">
        <f t="shared" si="631"/>
        <v>6262.9234219440677</v>
      </c>
      <c r="J610">
        <f t="shared" si="632"/>
        <v>0.53942410554241693</v>
      </c>
      <c r="K610">
        <f t="shared" si="633"/>
        <v>2.0798800846205147E-15</v>
      </c>
      <c r="L610">
        <f t="shared" ref="L610:M610" si="665">AVERAGE(G608:G610)</f>
        <v>0.68739110270066661</v>
      </c>
      <c r="M610">
        <f t="shared" si="665"/>
        <v>3.2708629985056782E-2</v>
      </c>
    </row>
    <row r="611" spans="1:13" x14ac:dyDescent="0.25">
      <c r="A611" s="18">
        <v>36069</v>
      </c>
      <c r="B611">
        <v>138279</v>
      </c>
      <c r="C611">
        <v>6280</v>
      </c>
      <c r="D611">
        <v>2823</v>
      </c>
      <c r="E611">
        <f t="shared" si="628"/>
        <v>3274.68</v>
      </c>
      <c r="F611">
        <f t="shared" si="629"/>
        <v>0.49229299363057322</v>
      </c>
      <c r="G611">
        <f t="shared" si="630"/>
        <v>0.67785075690847618</v>
      </c>
      <c r="H611">
        <v>3.0346472305458744E-2</v>
      </c>
      <c r="I611">
        <f t="shared" si="631"/>
        <v>5925.298307908095</v>
      </c>
      <c r="J611">
        <f t="shared" si="632"/>
        <v>0.50746868134488832</v>
      </c>
      <c r="K611">
        <f t="shared" si="633"/>
        <v>1.8767135147491768E-15</v>
      </c>
      <c r="L611">
        <f t="shared" ref="L611:M611" si="666">AVERAGE(G609:G611)</f>
        <v>0.68620806596680406</v>
      </c>
      <c r="M611">
        <f t="shared" si="666"/>
        <v>3.2283164092962162E-2</v>
      </c>
    </row>
    <row r="612" spans="1:13" x14ac:dyDescent="0.25">
      <c r="A612" s="18">
        <v>36100</v>
      </c>
      <c r="B612">
        <v>138381</v>
      </c>
      <c r="C612">
        <v>6100</v>
      </c>
      <c r="D612">
        <v>2510</v>
      </c>
      <c r="E612">
        <f t="shared" si="628"/>
        <v>2911.6</v>
      </c>
      <c r="F612">
        <f t="shared" si="629"/>
        <v>0.50310163934426222</v>
      </c>
      <c r="G612">
        <f t="shared" si="630"/>
        <v>0.69936977952251667</v>
      </c>
      <c r="H612">
        <v>3.1526104475316445E-2</v>
      </c>
      <c r="I612">
        <f t="shared" si="631"/>
        <v>5968.8581628566108</v>
      </c>
      <c r="J612">
        <f t="shared" si="632"/>
        <v>0.51852255112813217</v>
      </c>
      <c r="K612">
        <f t="shared" si="633"/>
        <v>2.0052377545983426E-15</v>
      </c>
      <c r="L612">
        <f t="shared" ref="L612:M612" si="667">AVERAGE(G610:G612)</f>
        <v>0.70579537277539572</v>
      </c>
      <c r="M612">
        <f t="shared" si="667"/>
        <v>3.232820764686032E-2</v>
      </c>
    </row>
    <row r="613" spans="1:13" x14ac:dyDescent="0.25">
      <c r="A613" s="18">
        <v>36130</v>
      </c>
      <c r="B613">
        <v>138634</v>
      </c>
      <c r="C613">
        <v>6032</v>
      </c>
      <c r="D613">
        <v>2587</v>
      </c>
      <c r="E613">
        <f t="shared" si="628"/>
        <v>3000.9199999999996</v>
      </c>
      <c r="F613">
        <f t="shared" si="629"/>
        <v>0.48274535809018559</v>
      </c>
      <c r="G613">
        <f t="shared" si="630"/>
        <v>0.65921998818734828</v>
      </c>
      <c r="H613">
        <v>2.9403311172350101E-2</v>
      </c>
      <c r="I613">
        <f t="shared" si="631"/>
        <v>5919.4898645715921</v>
      </c>
      <c r="J613">
        <f t="shared" si="632"/>
        <v>0.49773293530057305</v>
      </c>
      <c r="K613">
        <f t="shared" si="633"/>
        <v>1.7768973655346069E-15</v>
      </c>
      <c r="L613">
        <f t="shared" ref="L613:M613" si="668">AVERAGE(G611:G613)</f>
        <v>0.67881350820611364</v>
      </c>
      <c r="M613">
        <f t="shared" si="668"/>
        <v>3.04252959843751E-2</v>
      </c>
    </row>
    <row r="614" spans="1:13" x14ac:dyDescent="0.25">
      <c r="A614" s="18">
        <v>36161</v>
      </c>
      <c r="B614">
        <v>139003</v>
      </c>
      <c r="C614">
        <v>5976</v>
      </c>
      <c r="D614">
        <v>2462</v>
      </c>
      <c r="E614">
        <f t="shared" si="628"/>
        <v>2855.9199999999996</v>
      </c>
      <c r="F614">
        <f t="shared" si="629"/>
        <v>0.47549531459170014</v>
      </c>
      <c r="G614">
        <f t="shared" si="630"/>
        <v>0.64530091809073775</v>
      </c>
      <c r="H614">
        <v>3.0384994228043916E-2</v>
      </c>
      <c r="I614">
        <f t="shared" si="631"/>
        <v>6250.8412202741538</v>
      </c>
      <c r="J614">
        <f t="shared" si="632"/>
        <v>0.49119269630804818</v>
      </c>
      <c r="K614">
        <f t="shared" si="633"/>
        <v>1.853774287585644E-15</v>
      </c>
      <c r="L614">
        <f t="shared" ref="L614:M614" si="669">AVERAGE(G612:G614)</f>
        <v>0.66796356193353423</v>
      </c>
      <c r="M614">
        <f t="shared" si="669"/>
        <v>3.0438136625236822E-2</v>
      </c>
    </row>
    <row r="615" spans="1:13" x14ac:dyDescent="0.25">
      <c r="A615" s="18">
        <v>36192</v>
      </c>
      <c r="B615">
        <v>138967</v>
      </c>
      <c r="C615">
        <v>6111</v>
      </c>
      <c r="D615">
        <v>2566</v>
      </c>
      <c r="E615">
        <f t="shared" si="628"/>
        <v>2976.56</v>
      </c>
      <c r="F615">
        <f t="shared" si="629"/>
        <v>0.52310260186548851</v>
      </c>
      <c r="G615">
        <f t="shared" si="630"/>
        <v>0.74045390948124246</v>
      </c>
      <c r="H615">
        <v>3.0517149842357181E-2</v>
      </c>
      <c r="I615">
        <f t="shared" si="631"/>
        <v>5500.6951439442128</v>
      </c>
      <c r="J615">
        <f t="shared" si="632"/>
        <v>0.53743632661582375</v>
      </c>
      <c r="K615">
        <f t="shared" si="633"/>
        <v>2.0773921404049144E-15</v>
      </c>
      <c r="L615">
        <f t="shared" ref="L615:M615" si="670">AVERAGE(G613:G615)</f>
        <v>0.68165827191977613</v>
      </c>
      <c r="M615">
        <f t="shared" si="670"/>
        <v>3.01018184142504E-2</v>
      </c>
    </row>
    <row r="616" spans="1:13" x14ac:dyDescent="0.25">
      <c r="A616" s="18">
        <v>36220</v>
      </c>
      <c r="B616">
        <v>138730</v>
      </c>
      <c r="C616">
        <v>5783</v>
      </c>
      <c r="D616">
        <v>2473</v>
      </c>
      <c r="E616">
        <f t="shared" si="628"/>
        <v>2868.68</v>
      </c>
      <c r="F616">
        <f t="shared" si="629"/>
        <v>0.51961957461525154</v>
      </c>
      <c r="G616">
        <f t="shared" si="630"/>
        <v>0.7331769360994993</v>
      </c>
      <c r="H616">
        <v>3.4273112487432034E-2</v>
      </c>
      <c r="I616">
        <f t="shared" si="631"/>
        <v>6195.4636710702698</v>
      </c>
      <c r="J616">
        <f t="shared" si="632"/>
        <v>0.53580476426678092</v>
      </c>
      <c r="K616">
        <f t="shared" si="633"/>
        <v>2.1545352524857936E-15</v>
      </c>
      <c r="L616">
        <f t="shared" ref="L616:M616" si="671">AVERAGE(G614:G616)</f>
        <v>0.70631058789049328</v>
      </c>
      <c r="M616">
        <f t="shared" si="671"/>
        <v>3.1725085519277711E-2</v>
      </c>
    </row>
    <row r="617" spans="1:13" x14ac:dyDescent="0.25">
      <c r="A617" s="18">
        <v>36251</v>
      </c>
      <c r="B617">
        <v>138959</v>
      </c>
      <c r="C617">
        <v>6004</v>
      </c>
      <c r="D617">
        <v>2781</v>
      </c>
      <c r="E617">
        <f t="shared" si="628"/>
        <v>3225.9599999999996</v>
      </c>
      <c r="F617">
        <f t="shared" si="629"/>
        <v>0.51978014656895399</v>
      </c>
      <c r="G617">
        <f t="shared" si="630"/>
        <v>0.73351125196165157</v>
      </c>
      <c r="H617">
        <v>3.0886191369784731E-2</v>
      </c>
      <c r="I617">
        <f t="shared" si="631"/>
        <v>5614.7679508825604</v>
      </c>
      <c r="J617">
        <f t="shared" si="632"/>
        <v>0.53438559447004819</v>
      </c>
      <c r="K617">
        <f t="shared" si="633"/>
        <v>2.0777237802735441E-15</v>
      </c>
      <c r="L617">
        <f t="shared" ref="L617:M617" si="672">AVERAGE(G615:G617)</f>
        <v>0.73571403251413114</v>
      </c>
      <c r="M617">
        <f t="shared" si="672"/>
        <v>3.1892151233191314E-2</v>
      </c>
    </row>
    <row r="618" spans="1:13" x14ac:dyDescent="0.25">
      <c r="A618" s="18">
        <v>36281</v>
      </c>
      <c r="B618">
        <v>139107</v>
      </c>
      <c r="C618">
        <v>5796</v>
      </c>
      <c r="D618">
        <v>2511</v>
      </c>
      <c r="E618">
        <f t="shared" si="628"/>
        <v>2912.7599999999998</v>
      </c>
      <c r="F618">
        <f t="shared" si="629"/>
        <v>0.47780538302277431</v>
      </c>
      <c r="G618">
        <f t="shared" si="630"/>
        <v>0.64971493112484424</v>
      </c>
      <c r="H618">
        <v>2.9850002153013186E-2</v>
      </c>
      <c r="I618">
        <f t="shared" si="631"/>
        <v>6110.2979953225658</v>
      </c>
      <c r="J618">
        <f t="shared" si="632"/>
        <v>0.49316254748620059</v>
      </c>
      <c r="K618">
        <f t="shared" si="633"/>
        <v>1.8561245558600909E-15</v>
      </c>
      <c r="L618">
        <f t="shared" ref="L618:M618" si="673">AVERAGE(G616:G618)</f>
        <v>0.70546770639533174</v>
      </c>
      <c r="M618">
        <f t="shared" si="673"/>
        <v>3.1669768670076655E-2</v>
      </c>
    </row>
    <row r="619" spans="1:13" x14ac:dyDescent="0.25">
      <c r="A619" s="18">
        <v>36312</v>
      </c>
      <c r="B619">
        <v>139329</v>
      </c>
      <c r="C619">
        <v>5951</v>
      </c>
      <c r="D619">
        <v>2521</v>
      </c>
      <c r="E619">
        <f t="shared" si="628"/>
        <v>2924.3599999999997</v>
      </c>
      <c r="F619">
        <f t="shared" si="629"/>
        <v>0.50275247857502936</v>
      </c>
      <c r="G619">
        <f t="shared" si="630"/>
        <v>0.6986673458256456</v>
      </c>
      <c r="H619">
        <v>3.1954784858280849E-2</v>
      </c>
      <c r="I619">
        <f t="shared" si="631"/>
        <v>6093.7494671174763</v>
      </c>
      <c r="J619">
        <f t="shared" si="632"/>
        <v>0.51839072703811462</v>
      </c>
      <c r="K619">
        <f t="shared" si="633"/>
        <v>1.877659240269676E-15</v>
      </c>
      <c r="L619">
        <f t="shared" ref="L619:M619" si="674">AVERAGE(G617:G619)</f>
        <v>0.69396450963738054</v>
      </c>
      <c r="M619">
        <f t="shared" si="674"/>
        <v>3.0896992793692919E-2</v>
      </c>
    </row>
    <row r="620" spans="1:13" x14ac:dyDescent="0.25">
      <c r="A620" s="18">
        <v>36342</v>
      </c>
      <c r="B620">
        <v>139439</v>
      </c>
      <c r="C620">
        <v>6025</v>
      </c>
      <c r="D620">
        <v>2643</v>
      </c>
      <c r="E620">
        <f t="shared" si="628"/>
        <v>3065.8799999999997</v>
      </c>
      <c r="F620">
        <f t="shared" si="629"/>
        <v>0.52122157676348535</v>
      </c>
      <c r="G620">
        <f t="shared" si="630"/>
        <v>0.73651737056496536</v>
      </c>
      <c r="H620">
        <v>3.1253344165754149E-2</v>
      </c>
      <c r="I620">
        <f t="shared" si="631"/>
        <v>5676.0891937081151</v>
      </c>
      <c r="J620">
        <f t="shared" si="632"/>
        <v>0.5359535920996894</v>
      </c>
      <c r="K620">
        <f t="shared" si="633"/>
        <v>2.0671244334880774E-15</v>
      </c>
      <c r="L620">
        <f t="shared" ref="L620:M620" si="675">AVERAGE(G618:G620)</f>
        <v>0.69496654917181833</v>
      </c>
      <c r="M620">
        <f t="shared" si="675"/>
        <v>3.101937705901606E-2</v>
      </c>
    </row>
    <row r="621" spans="1:13" x14ac:dyDescent="0.25">
      <c r="A621" s="18">
        <v>36373</v>
      </c>
      <c r="B621">
        <v>139430</v>
      </c>
      <c r="C621">
        <v>5838</v>
      </c>
      <c r="D621">
        <v>2546</v>
      </c>
      <c r="E621">
        <f t="shared" si="628"/>
        <v>2953.3599999999997</v>
      </c>
      <c r="F621">
        <f t="shared" si="629"/>
        <v>0.50561151079136679</v>
      </c>
      <c r="G621">
        <f t="shared" si="630"/>
        <v>0.70443365545469161</v>
      </c>
      <c r="H621">
        <v>3.159819527502037E-2</v>
      </c>
      <c r="I621">
        <f t="shared" si="631"/>
        <v>5985.7958087386887</v>
      </c>
      <c r="J621">
        <f t="shared" si="632"/>
        <v>0.52098906390207711</v>
      </c>
      <c r="K621">
        <f t="shared" si="633"/>
        <v>1.8852336206422608E-15</v>
      </c>
      <c r="L621">
        <f t="shared" ref="L621:M621" si="676">AVERAGE(G619:G621)</f>
        <v>0.71320612394843419</v>
      </c>
      <c r="M621">
        <f t="shared" si="676"/>
        <v>3.1602108099685118E-2</v>
      </c>
    </row>
    <row r="622" spans="1:13" x14ac:dyDescent="0.25">
      <c r="A622" s="18">
        <v>36404</v>
      </c>
      <c r="B622">
        <v>139622</v>
      </c>
      <c r="C622">
        <v>5915</v>
      </c>
      <c r="D622">
        <v>2611</v>
      </c>
      <c r="E622">
        <f t="shared" si="628"/>
        <v>3028.7599999999998</v>
      </c>
      <c r="F622">
        <f t="shared" si="629"/>
        <v>0.52050042265426877</v>
      </c>
      <c r="G622">
        <f t="shared" si="630"/>
        <v>0.73501226610693415</v>
      </c>
      <c r="H622">
        <v>3.1049138071717095E-2</v>
      </c>
      <c r="I622">
        <f t="shared" si="631"/>
        <v>5659.001657311398</v>
      </c>
      <c r="J622">
        <f t="shared" si="632"/>
        <v>0.53515971437952614</v>
      </c>
      <c r="K622">
        <f t="shared" si="633"/>
        <v>2.0372948811574841E-15</v>
      </c>
      <c r="L622">
        <f t="shared" ref="L622:M622" si="677">AVERAGE(G620:G622)</f>
        <v>0.72532109737553041</v>
      </c>
      <c r="M622">
        <f t="shared" si="677"/>
        <v>3.1300225837497204E-2</v>
      </c>
    </row>
    <row r="623" spans="1:13" x14ac:dyDescent="0.25">
      <c r="A623" s="18">
        <v>36434</v>
      </c>
      <c r="B623">
        <v>139771</v>
      </c>
      <c r="C623">
        <v>5778</v>
      </c>
      <c r="D623">
        <v>2536</v>
      </c>
      <c r="E623">
        <f t="shared" si="628"/>
        <v>2941.7599999999998</v>
      </c>
      <c r="F623">
        <f t="shared" si="629"/>
        <v>0.52508134302526821</v>
      </c>
      <c r="G623">
        <f t="shared" si="630"/>
        <v>0.74461173808643888</v>
      </c>
      <c r="H623">
        <v>3.144364266862297E-2</v>
      </c>
      <c r="I623">
        <f t="shared" si="631"/>
        <v>5663.1388537762359</v>
      </c>
      <c r="J623">
        <f t="shared" si="632"/>
        <v>0.53978218042301207</v>
      </c>
      <c r="K623">
        <f t="shared" si="633"/>
        <v>2.0657187467433426E-15</v>
      </c>
      <c r="L623">
        <f t="shared" ref="L623:M623" si="678">AVERAGE(G621:G623)</f>
        <v>0.72801921988268825</v>
      </c>
      <c r="M623">
        <f t="shared" si="678"/>
        <v>3.1363658671786816E-2</v>
      </c>
    </row>
    <row r="624" spans="1:13" x14ac:dyDescent="0.25">
      <c r="A624" s="18">
        <v>36465</v>
      </c>
      <c r="B624">
        <v>140025</v>
      </c>
      <c r="C624">
        <v>5716</v>
      </c>
      <c r="D624">
        <v>2562</v>
      </c>
      <c r="E624">
        <f t="shared" si="628"/>
        <v>2971.9199999999996</v>
      </c>
      <c r="F624">
        <f t="shared" si="629"/>
        <v>0.54718684394681594</v>
      </c>
      <c r="G624">
        <f t="shared" si="630"/>
        <v>0.79227569762747496</v>
      </c>
      <c r="H624">
        <v>3.3029170113403561E-2</v>
      </c>
      <c r="I624">
        <f t="shared" si="631"/>
        <v>5603.8801246734183</v>
      </c>
      <c r="J624">
        <f t="shared" si="632"/>
        <v>0.5618985908835159</v>
      </c>
      <c r="K624">
        <f t="shared" si="633"/>
        <v>1.9322792069613039E-15</v>
      </c>
      <c r="L624">
        <f t="shared" ref="L624:M624" si="679">AVERAGE(G622:G624)</f>
        <v>0.75729990060694929</v>
      </c>
      <c r="M624">
        <f t="shared" si="679"/>
        <v>3.1840650284581211E-2</v>
      </c>
    </row>
    <row r="625" spans="1:13" x14ac:dyDescent="0.25">
      <c r="A625" s="18">
        <v>36495</v>
      </c>
      <c r="B625">
        <v>140177</v>
      </c>
      <c r="C625">
        <v>5653</v>
      </c>
      <c r="D625">
        <v>2642</v>
      </c>
      <c r="E625">
        <f t="shared" si="628"/>
        <v>3064.72</v>
      </c>
      <c r="F625">
        <f t="shared" si="629"/>
        <v>0.51168583053246064</v>
      </c>
      <c r="G625">
        <f t="shared" si="630"/>
        <v>0.71679629038030401</v>
      </c>
      <c r="H625">
        <v>3.0701904846750009E-2</v>
      </c>
      <c r="I625">
        <f t="shared" si="631"/>
        <v>5757.4733199129905</v>
      </c>
      <c r="J625">
        <f t="shared" si="632"/>
        <v>0.52645019885166655</v>
      </c>
      <c r="K625">
        <f t="shared" si="633"/>
        <v>1.8393918798995028E-15</v>
      </c>
      <c r="L625">
        <f t="shared" ref="L625:M625" si="680">AVERAGE(G623:G625)</f>
        <v>0.75122790869807277</v>
      </c>
      <c r="M625">
        <f t="shared" si="680"/>
        <v>3.1724905876258848E-2</v>
      </c>
    </row>
    <row r="626" spans="1:13" x14ac:dyDescent="0.25">
      <c r="A626" s="18">
        <v>36526</v>
      </c>
      <c r="B626">
        <v>142267</v>
      </c>
      <c r="C626">
        <v>5708</v>
      </c>
      <c r="D626">
        <v>2541</v>
      </c>
      <c r="E626">
        <f t="shared" si="628"/>
        <v>2947.56</v>
      </c>
      <c r="F626">
        <f t="shared" si="629"/>
        <v>0.50291520672740009</v>
      </c>
      <c r="G626">
        <f t="shared" si="630"/>
        <v>0.69899465723133603</v>
      </c>
      <c r="H626">
        <v>3.0764665568982837E-2</v>
      </c>
      <c r="I626">
        <f t="shared" si="631"/>
        <v>5997.5892595757723</v>
      </c>
      <c r="J626">
        <f t="shared" si="632"/>
        <v>0.51797501144502855</v>
      </c>
      <c r="K626">
        <f t="shared" si="633"/>
        <v>1.8591821305599003E-15</v>
      </c>
      <c r="L626">
        <f t="shared" ref="L626:M626" si="681">AVERAGE(G624:G626)</f>
        <v>0.736022215079705</v>
      </c>
      <c r="M626">
        <f t="shared" si="681"/>
        <v>3.1498580176378799E-2</v>
      </c>
    </row>
    <row r="627" spans="1:13" x14ac:dyDescent="0.25">
      <c r="A627" s="18">
        <v>36557</v>
      </c>
      <c r="B627">
        <v>142456</v>
      </c>
      <c r="C627">
        <v>5858</v>
      </c>
      <c r="D627">
        <v>2604</v>
      </c>
      <c r="E627">
        <f t="shared" si="628"/>
        <v>3020.64</v>
      </c>
      <c r="F627">
        <f t="shared" si="629"/>
        <v>0.57183339023557522</v>
      </c>
      <c r="G627">
        <f t="shared" si="630"/>
        <v>0.84824288399772929</v>
      </c>
      <c r="H627">
        <v>3.4998914511877748E-2</v>
      </c>
      <c r="I627">
        <f t="shared" si="631"/>
        <v>5644.892909412989</v>
      </c>
      <c r="J627">
        <f t="shared" si="632"/>
        <v>0.58655955376638147</v>
      </c>
      <c r="K627">
        <f t="shared" si="633"/>
        <v>1.6671587315774878E-15</v>
      </c>
      <c r="L627">
        <f t="shared" ref="L627:M627" si="682">AVERAGE(G625:G627)</f>
        <v>0.75467794386978981</v>
      </c>
      <c r="M627">
        <f t="shared" si="682"/>
        <v>3.2155161642536866E-2</v>
      </c>
    </row>
    <row r="628" spans="1:13" x14ac:dyDescent="0.25">
      <c r="A628" s="18">
        <v>36586</v>
      </c>
      <c r="B628">
        <v>142434</v>
      </c>
      <c r="C628">
        <v>5733</v>
      </c>
      <c r="D628">
        <v>2780</v>
      </c>
      <c r="E628">
        <f t="shared" si="628"/>
        <v>3224.7999999999997</v>
      </c>
      <c r="F628">
        <f t="shared" si="629"/>
        <v>0.55182278039420896</v>
      </c>
      <c r="G628">
        <f t="shared" si="630"/>
        <v>0.80256654531087346</v>
      </c>
      <c r="H628">
        <v>3.0941023121089491E-2</v>
      </c>
      <c r="I628">
        <f t="shared" si="631"/>
        <v>5287.3589324690056</v>
      </c>
      <c r="J628">
        <f t="shared" si="632"/>
        <v>0.56547750715829048</v>
      </c>
      <c r="K628">
        <f t="shared" si="633"/>
        <v>2.044361825928937E-15</v>
      </c>
      <c r="L628">
        <f t="shared" ref="L628:M628" si="683">AVERAGE(G626:G628)</f>
        <v>0.78326802884664615</v>
      </c>
      <c r="M628">
        <f t="shared" si="683"/>
        <v>3.2234867733983354E-2</v>
      </c>
    </row>
    <row r="629" spans="1:13" x14ac:dyDescent="0.25">
      <c r="A629" s="18">
        <v>36617</v>
      </c>
      <c r="B629">
        <v>142751</v>
      </c>
      <c r="C629">
        <v>5481</v>
      </c>
      <c r="D629">
        <v>2510</v>
      </c>
      <c r="E629">
        <f t="shared" si="628"/>
        <v>2911.6</v>
      </c>
      <c r="F629">
        <f t="shared" si="629"/>
        <v>0.49210727969348655</v>
      </c>
      <c r="G629">
        <f t="shared" si="630"/>
        <v>0.67748503420438588</v>
      </c>
      <c r="H629">
        <v>2.9866089220671917E-2</v>
      </c>
      <c r="I629">
        <f t="shared" si="631"/>
        <v>6027.2953009479961</v>
      </c>
      <c r="J629">
        <f t="shared" si="632"/>
        <v>0.50705177139488189</v>
      </c>
      <c r="K629">
        <f t="shared" si="633"/>
        <v>2.5382914114434114E-15</v>
      </c>
      <c r="L629">
        <f t="shared" ref="L629:M629" si="684">AVERAGE(G627:G629)</f>
        <v>0.77609815450432951</v>
      </c>
      <c r="M629">
        <f t="shared" si="684"/>
        <v>3.1935342284546385E-2</v>
      </c>
    </row>
    <row r="630" spans="1:13" x14ac:dyDescent="0.25">
      <c r="A630" s="18">
        <v>36647</v>
      </c>
      <c r="B630">
        <v>142388</v>
      </c>
      <c r="C630">
        <v>5758</v>
      </c>
      <c r="D630">
        <v>2564</v>
      </c>
      <c r="E630">
        <f t="shared" si="628"/>
        <v>2974.24</v>
      </c>
      <c r="F630">
        <f t="shared" si="629"/>
        <v>0.53814518930184096</v>
      </c>
      <c r="G630">
        <f t="shared" si="630"/>
        <v>0.77250469984932135</v>
      </c>
      <c r="H630">
        <v>3.141601915555179E-2</v>
      </c>
      <c r="I630">
        <f t="shared" si="631"/>
        <v>5564.3100492022422</v>
      </c>
      <c r="J630">
        <f t="shared" si="632"/>
        <v>0.55242927945003317</v>
      </c>
      <c r="K630">
        <f t="shared" si="633"/>
        <v>1.9432490586964811E-15</v>
      </c>
      <c r="L630">
        <f t="shared" ref="L630:M630" si="685">AVERAGE(G628:G630)</f>
        <v>0.7508520931215269</v>
      </c>
      <c r="M630">
        <f t="shared" si="685"/>
        <v>3.0741043832437736E-2</v>
      </c>
    </row>
    <row r="631" spans="1:13" x14ac:dyDescent="0.25">
      <c r="A631" s="18">
        <v>36678</v>
      </c>
      <c r="B631">
        <v>142591</v>
      </c>
      <c r="C631">
        <v>5651</v>
      </c>
      <c r="D631">
        <v>2579</v>
      </c>
      <c r="E631">
        <f t="shared" si="628"/>
        <v>2991.64</v>
      </c>
      <c r="F631">
        <f t="shared" si="629"/>
        <v>0.49578481684657583</v>
      </c>
      <c r="G631">
        <f t="shared" si="630"/>
        <v>0.68475215132704648</v>
      </c>
      <c r="H631">
        <v>2.9237987104846788E-2</v>
      </c>
      <c r="I631">
        <f t="shared" si="631"/>
        <v>5839.1196108444447</v>
      </c>
      <c r="J631">
        <f t="shared" si="632"/>
        <v>0.51031362236251088</v>
      </c>
      <c r="K631">
        <f t="shared" si="633"/>
        <v>2.2518627130222119E-15</v>
      </c>
      <c r="L631">
        <f t="shared" ref="L631:M631" si="686">AVERAGE(G629:G631)</f>
        <v>0.71158062846025116</v>
      </c>
      <c r="M631">
        <f t="shared" si="686"/>
        <v>3.0173365160356833E-2</v>
      </c>
    </row>
    <row r="632" spans="1:13" x14ac:dyDescent="0.25">
      <c r="A632" s="18">
        <v>36708</v>
      </c>
      <c r="B632">
        <v>142278</v>
      </c>
      <c r="C632">
        <v>5747</v>
      </c>
      <c r="D632">
        <v>2498</v>
      </c>
      <c r="E632">
        <f t="shared" si="628"/>
        <v>2897.68</v>
      </c>
      <c r="F632">
        <f t="shared" si="629"/>
        <v>0.49625891769618935</v>
      </c>
      <c r="G632">
        <f t="shared" si="630"/>
        <v>0.68569286850064592</v>
      </c>
      <c r="H632">
        <v>2.9949914498796297E-2</v>
      </c>
      <c r="I632">
        <f t="shared" si="631"/>
        <v>5954.3867922483632</v>
      </c>
      <c r="J632">
        <f t="shared" si="632"/>
        <v>0.51112223153849345</v>
      </c>
      <c r="K632">
        <f t="shared" si="633"/>
        <v>2.0787188586981107E-15</v>
      </c>
      <c r="L632">
        <f t="shared" ref="L632:M632" si="687">AVERAGE(G630:G632)</f>
        <v>0.71431657322567121</v>
      </c>
      <c r="M632">
        <f t="shared" si="687"/>
        <v>3.0201306919731625E-2</v>
      </c>
    </row>
    <row r="633" spans="1:13" x14ac:dyDescent="0.25">
      <c r="A633" s="18">
        <v>36739</v>
      </c>
      <c r="B633">
        <v>142514</v>
      </c>
      <c r="C633">
        <v>5853</v>
      </c>
      <c r="D633">
        <v>2550</v>
      </c>
      <c r="E633">
        <f t="shared" si="628"/>
        <v>2958</v>
      </c>
      <c r="F633">
        <f t="shared" si="629"/>
        <v>0.54849820604818034</v>
      </c>
      <c r="G633">
        <f t="shared" si="630"/>
        <v>0.79517593281777532</v>
      </c>
      <c r="H633">
        <v>3.1604259058737844E-2</v>
      </c>
      <c r="I633">
        <f t="shared" si="631"/>
        <v>5447.6986988213712</v>
      </c>
      <c r="J633">
        <f t="shared" si="632"/>
        <v>0.56254445591895541</v>
      </c>
      <c r="K633">
        <f t="shared" si="633"/>
        <v>2.0451843577864475E-15</v>
      </c>
      <c r="L633">
        <f t="shared" ref="L633:M633" si="688">AVERAGE(G631:G633)</f>
        <v>0.72187365088182265</v>
      </c>
      <c r="M633">
        <f t="shared" si="688"/>
        <v>3.0264053554126976E-2</v>
      </c>
    </row>
    <row r="634" spans="1:13" x14ac:dyDescent="0.25">
      <c r="A634" s="18">
        <v>36770</v>
      </c>
      <c r="B634">
        <v>142518</v>
      </c>
      <c r="C634">
        <v>5625</v>
      </c>
      <c r="D634">
        <v>2571</v>
      </c>
      <c r="E634">
        <f t="shared" si="628"/>
        <v>2982.3599999999997</v>
      </c>
      <c r="F634">
        <f t="shared" si="629"/>
        <v>0.53111466666666662</v>
      </c>
      <c r="G634">
        <f t="shared" si="630"/>
        <v>0.75739703225543809</v>
      </c>
      <c r="H634">
        <v>3.0161284876841468E-2</v>
      </c>
      <c r="I634">
        <f t="shared" si="631"/>
        <v>5458.0415247594983</v>
      </c>
      <c r="J634">
        <f t="shared" si="632"/>
        <v>0.54504570568522848</v>
      </c>
      <c r="K634">
        <f t="shared" si="633"/>
        <v>1.7987401614874782E-15</v>
      </c>
      <c r="L634">
        <f t="shared" ref="L634:M634" si="689">AVERAGE(G632:G634)</f>
        <v>0.74608861119128644</v>
      </c>
      <c r="M634">
        <f t="shared" si="689"/>
        <v>3.0571819478125203E-2</v>
      </c>
    </row>
    <row r="635" spans="1:13" x14ac:dyDescent="0.25">
      <c r="A635" s="18">
        <v>36800</v>
      </c>
      <c r="B635">
        <v>142622</v>
      </c>
      <c r="C635">
        <v>5534</v>
      </c>
      <c r="D635">
        <v>2497</v>
      </c>
      <c r="E635">
        <f t="shared" si="628"/>
        <v>2896.52</v>
      </c>
      <c r="F635">
        <f t="shared" si="629"/>
        <v>0.50757499096494385</v>
      </c>
      <c r="G635">
        <f t="shared" si="630"/>
        <v>0.70841309588229306</v>
      </c>
      <c r="H635">
        <v>2.9680439562364571E-2</v>
      </c>
      <c r="I635">
        <f t="shared" si="631"/>
        <v>5735.158821995884</v>
      </c>
      <c r="J635">
        <f t="shared" si="632"/>
        <v>0.52197561609808196</v>
      </c>
      <c r="K635">
        <f t="shared" si="633"/>
        <v>2.0129017517184914E-15</v>
      </c>
      <c r="L635">
        <f t="shared" ref="L635:M635" si="690">AVERAGE(G633:G635)</f>
        <v>0.75366202031850216</v>
      </c>
      <c r="M635">
        <f t="shared" si="690"/>
        <v>3.048199449931463E-2</v>
      </c>
    </row>
    <row r="636" spans="1:13" x14ac:dyDescent="0.25">
      <c r="A636" s="18">
        <v>36831</v>
      </c>
      <c r="B636">
        <v>142962</v>
      </c>
      <c r="C636">
        <v>5639</v>
      </c>
      <c r="D636">
        <v>2512</v>
      </c>
      <c r="E636">
        <f t="shared" si="628"/>
        <v>2913.9199999999996</v>
      </c>
      <c r="F636">
        <f t="shared" si="629"/>
        <v>0.51043092746940943</v>
      </c>
      <c r="G636">
        <f t="shared" si="630"/>
        <v>0.71422971863017459</v>
      </c>
      <c r="H636">
        <v>2.9277356130090894E-2</v>
      </c>
      <c r="I636">
        <f t="shared" si="631"/>
        <v>5629.4681370982689</v>
      </c>
      <c r="J636">
        <f t="shared" si="632"/>
        <v>0.52455642792814272</v>
      </c>
      <c r="K636">
        <f t="shared" si="633"/>
        <v>2.0040975589158322E-15</v>
      </c>
      <c r="L636">
        <f t="shared" ref="L636:M636" si="691">AVERAGE(G634:G636)</f>
        <v>0.72667994892263532</v>
      </c>
      <c r="M636">
        <f t="shared" si="691"/>
        <v>2.9706360189765645E-2</v>
      </c>
    </row>
    <row r="637" spans="1:13" x14ac:dyDescent="0.25">
      <c r="A637" s="18">
        <v>36861</v>
      </c>
      <c r="B637">
        <v>143248</v>
      </c>
      <c r="C637">
        <v>5634</v>
      </c>
      <c r="D637">
        <v>2477</v>
      </c>
      <c r="E637">
        <f t="shared" si="628"/>
        <v>2873.3199999999997</v>
      </c>
      <c r="F637">
        <f t="shared" si="629"/>
        <v>0.47615903443379481</v>
      </c>
      <c r="G637">
        <f t="shared" si="630"/>
        <v>0.64656714155464468</v>
      </c>
      <c r="H637">
        <v>3.0361475102809485E-2</v>
      </c>
      <c r="I637">
        <f t="shared" si="631"/>
        <v>6424.9323761830074</v>
      </c>
      <c r="J637">
        <f t="shared" si="632"/>
        <v>0.49182460063544831</v>
      </c>
      <c r="K637">
        <f t="shared" si="633"/>
        <v>2.1025053934328611E-15</v>
      </c>
      <c r="L637">
        <f t="shared" ref="L637:M637" si="692">AVERAGE(G635:G637)</f>
        <v>0.68973665202237078</v>
      </c>
      <c r="M637">
        <f t="shared" si="692"/>
        <v>2.9773090265088314E-2</v>
      </c>
    </row>
    <row r="638" spans="1:13" x14ac:dyDescent="0.25">
      <c r="A638" s="18">
        <v>36892</v>
      </c>
      <c r="B638">
        <v>143800</v>
      </c>
      <c r="C638">
        <v>6023</v>
      </c>
      <c r="D638">
        <v>2648</v>
      </c>
      <c r="E638">
        <f t="shared" si="628"/>
        <v>3071.68</v>
      </c>
      <c r="F638">
        <f t="shared" si="629"/>
        <v>0.53813049975095462</v>
      </c>
      <c r="G638">
        <f t="shared" si="630"/>
        <v>0.77247289479512171</v>
      </c>
      <c r="H638">
        <v>3.4467119542790088E-2</v>
      </c>
      <c r="I638">
        <f t="shared" si="631"/>
        <v>6142.1812057738634</v>
      </c>
      <c r="J638">
        <f t="shared" si="632"/>
        <v>0.55377858962978821</v>
      </c>
      <c r="K638">
        <f t="shared" si="633"/>
        <v>1.9208620440749989E-15</v>
      </c>
      <c r="L638">
        <f t="shared" ref="L638:M638" si="693">AVERAGE(G636:G638)</f>
        <v>0.71108991832664703</v>
      </c>
      <c r="M638">
        <f t="shared" si="693"/>
        <v>3.1368650258563495E-2</v>
      </c>
    </row>
    <row r="639" spans="1:13" x14ac:dyDescent="0.25">
      <c r="A639" s="18">
        <v>36923</v>
      </c>
      <c r="B639">
        <v>143701</v>
      </c>
      <c r="C639">
        <v>6089</v>
      </c>
      <c r="D639">
        <v>2851</v>
      </c>
      <c r="E639">
        <f t="shared" si="628"/>
        <v>3307.16</v>
      </c>
      <c r="F639">
        <f t="shared" si="629"/>
        <v>0.50221054360321893</v>
      </c>
      <c r="G639">
        <f t="shared" si="630"/>
        <v>0.69757806967315195</v>
      </c>
      <c r="H639">
        <v>3.1398343710226144E-2</v>
      </c>
      <c r="I639">
        <f t="shared" si="631"/>
        <v>6189.4641673821925</v>
      </c>
      <c r="J639">
        <f t="shared" si="632"/>
        <v>0.51759748177580533</v>
      </c>
      <c r="K639">
        <f t="shared" si="633"/>
        <v>2.0908447275993746E-15</v>
      </c>
      <c r="L639">
        <f t="shared" ref="L639:M639" si="694">AVERAGE(G637:G639)</f>
        <v>0.70553936867430611</v>
      </c>
      <c r="M639">
        <f t="shared" si="694"/>
        <v>3.2075646118608574E-2</v>
      </c>
    </row>
    <row r="640" spans="1:13" x14ac:dyDescent="0.25">
      <c r="A640" s="18">
        <v>36951</v>
      </c>
      <c r="B640">
        <v>143924</v>
      </c>
      <c r="C640">
        <v>6141</v>
      </c>
      <c r="D640">
        <v>2681</v>
      </c>
      <c r="E640">
        <f t="shared" si="628"/>
        <v>3109.9599999999996</v>
      </c>
      <c r="F640">
        <f t="shared" si="629"/>
        <v>0.54022471910112357</v>
      </c>
      <c r="G640">
        <f t="shared" si="630"/>
        <v>0.77701742864871404</v>
      </c>
      <c r="H640">
        <v>3.6010205464450253E-2</v>
      </c>
      <c r="I640">
        <f t="shared" si="631"/>
        <v>6374.6084312604798</v>
      </c>
      <c r="J640">
        <f t="shared" si="632"/>
        <v>0.55648676437907818</v>
      </c>
      <c r="K640">
        <f t="shared" si="633"/>
        <v>1.9199054990320875E-15</v>
      </c>
      <c r="L640">
        <f t="shared" ref="L640:M640" si="695">AVERAGE(G638:G640)</f>
        <v>0.7490227977056626</v>
      </c>
      <c r="M640">
        <f t="shared" si="695"/>
        <v>3.3958556239155495E-2</v>
      </c>
    </row>
    <row r="641" spans="1:13" x14ac:dyDescent="0.25">
      <c r="A641" s="18">
        <v>36982</v>
      </c>
      <c r="B641">
        <v>143569</v>
      </c>
      <c r="C641">
        <v>6271</v>
      </c>
      <c r="D641">
        <v>2972</v>
      </c>
      <c r="E641">
        <f t="shared" si="628"/>
        <v>3447.52</v>
      </c>
      <c r="F641">
        <f t="shared" si="629"/>
        <v>0.50680274278424498</v>
      </c>
      <c r="G641">
        <f t="shared" si="630"/>
        <v>0.70684606890823243</v>
      </c>
      <c r="H641">
        <v>3.1821176883616305E-2</v>
      </c>
      <c r="I641">
        <f t="shared" si="631"/>
        <v>6184.8343351226522</v>
      </c>
      <c r="J641">
        <f t="shared" si="632"/>
        <v>0.52224978497905405</v>
      </c>
      <c r="K641">
        <f t="shared" si="633"/>
        <v>2.045513416851566E-15</v>
      </c>
      <c r="L641">
        <f t="shared" ref="L641:M641" si="696">AVERAGE(G639:G641)</f>
        <v>0.72714718907669951</v>
      </c>
      <c r="M641">
        <f t="shared" si="696"/>
        <v>3.3076575352764231E-2</v>
      </c>
    </row>
    <row r="642" spans="1:13" x14ac:dyDescent="0.25">
      <c r="A642" s="18">
        <v>37012</v>
      </c>
      <c r="B642">
        <v>143318</v>
      </c>
      <c r="C642">
        <v>6226</v>
      </c>
      <c r="D642">
        <v>2701</v>
      </c>
      <c r="E642">
        <f t="shared" si="628"/>
        <v>3133.16</v>
      </c>
      <c r="F642">
        <f t="shared" si="629"/>
        <v>0.48173466109861862</v>
      </c>
      <c r="G642">
        <f t="shared" si="630"/>
        <v>0.65726793061002164</v>
      </c>
      <c r="H642">
        <v>3.2454644202866784E-2</v>
      </c>
      <c r="I642">
        <f t="shared" si="631"/>
        <v>6743.7762191969714</v>
      </c>
      <c r="J642">
        <f t="shared" si="632"/>
        <v>0.49828476179551362</v>
      </c>
      <c r="K642">
        <f t="shared" si="633"/>
        <v>2.1109378653303094E-15</v>
      </c>
      <c r="L642">
        <f t="shared" ref="L642:M642" si="697">AVERAGE(G640:G642)</f>
        <v>0.71371047605565607</v>
      </c>
      <c r="M642">
        <f t="shared" si="697"/>
        <v>3.3428675516977778E-2</v>
      </c>
    </row>
    <row r="643" spans="1:13" x14ac:dyDescent="0.25">
      <c r="A643" s="18">
        <v>37043</v>
      </c>
      <c r="B643">
        <v>143357</v>
      </c>
      <c r="C643">
        <v>6484</v>
      </c>
      <c r="D643">
        <v>2808</v>
      </c>
      <c r="E643">
        <f t="shared" ref="E643:E706" si="698">IF(A643&gt;A$554,1.16*D643,D643)</f>
        <v>3257.2799999999997</v>
      </c>
      <c r="F643">
        <f t="shared" ref="F643:F706" si="699">1 - ( (C644-E644)/C643 )</f>
        <v>0.45739049969154844</v>
      </c>
      <c r="G643">
        <f t="shared" ref="G643:G706" si="700">-LN(1-F643)</f>
        <v>0.61136537004871239</v>
      </c>
      <c r="H643">
        <v>2.9941681286933412E-2</v>
      </c>
      <c r="I643">
        <f t="shared" ref="I643:I706" si="701">H643*B643/(H643+G643)</f>
        <v>6693.127099275247</v>
      </c>
      <c r="J643">
        <f t="shared" ref="J643:J706" si="702">1-EXP(-H643-G643)</f>
        <v>0.47339632401148668</v>
      </c>
      <c r="K643">
        <f t="shared" ref="K643:K706" si="703">( ( (J643*I643) + ( (1-J643)*C643 ) ) - C644 )^2</f>
        <v>2.3123407066374913E-15</v>
      </c>
      <c r="L643">
        <f t="shared" ref="L643:M643" si="704">AVERAGE(G641:G643)</f>
        <v>0.65849312318898878</v>
      </c>
      <c r="M643">
        <f t="shared" si="704"/>
        <v>3.1405834124472169E-2</v>
      </c>
    </row>
    <row r="644" spans="1:13" x14ac:dyDescent="0.25">
      <c r="A644" s="18">
        <v>37073</v>
      </c>
      <c r="B644">
        <v>143654</v>
      </c>
      <c r="C644">
        <v>6583</v>
      </c>
      <c r="D644">
        <v>2642</v>
      </c>
      <c r="E644">
        <f t="shared" si="698"/>
        <v>3064.72</v>
      </c>
      <c r="F644">
        <f t="shared" si="699"/>
        <v>0.45291812243657903</v>
      </c>
      <c r="G644">
        <f t="shared" si="700"/>
        <v>0.60315680300234831</v>
      </c>
      <c r="H644">
        <v>3.3494266380111777E-2</v>
      </c>
      <c r="I644">
        <f t="shared" si="701"/>
        <v>7557.6490387987997</v>
      </c>
      <c r="J644">
        <f t="shared" si="702"/>
        <v>0.47093875002918806</v>
      </c>
      <c r="K644">
        <f t="shared" si="703"/>
        <v>2.4065230445052483E-15</v>
      </c>
      <c r="L644">
        <f t="shared" ref="L644:M644" si="705">AVERAGE(G642:G644)</f>
        <v>0.62393003455369411</v>
      </c>
      <c r="M644">
        <f t="shared" si="705"/>
        <v>3.1963530623303989E-2</v>
      </c>
    </row>
    <row r="645" spans="1:13" x14ac:dyDescent="0.25">
      <c r="A645" s="18">
        <v>37104</v>
      </c>
      <c r="B645">
        <v>143284</v>
      </c>
      <c r="C645">
        <v>7042</v>
      </c>
      <c r="D645">
        <v>2966</v>
      </c>
      <c r="E645">
        <f t="shared" si="698"/>
        <v>3440.56</v>
      </c>
      <c r="F645">
        <f t="shared" si="699"/>
        <v>0.45312695257029245</v>
      </c>
      <c r="G645">
        <f t="shared" si="700"/>
        <v>0.60353859229088114</v>
      </c>
      <c r="H645">
        <v>3.2187214531370613E-2</v>
      </c>
      <c r="I645">
        <f t="shared" si="701"/>
        <v>7254.5628908256558</v>
      </c>
      <c r="J645">
        <f t="shared" si="702"/>
        <v>0.47044900292514313</v>
      </c>
      <c r="K645">
        <f t="shared" si="703"/>
        <v>2.2863482863498539E-15</v>
      </c>
      <c r="L645">
        <f t="shared" ref="L645:M645" si="706">AVERAGE(G643:G645)</f>
        <v>0.60602025511398061</v>
      </c>
      <c r="M645">
        <f t="shared" si="706"/>
        <v>3.1874387399471932E-2</v>
      </c>
    </row>
    <row r="646" spans="1:13" x14ac:dyDescent="0.25">
      <c r="A646" s="18">
        <v>37135</v>
      </c>
      <c r="B646">
        <v>143989</v>
      </c>
      <c r="C646">
        <v>7142</v>
      </c>
      <c r="D646">
        <v>2837</v>
      </c>
      <c r="E646">
        <f t="shared" si="698"/>
        <v>3290.9199999999996</v>
      </c>
      <c r="F646">
        <f t="shared" si="699"/>
        <v>0.42799775973116772</v>
      </c>
      <c r="G646">
        <f t="shared" si="700"/>
        <v>0.55861237105610628</v>
      </c>
      <c r="H646">
        <v>3.4501281640412891E-2</v>
      </c>
      <c r="I646">
        <f t="shared" si="701"/>
        <v>8375.8062548988546</v>
      </c>
      <c r="J646">
        <f t="shared" si="702"/>
        <v>0.44739601364178527</v>
      </c>
      <c r="K646">
        <f t="shared" si="703"/>
        <v>2.308668451542952E-15</v>
      </c>
      <c r="L646">
        <f t="shared" ref="L646:M646" si="707">AVERAGE(G644:G646)</f>
        <v>0.58843592211644535</v>
      </c>
      <c r="M646">
        <f t="shared" si="707"/>
        <v>3.3394254183965098E-2</v>
      </c>
    </row>
    <row r="647" spans="1:13" x14ac:dyDescent="0.25">
      <c r="A647" s="18">
        <v>37165</v>
      </c>
      <c r="B647">
        <v>144086</v>
      </c>
      <c r="C647">
        <v>7694</v>
      </c>
      <c r="D647">
        <v>3111</v>
      </c>
      <c r="E647">
        <f t="shared" si="698"/>
        <v>3608.7599999999998</v>
      </c>
      <c r="F647">
        <f t="shared" si="699"/>
        <v>0.42570834416428383</v>
      </c>
      <c r="G647">
        <f t="shared" si="700"/>
        <v>0.55461790049531257</v>
      </c>
      <c r="H647">
        <v>3.4284228969413133E-2</v>
      </c>
      <c r="I647">
        <f t="shared" si="701"/>
        <v>8388.2824804469528</v>
      </c>
      <c r="J647">
        <f t="shared" si="702"/>
        <v>0.44506380147959357</v>
      </c>
      <c r="K647">
        <f t="shared" si="703"/>
        <v>2.3427921838106194E-15</v>
      </c>
      <c r="L647">
        <f t="shared" ref="L647:M647" si="708">AVERAGE(G645:G647)</f>
        <v>0.57225628794743333</v>
      </c>
      <c r="M647">
        <f t="shared" si="708"/>
        <v>3.3657575047065548E-2</v>
      </c>
    </row>
    <row r="648" spans="1:13" x14ac:dyDescent="0.25">
      <c r="A648" s="18">
        <v>37196</v>
      </c>
      <c r="B648">
        <v>144240</v>
      </c>
      <c r="C648">
        <v>8003</v>
      </c>
      <c r="D648">
        <v>3090</v>
      </c>
      <c r="E648">
        <f t="shared" si="698"/>
        <v>3584.3999999999996</v>
      </c>
      <c r="F648">
        <f t="shared" si="699"/>
        <v>0.40833687367237292</v>
      </c>
      <c r="G648">
        <f t="shared" si="700"/>
        <v>0.52481784943024901</v>
      </c>
      <c r="H648">
        <v>3.3271858559273407E-2</v>
      </c>
      <c r="I648">
        <f t="shared" si="701"/>
        <v>8599.2140867068174</v>
      </c>
      <c r="J648">
        <f t="shared" si="702"/>
        <v>0.42769871714372576</v>
      </c>
      <c r="K648">
        <f t="shared" si="703"/>
        <v>7.5762274338053736E-16</v>
      </c>
      <c r="L648">
        <f t="shared" ref="L648:M648" si="709">AVERAGE(G646:G648)</f>
        <v>0.54601604032722262</v>
      </c>
      <c r="M648">
        <f t="shared" si="709"/>
        <v>3.4019123056366472E-2</v>
      </c>
    </row>
    <row r="649" spans="1:13" x14ac:dyDescent="0.25">
      <c r="A649" s="18">
        <v>37226</v>
      </c>
      <c r="B649">
        <v>144305</v>
      </c>
      <c r="C649">
        <v>8258</v>
      </c>
      <c r="D649">
        <v>3037</v>
      </c>
      <c r="E649">
        <f t="shared" si="698"/>
        <v>3522.9199999999996</v>
      </c>
      <c r="F649">
        <f t="shared" si="699"/>
        <v>0.43679341244853476</v>
      </c>
      <c r="G649">
        <f t="shared" si="700"/>
        <v>0.57410877755993184</v>
      </c>
      <c r="H649">
        <v>3.4102550882281854E-2</v>
      </c>
      <c r="I649">
        <f t="shared" si="701"/>
        <v>8091.2149690997476</v>
      </c>
      <c r="J649">
        <f t="shared" si="702"/>
        <v>0.45567638497792939</v>
      </c>
      <c r="K649">
        <f t="shared" si="703"/>
        <v>2.5949649259704154E-15</v>
      </c>
      <c r="L649">
        <f t="shared" ref="L649:M649" si="710">AVERAGE(G647:G649)</f>
        <v>0.55118150916183117</v>
      </c>
      <c r="M649">
        <f t="shared" si="710"/>
        <v>3.3886212803656134E-2</v>
      </c>
    </row>
    <row r="650" spans="1:13" x14ac:dyDescent="0.25">
      <c r="A650" s="18">
        <v>37257</v>
      </c>
      <c r="B650">
        <v>143883</v>
      </c>
      <c r="C650">
        <v>8182</v>
      </c>
      <c r="D650">
        <v>3044</v>
      </c>
      <c r="E650">
        <f t="shared" si="698"/>
        <v>3531.04</v>
      </c>
      <c r="F650">
        <f t="shared" si="699"/>
        <v>0.41902224395013443</v>
      </c>
      <c r="G650">
        <f t="shared" si="700"/>
        <v>0.54304280849159781</v>
      </c>
      <c r="H650">
        <v>3.3062318638601096E-2</v>
      </c>
      <c r="I650">
        <f t="shared" si="701"/>
        <v>8257.3568063433377</v>
      </c>
      <c r="J650">
        <f t="shared" si="702"/>
        <v>0.43791664811899433</v>
      </c>
      <c r="K650">
        <f t="shared" si="703"/>
        <v>2.1926971473278662E-15</v>
      </c>
      <c r="L650">
        <f t="shared" ref="L650:M650" si="711">AVERAGE(G648:G650)</f>
        <v>0.54732314516059288</v>
      </c>
      <c r="M650">
        <f t="shared" si="711"/>
        <v>3.3478909360052121E-2</v>
      </c>
    </row>
    <row r="651" spans="1:13" x14ac:dyDescent="0.25">
      <c r="A651" s="18">
        <v>37288</v>
      </c>
      <c r="B651">
        <v>144653</v>
      </c>
      <c r="C651">
        <v>8215</v>
      </c>
      <c r="D651">
        <v>2984</v>
      </c>
      <c r="E651">
        <f t="shared" si="698"/>
        <v>3461.4399999999996</v>
      </c>
      <c r="F651">
        <f t="shared" si="699"/>
        <v>0.42323067559342664</v>
      </c>
      <c r="G651">
        <f t="shared" si="700"/>
        <v>0.55031287679980967</v>
      </c>
      <c r="H651">
        <v>3.3995953822049174E-2</v>
      </c>
      <c r="I651">
        <f t="shared" si="701"/>
        <v>8416.125943171588</v>
      </c>
      <c r="J651">
        <f t="shared" si="702"/>
        <v>0.4425089505761518</v>
      </c>
      <c r="K651">
        <f t="shared" si="703"/>
        <v>9.0279204616589769E-10</v>
      </c>
      <c r="L651">
        <f t="shared" ref="L651:M651" si="712">AVERAGE(G649:G651)</f>
        <v>0.55582148761711314</v>
      </c>
      <c r="M651">
        <f t="shared" si="712"/>
        <v>3.3720274447644041E-2</v>
      </c>
    </row>
    <row r="652" spans="1:13" x14ac:dyDescent="0.25">
      <c r="A652" s="18">
        <v>37316</v>
      </c>
      <c r="B652">
        <v>144481</v>
      </c>
      <c r="C652">
        <v>8304</v>
      </c>
      <c r="D652">
        <v>3074</v>
      </c>
      <c r="E652">
        <f t="shared" si="698"/>
        <v>3565.8399999999997</v>
      </c>
      <c r="F652">
        <f t="shared" si="699"/>
        <v>0.37405105973025043</v>
      </c>
      <c r="G652">
        <f t="shared" si="700"/>
        <v>0.46848647627294709</v>
      </c>
      <c r="H652">
        <v>3.1320626501574876E-2</v>
      </c>
      <c r="I652">
        <f t="shared" si="701"/>
        <v>9053.963844158312</v>
      </c>
      <c r="J652">
        <f t="shared" si="702"/>
        <v>0.39335233092091237</v>
      </c>
      <c r="K652">
        <f t="shared" si="703"/>
        <v>6.8675854895811615E-10</v>
      </c>
      <c r="L652">
        <f t="shared" ref="L652:M652" si="713">AVERAGE(G650:G652)</f>
        <v>0.52061405385478488</v>
      </c>
      <c r="M652">
        <f t="shared" si="713"/>
        <v>3.2792966320741718E-2</v>
      </c>
    </row>
    <row r="653" spans="1:13" x14ac:dyDescent="0.25">
      <c r="A653" s="18">
        <v>37347</v>
      </c>
      <c r="B653">
        <v>144725</v>
      </c>
      <c r="C653">
        <v>8599</v>
      </c>
      <c r="D653">
        <v>2932</v>
      </c>
      <c r="E653">
        <f t="shared" si="698"/>
        <v>3401.12</v>
      </c>
      <c r="F653">
        <f t="shared" si="699"/>
        <v>0.40677753227119429</v>
      </c>
      <c r="G653">
        <f t="shared" si="700"/>
        <v>0.5221857939656146</v>
      </c>
      <c r="H653">
        <v>3.1073226807837091E-2</v>
      </c>
      <c r="I653">
        <f t="shared" si="701"/>
        <v>8128.331542569972</v>
      </c>
      <c r="J653">
        <f t="shared" si="702"/>
        <v>0.42492742040817466</v>
      </c>
      <c r="K653">
        <f t="shared" si="703"/>
        <v>4.424479958364196E-9</v>
      </c>
      <c r="L653">
        <f t="shared" ref="L653:M653" si="714">AVERAGE(G651:G653)</f>
        <v>0.51366171567945706</v>
      </c>
      <c r="M653">
        <f t="shared" si="714"/>
        <v>3.2129935710487049E-2</v>
      </c>
    </row>
    <row r="654" spans="1:13" x14ac:dyDescent="0.25">
      <c r="A654" s="18">
        <v>37377</v>
      </c>
      <c r="B654">
        <v>144938</v>
      </c>
      <c r="C654">
        <v>8399</v>
      </c>
      <c r="D654">
        <v>2843</v>
      </c>
      <c r="E654">
        <f t="shared" si="698"/>
        <v>3297.8799999999997</v>
      </c>
      <c r="F654">
        <f t="shared" si="699"/>
        <v>0.37513513513513519</v>
      </c>
      <c r="G654">
        <f t="shared" si="700"/>
        <v>0.47021986884004779</v>
      </c>
      <c r="H654">
        <v>2.8869080568424934E-2</v>
      </c>
      <c r="I654">
        <f t="shared" si="701"/>
        <v>8383.7296024798343</v>
      </c>
      <c r="J654">
        <f t="shared" si="702"/>
        <v>0.39291650838037617</v>
      </c>
      <c r="K654">
        <f t="shared" si="703"/>
        <v>7.61220548945933E-11</v>
      </c>
      <c r="L654">
        <f t="shared" ref="L654:M654" si="715">AVERAGE(G652:G654)</f>
        <v>0.48696404635953655</v>
      </c>
      <c r="M654">
        <f t="shared" si="715"/>
        <v>3.0420977959278967E-2</v>
      </c>
    </row>
    <row r="655" spans="1:13" x14ac:dyDescent="0.25">
      <c r="A655" s="18">
        <v>37408</v>
      </c>
      <c r="B655">
        <v>144808</v>
      </c>
      <c r="C655">
        <v>8393</v>
      </c>
      <c r="D655">
        <v>2711</v>
      </c>
      <c r="E655">
        <f t="shared" si="698"/>
        <v>3144.7599999999998</v>
      </c>
      <c r="F655">
        <f t="shared" si="699"/>
        <v>0.39992374597879177</v>
      </c>
      <c r="G655">
        <f t="shared" si="700"/>
        <v>0.51069854180589802</v>
      </c>
      <c r="H655">
        <v>3.1392491337976676E-2</v>
      </c>
      <c r="I655">
        <f t="shared" si="701"/>
        <v>8385.8311754498573</v>
      </c>
      <c r="J655">
        <f t="shared" si="702"/>
        <v>0.41846902041385159</v>
      </c>
      <c r="K655">
        <f t="shared" si="703"/>
        <v>4.7627919134438911E-9</v>
      </c>
      <c r="L655">
        <f t="shared" ref="L655:M655" si="716">AVERAGE(G653:G655)</f>
        <v>0.50103473487052008</v>
      </c>
      <c r="M655">
        <f t="shared" si="716"/>
        <v>3.044493290474623E-2</v>
      </c>
    </row>
    <row r="656" spans="1:13" x14ac:dyDescent="0.25">
      <c r="A656" s="18">
        <v>37438</v>
      </c>
      <c r="B656">
        <v>144803</v>
      </c>
      <c r="C656">
        <v>8390</v>
      </c>
      <c r="D656">
        <v>2891</v>
      </c>
      <c r="E656">
        <f t="shared" si="698"/>
        <v>3353.56</v>
      </c>
      <c r="F656">
        <f t="shared" si="699"/>
        <v>0.4149368295589988</v>
      </c>
      <c r="G656">
        <f t="shared" si="700"/>
        <v>0.53603545392026519</v>
      </c>
      <c r="H656">
        <v>3.214213211362945E-2</v>
      </c>
      <c r="I656">
        <f t="shared" si="701"/>
        <v>8191.5888110592132</v>
      </c>
      <c r="J656">
        <f t="shared" si="702"/>
        <v>0.43344300016257786</v>
      </c>
      <c r="K656">
        <f t="shared" si="703"/>
        <v>3.4809624338078554E-9</v>
      </c>
      <c r="L656">
        <f t="shared" ref="L656:M656" si="717">AVERAGE(G654:G656)</f>
        <v>0.50565128818873706</v>
      </c>
      <c r="M656">
        <f t="shared" si="717"/>
        <v>3.0801234673343687E-2</v>
      </c>
    </row>
    <row r="657" spans="1:13" x14ac:dyDescent="0.25">
      <c r="A657" s="18">
        <v>37469</v>
      </c>
      <c r="B657">
        <v>145009</v>
      </c>
      <c r="C657">
        <v>8304</v>
      </c>
      <c r="D657">
        <v>2927</v>
      </c>
      <c r="E657">
        <f t="shared" si="698"/>
        <v>3395.3199999999997</v>
      </c>
      <c r="F657">
        <f t="shared" si="699"/>
        <v>0.3936078998073218</v>
      </c>
      <c r="G657">
        <f t="shared" si="700"/>
        <v>0.50022847212557664</v>
      </c>
      <c r="H657">
        <v>2.9886352750128457E-2</v>
      </c>
      <c r="I657">
        <f t="shared" si="701"/>
        <v>8175.1913407807688</v>
      </c>
      <c r="J657">
        <f t="shared" si="702"/>
        <v>0.41146261293397068</v>
      </c>
      <c r="K657">
        <f t="shared" si="703"/>
        <v>2.7572090199547164E-9</v>
      </c>
      <c r="L657">
        <f t="shared" ref="L657:M657" si="718">AVERAGE(G655:G657)</f>
        <v>0.51565415595057995</v>
      </c>
      <c r="M657">
        <f t="shared" si="718"/>
        <v>3.1140325400578196E-2</v>
      </c>
    </row>
    <row r="658" spans="1:13" x14ac:dyDescent="0.25">
      <c r="A658" s="18">
        <v>37500</v>
      </c>
      <c r="B658">
        <v>145552</v>
      </c>
      <c r="C658">
        <v>8251</v>
      </c>
      <c r="D658">
        <v>2772</v>
      </c>
      <c r="E658">
        <f t="shared" si="698"/>
        <v>3215.52</v>
      </c>
      <c r="F658">
        <f t="shared" si="699"/>
        <v>0.38194158283844382</v>
      </c>
      <c r="G658">
        <f t="shared" si="700"/>
        <v>0.48117229984037602</v>
      </c>
      <c r="H658">
        <v>2.9436501910725169E-2</v>
      </c>
      <c r="I658">
        <f t="shared" si="701"/>
        <v>8391.0455742562608</v>
      </c>
      <c r="J658">
        <f t="shared" si="702"/>
        <v>0.39986989268651107</v>
      </c>
      <c r="K658">
        <f t="shared" si="703"/>
        <v>7.6546254555084855E-11</v>
      </c>
      <c r="L658">
        <f t="shared" ref="L658:M658" si="719">AVERAGE(G656:G658)</f>
        <v>0.50581207529540595</v>
      </c>
      <c r="M658">
        <f t="shared" si="719"/>
        <v>3.0488328924827692E-2</v>
      </c>
    </row>
    <row r="659" spans="1:13" x14ac:dyDescent="0.25">
      <c r="A659" s="18">
        <v>37530</v>
      </c>
      <c r="B659">
        <v>145314</v>
      </c>
      <c r="C659">
        <v>8307</v>
      </c>
      <c r="D659">
        <v>2765</v>
      </c>
      <c r="E659">
        <f t="shared" si="698"/>
        <v>3207.3999999999996</v>
      </c>
      <c r="F659">
        <f t="shared" si="699"/>
        <v>0.38630071024437218</v>
      </c>
      <c r="G659">
        <f t="shared" si="700"/>
        <v>0.48825022690301073</v>
      </c>
      <c r="H659">
        <v>3.1597172020287917E-2</v>
      </c>
      <c r="I659">
        <f t="shared" si="701"/>
        <v>8832.421715422639</v>
      </c>
      <c r="J659">
        <f t="shared" si="702"/>
        <v>0.40538872063138587</v>
      </c>
      <c r="K659">
        <f t="shared" si="703"/>
        <v>1.3695278225919272E-9</v>
      </c>
      <c r="L659">
        <f t="shared" ref="L659:M659" si="720">AVERAGE(G657:G659)</f>
        <v>0.48988366628965446</v>
      </c>
      <c r="M659">
        <f t="shared" si="720"/>
        <v>3.0306675560380514E-2</v>
      </c>
    </row>
    <row r="660" spans="1:13" x14ac:dyDescent="0.25">
      <c r="A660" s="18">
        <v>37561</v>
      </c>
      <c r="B660">
        <v>145041</v>
      </c>
      <c r="C660">
        <v>8520</v>
      </c>
      <c r="D660">
        <v>2950</v>
      </c>
      <c r="E660">
        <f t="shared" si="698"/>
        <v>3421.9999999999995</v>
      </c>
      <c r="F660">
        <f t="shared" si="699"/>
        <v>0.37230985915492953</v>
      </c>
      <c r="G660">
        <f t="shared" si="700"/>
        <v>0.46570864057653888</v>
      </c>
      <c r="H660">
        <v>3.0178799565756316E-2</v>
      </c>
      <c r="I660">
        <f t="shared" si="701"/>
        <v>8826.9290840696267</v>
      </c>
      <c r="J660">
        <f t="shared" si="702"/>
        <v>0.39096981043360435</v>
      </c>
      <c r="K660">
        <f t="shared" si="703"/>
        <v>3.3817270144611676E-11</v>
      </c>
      <c r="L660">
        <f t="shared" ref="L660:M660" si="721">AVERAGE(G658:G660)</f>
        <v>0.47837705577330852</v>
      </c>
      <c r="M660">
        <f t="shared" si="721"/>
        <v>3.0404157832256463E-2</v>
      </c>
    </row>
    <row r="661" spans="1:13" x14ac:dyDescent="0.25">
      <c r="A661" s="18">
        <v>37591</v>
      </c>
      <c r="B661">
        <v>145066</v>
      </c>
      <c r="C661">
        <v>8640</v>
      </c>
      <c r="D661">
        <v>2838</v>
      </c>
      <c r="E661">
        <f t="shared" si="698"/>
        <v>3292.08</v>
      </c>
      <c r="F661">
        <f t="shared" si="699"/>
        <v>0.39733333333333321</v>
      </c>
      <c r="G661">
        <f t="shared" si="700"/>
        <v>0.50639102669812475</v>
      </c>
      <c r="H661">
        <v>3.0933295109926782E-2</v>
      </c>
      <c r="I661">
        <f t="shared" si="701"/>
        <v>8351.3237839616395</v>
      </c>
      <c r="J661">
        <f t="shared" si="702"/>
        <v>0.4156904129526684</v>
      </c>
      <c r="K661">
        <f t="shared" si="703"/>
        <v>4.1661086823575501E-9</v>
      </c>
      <c r="L661">
        <f t="shared" ref="L661:M661" si="722">AVERAGE(G659:G661)</f>
        <v>0.48678329805922482</v>
      </c>
      <c r="M661">
        <f t="shared" si="722"/>
        <v>3.0903088898657005E-2</v>
      </c>
    </row>
    <row r="662" spans="1:13" x14ac:dyDescent="0.25">
      <c r="A662" s="18">
        <v>37622</v>
      </c>
      <c r="B662">
        <v>145937</v>
      </c>
      <c r="C662">
        <v>8520</v>
      </c>
      <c r="D662">
        <v>2856</v>
      </c>
      <c r="E662">
        <f t="shared" si="698"/>
        <v>3312.9599999999996</v>
      </c>
      <c r="F662">
        <f t="shared" si="699"/>
        <v>0.36944600938967143</v>
      </c>
      <c r="G662">
        <f t="shared" si="700"/>
        <v>0.4611564958232941</v>
      </c>
      <c r="H662">
        <v>2.9494555993636266E-2</v>
      </c>
      <c r="I662">
        <f t="shared" si="701"/>
        <v>8772.7255492551467</v>
      </c>
      <c r="J662">
        <f t="shared" si="702"/>
        <v>0.3877723275342837</v>
      </c>
      <c r="K662">
        <f t="shared" si="703"/>
        <v>6.5218693783743474E-10</v>
      </c>
      <c r="L662">
        <f t="shared" ref="L662:M662" si="723">AVERAGE(G660:G662)</f>
        <v>0.47775205436598589</v>
      </c>
      <c r="M662">
        <f t="shared" si="723"/>
        <v>3.020221688977312E-2</v>
      </c>
    </row>
    <row r="663" spans="1:13" x14ac:dyDescent="0.25">
      <c r="A663" s="18">
        <v>37653</v>
      </c>
      <c r="B663">
        <v>146100</v>
      </c>
      <c r="C663">
        <v>8618</v>
      </c>
      <c r="D663">
        <v>2798</v>
      </c>
      <c r="E663">
        <f t="shared" si="698"/>
        <v>3245.68</v>
      </c>
      <c r="F663">
        <f t="shared" si="699"/>
        <v>0.38453933627291703</v>
      </c>
      <c r="G663">
        <f t="shared" si="700"/>
        <v>0.48538424486039178</v>
      </c>
      <c r="H663">
        <v>3.0146833505713684E-2</v>
      </c>
      <c r="I663">
        <f t="shared" si="701"/>
        <v>8543.5244547118036</v>
      </c>
      <c r="J663">
        <f t="shared" si="702"/>
        <v>0.4028166407754159</v>
      </c>
      <c r="K663">
        <f t="shared" si="703"/>
        <v>1.2159676049264614E-10</v>
      </c>
      <c r="L663">
        <f t="shared" ref="L663:M663" si="724">AVERAGE(G661:G663)</f>
        <v>0.48431058912727015</v>
      </c>
      <c r="M663">
        <f t="shared" si="724"/>
        <v>3.0191561536425576E-2</v>
      </c>
    </row>
    <row r="664" spans="1:13" x14ac:dyDescent="0.25">
      <c r="A664" s="18">
        <v>37681</v>
      </c>
      <c r="B664">
        <v>146022</v>
      </c>
      <c r="C664">
        <v>8588</v>
      </c>
      <c r="D664">
        <v>2831</v>
      </c>
      <c r="E664">
        <f t="shared" si="698"/>
        <v>3283.9599999999996</v>
      </c>
      <c r="F664">
        <f t="shared" si="699"/>
        <v>0.34781555659059149</v>
      </c>
      <c r="G664">
        <f t="shared" si="700"/>
        <v>0.42742786839620089</v>
      </c>
      <c r="H664">
        <v>2.9011109204431573E-2</v>
      </c>
      <c r="I664">
        <f t="shared" si="701"/>
        <v>9281.1096250331211</v>
      </c>
      <c r="J664">
        <f t="shared" si="702"/>
        <v>0.36646433191945715</v>
      </c>
      <c r="K664">
        <f t="shared" si="703"/>
        <v>1.9638450371491715E-9</v>
      </c>
      <c r="L664">
        <f t="shared" ref="L664:M664" si="725">AVERAGE(G662:G664)</f>
        <v>0.45798953635996226</v>
      </c>
      <c r="M664">
        <f t="shared" si="725"/>
        <v>2.955083290126051E-2</v>
      </c>
    </row>
    <row r="665" spans="1:13" x14ac:dyDescent="0.25">
      <c r="A665" s="18">
        <v>37712</v>
      </c>
      <c r="B665">
        <v>146474</v>
      </c>
      <c r="C665">
        <v>8842</v>
      </c>
      <c r="D665">
        <v>2794</v>
      </c>
      <c r="E665">
        <f t="shared" si="698"/>
        <v>3241.04</v>
      </c>
      <c r="F665">
        <f t="shared" si="699"/>
        <v>0.37899570232978963</v>
      </c>
      <c r="G665">
        <f t="shared" si="700"/>
        <v>0.47641727650865945</v>
      </c>
      <c r="H665">
        <v>3.1672577079757486E-2</v>
      </c>
      <c r="I665">
        <f t="shared" si="701"/>
        <v>9130.6862800264316</v>
      </c>
      <c r="J665">
        <f t="shared" si="702"/>
        <v>0.39835629051294486</v>
      </c>
      <c r="K665">
        <f t="shared" si="703"/>
        <v>1.9067978141474588E-11</v>
      </c>
      <c r="L665">
        <f t="shared" ref="L665:M665" si="726">AVERAGE(G663:G665)</f>
        <v>0.46307646325508406</v>
      </c>
      <c r="M665">
        <f t="shared" si="726"/>
        <v>3.0276839929967578E-2</v>
      </c>
    </row>
    <row r="666" spans="1:13" x14ac:dyDescent="0.25">
      <c r="A666" s="18">
        <v>37742</v>
      </c>
      <c r="B666">
        <v>146500</v>
      </c>
      <c r="C666">
        <v>8957</v>
      </c>
      <c r="D666">
        <v>2988</v>
      </c>
      <c r="E666">
        <f t="shared" si="698"/>
        <v>3466.08</v>
      </c>
      <c r="F666">
        <f t="shared" si="699"/>
        <v>0.34185106620520256</v>
      </c>
      <c r="G666">
        <f t="shared" si="700"/>
        <v>0.41832403011537911</v>
      </c>
      <c r="H666">
        <v>3.0029575838806239E-2</v>
      </c>
      <c r="I666">
        <f t="shared" si="701"/>
        <v>9812.1946650177197</v>
      </c>
      <c r="J666">
        <f t="shared" si="702"/>
        <v>0.36132119652980499</v>
      </c>
      <c r="K666">
        <f t="shared" si="703"/>
        <v>1.6297280577487754E-9</v>
      </c>
      <c r="L666">
        <f t="shared" ref="L666:M666" si="727">AVERAGE(G664:G666)</f>
        <v>0.4407230583400798</v>
      </c>
      <c r="M666">
        <f t="shared" si="727"/>
        <v>3.0237754040998432E-2</v>
      </c>
    </row>
    <row r="667" spans="1:13" x14ac:dyDescent="0.25">
      <c r="A667" s="18">
        <v>37773</v>
      </c>
      <c r="B667">
        <v>147056</v>
      </c>
      <c r="C667">
        <v>9266</v>
      </c>
      <c r="D667">
        <v>2906</v>
      </c>
      <c r="E667">
        <f t="shared" si="698"/>
        <v>3370.9599999999996</v>
      </c>
      <c r="F667">
        <f t="shared" si="699"/>
        <v>0.36803367148715738</v>
      </c>
      <c r="G667">
        <f t="shared" si="700"/>
        <v>0.4589191639241379</v>
      </c>
      <c r="H667">
        <v>2.852287504965699E-2</v>
      </c>
      <c r="I667">
        <f t="shared" si="701"/>
        <v>8605.0434265639014</v>
      </c>
      <c r="J667">
        <f t="shared" si="702"/>
        <v>0.38580452540793331</v>
      </c>
      <c r="K667">
        <f t="shared" si="703"/>
        <v>1.3786196951950483E-9</v>
      </c>
      <c r="L667">
        <f t="shared" ref="L667:M667" si="728">AVERAGE(G665:G667)</f>
        <v>0.45122015684939215</v>
      </c>
      <c r="M667">
        <f t="shared" si="728"/>
        <v>3.0075009322740237E-2</v>
      </c>
    </row>
    <row r="668" spans="1:13" x14ac:dyDescent="0.25">
      <c r="A668" s="18">
        <v>37803</v>
      </c>
      <c r="B668">
        <v>146485</v>
      </c>
      <c r="C668">
        <v>9011</v>
      </c>
      <c r="D668">
        <v>2720</v>
      </c>
      <c r="E668">
        <f t="shared" si="698"/>
        <v>3155.2</v>
      </c>
      <c r="F668">
        <f t="shared" si="699"/>
        <v>0.37333925202530238</v>
      </c>
      <c r="G668">
        <f t="shared" si="700"/>
        <v>0.46734995659208073</v>
      </c>
      <c r="H668">
        <v>2.9571851303826235E-2</v>
      </c>
      <c r="I668">
        <f t="shared" si="701"/>
        <v>8717.3325247750035</v>
      </c>
      <c r="J668">
        <f t="shared" si="702"/>
        <v>0.39159944592920315</v>
      </c>
      <c r="K668">
        <f t="shared" si="703"/>
        <v>4.2376428506804693E-10</v>
      </c>
      <c r="L668">
        <f t="shared" ref="L668:M668" si="729">AVERAGE(G666:G668)</f>
        <v>0.44819771687719928</v>
      </c>
      <c r="M668">
        <f t="shared" si="729"/>
        <v>2.9374767397429821E-2</v>
      </c>
    </row>
    <row r="669" spans="1:13" x14ac:dyDescent="0.25">
      <c r="A669" s="18">
        <v>37834</v>
      </c>
      <c r="B669">
        <v>146445</v>
      </c>
      <c r="C669">
        <v>8896</v>
      </c>
      <c r="D669">
        <v>2801</v>
      </c>
      <c r="E669">
        <f t="shared" si="698"/>
        <v>3249.16</v>
      </c>
      <c r="F669">
        <f t="shared" si="699"/>
        <v>0.34977967625899276</v>
      </c>
      <c r="G669">
        <f t="shared" si="700"/>
        <v>0.43044401392473225</v>
      </c>
      <c r="H669">
        <v>2.8065618220891167E-2</v>
      </c>
      <c r="I669">
        <f t="shared" si="701"/>
        <v>8963.9762661584446</v>
      </c>
      <c r="J669">
        <f t="shared" si="702"/>
        <v>0.36777480818992492</v>
      </c>
      <c r="K669">
        <f t="shared" si="703"/>
        <v>1.743238808750414E-9</v>
      </c>
      <c r="L669">
        <f t="shared" ref="L669:M669" si="730">AVERAGE(G667:G669)</f>
        <v>0.45223771148031694</v>
      </c>
      <c r="M669">
        <f t="shared" si="730"/>
        <v>2.8720114858124798E-2</v>
      </c>
    </row>
    <row r="670" spans="1:13" x14ac:dyDescent="0.25">
      <c r="A670" s="18">
        <v>37865</v>
      </c>
      <c r="B670">
        <v>146530</v>
      </c>
      <c r="C670">
        <v>8921</v>
      </c>
      <c r="D670">
        <v>2704</v>
      </c>
      <c r="E670">
        <f t="shared" si="698"/>
        <v>3136.64</v>
      </c>
      <c r="F670">
        <f t="shared" si="699"/>
        <v>0.3735679856518328</v>
      </c>
      <c r="G670">
        <f t="shared" si="700"/>
        <v>0.46771502713745172</v>
      </c>
      <c r="H670">
        <v>2.8578962349740472E-2</v>
      </c>
      <c r="I670">
        <f t="shared" si="701"/>
        <v>8437.8925431567059</v>
      </c>
      <c r="J670">
        <f t="shared" si="702"/>
        <v>0.39121736093403847</v>
      </c>
      <c r="K670">
        <f t="shared" si="703"/>
        <v>5.9116034788491154E-10</v>
      </c>
      <c r="L670">
        <f t="shared" ref="L670:M670" si="731">AVERAGE(G668:G670)</f>
        <v>0.45516966588475488</v>
      </c>
      <c r="M670">
        <f t="shared" si="731"/>
        <v>2.8738810624819294E-2</v>
      </c>
    </row>
    <row r="671" spans="1:13" x14ac:dyDescent="0.25">
      <c r="A671" s="18">
        <v>37895</v>
      </c>
      <c r="B671">
        <v>146716</v>
      </c>
      <c r="C671">
        <v>8732</v>
      </c>
      <c r="D671">
        <v>2710</v>
      </c>
      <c r="E671">
        <f t="shared" si="698"/>
        <v>3143.6</v>
      </c>
      <c r="F671">
        <f t="shared" si="699"/>
        <v>0.37070087036188726</v>
      </c>
      <c r="G671">
        <f t="shared" si="700"/>
        <v>0.46314857151374805</v>
      </c>
      <c r="H671">
        <v>2.7878531513290797E-2</v>
      </c>
      <c r="I671">
        <f t="shared" si="701"/>
        <v>8329.9406576315614</v>
      </c>
      <c r="J671">
        <f t="shared" si="702"/>
        <v>0.38800251320786316</v>
      </c>
      <c r="K671">
        <f t="shared" si="703"/>
        <v>1.2459244417107966E-9</v>
      </c>
      <c r="L671">
        <f t="shared" ref="L671:M671" si="732">AVERAGE(G669:G671)</f>
        <v>0.45376920419197736</v>
      </c>
      <c r="M671">
        <f t="shared" si="732"/>
        <v>2.8174370694640811E-2</v>
      </c>
    </row>
    <row r="672" spans="1:13" x14ac:dyDescent="0.25">
      <c r="A672" s="18">
        <v>37926</v>
      </c>
      <c r="B672">
        <v>147000</v>
      </c>
      <c r="C672">
        <v>8576</v>
      </c>
      <c r="D672">
        <v>2656</v>
      </c>
      <c r="E672">
        <f t="shared" si="698"/>
        <v>3080.9599999999996</v>
      </c>
      <c r="F672">
        <f t="shared" si="699"/>
        <v>0.37565764925373124</v>
      </c>
      <c r="G672">
        <f t="shared" si="700"/>
        <v>0.4710564220436132</v>
      </c>
      <c r="H672">
        <v>2.6808778852741577E-2</v>
      </c>
      <c r="I672">
        <f t="shared" si="701"/>
        <v>7915.5773174301921</v>
      </c>
      <c r="J672">
        <f t="shared" si="702"/>
        <v>0.3921731361031866</v>
      </c>
      <c r="K672">
        <f t="shared" si="703"/>
        <v>1.1955744918595117E-9</v>
      </c>
      <c r="L672">
        <f t="shared" ref="L672:M672" si="733">AVERAGE(G670:G672)</f>
        <v>0.46730667356493766</v>
      </c>
      <c r="M672">
        <f t="shared" si="733"/>
        <v>2.775542423859095E-2</v>
      </c>
    </row>
    <row r="673" spans="1:13" x14ac:dyDescent="0.25">
      <c r="A673" s="18">
        <v>37956</v>
      </c>
      <c r="B673">
        <v>146729</v>
      </c>
      <c r="C673">
        <v>8317</v>
      </c>
      <c r="D673">
        <v>2554</v>
      </c>
      <c r="E673">
        <f t="shared" si="698"/>
        <v>2962.64</v>
      </c>
      <c r="F673">
        <f t="shared" si="699"/>
        <v>0.3681135024648311</v>
      </c>
      <c r="G673">
        <f t="shared" si="700"/>
        <v>0.45904549347158924</v>
      </c>
      <c r="H673">
        <v>2.8067173815642749E-2</v>
      </c>
      <c r="I673">
        <f t="shared" si="701"/>
        <v>8454.4472426274569</v>
      </c>
      <c r="J673">
        <f t="shared" si="702"/>
        <v>0.3856021934892141</v>
      </c>
      <c r="K673">
        <f t="shared" si="703"/>
        <v>1.7433805280762818E-9</v>
      </c>
      <c r="L673">
        <f t="shared" ref="L673:M673" si="734">AVERAGE(G671:G673)</f>
        <v>0.4644168290096502</v>
      </c>
      <c r="M673">
        <f t="shared" si="734"/>
        <v>2.7584828060558373E-2</v>
      </c>
    </row>
    <row r="674" spans="1:13" x14ac:dyDescent="0.25">
      <c r="A674" s="18">
        <v>37987</v>
      </c>
      <c r="B674">
        <v>146842</v>
      </c>
      <c r="C674">
        <v>8370</v>
      </c>
      <c r="D674">
        <v>2685</v>
      </c>
      <c r="E674">
        <f t="shared" si="698"/>
        <v>3114.6</v>
      </c>
      <c r="F674">
        <f t="shared" si="699"/>
        <v>0.3603345280764636</v>
      </c>
      <c r="G674">
        <f t="shared" si="700"/>
        <v>0.44680993940322322</v>
      </c>
      <c r="H674">
        <v>2.5168545480489683E-2</v>
      </c>
      <c r="I674">
        <f t="shared" si="701"/>
        <v>7830.4407379006807</v>
      </c>
      <c r="J674">
        <f t="shared" si="702"/>
        <v>0.37623306680851409</v>
      </c>
      <c r="K674">
        <f t="shared" si="703"/>
        <v>1.2891378722368095E-9</v>
      </c>
      <c r="L674">
        <f t="shared" ref="L674:M674" si="735">AVERAGE(G672:G674)</f>
        <v>0.45897061830614189</v>
      </c>
      <c r="M674">
        <f t="shared" si="735"/>
        <v>2.6681499382958006E-2</v>
      </c>
    </row>
    <row r="675" spans="1:13" x14ac:dyDescent="0.25">
      <c r="A675" s="18">
        <v>38018</v>
      </c>
      <c r="B675">
        <v>146709</v>
      </c>
      <c r="C675">
        <v>8167</v>
      </c>
      <c r="D675">
        <v>2425</v>
      </c>
      <c r="E675">
        <f t="shared" si="698"/>
        <v>2813</v>
      </c>
      <c r="F675">
        <f t="shared" si="699"/>
        <v>0.33487449491857479</v>
      </c>
      <c r="G675">
        <f t="shared" si="700"/>
        <v>0.40777952668769213</v>
      </c>
      <c r="H675">
        <v>2.6922111256452268E-2</v>
      </c>
      <c r="I675">
        <f t="shared" si="701"/>
        <v>9086.0389645699051</v>
      </c>
      <c r="J675">
        <f t="shared" si="702"/>
        <v>0.35254218489262457</v>
      </c>
      <c r="K675">
        <f t="shared" si="703"/>
        <v>2.0893395371563579E-11</v>
      </c>
      <c r="L675">
        <f t="shared" ref="L675:M675" si="736">AVERAGE(G673:G675)</f>
        <v>0.4378783198541682</v>
      </c>
      <c r="M675">
        <f t="shared" si="736"/>
        <v>2.6719276850861565E-2</v>
      </c>
    </row>
    <row r="676" spans="1:13" x14ac:dyDescent="0.25">
      <c r="A676" s="18">
        <v>38047</v>
      </c>
      <c r="B676">
        <v>146944</v>
      </c>
      <c r="C676">
        <v>8491</v>
      </c>
      <c r="D676">
        <v>2637</v>
      </c>
      <c r="E676">
        <f t="shared" si="698"/>
        <v>3058.9199999999996</v>
      </c>
      <c r="F676">
        <f t="shared" si="699"/>
        <v>0.41759510069485328</v>
      </c>
      <c r="G676">
        <f t="shared" si="700"/>
        <v>0.54058936986659134</v>
      </c>
      <c r="H676">
        <v>3.0110446158747622E-2</v>
      </c>
      <c r="I676">
        <f t="shared" si="701"/>
        <v>7752.8488289447096</v>
      </c>
      <c r="J676">
        <f t="shared" si="702"/>
        <v>0.43487018661658727</v>
      </c>
      <c r="K676">
        <f t="shared" si="703"/>
        <v>3.9052418065110316E-9</v>
      </c>
      <c r="L676">
        <f t="shared" ref="L676:M676" si="737">AVERAGE(G674:G676)</f>
        <v>0.46505961198583562</v>
      </c>
      <c r="M676">
        <f t="shared" si="737"/>
        <v>2.7400367631896527E-2</v>
      </c>
    </row>
    <row r="677" spans="1:13" x14ac:dyDescent="0.25">
      <c r="A677" s="18">
        <v>38078</v>
      </c>
      <c r="B677">
        <v>146850</v>
      </c>
      <c r="C677">
        <v>8170</v>
      </c>
      <c r="D677">
        <v>2780</v>
      </c>
      <c r="E677">
        <f t="shared" si="698"/>
        <v>3224.7999999999997</v>
      </c>
      <c r="F677">
        <f t="shared" si="699"/>
        <v>0.38147858017135872</v>
      </c>
      <c r="G677">
        <f t="shared" si="700"/>
        <v>0.4804234558517041</v>
      </c>
      <c r="H677">
        <v>2.8689459629306378E-2</v>
      </c>
      <c r="I677">
        <f t="shared" si="701"/>
        <v>8275.2706098275867</v>
      </c>
      <c r="J677">
        <f t="shared" si="702"/>
        <v>0.39897149451549518</v>
      </c>
      <c r="K677">
        <f t="shared" si="703"/>
        <v>7.5452013371986219E-10</v>
      </c>
      <c r="L677">
        <f t="shared" ref="L677:M677" si="738">AVERAGE(G675:G677)</f>
        <v>0.47626411746866254</v>
      </c>
      <c r="M677">
        <f t="shared" si="738"/>
        <v>2.857400568150209E-2</v>
      </c>
    </row>
    <row r="678" spans="1:13" x14ac:dyDescent="0.25">
      <c r="A678" s="18">
        <v>38108</v>
      </c>
      <c r="B678">
        <v>147065</v>
      </c>
      <c r="C678">
        <v>8212</v>
      </c>
      <c r="D678">
        <v>2723</v>
      </c>
      <c r="E678">
        <f t="shared" si="698"/>
        <v>3158.68</v>
      </c>
      <c r="F678">
        <f t="shared" si="699"/>
        <v>0.36913297613248897</v>
      </c>
      <c r="G678">
        <f t="shared" si="700"/>
        <v>0.46066017736971598</v>
      </c>
      <c r="H678">
        <v>2.7917905436641868E-2</v>
      </c>
      <c r="I678">
        <f t="shared" si="701"/>
        <v>8403.4607927081342</v>
      </c>
      <c r="J678">
        <f t="shared" si="702"/>
        <v>0.3865018821998899</v>
      </c>
      <c r="K678">
        <f t="shared" si="703"/>
        <v>1.8706337846333232E-9</v>
      </c>
      <c r="L678">
        <f t="shared" ref="L678:M678" si="739">AVERAGE(G676:G678)</f>
        <v>0.49389100102933714</v>
      </c>
      <c r="M678">
        <f t="shared" si="739"/>
        <v>2.8905937074898622E-2</v>
      </c>
    </row>
    <row r="679" spans="1:13" x14ac:dyDescent="0.25">
      <c r="A679" s="18">
        <v>38139</v>
      </c>
      <c r="B679">
        <v>147460</v>
      </c>
      <c r="C679">
        <v>8286</v>
      </c>
      <c r="D679">
        <v>2677</v>
      </c>
      <c r="E679">
        <f t="shared" si="698"/>
        <v>3105.3199999999997</v>
      </c>
      <c r="F679">
        <f t="shared" si="699"/>
        <v>0.41288921071687179</v>
      </c>
      <c r="G679">
        <f t="shared" si="700"/>
        <v>0.53254173883144706</v>
      </c>
      <c r="H679">
        <v>3.0296527721667958E-2</v>
      </c>
      <c r="I679">
        <f t="shared" si="701"/>
        <v>7937.4950910796988</v>
      </c>
      <c r="J679">
        <f t="shared" si="702"/>
        <v>0.43040988114640888</v>
      </c>
      <c r="K679">
        <f t="shared" si="703"/>
        <v>1.89857786273816E-9</v>
      </c>
      <c r="L679">
        <f t="shared" ref="L679:M679" si="740">AVERAGE(G677:G679)</f>
        <v>0.4912084573509557</v>
      </c>
      <c r="M679">
        <f t="shared" si="740"/>
        <v>2.8967964262538736E-2</v>
      </c>
    </row>
    <row r="680" spans="1:13" x14ac:dyDescent="0.25">
      <c r="A680" s="18">
        <v>38169</v>
      </c>
      <c r="B680">
        <v>147692</v>
      </c>
      <c r="C680">
        <v>8136</v>
      </c>
      <c r="D680">
        <v>2820</v>
      </c>
      <c r="E680">
        <f t="shared" si="698"/>
        <v>3271.2</v>
      </c>
      <c r="F680">
        <f t="shared" si="699"/>
        <v>0.39719764011799419</v>
      </c>
      <c r="G680">
        <f t="shared" si="700"/>
        <v>0.50616589737016404</v>
      </c>
      <c r="H680">
        <v>2.8158608987517798E-2</v>
      </c>
      <c r="I680">
        <f t="shared" si="701"/>
        <v>7783.2875511057664</v>
      </c>
      <c r="J680">
        <f t="shared" si="702"/>
        <v>0.41393496032511468</v>
      </c>
      <c r="K680">
        <f t="shared" si="703"/>
        <v>1.833101624563957E-10</v>
      </c>
      <c r="L680">
        <f t="shared" ref="L680:M680" si="741">AVERAGE(G678:G680)</f>
        <v>0.49978927119044236</v>
      </c>
      <c r="M680">
        <f t="shared" si="741"/>
        <v>2.8791014048609207E-2</v>
      </c>
    </row>
    <row r="681" spans="1:13" x14ac:dyDescent="0.25">
      <c r="A681" s="18">
        <v>38200</v>
      </c>
      <c r="B681">
        <v>147564</v>
      </c>
      <c r="C681">
        <v>7990</v>
      </c>
      <c r="D681">
        <v>2660</v>
      </c>
      <c r="E681">
        <f t="shared" si="698"/>
        <v>3085.6</v>
      </c>
      <c r="F681">
        <f t="shared" si="699"/>
        <v>0.40829536921151433</v>
      </c>
      <c r="G681">
        <f t="shared" si="700"/>
        <v>0.52474770308626417</v>
      </c>
      <c r="H681">
        <v>2.9451564208073183E-2</v>
      </c>
      <c r="I681">
        <f t="shared" si="701"/>
        <v>7841.9277636683328</v>
      </c>
      <c r="J681">
        <f t="shared" si="702"/>
        <v>0.42546787627969973</v>
      </c>
      <c r="K681">
        <f t="shared" si="703"/>
        <v>4.0288432991458141E-10</v>
      </c>
      <c r="L681">
        <f t="shared" ref="L681:M681" si="742">AVERAGE(G679:G681)</f>
        <v>0.52115177976262506</v>
      </c>
      <c r="M681">
        <f t="shared" si="742"/>
        <v>2.9302233639086312E-2</v>
      </c>
    </row>
    <row r="682" spans="1:13" x14ac:dyDescent="0.25">
      <c r="A682" s="18">
        <v>38231</v>
      </c>
      <c r="B682">
        <v>147415</v>
      </c>
      <c r="C682">
        <v>7927</v>
      </c>
      <c r="D682">
        <v>2758</v>
      </c>
      <c r="E682">
        <f t="shared" si="698"/>
        <v>3199.2799999999997</v>
      </c>
      <c r="F682">
        <f t="shared" si="699"/>
        <v>0.38288381481014255</v>
      </c>
      <c r="G682">
        <f t="shared" si="700"/>
        <v>0.48269796617559879</v>
      </c>
      <c r="H682">
        <v>2.8658485931940866E-2</v>
      </c>
      <c r="I682">
        <f t="shared" si="701"/>
        <v>8261.7334468845202</v>
      </c>
      <c r="J682">
        <f t="shared" si="702"/>
        <v>0.40031841248626654</v>
      </c>
      <c r="K682">
        <f t="shared" si="703"/>
        <v>1.4392260010525375E-9</v>
      </c>
      <c r="L682">
        <f t="shared" ref="L682:M682" si="743">AVERAGE(G680:G682)</f>
        <v>0.50453718887734234</v>
      </c>
      <c r="M682">
        <f t="shared" si="743"/>
        <v>2.8756219709177282E-2</v>
      </c>
    </row>
    <row r="683" spans="1:13" x14ac:dyDescent="0.25">
      <c r="A683" s="18">
        <v>38261</v>
      </c>
      <c r="B683">
        <v>147793</v>
      </c>
      <c r="C683">
        <v>8061</v>
      </c>
      <c r="D683">
        <v>2732</v>
      </c>
      <c r="E683">
        <f t="shared" si="698"/>
        <v>3169.12</v>
      </c>
      <c r="F683">
        <f t="shared" si="699"/>
        <v>0.39561840962659722</v>
      </c>
      <c r="G683">
        <f t="shared" si="700"/>
        <v>0.50354950838993151</v>
      </c>
      <c r="H683">
        <v>2.7859152848067892E-2</v>
      </c>
      <c r="I683">
        <f t="shared" si="701"/>
        <v>7748.0629827944485</v>
      </c>
      <c r="J683">
        <f t="shared" si="702"/>
        <v>0.41222359160882882</v>
      </c>
      <c r="K683">
        <f t="shared" si="703"/>
        <v>4.4858503088228903E-10</v>
      </c>
      <c r="L683">
        <f t="shared" ref="L683:M683" si="744">AVERAGE(G681:G683)</f>
        <v>0.50366505921726479</v>
      </c>
      <c r="M683">
        <f t="shared" si="744"/>
        <v>2.8656400996027315E-2</v>
      </c>
    </row>
    <row r="684" spans="1:13" x14ac:dyDescent="0.25">
      <c r="A684" s="18">
        <v>38292</v>
      </c>
      <c r="B684">
        <v>148162</v>
      </c>
      <c r="C684">
        <v>7932</v>
      </c>
      <c r="D684">
        <v>2638</v>
      </c>
      <c r="E684">
        <f t="shared" si="698"/>
        <v>3060.08</v>
      </c>
      <c r="F684">
        <f t="shared" si="699"/>
        <v>0.40454866364094799</v>
      </c>
      <c r="G684">
        <f t="shared" si="700"/>
        <v>0.51843561248640846</v>
      </c>
      <c r="H684">
        <v>2.9343427292932898E-2</v>
      </c>
      <c r="I684">
        <f t="shared" si="701"/>
        <v>7936.7419321608841</v>
      </c>
      <c r="J684">
        <f t="shared" si="702"/>
        <v>0.42176738303745143</v>
      </c>
      <c r="K684">
        <f t="shared" si="703"/>
        <v>5.9012560526836724E-11</v>
      </c>
      <c r="L684">
        <f t="shared" ref="L684:M684" si="745">AVERAGE(G682:G684)</f>
        <v>0.50156102901731292</v>
      </c>
      <c r="M684">
        <f t="shared" si="745"/>
        <v>2.8620355357647221E-2</v>
      </c>
    </row>
    <row r="685" spans="1:13" x14ac:dyDescent="0.25">
      <c r="A685" s="18">
        <v>38322</v>
      </c>
      <c r="B685">
        <v>148059</v>
      </c>
      <c r="C685">
        <v>7934</v>
      </c>
      <c r="D685">
        <v>2768</v>
      </c>
      <c r="E685">
        <f t="shared" si="698"/>
        <v>3210.8799999999997</v>
      </c>
      <c r="F685">
        <f t="shared" si="699"/>
        <v>0.40415931434333252</v>
      </c>
      <c r="G685">
        <f t="shared" si="700"/>
        <v>0.51778195359457813</v>
      </c>
      <c r="H685">
        <v>2.7928275398146303E-2</v>
      </c>
      <c r="I685">
        <f t="shared" si="701"/>
        <v>7577.3410639683507</v>
      </c>
      <c r="J685">
        <f t="shared" si="702"/>
        <v>0.42056989089708041</v>
      </c>
      <c r="K685">
        <f t="shared" si="703"/>
        <v>9.6320485052662789E-11</v>
      </c>
      <c r="L685">
        <f t="shared" ref="L685:M685" si="746">AVERAGE(G683:G685)</f>
        <v>0.51325569149030603</v>
      </c>
      <c r="M685">
        <f t="shared" si="746"/>
        <v>2.8376951846382364E-2</v>
      </c>
    </row>
    <row r="686" spans="1:13" x14ac:dyDescent="0.25">
      <c r="A686" s="18">
        <v>38353</v>
      </c>
      <c r="B686">
        <v>148029</v>
      </c>
      <c r="C686">
        <v>7784</v>
      </c>
      <c r="D686">
        <v>2635</v>
      </c>
      <c r="E686">
        <f t="shared" si="698"/>
        <v>3056.6</v>
      </c>
      <c r="F686">
        <f t="shared" si="699"/>
        <v>0.38448612538540594</v>
      </c>
      <c r="G686">
        <f t="shared" si="700"/>
        <v>0.48529779158961023</v>
      </c>
      <c r="H686">
        <v>2.8722796769941526E-2</v>
      </c>
      <c r="I686">
        <f t="shared" si="701"/>
        <v>8271.6665039175077</v>
      </c>
      <c r="J686">
        <f t="shared" si="702"/>
        <v>0.40191391967526269</v>
      </c>
      <c r="K686">
        <f t="shared" si="703"/>
        <v>1.9286311407895599E-9</v>
      </c>
      <c r="L686">
        <f t="shared" ref="L686:M686" si="747">AVERAGE(G684:G686)</f>
        <v>0.50717178589019896</v>
      </c>
      <c r="M686">
        <f t="shared" si="747"/>
        <v>2.8664833153673575E-2</v>
      </c>
    </row>
    <row r="687" spans="1:13" x14ac:dyDescent="0.25">
      <c r="A687" s="18">
        <v>38384</v>
      </c>
      <c r="B687">
        <v>148364</v>
      </c>
      <c r="C687">
        <v>7980</v>
      </c>
      <c r="D687">
        <v>2749</v>
      </c>
      <c r="E687">
        <f t="shared" si="698"/>
        <v>3188.8399999999997</v>
      </c>
      <c r="F687">
        <f t="shared" si="699"/>
        <v>0.39138847117794484</v>
      </c>
      <c r="G687">
        <f t="shared" si="700"/>
        <v>0.49657509851423803</v>
      </c>
      <c r="H687">
        <v>2.6004891634691652E-2</v>
      </c>
      <c r="I687">
        <f t="shared" si="701"/>
        <v>7382.9649340187134</v>
      </c>
      <c r="J687">
        <f t="shared" si="702"/>
        <v>0.40701133221927854</v>
      </c>
      <c r="K687">
        <f t="shared" si="703"/>
        <v>1.4127575761074567E-9</v>
      </c>
      <c r="L687">
        <f t="shared" ref="L687:M687" si="748">AVERAGE(G685:G687)</f>
        <v>0.49988494789947552</v>
      </c>
      <c r="M687">
        <f t="shared" si="748"/>
        <v>2.7551987934259826E-2</v>
      </c>
    </row>
    <row r="688" spans="1:13" x14ac:dyDescent="0.25">
      <c r="A688" s="18">
        <v>38412</v>
      </c>
      <c r="B688">
        <v>148391</v>
      </c>
      <c r="C688">
        <v>7737</v>
      </c>
      <c r="D688">
        <v>2483</v>
      </c>
      <c r="E688">
        <f t="shared" si="698"/>
        <v>2880.2799999999997</v>
      </c>
      <c r="F688">
        <f t="shared" si="699"/>
        <v>0.41141010727672223</v>
      </c>
      <c r="G688">
        <f t="shared" si="700"/>
        <v>0.53002561505415935</v>
      </c>
      <c r="H688">
        <v>2.8552142696856006E-2</v>
      </c>
      <c r="I688">
        <f t="shared" si="701"/>
        <v>7585.1230166915066</v>
      </c>
      <c r="J688">
        <f t="shared" si="702"/>
        <v>0.42797796050045622</v>
      </c>
      <c r="K688">
        <f t="shared" si="703"/>
        <v>2.4440020736275176E-12</v>
      </c>
      <c r="L688">
        <f t="shared" ref="L688:M688" si="749">AVERAGE(G686:G688)</f>
        <v>0.5039661683860025</v>
      </c>
      <c r="M688">
        <f t="shared" si="749"/>
        <v>2.7759943700496392E-2</v>
      </c>
    </row>
    <row r="689" spans="1:13" x14ac:dyDescent="0.25">
      <c r="A689" s="18">
        <v>38443</v>
      </c>
      <c r="B689">
        <v>148926</v>
      </c>
      <c r="C689">
        <v>7672</v>
      </c>
      <c r="D689">
        <v>2688</v>
      </c>
      <c r="E689">
        <f t="shared" si="698"/>
        <v>3118.08</v>
      </c>
      <c r="F689">
        <f t="shared" si="699"/>
        <v>0.41913972888425433</v>
      </c>
      <c r="G689">
        <f t="shared" si="700"/>
        <v>0.54324504827334597</v>
      </c>
      <c r="H689">
        <v>2.9310275208740695E-2</v>
      </c>
      <c r="I689">
        <f t="shared" si="701"/>
        <v>7623.8257976366276</v>
      </c>
      <c r="J689">
        <f t="shared" si="702"/>
        <v>0.43591781695582299</v>
      </c>
      <c r="K689">
        <f t="shared" si="703"/>
        <v>4.722673522120969E-11</v>
      </c>
      <c r="L689">
        <f t="shared" ref="L689:M689" si="750">AVERAGE(G687:G689)</f>
        <v>0.52328192061391443</v>
      </c>
      <c r="M689">
        <f t="shared" si="750"/>
        <v>2.795576984676278E-2</v>
      </c>
    </row>
    <row r="690" spans="1:13" x14ac:dyDescent="0.25">
      <c r="A690" s="18">
        <v>38473</v>
      </c>
      <c r="B690">
        <v>149261</v>
      </c>
      <c r="C690">
        <v>7651</v>
      </c>
      <c r="D690">
        <v>2754</v>
      </c>
      <c r="E690">
        <f t="shared" si="698"/>
        <v>3194.64</v>
      </c>
      <c r="F690">
        <f t="shared" si="699"/>
        <v>0.41974121029930722</v>
      </c>
      <c r="G690">
        <f t="shared" si="700"/>
        <v>0.54428108581532053</v>
      </c>
      <c r="H690">
        <v>2.822886892780516E-2</v>
      </c>
      <c r="I690">
        <f t="shared" si="701"/>
        <v>7359.6435662391741</v>
      </c>
      <c r="J690">
        <f t="shared" si="702"/>
        <v>0.43589222467796762</v>
      </c>
      <c r="K690">
        <f t="shared" si="703"/>
        <v>1.669739900692227E-11</v>
      </c>
      <c r="L690">
        <f t="shared" ref="L690:M690" si="751">AVERAGE(G688:G690)</f>
        <v>0.53918391638094187</v>
      </c>
      <c r="M690">
        <f t="shared" si="751"/>
        <v>2.8697095611133955E-2</v>
      </c>
    </row>
    <row r="691" spans="1:13" x14ac:dyDescent="0.25">
      <c r="A691" s="18">
        <v>38504</v>
      </c>
      <c r="B691">
        <v>149238</v>
      </c>
      <c r="C691">
        <v>7524</v>
      </c>
      <c r="D691">
        <v>2659</v>
      </c>
      <c r="E691">
        <f t="shared" si="698"/>
        <v>3084.4399999999996</v>
      </c>
      <c r="F691">
        <f t="shared" si="699"/>
        <v>0.41160021265284408</v>
      </c>
      <c r="G691">
        <f t="shared" si="700"/>
        <v>0.53034865166356038</v>
      </c>
      <c r="H691">
        <v>2.7071536680442414E-2</v>
      </c>
      <c r="I691">
        <f t="shared" si="701"/>
        <v>7247.8573176875725</v>
      </c>
      <c r="J691">
        <f t="shared" si="702"/>
        <v>0.42731542189416538</v>
      </c>
      <c r="K691">
        <f t="shared" si="703"/>
        <v>7.1798927577087908E-10</v>
      </c>
      <c r="L691">
        <f t="shared" ref="L691:M691" si="752">AVERAGE(G689:G691)</f>
        <v>0.53929159525074233</v>
      </c>
      <c r="M691">
        <f t="shared" si="752"/>
        <v>2.8203560272329425E-2</v>
      </c>
    </row>
    <row r="692" spans="1:13" x14ac:dyDescent="0.25">
      <c r="A692" s="18">
        <v>38534</v>
      </c>
      <c r="B692">
        <v>149432</v>
      </c>
      <c r="C692">
        <v>7406</v>
      </c>
      <c r="D692">
        <v>2568</v>
      </c>
      <c r="E692">
        <f t="shared" si="698"/>
        <v>2978.8799999999997</v>
      </c>
      <c r="F692">
        <f t="shared" si="699"/>
        <v>0.41077504725897918</v>
      </c>
      <c r="G692">
        <f t="shared" si="700"/>
        <v>0.5289472450850079</v>
      </c>
      <c r="H692">
        <v>2.7022256142937504E-2</v>
      </c>
      <c r="I692">
        <f t="shared" si="701"/>
        <v>7262.9699489502682</v>
      </c>
      <c r="J692">
        <f t="shared" si="702"/>
        <v>0.42648403285826553</v>
      </c>
      <c r="K692">
        <f t="shared" si="703"/>
        <v>1.0884465215853356E-9</v>
      </c>
      <c r="L692">
        <f t="shared" ref="L692:M692" si="753">AVERAGE(G690:G692)</f>
        <v>0.5345256608546296</v>
      </c>
      <c r="M692">
        <f t="shared" si="753"/>
        <v>2.7440887250395025E-2</v>
      </c>
    </row>
    <row r="693" spans="1:13" x14ac:dyDescent="0.25">
      <c r="A693" s="18">
        <v>38565</v>
      </c>
      <c r="B693">
        <v>149779</v>
      </c>
      <c r="C693">
        <v>7345</v>
      </c>
      <c r="D693">
        <v>2570</v>
      </c>
      <c r="E693">
        <f t="shared" si="698"/>
        <v>2981.2</v>
      </c>
      <c r="F693">
        <f t="shared" si="699"/>
        <v>0.40804356705241662</v>
      </c>
      <c r="G693">
        <f t="shared" si="700"/>
        <v>0.52432223980017556</v>
      </c>
      <c r="H693">
        <v>2.8939472671327515E-2</v>
      </c>
      <c r="I693">
        <f t="shared" si="701"/>
        <v>7834.4934766510205</v>
      </c>
      <c r="J693">
        <f t="shared" si="702"/>
        <v>0.42492896832783333</v>
      </c>
      <c r="K693">
        <f t="shared" si="703"/>
        <v>1.7609334093022956E-9</v>
      </c>
      <c r="L693">
        <f t="shared" ref="L693:M693" si="754">AVERAGE(G691:G693)</f>
        <v>0.52787271218291465</v>
      </c>
      <c r="M693">
        <f t="shared" si="754"/>
        <v>2.7677755164902479E-2</v>
      </c>
    </row>
    <row r="694" spans="1:13" x14ac:dyDescent="0.25">
      <c r="A694" s="18">
        <v>38596</v>
      </c>
      <c r="B694">
        <v>149954</v>
      </c>
      <c r="C694">
        <v>7553</v>
      </c>
      <c r="D694">
        <v>2763</v>
      </c>
      <c r="E694">
        <f t="shared" si="698"/>
        <v>3205.08</v>
      </c>
      <c r="F694">
        <f t="shared" si="699"/>
        <v>0.43082748576724483</v>
      </c>
      <c r="G694">
        <f t="shared" si="700"/>
        <v>0.56357170234986964</v>
      </c>
      <c r="H694">
        <v>2.89613247972271E-2</v>
      </c>
      <c r="I694">
        <f t="shared" si="701"/>
        <v>7329.323935837373</v>
      </c>
      <c r="J694">
        <f t="shared" si="702"/>
        <v>0.44707506448196865</v>
      </c>
      <c r="K694">
        <f t="shared" si="703"/>
        <v>8.4482215563923501E-11</v>
      </c>
      <c r="L694">
        <f t="shared" ref="L694:M694" si="755">AVERAGE(G692:G694)</f>
        <v>0.53894706241168433</v>
      </c>
      <c r="M694">
        <f t="shared" si="755"/>
        <v>2.8307684537164039E-2</v>
      </c>
    </row>
    <row r="695" spans="1:13" x14ac:dyDescent="0.25">
      <c r="A695" s="18">
        <v>38626</v>
      </c>
      <c r="B695">
        <v>150001</v>
      </c>
      <c r="C695">
        <v>7453</v>
      </c>
      <c r="D695">
        <v>2719</v>
      </c>
      <c r="E695">
        <f t="shared" si="698"/>
        <v>3154.04</v>
      </c>
      <c r="F695">
        <f t="shared" si="699"/>
        <v>0.42421575204615591</v>
      </c>
      <c r="G695">
        <f t="shared" si="700"/>
        <v>0.55202225797950899</v>
      </c>
      <c r="H695">
        <v>2.9907623692917763E-2</v>
      </c>
      <c r="I695">
        <f t="shared" si="701"/>
        <v>7709.1306063685906</v>
      </c>
      <c r="J695">
        <f t="shared" si="702"/>
        <v>0.44118112904621276</v>
      </c>
      <c r="K695">
        <f t="shared" si="703"/>
        <v>9.7990478234904166E-11</v>
      </c>
      <c r="L695">
        <f t="shared" ref="L695:M695" si="756">AVERAGE(G693:G695)</f>
        <v>0.54663873337651803</v>
      </c>
      <c r="M695">
        <f t="shared" si="756"/>
        <v>2.9269473720490793E-2</v>
      </c>
    </row>
    <row r="696" spans="1:13" x14ac:dyDescent="0.25">
      <c r="A696" s="18">
        <v>38657</v>
      </c>
      <c r="B696">
        <v>150065</v>
      </c>
      <c r="C696">
        <v>7566</v>
      </c>
      <c r="D696">
        <v>2823</v>
      </c>
      <c r="E696">
        <f t="shared" si="698"/>
        <v>3274.68</v>
      </c>
      <c r="F696">
        <f t="shared" si="699"/>
        <v>0.4347184773988898</v>
      </c>
      <c r="G696">
        <f t="shared" si="700"/>
        <v>0.57043140184055685</v>
      </c>
      <c r="H696">
        <v>2.7611151955238347E-2</v>
      </c>
      <c r="I696">
        <f t="shared" si="701"/>
        <v>6928.382423398004</v>
      </c>
      <c r="J696">
        <f t="shared" si="702"/>
        <v>0.45011304255357776</v>
      </c>
      <c r="K696">
        <f t="shared" si="703"/>
        <v>1.5901302607235486E-10</v>
      </c>
      <c r="L696">
        <f t="shared" ref="L696:M696" si="757">AVERAGE(G694:G696)</f>
        <v>0.56200845405664523</v>
      </c>
      <c r="M696">
        <f t="shared" si="757"/>
        <v>2.882670014846107E-2</v>
      </c>
    </row>
    <row r="697" spans="1:13" x14ac:dyDescent="0.25">
      <c r="A697" s="18">
        <v>38687</v>
      </c>
      <c r="B697">
        <v>150030</v>
      </c>
      <c r="C697">
        <v>7279</v>
      </c>
      <c r="D697">
        <v>2588</v>
      </c>
      <c r="E697">
        <f t="shared" si="698"/>
        <v>3002.08</v>
      </c>
      <c r="F697">
        <f t="shared" si="699"/>
        <v>0.43224618766314049</v>
      </c>
      <c r="G697">
        <f t="shared" si="700"/>
        <v>0.56606738320288053</v>
      </c>
      <c r="H697">
        <v>2.6867773638829643E-2</v>
      </c>
      <c r="I697">
        <f t="shared" si="701"/>
        <v>6798.3354208657911</v>
      </c>
      <c r="J697">
        <f t="shared" si="702"/>
        <v>0.44729736731715131</v>
      </c>
      <c r="K697">
        <f t="shared" si="703"/>
        <v>6.5502720061717962E-13</v>
      </c>
      <c r="L697">
        <f t="shared" ref="L697:M697" si="758">AVERAGE(G695:G697)</f>
        <v>0.56284034767431546</v>
      </c>
      <c r="M697">
        <f t="shared" si="758"/>
        <v>2.8128849762328583E-2</v>
      </c>
    </row>
    <row r="698" spans="1:13" x14ac:dyDescent="0.25">
      <c r="A698" s="18">
        <v>38718</v>
      </c>
      <c r="B698">
        <v>150214</v>
      </c>
      <c r="C698">
        <v>7064</v>
      </c>
      <c r="D698">
        <v>2527</v>
      </c>
      <c r="E698">
        <f t="shared" si="698"/>
        <v>2931.3199999999997</v>
      </c>
      <c r="F698">
        <f t="shared" si="699"/>
        <v>0.40618912797281992</v>
      </c>
      <c r="G698">
        <f t="shared" si="700"/>
        <v>0.52119440757930147</v>
      </c>
      <c r="H698">
        <v>2.6808142064896127E-2</v>
      </c>
      <c r="I698">
        <f t="shared" si="701"/>
        <v>7348.4297741879045</v>
      </c>
      <c r="J698">
        <f t="shared" si="702"/>
        <v>0.42189660928931516</v>
      </c>
      <c r="K698">
        <f t="shared" si="703"/>
        <v>1.8223675807343153E-9</v>
      </c>
      <c r="L698">
        <f t="shared" ref="L698:M698" si="759">AVERAGE(G696:G698)</f>
        <v>0.55256439754091291</v>
      </c>
      <c r="M698">
        <f t="shared" si="759"/>
        <v>2.7095689219654703E-2</v>
      </c>
    </row>
    <row r="699" spans="1:13" x14ac:dyDescent="0.25">
      <c r="A699" s="18">
        <v>38749</v>
      </c>
      <c r="B699">
        <v>150641</v>
      </c>
      <c r="C699">
        <v>7184</v>
      </c>
      <c r="D699">
        <v>2577</v>
      </c>
      <c r="E699">
        <f t="shared" si="698"/>
        <v>2989.3199999999997</v>
      </c>
      <c r="F699">
        <f t="shared" si="699"/>
        <v>0.44493875278396433</v>
      </c>
      <c r="G699">
        <f t="shared" si="700"/>
        <v>0.58867681598019717</v>
      </c>
      <c r="H699">
        <v>2.8433357017958617E-2</v>
      </c>
      <c r="I699">
        <f t="shared" si="701"/>
        <v>6940.7854901058399</v>
      </c>
      <c r="J699">
        <f t="shared" si="702"/>
        <v>0.46049874766486176</v>
      </c>
      <c r="K699">
        <f t="shared" si="703"/>
        <v>5.1891999335042792E-10</v>
      </c>
      <c r="L699">
        <f t="shared" ref="L699:M699" si="760">AVERAGE(G697:G699)</f>
        <v>0.55864620225412642</v>
      </c>
      <c r="M699">
        <f t="shared" si="760"/>
        <v>2.7369757573894798E-2</v>
      </c>
    </row>
    <row r="700" spans="1:13" x14ac:dyDescent="0.25">
      <c r="A700" s="18">
        <v>38777</v>
      </c>
      <c r="B700">
        <v>150813</v>
      </c>
      <c r="C700">
        <v>7072</v>
      </c>
      <c r="D700">
        <v>2659</v>
      </c>
      <c r="E700">
        <f t="shared" si="698"/>
        <v>3084.4399999999996</v>
      </c>
      <c r="F700">
        <f t="shared" si="699"/>
        <v>0.4303450226244343</v>
      </c>
      <c r="G700">
        <f t="shared" si="700"/>
        <v>0.56272440427315551</v>
      </c>
      <c r="H700">
        <v>2.8128062158613892E-2</v>
      </c>
      <c r="I700">
        <f t="shared" si="701"/>
        <v>7179.5882717482154</v>
      </c>
      <c r="J700">
        <f t="shared" si="702"/>
        <v>0.44614505931061732</v>
      </c>
      <c r="K700">
        <f t="shared" si="703"/>
        <v>5.8176306028904115E-10</v>
      </c>
      <c r="L700">
        <f t="shared" ref="L700:M700" si="761">AVERAGE(G698:G700)</f>
        <v>0.55753187594421805</v>
      </c>
      <c r="M700">
        <f t="shared" si="761"/>
        <v>2.7789853747156212E-2</v>
      </c>
    </row>
    <row r="701" spans="1:13" x14ac:dyDescent="0.25">
      <c r="A701" s="18">
        <v>38808</v>
      </c>
      <c r="B701">
        <v>150881</v>
      </c>
      <c r="C701">
        <v>7120</v>
      </c>
      <c r="D701">
        <v>2665</v>
      </c>
      <c r="E701">
        <f t="shared" si="698"/>
        <v>3091.3999999999996</v>
      </c>
      <c r="F701">
        <f t="shared" si="699"/>
        <v>0.43429775280898875</v>
      </c>
      <c r="G701">
        <f t="shared" si="700"/>
        <v>0.56968740423326059</v>
      </c>
      <c r="H701">
        <v>2.6921650712523712E-2</v>
      </c>
      <c r="I701">
        <f t="shared" si="701"/>
        <v>6808.420937435174</v>
      </c>
      <c r="J701">
        <f t="shared" si="702"/>
        <v>0.44932421497581099</v>
      </c>
      <c r="K701">
        <f t="shared" si="703"/>
        <v>3.1293041433629919E-10</v>
      </c>
      <c r="L701">
        <f t="shared" ref="L701:M701" si="762">AVERAGE(G699:G701)</f>
        <v>0.57369620816220446</v>
      </c>
      <c r="M701">
        <f t="shared" si="762"/>
        <v>2.7827689963032073E-2</v>
      </c>
    </row>
    <row r="702" spans="1:13" x14ac:dyDescent="0.25">
      <c r="A702" s="18">
        <v>38838</v>
      </c>
      <c r="B702">
        <v>151069</v>
      </c>
      <c r="C702">
        <v>6980</v>
      </c>
      <c r="D702">
        <v>2545</v>
      </c>
      <c r="E702">
        <f t="shared" si="698"/>
        <v>2952.2</v>
      </c>
      <c r="F702">
        <f t="shared" si="699"/>
        <v>0.44653295128939829</v>
      </c>
      <c r="G702">
        <f t="shared" si="700"/>
        <v>0.59155306119708606</v>
      </c>
      <c r="H702">
        <v>2.8851778650509492E-2</v>
      </c>
      <c r="I702">
        <f t="shared" si="701"/>
        <v>7025.4277030213443</v>
      </c>
      <c r="J702">
        <f t="shared" si="702"/>
        <v>0.46227329967212138</v>
      </c>
      <c r="K702">
        <f t="shared" si="703"/>
        <v>2.0085128658051346E-10</v>
      </c>
      <c r="L702">
        <f t="shared" ref="L702:M702" si="763">AVERAGE(G700:G702)</f>
        <v>0.57465495656783405</v>
      </c>
      <c r="M702">
        <f t="shared" si="763"/>
        <v>2.7967163840549033E-2</v>
      </c>
    </row>
    <row r="703" spans="1:13" x14ac:dyDescent="0.25">
      <c r="A703" s="18">
        <v>38869</v>
      </c>
      <c r="B703">
        <v>151354</v>
      </c>
      <c r="C703">
        <v>7001</v>
      </c>
      <c r="D703">
        <v>2705</v>
      </c>
      <c r="E703">
        <f t="shared" si="698"/>
        <v>3137.7999999999997</v>
      </c>
      <c r="F703">
        <f t="shared" si="699"/>
        <v>0.42599057277531771</v>
      </c>
      <c r="G703">
        <f t="shared" si="700"/>
        <v>0.55510945906105846</v>
      </c>
      <c r="H703">
        <v>2.8513488326554454E-2</v>
      </c>
      <c r="I703">
        <f t="shared" si="701"/>
        <v>7394.5524786075612</v>
      </c>
      <c r="J703">
        <f t="shared" si="702"/>
        <v>0.44212644565024717</v>
      </c>
      <c r="K703">
        <f t="shared" si="703"/>
        <v>1.7186326601405989E-9</v>
      </c>
      <c r="L703">
        <f t="shared" ref="L703:M703" si="764">AVERAGE(G701:G703)</f>
        <v>0.57211664149713493</v>
      </c>
      <c r="M703">
        <f t="shared" si="764"/>
        <v>2.8095639229862551E-2</v>
      </c>
    </row>
    <row r="704" spans="1:13" x14ac:dyDescent="0.25">
      <c r="A704" s="18">
        <v>38899</v>
      </c>
      <c r="B704">
        <v>151377</v>
      </c>
      <c r="C704">
        <v>7175</v>
      </c>
      <c r="D704">
        <v>2721</v>
      </c>
      <c r="E704">
        <f t="shared" si="698"/>
        <v>3156.3599999999997</v>
      </c>
      <c r="F704">
        <f t="shared" si="699"/>
        <v>0.43254076655052265</v>
      </c>
      <c r="G704">
        <f t="shared" si="700"/>
        <v>0.5665863675381777</v>
      </c>
      <c r="H704">
        <v>2.7418852976945227E-2</v>
      </c>
      <c r="I704">
        <f t="shared" si="701"/>
        <v>6987.4532474506541</v>
      </c>
      <c r="J704">
        <f t="shared" si="702"/>
        <v>0.44788847800714304</v>
      </c>
      <c r="K704">
        <f t="shared" si="703"/>
        <v>8.7346898617260525E-10</v>
      </c>
      <c r="L704">
        <f t="shared" ref="L704:M704" si="765">AVERAGE(G702:G704)</f>
        <v>0.57108296259877411</v>
      </c>
      <c r="M704">
        <f t="shared" si="765"/>
        <v>2.8261373318003057E-2</v>
      </c>
    </row>
    <row r="705" spans="1:13" x14ac:dyDescent="0.25">
      <c r="A705" s="18">
        <v>38930</v>
      </c>
      <c r="B705">
        <v>151716</v>
      </c>
      <c r="C705">
        <v>7091</v>
      </c>
      <c r="D705">
        <v>2603</v>
      </c>
      <c r="E705">
        <f t="shared" si="698"/>
        <v>3019.48</v>
      </c>
      <c r="F705">
        <f t="shared" si="699"/>
        <v>0.46104639684106608</v>
      </c>
      <c r="G705">
        <f t="shared" si="700"/>
        <v>0.61812579126068856</v>
      </c>
      <c r="H705">
        <v>2.8016387343299566E-2</v>
      </c>
      <c r="I705">
        <f t="shared" si="701"/>
        <v>6578.3265091275398</v>
      </c>
      <c r="J705">
        <f t="shared" si="702"/>
        <v>0.47593637412355272</v>
      </c>
      <c r="K705">
        <f t="shared" si="703"/>
        <v>1.4171382716518767E-9</v>
      </c>
      <c r="L705">
        <f t="shared" ref="L705:M705" si="766">AVERAGE(G703:G705)</f>
        <v>0.57994053928664158</v>
      </c>
      <c r="M705">
        <f t="shared" si="766"/>
        <v>2.7982909548933083E-2</v>
      </c>
    </row>
    <row r="706" spans="1:13" x14ac:dyDescent="0.25">
      <c r="A706" s="18">
        <v>38961</v>
      </c>
      <c r="B706">
        <v>151662</v>
      </c>
      <c r="C706">
        <v>6847</v>
      </c>
      <c r="D706">
        <v>2608</v>
      </c>
      <c r="E706">
        <f t="shared" si="698"/>
        <v>3025.2799999999997</v>
      </c>
      <c r="F706">
        <f t="shared" si="699"/>
        <v>0.46072148386154521</v>
      </c>
      <c r="G706">
        <f t="shared" si="700"/>
        <v>0.61752311400123694</v>
      </c>
      <c r="H706">
        <v>2.8072408312306049E-2</v>
      </c>
      <c r="I706">
        <f t="shared" si="701"/>
        <v>6594.7136284399967</v>
      </c>
      <c r="J706">
        <f t="shared" si="702"/>
        <v>0.47564981312782451</v>
      </c>
      <c r="K706">
        <f t="shared" si="703"/>
        <v>1.1911324907739573E-9</v>
      </c>
      <c r="L706">
        <f t="shared" ref="L706:M706" si="767">AVERAGE(G704:G706)</f>
        <v>0.6007450909333677</v>
      </c>
      <c r="M706">
        <f t="shared" si="767"/>
        <v>2.7835882877516944E-2</v>
      </c>
    </row>
    <row r="707" spans="1:13" x14ac:dyDescent="0.25">
      <c r="A707" s="18">
        <v>38991</v>
      </c>
      <c r="B707">
        <v>152041</v>
      </c>
      <c r="C707">
        <v>6727</v>
      </c>
      <c r="D707">
        <v>2616</v>
      </c>
      <c r="E707">
        <f t="shared" ref="E707:E770" si="768">IF(A707&gt;A$554,1.16*D707,D707)</f>
        <v>3034.56</v>
      </c>
      <c r="F707">
        <f t="shared" ref="F707:F770" si="769">1 - ( (C708-E708)/C707 )</f>
        <v>0.41144046380258659</v>
      </c>
      <c r="G707">
        <f t="shared" ref="G707:G770" si="770">-LN(1-F707)</f>
        <v>0.53007719138784348</v>
      </c>
      <c r="H707">
        <v>2.5839550102187445E-2</v>
      </c>
      <c r="I707">
        <f t="shared" ref="I707:I770" si="771">H707*B707/(H707+G707)</f>
        <v>7067.0133562745623</v>
      </c>
      <c r="J707">
        <f t="shared" ref="J707:J770" si="772">1-EXP(-H707-G707)</f>
        <v>0.42645377350791869</v>
      </c>
      <c r="K707">
        <f t="shared" ref="K707:K770" si="773">( ( (J707*I707) + ( (1-J707)*C707 ) ) - C708 )^2</f>
        <v>4.483222073170166E-10</v>
      </c>
      <c r="L707">
        <f t="shared" ref="L707:M707" si="774">AVERAGE(G705:G707)</f>
        <v>0.58857536554992296</v>
      </c>
      <c r="M707">
        <f t="shared" si="774"/>
        <v>2.7309448585931023E-2</v>
      </c>
    </row>
    <row r="708" spans="1:13" x14ac:dyDescent="0.25">
      <c r="A708" s="18">
        <v>39022</v>
      </c>
      <c r="B708">
        <v>152406</v>
      </c>
      <c r="C708">
        <v>6872</v>
      </c>
      <c r="D708">
        <v>2511</v>
      </c>
      <c r="E708">
        <f t="shared" si="768"/>
        <v>2912.7599999999998</v>
      </c>
      <c r="F708">
        <f t="shared" si="769"/>
        <v>0.45421420256111755</v>
      </c>
      <c r="G708">
        <f t="shared" si="770"/>
        <v>0.60552869259486686</v>
      </c>
      <c r="H708">
        <v>2.7572407590042945E-2</v>
      </c>
      <c r="I708">
        <f t="shared" si="771"/>
        <v>6637.4870458142441</v>
      </c>
      <c r="J708">
        <f t="shared" si="772"/>
        <v>0.46905726125048974</v>
      </c>
      <c r="K708">
        <f t="shared" si="773"/>
        <v>1.6145385822358365E-11</v>
      </c>
      <c r="L708">
        <f t="shared" ref="L708:M708" si="775">AVERAGE(G706:G708)</f>
        <v>0.58437633266131572</v>
      </c>
      <c r="M708">
        <f t="shared" si="775"/>
        <v>2.7161455334845475E-2</v>
      </c>
    </row>
    <row r="709" spans="1:13" x14ac:dyDescent="0.25">
      <c r="A709" s="18">
        <v>39052</v>
      </c>
      <c r="B709">
        <v>152732</v>
      </c>
      <c r="C709">
        <v>6762</v>
      </c>
      <c r="D709">
        <v>2596</v>
      </c>
      <c r="E709">
        <f t="shared" si="768"/>
        <v>3011.3599999999997</v>
      </c>
      <c r="F709">
        <f t="shared" si="769"/>
        <v>0.38698018337769891</v>
      </c>
      <c r="G709">
        <f t="shared" si="770"/>
        <v>0.48935801628899378</v>
      </c>
      <c r="H709">
        <v>2.5772492878175506E-2</v>
      </c>
      <c r="I709">
        <f t="shared" si="771"/>
        <v>7641.3342099139863</v>
      </c>
      <c r="J709">
        <f t="shared" si="772"/>
        <v>0.40257737959846362</v>
      </c>
      <c r="K709">
        <f t="shared" si="773"/>
        <v>3.8462891656681662E-9</v>
      </c>
      <c r="L709">
        <f t="shared" ref="L709:M709" si="776">AVERAGE(G707:G709)</f>
        <v>0.5416546334239013</v>
      </c>
      <c r="M709">
        <f t="shared" si="776"/>
        <v>2.6394816856801968E-2</v>
      </c>
    </row>
    <row r="710" spans="1:13" x14ac:dyDescent="0.25">
      <c r="A710" s="18">
        <v>39083</v>
      </c>
      <c r="B710">
        <v>153144</v>
      </c>
      <c r="C710">
        <v>7116</v>
      </c>
      <c r="D710">
        <v>2561</v>
      </c>
      <c r="E710">
        <f t="shared" si="768"/>
        <v>2970.7599999999998</v>
      </c>
      <c r="F710">
        <f t="shared" si="769"/>
        <v>0.44615514333895445</v>
      </c>
      <c r="G710">
        <f t="shared" si="770"/>
        <v>0.59087067358204881</v>
      </c>
      <c r="H710">
        <v>2.7058272313499956E-2</v>
      </c>
      <c r="I710">
        <f t="shared" si="771"/>
        <v>6705.9685141842883</v>
      </c>
      <c r="J710">
        <f t="shared" si="772"/>
        <v>0.4609402958798603</v>
      </c>
      <c r="K710">
        <f t="shared" si="773"/>
        <v>1.1828064170518941E-9</v>
      </c>
      <c r="L710">
        <f t="shared" ref="L710:M710" si="777">AVERAGE(G708:G710)</f>
        <v>0.56191912748863648</v>
      </c>
      <c r="M710">
        <f t="shared" si="777"/>
        <v>2.6801057593906136E-2</v>
      </c>
    </row>
    <row r="711" spans="1:13" x14ac:dyDescent="0.25">
      <c r="A711" s="18">
        <v>39114</v>
      </c>
      <c r="B711">
        <v>152983</v>
      </c>
      <c r="C711">
        <v>6927</v>
      </c>
      <c r="D711">
        <v>2574</v>
      </c>
      <c r="E711">
        <f t="shared" si="768"/>
        <v>2985.8399999999997</v>
      </c>
      <c r="F711">
        <f t="shared" si="769"/>
        <v>0.41462682257831673</v>
      </c>
      <c r="G711">
        <f t="shared" si="770"/>
        <v>0.53550572500592053</v>
      </c>
      <c r="H711">
        <v>2.3645527223728563E-2</v>
      </c>
      <c r="I711">
        <f t="shared" si="771"/>
        <v>6469.3831532044542</v>
      </c>
      <c r="J711">
        <f t="shared" si="772"/>
        <v>0.42830591793188932</v>
      </c>
      <c r="K711">
        <f t="shared" si="773"/>
        <v>1.3161392899984564E-11</v>
      </c>
      <c r="L711">
        <f t="shared" ref="L711:M711" si="778">AVERAGE(G709:G711)</f>
        <v>0.53857813829232104</v>
      </c>
      <c r="M711">
        <f t="shared" si="778"/>
        <v>2.5492097471801339E-2</v>
      </c>
    </row>
    <row r="712" spans="1:13" x14ac:dyDescent="0.25">
      <c r="A712" s="18">
        <v>39142</v>
      </c>
      <c r="B712">
        <v>153051</v>
      </c>
      <c r="C712">
        <v>6731</v>
      </c>
      <c r="D712">
        <v>2307</v>
      </c>
      <c r="E712">
        <f t="shared" si="768"/>
        <v>2676.12</v>
      </c>
      <c r="F712">
        <f t="shared" si="769"/>
        <v>0.40558015153766147</v>
      </c>
      <c r="G712">
        <f t="shared" si="770"/>
        <v>0.52016939370282778</v>
      </c>
      <c r="H712">
        <v>2.4983799157624175E-2</v>
      </c>
      <c r="I712">
        <f t="shared" si="771"/>
        <v>7014.1668341147388</v>
      </c>
      <c r="J712">
        <f t="shared" si="772"/>
        <v>0.42024703747802172</v>
      </c>
      <c r="K712">
        <f t="shared" si="773"/>
        <v>5.3586459315118903E-10</v>
      </c>
      <c r="L712">
        <f t="shared" ref="L712:M712" si="779">AVERAGE(G710:G712)</f>
        <v>0.54884859743026571</v>
      </c>
      <c r="M712">
        <f t="shared" si="779"/>
        <v>2.5229199564950899E-2</v>
      </c>
    </row>
    <row r="713" spans="1:13" x14ac:dyDescent="0.25">
      <c r="A713" s="18">
        <v>39173</v>
      </c>
      <c r="B713">
        <v>152435</v>
      </c>
      <c r="C713">
        <v>6850</v>
      </c>
      <c r="D713">
        <v>2456</v>
      </c>
      <c r="E713">
        <f t="shared" si="768"/>
        <v>2848.9599999999996</v>
      </c>
      <c r="F713">
        <f t="shared" si="769"/>
        <v>0.42952408759124083</v>
      </c>
      <c r="G713">
        <f t="shared" si="770"/>
        <v>0.56128433246662723</v>
      </c>
      <c r="H713">
        <v>2.5646521586178025E-2</v>
      </c>
      <c r="I713">
        <f t="shared" si="771"/>
        <v>6660.7974193112068</v>
      </c>
      <c r="J713">
        <f t="shared" si="772"/>
        <v>0.44396879046671733</v>
      </c>
      <c r="K713">
        <f t="shared" si="773"/>
        <v>1.6729396330459102E-9</v>
      </c>
      <c r="L713">
        <f t="shared" ref="L713:M713" si="780">AVERAGE(G711:G713)</f>
        <v>0.53898648372512514</v>
      </c>
      <c r="M713">
        <f t="shared" si="780"/>
        <v>2.4758615989176922E-2</v>
      </c>
    </row>
    <row r="714" spans="1:13" x14ac:dyDescent="0.25">
      <c r="A714" s="18">
        <v>39203</v>
      </c>
      <c r="B714">
        <v>152670</v>
      </c>
      <c r="C714">
        <v>6766</v>
      </c>
      <c r="D714">
        <v>2464</v>
      </c>
      <c r="E714">
        <f t="shared" si="768"/>
        <v>2858.24</v>
      </c>
      <c r="F714">
        <f t="shared" si="769"/>
        <v>0.40587644102867271</v>
      </c>
      <c r="G714">
        <f t="shared" si="770"/>
        <v>0.52066796951469241</v>
      </c>
      <c r="H714">
        <v>2.6040019067683294E-2</v>
      </c>
      <c r="I714">
        <f t="shared" si="771"/>
        <v>7271.7607828849068</v>
      </c>
      <c r="J714">
        <f t="shared" si="772"/>
        <v>0.42114773452252308</v>
      </c>
      <c r="K714">
        <f t="shared" si="773"/>
        <v>6.2763082720717356E-11</v>
      </c>
      <c r="L714">
        <f t="shared" ref="L714:M714" si="781">AVERAGE(G712:G714)</f>
        <v>0.53404056522804921</v>
      </c>
      <c r="M714">
        <f t="shared" si="781"/>
        <v>2.5556779937161832E-2</v>
      </c>
    </row>
    <row r="715" spans="1:13" x14ac:dyDescent="0.25">
      <c r="A715" s="18">
        <v>39234</v>
      </c>
      <c r="B715">
        <v>153041</v>
      </c>
      <c r="C715">
        <v>6979</v>
      </c>
      <c r="D715">
        <v>2551</v>
      </c>
      <c r="E715">
        <f t="shared" si="768"/>
        <v>2959.16</v>
      </c>
      <c r="F715">
        <f t="shared" si="769"/>
        <v>0.3915059464106605</v>
      </c>
      <c r="G715">
        <f t="shared" si="770"/>
        <v>0.49676813884661036</v>
      </c>
      <c r="H715">
        <v>2.5230090696724355E-2</v>
      </c>
      <c r="I715">
        <f t="shared" si="771"/>
        <v>7397.0333456788931</v>
      </c>
      <c r="J715">
        <f t="shared" si="772"/>
        <v>0.40666625440619331</v>
      </c>
      <c r="K715">
        <f t="shared" si="773"/>
        <v>3.0144629569594784E-9</v>
      </c>
      <c r="L715">
        <f t="shared" ref="L715:M715" si="782">AVERAGE(G713:G715)</f>
        <v>0.52624014694264332</v>
      </c>
      <c r="M715">
        <f t="shared" si="782"/>
        <v>2.5638877116861889E-2</v>
      </c>
    </row>
    <row r="716" spans="1:13" x14ac:dyDescent="0.25">
      <c r="A716" s="18">
        <v>39264</v>
      </c>
      <c r="B716">
        <v>153054</v>
      </c>
      <c r="C716">
        <v>7149</v>
      </c>
      <c r="D716">
        <v>2502</v>
      </c>
      <c r="E716">
        <f t="shared" si="768"/>
        <v>2902.3199999999997</v>
      </c>
      <c r="F716">
        <f t="shared" si="769"/>
        <v>0.43561896768778852</v>
      </c>
      <c r="G716">
        <f t="shared" si="770"/>
        <v>0.57202566638568486</v>
      </c>
      <c r="H716">
        <v>2.728076569202911E-2</v>
      </c>
      <c r="I716">
        <f t="shared" si="771"/>
        <v>6967.1041202614397</v>
      </c>
      <c r="J716">
        <f t="shared" si="772"/>
        <v>0.45080759373007528</v>
      </c>
      <c r="K716">
        <f t="shared" si="773"/>
        <v>1.9232045122049117E-9</v>
      </c>
      <c r="L716">
        <f t="shared" ref="L716:M716" si="783">AVERAGE(G714:G716)</f>
        <v>0.52982059158232919</v>
      </c>
      <c r="M716">
        <f t="shared" si="783"/>
        <v>2.6183625152145586E-2</v>
      </c>
    </row>
    <row r="717" spans="1:13" x14ac:dyDescent="0.25">
      <c r="A717" s="18">
        <v>39295</v>
      </c>
      <c r="B717">
        <v>152749</v>
      </c>
      <c r="C717">
        <v>7067</v>
      </c>
      <c r="D717">
        <v>2614</v>
      </c>
      <c r="E717">
        <f t="shared" si="768"/>
        <v>3032.24</v>
      </c>
      <c r="F717">
        <f t="shared" si="769"/>
        <v>0.40513938021791418</v>
      </c>
      <c r="G717">
        <f t="shared" si="770"/>
        <v>0.51942815334498471</v>
      </c>
      <c r="H717">
        <v>2.6114661972270234E-2</v>
      </c>
      <c r="I717">
        <f t="shared" si="771"/>
        <v>7311.9623054380254</v>
      </c>
      <c r="J717">
        <f t="shared" si="772"/>
        <v>0.42047287825244262</v>
      </c>
      <c r="K717">
        <f t="shared" si="773"/>
        <v>3.1706809219893144E-11</v>
      </c>
      <c r="L717">
        <f t="shared" ref="L717:M717" si="784">AVERAGE(G715:G717)</f>
        <v>0.52940731952575992</v>
      </c>
      <c r="M717">
        <f t="shared" si="784"/>
        <v>2.6208506120341233E-2</v>
      </c>
    </row>
    <row r="718" spans="1:13" x14ac:dyDescent="0.25">
      <c r="A718" s="18">
        <v>39326</v>
      </c>
      <c r="B718">
        <v>153414</v>
      </c>
      <c r="C718">
        <v>7170</v>
      </c>
      <c r="D718">
        <v>2557</v>
      </c>
      <c r="E718">
        <f t="shared" si="768"/>
        <v>2966.12</v>
      </c>
      <c r="F718">
        <f t="shared" si="769"/>
        <v>0.40239888423988834</v>
      </c>
      <c r="G718">
        <f t="shared" si="770"/>
        <v>0.51483177809681258</v>
      </c>
      <c r="H718">
        <v>2.5834088348782654E-2</v>
      </c>
      <c r="I718">
        <f t="shared" si="771"/>
        <v>7330.4254548108265</v>
      </c>
      <c r="J718">
        <f t="shared" si="772"/>
        <v>0.41763965097325162</v>
      </c>
      <c r="K718">
        <f t="shared" si="773"/>
        <v>9.5817602063069683E-10</v>
      </c>
      <c r="L718">
        <f t="shared" ref="L718:M718" si="785">AVERAGE(G716:G718)</f>
        <v>0.53542853260916068</v>
      </c>
      <c r="M718">
        <f t="shared" si="785"/>
        <v>2.6409838671027336E-2</v>
      </c>
    </row>
    <row r="719" spans="1:13" x14ac:dyDescent="0.25">
      <c r="A719" s="18">
        <v>39356</v>
      </c>
      <c r="B719">
        <v>153183</v>
      </c>
      <c r="C719">
        <v>7237</v>
      </c>
      <c r="D719">
        <v>2545</v>
      </c>
      <c r="E719">
        <f t="shared" si="768"/>
        <v>2952.2</v>
      </c>
      <c r="F719">
        <f t="shared" si="769"/>
        <v>0.42354566809451433</v>
      </c>
      <c r="G719">
        <f t="shared" si="770"/>
        <v>0.55085915853310063</v>
      </c>
      <c r="H719">
        <v>2.7342428723142333E-2</v>
      </c>
      <c r="I719">
        <f t="shared" si="771"/>
        <v>7243.8321710122382</v>
      </c>
      <c r="J719">
        <f t="shared" si="772"/>
        <v>0.43909379909753588</v>
      </c>
      <c r="K719">
        <f t="shared" si="773"/>
        <v>1.30134446967474E-9</v>
      </c>
      <c r="L719">
        <f t="shared" ref="L719:M719" si="786">AVERAGE(G717:G719)</f>
        <v>0.5283730299916326</v>
      </c>
      <c r="M719">
        <f t="shared" si="786"/>
        <v>2.643039301473174E-2</v>
      </c>
    </row>
    <row r="720" spans="1:13" x14ac:dyDescent="0.25">
      <c r="A720" s="18">
        <v>39387</v>
      </c>
      <c r="B720">
        <v>153835</v>
      </c>
      <c r="C720">
        <v>7240</v>
      </c>
      <c r="D720">
        <v>2645</v>
      </c>
      <c r="E720">
        <f t="shared" si="768"/>
        <v>3068.2</v>
      </c>
      <c r="F720">
        <f t="shared" si="769"/>
        <v>0.37954143646408833</v>
      </c>
      <c r="G720">
        <f t="shared" si="770"/>
        <v>0.47729645571974094</v>
      </c>
      <c r="H720">
        <v>2.7090383660092619E-2</v>
      </c>
      <c r="I720">
        <f t="shared" si="771"/>
        <v>8262.4066390677744</v>
      </c>
      <c r="J720">
        <f t="shared" si="772"/>
        <v>0.39612426524809341</v>
      </c>
      <c r="K720">
        <f t="shared" si="773"/>
        <v>6.1914070246637992E-9</v>
      </c>
      <c r="L720">
        <f t="shared" ref="L720:M720" si="787">AVERAGE(G718:G720)</f>
        <v>0.51432913078321807</v>
      </c>
      <c r="M720">
        <f t="shared" si="787"/>
        <v>2.6755633577339202E-2</v>
      </c>
    </row>
    <row r="721" spans="1:13" x14ac:dyDescent="0.25">
      <c r="A721" s="18">
        <v>39417</v>
      </c>
      <c r="B721">
        <v>153918</v>
      </c>
      <c r="C721">
        <v>7645</v>
      </c>
      <c r="D721">
        <v>2718</v>
      </c>
      <c r="E721">
        <f t="shared" si="768"/>
        <v>3152.8799999999997</v>
      </c>
      <c r="F721">
        <f t="shared" si="769"/>
        <v>0.38229431000654013</v>
      </c>
      <c r="G721">
        <f t="shared" si="770"/>
        <v>0.48174316474191042</v>
      </c>
      <c r="H721">
        <v>2.5527103969889796E-2</v>
      </c>
      <c r="I721">
        <f t="shared" si="771"/>
        <v>7745.5373026597772</v>
      </c>
      <c r="J721">
        <f t="shared" si="772"/>
        <v>0.39786299030445571</v>
      </c>
      <c r="K721">
        <f t="shared" si="773"/>
        <v>5.1657802637124129E-9</v>
      </c>
      <c r="L721">
        <f t="shared" ref="L721:M721" si="788">AVERAGE(G719:G721)</f>
        <v>0.50329959299825067</v>
      </c>
      <c r="M721">
        <f t="shared" si="788"/>
        <v>2.6653305451041581E-2</v>
      </c>
    </row>
    <row r="722" spans="1:13" x14ac:dyDescent="0.25">
      <c r="A722" s="18">
        <v>39448</v>
      </c>
      <c r="B722">
        <v>154063</v>
      </c>
      <c r="C722">
        <v>7685</v>
      </c>
      <c r="D722">
        <v>2554</v>
      </c>
      <c r="E722">
        <f t="shared" si="768"/>
        <v>2962.64</v>
      </c>
      <c r="F722">
        <f t="shared" si="769"/>
        <v>0.42491607026675338</v>
      </c>
      <c r="G722">
        <f t="shared" si="770"/>
        <v>0.55323928408313239</v>
      </c>
      <c r="H722">
        <v>2.7352584599885089E-2</v>
      </c>
      <c r="I722">
        <f t="shared" si="771"/>
        <v>7258.147191711364</v>
      </c>
      <c r="J722">
        <f t="shared" si="772"/>
        <v>0.44043292169419668</v>
      </c>
      <c r="K722">
        <f t="shared" si="773"/>
        <v>8.6953839576305495E-10</v>
      </c>
      <c r="L722">
        <f t="shared" ref="L722:M722" si="789">AVERAGE(G720:G722)</f>
        <v>0.50409296818159455</v>
      </c>
      <c r="M722">
        <f t="shared" si="789"/>
        <v>2.6656690743289167E-2</v>
      </c>
    </row>
    <row r="723" spans="1:13" x14ac:dyDescent="0.25">
      <c r="A723" s="18">
        <v>39479</v>
      </c>
      <c r="B723">
        <v>153653</v>
      </c>
      <c r="C723">
        <v>7497</v>
      </c>
      <c r="D723">
        <v>2653</v>
      </c>
      <c r="E723">
        <f t="shared" si="768"/>
        <v>3077.4799999999996</v>
      </c>
      <c r="F723">
        <f t="shared" si="769"/>
        <v>0.39344804588502069</v>
      </c>
      <c r="G723">
        <f t="shared" si="770"/>
        <v>0.49996489208219563</v>
      </c>
      <c r="H723">
        <v>2.8508187817837184E-2</v>
      </c>
      <c r="I723">
        <f t="shared" si="771"/>
        <v>8288.7260475079202</v>
      </c>
      <c r="J723">
        <f t="shared" si="772"/>
        <v>0.41049559105130451</v>
      </c>
      <c r="K723">
        <f t="shared" si="773"/>
        <v>2.6855691184890037E-9</v>
      </c>
      <c r="L723">
        <f t="shared" ref="L723:M723" si="790">AVERAGE(G721:G723)</f>
        <v>0.51164911363574606</v>
      </c>
      <c r="M723">
        <f t="shared" si="790"/>
        <v>2.7129292129204025E-2</v>
      </c>
    </row>
    <row r="724" spans="1:13" x14ac:dyDescent="0.25">
      <c r="A724" s="18">
        <v>39508</v>
      </c>
      <c r="B724">
        <v>153908</v>
      </c>
      <c r="C724">
        <v>7822</v>
      </c>
      <c r="D724">
        <v>2823</v>
      </c>
      <c r="E724">
        <f t="shared" si="768"/>
        <v>3274.68</v>
      </c>
      <c r="F724">
        <f t="shared" si="769"/>
        <v>0.39336231142930189</v>
      </c>
      <c r="G724">
        <f t="shared" si="770"/>
        <v>0.49982355481249768</v>
      </c>
      <c r="H724">
        <v>2.5134729659672773E-2</v>
      </c>
      <c r="I724">
        <f t="shared" si="771"/>
        <v>7369.0350012296913</v>
      </c>
      <c r="J724">
        <f t="shared" si="772"/>
        <v>0.40841995807420484</v>
      </c>
      <c r="K724">
        <f t="shared" si="773"/>
        <v>2.9368973520772379E-9</v>
      </c>
      <c r="L724">
        <f t="shared" ref="L724:M724" si="791">AVERAGE(G722:G724)</f>
        <v>0.51767591032594196</v>
      </c>
      <c r="M724">
        <f t="shared" si="791"/>
        <v>2.6998500692465014E-2</v>
      </c>
    </row>
    <row r="725" spans="1:13" x14ac:dyDescent="0.25">
      <c r="A725" s="18">
        <v>39539</v>
      </c>
      <c r="B725">
        <v>153769</v>
      </c>
      <c r="C725">
        <v>7637</v>
      </c>
      <c r="D725">
        <v>2493</v>
      </c>
      <c r="E725">
        <f t="shared" si="768"/>
        <v>2891.8799999999997</v>
      </c>
      <c r="F725">
        <f t="shared" si="769"/>
        <v>0.39864868403823484</v>
      </c>
      <c r="G725">
        <f t="shared" si="770"/>
        <v>0.50857596288207529</v>
      </c>
      <c r="H725">
        <v>3.3297443157760127E-2</v>
      </c>
      <c r="I725">
        <f t="shared" si="771"/>
        <v>9448.9127531555132</v>
      </c>
      <c r="J725">
        <f t="shared" si="772"/>
        <v>0.4183424497387499</v>
      </c>
      <c r="K725">
        <f t="shared" si="773"/>
        <v>3.9473579696959708E-10</v>
      </c>
      <c r="L725">
        <f t="shared" ref="L725:M725" si="792">AVERAGE(G723:G725)</f>
        <v>0.5027881365922563</v>
      </c>
      <c r="M725">
        <f t="shared" si="792"/>
        <v>2.8980120211756694E-2</v>
      </c>
    </row>
    <row r="726" spans="1:13" x14ac:dyDescent="0.25">
      <c r="A726" s="18">
        <v>39569</v>
      </c>
      <c r="B726">
        <v>154303</v>
      </c>
      <c r="C726">
        <v>8395</v>
      </c>
      <c r="D726">
        <v>3278</v>
      </c>
      <c r="E726">
        <f t="shared" si="768"/>
        <v>3802.4799999999996</v>
      </c>
      <c r="F726">
        <f t="shared" si="769"/>
        <v>0.35896128648004755</v>
      </c>
      <c r="G726">
        <f t="shared" si="770"/>
        <v>0.44466542837825612</v>
      </c>
      <c r="H726">
        <v>2.7131854715566544E-2</v>
      </c>
      <c r="I726">
        <f t="shared" si="771"/>
        <v>8873.5707648056177</v>
      </c>
      <c r="J726">
        <f t="shared" si="772"/>
        <v>0.37612002888271756</v>
      </c>
      <c r="K726">
        <f t="shared" si="773"/>
        <v>2.4881254568103665E-9</v>
      </c>
      <c r="L726">
        <f t="shared" ref="L726:M726" si="793">AVERAGE(G724:G726)</f>
        <v>0.48435498202427635</v>
      </c>
      <c r="M726">
        <f t="shared" si="793"/>
        <v>2.8521342510999817E-2</v>
      </c>
    </row>
    <row r="727" spans="1:13" x14ac:dyDescent="0.25">
      <c r="A727" s="18">
        <v>39600</v>
      </c>
      <c r="B727">
        <v>154313</v>
      </c>
      <c r="C727">
        <v>8575</v>
      </c>
      <c r="D727">
        <v>2753</v>
      </c>
      <c r="E727">
        <f t="shared" si="768"/>
        <v>3193.4799999999996</v>
      </c>
      <c r="F727">
        <f t="shared" si="769"/>
        <v>0.34386472303206994</v>
      </c>
      <c r="G727">
        <f t="shared" si="770"/>
        <v>0.42138829640727854</v>
      </c>
      <c r="H727">
        <v>2.7877356420571531E-2</v>
      </c>
      <c r="I727">
        <f t="shared" si="771"/>
        <v>9575.2668254299788</v>
      </c>
      <c r="J727">
        <f t="shared" si="772"/>
        <v>0.36190343598059016</v>
      </c>
      <c r="K727">
        <f t="shared" si="773"/>
        <v>1.0414321002469263E-12</v>
      </c>
      <c r="L727">
        <f t="shared" ref="L727:M727" si="794">AVERAGE(G725:G727)</f>
        <v>0.45820989588920336</v>
      </c>
      <c r="M727">
        <f t="shared" si="794"/>
        <v>2.94355514312994E-2</v>
      </c>
    </row>
    <row r="728" spans="1:13" x14ac:dyDescent="0.25">
      <c r="A728" s="18">
        <v>39630</v>
      </c>
      <c r="B728">
        <v>154469</v>
      </c>
      <c r="C728">
        <v>8937</v>
      </c>
      <c r="D728">
        <v>2854</v>
      </c>
      <c r="E728">
        <f t="shared" si="768"/>
        <v>3310.64</v>
      </c>
      <c r="F728">
        <f t="shared" si="769"/>
        <v>0.36656148595725624</v>
      </c>
      <c r="G728">
        <f t="shared" si="770"/>
        <v>0.45659234148027633</v>
      </c>
      <c r="H728">
        <v>3.2391497479791434E-2</v>
      </c>
      <c r="I728">
        <f t="shared" si="771"/>
        <v>10232.408160660103</v>
      </c>
      <c r="J728">
        <f t="shared" si="772"/>
        <v>0.3867507623407378</v>
      </c>
      <c r="K728">
        <f t="shared" si="773"/>
        <v>8.7755127700521862E-9</v>
      </c>
      <c r="L728">
        <f t="shared" ref="L728:M728" si="795">AVERAGE(G726:G728)</f>
        <v>0.44088202208860366</v>
      </c>
      <c r="M728">
        <f t="shared" si="795"/>
        <v>2.913356953864317E-2</v>
      </c>
    </row>
    <row r="729" spans="1:13" x14ac:dyDescent="0.25">
      <c r="A729" s="18">
        <v>39661</v>
      </c>
      <c r="B729">
        <v>154641</v>
      </c>
      <c r="C729">
        <v>9438</v>
      </c>
      <c r="D729">
        <v>3256</v>
      </c>
      <c r="E729">
        <f t="shared" si="768"/>
        <v>3776.9599999999996</v>
      </c>
      <c r="F729">
        <f t="shared" si="769"/>
        <v>0.34410680228862045</v>
      </c>
      <c r="G729">
        <f t="shared" si="770"/>
        <v>0.42175731165956831</v>
      </c>
      <c r="H729">
        <v>2.7892509730935874E-2</v>
      </c>
      <c r="I729">
        <f t="shared" si="771"/>
        <v>9592.6327379894392</v>
      </c>
      <c r="J729">
        <f t="shared" si="772"/>
        <v>0.3621485255395579</v>
      </c>
      <c r="K729">
        <f t="shared" si="773"/>
        <v>3.2627267434468061E-10</v>
      </c>
      <c r="L729">
        <f t="shared" ref="L729:M729" si="796">AVERAGE(G727:G729)</f>
        <v>0.43324598318237434</v>
      </c>
      <c r="M729">
        <f t="shared" si="796"/>
        <v>2.9387121210432948E-2</v>
      </c>
    </row>
    <row r="730" spans="1:13" x14ac:dyDescent="0.25">
      <c r="A730" s="18">
        <v>39692</v>
      </c>
      <c r="B730">
        <v>154570</v>
      </c>
      <c r="C730">
        <v>9494</v>
      </c>
      <c r="D730">
        <v>2848</v>
      </c>
      <c r="E730">
        <f t="shared" si="768"/>
        <v>3303.68</v>
      </c>
      <c r="F730">
        <f t="shared" si="769"/>
        <v>0.32622709079418577</v>
      </c>
      <c r="G730">
        <f t="shared" si="770"/>
        <v>0.39486215480518239</v>
      </c>
      <c r="H730">
        <v>3.074924577777911E-2</v>
      </c>
      <c r="I730">
        <f t="shared" si="771"/>
        <v>11167.254714890714</v>
      </c>
      <c r="J730">
        <f t="shared" si="772"/>
        <v>0.3466298079297413</v>
      </c>
      <c r="K730">
        <f t="shared" si="773"/>
        <v>1.5649855409504975E-9</v>
      </c>
      <c r="L730">
        <f t="shared" ref="L730:M730" si="797">AVERAGE(G728:G730)</f>
        <v>0.42440393598167575</v>
      </c>
      <c r="M730">
        <f t="shared" si="797"/>
        <v>3.0344417662835476E-2</v>
      </c>
    </row>
    <row r="731" spans="1:13" x14ac:dyDescent="0.25">
      <c r="A731" s="18">
        <v>39722</v>
      </c>
      <c r="B731">
        <v>154876</v>
      </c>
      <c r="C731">
        <v>10074</v>
      </c>
      <c r="D731">
        <v>3170</v>
      </c>
      <c r="E731">
        <f t="shared" si="768"/>
        <v>3677.2</v>
      </c>
      <c r="F731">
        <f t="shared" si="769"/>
        <v>0.33795910264046058</v>
      </c>
      <c r="G731">
        <f t="shared" si="770"/>
        <v>0.41242794646461084</v>
      </c>
      <c r="H731">
        <v>3.2663190100302372E-2</v>
      </c>
      <c r="I731">
        <f t="shared" si="771"/>
        <v>11365.636864882052</v>
      </c>
      <c r="J731">
        <f t="shared" si="772"/>
        <v>0.35923412382969</v>
      </c>
      <c r="K731">
        <f t="shared" si="773"/>
        <v>1.403403856279975E-9</v>
      </c>
      <c r="L731">
        <f t="shared" ref="L731:M731" si="798">AVERAGE(G729:G731)</f>
        <v>0.40968247097645388</v>
      </c>
      <c r="M731">
        <f t="shared" si="798"/>
        <v>3.0434981869672455E-2</v>
      </c>
    </row>
    <row r="732" spans="1:13" x14ac:dyDescent="0.25">
      <c r="A732" s="18">
        <v>39753</v>
      </c>
      <c r="B732">
        <v>154639</v>
      </c>
      <c r="C732">
        <v>10538</v>
      </c>
      <c r="D732">
        <v>3335</v>
      </c>
      <c r="E732">
        <f t="shared" si="768"/>
        <v>3868.6</v>
      </c>
      <c r="F732">
        <f t="shared" si="769"/>
        <v>0.28732207249952546</v>
      </c>
      <c r="G732">
        <f t="shared" si="770"/>
        <v>0.33872567520719821</v>
      </c>
      <c r="H732">
        <v>3.0980087435813083E-2</v>
      </c>
      <c r="I732">
        <f t="shared" si="771"/>
        <v>12958.223065656239</v>
      </c>
      <c r="J732">
        <f t="shared" si="772"/>
        <v>0.30906239961550719</v>
      </c>
      <c r="K732">
        <f t="shared" si="773"/>
        <v>2.6753187889048261E-9</v>
      </c>
      <c r="L732">
        <f t="shared" ref="L732:M732" si="799">AVERAGE(G730:G732)</f>
        <v>0.38200525882566377</v>
      </c>
      <c r="M732">
        <f t="shared" si="799"/>
        <v>3.1464174437964856E-2</v>
      </c>
    </row>
    <row r="733" spans="1:13" x14ac:dyDescent="0.25">
      <c r="A733" s="18">
        <v>39783</v>
      </c>
      <c r="B733">
        <v>154655</v>
      </c>
      <c r="C733">
        <v>11286</v>
      </c>
      <c r="D733">
        <v>3255</v>
      </c>
      <c r="E733">
        <f t="shared" si="768"/>
        <v>3775.7999999999997</v>
      </c>
      <c r="F733">
        <f t="shared" si="769"/>
        <v>0.29255715045188724</v>
      </c>
      <c r="G733">
        <f t="shared" si="770"/>
        <v>0.34609843075133351</v>
      </c>
      <c r="H733">
        <v>3.3893328750791638E-2</v>
      </c>
      <c r="I733">
        <f t="shared" si="771"/>
        <v>13794.437976290812</v>
      </c>
      <c r="J733">
        <f t="shared" si="772"/>
        <v>0.31613295540593567</v>
      </c>
      <c r="K733">
        <f t="shared" si="773"/>
        <v>7.9392913553583521E-9</v>
      </c>
      <c r="L733">
        <f t="shared" ref="L733:M733" si="800">AVERAGE(G731:G733)</f>
        <v>0.36575068414104756</v>
      </c>
      <c r="M733">
        <f t="shared" si="800"/>
        <v>3.2512202095635698E-2</v>
      </c>
    </row>
    <row r="734" spans="1:13" x14ac:dyDescent="0.25">
      <c r="A734" s="18">
        <v>39814</v>
      </c>
      <c r="B734">
        <v>154232</v>
      </c>
      <c r="C734">
        <v>12079</v>
      </c>
      <c r="D734">
        <v>3530</v>
      </c>
      <c r="E734">
        <f t="shared" si="768"/>
        <v>4094.7999999999997</v>
      </c>
      <c r="F734">
        <f t="shared" si="769"/>
        <v>0.26357811077075921</v>
      </c>
      <c r="G734">
        <f t="shared" si="770"/>
        <v>0.30595210541908274</v>
      </c>
      <c r="H734">
        <v>3.2648075980607594E-2</v>
      </c>
      <c r="I734">
        <f t="shared" si="771"/>
        <v>14871.161715938986</v>
      </c>
      <c r="J734">
        <f t="shared" si="772"/>
        <v>0.28723263022076795</v>
      </c>
      <c r="K734">
        <f t="shared" si="773"/>
        <v>2.146386505064447E-9</v>
      </c>
      <c r="L734">
        <f t="shared" ref="L734:M734" si="801">AVERAGE(G732:G734)</f>
        <v>0.33025873712587145</v>
      </c>
      <c r="M734">
        <f t="shared" si="801"/>
        <v>3.2507164055737441E-2</v>
      </c>
    </row>
    <row r="735" spans="1:13" x14ac:dyDescent="0.25">
      <c r="A735" s="18">
        <v>39845</v>
      </c>
      <c r="B735">
        <v>154526</v>
      </c>
      <c r="C735">
        <v>12881</v>
      </c>
      <c r="D735">
        <v>3436</v>
      </c>
      <c r="E735">
        <f t="shared" si="768"/>
        <v>3985.7599999999998</v>
      </c>
      <c r="F735">
        <f t="shared" si="769"/>
        <v>0.26615635432031681</v>
      </c>
      <c r="G735">
        <f t="shared" si="770"/>
        <v>0.3094592898440921</v>
      </c>
      <c r="H735">
        <v>3.2643362173296643E-2</v>
      </c>
      <c r="I735">
        <f t="shared" si="771"/>
        <v>14744.83799948573</v>
      </c>
      <c r="J735">
        <f t="shared" si="772"/>
        <v>0.28972471022458812</v>
      </c>
      <c r="K735">
        <f t="shared" si="773"/>
        <v>5.7294939089328043E-9</v>
      </c>
      <c r="L735">
        <f t="shared" ref="L735:M735" si="802">AVERAGE(G733:G735)</f>
        <v>0.32050327533816947</v>
      </c>
      <c r="M735">
        <f t="shared" si="802"/>
        <v>3.3061588968231963E-2</v>
      </c>
    </row>
    <row r="736" spans="1:13" x14ac:dyDescent="0.25">
      <c r="A736" s="18">
        <v>39873</v>
      </c>
      <c r="B736">
        <v>154142</v>
      </c>
      <c r="C736">
        <v>13421</v>
      </c>
      <c r="D736">
        <v>3421</v>
      </c>
      <c r="E736">
        <f t="shared" si="768"/>
        <v>3968.3599999999997</v>
      </c>
      <c r="F736">
        <f t="shared" si="769"/>
        <v>0.25824603233738175</v>
      </c>
      <c r="G736">
        <f t="shared" si="770"/>
        <v>0.29873767076906677</v>
      </c>
      <c r="H736">
        <v>3.1871496086348344E-2</v>
      </c>
      <c r="I736">
        <f t="shared" si="771"/>
        <v>14859.64892162348</v>
      </c>
      <c r="J736">
        <f t="shared" si="772"/>
        <v>0.28151407771449344</v>
      </c>
      <c r="K736">
        <f t="shared" si="773"/>
        <v>5.7265869101126978E-9</v>
      </c>
      <c r="L736">
        <f t="shared" ref="L736:M736" si="803">AVERAGE(G734:G736)</f>
        <v>0.30471635534408054</v>
      </c>
      <c r="M736">
        <f t="shared" si="803"/>
        <v>3.2387644746750856E-2</v>
      </c>
    </row>
    <row r="737" spans="1:13" x14ac:dyDescent="0.25">
      <c r="A737" s="18">
        <v>39904</v>
      </c>
      <c r="B737">
        <v>154479</v>
      </c>
      <c r="C737">
        <v>13826</v>
      </c>
      <c r="D737">
        <v>3337</v>
      </c>
      <c r="E737">
        <f t="shared" si="768"/>
        <v>3870.9199999999996</v>
      </c>
      <c r="F737">
        <f t="shared" si="769"/>
        <v>0.22416895703746564</v>
      </c>
      <c r="G737">
        <f t="shared" si="770"/>
        <v>0.25382051064619504</v>
      </c>
      <c r="H737">
        <v>3.0389978231504643E-2</v>
      </c>
      <c r="I737">
        <f t="shared" si="771"/>
        <v>16518.086527217416</v>
      </c>
      <c r="J737">
        <f t="shared" si="772"/>
        <v>0.247391787625311</v>
      </c>
      <c r="K737">
        <f t="shared" si="773"/>
        <v>9.6845937437764344E-9</v>
      </c>
      <c r="L737">
        <f t="shared" ref="L737:M737" si="804">AVERAGE(G735:G737)</f>
        <v>0.2873391570864513</v>
      </c>
      <c r="M737">
        <f t="shared" si="804"/>
        <v>3.1634945497049878E-2</v>
      </c>
    </row>
    <row r="738" spans="1:13" x14ac:dyDescent="0.25">
      <c r="A738" s="18">
        <v>39934</v>
      </c>
      <c r="B738">
        <v>154742</v>
      </c>
      <c r="C738">
        <v>14492</v>
      </c>
      <c r="D738">
        <v>3246</v>
      </c>
      <c r="E738">
        <f t="shared" si="768"/>
        <v>3765.3599999999997</v>
      </c>
      <c r="F738">
        <f t="shared" si="769"/>
        <v>0.2360005520287054</v>
      </c>
      <c r="G738">
        <f t="shared" si="770"/>
        <v>0.26918821236653911</v>
      </c>
      <c r="H738">
        <v>2.9572018239493274E-2</v>
      </c>
      <c r="I738">
        <f t="shared" si="771"/>
        <v>15316.741579470689</v>
      </c>
      <c r="J738">
        <f t="shared" si="772"/>
        <v>0.25826276599720577</v>
      </c>
      <c r="K738">
        <f t="shared" si="773"/>
        <v>1.7261535415833911E-9</v>
      </c>
      <c r="L738">
        <f t="shared" ref="L738:M738" si="805">AVERAGE(G736:G738)</f>
        <v>0.27391546459393362</v>
      </c>
      <c r="M738">
        <f t="shared" si="805"/>
        <v>3.0611164185782091E-2</v>
      </c>
    </row>
    <row r="739" spans="1:13" x14ac:dyDescent="0.25">
      <c r="A739" s="18">
        <v>39965</v>
      </c>
      <c r="B739">
        <v>154710</v>
      </c>
      <c r="C739">
        <v>14705</v>
      </c>
      <c r="D739">
        <v>3132</v>
      </c>
      <c r="E739">
        <f t="shared" si="768"/>
        <v>3633.12</v>
      </c>
      <c r="F739">
        <f t="shared" si="769"/>
        <v>0.25404692281536889</v>
      </c>
      <c r="G739">
        <f t="shared" si="770"/>
        <v>0.29309257997292704</v>
      </c>
      <c r="H739">
        <v>2.9964970136790135E-2</v>
      </c>
      <c r="I739">
        <f t="shared" si="771"/>
        <v>14350.014504500388</v>
      </c>
      <c r="J739">
        <f t="shared" si="772"/>
        <v>0.27606780920795271</v>
      </c>
      <c r="K739">
        <f t="shared" si="773"/>
        <v>4.629874146374816E-9</v>
      </c>
      <c r="L739">
        <f t="shared" ref="L739:M739" si="806">AVERAGE(G737:G739)</f>
        <v>0.27203376766188708</v>
      </c>
      <c r="M739">
        <f t="shared" si="806"/>
        <v>2.997565553592935E-2</v>
      </c>
    </row>
    <row r="740" spans="1:13" x14ac:dyDescent="0.25">
      <c r="A740" s="18">
        <v>39995</v>
      </c>
      <c r="B740">
        <v>154505</v>
      </c>
      <c r="C740">
        <v>14607</v>
      </c>
      <c r="D740">
        <v>3136</v>
      </c>
      <c r="E740">
        <f t="shared" si="768"/>
        <v>3637.7599999999998</v>
      </c>
      <c r="F740">
        <f t="shared" si="769"/>
        <v>0.21999589238036554</v>
      </c>
      <c r="G740">
        <f t="shared" si="770"/>
        <v>0.24845609313334738</v>
      </c>
      <c r="H740">
        <v>2.7675975400599843E-2</v>
      </c>
      <c r="I740">
        <f t="shared" si="771"/>
        <v>15485.621072454265</v>
      </c>
      <c r="J740">
        <f t="shared" si="772"/>
        <v>0.2412872779327111</v>
      </c>
      <c r="K740">
        <f t="shared" si="773"/>
        <v>7.5527932879891193E-9</v>
      </c>
      <c r="L740">
        <f t="shared" ref="L740:M740" si="807">AVERAGE(G738:G740)</f>
        <v>0.27024562849093786</v>
      </c>
      <c r="M740">
        <f t="shared" si="807"/>
        <v>2.9070987925627751E-2</v>
      </c>
    </row>
    <row r="741" spans="1:13" x14ac:dyDescent="0.25">
      <c r="A741" s="18">
        <v>40026</v>
      </c>
      <c r="B741">
        <v>154300</v>
      </c>
      <c r="C741">
        <v>14819</v>
      </c>
      <c r="D741">
        <v>2953</v>
      </c>
      <c r="E741">
        <f t="shared" si="768"/>
        <v>3425.4799999999996</v>
      </c>
      <c r="F741">
        <f t="shared" si="769"/>
        <v>0.21014913286996428</v>
      </c>
      <c r="G741">
        <f t="shared" si="770"/>
        <v>0.235911127126226</v>
      </c>
      <c r="H741">
        <v>2.6580290436467844E-2</v>
      </c>
      <c r="I741">
        <f t="shared" si="771"/>
        <v>15624.658712384067</v>
      </c>
      <c r="J741">
        <f t="shared" si="772"/>
        <v>0.23086703462430047</v>
      </c>
      <c r="K741">
        <f t="shared" si="773"/>
        <v>1.4324213921982818E-9</v>
      </c>
      <c r="L741">
        <f t="shared" ref="L741:M741" si="808">AVERAGE(G739:G741)</f>
        <v>0.25915326674416678</v>
      </c>
      <c r="M741">
        <f t="shared" si="808"/>
        <v>2.8073745324619273E-2</v>
      </c>
    </row>
    <row r="742" spans="1:13" x14ac:dyDescent="0.25">
      <c r="A742" s="18">
        <v>40057</v>
      </c>
      <c r="B742">
        <v>153815</v>
      </c>
      <c r="C742">
        <v>15005</v>
      </c>
      <c r="D742">
        <v>2845</v>
      </c>
      <c r="E742">
        <f t="shared" si="768"/>
        <v>3300.2</v>
      </c>
      <c r="F742">
        <f t="shared" si="769"/>
        <v>0.22457847384205265</v>
      </c>
      <c r="G742">
        <f t="shared" si="770"/>
        <v>0.25434849277141719</v>
      </c>
      <c r="H742">
        <v>3.0615680432985612E-2</v>
      </c>
      <c r="I742">
        <f t="shared" si="771"/>
        <v>16525.413819027141</v>
      </c>
      <c r="J742">
        <f t="shared" si="772"/>
        <v>0.24795880293700845</v>
      </c>
      <c r="K742">
        <f t="shared" si="773"/>
        <v>8.9588952893586944E-11</v>
      </c>
      <c r="L742">
        <f t="shared" ref="L742:M742" si="809">AVERAGE(G740:G742)</f>
        <v>0.24623857101033017</v>
      </c>
      <c r="M742">
        <f t="shared" si="809"/>
        <v>2.8290648756684435E-2</v>
      </c>
    </row>
    <row r="743" spans="1:13" x14ac:dyDescent="0.25">
      <c r="A743" s="18">
        <v>40087</v>
      </c>
      <c r="B743">
        <v>153804</v>
      </c>
      <c r="C743">
        <v>15382</v>
      </c>
      <c r="D743">
        <v>3230</v>
      </c>
      <c r="E743">
        <f t="shared" si="768"/>
        <v>3746.7999999999997</v>
      </c>
      <c r="F743">
        <f t="shared" si="769"/>
        <v>0.22239760759329086</v>
      </c>
      <c r="G743">
        <f t="shared" si="770"/>
        <v>0.2515399491859221</v>
      </c>
      <c r="H743">
        <v>2.6636289860070956E-2</v>
      </c>
      <c r="I743">
        <f t="shared" si="771"/>
        <v>14727.238888872183</v>
      </c>
      <c r="J743">
        <f t="shared" si="772"/>
        <v>0.24283663199481675</v>
      </c>
      <c r="K743">
        <f t="shared" si="773"/>
        <v>2.8942640745638181E-10</v>
      </c>
      <c r="L743">
        <f t="shared" ref="L743:M743" si="810">AVERAGE(G741:G743)</f>
        <v>0.2472665230278551</v>
      </c>
      <c r="M743">
        <f t="shared" si="810"/>
        <v>2.7944086909841469E-2</v>
      </c>
    </row>
    <row r="744" spans="1:13" x14ac:dyDescent="0.25">
      <c r="A744" s="18">
        <v>40118</v>
      </c>
      <c r="B744">
        <v>153887</v>
      </c>
      <c r="C744">
        <v>15223</v>
      </c>
      <c r="D744">
        <v>2812</v>
      </c>
      <c r="E744">
        <f t="shared" si="768"/>
        <v>3261.9199999999996</v>
      </c>
      <c r="F744">
        <f t="shared" si="769"/>
        <v>0.22786572948827433</v>
      </c>
      <c r="G744">
        <f t="shared" si="770"/>
        <v>0.25859681854732952</v>
      </c>
      <c r="H744">
        <v>2.7328284989624183E-2</v>
      </c>
      <c r="I744">
        <f t="shared" si="771"/>
        <v>14708.284582835766</v>
      </c>
      <c r="J744">
        <f t="shared" si="772"/>
        <v>0.24868111503321166</v>
      </c>
      <c r="K744">
        <f t="shared" si="773"/>
        <v>1.4939656131766056E-11</v>
      </c>
      <c r="L744">
        <f t="shared" ref="L744:M744" si="811">AVERAGE(G742:G744)</f>
        <v>0.25482842016822294</v>
      </c>
      <c r="M744">
        <f t="shared" si="811"/>
        <v>2.8193418427560249E-2</v>
      </c>
    </row>
    <row r="745" spans="1:13" x14ac:dyDescent="0.25">
      <c r="A745" s="18">
        <v>40148</v>
      </c>
      <c r="B745">
        <v>153120</v>
      </c>
      <c r="C745">
        <v>15095</v>
      </c>
      <c r="D745">
        <v>2880</v>
      </c>
      <c r="E745">
        <f t="shared" si="768"/>
        <v>3340.7999999999997</v>
      </c>
      <c r="F745">
        <f t="shared" si="769"/>
        <v>0.23100894335872801</v>
      </c>
      <c r="G745">
        <f t="shared" si="770"/>
        <v>0.26267593939942335</v>
      </c>
      <c r="H745">
        <v>2.8067764115771155E-2</v>
      </c>
      <c r="I745">
        <f t="shared" si="771"/>
        <v>14781.87141955518</v>
      </c>
      <c r="J745">
        <f t="shared" si="772"/>
        <v>0.25229271178783519</v>
      </c>
      <c r="K745">
        <f t="shared" si="773"/>
        <v>3.4455372551290314E-9</v>
      </c>
      <c r="L745">
        <f t="shared" ref="L745:M745" si="812">AVERAGE(G743:G745)</f>
        <v>0.25760423571089164</v>
      </c>
      <c r="M745">
        <f t="shared" si="812"/>
        <v>2.7344112988488763E-2</v>
      </c>
    </row>
    <row r="746" spans="1:13" x14ac:dyDescent="0.25">
      <c r="A746" s="18">
        <v>40179</v>
      </c>
      <c r="B746">
        <v>153455</v>
      </c>
      <c r="C746">
        <v>15016</v>
      </c>
      <c r="D746">
        <v>2938</v>
      </c>
      <c r="E746">
        <f t="shared" si="768"/>
        <v>3408.08</v>
      </c>
      <c r="F746">
        <f t="shared" si="769"/>
        <v>0.21078316462440061</v>
      </c>
      <c r="G746">
        <f t="shared" si="770"/>
        <v>0.23671417285694829</v>
      </c>
      <c r="H746">
        <v>2.6184865999893461E-2</v>
      </c>
      <c r="I746">
        <f t="shared" si="771"/>
        <v>15284.189054041042</v>
      </c>
      <c r="J746">
        <f t="shared" si="772"/>
        <v>0.23118048571000993</v>
      </c>
      <c r="K746">
        <f t="shared" si="773"/>
        <v>5.7418986471657328E-9</v>
      </c>
      <c r="L746">
        <f t="shared" ref="L746:M746" si="813">AVERAGE(G744:G746)</f>
        <v>0.25266231026790037</v>
      </c>
      <c r="M746">
        <f t="shared" si="813"/>
        <v>2.7193638368429598E-2</v>
      </c>
    </row>
    <row r="747" spans="1:13" x14ac:dyDescent="0.25">
      <c r="A747" s="18">
        <v>40210</v>
      </c>
      <c r="B747">
        <v>153702</v>
      </c>
      <c r="C747">
        <v>15078</v>
      </c>
      <c r="D747">
        <v>2782</v>
      </c>
      <c r="E747">
        <f t="shared" si="768"/>
        <v>3227.12</v>
      </c>
      <c r="F747">
        <f t="shared" si="769"/>
        <v>0.20038997214484677</v>
      </c>
      <c r="G747">
        <f t="shared" si="770"/>
        <v>0.22363113534504458</v>
      </c>
      <c r="H747">
        <v>2.5253091374343544E-2</v>
      </c>
      <c r="I747">
        <f t="shared" si="771"/>
        <v>15595.406352511072</v>
      </c>
      <c r="J747">
        <f t="shared" si="772"/>
        <v>0.2203297668595483</v>
      </c>
      <c r="K747">
        <f t="shared" si="773"/>
        <v>4.4185774303143189E-10</v>
      </c>
      <c r="L747">
        <f t="shared" ref="L747:M747" si="814">AVERAGE(G745:G747)</f>
        <v>0.2410070825338054</v>
      </c>
      <c r="M747">
        <f t="shared" si="814"/>
        <v>2.6501907163336055E-2</v>
      </c>
    </row>
    <row r="748" spans="1:13" x14ac:dyDescent="0.25">
      <c r="A748" s="18">
        <v>40238</v>
      </c>
      <c r="B748">
        <v>153960</v>
      </c>
      <c r="C748">
        <v>15192</v>
      </c>
      <c r="D748">
        <v>2703</v>
      </c>
      <c r="E748">
        <f t="shared" si="768"/>
        <v>3135.4799999999996</v>
      </c>
      <c r="F748">
        <f t="shared" si="769"/>
        <v>0.20114270668773038</v>
      </c>
      <c r="G748">
        <f t="shared" si="770"/>
        <v>0.22457295578585923</v>
      </c>
      <c r="H748">
        <v>2.5310552808581657E-2</v>
      </c>
      <c r="I748">
        <f t="shared" si="771"/>
        <v>15594.517350617685</v>
      </c>
      <c r="J748">
        <f t="shared" si="772"/>
        <v>0.22110848804625971</v>
      </c>
      <c r="K748">
        <f t="shared" si="773"/>
        <v>7.8818474083723632E-12</v>
      </c>
      <c r="L748">
        <f t="shared" ref="L748:M748" si="815">AVERAGE(G746:G748)</f>
        <v>0.22830608799595073</v>
      </c>
      <c r="M748">
        <f t="shared" si="815"/>
        <v>2.5582836727606223E-2</v>
      </c>
    </row>
    <row r="749" spans="1:13" x14ac:dyDescent="0.25">
      <c r="A749" s="18">
        <v>40269</v>
      </c>
      <c r="B749">
        <v>154577</v>
      </c>
      <c r="C749">
        <v>15281</v>
      </c>
      <c r="D749">
        <v>2711</v>
      </c>
      <c r="E749">
        <f t="shared" si="768"/>
        <v>3144.7599999999998</v>
      </c>
      <c r="F749">
        <f t="shared" si="769"/>
        <v>0.23899744781100707</v>
      </c>
      <c r="G749">
        <f t="shared" si="770"/>
        <v>0.27311856739546664</v>
      </c>
      <c r="H749">
        <v>2.6430747462641582E-2</v>
      </c>
      <c r="I749">
        <f t="shared" si="771"/>
        <v>13639.108647162238</v>
      </c>
      <c r="J749">
        <f t="shared" si="772"/>
        <v>0.25884782830565101</v>
      </c>
      <c r="K749">
        <f t="shared" si="773"/>
        <v>1.2090941862470516E-10</v>
      </c>
      <c r="L749">
        <f t="shared" ref="L749:M749" si="816">AVERAGE(G747:G749)</f>
        <v>0.24044088617545681</v>
      </c>
      <c r="M749">
        <f t="shared" si="816"/>
        <v>2.5664797215188929E-2</v>
      </c>
    </row>
    <row r="750" spans="1:13" x14ac:dyDescent="0.25">
      <c r="A750" s="18">
        <v>40299</v>
      </c>
      <c r="B750">
        <v>154110</v>
      </c>
      <c r="C750">
        <v>14856</v>
      </c>
      <c r="D750">
        <v>2782</v>
      </c>
      <c r="E750">
        <f t="shared" si="768"/>
        <v>3227.12</v>
      </c>
      <c r="F750">
        <f t="shared" si="769"/>
        <v>0.23787560581583189</v>
      </c>
      <c r="G750">
        <f t="shared" si="770"/>
        <v>0.27164548965797536</v>
      </c>
      <c r="H750">
        <v>2.5816806648507488E-2</v>
      </c>
      <c r="I750">
        <f t="shared" si="771"/>
        <v>13375.234851620351</v>
      </c>
      <c r="J750">
        <f t="shared" si="772"/>
        <v>0.25729941475186979</v>
      </c>
      <c r="K750">
        <f t="shared" si="773"/>
        <v>3.6760575580561637E-11</v>
      </c>
      <c r="L750">
        <f t="shared" ref="L750:M750" si="817">AVERAGE(G748:G750)</f>
        <v>0.25644567094643372</v>
      </c>
      <c r="M750">
        <f t="shared" si="817"/>
        <v>2.5852702306576908E-2</v>
      </c>
    </row>
    <row r="751" spans="1:13" x14ac:dyDescent="0.25">
      <c r="A751" s="18">
        <v>40330</v>
      </c>
      <c r="B751">
        <v>153623</v>
      </c>
      <c r="C751">
        <v>14475</v>
      </c>
      <c r="D751">
        <v>2718</v>
      </c>
      <c r="E751">
        <f t="shared" si="768"/>
        <v>3152.8799999999997</v>
      </c>
      <c r="F751">
        <f t="shared" si="769"/>
        <v>0.22031917098445586</v>
      </c>
      <c r="G751">
        <f t="shared" si="770"/>
        <v>0.24887063661084902</v>
      </c>
      <c r="H751">
        <v>2.6439820240680673E-2</v>
      </c>
      <c r="I751">
        <f t="shared" si="771"/>
        <v>14753.397133130067</v>
      </c>
      <c r="J751">
        <f t="shared" si="772"/>
        <v>0.24066365454361205</v>
      </c>
      <c r="K751">
        <f t="shared" si="773"/>
        <v>5.1084676601056386E-9</v>
      </c>
      <c r="L751">
        <f t="shared" ref="L751:M751" si="818">AVERAGE(G749:G751)</f>
        <v>0.26454489788809704</v>
      </c>
      <c r="M751">
        <f t="shared" si="818"/>
        <v>2.6229124783943247E-2</v>
      </c>
    </row>
    <row r="752" spans="1:13" x14ac:dyDescent="0.25">
      <c r="A752" s="18">
        <v>40360</v>
      </c>
      <c r="B752">
        <v>153709</v>
      </c>
      <c r="C752">
        <v>14542</v>
      </c>
      <c r="D752">
        <v>2807</v>
      </c>
      <c r="E752">
        <f t="shared" si="768"/>
        <v>3256.12</v>
      </c>
      <c r="F752">
        <f t="shared" si="769"/>
        <v>0.2064475312886811</v>
      </c>
      <c r="G752">
        <f t="shared" si="770"/>
        <v>0.23123561806205337</v>
      </c>
      <c r="H752">
        <v>2.5229717583621799E-2</v>
      </c>
      <c r="I752">
        <f t="shared" si="771"/>
        <v>15121.08702837993</v>
      </c>
      <c r="J752">
        <f t="shared" si="772"/>
        <v>0.22621818325835141</v>
      </c>
      <c r="K752">
        <f t="shared" si="773"/>
        <v>2.4051622173938508E-10</v>
      </c>
      <c r="L752">
        <f t="shared" ref="L752:M752" si="819">AVERAGE(G750:G752)</f>
        <v>0.25058391477695924</v>
      </c>
      <c r="M752">
        <f t="shared" si="819"/>
        <v>2.5828781490936651E-2</v>
      </c>
    </row>
    <row r="753" spans="1:13" x14ac:dyDescent="0.25">
      <c r="A753" s="18">
        <v>40391</v>
      </c>
      <c r="B753">
        <v>154078</v>
      </c>
      <c r="C753">
        <v>14673</v>
      </c>
      <c r="D753">
        <v>2701</v>
      </c>
      <c r="E753">
        <f t="shared" si="768"/>
        <v>3133.16</v>
      </c>
      <c r="F753">
        <f t="shared" si="769"/>
        <v>0.23011517753697264</v>
      </c>
      <c r="G753">
        <f t="shared" si="770"/>
        <v>0.26151435653964106</v>
      </c>
      <c r="H753">
        <v>2.6732904213082935E-2</v>
      </c>
      <c r="I753">
        <f t="shared" si="771"/>
        <v>14289.649811718002</v>
      </c>
      <c r="J753">
        <f t="shared" si="772"/>
        <v>0.25042377145909112</v>
      </c>
      <c r="K753">
        <f t="shared" si="773"/>
        <v>3.7050159764374998E-15</v>
      </c>
      <c r="L753">
        <f t="shared" ref="L753:M753" si="820">AVERAGE(G751:G753)</f>
        <v>0.24720687040418113</v>
      </c>
      <c r="M753">
        <f t="shared" si="820"/>
        <v>2.6134147345795139E-2</v>
      </c>
    </row>
    <row r="754" spans="1:13" x14ac:dyDescent="0.25">
      <c r="A754" s="18">
        <v>40422</v>
      </c>
      <c r="B754">
        <v>153966</v>
      </c>
      <c r="C754">
        <v>14577</v>
      </c>
      <c r="D754">
        <v>2828</v>
      </c>
      <c r="E754">
        <f t="shared" si="768"/>
        <v>3280.4799999999996</v>
      </c>
      <c r="F754">
        <f t="shared" si="769"/>
        <v>0.21111614186732519</v>
      </c>
      <c r="G754">
        <f t="shared" si="770"/>
        <v>0.23713617032420214</v>
      </c>
      <c r="H754">
        <v>2.4856272178771753E-2</v>
      </c>
      <c r="I754">
        <f t="shared" si="771"/>
        <v>14607.370982593633</v>
      </c>
      <c r="J754">
        <f t="shared" si="772"/>
        <v>0.23048316069317532</v>
      </c>
      <c r="K754">
        <f t="shared" si="773"/>
        <v>3.7869538144692629E-15</v>
      </c>
      <c r="L754">
        <f t="shared" ref="L754:M754" si="821">AVERAGE(G752:G754)</f>
        <v>0.24329538164196554</v>
      </c>
      <c r="M754">
        <f t="shared" si="821"/>
        <v>2.5606297991825493E-2</v>
      </c>
    </row>
    <row r="755" spans="1:13" x14ac:dyDescent="0.25">
      <c r="A755" s="18">
        <v>40452</v>
      </c>
      <c r="B755">
        <v>153681</v>
      </c>
      <c r="C755">
        <v>14584</v>
      </c>
      <c r="D755">
        <v>2659</v>
      </c>
      <c r="E755">
        <f t="shared" si="768"/>
        <v>3084.4399999999996</v>
      </c>
      <c r="F755">
        <f t="shared" si="769"/>
        <v>0.19529621503017014</v>
      </c>
      <c r="G755">
        <f t="shared" si="770"/>
        <v>0.2172810382623496</v>
      </c>
      <c r="H755">
        <v>2.6913795062962265E-2</v>
      </c>
      <c r="I755">
        <f t="shared" si="771"/>
        <v>16937.864256779812</v>
      </c>
      <c r="J755">
        <f t="shared" si="772"/>
        <v>0.21666500036862235</v>
      </c>
      <c r="K755">
        <f t="shared" si="773"/>
        <v>3.9544330069184254E-15</v>
      </c>
      <c r="L755">
        <f t="shared" ref="L755:M755" si="822">AVERAGE(G753:G755)</f>
        <v>0.23864385504206428</v>
      </c>
      <c r="M755">
        <f t="shared" si="822"/>
        <v>2.6167657151605652E-2</v>
      </c>
    </row>
    <row r="756" spans="1:13" x14ac:dyDescent="0.25">
      <c r="A756" s="18">
        <v>40483</v>
      </c>
      <c r="B756">
        <v>154140</v>
      </c>
      <c r="C756">
        <v>15094</v>
      </c>
      <c r="D756">
        <v>2895</v>
      </c>
      <c r="E756">
        <f t="shared" si="768"/>
        <v>3358.2</v>
      </c>
      <c r="F756">
        <f t="shared" si="769"/>
        <v>0.25498873724658799</v>
      </c>
      <c r="G756">
        <f t="shared" si="770"/>
        <v>0.29435594292703537</v>
      </c>
      <c r="H756">
        <v>2.5734416803720007E-2</v>
      </c>
      <c r="I756">
        <f t="shared" si="771"/>
        <v>12392.447587181325</v>
      </c>
      <c r="J756">
        <f t="shared" si="772"/>
        <v>0.27391657459341645</v>
      </c>
      <c r="K756">
        <f t="shared" si="773"/>
        <v>2.8886841759628019E-10</v>
      </c>
      <c r="L756">
        <f t="shared" ref="L756:M756" si="823">AVERAGE(G754:G756)</f>
        <v>0.24959105050452904</v>
      </c>
      <c r="M756">
        <f t="shared" si="823"/>
        <v>2.5834828015151343E-2</v>
      </c>
    </row>
    <row r="757" spans="1:13" x14ac:dyDescent="0.25">
      <c r="A757" s="18">
        <v>40513</v>
      </c>
      <c r="B757">
        <v>153649</v>
      </c>
      <c r="C757">
        <v>14354</v>
      </c>
      <c r="D757">
        <v>2680</v>
      </c>
      <c r="E757">
        <f t="shared" si="768"/>
        <v>3108.7999999999997</v>
      </c>
      <c r="F757">
        <f t="shared" si="769"/>
        <v>0.24373972411871248</v>
      </c>
      <c r="G757">
        <f t="shared" si="770"/>
        <v>0.27936968178720273</v>
      </c>
      <c r="H757">
        <v>2.5772907054898299E-2</v>
      </c>
      <c r="I757">
        <f t="shared" si="771"/>
        <v>12977.47853259251</v>
      </c>
      <c r="J757">
        <f t="shared" si="772"/>
        <v>0.26298172368372785</v>
      </c>
      <c r="K757">
        <f t="shared" si="773"/>
        <v>1.3955932774520284E-10</v>
      </c>
      <c r="L757">
        <f t="shared" ref="L757:M757" si="824">AVERAGE(G755:G757)</f>
        <v>0.26366888765886259</v>
      </c>
      <c r="M757">
        <f t="shared" si="824"/>
        <v>2.6140372973860192E-2</v>
      </c>
    </row>
    <row r="758" spans="1:13" x14ac:dyDescent="0.25">
      <c r="A758" s="18">
        <v>40544</v>
      </c>
      <c r="B758">
        <v>153244</v>
      </c>
      <c r="C758">
        <v>13992</v>
      </c>
      <c r="D758">
        <v>2704</v>
      </c>
      <c r="E758">
        <f t="shared" si="768"/>
        <v>3136.64</v>
      </c>
      <c r="F758">
        <f t="shared" si="769"/>
        <v>0.21590337335620358</v>
      </c>
      <c r="G758">
        <f t="shared" si="770"/>
        <v>0.24322301795602475</v>
      </c>
      <c r="H758">
        <v>2.285226764101644E-2</v>
      </c>
      <c r="I758">
        <f t="shared" si="771"/>
        <v>13161.586558187522</v>
      </c>
      <c r="J758">
        <f t="shared" si="772"/>
        <v>0.23361857215428672</v>
      </c>
      <c r="K758">
        <f t="shared" si="773"/>
        <v>6.6252656363623569E-12</v>
      </c>
      <c r="L758">
        <f t="shared" ref="L758:M758" si="825">AVERAGE(G756:G758)</f>
        <v>0.27231621422342095</v>
      </c>
      <c r="M758">
        <f t="shared" si="825"/>
        <v>2.4786530499878251E-2</v>
      </c>
    </row>
    <row r="759" spans="1:13" x14ac:dyDescent="0.25">
      <c r="A759" s="18">
        <v>40575</v>
      </c>
      <c r="B759">
        <v>153269</v>
      </c>
      <c r="C759">
        <v>13798</v>
      </c>
      <c r="D759">
        <v>2437</v>
      </c>
      <c r="E759">
        <f t="shared" si="768"/>
        <v>2826.9199999999996</v>
      </c>
      <c r="F759">
        <f t="shared" si="769"/>
        <v>0.2121669807218437</v>
      </c>
      <c r="G759">
        <f t="shared" si="770"/>
        <v>0.23846911604852705</v>
      </c>
      <c r="H759">
        <v>2.2923857860815387E-2</v>
      </c>
      <c r="I759">
        <f t="shared" si="771"/>
        <v>13441.51190417187</v>
      </c>
      <c r="J759">
        <f t="shared" si="772"/>
        <v>0.23002172122032305</v>
      </c>
      <c r="K759">
        <f t="shared" si="773"/>
        <v>2.9126978205515279E-11</v>
      </c>
      <c r="L759">
        <f t="shared" ref="L759:M759" si="826">AVERAGE(G757:G759)</f>
        <v>0.25368727193058488</v>
      </c>
      <c r="M759">
        <f t="shared" si="826"/>
        <v>2.384967751891004E-2</v>
      </c>
    </row>
    <row r="760" spans="1:13" x14ac:dyDescent="0.25">
      <c r="A760" s="18">
        <v>40603</v>
      </c>
      <c r="B760">
        <v>153358</v>
      </c>
      <c r="C760">
        <v>13716</v>
      </c>
      <c r="D760">
        <v>2453</v>
      </c>
      <c r="E760">
        <f t="shared" si="768"/>
        <v>2845.48</v>
      </c>
      <c r="F760">
        <f t="shared" si="769"/>
        <v>0.22111694371536894</v>
      </c>
      <c r="G760">
        <f t="shared" si="770"/>
        <v>0.24989436468271159</v>
      </c>
      <c r="H760">
        <v>2.5823492310837876E-2</v>
      </c>
      <c r="I760">
        <f t="shared" si="771"/>
        <v>14363.375578891601</v>
      </c>
      <c r="J760">
        <f t="shared" si="772"/>
        <v>0.2409729452717706</v>
      </c>
      <c r="K760">
        <f t="shared" si="773"/>
        <v>3.3031214977879508E-15</v>
      </c>
      <c r="L760">
        <f t="shared" ref="L760:M760" si="827">AVERAGE(G758:G760)</f>
        <v>0.24386216622908777</v>
      </c>
      <c r="M760">
        <f t="shared" si="827"/>
        <v>2.38665392708899E-2</v>
      </c>
    </row>
    <row r="761" spans="1:13" x14ac:dyDescent="0.25">
      <c r="A761" s="18">
        <v>40634</v>
      </c>
      <c r="B761">
        <v>153478</v>
      </c>
      <c r="C761">
        <v>13872</v>
      </c>
      <c r="D761">
        <v>2749</v>
      </c>
      <c r="E761">
        <f t="shared" si="768"/>
        <v>3188.8399999999997</v>
      </c>
      <c r="F761">
        <f t="shared" si="769"/>
        <v>0.22551614763552486</v>
      </c>
      <c r="G761">
        <f t="shared" si="770"/>
        <v>0.25555846845233976</v>
      </c>
      <c r="H761">
        <v>2.5385442141787236E-2</v>
      </c>
      <c r="I761">
        <f t="shared" si="771"/>
        <v>13867.917196702778</v>
      </c>
      <c r="J761">
        <f t="shared" si="772"/>
        <v>0.24492931424134778</v>
      </c>
      <c r="K761">
        <f t="shared" si="773"/>
        <v>3.1977610743034042E-12</v>
      </c>
      <c r="L761">
        <f t="shared" ref="L761:M761" si="828">AVERAGE(G759:G761)</f>
        <v>0.24797398306119281</v>
      </c>
      <c r="M761">
        <f t="shared" si="828"/>
        <v>2.4710930771146833E-2</v>
      </c>
    </row>
    <row r="762" spans="1:13" x14ac:dyDescent="0.25">
      <c r="A762" s="18">
        <v>40664</v>
      </c>
      <c r="B762">
        <v>153552</v>
      </c>
      <c r="C762">
        <v>13871</v>
      </c>
      <c r="D762">
        <v>2696</v>
      </c>
      <c r="E762">
        <f t="shared" si="768"/>
        <v>3127.3599999999997</v>
      </c>
      <c r="F762">
        <f t="shared" si="769"/>
        <v>0.24409487419796694</v>
      </c>
      <c r="G762">
        <f t="shared" si="770"/>
        <v>0.27983940564861254</v>
      </c>
      <c r="H762">
        <v>2.8563148056583276E-2</v>
      </c>
      <c r="I762">
        <f t="shared" si="771"/>
        <v>14221.44031458642</v>
      </c>
      <c r="J762">
        <f t="shared" si="772"/>
        <v>0.26538046533686577</v>
      </c>
      <c r="K762">
        <f t="shared" si="773"/>
        <v>1.8927543238224263E-10</v>
      </c>
      <c r="L762">
        <f t="shared" ref="L762:M762" si="829">AVERAGE(G760:G762)</f>
        <v>0.26176407959455467</v>
      </c>
      <c r="M762">
        <f t="shared" si="829"/>
        <v>2.6590694169736129E-2</v>
      </c>
    </row>
    <row r="763" spans="1:13" x14ac:dyDescent="0.25">
      <c r="A763" s="18">
        <v>40695</v>
      </c>
      <c r="B763">
        <v>153369</v>
      </c>
      <c r="C763">
        <v>13964</v>
      </c>
      <c r="D763">
        <v>2999</v>
      </c>
      <c r="E763">
        <f t="shared" si="768"/>
        <v>3478.8399999999997</v>
      </c>
      <c r="F763">
        <f t="shared" si="769"/>
        <v>0.23008307075336576</v>
      </c>
      <c r="G763">
        <f t="shared" si="770"/>
        <v>0.2614726540495953</v>
      </c>
      <c r="H763">
        <v>2.4978631923241717E-2</v>
      </c>
      <c r="I763">
        <f t="shared" si="771"/>
        <v>13373.819518474536</v>
      </c>
      <c r="J763">
        <f t="shared" si="772"/>
        <v>0.24907634184440675</v>
      </c>
      <c r="K763">
        <f t="shared" si="773"/>
        <v>2.1470863581335573E-11</v>
      </c>
      <c r="L763">
        <f t="shared" ref="L763:M763" si="830">AVERAGE(G761:G763)</f>
        <v>0.26562350938351587</v>
      </c>
      <c r="M763">
        <f t="shared" si="830"/>
        <v>2.6309074040537409E-2</v>
      </c>
    </row>
    <row r="764" spans="1:13" x14ac:dyDescent="0.25">
      <c r="A764" s="18">
        <v>40725</v>
      </c>
      <c r="B764">
        <v>153325</v>
      </c>
      <c r="C764">
        <v>13817</v>
      </c>
      <c r="D764">
        <v>2643</v>
      </c>
      <c r="E764">
        <f t="shared" si="768"/>
        <v>3065.8799999999997</v>
      </c>
      <c r="F764">
        <f t="shared" si="769"/>
        <v>0.22497792574364917</v>
      </c>
      <c r="G764">
        <f t="shared" si="770"/>
        <v>0.25486376712300002</v>
      </c>
      <c r="H764">
        <v>2.5406328824176348E-2</v>
      </c>
      <c r="I764">
        <f t="shared" si="771"/>
        <v>13898.826251163893</v>
      </c>
      <c r="J764">
        <f t="shared" si="772"/>
        <v>0.24442036510436538</v>
      </c>
      <c r="K764">
        <f t="shared" si="773"/>
        <v>4.772480728284201E-12</v>
      </c>
      <c r="L764">
        <f t="shared" ref="L764:M764" si="831">AVERAGE(G762:G764)</f>
        <v>0.26539194227373591</v>
      </c>
      <c r="M764">
        <f t="shared" si="831"/>
        <v>2.6316036268000446E-2</v>
      </c>
    </row>
    <row r="765" spans="1:13" x14ac:dyDescent="0.25">
      <c r="A765" s="18">
        <v>40756</v>
      </c>
      <c r="B765">
        <v>153707</v>
      </c>
      <c r="C765">
        <v>13837</v>
      </c>
      <c r="D765">
        <v>2697</v>
      </c>
      <c r="E765">
        <f t="shared" si="768"/>
        <v>3128.52</v>
      </c>
      <c r="F765">
        <f t="shared" si="769"/>
        <v>0.22593625785936244</v>
      </c>
      <c r="G765">
        <f t="shared" si="770"/>
        <v>0.2561010545964596</v>
      </c>
      <c r="H765">
        <v>2.5934423685245015E-2</v>
      </c>
      <c r="I765">
        <f t="shared" si="771"/>
        <v>14134.046133750342</v>
      </c>
      <c r="J765">
        <f t="shared" si="772"/>
        <v>0.24575307532647361</v>
      </c>
      <c r="K765">
        <f t="shared" si="773"/>
        <v>7.7966528137885272E-13</v>
      </c>
      <c r="L765">
        <f t="shared" ref="L765:M765" si="832">AVERAGE(G763:G765)</f>
        <v>0.25747915858968501</v>
      </c>
      <c r="M765">
        <f t="shared" si="832"/>
        <v>2.5439794810887692E-2</v>
      </c>
    </row>
    <row r="766" spans="1:13" x14ac:dyDescent="0.25">
      <c r="A766" s="18">
        <v>40787</v>
      </c>
      <c r="B766">
        <v>154074</v>
      </c>
      <c r="C766">
        <v>13910</v>
      </c>
      <c r="D766">
        <v>2758</v>
      </c>
      <c r="E766">
        <f t="shared" si="768"/>
        <v>3199.2799999999997</v>
      </c>
      <c r="F766">
        <f t="shared" si="769"/>
        <v>0.23804457225017983</v>
      </c>
      <c r="G766">
        <f t="shared" si="770"/>
        <v>0.27186721877295805</v>
      </c>
      <c r="H766">
        <v>2.5215558443410831E-2</v>
      </c>
      <c r="I766">
        <f t="shared" si="771"/>
        <v>13077.371862524848</v>
      </c>
      <c r="J766">
        <f t="shared" si="772"/>
        <v>0.25701749220741943</v>
      </c>
      <c r="K766">
        <f t="shared" si="773"/>
        <v>1.7345573984174214E-11</v>
      </c>
      <c r="L766">
        <f t="shared" ref="L766:M766" si="833">AVERAGE(G764:G766)</f>
        <v>0.26094401349747254</v>
      </c>
      <c r="M766">
        <f t="shared" si="833"/>
        <v>2.5518770317610729E-2</v>
      </c>
    </row>
    <row r="767" spans="1:13" x14ac:dyDescent="0.25">
      <c r="A767" s="18">
        <v>40817</v>
      </c>
      <c r="B767">
        <v>154010</v>
      </c>
      <c r="C767">
        <v>13696</v>
      </c>
      <c r="D767">
        <v>2670</v>
      </c>
      <c r="E767">
        <f t="shared" si="768"/>
        <v>3097.2</v>
      </c>
      <c r="F767">
        <f t="shared" si="769"/>
        <v>0.24179322429906547</v>
      </c>
      <c r="G767">
        <f t="shared" si="770"/>
        <v>0.27679913937832651</v>
      </c>
      <c r="H767">
        <v>2.3956686293374913E-2</v>
      </c>
      <c r="I767">
        <f t="shared" si="771"/>
        <v>12267.656820287579</v>
      </c>
      <c r="J767">
        <f t="shared" si="772"/>
        <v>0.259741497196321</v>
      </c>
      <c r="K767">
        <f t="shared" si="773"/>
        <v>1.5930804140501579E-11</v>
      </c>
      <c r="L767">
        <f t="shared" ref="L767:M767" si="834">AVERAGE(G765:G767)</f>
        <v>0.26825580424924805</v>
      </c>
      <c r="M767">
        <f t="shared" si="834"/>
        <v>2.5035556140676919E-2</v>
      </c>
    </row>
    <row r="768" spans="1:13" x14ac:dyDescent="0.25">
      <c r="A768" s="18">
        <v>40848</v>
      </c>
      <c r="B768">
        <v>154096</v>
      </c>
      <c r="C768">
        <v>13325</v>
      </c>
      <c r="D768">
        <v>2535</v>
      </c>
      <c r="E768">
        <f t="shared" si="768"/>
        <v>2940.6</v>
      </c>
      <c r="F768">
        <f t="shared" si="769"/>
        <v>0.25053658536585366</v>
      </c>
      <c r="G768">
        <f t="shared" si="770"/>
        <v>0.28839777566070413</v>
      </c>
      <c r="H768">
        <v>2.5015051776099067E-2</v>
      </c>
      <c r="I768">
        <f t="shared" si="771"/>
        <v>12299.175659193561</v>
      </c>
      <c r="J768">
        <f t="shared" si="772"/>
        <v>0.26905190515458133</v>
      </c>
      <c r="K768">
        <f t="shared" si="773"/>
        <v>4.5590652225117756E-11</v>
      </c>
      <c r="L768">
        <f t="shared" ref="L768:M768" si="835">AVERAGE(G766:G768)</f>
        <v>0.27902137793732956</v>
      </c>
      <c r="M768">
        <f t="shared" si="835"/>
        <v>2.4729098837628274E-2</v>
      </c>
    </row>
    <row r="769" spans="1:13" x14ac:dyDescent="0.25">
      <c r="A769" s="18">
        <v>40878</v>
      </c>
      <c r="B769">
        <v>153945</v>
      </c>
      <c r="C769">
        <v>13049</v>
      </c>
      <c r="D769">
        <v>2640</v>
      </c>
      <c r="E769">
        <f t="shared" si="768"/>
        <v>3062.3999999999996</v>
      </c>
      <c r="F769">
        <f t="shared" si="769"/>
        <v>0.24486167522415514</v>
      </c>
      <c r="G769">
        <f t="shared" si="770"/>
        <v>0.28085433489067663</v>
      </c>
      <c r="H769">
        <v>2.3533226321797732E-2</v>
      </c>
      <c r="I769">
        <f t="shared" si="771"/>
        <v>11902.005823359783</v>
      </c>
      <c r="J769">
        <f t="shared" si="772"/>
        <v>0.26242504439389225</v>
      </c>
      <c r="K769">
        <f t="shared" si="773"/>
        <v>5.1786009878254414E-12</v>
      </c>
      <c r="L769">
        <f t="shared" ref="L769:M769" si="836">AVERAGE(G767:G769)</f>
        <v>0.28201708330990244</v>
      </c>
      <c r="M769">
        <f t="shared" si="836"/>
        <v>2.4168321463757237E-2</v>
      </c>
    </row>
    <row r="770" spans="1:13" x14ac:dyDescent="0.25">
      <c r="A770" s="18">
        <v>40909</v>
      </c>
      <c r="B770">
        <v>154356</v>
      </c>
      <c r="C770">
        <v>12748</v>
      </c>
      <c r="D770">
        <v>2495</v>
      </c>
      <c r="E770">
        <f t="shared" si="768"/>
        <v>2894.2</v>
      </c>
      <c r="F770">
        <f t="shared" si="769"/>
        <v>0.22866959523062436</v>
      </c>
      <c r="G770">
        <f t="shared" si="770"/>
        <v>0.25963845665917962</v>
      </c>
      <c r="H770">
        <v>2.3843850063345537E-2</v>
      </c>
      <c r="I770">
        <f t="shared" si="771"/>
        <v>12982.96660179293</v>
      </c>
      <c r="J770">
        <f t="shared" si="772"/>
        <v>0.24684355217180998</v>
      </c>
      <c r="K770">
        <f t="shared" si="773"/>
        <v>8.7828639480661101E-11</v>
      </c>
      <c r="L770">
        <f t="shared" ref="L770:M770" si="837">AVERAGE(G768:G770)</f>
        <v>0.27629685573685347</v>
      </c>
      <c r="M770">
        <f t="shared" si="837"/>
        <v>2.4130709387080781E-2</v>
      </c>
    </row>
    <row r="771" spans="1:13" x14ac:dyDescent="0.25">
      <c r="A771" s="18">
        <v>40940</v>
      </c>
      <c r="B771">
        <v>154825</v>
      </c>
      <c r="C771">
        <v>12806</v>
      </c>
      <c r="D771">
        <v>2563</v>
      </c>
      <c r="E771">
        <f t="shared" ref="E771:E789" si="838">IF(A771&gt;A$554,1.16*D771,D771)</f>
        <v>2973.08</v>
      </c>
      <c r="F771">
        <f t="shared" ref="F771:F788" si="839">1 - ( (C772-E772)/C771 )</f>
        <v>0.24452287990004695</v>
      </c>
      <c r="G771">
        <f t="shared" ref="G771:G789" si="840">-LN(1-F771)</f>
        <v>0.28040578217537393</v>
      </c>
      <c r="H771">
        <v>2.4304260635796528E-2</v>
      </c>
      <c r="I771">
        <f t="shared" ref="I771:I789" si="841">H771*B771/(H771+G771)</f>
        <v>12349.140573844097</v>
      </c>
      <c r="J771">
        <f t="shared" ref="J771:J789" si="842">1-EXP(-H771-G771)</f>
        <v>0.26266286039703091</v>
      </c>
      <c r="K771">
        <f t="shared" ref="K771:K789" si="843">( ( (J771*I771) + ( (1-J771)*C771 ) ) - C772 )^2</f>
        <v>1.3494268385496388E-11</v>
      </c>
      <c r="L771">
        <f t="shared" ref="L771:M771" si="844">AVERAGE(G769:G771)</f>
        <v>0.27363285790841008</v>
      </c>
      <c r="M771">
        <f t="shared" si="844"/>
        <v>2.3893779006979931E-2</v>
      </c>
    </row>
    <row r="772" spans="1:13" x14ac:dyDescent="0.25">
      <c r="A772" s="18">
        <v>40969</v>
      </c>
      <c r="B772">
        <v>154707</v>
      </c>
      <c r="C772">
        <v>12686</v>
      </c>
      <c r="D772">
        <v>2596</v>
      </c>
      <c r="E772">
        <f t="shared" si="838"/>
        <v>3011.3599999999997</v>
      </c>
      <c r="F772">
        <f t="shared" si="839"/>
        <v>0.24796783856219451</v>
      </c>
      <c r="G772">
        <f t="shared" si="840"/>
        <v>0.28497618807739428</v>
      </c>
      <c r="H772">
        <v>2.4080326665127678E-2</v>
      </c>
      <c r="I772">
        <f t="shared" si="841"/>
        <v>12054.090173396187</v>
      </c>
      <c r="J772">
        <f t="shared" si="842"/>
        <v>0.26586072083848544</v>
      </c>
      <c r="K772">
        <f t="shared" si="843"/>
        <v>4.0232831762551452E-12</v>
      </c>
      <c r="L772">
        <f t="shared" ref="L772:M772" si="845">AVERAGE(G770:G772)</f>
        <v>0.27500680897064927</v>
      </c>
      <c r="M772">
        <f t="shared" si="845"/>
        <v>2.4076145788089916E-2</v>
      </c>
    </row>
    <row r="773" spans="1:13" x14ac:dyDescent="0.25">
      <c r="A773" s="18">
        <v>41000</v>
      </c>
      <c r="B773">
        <v>154451</v>
      </c>
      <c r="C773">
        <v>12518</v>
      </c>
      <c r="D773">
        <v>2567</v>
      </c>
      <c r="E773">
        <f t="shared" si="838"/>
        <v>2977.72</v>
      </c>
      <c r="F773">
        <f t="shared" si="839"/>
        <v>0.22697875059913719</v>
      </c>
      <c r="G773">
        <f t="shared" si="840"/>
        <v>0.25744874125008349</v>
      </c>
      <c r="H773">
        <v>2.4136963609950556E-2</v>
      </c>
      <c r="I773">
        <f t="shared" si="841"/>
        <v>13239.230906176557</v>
      </c>
      <c r="J773">
        <f t="shared" si="842"/>
        <v>0.24541375880432226</v>
      </c>
      <c r="K773">
        <f t="shared" si="843"/>
        <v>1.5250676169576365E-10</v>
      </c>
      <c r="L773">
        <f t="shared" ref="L773:M773" si="846">AVERAGE(G771:G773)</f>
        <v>0.27427690383428388</v>
      </c>
      <c r="M773">
        <f t="shared" si="846"/>
        <v>2.4173850303624924E-2</v>
      </c>
    </row>
    <row r="774" spans="1:13" x14ac:dyDescent="0.25">
      <c r="A774" s="18">
        <v>41030</v>
      </c>
      <c r="B774">
        <v>154998</v>
      </c>
      <c r="C774">
        <v>12695</v>
      </c>
      <c r="D774">
        <v>2602</v>
      </c>
      <c r="E774">
        <f t="shared" si="838"/>
        <v>3018.3199999999997</v>
      </c>
      <c r="F774">
        <f t="shared" si="839"/>
        <v>0.2576604962583694</v>
      </c>
      <c r="G774">
        <f t="shared" si="840"/>
        <v>0.29794858824741083</v>
      </c>
      <c r="H774">
        <v>2.6629682085543678E-2</v>
      </c>
      <c r="I774">
        <f t="shared" si="841"/>
        <v>12716.647542859337</v>
      </c>
      <c r="J774">
        <f t="shared" si="842"/>
        <v>0.27716787087573092</v>
      </c>
      <c r="K774">
        <f t="shared" si="843"/>
        <v>1.1316587077563686E-11</v>
      </c>
      <c r="L774">
        <f t="shared" ref="L774:M774" si="847">AVERAGE(G772:G774)</f>
        <v>0.28012450585829618</v>
      </c>
      <c r="M774">
        <f t="shared" si="847"/>
        <v>2.494899078687397E-2</v>
      </c>
    </row>
    <row r="775" spans="1:13" x14ac:dyDescent="0.25">
      <c r="A775" s="18">
        <v>41061</v>
      </c>
      <c r="B775">
        <v>155149</v>
      </c>
      <c r="C775">
        <v>12701</v>
      </c>
      <c r="D775">
        <v>2825</v>
      </c>
      <c r="E775">
        <f t="shared" si="838"/>
        <v>3277</v>
      </c>
      <c r="F775">
        <f t="shared" si="839"/>
        <v>0.24285646799464611</v>
      </c>
      <c r="G775">
        <f t="shared" si="840"/>
        <v>0.27820243716980847</v>
      </c>
      <c r="H775">
        <v>2.5163288515231152E-2</v>
      </c>
      <c r="I775">
        <f t="shared" si="841"/>
        <v>12869.150069717733</v>
      </c>
      <c r="J775">
        <f t="shared" si="842"/>
        <v>0.26167097890026514</v>
      </c>
      <c r="K775">
        <f t="shared" si="843"/>
        <v>4.4286532746072656E-11</v>
      </c>
      <c r="L775">
        <f t="shared" ref="L775:M775" si="848">AVERAGE(G773:G775)</f>
        <v>0.27786658888910093</v>
      </c>
      <c r="M775">
        <f t="shared" si="848"/>
        <v>2.5309978070241795E-2</v>
      </c>
    </row>
    <row r="776" spans="1:13" x14ac:dyDescent="0.25">
      <c r="A776" s="18">
        <v>41091</v>
      </c>
      <c r="B776">
        <v>154995</v>
      </c>
      <c r="C776">
        <v>12745</v>
      </c>
      <c r="D776">
        <v>2697</v>
      </c>
      <c r="E776">
        <f t="shared" si="838"/>
        <v>3128.52</v>
      </c>
      <c r="F776">
        <f t="shared" si="839"/>
        <v>0.28131816398587683</v>
      </c>
      <c r="G776">
        <f t="shared" si="840"/>
        <v>0.33033652821779086</v>
      </c>
      <c r="H776">
        <v>2.7405880741837717E-2</v>
      </c>
      <c r="I776">
        <f t="shared" si="841"/>
        <v>11873.835416757931</v>
      </c>
      <c r="J776">
        <f t="shared" si="842"/>
        <v>0.30074682683794796</v>
      </c>
      <c r="K776">
        <f t="shared" si="843"/>
        <v>2.5396707364583172E-10</v>
      </c>
      <c r="L776">
        <f t="shared" ref="L776:M776" si="849">AVERAGE(G774:G776)</f>
        <v>0.3021625178783367</v>
      </c>
      <c r="M776">
        <f t="shared" si="849"/>
        <v>2.6399617114204178E-2</v>
      </c>
    </row>
    <row r="777" spans="1:13" x14ac:dyDescent="0.25">
      <c r="A777" s="18">
        <v>41122</v>
      </c>
      <c r="B777">
        <v>154647</v>
      </c>
      <c r="C777">
        <v>12483</v>
      </c>
      <c r="D777">
        <v>2865</v>
      </c>
      <c r="E777">
        <f t="shared" si="838"/>
        <v>3323.3999999999996</v>
      </c>
      <c r="F777">
        <f t="shared" si="839"/>
        <v>0.26769206120323641</v>
      </c>
      <c r="G777">
        <f t="shared" si="840"/>
        <v>0.31155417206610025</v>
      </c>
      <c r="H777">
        <v>2.4036243272424596E-2</v>
      </c>
      <c r="I777">
        <f t="shared" si="841"/>
        <v>11076.397726082287</v>
      </c>
      <c r="J777">
        <f t="shared" si="842"/>
        <v>0.28508413557043866</v>
      </c>
      <c r="K777">
        <f t="shared" si="843"/>
        <v>4.4205949910550908E-11</v>
      </c>
      <c r="L777">
        <f t="shared" ref="L777:M777" si="850">AVERAGE(G775:G777)</f>
        <v>0.30669771248456651</v>
      </c>
      <c r="M777">
        <f t="shared" si="850"/>
        <v>2.5535137509831152E-2</v>
      </c>
    </row>
    <row r="778" spans="1:13" x14ac:dyDescent="0.25">
      <c r="A778" s="18">
        <v>41153</v>
      </c>
      <c r="B778">
        <v>155056</v>
      </c>
      <c r="C778">
        <v>12082</v>
      </c>
      <c r="D778">
        <v>2535</v>
      </c>
      <c r="E778">
        <f t="shared" si="838"/>
        <v>2940.6</v>
      </c>
      <c r="F778">
        <f t="shared" si="839"/>
        <v>0.23905644760801181</v>
      </c>
      <c r="G778">
        <f t="shared" si="840"/>
        <v>0.27319609944059847</v>
      </c>
      <c r="H778">
        <v>2.4428789041374094E-2</v>
      </c>
      <c r="I778">
        <f t="shared" si="841"/>
        <v>12726.860085253704</v>
      </c>
      <c r="J778">
        <f t="shared" si="842"/>
        <v>0.25742016223919839</v>
      </c>
      <c r="K778">
        <f t="shared" si="843"/>
        <v>1.4963178697261981E-10</v>
      </c>
      <c r="L778">
        <f t="shared" ref="L778:M778" si="851">AVERAGE(G776:G778)</f>
        <v>0.30502893324149655</v>
      </c>
      <c r="M778">
        <f t="shared" si="851"/>
        <v>2.5290304351878803E-2</v>
      </c>
    </row>
    <row r="779" spans="1:13" x14ac:dyDescent="0.25">
      <c r="A779" s="18">
        <v>41183</v>
      </c>
      <c r="B779">
        <v>155576</v>
      </c>
      <c r="C779">
        <v>12248</v>
      </c>
      <c r="D779">
        <v>2633</v>
      </c>
      <c r="E779">
        <f t="shared" si="838"/>
        <v>3054.2799999999997</v>
      </c>
      <c r="F779">
        <f t="shared" si="839"/>
        <v>0.2626845199216199</v>
      </c>
      <c r="G779">
        <f t="shared" si="840"/>
        <v>0.30473941857642045</v>
      </c>
      <c r="H779">
        <v>2.4354598269629275E-2</v>
      </c>
      <c r="I779">
        <f t="shared" si="841"/>
        <v>11513.399777694332</v>
      </c>
      <c r="J779">
        <f t="shared" si="842"/>
        <v>0.28042463863921807</v>
      </c>
      <c r="K779">
        <f t="shared" si="843"/>
        <v>3.550799821408707E-12</v>
      </c>
      <c r="L779">
        <f t="shared" ref="L779:M779" si="852">AVERAGE(G777:G779)</f>
        <v>0.29649656336103974</v>
      </c>
      <c r="M779">
        <f t="shared" si="852"/>
        <v>2.4273210194475991E-2</v>
      </c>
    </row>
    <row r="780" spans="1:13" x14ac:dyDescent="0.25">
      <c r="A780" s="18">
        <v>41214</v>
      </c>
      <c r="B780">
        <v>155319</v>
      </c>
      <c r="C780">
        <v>12042</v>
      </c>
      <c r="D780">
        <v>2596</v>
      </c>
      <c r="E780">
        <f t="shared" si="838"/>
        <v>3011.3599999999997</v>
      </c>
      <c r="F780">
        <f t="shared" si="839"/>
        <v>0.24415877761169236</v>
      </c>
      <c r="G780">
        <f t="shared" si="840"/>
        <v>0.27992394815647431</v>
      </c>
      <c r="H780">
        <v>2.485467698130361E-2</v>
      </c>
      <c r="I780">
        <f t="shared" si="841"/>
        <v>12666.254309382639</v>
      </c>
      <c r="J780">
        <f t="shared" si="842"/>
        <v>0.26271342695955291</v>
      </c>
      <c r="K780">
        <f t="shared" si="843"/>
        <v>1.2293969150996657E-10</v>
      </c>
      <c r="L780">
        <f t="shared" ref="L780:M780" si="853">AVERAGE(G778:G780)</f>
        <v>0.28595315539116445</v>
      </c>
      <c r="M780">
        <f t="shared" si="853"/>
        <v>2.4546021430768995E-2</v>
      </c>
    </row>
    <row r="781" spans="1:13" x14ac:dyDescent="0.25">
      <c r="A781" s="18">
        <v>41244</v>
      </c>
      <c r="B781">
        <v>155511</v>
      </c>
      <c r="C781">
        <v>12206</v>
      </c>
      <c r="D781">
        <v>2676</v>
      </c>
      <c r="E781">
        <f t="shared" si="838"/>
        <v>3104.16</v>
      </c>
      <c r="F781">
        <f t="shared" si="839"/>
        <v>0.25254465017204653</v>
      </c>
      <c r="G781">
        <f t="shared" si="840"/>
        <v>0.2910807081729968</v>
      </c>
      <c r="H781">
        <v>2.5818697767500492E-2</v>
      </c>
      <c r="I781">
        <f t="shared" si="841"/>
        <v>12669.924377440024</v>
      </c>
      <c r="J781">
        <f t="shared" si="842"/>
        <v>0.27159597544180647</v>
      </c>
      <c r="K781">
        <f t="shared" si="843"/>
        <v>3.8166977865613326E-11</v>
      </c>
      <c r="L781">
        <f t="shared" ref="L781:M781" si="854">AVERAGE(G779:G781)</f>
        <v>0.29191469163529721</v>
      </c>
      <c r="M781">
        <f t="shared" si="854"/>
        <v>2.5009324339477793E-2</v>
      </c>
    </row>
    <row r="782" spans="1:13" x14ac:dyDescent="0.25">
      <c r="A782" s="18">
        <v>41275</v>
      </c>
      <c r="B782">
        <v>155654</v>
      </c>
      <c r="C782">
        <v>12332</v>
      </c>
      <c r="D782">
        <v>2766</v>
      </c>
      <c r="E782">
        <f t="shared" si="838"/>
        <v>3208.56</v>
      </c>
      <c r="F782">
        <f t="shared" si="839"/>
        <v>0.27519623743107358</v>
      </c>
      <c r="G782">
        <f t="shared" si="840"/>
        <v>0.32185433308454797</v>
      </c>
      <c r="H782">
        <v>2.5216237807774603E-2</v>
      </c>
      <c r="I782">
        <f t="shared" si="841"/>
        <v>11308.963101193238</v>
      </c>
      <c r="J782">
        <f t="shared" si="842"/>
        <v>0.2932445498649715</v>
      </c>
      <c r="K782">
        <f t="shared" si="843"/>
        <v>2.6154573096356904E-11</v>
      </c>
      <c r="L782">
        <f t="shared" ref="L782:M782" si="855">AVERAGE(G780:G782)</f>
        <v>0.29761966313800636</v>
      </c>
      <c r="M782">
        <f t="shared" si="855"/>
        <v>2.5296537518859571E-2</v>
      </c>
    </row>
    <row r="783" spans="1:13" x14ac:dyDescent="0.25">
      <c r="A783" s="18">
        <v>41306</v>
      </c>
      <c r="B783">
        <v>155524</v>
      </c>
      <c r="C783">
        <v>12032</v>
      </c>
      <c r="D783">
        <v>2667</v>
      </c>
      <c r="E783">
        <f t="shared" si="838"/>
        <v>3093.72</v>
      </c>
      <c r="F783">
        <f t="shared" si="839"/>
        <v>0.26165558510638298</v>
      </c>
      <c r="G783">
        <f t="shared" si="840"/>
        <v>0.30334487639838287</v>
      </c>
      <c r="H783">
        <v>2.3067108540035609E-2</v>
      </c>
      <c r="I783">
        <f t="shared" si="841"/>
        <v>10990.677898231343</v>
      </c>
      <c r="J783">
        <f t="shared" si="842"/>
        <v>0.27849212418581892</v>
      </c>
      <c r="K783">
        <f t="shared" si="843"/>
        <v>1.6672478578400358E-11</v>
      </c>
      <c r="L783">
        <f t="shared" ref="L783:M783" si="856">AVERAGE(G781:G783)</f>
        <v>0.30542663921864249</v>
      </c>
      <c r="M783">
        <f t="shared" si="856"/>
        <v>2.4700681371770238E-2</v>
      </c>
    </row>
    <row r="784" spans="1:13" x14ac:dyDescent="0.25">
      <c r="A784" s="18">
        <v>41334</v>
      </c>
      <c r="B784">
        <v>155028</v>
      </c>
      <c r="C784">
        <v>11742</v>
      </c>
      <c r="D784">
        <v>2464</v>
      </c>
      <c r="E784">
        <f t="shared" si="838"/>
        <v>2858.24</v>
      </c>
      <c r="F784">
        <f t="shared" si="839"/>
        <v>0.25147675012774662</v>
      </c>
      <c r="G784">
        <f t="shared" si="840"/>
        <v>0.28965301365128815</v>
      </c>
      <c r="H784">
        <v>2.30619371145016E-2</v>
      </c>
      <c r="I784">
        <f t="shared" si="841"/>
        <v>11432.923108510606</v>
      </c>
      <c r="J784">
        <f t="shared" si="842"/>
        <v>0.26854161549255229</v>
      </c>
      <c r="K784">
        <f t="shared" si="843"/>
        <v>6.0093163627904111E-11</v>
      </c>
      <c r="L784">
        <f t="shared" ref="L784:M784" si="857">AVERAGE(G782:G784)</f>
        <v>0.30495074104473968</v>
      </c>
      <c r="M784">
        <f t="shared" si="857"/>
        <v>2.3781761154103936E-2</v>
      </c>
    </row>
    <row r="785" spans="1:13" x14ac:dyDescent="0.25">
      <c r="A785" s="18">
        <v>41365</v>
      </c>
      <c r="B785">
        <v>155238</v>
      </c>
      <c r="C785">
        <v>11659</v>
      </c>
      <c r="D785">
        <v>2474</v>
      </c>
      <c r="E785">
        <f t="shared" si="838"/>
        <v>2869.8399999999997</v>
      </c>
      <c r="F785">
        <f t="shared" si="839"/>
        <v>0.26056780169825877</v>
      </c>
      <c r="G785">
        <f t="shared" si="840"/>
        <v>0.30187268690116426</v>
      </c>
      <c r="H785">
        <v>2.5337669963989524E-2</v>
      </c>
      <c r="I785">
        <f t="shared" si="841"/>
        <v>12020.919042885862</v>
      </c>
      <c r="J785">
        <f t="shared" si="842"/>
        <v>0.27906792593622631</v>
      </c>
      <c r="K785">
        <f t="shared" si="843"/>
        <v>1.1189144287867034E-11</v>
      </c>
      <c r="L785">
        <f t="shared" ref="L785:M785" si="858">AVERAGE(G783:G785)</f>
        <v>0.29829019231694515</v>
      </c>
      <c r="M785">
        <f t="shared" si="858"/>
        <v>2.3822238539508909E-2</v>
      </c>
    </row>
    <row r="786" spans="1:13" x14ac:dyDescent="0.25">
      <c r="A786" s="18">
        <v>41395</v>
      </c>
      <c r="B786">
        <v>155658</v>
      </c>
      <c r="C786">
        <v>11760</v>
      </c>
      <c r="D786">
        <v>2706</v>
      </c>
      <c r="E786">
        <f t="shared" si="838"/>
        <v>3138.9599999999996</v>
      </c>
      <c r="F786">
        <f t="shared" si="839"/>
        <v>0.26409183673469383</v>
      </c>
      <c r="G786">
        <f t="shared" si="840"/>
        <v>0.30664994621084296</v>
      </c>
      <c r="H786">
        <v>2.5199653979797832E-2</v>
      </c>
      <c r="I786">
        <f t="shared" si="841"/>
        <v>11820.197272903024</v>
      </c>
      <c r="J786">
        <f t="shared" si="842"/>
        <v>0.28240475907375651</v>
      </c>
      <c r="K786">
        <f t="shared" si="843"/>
        <v>1.3314657197434232E-11</v>
      </c>
      <c r="L786">
        <f t="shared" ref="L786:M786" si="859">AVERAGE(G784:G786)</f>
        <v>0.29939188225443175</v>
      </c>
      <c r="M786">
        <f t="shared" si="859"/>
        <v>2.4533087019429651E-2</v>
      </c>
    </row>
    <row r="787" spans="1:13" x14ac:dyDescent="0.25">
      <c r="A787" s="18">
        <v>41426</v>
      </c>
      <c r="B787">
        <v>155835</v>
      </c>
      <c r="C787">
        <v>11777</v>
      </c>
      <c r="D787">
        <v>2692</v>
      </c>
      <c r="E787">
        <f t="shared" si="838"/>
        <v>3122.72</v>
      </c>
      <c r="F787">
        <f t="shared" si="839"/>
        <v>0.27477965526025305</v>
      </c>
      <c r="G787">
        <f t="shared" si="840"/>
        <v>0.32127974652397701</v>
      </c>
      <c r="H787">
        <v>2.4106151983581334E-2</v>
      </c>
      <c r="I787">
        <f t="shared" si="841"/>
        <v>10876.478196110225</v>
      </c>
      <c r="J787">
        <f t="shared" si="842"/>
        <v>0.29205289498315001</v>
      </c>
      <c r="K787">
        <f t="shared" si="843"/>
        <v>3.1878218430544345E-14</v>
      </c>
      <c r="L787">
        <f t="shared" ref="L787:M787" si="860">AVERAGE(G785:G787)</f>
        <v>0.30993412654532809</v>
      </c>
      <c r="M787">
        <f t="shared" si="860"/>
        <v>2.4881158642456231E-2</v>
      </c>
    </row>
    <row r="788" spans="1:13" x14ac:dyDescent="0.25">
      <c r="A788" s="18">
        <v>41456</v>
      </c>
      <c r="B788">
        <v>155798</v>
      </c>
      <c r="C788">
        <v>11514</v>
      </c>
      <c r="D788">
        <v>2563</v>
      </c>
      <c r="E788">
        <f t="shared" si="838"/>
        <v>2973.08</v>
      </c>
      <c r="F788">
        <f t="shared" si="839"/>
        <v>0.27541080423831854</v>
      </c>
      <c r="G788">
        <f t="shared" si="840"/>
        <v>0.32215041125655669</v>
      </c>
      <c r="H788">
        <v>2.0354718067138206E-2</v>
      </c>
      <c r="I788">
        <f t="shared" si="841"/>
        <v>9258.9105794878069</v>
      </c>
      <c r="J788">
        <f t="shared" si="842"/>
        <v>0.29001052238963942</v>
      </c>
      <c r="K788">
        <v>0</v>
      </c>
      <c r="L788">
        <f t="shared" ref="L788:M788" si="861">AVERAGE(G786:G788)</f>
        <v>0.31669336799712555</v>
      </c>
      <c r="M788">
        <f t="shared" si="861"/>
        <v>2.3220174676839123E-2</v>
      </c>
    </row>
    <row r="789" spans="1:13" x14ac:dyDescent="0.25">
      <c r="A789" s="18">
        <v>41487</v>
      </c>
      <c r="B789">
        <v>155486</v>
      </c>
      <c r="C789">
        <v>11316</v>
      </c>
      <c r="D789">
        <v>2563</v>
      </c>
      <c r="E789">
        <f t="shared" si="838"/>
        <v>2973.08</v>
      </c>
      <c r="F789" t="e">
        <f>NA()</f>
        <v>#N/A</v>
      </c>
      <c r="G789" t="e">
        <f t="shared" si="840"/>
        <v>#N/A</v>
      </c>
      <c r="H789" t="e">
        <f>NA()</f>
        <v>#N/A</v>
      </c>
      <c r="I789" t="e">
        <f t="shared" si="841"/>
        <v>#N/A</v>
      </c>
      <c r="J789" t="e">
        <f t="shared" si="842"/>
        <v>#N/A</v>
      </c>
      <c r="K789" t="e">
        <f t="shared" si="843"/>
        <v>#N/A</v>
      </c>
      <c r="L789" t="e">
        <f t="shared" ref="L789:M789" si="862">AVERAGE(G787:G789)</f>
        <v>#N/A</v>
      </c>
      <c r="M789" t="e">
        <f t="shared" si="862"/>
        <v>#N/A</v>
      </c>
    </row>
    <row r="791" spans="1:13" x14ac:dyDescent="0.25">
      <c r="J791" t="s">
        <v>96</v>
      </c>
      <c r="K791">
        <f>SUM(K2:K788)</f>
        <v>1.2847416977079685E-6</v>
      </c>
    </row>
  </sheetData>
  <sortState xmlns:xlrd2="http://schemas.microsoft.com/office/spreadsheetml/2017/richdata2" ref="A2:D859">
    <sortCondition ref="A2:A859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55"/>
  <sheetViews>
    <sheetView workbookViewId="0">
      <pane xSplit="1" ySplit="1" topLeftCell="J2" activePane="bottomRight" state="frozen"/>
      <selection pane="topRight" activeCell="B1" sqref="B1"/>
      <selection pane="bottomLeft" activeCell="A2" sqref="A2"/>
      <selection pane="bottomRight" activeCell="L2" sqref="L2"/>
    </sheetView>
  </sheetViews>
  <sheetFormatPr defaultColWidth="8.85546875" defaultRowHeight="15" x14ac:dyDescent="0.25"/>
  <cols>
    <col min="1" max="1" width="10.7109375" bestFit="1" customWidth="1"/>
    <col min="2" max="2" width="5.42578125" bestFit="1" customWidth="1"/>
    <col min="3" max="3" width="12.42578125" bestFit="1" customWidth="1"/>
    <col min="4" max="4" width="7.28515625" bestFit="1" customWidth="1"/>
    <col min="5" max="5" width="17.42578125" bestFit="1" customWidth="1"/>
    <col min="6" max="6" width="16.140625" bestFit="1" customWidth="1"/>
    <col min="7" max="8" width="9.42578125" customWidth="1"/>
    <col min="9" max="9" width="30.85546875" bestFit="1" customWidth="1"/>
    <col min="10" max="10" width="30.7109375" bestFit="1" customWidth="1"/>
    <col min="11" max="11" width="18.42578125" bestFit="1" customWidth="1"/>
    <col min="12" max="12" width="30.42578125" bestFit="1" customWidth="1"/>
    <col min="13" max="13" width="10.42578125" bestFit="1" customWidth="1"/>
    <col min="14" max="14" width="10.42578125" customWidth="1"/>
    <col min="15" max="15" width="11.42578125" bestFit="1" customWidth="1"/>
    <col min="16" max="16" width="33.42578125" bestFit="1" customWidth="1"/>
    <col min="17" max="17" width="36.85546875" bestFit="1" customWidth="1"/>
    <col min="18" max="18" width="38.140625" bestFit="1" customWidth="1"/>
  </cols>
  <sheetData>
    <row r="1" spans="1:18" x14ac:dyDescent="0.25"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126</v>
      </c>
      <c r="H1" t="s">
        <v>127</v>
      </c>
      <c r="I1" t="s">
        <v>153</v>
      </c>
      <c r="J1" t="s">
        <v>154</v>
      </c>
      <c r="K1" t="s">
        <v>155</v>
      </c>
      <c r="L1" t="s">
        <v>164</v>
      </c>
      <c r="M1" t="s">
        <v>156</v>
      </c>
      <c r="N1" t="s">
        <v>157</v>
      </c>
      <c r="O1" t="s">
        <v>158</v>
      </c>
      <c r="P1" t="str">
        <f>K1&amp;", 3m MA"</f>
        <v>Daily job filling rate, 3m MA</v>
      </c>
      <c r="Q1" t="str">
        <f>L1&amp;", 3m MA"</f>
        <v>Implied daily job filling rate (alpha=0.5), 3m MA</v>
      </c>
      <c r="R1" t="str">
        <f>J1&amp;", 3m MA"</f>
        <v>Monthly flow of new vacancies/L, 3m MA</v>
      </c>
    </row>
    <row r="2" spans="1:18" x14ac:dyDescent="0.25">
      <c r="A2" s="18">
        <f>DATE(2000,12,1)</f>
        <v>36861</v>
      </c>
      <c r="B2">
        <v>5438</v>
      </c>
      <c r="C2">
        <v>5191</v>
      </c>
      <c r="D2">
        <v>1888</v>
      </c>
      <c r="E2">
        <v>132580</v>
      </c>
      <c r="F2">
        <v>143248</v>
      </c>
      <c r="G2">
        <v>3.9E-2</v>
      </c>
      <c r="H2">
        <f t="shared" ref="H2:H65" si="0">C2/F2</f>
        <v>3.6237853233552997E-2</v>
      </c>
      <c r="I2" t="e">
        <f>NA()</f>
        <v>#N/A</v>
      </c>
      <c r="J2" t="e">
        <f t="shared" ref="J2:J65" si="1">I2*E2/F2</f>
        <v>#N/A</v>
      </c>
      <c r="K2" t="e">
        <f>NA()</f>
        <v>#N/A</v>
      </c>
      <c r="L2">
        <f>0.035772338*(H2/G2)^(-0.5)</f>
        <v>3.7110636078078379E-2</v>
      </c>
      <c r="M2">
        <f t="shared" ref="M2:M65" si="2">D2/E2</f>
        <v>1.4240458591039373E-2</v>
      </c>
      <c r="N2">
        <f>H2/G2</f>
        <v>0.92917572393725634</v>
      </c>
      <c r="O2" t="e">
        <f>NA()</f>
        <v>#N/A</v>
      </c>
      <c r="P2" t="e">
        <f>NA()</f>
        <v>#N/A</v>
      </c>
      <c r="Q2" t="e">
        <f>NA()</f>
        <v>#N/A</v>
      </c>
      <c r="R2" t="e">
        <f>NA()</f>
        <v>#N/A</v>
      </c>
    </row>
    <row r="3" spans="1:18" x14ac:dyDescent="0.25">
      <c r="A3" s="18">
        <f>DATE(YEAR(A2),MONTH(A2)+1,1)</f>
        <v>36892</v>
      </c>
      <c r="B3">
        <v>5790</v>
      </c>
      <c r="C3">
        <v>5186</v>
      </c>
      <c r="D3">
        <v>2221</v>
      </c>
      <c r="E3">
        <v>132548</v>
      </c>
      <c r="F3">
        <v>143800</v>
      </c>
      <c r="G3">
        <v>4.2000000000000003E-2</v>
      </c>
      <c r="H3">
        <f t="shared" si="0"/>
        <v>3.6063977746870653E-2</v>
      </c>
      <c r="I3">
        <v>4.4271999999999999E-2</v>
      </c>
      <c r="J3">
        <f t="shared" si="1"/>
        <v>4.0807823755215578E-2</v>
      </c>
      <c r="K3">
        <v>4.2923000000000003E-2</v>
      </c>
      <c r="L3">
        <f t="shared" ref="L3:L66" si="3">0.035772338*(H3/G3)^(-0.5)</f>
        <v>3.8604253392125885E-2</v>
      </c>
      <c r="M3">
        <f t="shared" si="2"/>
        <v>1.6756193982557264E-2</v>
      </c>
      <c r="N3">
        <f t="shared" ref="N3:N66" si="4">H3/G3</f>
        <v>0.85866613683025361</v>
      </c>
      <c r="O3" t="e">
        <f>NA()</f>
        <v>#N/A</v>
      </c>
      <c r="P3" t="e">
        <f>NA()</f>
        <v>#N/A</v>
      </c>
      <c r="Q3" t="e">
        <f>NA()</f>
        <v>#N/A</v>
      </c>
      <c r="R3" t="e">
        <f>NA()</f>
        <v>#N/A</v>
      </c>
    </row>
    <row r="4" spans="1:18" x14ac:dyDescent="0.25">
      <c r="A4" s="18">
        <f t="shared" ref="A4:A67" si="5">DATE(YEAR(A3),MONTH(A3)+1,1)</f>
        <v>36923</v>
      </c>
      <c r="B4">
        <v>5396</v>
      </c>
      <c r="C4">
        <v>4702</v>
      </c>
      <c r="D4">
        <v>1748</v>
      </c>
      <c r="E4">
        <v>132617</v>
      </c>
      <c r="F4">
        <v>143701</v>
      </c>
      <c r="G4">
        <v>4.2000000000000003E-2</v>
      </c>
      <c r="H4">
        <f t="shared" si="0"/>
        <v>3.2720718714553135E-2</v>
      </c>
      <c r="I4">
        <v>3.7505999999999998E-2</v>
      </c>
      <c r="J4">
        <f t="shared" si="1"/>
        <v>3.4613072991837211E-2</v>
      </c>
      <c r="K4">
        <v>4.2280999999999999E-2</v>
      </c>
      <c r="L4">
        <f t="shared" si="3"/>
        <v>4.0528502165457447E-2</v>
      </c>
      <c r="M4">
        <f t="shared" si="2"/>
        <v>1.3180813922800244E-2</v>
      </c>
      <c r="N4">
        <f t="shared" si="4"/>
        <v>0.77906473129888409</v>
      </c>
      <c r="O4">
        <f>AVERAGE(N2:N4)</f>
        <v>0.85563553068879805</v>
      </c>
      <c r="P4" t="e">
        <f>AVERAGE(K2:K4)</f>
        <v>#N/A</v>
      </c>
      <c r="Q4">
        <f>AVERAGE(L2:L4)</f>
        <v>3.8747797211887237E-2</v>
      </c>
      <c r="R4" t="e">
        <f>AVERAGE(J2:J4)</f>
        <v>#N/A</v>
      </c>
    </row>
    <row r="5" spans="1:18" x14ac:dyDescent="0.25">
      <c r="A5" s="18">
        <f t="shared" si="5"/>
        <v>36951</v>
      </c>
      <c r="B5">
        <v>5614</v>
      </c>
      <c r="C5">
        <v>4774</v>
      </c>
      <c r="D5">
        <v>2259</v>
      </c>
      <c r="E5">
        <v>132588</v>
      </c>
      <c r="F5">
        <v>143924</v>
      </c>
      <c r="G5">
        <v>4.2999999999999997E-2</v>
      </c>
      <c r="H5">
        <f t="shared" si="0"/>
        <v>3.3170284316722712E-2</v>
      </c>
      <c r="I5">
        <v>4.3466999999999999E-2</v>
      </c>
      <c r="J5">
        <f t="shared" si="1"/>
        <v>4.0043374253078017E-2</v>
      </c>
      <c r="K5">
        <v>4.5517000000000002E-2</v>
      </c>
      <c r="L5">
        <f t="shared" si="3"/>
        <v>4.0729300962893143E-2</v>
      </c>
      <c r="M5">
        <f t="shared" si="2"/>
        <v>1.7037740972033668E-2</v>
      </c>
      <c r="N5">
        <f t="shared" si="4"/>
        <v>0.77140196085401658</v>
      </c>
      <c r="O5">
        <f t="shared" ref="O5:O68" si="6">AVERAGE(N3:N5)</f>
        <v>0.80304427632771824</v>
      </c>
      <c r="P5">
        <f t="shared" ref="P5:P68" si="7">AVERAGE(K3:K5)</f>
        <v>4.357366666666667E-2</v>
      </c>
      <c r="Q5">
        <f t="shared" ref="Q5:Q68" si="8">AVERAGE(L3:L5)</f>
        <v>3.9954018840158832E-2</v>
      </c>
      <c r="R5">
        <f t="shared" ref="R5:R68" si="9">AVERAGE(J3:J5)</f>
        <v>3.848809033337694E-2</v>
      </c>
    </row>
    <row r="6" spans="1:18" x14ac:dyDescent="0.25">
      <c r="A6" s="18">
        <f t="shared" si="5"/>
        <v>36982</v>
      </c>
      <c r="B6">
        <v>5386</v>
      </c>
      <c r="C6">
        <v>4653</v>
      </c>
      <c r="D6">
        <v>1958</v>
      </c>
      <c r="E6">
        <v>132307</v>
      </c>
      <c r="F6">
        <v>143569</v>
      </c>
      <c r="G6">
        <v>4.4000000000000004E-2</v>
      </c>
      <c r="H6">
        <f t="shared" si="0"/>
        <v>3.2409503444336872E-2</v>
      </c>
      <c r="I6">
        <v>4.0296999999999999E-2</v>
      </c>
      <c r="J6">
        <f t="shared" si="1"/>
        <v>3.7135977676239294E-2</v>
      </c>
      <c r="K6">
        <v>4.4035999999999999E-2</v>
      </c>
      <c r="L6">
        <f t="shared" si="3"/>
        <v>4.1680937172740143E-2</v>
      </c>
      <c r="M6">
        <f t="shared" si="2"/>
        <v>1.4798914645483611E-2</v>
      </c>
      <c r="N6">
        <f t="shared" si="4"/>
        <v>0.7365796237349288</v>
      </c>
      <c r="O6">
        <f t="shared" si="6"/>
        <v>0.76234877196260975</v>
      </c>
      <c r="P6">
        <f t="shared" si="7"/>
        <v>4.3944666666666667E-2</v>
      </c>
      <c r="Q6">
        <f t="shared" si="8"/>
        <v>4.097958010036358E-2</v>
      </c>
      <c r="R6">
        <f t="shared" si="9"/>
        <v>3.7264141640384836E-2</v>
      </c>
    </row>
    <row r="7" spans="1:18" x14ac:dyDescent="0.25">
      <c r="A7" s="18">
        <f t="shared" si="5"/>
        <v>37012</v>
      </c>
      <c r="B7">
        <v>5507</v>
      </c>
      <c r="C7">
        <v>4452</v>
      </c>
      <c r="D7">
        <v>2032</v>
      </c>
      <c r="E7">
        <v>132266</v>
      </c>
      <c r="F7">
        <v>143318</v>
      </c>
      <c r="G7">
        <v>4.2999999999999997E-2</v>
      </c>
      <c r="H7">
        <f t="shared" si="0"/>
        <v>3.1063788219204844E-2</v>
      </c>
      <c r="I7">
        <v>4.0618000000000001E-2</v>
      </c>
      <c r="J7">
        <f t="shared" si="1"/>
        <v>3.7485733738958124E-2</v>
      </c>
      <c r="K7">
        <v>4.6696000000000001E-2</v>
      </c>
      <c r="L7">
        <f t="shared" si="3"/>
        <v>4.2087617807642329E-2</v>
      </c>
      <c r="M7">
        <f t="shared" si="2"/>
        <v>1.5362980660184778E-2</v>
      </c>
      <c r="N7">
        <f t="shared" si="4"/>
        <v>0.72241367951639179</v>
      </c>
      <c r="O7">
        <f t="shared" si="6"/>
        <v>0.74346508803511246</v>
      </c>
      <c r="P7">
        <f t="shared" si="7"/>
        <v>4.5416333333333336E-2</v>
      </c>
      <c r="Q7">
        <f t="shared" si="8"/>
        <v>4.1499285314425205E-2</v>
      </c>
      <c r="R7">
        <f t="shared" si="9"/>
        <v>3.8221695222758478E-2</v>
      </c>
    </row>
    <row r="8" spans="1:18" x14ac:dyDescent="0.25">
      <c r="A8" s="18">
        <f t="shared" si="5"/>
        <v>37043</v>
      </c>
      <c r="B8">
        <v>5116</v>
      </c>
      <c r="C8">
        <v>4337</v>
      </c>
      <c r="D8">
        <v>2003</v>
      </c>
      <c r="E8">
        <v>132140</v>
      </c>
      <c r="F8">
        <v>143357</v>
      </c>
      <c r="G8">
        <v>4.4999999999999998E-2</v>
      </c>
      <c r="H8">
        <f t="shared" si="0"/>
        <v>3.0253144248275285E-2</v>
      </c>
      <c r="I8">
        <v>3.8327E-2</v>
      </c>
      <c r="J8">
        <f t="shared" si="1"/>
        <v>3.5328095454006433E-2</v>
      </c>
      <c r="K8">
        <v>4.4868999999999999E-2</v>
      </c>
      <c r="L8">
        <f t="shared" si="3"/>
        <v>4.3628303276965173E-2</v>
      </c>
      <c r="M8">
        <f t="shared" si="2"/>
        <v>1.5158165581958529E-2</v>
      </c>
      <c r="N8">
        <f t="shared" si="4"/>
        <v>0.67229209440611748</v>
      </c>
      <c r="O8">
        <f t="shared" si="6"/>
        <v>0.71042846588581254</v>
      </c>
      <c r="P8">
        <f t="shared" si="7"/>
        <v>4.5200333333333335E-2</v>
      </c>
      <c r="Q8">
        <f t="shared" si="8"/>
        <v>4.2465619419115884E-2</v>
      </c>
      <c r="R8">
        <f t="shared" si="9"/>
        <v>3.6649935623067946E-2</v>
      </c>
    </row>
    <row r="9" spans="1:18" x14ac:dyDescent="0.25">
      <c r="A9" s="18">
        <f t="shared" si="5"/>
        <v>37073</v>
      </c>
      <c r="B9">
        <v>5173</v>
      </c>
      <c r="C9">
        <v>4231</v>
      </c>
      <c r="D9">
        <v>1992</v>
      </c>
      <c r="E9">
        <v>132018</v>
      </c>
      <c r="F9">
        <v>143654</v>
      </c>
      <c r="G9">
        <v>4.5999999999999999E-2</v>
      </c>
      <c r="H9">
        <f t="shared" si="0"/>
        <v>2.9452712768179096E-2</v>
      </c>
      <c r="I9">
        <v>3.8847E-2</v>
      </c>
      <c r="J9">
        <f t="shared" si="1"/>
        <v>3.5700385969064559E-2</v>
      </c>
      <c r="K9">
        <v>4.6538000000000003E-2</v>
      </c>
      <c r="L9">
        <f t="shared" si="3"/>
        <v>4.4705771128338685E-2</v>
      </c>
      <c r="M9">
        <f t="shared" si="2"/>
        <v>1.508885152024724E-2</v>
      </c>
      <c r="N9">
        <f t="shared" si="4"/>
        <v>0.64027636452563252</v>
      </c>
      <c r="O9">
        <f t="shared" si="6"/>
        <v>0.67832737948271393</v>
      </c>
      <c r="P9">
        <f t="shared" si="7"/>
        <v>4.6034333333333337E-2</v>
      </c>
      <c r="Q9">
        <f t="shared" si="8"/>
        <v>4.3473897404315398E-2</v>
      </c>
      <c r="R9">
        <f t="shared" si="9"/>
        <v>3.6171405054009703E-2</v>
      </c>
    </row>
    <row r="10" spans="1:18" x14ac:dyDescent="0.25">
      <c r="A10" s="18">
        <f t="shared" si="5"/>
        <v>37104</v>
      </c>
      <c r="B10">
        <v>5090</v>
      </c>
      <c r="C10">
        <v>4139</v>
      </c>
      <c r="D10">
        <v>1876</v>
      </c>
      <c r="E10">
        <v>131862</v>
      </c>
      <c r="F10">
        <v>143284</v>
      </c>
      <c r="G10">
        <v>4.9000000000000002E-2</v>
      </c>
      <c r="H10">
        <f t="shared" si="0"/>
        <v>2.8886686580497475E-2</v>
      </c>
      <c r="I10">
        <v>3.8332999999999999E-2</v>
      </c>
      <c r="J10">
        <f t="shared" si="1"/>
        <v>3.5277253887384494E-2</v>
      </c>
      <c r="K10">
        <v>4.6864000000000003E-2</v>
      </c>
      <c r="L10">
        <f t="shared" si="3"/>
        <v>4.6590406633986794E-2</v>
      </c>
      <c r="M10">
        <f t="shared" si="2"/>
        <v>1.4226994888595653E-2</v>
      </c>
      <c r="N10">
        <f t="shared" si="4"/>
        <v>0.58952421592851989</v>
      </c>
      <c r="O10">
        <f t="shared" si="6"/>
        <v>0.63403089162008996</v>
      </c>
      <c r="P10">
        <f t="shared" si="7"/>
        <v>4.6090333333333337E-2</v>
      </c>
      <c r="Q10">
        <f t="shared" si="8"/>
        <v>4.4974827013096887E-2</v>
      </c>
      <c r="R10">
        <f t="shared" si="9"/>
        <v>3.5435245103485162E-2</v>
      </c>
    </row>
    <row r="11" spans="1:18" x14ac:dyDescent="0.25">
      <c r="A11" s="18">
        <f t="shared" si="5"/>
        <v>37135</v>
      </c>
      <c r="B11">
        <v>4937</v>
      </c>
      <c r="C11">
        <v>4006</v>
      </c>
      <c r="D11">
        <v>2042</v>
      </c>
      <c r="E11">
        <v>131618</v>
      </c>
      <c r="F11">
        <v>143989</v>
      </c>
      <c r="G11">
        <v>0.05</v>
      </c>
      <c r="H11">
        <f t="shared" si="0"/>
        <v>2.782156970324122E-2</v>
      </c>
      <c r="I11">
        <v>3.6956000000000003E-2</v>
      </c>
      <c r="J11">
        <f t="shared" si="1"/>
        <v>3.3780877761495673E-2</v>
      </c>
      <c r="K11">
        <v>4.6753000000000003E-2</v>
      </c>
      <c r="L11">
        <f t="shared" si="3"/>
        <v>4.7955841160908029E-2</v>
      </c>
      <c r="M11">
        <f t="shared" si="2"/>
        <v>1.5514595268124421E-2</v>
      </c>
      <c r="N11">
        <f t="shared" si="4"/>
        <v>0.55643139406482434</v>
      </c>
      <c r="O11">
        <f t="shared" si="6"/>
        <v>0.59541065817299221</v>
      </c>
      <c r="P11">
        <f t="shared" si="7"/>
        <v>4.6718333333333341E-2</v>
      </c>
      <c r="Q11">
        <f t="shared" si="8"/>
        <v>4.6417339641077839E-2</v>
      </c>
      <c r="R11">
        <f t="shared" si="9"/>
        <v>3.4919505872648242E-2</v>
      </c>
    </row>
    <row r="12" spans="1:18" x14ac:dyDescent="0.25">
      <c r="A12" s="18">
        <f t="shared" si="5"/>
        <v>37165</v>
      </c>
      <c r="B12">
        <v>5030</v>
      </c>
      <c r="C12">
        <v>3583</v>
      </c>
      <c r="D12">
        <v>2222</v>
      </c>
      <c r="E12">
        <v>131291</v>
      </c>
      <c r="F12">
        <v>144086</v>
      </c>
      <c r="G12">
        <v>5.2999999999999999E-2</v>
      </c>
      <c r="H12">
        <f t="shared" si="0"/>
        <v>2.4867093263745262E-2</v>
      </c>
      <c r="I12">
        <v>3.5548999999999997E-2</v>
      </c>
      <c r="J12">
        <f t="shared" si="1"/>
        <v>3.2392208535180378E-2</v>
      </c>
      <c r="K12">
        <v>5.1519000000000002E-2</v>
      </c>
      <c r="L12">
        <f t="shared" si="3"/>
        <v>5.2224314583601064E-2</v>
      </c>
      <c r="M12">
        <f t="shared" si="2"/>
        <v>1.6924237000251349E-2</v>
      </c>
      <c r="N12">
        <f t="shared" si="4"/>
        <v>0.46919043893858986</v>
      </c>
      <c r="O12">
        <f t="shared" si="6"/>
        <v>0.53838201631064464</v>
      </c>
      <c r="P12">
        <f t="shared" si="7"/>
        <v>4.8378666666666674E-2</v>
      </c>
      <c r="Q12">
        <f t="shared" si="8"/>
        <v>4.8923520792831965E-2</v>
      </c>
      <c r="R12">
        <f t="shared" si="9"/>
        <v>3.3816780061353517E-2</v>
      </c>
    </row>
    <row r="13" spans="1:18" x14ac:dyDescent="0.25">
      <c r="A13" s="18">
        <f t="shared" si="5"/>
        <v>37196</v>
      </c>
      <c r="B13">
        <v>4957</v>
      </c>
      <c r="C13">
        <v>3538</v>
      </c>
      <c r="D13">
        <v>2127</v>
      </c>
      <c r="E13">
        <v>130995</v>
      </c>
      <c r="F13">
        <v>144240</v>
      </c>
      <c r="G13">
        <v>5.5E-2</v>
      </c>
      <c r="H13">
        <f t="shared" si="0"/>
        <v>2.4528563505268997E-2</v>
      </c>
      <c r="I13">
        <v>3.7914999999999997E-2</v>
      </c>
      <c r="J13">
        <f t="shared" si="1"/>
        <v>3.4433412541597333E-2</v>
      </c>
      <c r="K13">
        <v>5.3613000000000001E-2</v>
      </c>
      <c r="L13">
        <f t="shared" si="3"/>
        <v>5.3566418857056403E-2</v>
      </c>
      <c r="M13">
        <f t="shared" si="2"/>
        <v>1.6237260964158937E-2</v>
      </c>
      <c r="N13">
        <f t="shared" si="4"/>
        <v>0.44597388191398174</v>
      </c>
      <c r="O13">
        <f t="shared" si="6"/>
        <v>0.49053190497246529</v>
      </c>
      <c r="P13">
        <f t="shared" si="7"/>
        <v>5.0628333333333331E-2</v>
      </c>
      <c r="Q13">
        <f t="shared" si="8"/>
        <v>5.124885820052183E-2</v>
      </c>
      <c r="R13">
        <f t="shared" si="9"/>
        <v>3.3535499612757792E-2</v>
      </c>
    </row>
    <row r="14" spans="1:18" x14ac:dyDescent="0.25">
      <c r="A14" s="18">
        <f t="shared" si="5"/>
        <v>37226</v>
      </c>
      <c r="B14">
        <v>4771</v>
      </c>
      <c r="C14">
        <v>3559</v>
      </c>
      <c r="D14">
        <v>1864</v>
      </c>
      <c r="E14">
        <v>130823</v>
      </c>
      <c r="F14">
        <v>144305</v>
      </c>
      <c r="G14">
        <v>5.7000000000000002E-2</v>
      </c>
      <c r="H14">
        <f t="shared" si="0"/>
        <v>2.4663040088701016E-2</v>
      </c>
      <c r="I14">
        <v>3.6996000000000001E-2</v>
      </c>
      <c r="J14">
        <f t="shared" si="1"/>
        <v>3.3539570409895705E-2</v>
      </c>
      <c r="K14">
        <v>5.1683E-2</v>
      </c>
      <c r="L14">
        <f t="shared" si="3"/>
        <v>5.438278556367563E-2</v>
      </c>
      <c r="M14">
        <f t="shared" si="2"/>
        <v>1.4248259098170811E-2</v>
      </c>
      <c r="N14">
        <f t="shared" si="4"/>
        <v>0.43268491383685992</v>
      </c>
      <c r="O14">
        <f t="shared" si="6"/>
        <v>0.44928307822981051</v>
      </c>
      <c r="P14">
        <f t="shared" si="7"/>
        <v>5.2271666666666668E-2</v>
      </c>
      <c r="Q14">
        <f t="shared" si="8"/>
        <v>5.3391173001444366E-2</v>
      </c>
      <c r="R14">
        <f t="shared" si="9"/>
        <v>3.3455063828891136E-2</v>
      </c>
    </row>
    <row r="15" spans="1:18" x14ac:dyDescent="0.25">
      <c r="A15" s="18">
        <f t="shared" si="5"/>
        <v>37257</v>
      </c>
      <c r="B15">
        <v>4858</v>
      </c>
      <c r="C15">
        <v>3572</v>
      </c>
      <c r="D15">
        <v>1851</v>
      </c>
      <c r="E15">
        <v>130680</v>
      </c>
      <c r="F15">
        <v>143883</v>
      </c>
      <c r="G15">
        <v>5.7000000000000002E-2</v>
      </c>
      <c r="H15">
        <f t="shared" si="0"/>
        <v>2.4825726458302926E-2</v>
      </c>
      <c r="I15">
        <v>3.7641000000000001E-2</v>
      </c>
      <c r="J15">
        <f t="shared" si="1"/>
        <v>3.4186984424845183E-2</v>
      </c>
      <c r="K15">
        <v>5.2386000000000002E-2</v>
      </c>
      <c r="L15">
        <f t="shared" si="3"/>
        <v>5.4204303775691347E-2</v>
      </c>
      <c r="M15">
        <f t="shared" si="2"/>
        <v>1.41643709825528E-2</v>
      </c>
      <c r="N15">
        <f t="shared" si="4"/>
        <v>0.43553906067198117</v>
      </c>
      <c r="O15">
        <f t="shared" si="6"/>
        <v>0.43806595214094091</v>
      </c>
      <c r="P15">
        <f t="shared" si="7"/>
        <v>5.2560666666666665E-2</v>
      </c>
      <c r="Q15">
        <f t="shared" si="8"/>
        <v>5.4051169398807795E-2</v>
      </c>
      <c r="R15">
        <f t="shared" si="9"/>
        <v>3.4053322458779407E-2</v>
      </c>
    </row>
    <row r="16" spans="1:18" x14ac:dyDescent="0.25">
      <c r="A16" s="18">
        <f t="shared" si="5"/>
        <v>37288</v>
      </c>
      <c r="B16">
        <v>4903</v>
      </c>
      <c r="C16">
        <v>3370</v>
      </c>
      <c r="D16">
        <v>1946</v>
      </c>
      <c r="E16">
        <v>130545</v>
      </c>
      <c r="F16">
        <v>144653</v>
      </c>
      <c r="G16">
        <v>5.7000000000000002E-2</v>
      </c>
      <c r="H16">
        <f t="shared" si="0"/>
        <v>2.3297131756686691E-2</v>
      </c>
      <c r="I16">
        <v>3.6382999999999999E-2</v>
      </c>
      <c r="J16">
        <f t="shared" si="1"/>
        <v>3.2834567793270791E-2</v>
      </c>
      <c r="K16">
        <v>5.4644999999999999E-2</v>
      </c>
      <c r="L16">
        <f t="shared" si="3"/>
        <v>5.5954307539116031E-2</v>
      </c>
      <c r="M16">
        <f t="shared" si="2"/>
        <v>1.4906737140449653E-2</v>
      </c>
      <c r="N16">
        <f t="shared" si="4"/>
        <v>0.40872160976643318</v>
      </c>
      <c r="O16">
        <f t="shared" si="6"/>
        <v>0.42564852809175813</v>
      </c>
      <c r="P16">
        <f t="shared" si="7"/>
        <v>5.2904666666666662E-2</v>
      </c>
      <c r="Q16">
        <f t="shared" si="8"/>
        <v>5.4847132292827672E-2</v>
      </c>
      <c r="R16">
        <f t="shared" si="9"/>
        <v>3.3520374209337227E-2</v>
      </c>
    </row>
    <row r="17" spans="1:18" x14ac:dyDescent="0.25">
      <c r="A17" s="18">
        <f t="shared" si="5"/>
        <v>37316</v>
      </c>
      <c r="B17">
        <v>4637</v>
      </c>
      <c r="C17">
        <v>3560</v>
      </c>
      <c r="D17">
        <v>1776</v>
      </c>
      <c r="E17">
        <v>130523</v>
      </c>
      <c r="F17">
        <v>144481</v>
      </c>
      <c r="G17">
        <v>5.7000000000000002E-2</v>
      </c>
      <c r="H17">
        <f t="shared" si="0"/>
        <v>2.4639918051508503E-2</v>
      </c>
      <c r="I17">
        <v>3.7325999999999998E-2</v>
      </c>
      <c r="J17">
        <f t="shared" si="1"/>
        <v>3.3720015074646496E-2</v>
      </c>
      <c r="K17">
        <v>5.1212000000000001E-2</v>
      </c>
      <c r="L17">
        <f t="shared" si="3"/>
        <v>5.4408295915035529E-2</v>
      </c>
      <c r="M17">
        <f t="shared" si="2"/>
        <v>1.3606797269446764E-2</v>
      </c>
      <c r="N17">
        <f t="shared" si="4"/>
        <v>0.43227926406155265</v>
      </c>
      <c r="O17">
        <f t="shared" si="6"/>
        <v>0.425513311499989</v>
      </c>
      <c r="P17">
        <f t="shared" si="7"/>
        <v>5.2747666666666665E-2</v>
      </c>
      <c r="Q17">
        <f t="shared" si="8"/>
        <v>5.4855635743280971E-2</v>
      </c>
      <c r="R17">
        <f t="shared" si="9"/>
        <v>3.3580522430920828E-2</v>
      </c>
    </row>
    <row r="18" spans="1:18" x14ac:dyDescent="0.25">
      <c r="A18" s="18">
        <f t="shared" si="5"/>
        <v>37347</v>
      </c>
      <c r="B18">
        <v>4984</v>
      </c>
      <c r="C18">
        <v>3373</v>
      </c>
      <c r="D18">
        <v>1924</v>
      </c>
      <c r="E18">
        <v>130440</v>
      </c>
      <c r="F18">
        <v>144725</v>
      </c>
      <c r="G18">
        <v>5.9000000000000004E-2</v>
      </c>
      <c r="H18">
        <f t="shared" si="0"/>
        <v>2.3306270513041977E-2</v>
      </c>
      <c r="I18">
        <v>3.7144000000000003E-2</v>
      </c>
      <c r="J18">
        <f t="shared" si="1"/>
        <v>3.347772230091553E-2</v>
      </c>
      <c r="K18">
        <v>5.5601999999999999E-2</v>
      </c>
      <c r="L18">
        <f t="shared" si="3"/>
        <v>5.6916336709863513E-2</v>
      </c>
      <c r="M18">
        <f t="shared" si="2"/>
        <v>1.4750076663600122E-2</v>
      </c>
      <c r="N18">
        <f t="shared" si="4"/>
        <v>0.39502153411935553</v>
      </c>
      <c r="O18">
        <f t="shared" si="6"/>
        <v>0.41200746931578047</v>
      </c>
      <c r="P18">
        <f t="shared" si="7"/>
        <v>5.3819666666666675E-2</v>
      </c>
      <c r="Q18">
        <f t="shared" si="8"/>
        <v>5.5759646721338353E-2</v>
      </c>
      <c r="R18">
        <f t="shared" si="9"/>
        <v>3.3344101722944275E-2</v>
      </c>
    </row>
    <row r="19" spans="1:18" x14ac:dyDescent="0.25">
      <c r="A19" s="18">
        <f t="shared" si="5"/>
        <v>37377</v>
      </c>
      <c r="B19">
        <v>4997</v>
      </c>
      <c r="C19">
        <v>3482</v>
      </c>
      <c r="D19">
        <v>1944</v>
      </c>
      <c r="E19">
        <v>130434</v>
      </c>
      <c r="F19">
        <v>144938</v>
      </c>
      <c r="G19">
        <v>5.7999999999999996E-2</v>
      </c>
      <c r="H19">
        <f t="shared" si="0"/>
        <v>2.4024065462473609E-2</v>
      </c>
      <c r="I19">
        <v>3.9516999999999997E-2</v>
      </c>
      <c r="J19">
        <f t="shared" si="1"/>
        <v>3.5562518994328607E-2</v>
      </c>
      <c r="K19">
        <v>5.5891999999999997E-2</v>
      </c>
      <c r="L19">
        <f t="shared" si="3"/>
        <v>5.5582499285993715E-2</v>
      </c>
      <c r="M19">
        <f t="shared" si="2"/>
        <v>1.4904089424536547E-2</v>
      </c>
      <c r="N19">
        <f t="shared" si="4"/>
        <v>0.41420802521506223</v>
      </c>
      <c r="O19">
        <f t="shared" si="6"/>
        <v>0.41383627446532345</v>
      </c>
      <c r="P19">
        <f t="shared" si="7"/>
        <v>5.423533333333333E-2</v>
      </c>
      <c r="Q19">
        <f t="shared" si="8"/>
        <v>5.5635710636964257E-2</v>
      </c>
      <c r="R19">
        <f t="shared" si="9"/>
        <v>3.4253418789963547E-2</v>
      </c>
    </row>
    <row r="20" spans="1:18" x14ac:dyDescent="0.25">
      <c r="A20" s="18">
        <f t="shared" si="5"/>
        <v>37408</v>
      </c>
      <c r="B20">
        <v>4840</v>
      </c>
      <c r="C20">
        <v>3251</v>
      </c>
      <c r="D20">
        <v>1863</v>
      </c>
      <c r="E20">
        <v>130486</v>
      </c>
      <c r="F20">
        <v>144808</v>
      </c>
      <c r="G20">
        <v>5.7999999999999996E-2</v>
      </c>
      <c r="H20">
        <f t="shared" si="0"/>
        <v>2.2450417104027402E-2</v>
      </c>
      <c r="I20">
        <v>3.5666999999999997E-2</v>
      </c>
      <c r="J20">
        <f t="shared" si="1"/>
        <v>3.2139413305894697E-2</v>
      </c>
      <c r="K20">
        <v>5.5683000000000003E-2</v>
      </c>
      <c r="L20">
        <f t="shared" si="3"/>
        <v>5.749752030905788E-2</v>
      </c>
      <c r="M20">
        <f t="shared" si="2"/>
        <v>1.4277393743390095E-2</v>
      </c>
      <c r="N20">
        <f t="shared" si="4"/>
        <v>0.38707615696598968</v>
      </c>
      <c r="O20">
        <f t="shared" si="6"/>
        <v>0.39876857210013578</v>
      </c>
      <c r="P20">
        <f t="shared" si="7"/>
        <v>5.5725666666666666E-2</v>
      </c>
      <c r="Q20">
        <f t="shared" si="8"/>
        <v>5.6665452101638369E-2</v>
      </c>
      <c r="R20">
        <f t="shared" si="9"/>
        <v>3.3726551533712949E-2</v>
      </c>
    </row>
    <row r="21" spans="1:18" x14ac:dyDescent="0.25">
      <c r="A21" s="18">
        <f t="shared" si="5"/>
        <v>37438</v>
      </c>
      <c r="B21">
        <v>5047</v>
      </c>
      <c r="C21">
        <v>3403</v>
      </c>
      <c r="D21">
        <v>2146</v>
      </c>
      <c r="E21">
        <v>130394</v>
      </c>
      <c r="F21">
        <v>144803</v>
      </c>
      <c r="G21">
        <v>5.7999999999999996E-2</v>
      </c>
      <c r="H21">
        <f t="shared" si="0"/>
        <v>2.3500894318487876E-2</v>
      </c>
      <c r="I21">
        <v>4.0268999999999999E-2</v>
      </c>
      <c r="J21">
        <f t="shared" si="1"/>
        <v>3.6261928178283602E-2</v>
      </c>
      <c r="K21">
        <v>5.8062999999999997E-2</v>
      </c>
      <c r="L21">
        <f t="shared" si="3"/>
        <v>5.6197775832224066E-2</v>
      </c>
      <c r="M21">
        <f t="shared" si="2"/>
        <v>1.6457812476034173E-2</v>
      </c>
      <c r="N21">
        <f t="shared" si="4"/>
        <v>0.40518783307737721</v>
      </c>
      <c r="O21">
        <f t="shared" si="6"/>
        <v>0.40215733841947637</v>
      </c>
      <c r="P21">
        <f t="shared" si="7"/>
        <v>5.6546000000000006E-2</v>
      </c>
      <c r="Q21">
        <f t="shared" si="8"/>
        <v>5.6425931809091889E-2</v>
      </c>
      <c r="R21">
        <f t="shared" si="9"/>
        <v>3.4654620159502304E-2</v>
      </c>
    </row>
    <row r="22" spans="1:18" x14ac:dyDescent="0.25">
      <c r="A22" s="18">
        <f t="shared" si="5"/>
        <v>37469</v>
      </c>
      <c r="B22">
        <v>4845</v>
      </c>
      <c r="C22">
        <v>3415</v>
      </c>
      <c r="D22">
        <v>1843</v>
      </c>
      <c r="E22">
        <v>130380</v>
      </c>
      <c r="F22">
        <v>145009</v>
      </c>
      <c r="G22">
        <v>5.7000000000000002E-2</v>
      </c>
      <c r="H22">
        <f t="shared" si="0"/>
        <v>2.355026239750636E-2</v>
      </c>
      <c r="I22">
        <v>3.7601999999999997E-2</v>
      </c>
      <c r="J22">
        <f t="shared" si="1"/>
        <v>3.3808582639698222E-2</v>
      </c>
      <c r="K22">
        <v>5.4643999999999998E-2</v>
      </c>
      <c r="L22">
        <f t="shared" si="3"/>
        <v>5.5652781906926532E-2</v>
      </c>
      <c r="M22">
        <f t="shared" si="2"/>
        <v>1.4135603620187145E-2</v>
      </c>
      <c r="N22">
        <f t="shared" si="4"/>
        <v>0.41316249820186596</v>
      </c>
      <c r="O22">
        <f t="shared" si="6"/>
        <v>0.40180882941507762</v>
      </c>
      <c r="P22">
        <f t="shared" si="7"/>
        <v>5.6129999999999992E-2</v>
      </c>
      <c r="Q22">
        <f t="shared" si="8"/>
        <v>5.6449359349402824E-2</v>
      </c>
      <c r="R22">
        <f t="shared" si="9"/>
        <v>3.406997470795884E-2</v>
      </c>
    </row>
    <row r="23" spans="1:18" x14ac:dyDescent="0.25">
      <c r="A23" s="18">
        <f t="shared" si="5"/>
        <v>37500</v>
      </c>
      <c r="B23">
        <v>4862</v>
      </c>
      <c r="C23">
        <v>3290</v>
      </c>
      <c r="D23">
        <v>1907</v>
      </c>
      <c r="E23">
        <v>130322</v>
      </c>
      <c r="F23">
        <v>145552</v>
      </c>
      <c r="G23">
        <v>5.7000000000000002E-2</v>
      </c>
      <c r="H23">
        <f t="shared" si="0"/>
        <v>2.2603605584258547E-2</v>
      </c>
      <c r="I23">
        <v>3.6701999999999999E-2</v>
      </c>
      <c r="J23">
        <f t="shared" si="1"/>
        <v>3.2861644250851925E-2</v>
      </c>
      <c r="K23">
        <v>5.5992E-2</v>
      </c>
      <c r="L23">
        <f t="shared" si="3"/>
        <v>5.6806220225728912E-2</v>
      </c>
      <c r="M23">
        <f t="shared" si="2"/>
        <v>1.4632985988551435E-2</v>
      </c>
      <c r="N23">
        <f t="shared" si="4"/>
        <v>0.39655448393436044</v>
      </c>
      <c r="O23">
        <f t="shared" si="6"/>
        <v>0.40496827173786781</v>
      </c>
      <c r="P23">
        <f t="shared" si="7"/>
        <v>5.6232999999999998E-2</v>
      </c>
      <c r="Q23">
        <f t="shared" si="8"/>
        <v>5.6218925988293166E-2</v>
      </c>
      <c r="R23">
        <f t="shared" si="9"/>
        <v>3.4310718356277914E-2</v>
      </c>
    </row>
    <row r="24" spans="1:18" x14ac:dyDescent="0.25">
      <c r="A24" s="18">
        <f t="shared" si="5"/>
        <v>37530</v>
      </c>
      <c r="B24">
        <v>4811</v>
      </c>
      <c r="C24">
        <v>3560</v>
      </c>
      <c r="D24">
        <v>1838</v>
      </c>
      <c r="E24">
        <v>130446</v>
      </c>
      <c r="F24">
        <v>145314</v>
      </c>
      <c r="G24">
        <v>5.7000000000000002E-2</v>
      </c>
      <c r="H24">
        <f t="shared" si="0"/>
        <v>2.449867184166701E-2</v>
      </c>
      <c r="I24">
        <v>3.9303999999999999E-2</v>
      </c>
      <c r="J24">
        <f t="shared" si="1"/>
        <v>3.5282557661340266E-2</v>
      </c>
      <c r="K24">
        <v>5.3615000000000003E-2</v>
      </c>
      <c r="L24">
        <f t="shared" si="3"/>
        <v>5.4564915028930107E-2</v>
      </c>
      <c r="M24">
        <f t="shared" si="2"/>
        <v>1.4090121582877205E-2</v>
      </c>
      <c r="N24">
        <f t="shared" si="4"/>
        <v>0.42980126038012295</v>
      </c>
      <c r="O24">
        <f t="shared" si="6"/>
        <v>0.4131727475054498</v>
      </c>
      <c r="P24">
        <f t="shared" si="7"/>
        <v>5.4750333333333338E-2</v>
      </c>
      <c r="Q24">
        <f t="shared" si="8"/>
        <v>5.567463905386185E-2</v>
      </c>
      <c r="R24">
        <f t="shared" si="9"/>
        <v>3.3984261517296804E-2</v>
      </c>
    </row>
    <row r="25" spans="1:18" x14ac:dyDescent="0.25">
      <c r="A25" s="18">
        <f t="shared" si="5"/>
        <v>37561</v>
      </c>
      <c r="B25">
        <v>4893</v>
      </c>
      <c r="C25">
        <v>3513</v>
      </c>
      <c r="D25">
        <v>1896</v>
      </c>
      <c r="E25">
        <v>130453</v>
      </c>
      <c r="F25">
        <v>145041</v>
      </c>
      <c r="G25">
        <v>5.9000000000000004E-2</v>
      </c>
      <c r="H25">
        <f t="shared" si="0"/>
        <v>2.4220737584545061E-2</v>
      </c>
      <c r="I25">
        <v>3.7519999999999998E-2</v>
      </c>
      <c r="J25">
        <f t="shared" si="1"/>
        <v>3.3746296288635624E-2</v>
      </c>
      <c r="K25">
        <v>5.3282999999999997E-2</v>
      </c>
      <c r="L25">
        <f t="shared" si="3"/>
        <v>5.5831545407184151E-2</v>
      </c>
      <c r="M25">
        <f t="shared" si="2"/>
        <v>1.4533970088844259E-2</v>
      </c>
      <c r="N25">
        <f t="shared" si="4"/>
        <v>0.41052097600923831</v>
      </c>
      <c r="O25">
        <f t="shared" si="6"/>
        <v>0.41229224010790722</v>
      </c>
      <c r="P25">
        <f t="shared" si="7"/>
        <v>5.4296666666666667E-2</v>
      </c>
      <c r="Q25">
        <f t="shared" si="8"/>
        <v>5.5734226887281059E-2</v>
      </c>
      <c r="R25">
        <f t="shared" si="9"/>
        <v>3.3963499400275939E-2</v>
      </c>
    </row>
    <row r="26" spans="1:18" x14ac:dyDescent="0.25">
      <c r="A26" s="18">
        <f t="shared" si="5"/>
        <v>37591</v>
      </c>
      <c r="B26">
        <v>4965</v>
      </c>
      <c r="C26">
        <v>3056</v>
      </c>
      <c r="D26">
        <v>2007</v>
      </c>
      <c r="E26">
        <v>130291</v>
      </c>
      <c r="F26">
        <v>145066</v>
      </c>
      <c r="G26">
        <v>0.06</v>
      </c>
      <c r="H26">
        <f t="shared" si="0"/>
        <v>2.1066273282505894E-2</v>
      </c>
      <c r="I26">
        <v>3.4958999999999997E-2</v>
      </c>
      <c r="J26">
        <f t="shared" si="1"/>
        <v>3.139841912646657E-2</v>
      </c>
      <c r="K26">
        <v>5.9029999999999999E-2</v>
      </c>
      <c r="L26">
        <f t="shared" si="3"/>
        <v>6.0371100673885757E-2</v>
      </c>
      <c r="M26">
        <f t="shared" si="2"/>
        <v>1.540398032097382E-2</v>
      </c>
      <c r="N26">
        <f t="shared" si="4"/>
        <v>0.35110455470843155</v>
      </c>
      <c r="O26">
        <f t="shared" si="6"/>
        <v>0.39714226369926425</v>
      </c>
      <c r="P26">
        <f t="shared" si="7"/>
        <v>5.5309333333333328E-2</v>
      </c>
      <c r="Q26">
        <f t="shared" si="8"/>
        <v>5.6922520370000007E-2</v>
      </c>
      <c r="R26">
        <f t="shared" si="9"/>
        <v>3.3475757692147487E-2</v>
      </c>
    </row>
    <row r="27" spans="1:18" x14ac:dyDescent="0.25">
      <c r="A27" s="18">
        <f t="shared" si="5"/>
        <v>37622</v>
      </c>
      <c r="B27">
        <v>5000</v>
      </c>
      <c r="C27">
        <v>3618</v>
      </c>
      <c r="D27">
        <v>1961</v>
      </c>
      <c r="E27">
        <v>130380</v>
      </c>
      <c r="F27">
        <v>145937</v>
      </c>
      <c r="G27">
        <v>5.7999999999999996E-2</v>
      </c>
      <c r="H27">
        <f t="shared" si="0"/>
        <v>2.4791519628332773E-2</v>
      </c>
      <c r="I27">
        <v>4.3028999999999998E-2</v>
      </c>
      <c r="J27">
        <f t="shared" si="1"/>
        <v>3.8442074456786143E-2</v>
      </c>
      <c r="K27">
        <v>5.6641999999999998E-2</v>
      </c>
      <c r="L27">
        <f t="shared" si="3"/>
        <v>5.4715421387110774E-2</v>
      </c>
      <c r="M27">
        <f t="shared" si="2"/>
        <v>1.5040650406504066E-2</v>
      </c>
      <c r="N27">
        <f t="shared" si="4"/>
        <v>0.4274399935919444</v>
      </c>
      <c r="O27">
        <f t="shared" si="6"/>
        <v>0.39635517476987142</v>
      </c>
      <c r="P27">
        <f t="shared" si="7"/>
        <v>5.6318333333333331E-2</v>
      </c>
      <c r="Q27">
        <f t="shared" si="8"/>
        <v>5.697268915606022E-2</v>
      </c>
      <c r="R27">
        <f t="shared" si="9"/>
        <v>3.452892995729611E-2</v>
      </c>
    </row>
    <row r="28" spans="1:18" x14ac:dyDescent="0.25">
      <c r="A28" s="18">
        <f t="shared" si="5"/>
        <v>37653</v>
      </c>
      <c r="B28">
        <v>4676</v>
      </c>
      <c r="C28">
        <v>3378</v>
      </c>
      <c r="D28">
        <v>1940</v>
      </c>
      <c r="E28">
        <v>130222</v>
      </c>
      <c r="F28">
        <v>146100</v>
      </c>
      <c r="G28">
        <v>5.9000000000000004E-2</v>
      </c>
      <c r="H28">
        <f t="shared" si="0"/>
        <v>2.3121149897330596E-2</v>
      </c>
      <c r="I28">
        <v>3.4442E-2</v>
      </c>
      <c r="J28">
        <f t="shared" si="1"/>
        <v>3.0698878329911018E-2</v>
      </c>
      <c r="K28">
        <v>5.1744999999999999E-2</v>
      </c>
      <c r="L28">
        <f t="shared" si="3"/>
        <v>5.7143734164718255E-2</v>
      </c>
      <c r="M28">
        <f t="shared" si="2"/>
        <v>1.4897636344089324E-2</v>
      </c>
      <c r="N28">
        <f t="shared" si="4"/>
        <v>0.39188389656492534</v>
      </c>
      <c r="O28">
        <f t="shared" si="6"/>
        <v>0.39014281495510045</v>
      </c>
      <c r="P28">
        <f t="shared" si="7"/>
        <v>5.5805666666666663E-2</v>
      </c>
      <c r="Q28">
        <f t="shared" si="8"/>
        <v>5.74100854085716E-2</v>
      </c>
      <c r="R28">
        <f t="shared" si="9"/>
        <v>3.3513123971054576E-2</v>
      </c>
    </row>
    <row r="29" spans="1:18" x14ac:dyDescent="0.25">
      <c r="A29" s="18">
        <f t="shared" si="5"/>
        <v>37681</v>
      </c>
      <c r="B29">
        <v>4402</v>
      </c>
      <c r="C29">
        <v>3056</v>
      </c>
      <c r="D29">
        <v>1871</v>
      </c>
      <c r="E29">
        <v>130007</v>
      </c>
      <c r="F29">
        <v>146022</v>
      </c>
      <c r="G29">
        <v>5.9000000000000004E-2</v>
      </c>
      <c r="H29">
        <f t="shared" si="0"/>
        <v>2.0928353261837257E-2</v>
      </c>
      <c r="I29">
        <v>3.1717000000000002E-2</v>
      </c>
      <c r="J29">
        <f t="shared" si="1"/>
        <v>2.8238429955760092E-2</v>
      </c>
      <c r="K29">
        <v>5.3141000000000001E-2</v>
      </c>
      <c r="L29">
        <f t="shared" si="3"/>
        <v>6.006283159956885E-2</v>
      </c>
      <c r="M29">
        <f t="shared" si="2"/>
        <v>1.4391532763620421E-2</v>
      </c>
      <c r="N29">
        <f t="shared" si="4"/>
        <v>0.35471785189554672</v>
      </c>
      <c r="O29">
        <f t="shared" si="6"/>
        <v>0.3913472473508055</v>
      </c>
      <c r="P29">
        <f t="shared" si="7"/>
        <v>5.3842666666666671E-2</v>
      </c>
      <c r="Q29">
        <f t="shared" si="8"/>
        <v>5.7307329050465962E-2</v>
      </c>
      <c r="R29">
        <f t="shared" si="9"/>
        <v>3.2459794247485747E-2</v>
      </c>
    </row>
    <row r="30" spans="1:18" x14ac:dyDescent="0.25">
      <c r="A30" s="18">
        <f t="shared" si="5"/>
        <v>37712</v>
      </c>
      <c r="B30">
        <v>4583</v>
      </c>
      <c r="C30">
        <v>3107</v>
      </c>
      <c r="D30">
        <v>1929</v>
      </c>
      <c r="E30">
        <v>129956</v>
      </c>
      <c r="F30">
        <v>146474</v>
      </c>
      <c r="G30">
        <v>0.06</v>
      </c>
      <c r="H30">
        <f t="shared" si="0"/>
        <v>2.1211955705449433E-2</v>
      </c>
      <c r="I30">
        <v>3.5991000000000002E-2</v>
      </c>
      <c r="J30">
        <f t="shared" si="1"/>
        <v>3.1932263719158353E-2</v>
      </c>
      <c r="K30">
        <v>5.7104000000000002E-2</v>
      </c>
      <c r="L30">
        <f t="shared" si="3"/>
        <v>6.0163430968190511E-2</v>
      </c>
      <c r="M30">
        <f t="shared" si="2"/>
        <v>1.4843485487395733E-2</v>
      </c>
      <c r="N30">
        <f t="shared" si="4"/>
        <v>0.35353259509082391</v>
      </c>
      <c r="O30">
        <f t="shared" si="6"/>
        <v>0.36671144785043203</v>
      </c>
      <c r="P30">
        <f t="shared" si="7"/>
        <v>5.3996666666666672E-2</v>
      </c>
      <c r="Q30">
        <f t="shared" si="8"/>
        <v>5.91233322441592E-2</v>
      </c>
      <c r="R30">
        <f t="shared" si="9"/>
        <v>3.0289857334943149E-2</v>
      </c>
    </row>
    <row r="31" spans="1:18" x14ac:dyDescent="0.25">
      <c r="A31" s="18">
        <f t="shared" si="5"/>
        <v>37742</v>
      </c>
      <c r="B31">
        <v>4589</v>
      </c>
      <c r="C31">
        <v>3108</v>
      </c>
      <c r="D31">
        <v>1956</v>
      </c>
      <c r="E31">
        <v>129946</v>
      </c>
      <c r="F31">
        <v>146500</v>
      </c>
      <c r="G31">
        <v>6.0999999999999999E-2</v>
      </c>
      <c r="H31">
        <f t="shared" si="0"/>
        <v>2.1215017064846416E-2</v>
      </c>
      <c r="I31">
        <v>3.5661999999999999E-2</v>
      </c>
      <c r="J31">
        <f t="shared" si="1"/>
        <v>3.1632315713310578E-2</v>
      </c>
      <c r="K31">
        <v>5.6795999999999999E-2</v>
      </c>
      <c r="L31">
        <f t="shared" si="3"/>
        <v>6.0658344094449104E-2</v>
      </c>
      <c r="M31">
        <f t="shared" si="2"/>
        <v>1.5052406384190356E-2</v>
      </c>
      <c r="N31">
        <f t="shared" si="4"/>
        <v>0.34778716499748225</v>
      </c>
      <c r="O31">
        <f t="shared" si="6"/>
        <v>0.35201253732795096</v>
      </c>
      <c r="P31">
        <f t="shared" si="7"/>
        <v>5.5680333333333332E-2</v>
      </c>
      <c r="Q31">
        <f t="shared" si="8"/>
        <v>6.0294868887402819E-2</v>
      </c>
      <c r="R31">
        <f t="shared" si="9"/>
        <v>3.0601003129409676E-2</v>
      </c>
    </row>
    <row r="32" spans="1:18" x14ac:dyDescent="0.25">
      <c r="A32" s="18">
        <f t="shared" si="5"/>
        <v>37773</v>
      </c>
      <c r="B32">
        <v>4725</v>
      </c>
      <c r="C32">
        <v>3196</v>
      </c>
      <c r="D32">
        <v>2061</v>
      </c>
      <c r="E32">
        <v>129943</v>
      </c>
      <c r="F32">
        <v>147056</v>
      </c>
      <c r="G32">
        <v>6.3E-2</v>
      </c>
      <c r="H32">
        <f t="shared" si="0"/>
        <v>2.1733217277771732E-2</v>
      </c>
      <c r="I32">
        <v>3.7402999999999999E-2</v>
      </c>
      <c r="J32">
        <f t="shared" si="1"/>
        <v>3.3050389164671956E-2</v>
      </c>
      <c r="K32">
        <v>5.7487000000000003E-2</v>
      </c>
      <c r="L32">
        <f t="shared" si="3"/>
        <v>6.0905370491040257E-2</v>
      </c>
      <c r="M32">
        <f t="shared" si="2"/>
        <v>1.5860800504836736E-2</v>
      </c>
      <c r="N32">
        <f t="shared" si="4"/>
        <v>0.34497170282177353</v>
      </c>
      <c r="O32">
        <f t="shared" si="6"/>
        <v>0.34876382097002656</v>
      </c>
      <c r="P32">
        <f t="shared" si="7"/>
        <v>5.7129000000000006E-2</v>
      </c>
      <c r="Q32">
        <f t="shared" si="8"/>
        <v>6.0575715184559953E-2</v>
      </c>
      <c r="R32">
        <f t="shared" si="9"/>
        <v>3.2204989532380296E-2</v>
      </c>
    </row>
    <row r="33" spans="1:18" x14ac:dyDescent="0.25">
      <c r="A33" s="18">
        <f t="shared" si="5"/>
        <v>37803</v>
      </c>
      <c r="B33">
        <v>4616</v>
      </c>
      <c r="C33">
        <v>3106</v>
      </c>
      <c r="D33">
        <v>1992</v>
      </c>
      <c r="E33">
        <v>129963</v>
      </c>
      <c r="F33">
        <v>146485</v>
      </c>
      <c r="G33">
        <v>6.2E-2</v>
      </c>
      <c r="H33">
        <f t="shared" si="0"/>
        <v>2.1203536198245554E-2</v>
      </c>
      <c r="I33">
        <v>3.5174999999999998E-2</v>
      </c>
      <c r="J33">
        <f t="shared" si="1"/>
        <v>3.120762211147899E-2</v>
      </c>
      <c r="K33">
        <v>5.6509999999999998E-2</v>
      </c>
      <c r="L33">
        <f t="shared" si="3"/>
        <v>6.1170076318929921E-2</v>
      </c>
      <c r="M33">
        <f t="shared" si="2"/>
        <v>1.5327439348122158E-2</v>
      </c>
      <c r="N33">
        <f t="shared" si="4"/>
        <v>0.34199251932654118</v>
      </c>
      <c r="O33">
        <f t="shared" si="6"/>
        <v>0.344917129048599</v>
      </c>
      <c r="P33">
        <f t="shared" si="7"/>
        <v>5.6931000000000002E-2</v>
      </c>
      <c r="Q33">
        <f t="shared" si="8"/>
        <v>6.091126363480643E-2</v>
      </c>
      <c r="R33">
        <f t="shared" si="9"/>
        <v>3.1963442329820506E-2</v>
      </c>
    </row>
    <row r="34" spans="1:18" x14ac:dyDescent="0.25">
      <c r="A34" s="18">
        <f t="shared" si="5"/>
        <v>37834</v>
      </c>
      <c r="B34">
        <v>4637</v>
      </c>
      <c r="C34">
        <v>3182</v>
      </c>
      <c r="D34">
        <v>2027</v>
      </c>
      <c r="E34">
        <v>129919</v>
      </c>
      <c r="F34">
        <v>146445</v>
      </c>
      <c r="G34">
        <v>6.0999999999999999E-2</v>
      </c>
      <c r="H34">
        <f t="shared" si="0"/>
        <v>2.1728293898733313E-2</v>
      </c>
      <c r="I34">
        <v>3.6634E-2</v>
      </c>
      <c r="J34">
        <f t="shared" si="1"/>
        <v>3.2499932711939634E-2</v>
      </c>
      <c r="K34">
        <v>5.6584000000000002E-2</v>
      </c>
      <c r="L34">
        <f t="shared" si="3"/>
        <v>5.9937611114467264E-2</v>
      </c>
      <c r="M34">
        <f t="shared" si="2"/>
        <v>1.5602028956503668E-2</v>
      </c>
      <c r="N34">
        <f t="shared" si="4"/>
        <v>0.35620153932349696</v>
      </c>
      <c r="O34">
        <f t="shared" si="6"/>
        <v>0.34772192049060391</v>
      </c>
      <c r="P34">
        <f t="shared" si="7"/>
        <v>5.6860333333333339E-2</v>
      </c>
      <c r="Q34">
        <f t="shared" si="8"/>
        <v>6.0671019308145814E-2</v>
      </c>
      <c r="R34">
        <f t="shared" si="9"/>
        <v>3.2252647996030191E-2</v>
      </c>
    </row>
    <row r="35" spans="1:18" x14ac:dyDescent="0.25">
      <c r="A35" s="18">
        <f t="shared" si="5"/>
        <v>37865</v>
      </c>
      <c r="B35">
        <v>4744</v>
      </c>
      <c r="C35">
        <v>3051</v>
      </c>
      <c r="D35">
        <v>1794</v>
      </c>
      <c r="E35">
        <v>130024</v>
      </c>
      <c r="F35">
        <v>146530</v>
      </c>
      <c r="G35">
        <v>6.0999999999999999E-2</v>
      </c>
      <c r="H35">
        <f t="shared" si="0"/>
        <v>2.0821674742373574E-2</v>
      </c>
      <c r="I35">
        <v>3.5788E-2</v>
      </c>
      <c r="J35">
        <f t="shared" si="1"/>
        <v>3.1756629441070092E-2</v>
      </c>
      <c r="K35">
        <v>5.8812999999999997E-2</v>
      </c>
      <c r="L35">
        <f t="shared" si="3"/>
        <v>6.1228611945935055E-2</v>
      </c>
      <c r="M35">
        <f t="shared" si="2"/>
        <v>1.3797452777948686E-2</v>
      </c>
      <c r="N35">
        <f t="shared" si="4"/>
        <v>0.3413389302028455</v>
      </c>
      <c r="O35">
        <f t="shared" si="6"/>
        <v>0.34651099628429455</v>
      </c>
      <c r="P35">
        <f t="shared" si="7"/>
        <v>5.7302333333333337E-2</v>
      </c>
      <c r="Q35">
        <f t="shared" si="8"/>
        <v>6.0778766459777415E-2</v>
      </c>
      <c r="R35">
        <f t="shared" si="9"/>
        <v>3.182139475482957E-2</v>
      </c>
    </row>
    <row r="36" spans="1:18" x14ac:dyDescent="0.25">
      <c r="A36" s="18">
        <f t="shared" si="5"/>
        <v>37895</v>
      </c>
      <c r="B36">
        <v>4896</v>
      </c>
      <c r="C36">
        <v>3140</v>
      </c>
      <c r="D36">
        <v>1900</v>
      </c>
      <c r="E36">
        <v>130221</v>
      </c>
      <c r="F36">
        <v>146716</v>
      </c>
      <c r="G36">
        <v>0.06</v>
      </c>
      <c r="H36">
        <f t="shared" si="0"/>
        <v>2.1401892090842173E-2</v>
      </c>
      <c r="I36">
        <v>3.8608000000000003E-2</v>
      </c>
      <c r="J36">
        <f t="shared" si="1"/>
        <v>3.4267376209820337E-2</v>
      </c>
      <c r="K36">
        <v>6.0637999999999997E-2</v>
      </c>
      <c r="L36">
        <f t="shared" si="3"/>
        <v>5.9895868382467694E-2</v>
      </c>
      <c r="M36">
        <f t="shared" si="2"/>
        <v>1.4590580628316478E-2</v>
      </c>
      <c r="N36">
        <f t="shared" si="4"/>
        <v>0.35669820151403625</v>
      </c>
      <c r="O36">
        <f t="shared" si="6"/>
        <v>0.35141289034679296</v>
      </c>
      <c r="P36">
        <f t="shared" si="7"/>
        <v>5.8678333333333332E-2</v>
      </c>
      <c r="Q36">
        <f t="shared" si="8"/>
        <v>6.0354030480956666E-2</v>
      </c>
      <c r="R36">
        <f t="shared" si="9"/>
        <v>3.2841312787610023E-2</v>
      </c>
    </row>
    <row r="37" spans="1:18" x14ac:dyDescent="0.25">
      <c r="A37" s="18">
        <f t="shared" si="5"/>
        <v>37926</v>
      </c>
      <c r="B37">
        <v>4666</v>
      </c>
      <c r="C37">
        <v>3286</v>
      </c>
      <c r="D37">
        <v>1857</v>
      </c>
      <c r="E37">
        <v>130234</v>
      </c>
      <c r="F37">
        <v>147000</v>
      </c>
      <c r="G37">
        <v>5.7999999999999996E-2</v>
      </c>
      <c r="H37">
        <f t="shared" si="0"/>
        <v>2.2353741496598641E-2</v>
      </c>
      <c r="I37">
        <v>3.7282999999999997E-2</v>
      </c>
      <c r="J37">
        <f t="shared" si="1"/>
        <v>3.303070899319728E-2</v>
      </c>
      <c r="K37">
        <v>5.5599000000000003E-2</v>
      </c>
      <c r="L37">
        <f t="shared" si="3"/>
        <v>5.7621718996056281E-2</v>
      </c>
      <c r="M37">
        <f t="shared" si="2"/>
        <v>1.4258949275918731E-2</v>
      </c>
      <c r="N37">
        <f t="shared" si="4"/>
        <v>0.38540933614825246</v>
      </c>
      <c r="O37">
        <f t="shared" si="6"/>
        <v>0.36114882262171139</v>
      </c>
      <c r="P37">
        <f t="shared" si="7"/>
        <v>5.8350000000000006E-2</v>
      </c>
      <c r="Q37">
        <f t="shared" si="8"/>
        <v>5.9582066441486344E-2</v>
      </c>
      <c r="R37">
        <f t="shared" si="9"/>
        <v>3.3018238214695898E-2</v>
      </c>
    </row>
    <row r="38" spans="1:18" x14ac:dyDescent="0.25">
      <c r="A38" s="18">
        <f t="shared" si="5"/>
        <v>37956</v>
      </c>
      <c r="B38">
        <v>4980</v>
      </c>
      <c r="C38">
        <v>3255</v>
      </c>
      <c r="D38">
        <v>2022</v>
      </c>
      <c r="E38">
        <v>130353</v>
      </c>
      <c r="F38">
        <v>146729</v>
      </c>
      <c r="G38">
        <v>5.7000000000000002E-2</v>
      </c>
      <c r="H38">
        <f t="shared" si="0"/>
        <v>2.2183753722849607E-2</v>
      </c>
      <c r="I38">
        <v>3.8331999999999998E-2</v>
      </c>
      <c r="J38">
        <f t="shared" si="1"/>
        <v>3.4053876166265699E-2</v>
      </c>
      <c r="K38">
        <v>5.8624999999999997E-2</v>
      </c>
      <c r="L38">
        <f t="shared" si="3"/>
        <v>5.7341260535675356E-2</v>
      </c>
      <c r="M38">
        <f t="shared" si="2"/>
        <v>1.5511725852109273E-2</v>
      </c>
      <c r="N38">
        <f t="shared" si="4"/>
        <v>0.38918866180437905</v>
      </c>
      <c r="O38">
        <f t="shared" si="6"/>
        <v>0.37709873315555598</v>
      </c>
      <c r="P38">
        <f t="shared" si="7"/>
        <v>5.8287333333333337E-2</v>
      </c>
      <c r="Q38">
        <f t="shared" si="8"/>
        <v>5.8286282638066435E-2</v>
      </c>
      <c r="R38">
        <f t="shared" si="9"/>
        <v>3.3783987123094439E-2</v>
      </c>
    </row>
    <row r="39" spans="1:18" x14ac:dyDescent="0.25">
      <c r="A39" s="18">
        <f t="shared" si="5"/>
        <v>37987</v>
      </c>
      <c r="B39">
        <v>4819</v>
      </c>
      <c r="C39">
        <v>3322</v>
      </c>
      <c r="D39">
        <v>1884</v>
      </c>
      <c r="E39">
        <v>130512</v>
      </c>
      <c r="F39">
        <v>146842</v>
      </c>
      <c r="G39">
        <v>5.7000000000000002E-2</v>
      </c>
      <c r="H39">
        <f t="shared" si="0"/>
        <v>2.2622955285272604E-2</v>
      </c>
      <c r="I39">
        <v>3.7781000000000002E-2</v>
      </c>
      <c r="J39">
        <f t="shared" si="1"/>
        <v>3.3579451873442204E-2</v>
      </c>
      <c r="K39">
        <v>5.6244000000000002E-2</v>
      </c>
      <c r="L39">
        <f t="shared" si="3"/>
        <v>5.6781921488004594E-2</v>
      </c>
      <c r="M39">
        <f t="shared" si="2"/>
        <v>1.4435454211107025E-2</v>
      </c>
      <c r="N39">
        <f t="shared" si="4"/>
        <v>0.39689395237320357</v>
      </c>
      <c r="O39">
        <f t="shared" si="6"/>
        <v>0.39049731677527832</v>
      </c>
      <c r="P39">
        <f t="shared" si="7"/>
        <v>5.6822666666666667E-2</v>
      </c>
      <c r="Q39">
        <f t="shared" si="8"/>
        <v>5.7248300339912073E-2</v>
      </c>
      <c r="R39">
        <f t="shared" si="9"/>
        <v>3.355467901096839E-2</v>
      </c>
    </row>
    <row r="40" spans="1:18" x14ac:dyDescent="0.25">
      <c r="A40" s="18">
        <f t="shared" si="5"/>
        <v>38018</v>
      </c>
      <c r="B40">
        <v>4712</v>
      </c>
      <c r="C40">
        <v>3415</v>
      </c>
      <c r="D40">
        <v>1876</v>
      </c>
      <c r="E40">
        <v>130555</v>
      </c>
      <c r="F40">
        <v>146709</v>
      </c>
      <c r="G40">
        <v>5.5999999999999994E-2</v>
      </c>
      <c r="H40">
        <f t="shared" si="0"/>
        <v>2.3277372213020332E-2</v>
      </c>
      <c r="I40">
        <v>3.7156000000000002E-2</v>
      </c>
      <c r="J40">
        <f t="shared" si="1"/>
        <v>3.3064785255164993E-2</v>
      </c>
      <c r="K40">
        <v>5.3657999999999997E-2</v>
      </c>
      <c r="L40">
        <f t="shared" si="3"/>
        <v>5.5484843258588351E-2</v>
      </c>
      <c r="M40">
        <f t="shared" si="2"/>
        <v>1.4369422848607866E-2</v>
      </c>
      <c r="N40">
        <f t="shared" si="4"/>
        <v>0.41566736094679169</v>
      </c>
      <c r="O40">
        <f t="shared" si="6"/>
        <v>0.4005833250414581</v>
      </c>
      <c r="P40">
        <f t="shared" si="7"/>
        <v>5.6175666666666658E-2</v>
      </c>
      <c r="Q40">
        <f t="shared" si="8"/>
        <v>5.6536008427422769E-2</v>
      </c>
      <c r="R40">
        <f t="shared" si="9"/>
        <v>3.3566037764957625E-2</v>
      </c>
    </row>
    <row r="41" spans="1:18" x14ac:dyDescent="0.25">
      <c r="A41" s="18">
        <f t="shared" si="5"/>
        <v>38047</v>
      </c>
      <c r="B41">
        <v>5157</v>
      </c>
      <c r="C41">
        <v>3394</v>
      </c>
      <c r="D41">
        <v>1932</v>
      </c>
      <c r="E41">
        <v>130888</v>
      </c>
      <c r="F41">
        <v>146944</v>
      </c>
      <c r="G41">
        <v>5.7999999999999996E-2</v>
      </c>
      <c r="H41">
        <f t="shared" si="0"/>
        <v>2.3097234320557491E-2</v>
      </c>
      <c r="I41">
        <v>3.9600999999999997E-2</v>
      </c>
      <c r="J41">
        <f t="shared" si="1"/>
        <v>3.5273952580574905E-2</v>
      </c>
      <c r="K41">
        <v>5.8298000000000003E-2</v>
      </c>
      <c r="L41">
        <f t="shared" si="3"/>
        <v>5.6686720471705185E-2</v>
      </c>
      <c r="M41">
        <f t="shared" si="2"/>
        <v>1.4760711447955504E-2</v>
      </c>
      <c r="N41">
        <f t="shared" si="4"/>
        <v>0.39822817794064641</v>
      </c>
      <c r="O41">
        <f t="shared" si="6"/>
        <v>0.40359649708688056</v>
      </c>
      <c r="P41">
        <f t="shared" si="7"/>
        <v>5.6066666666666674E-2</v>
      </c>
      <c r="Q41">
        <f t="shared" si="8"/>
        <v>5.631782840609937E-2</v>
      </c>
      <c r="R41">
        <f t="shared" si="9"/>
        <v>3.3972729903060703E-2</v>
      </c>
    </row>
    <row r="42" spans="1:18" x14ac:dyDescent="0.25">
      <c r="A42" s="18">
        <f t="shared" si="5"/>
        <v>38078</v>
      </c>
      <c r="B42">
        <v>5131</v>
      </c>
      <c r="C42">
        <v>3524</v>
      </c>
      <c r="D42">
        <v>1929</v>
      </c>
      <c r="E42">
        <v>131135</v>
      </c>
      <c r="F42">
        <v>146850</v>
      </c>
      <c r="G42">
        <v>5.5999999999999994E-2</v>
      </c>
      <c r="H42">
        <f t="shared" si="0"/>
        <v>2.3997276132107594E-2</v>
      </c>
      <c r="I42">
        <v>4.0486000000000001E-2</v>
      </c>
      <c r="J42">
        <f t="shared" si="1"/>
        <v>3.6153432822608106E-2</v>
      </c>
      <c r="K42">
        <v>5.6831E-2</v>
      </c>
      <c r="L42">
        <f t="shared" si="3"/>
        <v>5.4646250002461982E-2</v>
      </c>
      <c r="M42">
        <f t="shared" si="2"/>
        <v>1.4710031646776223E-2</v>
      </c>
      <c r="N42">
        <f t="shared" si="4"/>
        <v>0.42852278807334993</v>
      </c>
      <c r="O42">
        <f t="shared" si="6"/>
        <v>0.41413944232026267</v>
      </c>
      <c r="P42">
        <f t="shared" si="7"/>
        <v>5.6262333333333331E-2</v>
      </c>
      <c r="Q42">
        <f t="shared" si="8"/>
        <v>5.5605937910918501E-2</v>
      </c>
      <c r="R42">
        <f t="shared" si="9"/>
        <v>3.4830723552782668E-2</v>
      </c>
    </row>
    <row r="43" spans="1:18" x14ac:dyDescent="0.25">
      <c r="A43" s="18">
        <f t="shared" si="5"/>
        <v>38108</v>
      </c>
      <c r="B43">
        <v>4943</v>
      </c>
      <c r="C43">
        <v>3620</v>
      </c>
      <c r="D43">
        <v>1850</v>
      </c>
      <c r="E43">
        <v>131441</v>
      </c>
      <c r="F43">
        <v>147065</v>
      </c>
      <c r="G43">
        <v>5.5999999999999994E-2</v>
      </c>
      <c r="H43">
        <f t="shared" si="0"/>
        <v>2.46149661714208E-2</v>
      </c>
      <c r="I43">
        <v>3.8699999999999998E-2</v>
      </c>
      <c r="J43">
        <f t="shared" si="1"/>
        <v>3.4588560840444704E-2</v>
      </c>
      <c r="K43">
        <v>5.3087000000000002E-2</v>
      </c>
      <c r="L43">
        <f t="shared" si="3"/>
        <v>5.3956244932708057E-2</v>
      </c>
      <c r="M43">
        <f t="shared" si="2"/>
        <v>1.4074755974163312E-2</v>
      </c>
      <c r="N43">
        <f t="shared" si="4"/>
        <v>0.43955296734680005</v>
      </c>
      <c r="O43">
        <f t="shared" si="6"/>
        <v>0.42210131112026544</v>
      </c>
      <c r="P43">
        <f t="shared" si="7"/>
        <v>5.6072000000000004E-2</v>
      </c>
      <c r="Q43">
        <f t="shared" si="8"/>
        <v>5.5096405135625075E-2</v>
      </c>
      <c r="R43">
        <f t="shared" si="9"/>
        <v>3.5338648747875907E-2</v>
      </c>
    </row>
    <row r="44" spans="1:18" x14ac:dyDescent="0.25">
      <c r="A44" s="18">
        <f t="shared" si="5"/>
        <v>38139</v>
      </c>
      <c r="B44">
        <v>4991</v>
      </c>
      <c r="C44">
        <v>3423</v>
      </c>
      <c r="D44">
        <v>1836</v>
      </c>
      <c r="E44">
        <v>131519</v>
      </c>
      <c r="F44">
        <v>147460</v>
      </c>
      <c r="G44">
        <v>5.5999999999999994E-2</v>
      </c>
      <c r="H44">
        <f t="shared" si="0"/>
        <v>2.3213074732130749E-2</v>
      </c>
      <c r="I44">
        <v>3.6802000000000001E-2</v>
      </c>
      <c r="J44">
        <f t="shared" si="1"/>
        <v>3.2823560545232604E-2</v>
      </c>
      <c r="K44">
        <v>5.4816999999999998E-2</v>
      </c>
      <c r="L44">
        <f t="shared" si="3"/>
        <v>5.556163335840008E-2</v>
      </c>
      <c r="M44">
        <f t="shared" si="2"/>
        <v>1.3959960157847916E-2</v>
      </c>
      <c r="N44">
        <f t="shared" si="4"/>
        <v>0.41451919164519196</v>
      </c>
      <c r="O44">
        <f t="shared" si="6"/>
        <v>0.42753164902178065</v>
      </c>
      <c r="P44">
        <f t="shared" si="7"/>
        <v>5.4911666666666664E-2</v>
      </c>
      <c r="Q44">
        <f t="shared" si="8"/>
        <v>5.4721376097856711E-2</v>
      </c>
      <c r="R44">
        <f t="shared" si="9"/>
        <v>3.4521851402761809E-2</v>
      </c>
    </row>
    <row r="45" spans="1:18" x14ac:dyDescent="0.25">
      <c r="A45" s="18">
        <f t="shared" si="5"/>
        <v>38169</v>
      </c>
      <c r="B45">
        <v>4891</v>
      </c>
      <c r="C45">
        <v>3807</v>
      </c>
      <c r="D45">
        <v>1849</v>
      </c>
      <c r="E45">
        <v>131556</v>
      </c>
      <c r="F45">
        <v>147692</v>
      </c>
      <c r="G45">
        <v>5.5E-2</v>
      </c>
      <c r="H45">
        <f t="shared" si="0"/>
        <v>2.5776616201283752E-2</v>
      </c>
      <c r="I45">
        <v>4.0467000000000003E-2</v>
      </c>
      <c r="J45">
        <f t="shared" si="1"/>
        <v>3.6045802426671721E-2</v>
      </c>
      <c r="K45">
        <v>5.1528999999999998E-2</v>
      </c>
      <c r="L45">
        <f t="shared" si="3"/>
        <v>5.2253539997985259E-2</v>
      </c>
      <c r="M45">
        <f t="shared" si="2"/>
        <v>1.4054851166043358E-2</v>
      </c>
      <c r="N45">
        <f t="shared" si="4"/>
        <v>0.46866574911425002</v>
      </c>
      <c r="O45">
        <f t="shared" si="6"/>
        <v>0.44091263603541403</v>
      </c>
      <c r="P45">
        <f t="shared" si="7"/>
        <v>5.3144333333333328E-2</v>
      </c>
      <c r="Q45">
        <f t="shared" si="8"/>
        <v>5.3923806096364463E-2</v>
      </c>
      <c r="R45">
        <f t="shared" si="9"/>
        <v>3.4485974604116343E-2</v>
      </c>
    </row>
    <row r="46" spans="1:18" x14ac:dyDescent="0.25">
      <c r="A46" s="18">
        <f t="shared" si="5"/>
        <v>38200</v>
      </c>
      <c r="B46">
        <v>5094</v>
      </c>
      <c r="C46">
        <v>3623</v>
      </c>
      <c r="D46">
        <v>1997</v>
      </c>
      <c r="E46">
        <v>131681</v>
      </c>
      <c r="F46">
        <v>147564</v>
      </c>
      <c r="G46">
        <v>5.4000000000000006E-2</v>
      </c>
      <c r="H46">
        <f t="shared" si="0"/>
        <v>2.4552058767721124E-2</v>
      </c>
      <c r="I46">
        <v>3.7690000000000001E-2</v>
      </c>
      <c r="J46">
        <f t="shared" si="1"/>
        <v>3.3633249911902634E-2</v>
      </c>
      <c r="K46">
        <v>5.2990000000000002E-2</v>
      </c>
      <c r="L46">
        <f t="shared" si="3"/>
        <v>5.3051815186347814E-2</v>
      </c>
      <c r="M46">
        <f t="shared" si="2"/>
        <v>1.5165437686530328E-2</v>
      </c>
      <c r="N46">
        <f t="shared" si="4"/>
        <v>0.45466775495779854</v>
      </c>
      <c r="O46">
        <f t="shared" si="6"/>
        <v>0.44595089857241349</v>
      </c>
      <c r="P46">
        <f t="shared" si="7"/>
        <v>5.3111999999999999E-2</v>
      </c>
      <c r="Q46">
        <f t="shared" si="8"/>
        <v>5.3622329514244386E-2</v>
      </c>
      <c r="R46">
        <f t="shared" si="9"/>
        <v>3.4167537627935653E-2</v>
      </c>
    </row>
    <row r="47" spans="1:18" x14ac:dyDescent="0.25">
      <c r="A47" s="18">
        <f t="shared" si="5"/>
        <v>38231</v>
      </c>
      <c r="B47">
        <v>5057</v>
      </c>
      <c r="C47">
        <v>3754</v>
      </c>
      <c r="D47">
        <v>1889</v>
      </c>
      <c r="E47">
        <v>131836</v>
      </c>
      <c r="F47">
        <v>147415</v>
      </c>
      <c r="G47">
        <v>5.4000000000000006E-2</v>
      </c>
      <c r="H47">
        <f t="shared" si="0"/>
        <v>2.5465522504494114E-2</v>
      </c>
      <c r="I47">
        <v>3.9732999999999997E-2</v>
      </c>
      <c r="J47">
        <f t="shared" si="1"/>
        <v>3.5533967289624525E-2</v>
      </c>
      <c r="K47">
        <v>5.2553999999999997E-2</v>
      </c>
      <c r="L47">
        <f t="shared" si="3"/>
        <v>5.2091625512806543E-2</v>
      </c>
      <c r="M47">
        <f t="shared" si="2"/>
        <v>1.4328408022088049E-2</v>
      </c>
      <c r="N47">
        <f t="shared" si="4"/>
        <v>0.47158375008322428</v>
      </c>
      <c r="O47">
        <f t="shared" si="6"/>
        <v>0.4649724180517576</v>
      </c>
      <c r="P47">
        <f t="shared" si="7"/>
        <v>5.2357666666666663E-2</v>
      </c>
      <c r="Q47">
        <f t="shared" si="8"/>
        <v>5.246566023237987E-2</v>
      </c>
      <c r="R47">
        <f t="shared" si="9"/>
        <v>3.5071006542732958E-2</v>
      </c>
    </row>
    <row r="48" spans="1:18" x14ac:dyDescent="0.25">
      <c r="A48" s="18">
        <f t="shared" si="5"/>
        <v>38261</v>
      </c>
      <c r="B48">
        <v>5155</v>
      </c>
      <c r="C48">
        <v>3836</v>
      </c>
      <c r="D48">
        <v>1819</v>
      </c>
      <c r="E48">
        <v>132179</v>
      </c>
      <c r="F48">
        <v>147793</v>
      </c>
      <c r="G48">
        <v>5.5E-2</v>
      </c>
      <c r="H48">
        <f t="shared" si="0"/>
        <v>2.5955221153911214E-2</v>
      </c>
      <c r="I48">
        <v>3.9995999999999997E-2</v>
      </c>
      <c r="J48">
        <f t="shared" si="1"/>
        <v>3.5770512026956615E-2</v>
      </c>
      <c r="K48">
        <v>5.2138999999999998E-2</v>
      </c>
      <c r="L48">
        <f t="shared" si="3"/>
        <v>5.2073444214106618E-2</v>
      </c>
      <c r="M48">
        <f t="shared" si="2"/>
        <v>1.3761641410511503E-2</v>
      </c>
      <c r="N48">
        <f t="shared" si="4"/>
        <v>0.4719131118892948</v>
      </c>
      <c r="O48">
        <f t="shared" si="6"/>
        <v>0.46605487231010589</v>
      </c>
      <c r="P48">
        <f t="shared" si="7"/>
        <v>5.2560999999999997E-2</v>
      </c>
      <c r="Q48">
        <f t="shared" si="8"/>
        <v>5.2405628304420325E-2</v>
      </c>
      <c r="R48">
        <f t="shared" si="9"/>
        <v>3.4979243076161258E-2</v>
      </c>
    </row>
    <row r="49" spans="1:18" x14ac:dyDescent="0.25">
      <c r="A49" s="18">
        <f t="shared" si="5"/>
        <v>38292</v>
      </c>
      <c r="B49">
        <v>5199</v>
      </c>
      <c r="C49">
        <v>3383</v>
      </c>
      <c r="D49">
        <v>1938</v>
      </c>
      <c r="E49">
        <v>132244</v>
      </c>
      <c r="F49">
        <v>148162</v>
      </c>
      <c r="G49">
        <v>5.4000000000000006E-2</v>
      </c>
      <c r="H49">
        <f t="shared" si="0"/>
        <v>2.2833115103737801E-2</v>
      </c>
      <c r="I49">
        <v>3.6261000000000002E-2</v>
      </c>
      <c r="J49">
        <f t="shared" si="1"/>
        <v>3.2365246716432018E-2</v>
      </c>
      <c r="K49">
        <v>5.6120000000000003E-2</v>
      </c>
      <c r="L49">
        <f t="shared" si="3"/>
        <v>5.5012530520291182E-2</v>
      </c>
      <c r="M49">
        <f t="shared" si="2"/>
        <v>1.4654729137049696E-2</v>
      </c>
      <c r="N49">
        <f t="shared" si="4"/>
        <v>0.42283546488403329</v>
      </c>
      <c r="O49">
        <f t="shared" si="6"/>
        <v>0.45544410895218412</v>
      </c>
      <c r="P49">
        <f t="shared" si="7"/>
        <v>5.360433333333333E-2</v>
      </c>
      <c r="Q49">
        <f t="shared" si="8"/>
        <v>5.3059200082401448E-2</v>
      </c>
      <c r="R49">
        <f t="shared" si="9"/>
        <v>3.4556575344337724E-2</v>
      </c>
    </row>
    <row r="50" spans="1:18" x14ac:dyDescent="0.25">
      <c r="A50" s="18">
        <f t="shared" si="5"/>
        <v>38322</v>
      </c>
      <c r="B50">
        <v>5190</v>
      </c>
      <c r="C50">
        <v>3808</v>
      </c>
      <c r="D50">
        <v>1959</v>
      </c>
      <c r="E50">
        <v>132372</v>
      </c>
      <c r="F50">
        <v>148059</v>
      </c>
      <c r="G50">
        <v>5.4000000000000006E-2</v>
      </c>
      <c r="H50">
        <f t="shared" si="0"/>
        <v>2.5719476695101277E-2</v>
      </c>
      <c r="I50">
        <v>4.2803000000000001E-2</v>
      </c>
      <c r="J50">
        <f t="shared" si="1"/>
        <v>3.8267979089417058E-2</v>
      </c>
      <c r="K50">
        <v>5.4871000000000003E-2</v>
      </c>
      <c r="L50">
        <f t="shared" si="3"/>
        <v>5.1833811085038886E-2</v>
      </c>
      <c r="M50">
        <f t="shared" si="2"/>
        <v>1.4799202248209591E-2</v>
      </c>
      <c r="N50">
        <f t="shared" si="4"/>
        <v>0.47628660546483842</v>
      </c>
      <c r="O50">
        <f t="shared" si="6"/>
        <v>0.45701172741272217</v>
      </c>
      <c r="P50">
        <f t="shared" si="7"/>
        <v>5.4376666666666663E-2</v>
      </c>
      <c r="Q50">
        <f t="shared" si="8"/>
        <v>5.2973261939812222E-2</v>
      </c>
      <c r="R50">
        <f t="shared" si="9"/>
        <v>3.546791261093523E-2</v>
      </c>
    </row>
    <row r="51" spans="1:18" x14ac:dyDescent="0.25">
      <c r="A51" s="18">
        <f t="shared" si="5"/>
        <v>38353</v>
      </c>
      <c r="B51">
        <v>5193</v>
      </c>
      <c r="C51">
        <v>3638</v>
      </c>
      <c r="D51">
        <v>1902</v>
      </c>
      <c r="E51">
        <v>132502</v>
      </c>
      <c r="F51">
        <v>148029</v>
      </c>
      <c r="G51">
        <v>5.2999999999999999E-2</v>
      </c>
      <c r="H51">
        <f t="shared" si="0"/>
        <v>2.457626546149741E-2</v>
      </c>
      <c r="I51">
        <v>3.8288999999999997E-2</v>
      </c>
      <c r="J51">
        <f t="shared" si="1"/>
        <v>3.427280518006607E-2</v>
      </c>
      <c r="K51">
        <v>5.3887999999999998E-2</v>
      </c>
      <c r="L51">
        <f t="shared" si="3"/>
        <v>5.253240885509184E-2</v>
      </c>
      <c r="M51">
        <f t="shared" si="2"/>
        <v>1.4354500309429292E-2</v>
      </c>
      <c r="N51">
        <f t="shared" si="4"/>
        <v>0.46370312191504548</v>
      </c>
      <c r="O51">
        <f t="shared" si="6"/>
        <v>0.45427506408797241</v>
      </c>
      <c r="P51">
        <f t="shared" si="7"/>
        <v>5.4959666666666664E-2</v>
      </c>
      <c r="Q51">
        <f t="shared" si="8"/>
        <v>5.312625015347397E-2</v>
      </c>
      <c r="R51">
        <f t="shared" si="9"/>
        <v>3.4968676995305044E-2</v>
      </c>
    </row>
    <row r="52" spans="1:18" x14ac:dyDescent="0.25">
      <c r="A52" s="18">
        <f t="shared" si="5"/>
        <v>38384</v>
      </c>
      <c r="B52">
        <v>5224</v>
      </c>
      <c r="C52">
        <v>3757</v>
      </c>
      <c r="D52">
        <v>1892</v>
      </c>
      <c r="E52">
        <v>132742</v>
      </c>
      <c r="F52">
        <v>148364</v>
      </c>
      <c r="G52">
        <v>5.4000000000000006E-2</v>
      </c>
      <c r="H52">
        <f t="shared" si="0"/>
        <v>2.5322854600846566E-2</v>
      </c>
      <c r="I52">
        <v>4.0627999999999997E-2</v>
      </c>
      <c r="J52">
        <f t="shared" si="1"/>
        <v>3.6350071284139009E-2</v>
      </c>
      <c r="K52">
        <v>5.4169000000000002E-2</v>
      </c>
      <c r="L52">
        <f t="shared" si="3"/>
        <v>5.2238160429451869E-2</v>
      </c>
      <c r="M52">
        <f t="shared" si="2"/>
        <v>1.4253212999653464E-2</v>
      </c>
      <c r="N52">
        <f t="shared" si="4"/>
        <v>0.46894175186752896</v>
      </c>
      <c r="O52">
        <f t="shared" si="6"/>
        <v>0.46964382641580427</v>
      </c>
      <c r="P52">
        <f t="shared" si="7"/>
        <v>5.4309333333333328E-2</v>
      </c>
      <c r="Q52">
        <f t="shared" si="8"/>
        <v>5.2201460123194203E-2</v>
      </c>
      <c r="R52">
        <f t="shared" si="9"/>
        <v>3.6296951851207376E-2</v>
      </c>
    </row>
    <row r="53" spans="1:18" x14ac:dyDescent="0.25">
      <c r="A53" s="18">
        <f t="shared" si="5"/>
        <v>38412</v>
      </c>
      <c r="B53">
        <v>5210</v>
      </c>
      <c r="C53">
        <v>3916</v>
      </c>
      <c r="D53">
        <v>1990</v>
      </c>
      <c r="E53">
        <v>132877</v>
      </c>
      <c r="F53">
        <v>148391</v>
      </c>
      <c r="G53">
        <v>5.2000000000000005E-2</v>
      </c>
      <c r="H53">
        <f t="shared" si="0"/>
        <v>2.6389740617692448E-2</v>
      </c>
      <c r="I53">
        <v>4.0816999999999999E-2</v>
      </c>
      <c r="J53">
        <f t="shared" si="1"/>
        <v>3.6549659406567785E-2</v>
      </c>
      <c r="K53">
        <v>5.2028999999999999E-2</v>
      </c>
      <c r="L53">
        <f t="shared" si="3"/>
        <v>5.0214765234743768E-2</v>
      </c>
      <c r="M53">
        <f t="shared" si="2"/>
        <v>1.4976256236971033E-2</v>
      </c>
      <c r="N53">
        <f t="shared" si="4"/>
        <v>0.50749501187870083</v>
      </c>
      <c r="O53">
        <f t="shared" si="6"/>
        <v>0.4800466285537584</v>
      </c>
      <c r="P53">
        <f t="shared" si="7"/>
        <v>5.3362E-2</v>
      </c>
      <c r="Q53">
        <f t="shared" si="8"/>
        <v>5.1661778173095828E-2</v>
      </c>
      <c r="R53">
        <f t="shared" si="9"/>
        <v>3.5724178623590952E-2</v>
      </c>
    </row>
    <row r="54" spans="1:18" x14ac:dyDescent="0.25">
      <c r="A54" s="18">
        <f t="shared" si="5"/>
        <v>38443</v>
      </c>
      <c r="B54">
        <v>5308</v>
      </c>
      <c r="C54">
        <v>4057</v>
      </c>
      <c r="D54">
        <v>1849</v>
      </c>
      <c r="E54">
        <v>133239</v>
      </c>
      <c r="F54">
        <v>148926</v>
      </c>
      <c r="G54">
        <v>5.2000000000000005E-2</v>
      </c>
      <c r="H54">
        <f t="shared" si="0"/>
        <v>2.7241717362985644E-2</v>
      </c>
      <c r="I54">
        <v>4.1292000000000002E-2</v>
      </c>
      <c r="J54">
        <f t="shared" si="1"/>
        <v>3.6942540510051969E-2</v>
      </c>
      <c r="K54">
        <v>5.1046000000000001E-2</v>
      </c>
      <c r="L54">
        <f t="shared" si="3"/>
        <v>4.942330183271846E-2</v>
      </c>
      <c r="M54">
        <f t="shared" si="2"/>
        <v>1.387731820262836E-2</v>
      </c>
      <c r="N54">
        <f t="shared" si="4"/>
        <v>0.52387918005741618</v>
      </c>
      <c r="O54">
        <f t="shared" si="6"/>
        <v>0.50010531460121532</v>
      </c>
      <c r="P54">
        <f t="shared" si="7"/>
        <v>5.2414666666666665E-2</v>
      </c>
      <c r="Q54">
        <f t="shared" si="8"/>
        <v>5.0625409165638034E-2</v>
      </c>
      <c r="R54">
        <f t="shared" si="9"/>
        <v>3.6614090400252923E-2</v>
      </c>
    </row>
    <row r="55" spans="1:18" x14ac:dyDescent="0.25">
      <c r="A55" s="18">
        <f t="shared" si="5"/>
        <v>38473</v>
      </c>
      <c r="B55">
        <v>5320</v>
      </c>
      <c r="C55">
        <v>3877</v>
      </c>
      <c r="D55">
        <v>1978</v>
      </c>
      <c r="E55">
        <v>133407</v>
      </c>
      <c r="F55">
        <v>149261</v>
      </c>
      <c r="G55">
        <v>5.0999999999999997E-2</v>
      </c>
      <c r="H55">
        <f t="shared" si="0"/>
        <v>2.5974635035273783E-2</v>
      </c>
      <c r="I55">
        <v>3.8945E-2</v>
      </c>
      <c r="J55">
        <f t="shared" si="1"/>
        <v>3.4808393451738896E-2</v>
      </c>
      <c r="K55">
        <v>5.1798999999999998E-2</v>
      </c>
      <c r="L55">
        <f t="shared" si="3"/>
        <v>5.0125380990034975E-2</v>
      </c>
      <c r="M55">
        <f t="shared" si="2"/>
        <v>1.4826808188475867E-2</v>
      </c>
      <c r="N55">
        <f t="shared" si="4"/>
        <v>0.50930656931909379</v>
      </c>
      <c r="O55">
        <f t="shared" si="6"/>
        <v>0.51356025375173697</v>
      </c>
      <c r="P55">
        <f t="shared" si="7"/>
        <v>5.1624666666666673E-2</v>
      </c>
      <c r="Q55">
        <f t="shared" si="8"/>
        <v>4.9921149352499063E-2</v>
      </c>
      <c r="R55">
        <f t="shared" si="9"/>
        <v>3.6100197789452886E-2</v>
      </c>
    </row>
    <row r="56" spans="1:18" x14ac:dyDescent="0.25">
      <c r="A56" s="18">
        <f t="shared" si="5"/>
        <v>38504</v>
      </c>
      <c r="B56">
        <v>5303</v>
      </c>
      <c r="C56">
        <v>4064</v>
      </c>
      <c r="D56">
        <v>1926</v>
      </c>
      <c r="E56">
        <v>133653</v>
      </c>
      <c r="F56">
        <v>149238</v>
      </c>
      <c r="G56">
        <v>0.05</v>
      </c>
      <c r="H56">
        <f t="shared" si="0"/>
        <v>2.7231670218040981E-2</v>
      </c>
      <c r="I56">
        <v>4.1484E-2</v>
      </c>
      <c r="J56">
        <f t="shared" si="1"/>
        <v>3.7151804848631044E-2</v>
      </c>
      <c r="K56">
        <v>5.1146999999999998E-2</v>
      </c>
      <c r="L56">
        <f t="shared" si="3"/>
        <v>4.8472474210075618E-2</v>
      </c>
      <c r="M56">
        <f t="shared" si="2"/>
        <v>1.4410450943862091E-2</v>
      </c>
      <c r="N56">
        <f t="shared" si="4"/>
        <v>0.54463340436081953</v>
      </c>
      <c r="O56">
        <f t="shared" si="6"/>
        <v>0.52593971791244309</v>
      </c>
      <c r="P56">
        <f t="shared" si="7"/>
        <v>5.1330666666666663E-2</v>
      </c>
      <c r="Q56">
        <f t="shared" si="8"/>
        <v>4.9340385677609684E-2</v>
      </c>
      <c r="R56">
        <f t="shared" si="9"/>
        <v>3.6300912936807296E-2</v>
      </c>
    </row>
    <row r="57" spans="1:18" x14ac:dyDescent="0.25">
      <c r="A57" s="18">
        <f t="shared" si="5"/>
        <v>38534</v>
      </c>
      <c r="B57">
        <v>5310</v>
      </c>
      <c r="C57">
        <v>4155</v>
      </c>
      <c r="D57">
        <v>1865</v>
      </c>
      <c r="E57">
        <v>134025</v>
      </c>
      <c r="F57">
        <v>149432</v>
      </c>
      <c r="G57">
        <v>0.05</v>
      </c>
      <c r="H57">
        <f t="shared" si="0"/>
        <v>2.7805289362385566E-2</v>
      </c>
      <c r="I57">
        <v>4.0704999999999998E-2</v>
      </c>
      <c r="J57">
        <f t="shared" si="1"/>
        <v>3.6508161739118798E-2</v>
      </c>
      <c r="K57">
        <v>4.9599999999999998E-2</v>
      </c>
      <c r="L57">
        <f t="shared" si="3"/>
        <v>4.7969878475545055E-2</v>
      </c>
      <c r="M57">
        <f t="shared" si="2"/>
        <v>1.3915314307032271E-2</v>
      </c>
      <c r="N57">
        <f t="shared" si="4"/>
        <v>0.55610578724771131</v>
      </c>
      <c r="O57">
        <f t="shared" si="6"/>
        <v>0.53668192030920825</v>
      </c>
      <c r="P57">
        <f t="shared" si="7"/>
        <v>5.084866666666666E-2</v>
      </c>
      <c r="Q57">
        <f t="shared" si="8"/>
        <v>4.8855911225218547E-2</v>
      </c>
      <c r="R57">
        <f t="shared" si="9"/>
        <v>3.6156120013162908E-2</v>
      </c>
    </row>
    <row r="58" spans="1:18" x14ac:dyDescent="0.25">
      <c r="A58" s="18">
        <f t="shared" si="5"/>
        <v>38565</v>
      </c>
      <c r="B58">
        <v>5443</v>
      </c>
      <c r="C58">
        <v>4102</v>
      </c>
      <c r="D58">
        <v>1877</v>
      </c>
      <c r="E58">
        <v>134217</v>
      </c>
      <c r="F58">
        <v>149779</v>
      </c>
      <c r="G58">
        <v>4.9000000000000002E-2</v>
      </c>
      <c r="H58">
        <f t="shared" si="0"/>
        <v>2.7387016871524044E-2</v>
      </c>
      <c r="I58">
        <v>4.0566999999999999E-2</v>
      </c>
      <c r="J58">
        <f t="shared" si="1"/>
        <v>3.6352099019221651E-2</v>
      </c>
      <c r="K58">
        <v>5.0767E-2</v>
      </c>
      <c r="L58">
        <f t="shared" si="3"/>
        <v>4.784901488297276E-2</v>
      </c>
      <c r="M58">
        <f t="shared" si="2"/>
        <v>1.3984815634383125E-2</v>
      </c>
      <c r="N58">
        <f t="shared" si="4"/>
        <v>0.55891871166375595</v>
      </c>
      <c r="O58">
        <f t="shared" si="6"/>
        <v>0.55321930109076223</v>
      </c>
      <c r="P58">
        <f t="shared" si="7"/>
        <v>5.050466666666667E-2</v>
      </c>
      <c r="Q58">
        <f t="shared" si="8"/>
        <v>4.8097122522864487E-2</v>
      </c>
      <c r="R58">
        <f t="shared" si="9"/>
        <v>3.6670688535657164E-2</v>
      </c>
    </row>
    <row r="59" spans="1:18" x14ac:dyDescent="0.25">
      <c r="A59" s="18">
        <f t="shared" si="5"/>
        <v>38596</v>
      </c>
      <c r="B59">
        <v>5455</v>
      </c>
      <c r="C59">
        <v>4275</v>
      </c>
      <c r="D59">
        <v>1913</v>
      </c>
      <c r="E59">
        <v>134282</v>
      </c>
      <c r="F59">
        <v>149954</v>
      </c>
      <c r="G59">
        <v>0.05</v>
      </c>
      <c r="H59">
        <f t="shared" si="0"/>
        <v>2.8508742681088866E-2</v>
      </c>
      <c r="I59">
        <v>4.2335999999999999E-2</v>
      </c>
      <c r="J59">
        <f t="shared" si="1"/>
        <v>3.7911377835869661E-2</v>
      </c>
      <c r="K59">
        <v>4.9907E-2</v>
      </c>
      <c r="L59">
        <f t="shared" si="3"/>
        <v>4.7374353430178866E-2</v>
      </c>
      <c r="M59">
        <f t="shared" si="2"/>
        <v>1.4246138722985954E-2</v>
      </c>
      <c r="N59">
        <f t="shared" si="4"/>
        <v>0.57017485362177733</v>
      </c>
      <c r="O59">
        <f t="shared" si="6"/>
        <v>0.56173311751108157</v>
      </c>
      <c r="P59">
        <f t="shared" si="7"/>
        <v>5.0091333333333328E-2</v>
      </c>
      <c r="Q59">
        <f t="shared" si="8"/>
        <v>4.7731082262898898E-2</v>
      </c>
      <c r="R59">
        <f t="shared" si="9"/>
        <v>3.6923879531403372E-2</v>
      </c>
    </row>
    <row r="60" spans="1:18" x14ac:dyDescent="0.25">
      <c r="A60" s="18">
        <f t="shared" si="5"/>
        <v>38626</v>
      </c>
      <c r="B60">
        <v>5026</v>
      </c>
      <c r="C60">
        <v>4221</v>
      </c>
      <c r="D60">
        <v>1669</v>
      </c>
      <c r="E60">
        <v>134363</v>
      </c>
      <c r="F60">
        <v>150001</v>
      </c>
      <c r="G60">
        <v>0.05</v>
      </c>
      <c r="H60">
        <f t="shared" si="0"/>
        <v>2.8139812401250658E-2</v>
      </c>
      <c r="I60">
        <v>3.7379000000000003E-2</v>
      </c>
      <c r="J60">
        <f t="shared" si="1"/>
        <v>3.3482140632395782E-2</v>
      </c>
      <c r="K60">
        <v>4.5552000000000002E-2</v>
      </c>
      <c r="L60">
        <f t="shared" si="3"/>
        <v>4.7683895644040936E-2</v>
      </c>
      <c r="M60">
        <f t="shared" si="2"/>
        <v>1.2421574391759636E-2</v>
      </c>
      <c r="N60">
        <f t="shared" si="4"/>
        <v>0.56279624802501316</v>
      </c>
      <c r="O60">
        <f t="shared" si="6"/>
        <v>0.56396327110351541</v>
      </c>
      <c r="P60">
        <f t="shared" si="7"/>
        <v>4.8742000000000001E-2</v>
      </c>
      <c r="Q60">
        <f t="shared" si="8"/>
        <v>4.763575465239752E-2</v>
      </c>
      <c r="R60">
        <f t="shared" si="9"/>
        <v>3.5915205829162362E-2</v>
      </c>
    </row>
    <row r="61" spans="1:18" x14ac:dyDescent="0.25">
      <c r="A61" s="18">
        <f t="shared" si="5"/>
        <v>38657</v>
      </c>
      <c r="B61">
        <v>5232</v>
      </c>
      <c r="C61">
        <v>4437</v>
      </c>
      <c r="D61">
        <v>1648</v>
      </c>
      <c r="E61">
        <v>134698</v>
      </c>
      <c r="F61">
        <v>150065</v>
      </c>
      <c r="G61">
        <v>0.05</v>
      </c>
      <c r="H61">
        <f t="shared" si="0"/>
        <v>2.9567187552060774E-2</v>
      </c>
      <c r="I61">
        <v>4.0822999999999998E-2</v>
      </c>
      <c r="J61">
        <f t="shared" si="1"/>
        <v>3.6642631219804753E-2</v>
      </c>
      <c r="K61">
        <v>4.6295999999999997E-2</v>
      </c>
      <c r="L61">
        <f t="shared" si="3"/>
        <v>4.6518673237268444E-2</v>
      </c>
      <c r="M61">
        <f t="shared" si="2"/>
        <v>1.2234777056823413E-2</v>
      </c>
      <c r="N61">
        <f t="shared" si="4"/>
        <v>0.59134375104121539</v>
      </c>
      <c r="O61">
        <f t="shared" si="6"/>
        <v>0.57477161756266859</v>
      </c>
      <c r="P61">
        <f t="shared" si="7"/>
        <v>4.7251666666666664E-2</v>
      </c>
      <c r="Q61">
        <f t="shared" si="8"/>
        <v>4.7192307437162746E-2</v>
      </c>
      <c r="R61">
        <f t="shared" si="9"/>
        <v>3.6012049896023399E-2</v>
      </c>
    </row>
    <row r="62" spans="1:18" x14ac:dyDescent="0.25">
      <c r="A62" s="18">
        <f t="shared" si="5"/>
        <v>38687</v>
      </c>
      <c r="B62">
        <v>5143</v>
      </c>
      <c r="C62">
        <v>4278</v>
      </c>
      <c r="D62">
        <v>1737</v>
      </c>
      <c r="E62">
        <v>134856</v>
      </c>
      <c r="F62">
        <v>150030</v>
      </c>
      <c r="G62">
        <v>4.9000000000000002E-2</v>
      </c>
      <c r="H62">
        <f t="shared" si="0"/>
        <v>2.8514297140571885E-2</v>
      </c>
      <c r="I62">
        <v>3.7353999999999998E-2</v>
      </c>
      <c r="J62">
        <f t="shared" si="1"/>
        <v>3.3576024955008998E-2</v>
      </c>
      <c r="K62">
        <v>4.5527999999999999E-2</v>
      </c>
      <c r="L62">
        <f t="shared" si="3"/>
        <v>4.6893649185197457E-2</v>
      </c>
      <c r="M62">
        <f t="shared" si="2"/>
        <v>1.2880405766150561E-2</v>
      </c>
      <c r="N62">
        <f t="shared" si="4"/>
        <v>0.58192443144024253</v>
      </c>
      <c r="O62">
        <f t="shared" si="6"/>
        <v>0.57868814350215703</v>
      </c>
      <c r="P62">
        <f t="shared" si="7"/>
        <v>4.5791999999999999E-2</v>
      </c>
      <c r="Q62">
        <f t="shared" si="8"/>
        <v>4.7032072688835608E-2</v>
      </c>
      <c r="R62">
        <f t="shared" si="9"/>
        <v>3.4566932269069844E-2</v>
      </c>
    </row>
    <row r="63" spans="1:18" x14ac:dyDescent="0.25">
      <c r="A63" s="18">
        <f t="shared" si="5"/>
        <v>38718</v>
      </c>
      <c r="B63">
        <v>5194</v>
      </c>
      <c r="C63">
        <v>4296</v>
      </c>
      <c r="D63">
        <v>1667</v>
      </c>
      <c r="E63">
        <v>135130</v>
      </c>
      <c r="F63">
        <v>150214</v>
      </c>
      <c r="G63">
        <v>4.7E-2</v>
      </c>
      <c r="H63">
        <f t="shared" si="0"/>
        <v>2.8599198476839709E-2</v>
      </c>
      <c r="I63">
        <v>3.8943999999999999E-2</v>
      </c>
      <c r="J63">
        <f t="shared" si="1"/>
        <v>3.5033370524718069E-2</v>
      </c>
      <c r="K63">
        <v>4.6582999999999999E-2</v>
      </c>
      <c r="L63">
        <f t="shared" si="3"/>
        <v>4.5858444937683394E-2</v>
      </c>
      <c r="M63">
        <f t="shared" si="2"/>
        <v>1.2336268778213573E-2</v>
      </c>
      <c r="N63">
        <f t="shared" si="4"/>
        <v>0.60849358461361081</v>
      </c>
      <c r="O63">
        <f t="shared" si="6"/>
        <v>0.59392058903168954</v>
      </c>
      <c r="P63">
        <f t="shared" si="7"/>
        <v>4.6135666666666665E-2</v>
      </c>
      <c r="Q63">
        <f t="shared" si="8"/>
        <v>4.6423589120049763E-2</v>
      </c>
      <c r="R63">
        <f t="shared" si="9"/>
        <v>3.5084008899843942E-2</v>
      </c>
    </row>
    <row r="64" spans="1:18" x14ac:dyDescent="0.25">
      <c r="A64" s="18">
        <f t="shared" si="5"/>
        <v>38749</v>
      </c>
      <c r="B64">
        <v>5377</v>
      </c>
      <c r="C64">
        <v>4282</v>
      </c>
      <c r="D64">
        <v>1714</v>
      </c>
      <c r="E64">
        <v>135446</v>
      </c>
      <c r="F64">
        <v>150641</v>
      </c>
      <c r="G64">
        <v>4.8000000000000001E-2</v>
      </c>
      <c r="H64">
        <f t="shared" si="0"/>
        <v>2.8425196327692991E-2</v>
      </c>
      <c r="I64">
        <v>3.9975999999999998E-2</v>
      </c>
      <c r="J64">
        <f t="shared" si="1"/>
        <v>3.5943662721304295E-2</v>
      </c>
      <c r="K64">
        <v>4.8231999999999997E-2</v>
      </c>
      <c r="L64">
        <f t="shared" si="3"/>
        <v>4.648536097957312E-2</v>
      </c>
      <c r="M64">
        <f t="shared" si="2"/>
        <v>1.2654489612096333E-2</v>
      </c>
      <c r="N64">
        <f t="shared" si="4"/>
        <v>0.59219159016027068</v>
      </c>
      <c r="O64">
        <f t="shared" si="6"/>
        <v>0.59420320207137467</v>
      </c>
      <c r="P64">
        <f t="shared" si="7"/>
        <v>4.6780999999999996E-2</v>
      </c>
      <c r="Q64">
        <f t="shared" si="8"/>
        <v>4.6412485034151324E-2</v>
      </c>
      <c r="R64">
        <f t="shared" si="9"/>
        <v>3.485101940034379E-2</v>
      </c>
    </row>
    <row r="65" spans="1:18" x14ac:dyDescent="0.25">
      <c r="A65" s="18">
        <f t="shared" si="5"/>
        <v>38777</v>
      </c>
      <c r="B65">
        <v>5363</v>
      </c>
      <c r="C65">
        <v>4472</v>
      </c>
      <c r="D65">
        <v>1679</v>
      </c>
      <c r="E65">
        <v>135726</v>
      </c>
      <c r="F65">
        <v>150813</v>
      </c>
      <c r="G65">
        <v>4.7E-2</v>
      </c>
      <c r="H65">
        <f t="shared" si="0"/>
        <v>2.9652616153779846E-2</v>
      </c>
      <c r="I65">
        <v>4.1294999999999998E-2</v>
      </c>
      <c r="J65">
        <f t="shared" si="1"/>
        <v>3.716393924926896E-2</v>
      </c>
      <c r="K65">
        <v>4.6955999999999998E-2</v>
      </c>
      <c r="L65">
        <f t="shared" si="3"/>
        <v>4.5036511884076876E-2</v>
      </c>
      <c r="M65">
        <f t="shared" si="2"/>
        <v>1.237051117692999E-2</v>
      </c>
      <c r="N65">
        <f t="shared" si="4"/>
        <v>0.63090672667616698</v>
      </c>
      <c r="O65">
        <f t="shared" si="6"/>
        <v>0.61053063381668282</v>
      </c>
      <c r="P65">
        <f t="shared" si="7"/>
        <v>4.7256999999999993E-2</v>
      </c>
      <c r="Q65">
        <f t="shared" si="8"/>
        <v>4.579343926711113E-2</v>
      </c>
      <c r="R65">
        <f t="shared" si="9"/>
        <v>3.6046990831763777E-2</v>
      </c>
    </row>
    <row r="66" spans="1:18" x14ac:dyDescent="0.25">
      <c r="A66" s="18">
        <f t="shared" si="5"/>
        <v>38808</v>
      </c>
      <c r="B66">
        <v>5096</v>
      </c>
      <c r="C66">
        <v>4438</v>
      </c>
      <c r="D66">
        <v>1778</v>
      </c>
      <c r="E66">
        <v>135907</v>
      </c>
      <c r="F66">
        <v>150881</v>
      </c>
      <c r="G66">
        <v>4.7E-2</v>
      </c>
      <c r="H66">
        <f t="shared" ref="H66:H129" si="10">C66/F66</f>
        <v>2.9413908974622385E-2</v>
      </c>
      <c r="I66">
        <v>3.7656000000000002E-2</v>
      </c>
      <c r="J66">
        <f t="shared" ref="J66:J129" si="11">I66*E66/F66</f>
        <v>3.3918876412537033E-2</v>
      </c>
      <c r="K66">
        <v>4.4020999999999998E-2</v>
      </c>
      <c r="L66">
        <f t="shared" si="3"/>
        <v>4.5218888449650156E-2</v>
      </c>
      <c r="M66">
        <f t="shared" ref="M66:M129" si="12">D66/E66</f>
        <v>1.3082475516345737E-2</v>
      </c>
      <c r="N66">
        <f t="shared" si="4"/>
        <v>0.62582785052388057</v>
      </c>
      <c r="O66">
        <f t="shared" si="6"/>
        <v>0.61630872245343948</v>
      </c>
      <c r="P66">
        <f t="shared" si="7"/>
        <v>4.6403E-2</v>
      </c>
      <c r="Q66">
        <f t="shared" si="8"/>
        <v>4.5580253771100053E-2</v>
      </c>
      <c r="R66">
        <f t="shared" si="9"/>
        <v>3.5675492794370094E-2</v>
      </c>
    </row>
    <row r="67" spans="1:18" x14ac:dyDescent="0.25">
      <c r="A67" s="18">
        <f t="shared" si="5"/>
        <v>38838</v>
      </c>
      <c r="B67">
        <v>5532</v>
      </c>
      <c r="C67">
        <v>4487</v>
      </c>
      <c r="D67">
        <v>1999</v>
      </c>
      <c r="E67">
        <v>135928</v>
      </c>
      <c r="F67">
        <v>151069</v>
      </c>
      <c r="G67">
        <v>4.5999999999999999E-2</v>
      </c>
      <c r="H67">
        <f t="shared" si="10"/>
        <v>2.9701659506583083E-2</v>
      </c>
      <c r="I67">
        <v>4.1519E-2</v>
      </c>
      <c r="J67">
        <f t="shared" si="11"/>
        <v>3.7357728137473609E-2</v>
      </c>
      <c r="K67">
        <v>4.7634999999999997E-2</v>
      </c>
      <c r="L67">
        <f t="shared" ref="L67:L130" si="13">0.035772338*(H67/G67)^(-0.5)</f>
        <v>4.4518024471603759E-2</v>
      </c>
      <c r="M67">
        <f t="shared" si="12"/>
        <v>1.4706315107998353E-2</v>
      </c>
      <c r="N67">
        <f t="shared" ref="N67:N130" si="14">H67/G67</f>
        <v>0.64568825014311049</v>
      </c>
      <c r="O67">
        <f t="shared" si="6"/>
        <v>0.63414094244771935</v>
      </c>
      <c r="P67">
        <f t="shared" si="7"/>
        <v>4.6204000000000002E-2</v>
      </c>
      <c r="Q67">
        <f t="shared" si="8"/>
        <v>4.4924474935110259E-2</v>
      </c>
      <c r="R67">
        <f t="shared" si="9"/>
        <v>3.6146847933093203E-2</v>
      </c>
    </row>
    <row r="68" spans="1:18" x14ac:dyDescent="0.25">
      <c r="A68" s="18">
        <f t="shared" ref="A68:A131" si="15">DATE(YEAR(A67),MONTH(A67)+1,1)</f>
        <v>38869</v>
      </c>
      <c r="B68">
        <v>5357</v>
      </c>
      <c r="C68">
        <v>4333</v>
      </c>
      <c r="D68">
        <v>1755</v>
      </c>
      <c r="E68">
        <v>136008</v>
      </c>
      <c r="F68">
        <v>151354</v>
      </c>
      <c r="G68">
        <v>4.5999999999999999E-2</v>
      </c>
      <c r="H68">
        <f t="shared" si="10"/>
        <v>2.8628249005642401E-2</v>
      </c>
      <c r="I68">
        <v>3.8653E-2</v>
      </c>
      <c r="J68">
        <f t="shared" si="11"/>
        <v>3.4733916672172523E-2</v>
      </c>
      <c r="K68">
        <v>4.6857000000000003E-2</v>
      </c>
      <c r="L68">
        <f t="shared" si="13"/>
        <v>4.534494175928918E-2</v>
      </c>
      <c r="M68">
        <f t="shared" si="12"/>
        <v>1.2903652726310217E-2</v>
      </c>
      <c r="N68">
        <f t="shared" si="14"/>
        <v>0.62235323925309571</v>
      </c>
      <c r="O68">
        <f t="shared" si="6"/>
        <v>0.63128977997336222</v>
      </c>
      <c r="P68">
        <f t="shared" si="7"/>
        <v>4.6170999999999997E-2</v>
      </c>
      <c r="Q68">
        <f t="shared" si="8"/>
        <v>4.5027284893514367E-2</v>
      </c>
      <c r="R68">
        <f t="shared" si="9"/>
        <v>3.5336840407394383E-2</v>
      </c>
    </row>
    <row r="69" spans="1:18" x14ac:dyDescent="0.25">
      <c r="A69" s="18">
        <f t="shared" si="15"/>
        <v>38899</v>
      </c>
      <c r="B69">
        <v>5419</v>
      </c>
      <c r="C69">
        <v>4076</v>
      </c>
      <c r="D69">
        <v>1788</v>
      </c>
      <c r="E69">
        <v>136218</v>
      </c>
      <c r="F69">
        <v>151377</v>
      </c>
      <c r="G69">
        <v>4.7E-2</v>
      </c>
      <c r="H69">
        <f t="shared" si="10"/>
        <v>2.6926151264723176E-2</v>
      </c>
      <c r="I69">
        <v>3.8278E-2</v>
      </c>
      <c r="J69">
        <f t="shared" si="11"/>
        <v>3.4444813967775816E-2</v>
      </c>
      <c r="K69">
        <v>4.9842999999999998E-2</v>
      </c>
      <c r="L69">
        <f t="shared" si="13"/>
        <v>4.7261675495886508E-2</v>
      </c>
      <c r="M69">
        <f t="shared" si="12"/>
        <v>1.3126018587851826E-2</v>
      </c>
      <c r="N69">
        <f t="shared" si="14"/>
        <v>0.57289683541964209</v>
      </c>
      <c r="O69">
        <f t="shared" ref="O69:O132" si="16">AVERAGE(N67:N69)</f>
        <v>0.61364610827194943</v>
      </c>
      <c r="P69">
        <f t="shared" ref="P69:P132" si="17">AVERAGE(K67:K69)</f>
        <v>4.8111666666666664E-2</v>
      </c>
      <c r="Q69">
        <f t="shared" ref="Q69:Q132" si="18">AVERAGE(L67:L69)</f>
        <v>4.570821390892648E-2</v>
      </c>
      <c r="R69">
        <f t="shared" ref="R69:R132" si="19">AVERAGE(J67:J69)</f>
        <v>3.5512152925807318E-2</v>
      </c>
    </row>
    <row r="70" spans="1:18" x14ac:dyDescent="0.25">
      <c r="A70" s="18">
        <f t="shared" si="15"/>
        <v>38930</v>
      </c>
      <c r="B70">
        <v>5222</v>
      </c>
      <c r="C70">
        <v>4498</v>
      </c>
      <c r="D70">
        <v>1644</v>
      </c>
      <c r="E70">
        <v>136397</v>
      </c>
      <c r="F70">
        <v>151716</v>
      </c>
      <c r="G70">
        <v>4.7E-2</v>
      </c>
      <c r="H70">
        <f t="shared" si="10"/>
        <v>2.964749927496111E-2</v>
      </c>
      <c r="I70">
        <v>4.1743000000000002E-2</v>
      </c>
      <c r="J70">
        <f t="shared" si="11"/>
        <v>3.7528144500250465E-2</v>
      </c>
      <c r="K70">
        <v>4.6474000000000001E-2</v>
      </c>
      <c r="L70">
        <f t="shared" si="13"/>
        <v>4.5040398155044153E-2</v>
      </c>
      <c r="M70">
        <f t="shared" si="12"/>
        <v>1.2053051020183728E-2</v>
      </c>
      <c r="N70">
        <f t="shared" si="14"/>
        <v>0.6307978569140662</v>
      </c>
      <c r="O70">
        <f t="shared" si="16"/>
        <v>0.608682643862268</v>
      </c>
      <c r="P70">
        <f t="shared" si="17"/>
        <v>4.7724666666666672E-2</v>
      </c>
      <c r="Q70">
        <f t="shared" si="18"/>
        <v>4.5882338470073281E-2</v>
      </c>
      <c r="R70">
        <f t="shared" si="19"/>
        <v>3.5568958380066268E-2</v>
      </c>
    </row>
    <row r="71" spans="1:18" x14ac:dyDescent="0.25">
      <c r="A71" s="18">
        <f t="shared" si="15"/>
        <v>38961</v>
      </c>
      <c r="B71">
        <v>5237</v>
      </c>
      <c r="C71">
        <v>4563</v>
      </c>
      <c r="D71">
        <v>1729</v>
      </c>
      <c r="E71">
        <v>136556</v>
      </c>
      <c r="F71">
        <v>151662</v>
      </c>
      <c r="G71">
        <v>4.4999999999999998E-2</v>
      </c>
      <c r="H71">
        <f t="shared" si="10"/>
        <v>3.0086640028484393E-2</v>
      </c>
      <c r="I71">
        <v>3.9227999999999999E-2</v>
      </c>
      <c r="J71">
        <f t="shared" si="11"/>
        <v>3.5320770977568541E-2</v>
      </c>
      <c r="K71">
        <v>4.4409999999999998E-2</v>
      </c>
      <c r="L71">
        <f t="shared" si="13"/>
        <v>4.3748859674494336E-2</v>
      </c>
      <c r="M71">
        <f t="shared" si="12"/>
        <v>1.2661472216526554E-2</v>
      </c>
      <c r="N71">
        <f t="shared" si="14"/>
        <v>0.66859200063298652</v>
      </c>
      <c r="O71">
        <f t="shared" si="16"/>
        <v>0.62409556432223157</v>
      </c>
      <c r="P71">
        <f t="shared" si="17"/>
        <v>4.6908999999999999E-2</v>
      </c>
      <c r="Q71">
        <f t="shared" si="18"/>
        <v>4.5350311108475004E-2</v>
      </c>
      <c r="R71">
        <f t="shared" si="19"/>
        <v>3.5764576481864943E-2</v>
      </c>
    </row>
    <row r="72" spans="1:18" x14ac:dyDescent="0.25">
      <c r="A72" s="18">
        <f t="shared" si="15"/>
        <v>38991</v>
      </c>
      <c r="B72">
        <v>5187</v>
      </c>
      <c r="C72">
        <v>4434</v>
      </c>
      <c r="D72">
        <v>1792</v>
      </c>
      <c r="E72">
        <v>136553</v>
      </c>
      <c r="F72">
        <v>152041</v>
      </c>
      <c r="G72">
        <v>4.4000000000000004E-2</v>
      </c>
      <c r="H72">
        <f t="shared" si="10"/>
        <v>2.9163186245815275E-2</v>
      </c>
      <c r="I72">
        <v>3.7453E-2</v>
      </c>
      <c r="J72">
        <f t="shared" si="11"/>
        <v>3.3637765530350368E-2</v>
      </c>
      <c r="K72">
        <v>4.4447E-2</v>
      </c>
      <c r="L72">
        <f t="shared" si="13"/>
        <v>4.3939608001700818E-2</v>
      </c>
      <c r="M72">
        <f t="shared" si="12"/>
        <v>1.3123109708318382E-2</v>
      </c>
      <c r="N72">
        <f t="shared" si="14"/>
        <v>0.66279968740489259</v>
      </c>
      <c r="O72">
        <f t="shared" si="16"/>
        <v>0.65406318165064847</v>
      </c>
      <c r="P72">
        <f t="shared" si="17"/>
        <v>4.5110333333333329E-2</v>
      </c>
      <c r="Q72">
        <f t="shared" si="18"/>
        <v>4.4242955277079769E-2</v>
      </c>
      <c r="R72">
        <f t="shared" si="19"/>
        <v>3.5495560336056463E-2</v>
      </c>
    </row>
    <row r="73" spans="1:18" x14ac:dyDescent="0.25">
      <c r="A73" s="18">
        <f t="shared" si="15"/>
        <v>39022</v>
      </c>
      <c r="B73">
        <v>5540</v>
      </c>
      <c r="C73">
        <v>4705</v>
      </c>
      <c r="D73">
        <v>1868</v>
      </c>
      <c r="E73">
        <v>136758</v>
      </c>
      <c r="F73">
        <v>152406</v>
      </c>
      <c r="G73">
        <v>4.4999999999999998E-2</v>
      </c>
      <c r="H73">
        <f t="shared" si="10"/>
        <v>3.087148799916014E-2</v>
      </c>
      <c r="I73">
        <v>4.2928000000000001E-2</v>
      </c>
      <c r="J73">
        <f t="shared" si="11"/>
        <v>3.8520448171331836E-2</v>
      </c>
      <c r="K73">
        <v>4.6404000000000001E-2</v>
      </c>
      <c r="L73">
        <f t="shared" si="13"/>
        <v>4.3189164339938878E-2</v>
      </c>
      <c r="M73">
        <f t="shared" si="12"/>
        <v>1.3659164363327923E-2</v>
      </c>
      <c r="N73">
        <f t="shared" si="14"/>
        <v>0.68603306664800312</v>
      </c>
      <c r="O73">
        <f t="shared" si="16"/>
        <v>0.67247491822862748</v>
      </c>
      <c r="P73">
        <f t="shared" si="17"/>
        <v>4.5086999999999995E-2</v>
      </c>
      <c r="Q73">
        <f t="shared" si="18"/>
        <v>4.3625877338711344E-2</v>
      </c>
      <c r="R73">
        <f t="shared" si="19"/>
        <v>3.5826328226416917E-2</v>
      </c>
    </row>
    <row r="74" spans="1:18" x14ac:dyDescent="0.25">
      <c r="A74" s="18">
        <f t="shared" si="15"/>
        <v>39052</v>
      </c>
      <c r="B74">
        <v>5261</v>
      </c>
      <c r="C74">
        <v>4583</v>
      </c>
      <c r="D74">
        <v>1770</v>
      </c>
      <c r="E74">
        <v>136927</v>
      </c>
      <c r="F74">
        <v>152732</v>
      </c>
      <c r="G74">
        <v>4.4000000000000004E-2</v>
      </c>
      <c r="H74">
        <f t="shared" si="10"/>
        <v>3.0006809313045071E-2</v>
      </c>
      <c r="I74">
        <v>3.7948999999999997E-2</v>
      </c>
      <c r="J74">
        <f t="shared" si="11"/>
        <v>3.4021964768352404E-2</v>
      </c>
      <c r="K74">
        <v>4.3659000000000003E-2</v>
      </c>
      <c r="L74">
        <f t="shared" si="13"/>
        <v>4.3317536959472151E-2</v>
      </c>
      <c r="M74">
        <f t="shared" si="12"/>
        <v>1.292659592337523E-2</v>
      </c>
      <c r="N74">
        <f t="shared" si="14"/>
        <v>0.6819729389328425</v>
      </c>
      <c r="O74">
        <f t="shared" si="16"/>
        <v>0.676935230995246</v>
      </c>
      <c r="P74">
        <f t="shared" si="17"/>
        <v>4.483666666666667E-2</v>
      </c>
      <c r="Q74">
        <f t="shared" si="18"/>
        <v>4.3482103100370616E-2</v>
      </c>
      <c r="R74">
        <f t="shared" si="19"/>
        <v>3.5393392823344867E-2</v>
      </c>
    </row>
    <row r="75" spans="1:18" x14ac:dyDescent="0.25">
      <c r="A75" s="18">
        <f t="shared" si="15"/>
        <v>39083</v>
      </c>
      <c r="B75">
        <v>5279</v>
      </c>
      <c r="C75">
        <v>4602</v>
      </c>
      <c r="D75">
        <v>1714</v>
      </c>
      <c r="E75">
        <v>137161</v>
      </c>
      <c r="F75">
        <v>153144</v>
      </c>
      <c r="G75">
        <v>4.5999999999999999E-2</v>
      </c>
      <c r="H75">
        <f t="shared" si="10"/>
        <v>3.0050148879485972E-2</v>
      </c>
      <c r="I75">
        <v>3.9025999999999998E-2</v>
      </c>
      <c r="J75">
        <f t="shared" si="11"/>
        <v>3.4953019289035152E-2</v>
      </c>
      <c r="K75">
        <v>4.4197E-2</v>
      </c>
      <c r="L75">
        <f t="shared" si="13"/>
        <v>4.4259135571303829E-2</v>
      </c>
      <c r="M75">
        <f t="shared" si="12"/>
        <v>1.2496263515139144E-2</v>
      </c>
      <c r="N75">
        <f t="shared" si="14"/>
        <v>0.653264106075782</v>
      </c>
      <c r="O75">
        <f t="shared" si="16"/>
        <v>0.67375670388554243</v>
      </c>
      <c r="P75">
        <f t="shared" si="17"/>
        <v>4.4753333333333332E-2</v>
      </c>
      <c r="Q75">
        <f t="shared" si="18"/>
        <v>4.3588612290238284E-2</v>
      </c>
      <c r="R75">
        <f t="shared" si="19"/>
        <v>3.5831810742906471E-2</v>
      </c>
    </row>
    <row r="76" spans="1:18" x14ac:dyDescent="0.25">
      <c r="A76" s="18">
        <f t="shared" si="15"/>
        <v>39114</v>
      </c>
      <c r="B76">
        <v>5183</v>
      </c>
      <c r="C76">
        <v>4483</v>
      </c>
      <c r="D76">
        <v>1762</v>
      </c>
      <c r="E76">
        <v>137251</v>
      </c>
      <c r="F76">
        <v>152983</v>
      </c>
      <c r="G76">
        <v>4.4999999999999998E-2</v>
      </c>
      <c r="H76">
        <f t="shared" si="10"/>
        <v>2.9303909584725101E-2</v>
      </c>
      <c r="I76">
        <v>3.7301000000000001E-2</v>
      </c>
      <c r="J76">
        <f t="shared" si="11"/>
        <v>3.3465153324225567E-2</v>
      </c>
      <c r="K76">
        <v>4.3972999999999998E-2</v>
      </c>
      <c r="L76">
        <f t="shared" si="13"/>
        <v>4.4329292466691109E-2</v>
      </c>
      <c r="M76">
        <f t="shared" si="12"/>
        <v>1.2837793531558969E-2</v>
      </c>
      <c r="N76">
        <f t="shared" si="14"/>
        <v>0.65119799077166896</v>
      </c>
      <c r="O76">
        <f t="shared" si="16"/>
        <v>0.66214501192676456</v>
      </c>
      <c r="P76">
        <f t="shared" si="17"/>
        <v>4.3943000000000003E-2</v>
      </c>
      <c r="Q76">
        <f t="shared" si="18"/>
        <v>4.3968654999155699E-2</v>
      </c>
      <c r="R76">
        <f t="shared" si="19"/>
        <v>3.4146712460537708E-2</v>
      </c>
    </row>
    <row r="77" spans="1:18" x14ac:dyDescent="0.25">
      <c r="A77" s="18">
        <f t="shared" si="15"/>
        <v>39142</v>
      </c>
      <c r="B77">
        <v>5354</v>
      </c>
      <c r="C77">
        <v>4707</v>
      </c>
      <c r="D77">
        <v>1774</v>
      </c>
      <c r="E77">
        <v>137437</v>
      </c>
      <c r="F77">
        <v>153051</v>
      </c>
      <c r="G77">
        <v>4.4000000000000004E-2</v>
      </c>
      <c r="H77">
        <f t="shared" si="10"/>
        <v>3.0754454397553758E-2</v>
      </c>
      <c r="I77">
        <v>4.1000000000000002E-2</v>
      </c>
      <c r="J77">
        <f t="shared" si="11"/>
        <v>3.6817250458997329E-2</v>
      </c>
      <c r="K77">
        <v>4.4644000000000003E-2</v>
      </c>
      <c r="L77">
        <f t="shared" si="13"/>
        <v>4.2787769783041482E-2</v>
      </c>
      <c r="M77">
        <f t="shared" si="12"/>
        <v>1.2907732270058281E-2</v>
      </c>
      <c r="N77">
        <f t="shared" si="14"/>
        <v>0.69896487267167628</v>
      </c>
      <c r="O77">
        <f t="shared" si="16"/>
        <v>0.66780898983970916</v>
      </c>
      <c r="P77">
        <f t="shared" si="17"/>
        <v>4.4271333333333329E-2</v>
      </c>
      <c r="Q77">
        <f t="shared" si="18"/>
        <v>4.379206594034548E-2</v>
      </c>
      <c r="R77">
        <f t="shared" si="19"/>
        <v>3.5078474357419349E-2</v>
      </c>
    </row>
    <row r="78" spans="1:18" x14ac:dyDescent="0.25">
      <c r="A78" s="18">
        <f t="shared" si="15"/>
        <v>39173</v>
      </c>
      <c r="B78">
        <v>5180</v>
      </c>
      <c r="C78">
        <v>4498</v>
      </c>
      <c r="D78">
        <v>1882</v>
      </c>
      <c r="E78">
        <v>137513</v>
      </c>
      <c r="F78">
        <v>152435</v>
      </c>
      <c r="G78">
        <v>4.4999999999999998E-2</v>
      </c>
      <c r="H78">
        <f t="shared" si="10"/>
        <v>2.9507659002197657E-2</v>
      </c>
      <c r="I78">
        <v>3.6586E-2</v>
      </c>
      <c r="J78">
        <f t="shared" si="11"/>
        <v>3.3004563374553091E-2</v>
      </c>
      <c r="K78">
        <v>4.3437000000000003E-2</v>
      </c>
      <c r="L78">
        <f t="shared" si="13"/>
        <v>4.4175981200761598E-2</v>
      </c>
      <c r="M78">
        <f t="shared" si="12"/>
        <v>1.3685978780188054E-2</v>
      </c>
      <c r="N78">
        <f t="shared" si="14"/>
        <v>0.65572575560439239</v>
      </c>
      <c r="O78">
        <f t="shared" si="16"/>
        <v>0.66862953968257921</v>
      </c>
      <c r="P78">
        <f t="shared" si="17"/>
        <v>4.4018000000000002E-2</v>
      </c>
      <c r="Q78">
        <f t="shared" si="18"/>
        <v>4.3764347816831396E-2</v>
      </c>
      <c r="R78">
        <f t="shared" si="19"/>
        <v>3.4428989052592E-2</v>
      </c>
    </row>
    <row r="79" spans="1:18" x14ac:dyDescent="0.25">
      <c r="A79" s="18">
        <f t="shared" si="15"/>
        <v>39203</v>
      </c>
      <c r="B79">
        <v>5314</v>
      </c>
      <c r="C79">
        <v>4479</v>
      </c>
      <c r="D79">
        <v>1809</v>
      </c>
      <c r="E79">
        <v>137654</v>
      </c>
      <c r="F79">
        <v>152670</v>
      </c>
      <c r="G79">
        <v>4.4000000000000004E-2</v>
      </c>
      <c r="H79">
        <f t="shared" si="10"/>
        <v>2.9337787384554923E-2</v>
      </c>
      <c r="I79">
        <v>3.8875E-2</v>
      </c>
      <c r="J79">
        <f t="shared" si="11"/>
        <v>3.5051413178751559E-2</v>
      </c>
      <c r="K79">
        <v>4.5551000000000001E-2</v>
      </c>
      <c r="L79">
        <f t="shared" si="13"/>
        <v>4.3808661617682307E-2</v>
      </c>
      <c r="M79">
        <f t="shared" si="12"/>
        <v>1.314164499397039E-2</v>
      </c>
      <c r="N79">
        <f t="shared" si="14"/>
        <v>0.66676789510352097</v>
      </c>
      <c r="O79">
        <f t="shared" si="16"/>
        <v>0.67381950779319644</v>
      </c>
      <c r="P79">
        <f t="shared" si="17"/>
        <v>4.4544E-2</v>
      </c>
      <c r="Q79">
        <f t="shared" si="18"/>
        <v>4.3590804200495124E-2</v>
      </c>
      <c r="R79">
        <f t="shared" si="19"/>
        <v>3.495774233743399E-2</v>
      </c>
    </row>
    <row r="80" spans="1:18" x14ac:dyDescent="0.25">
      <c r="A80" s="18">
        <f t="shared" si="15"/>
        <v>39234</v>
      </c>
      <c r="B80">
        <v>5237</v>
      </c>
      <c r="C80">
        <v>4690</v>
      </c>
      <c r="D80">
        <v>1833</v>
      </c>
      <c r="E80">
        <v>137734</v>
      </c>
      <c r="F80">
        <v>153041</v>
      </c>
      <c r="G80">
        <v>4.5999999999999999E-2</v>
      </c>
      <c r="H80">
        <f t="shared" si="10"/>
        <v>3.0645382609888853E-2</v>
      </c>
      <c r="I80">
        <v>3.9980000000000002E-2</v>
      </c>
      <c r="J80">
        <f t="shared" si="11"/>
        <v>3.5981242412164063E-2</v>
      </c>
      <c r="K80">
        <v>4.3781E-2</v>
      </c>
      <c r="L80">
        <f t="shared" si="13"/>
        <v>4.3827199174492626E-2</v>
      </c>
      <c r="M80">
        <f t="shared" si="12"/>
        <v>1.3308260850625118E-2</v>
      </c>
      <c r="N80">
        <f t="shared" si="14"/>
        <v>0.66620396978019247</v>
      </c>
      <c r="O80">
        <f t="shared" si="16"/>
        <v>0.66289920682936865</v>
      </c>
      <c r="P80">
        <f t="shared" si="17"/>
        <v>4.4256333333333342E-2</v>
      </c>
      <c r="Q80">
        <f t="shared" si="18"/>
        <v>4.3937280664312177E-2</v>
      </c>
      <c r="R80">
        <f t="shared" si="19"/>
        <v>3.4679072988489566E-2</v>
      </c>
    </row>
    <row r="81" spans="1:18" x14ac:dyDescent="0.25">
      <c r="A81" s="18">
        <f t="shared" si="15"/>
        <v>39264</v>
      </c>
      <c r="B81">
        <v>5121</v>
      </c>
      <c r="C81">
        <v>4404</v>
      </c>
      <c r="D81">
        <v>1796</v>
      </c>
      <c r="E81">
        <v>137699</v>
      </c>
      <c r="F81">
        <v>153054</v>
      </c>
      <c r="G81">
        <v>4.7E-2</v>
      </c>
      <c r="H81">
        <f t="shared" si="10"/>
        <v>2.8774158140264221E-2</v>
      </c>
      <c r="I81">
        <v>3.5522999999999999E-2</v>
      </c>
      <c r="J81">
        <f t="shared" si="11"/>
        <v>3.1959188110078793E-2</v>
      </c>
      <c r="K81">
        <v>4.3525000000000001E-2</v>
      </c>
      <c r="L81">
        <f t="shared" si="13"/>
        <v>4.5718812499101105E-2</v>
      </c>
      <c r="M81">
        <f t="shared" si="12"/>
        <v>1.3042941488318725E-2</v>
      </c>
      <c r="N81">
        <f t="shared" si="14"/>
        <v>0.61221613064391955</v>
      </c>
      <c r="O81">
        <f t="shared" si="16"/>
        <v>0.64839599850921104</v>
      </c>
      <c r="P81">
        <f t="shared" si="17"/>
        <v>4.4285666666666668E-2</v>
      </c>
      <c r="Q81">
        <f t="shared" si="18"/>
        <v>4.4451557763758677E-2</v>
      </c>
      <c r="R81">
        <f t="shared" si="19"/>
        <v>3.4330614566998138E-2</v>
      </c>
    </row>
    <row r="82" spans="1:18" x14ac:dyDescent="0.25">
      <c r="A82" s="18">
        <f t="shared" si="15"/>
        <v>39295</v>
      </c>
      <c r="B82">
        <v>5145</v>
      </c>
      <c r="C82">
        <v>4491</v>
      </c>
      <c r="D82">
        <v>1865</v>
      </c>
      <c r="E82">
        <v>137675</v>
      </c>
      <c r="F82">
        <v>152749</v>
      </c>
      <c r="G82">
        <v>4.5999999999999999E-2</v>
      </c>
      <c r="H82">
        <f t="shared" si="10"/>
        <v>2.9401174475773981E-2</v>
      </c>
      <c r="I82">
        <v>3.8420999999999997E-2</v>
      </c>
      <c r="J82">
        <f t="shared" si="11"/>
        <v>3.4629432434909554E-2</v>
      </c>
      <c r="K82">
        <v>4.4426E-2</v>
      </c>
      <c r="L82">
        <f t="shared" si="13"/>
        <v>4.4744937085384767E-2</v>
      </c>
      <c r="M82">
        <f t="shared" si="12"/>
        <v>1.3546395496640639E-2</v>
      </c>
      <c r="N82">
        <f t="shared" si="14"/>
        <v>0.63915596686465181</v>
      </c>
      <c r="O82">
        <f t="shared" si="16"/>
        <v>0.63919202242958795</v>
      </c>
      <c r="P82">
        <f t="shared" si="17"/>
        <v>4.391066666666666E-2</v>
      </c>
      <c r="Q82">
        <f t="shared" si="18"/>
        <v>4.4763649586326171E-2</v>
      </c>
      <c r="R82">
        <f t="shared" si="19"/>
        <v>3.4189954319050801E-2</v>
      </c>
    </row>
    <row r="83" spans="1:18" x14ac:dyDescent="0.25">
      <c r="A83" s="18">
        <f t="shared" si="15"/>
        <v>39326</v>
      </c>
      <c r="B83">
        <v>5156</v>
      </c>
      <c r="C83">
        <v>4536</v>
      </c>
      <c r="D83">
        <v>2086</v>
      </c>
      <c r="E83">
        <v>137752</v>
      </c>
      <c r="F83">
        <v>153414</v>
      </c>
      <c r="G83">
        <v>4.7E-2</v>
      </c>
      <c r="H83">
        <f t="shared" si="10"/>
        <v>2.9567053854276663E-2</v>
      </c>
      <c r="I83">
        <v>3.8231000000000001E-2</v>
      </c>
      <c r="J83">
        <f t="shared" si="11"/>
        <v>3.4328005996845136E-2</v>
      </c>
      <c r="K83">
        <v>4.3902999999999998E-2</v>
      </c>
      <c r="L83">
        <f t="shared" si="13"/>
        <v>4.510162902026367E-2</v>
      </c>
      <c r="M83">
        <f t="shared" si="12"/>
        <v>1.5143155816249492E-2</v>
      </c>
      <c r="N83">
        <f t="shared" si="14"/>
        <v>0.62908625221865244</v>
      </c>
      <c r="O83">
        <f t="shared" si="16"/>
        <v>0.62681944990907457</v>
      </c>
      <c r="P83">
        <f t="shared" si="17"/>
        <v>4.3951333333333335E-2</v>
      </c>
      <c r="Q83">
        <f t="shared" si="18"/>
        <v>4.5188459534916514E-2</v>
      </c>
      <c r="R83">
        <f t="shared" si="19"/>
        <v>3.363887551394449E-2</v>
      </c>
    </row>
    <row r="84" spans="1:18" x14ac:dyDescent="0.25">
      <c r="A84" s="18">
        <f t="shared" si="15"/>
        <v>39356</v>
      </c>
      <c r="B84">
        <v>5201</v>
      </c>
      <c r="C84">
        <v>4275</v>
      </c>
      <c r="D84">
        <v>1904</v>
      </c>
      <c r="E84">
        <v>137838</v>
      </c>
      <c r="F84">
        <v>153183</v>
      </c>
      <c r="G84">
        <v>4.7E-2</v>
      </c>
      <c r="H84">
        <f t="shared" si="10"/>
        <v>2.7907796557059203E-2</v>
      </c>
      <c r="I84">
        <v>3.6259E-2</v>
      </c>
      <c r="J84">
        <f t="shared" si="11"/>
        <v>3.2626780008225456E-2</v>
      </c>
      <c r="K84">
        <v>4.5623999999999998E-2</v>
      </c>
      <c r="L84">
        <f t="shared" si="13"/>
        <v>4.6423029701994002E-2</v>
      </c>
      <c r="M84">
        <f t="shared" si="12"/>
        <v>1.3813317082372059E-2</v>
      </c>
      <c r="N84">
        <f t="shared" si="14"/>
        <v>0.59378290546934476</v>
      </c>
      <c r="O84">
        <f t="shared" si="16"/>
        <v>0.62067504151754971</v>
      </c>
      <c r="P84">
        <f t="shared" si="17"/>
        <v>4.4650999999999996E-2</v>
      </c>
      <c r="Q84">
        <f t="shared" si="18"/>
        <v>4.5423198602547482E-2</v>
      </c>
      <c r="R84">
        <f t="shared" si="19"/>
        <v>3.3861406146660049E-2</v>
      </c>
    </row>
    <row r="85" spans="1:18" x14ac:dyDescent="0.25">
      <c r="A85" s="18">
        <f t="shared" si="15"/>
        <v>39387</v>
      </c>
      <c r="B85">
        <v>5150</v>
      </c>
      <c r="C85">
        <v>4396</v>
      </c>
      <c r="D85">
        <v>1948</v>
      </c>
      <c r="E85">
        <v>137949</v>
      </c>
      <c r="F85">
        <v>153835</v>
      </c>
      <c r="G85">
        <v>4.7E-2</v>
      </c>
      <c r="H85">
        <f t="shared" si="10"/>
        <v>2.8576071765202979E-2</v>
      </c>
      <c r="I85">
        <v>3.8634000000000002E-2</v>
      </c>
      <c r="J85">
        <f t="shared" si="11"/>
        <v>3.4644402548184745E-2</v>
      </c>
      <c r="K85">
        <v>4.5585000000000001E-2</v>
      </c>
      <c r="L85">
        <f t="shared" si="13"/>
        <v>4.5876997882083624E-2</v>
      </c>
      <c r="M85">
        <f t="shared" si="12"/>
        <v>1.4121160718816373E-2</v>
      </c>
      <c r="N85">
        <f t="shared" si="14"/>
        <v>0.60800152691921228</v>
      </c>
      <c r="O85">
        <f t="shared" si="16"/>
        <v>0.61029022820240308</v>
      </c>
      <c r="P85">
        <f t="shared" si="17"/>
        <v>4.5037333333333339E-2</v>
      </c>
      <c r="Q85">
        <f t="shared" si="18"/>
        <v>4.5800552201447103E-2</v>
      </c>
      <c r="R85">
        <f t="shared" si="19"/>
        <v>3.3866396184418446E-2</v>
      </c>
    </row>
    <row r="86" spans="1:18" x14ac:dyDescent="0.25">
      <c r="A86" s="18">
        <f t="shared" si="15"/>
        <v>39417</v>
      </c>
      <c r="B86">
        <v>4971</v>
      </c>
      <c r="C86">
        <v>4256</v>
      </c>
      <c r="D86">
        <v>1788</v>
      </c>
      <c r="E86">
        <v>138042</v>
      </c>
      <c r="F86">
        <v>153918</v>
      </c>
      <c r="G86">
        <v>0.05</v>
      </c>
      <c r="H86">
        <f t="shared" si="10"/>
        <v>2.7651086942397901E-2</v>
      </c>
      <c r="I86">
        <v>3.5383999999999999E-2</v>
      </c>
      <c r="J86">
        <f t="shared" si="11"/>
        <v>3.1734287919541575E-2</v>
      </c>
      <c r="K86">
        <v>4.4306999999999999E-2</v>
      </c>
      <c r="L86">
        <f t="shared" si="13"/>
        <v>4.8103449845933587E-2</v>
      </c>
      <c r="M86">
        <f t="shared" si="12"/>
        <v>1.2952579649671839E-2</v>
      </c>
      <c r="N86">
        <f t="shared" si="14"/>
        <v>0.55302173884795802</v>
      </c>
      <c r="O86">
        <f t="shared" si="16"/>
        <v>0.58493539041217169</v>
      </c>
      <c r="P86">
        <f t="shared" si="17"/>
        <v>4.5171999999999997E-2</v>
      </c>
      <c r="Q86">
        <f t="shared" si="18"/>
        <v>4.6801159143337073E-2</v>
      </c>
      <c r="R86">
        <f t="shared" si="19"/>
        <v>3.3001823491983932E-2</v>
      </c>
    </row>
    <row r="87" spans="1:18" x14ac:dyDescent="0.25">
      <c r="A87" s="18">
        <f t="shared" si="15"/>
        <v>39448</v>
      </c>
      <c r="B87">
        <v>4927</v>
      </c>
      <c r="C87">
        <v>4224</v>
      </c>
      <c r="D87">
        <v>1831</v>
      </c>
      <c r="E87">
        <v>138056</v>
      </c>
      <c r="F87">
        <v>154063</v>
      </c>
      <c r="G87">
        <v>0.05</v>
      </c>
      <c r="H87">
        <f t="shared" si="10"/>
        <v>2.7417355237792332E-2</v>
      </c>
      <c r="I87">
        <v>3.5846000000000003E-2</v>
      </c>
      <c r="J87">
        <f t="shared" si="11"/>
        <v>3.2121634500172011E-2</v>
      </c>
      <c r="K87">
        <v>4.4720000000000003E-2</v>
      </c>
      <c r="L87">
        <f t="shared" si="13"/>
        <v>4.8308054569325694E-2</v>
      </c>
      <c r="M87">
        <f t="shared" si="12"/>
        <v>1.3262733963029495E-2</v>
      </c>
      <c r="N87">
        <f t="shared" si="14"/>
        <v>0.54834710475584658</v>
      </c>
      <c r="O87">
        <f t="shared" si="16"/>
        <v>0.56979012350767222</v>
      </c>
      <c r="P87">
        <f t="shared" si="17"/>
        <v>4.487066666666667E-2</v>
      </c>
      <c r="Q87">
        <f t="shared" si="18"/>
        <v>4.7429500765780973E-2</v>
      </c>
      <c r="R87">
        <f t="shared" si="19"/>
        <v>3.2833441655966113E-2</v>
      </c>
    </row>
    <row r="88" spans="1:18" x14ac:dyDescent="0.25">
      <c r="A88" s="18">
        <f t="shared" si="15"/>
        <v>39479</v>
      </c>
      <c r="B88">
        <v>4895</v>
      </c>
      <c r="C88">
        <v>4026</v>
      </c>
      <c r="D88">
        <v>1861</v>
      </c>
      <c r="E88">
        <v>137971</v>
      </c>
      <c r="F88">
        <v>153653</v>
      </c>
      <c r="G88">
        <v>4.9000000000000002E-2</v>
      </c>
      <c r="H88">
        <f t="shared" si="10"/>
        <v>2.6201896481031935E-2</v>
      </c>
      <c r="I88">
        <v>3.4426999999999999E-2</v>
      </c>
      <c r="J88">
        <f t="shared" si="11"/>
        <v>3.0913341210389647E-2</v>
      </c>
      <c r="K88">
        <v>4.5818999999999999E-2</v>
      </c>
      <c r="L88">
        <f t="shared" si="13"/>
        <v>4.8919161271181767E-2</v>
      </c>
      <c r="M88">
        <f t="shared" si="12"/>
        <v>1.3488341752977076E-2</v>
      </c>
      <c r="N88">
        <f t="shared" si="14"/>
        <v>0.53473258124554968</v>
      </c>
      <c r="O88">
        <f t="shared" si="16"/>
        <v>0.54536714161645139</v>
      </c>
      <c r="P88">
        <f t="shared" si="17"/>
        <v>4.4948666666666665E-2</v>
      </c>
      <c r="Q88">
        <f t="shared" si="18"/>
        <v>4.8443555228813683E-2</v>
      </c>
      <c r="R88">
        <f t="shared" si="19"/>
        <v>3.1589754543367744E-2</v>
      </c>
    </row>
    <row r="89" spans="1:18" x14ac:dyDescent="0.25">
      <c r="A89" s="18">
        <f t="shared" si="15"/>
        <v>39508</v>
      </c>
      <c r="B89">
        <v>4811</v>
      </c>
      <c r="C89">
        <v>4003</v>
      </c>
      <c r="D89">
        <v>1834</v>
      </c>
      <c r="E89">
        <v>137892</v>
      </c>
      <c r="F89">
        <v>153908</v>
      </c>
      <c r="G89">
        <v>5.0999999999999997E-2</v>
      </c>
      <c r="H89">
        <f t="shared" si="10"/>
        <v>2.6009044364165606E-2</v>
      </c>
      <c r="I89">
        <v>3.5091999999999998E-2</v>
      </c>
      <c r="J89">
        <f t="shared" si="11"/>
        <v>3.1440250435325001E-2</v>
      </c>
      <c r="K89">
        <v>4.6114000000000002E-2</v>
      </c>
      <c r="L89">
        <f t="shared" si="13"/>
        <v>5.0092212690298787E-2</v>
      </c>
      <c r="M89">
        <f t="shared" si="12"/>
        <v>1.3300263974704841E-2</v>
      </c>
      <c r="N89">
        <f t="shared" si="14"/>
        <v>0.50998126204246286</v>
      </c>
      <c r="O89">
        <f t="shared" si="16"/>
        <v>0.53102031601461974</v>
      </c>
      <c r="P89">
        <f t="shared" si="17"/>
        <v>4.5551000000000008E-2</v>
      </c>
      <c r="Q89">
        <f t="shared" si="18"/>
        <v>4.9106476176935421E-2</v>
      </c>
      <c r="R89">
        <f t="shared" si="19"/>
        <v>3.1491742048628889E-2</v>
      </c>
    </row>
    <row r="90" spans="1:18" x14ac:dyDescent="0.25">
      <c r="A90" s="18">
        <f t="shared" si="15"/>
        <v>39539</v>
      </c>
      <c r="B90">
        <v>4897</v>
      </c>
      <c r="C90">
        <v>3906</v>
      </c>
      <c r="D90">
        <v>1878</v>
      </c>
      <c r="E90">
        <v>137677</v>
      </c>
      <c r="F90">
        <v>153769</v>
      </c>
      <c r="G90">
        <v>0.05</v>
      </c>
      <c r="H90">
        <f t="shared" si="10"/>
        <v>2.5401738972094506E-2</v>
      </c>
      <c r="I90">
        <v>3.5236999999999997E-2</v>
      </c>
      <c r="J90">
        <f t="shared" si="11"/>
        <v>3.1549430958125499E-2</v>
      </c>
      <c r="K90">
        <v>4.7728E-2</v>
      </c>
      <c r="L90">
        <f t="shared" si="13"/>
        <v>5.018808250974887E-2</v>
      </c>
      <c r="M90">
        <f t="shared" si="12"/>
        <v>1.3640622616704316E-2</v>
      </c>
      <c r="N90">
        <f t="shared" si="14"/>
        <v>0.50803477944189013</v>
      </c>
      <c r="O90">
        <f t="shared" si="16"/>
        <v>0.51758287424330085</v>
      </c>
      <c r="P90">
        <f t="shared" si="17"/>
        <v>4.6553666666666667E-2</v>
      </c>
      <c r="Q90">
        <f t="shared" si="18"/>
        <v>4.9733152157076473E-2</v>
      </c>
      <c r="R90">
        <f t="shared" si="19"/>
        <v>3.130100753461338E-2</v>
      </c>
    </row>
    <row r="91" spans="1:18" x14ac:dyDescent="0.25">
      <c r="A91" s="18">
        <f t="shared" si="15"/>
        <v>39569</v>
      </c>
      <c r="B91">
        <v>4678</v>
      </c>
      <c r="C91">
        <v>3947</v>
      </c>
      <c r="D91">
        <v>1871</v>
      </c>
      <c r="E91">
        <v>137491</v>
      </c>
      <c r="F91">
        <v>154303</v>
      </c>
      <c r="G91">
        <v>5.4000000000000006E-2</v>
      </c>
      <c r="H91">
        <f t="shared" si="10"/>
        <v>2.5579541551363227E-2</v>
      </c>
      <c r="I91">
        <v>3.4693000000000002E-2</v>
      </c>
      <c r="J91">
        <f t="shared" si="11"/>
        <v>3.0913042928523749E-2</v>
      </c>
      <c r="K91">
        <v>4.5783999999999998E-2</v>
      </c>
      <c r="L91">
        <f t="shared" si="13"/>
        <v>5.1975398430907212E-2</v>
      </c>
      <c r="M91">
        <f t="shared" si="12"/>
        <v>1.3608163443425388E-2</v>
      </c>
      <c r="N91">
        <f t="shared" si="14"/>
        <v>0.47369521391413377</v>
      </c>
      <c r="O91">
        <f t="shared" si="16"/>
        <v>0.49723708513282894</v>
      </c>
      <c r="P91">
        <f t="shared" si="17"/>
        <v>4.6542E-2</v>
      </c>
      <c r="Q91">
        <f t="shared" si="18"/>
        <v>5.0751897876984954E-2</v>
      </c>
      <c r="R91">
        <f t="shared" si="19"/>
        <v>3.1300908107324749E-2</v>
      </c>
    </row>
    <row r="92" spans="1:18" x14ac:dyDescent="0.25">
      <c r="A92" s="18">
        <f t="shared" si="15"/>
        <v>39600</v>
      </c>
      <c r="B92">
        <v>4739</v>
      </c>
      <c r="C92">
        <v>3777</v>
      </c>
      <c r="D92">
        <v>2009</v>
      </c>
      <c r="E92">
        <v>137322</v>
      </c>
      <c r="F92">
        <v>154313</v>
      </c>
      <c r="G92">
        <v>5.5999999999999994E-2</v>
      </c>
      <c r="H92">
        <f t="shared" si="10"/>
        <v>2.4476226889503801E-2</v>
      </c>
      <c r="I92">
        <v>3.3662999999999998E-2</v>
      </c>
      <c r="J92">
        <f t="shared" si="11"/>
        <v>2.9956455295406092E-2</v>
      </c>
      <c r="K92">
        <v>4.7371000000000003E-2</v>
      </c>
      <c r="L92">
        <f t="shared" si="13"/>
        <v>5.4108949689967524E-2</v>
      </c>
      <c r="M92">
        <f t="shared" si="12"/>
        <v>1.4629848094260206E-2</v>
      </c>
      <c r="N92">
        <f t="shared" si="14"/>
        <v>0.43707548016971076</v>
      </c>
      <c r="O92">
        <f t="shared" si="16"/>
        <v>0.47293515784191159</v>
      </c>
      <c r="P92">
        <f t="shared" si="17"/>
        <v>4.6961000000000003E-2</v>
      </c>
      <c r="Q92">
        <f t="shared" si="18"/>
        <v>5.2090810210207866E-2</v>
      </c>
      <c r="R92">
        <f t="shared" si="19"/>
        <v>3.080630972735178E-2</v>
      </c>
    </row>
    <row r="93" spans="1:18" x14ac:dyDescent="0.25">
      <c r="A93" s="18">
        <f t="shared" si="15"/>
        <v>39630</v>
      </c>
      <c r="B93">
        <v>4505</v>
      </c>
      <c r="C93">
        <v>3784</v>
      </c>
      <c r="D93">
        <v>1932</v>
      </c>
      <c r="E93">
        <v>137106</v>
      </c>
      <c r="F93">
        <v>154469</v>
      </c>
      <c r="G93">
        <v>5.7999999999999996E-2</v>
      </c>
      <c r="H93">
        <f t="shared" si="10"/>
        <v>2.4496824605584291E-2</v>
      </c>
      <c r="I93">
        <v>3.3279999999999997E-2</v>
      </c>
      <c r="J93">
        <f t="shared" si="11"/>
        <v>2.953918054755323E-2</v>
      </c>
      <c r="K93">
        <v>4.5824999999999998E-2</v>
      </c>
      <c r="L93">
        <f t="shared" si="13"/>
        <v>5.5043548774947583E-2</v>
      </c>
      <c r="M93">
        <f t="shared" si="12"/>
        <v>1.4091287033390224E-2</v>
      </c>
      <c r="N93">
        <f t="shared" si="14"/>
        <v>0.42235904492386711</v>
      </c>
      <c r="O93">
        <f t="shared" si="16"/>
        <v>0.44437657966923716</v>
      </c>
      <c r="P93">
        <f t="shared" si="17"/>
        <v>4.6326666666666662E-2</v>
      </c>
      <c r="Q93">
        <f t="shared" si="18"/>
        <v>5.3709298965274106E-2</v>
      </c>
      <c r="R93">
        <f t="shared" si="19"/>
        <v>3.013622625716102E-2</v>
      </c>
    </row>
    <row r="94" spans="1:18" x14ac:dyDescent="0.25">
      <c r="A94" s="18">
        <f t="shared" si="15"/>
        <v>39661</v>
      </c>
      <c r="B94">
        <v>4609</v>
      </c>
      <c r="C94">
        <v>3643</v>
      </c>
      <c r="D94">
        <v>2105</v>
      </c>
      <c r="E94">
        <v>136836</v>
      </c>
      <c r="F94">
        <v>154641</v>
      </c>
      <c r="G94">
        <v>6.0999999999999999E-2</v>
      </c>
      <c r="H94">
        <f t="shared" si="10"/>
        <v>2.3557788684760186E-2</v>
      </c>
      <c r="I94">
        <v>3.3048000000000001E-2</v>
      </c>
      <c r="J94">
        <f t="shared" si="11"/>
        <v>2.9242931227811516E-2</v>
      </c>
      <c r="K94">
        <v>4.7891999999999997E-2</v>
      </c>
      <c r="L94">
        <f t="shared" si="13"/>
        <v>5.7563207072889311E-2</v>
      </c>
      <c r="M94">
        <f t="shared" si="12"/>
        <v>1.5383378643047152E-2</v>
      </c>
      <c r="N94">
        <f t="shared" si="14"/>
        <v>0.38619325712721619</v>
      </c>
      <c r="O94">
        <f t="shared" si="16"/>
        <v>0.41520926074026471</v>
      </c>
      <c r="P94">
        <f t="shared" si="17"/>
        <v>4.7029333333333333E-2</v>
      </c>
      <c r="Q94">
        <f t="shared" si="18"/>
        <v>5.5571901845934801E-2</v>
      </c>
      <c r="R94">
        <f t="shared" si="19"/>
        <v>2.9579522356923613E-2</v>
      </c>
    </row>
    <row r="95" spans="1:18" x14ac:dyDescent="0.25">
      <c r="A95" s="18">
        <f t="shared" si="15"/>
        <v>39692</v>
      </c>
      <c r="B95">
        <v>4378</v>
      </c>
      <c r="C95">
        <v>3233</v>
      </c>
      <c r="D95">
        <v>1986</v>
      </c>
      <c r="E95">
        <v>136377</v>
      </c>
      <c r="F95">
        <v>154570</v>
      </c>
      <c r="G95">
        <v>6.0999999999999999E-2</v>
      </c>
      <c r="H95">
        <f t="shared" si="10"/>
        <v>2.091608979750275E-2</v>
      </c>
      <c r="I95">
        <v>2.9440999999999998E-2</v>
      </c>
      <c r="J95">
        <f t="shared" si="11"/>
        <v>2.5975773157792585E-2</v>
      </c>
      <c r="K95">
        <v>4.9501000000000003E-2</v>
      </c>
      <c r="L95">
        <f t="shared" si="13"/>
        <v>6.1090262920595037E-2</v>
      </c>
      <c r="M95">
        <f t="shared" si="12"/>
        <v>1.4562572867858949E-2</v>
      </c>
      <c r="N95">
        <f t="shared" si="14"/>
        <v>0.34288671799184839</v>
      </c>
      <c r="O95">
        <f t="shared" si="16"/>
        <v>0.38381300668097723</v>
      </c>
      <c r="P95">
        <f t="shared" si="17"/>
        <v>4.7739333333333335E-2</v>
      </c>
      <c r="Q95">
        <f t="shared" si="18"/>
        <v>5.789900625614397E-2</v>
      </c>
      <c r="R95">
        <f t="shared" si="19"/>
        <v>2.8252628311052446E-2</v>
      </c>
    </row>
    <row r="96" spans="1:18" x14ac:dyDescent="0.25">
      <c r="A96" s="18">
        <f t="shared" si="15"/>
        <v>39722</v>
      </c>
      <c r="B96">
        <v>4509</v>
      </c>
      <c r="C96">
        <v>3384</v>
      </c>
      <c r="D96">
        <v>2181</v>
      </c>
      <c r="E96">
        <v>135905</v>
      </c>
      <c r="F96">
        <v>154876</v>
      </c>
      <c r="G96">
        <v>6.5000000000000002E-2</v>
      </c>
      <c r="H96">
        <f t="shared" si="10"/>
        <v>2.1849737854799968E-2</v>
      </c>
      <c r="I96">
        <v>3.4660999999999997E-2</v>
      </c>
      <c r="J96">
        <f t="shared" si="11"/>
        <v>3.041532067589555E-2</v>
      </c>
      <c r="K96">
        <v>5.2193000000000003E-2</v>
      </c>
      <c r="L96">
        <f t="shared" si="13"/>
        <v>6.1699392579928528E-2</v>
      </c>
      <c r="M96">
        <f t="shared" si="12"/>
        <v>1.6047974688201318E-2</v>
      </c>
      <c r="N96">
        <f t="shared" si="14"/>
        <v>0.33614981315076875</v>
      </c>
      <c r="O96">
        <f t="shared" si="16"/>
        <v>0.35507659608994446</v>
      </c>
      <c r="P96">
        <f t="shared" si="17"/>
        <v>4.9861999999999997E-2</v>
      </c>
      <c r="Q96">
        <f t="shared" si="18"/>
        <v>6.0117620857804289E-2</v>
      </c>
      <c r="R96">
        <f t="shared" si="19"/>
        <v>2.8544675020499882E-2</v>
      </c>
    </row>
    <row r="97" spans="1:18" x14ac:dyDescent="0.25">
      <c r="A97" s="18">
        <f t="shared" si="15"/>
        <v>39753</v>
      </c>
      <c r="B97">
        <v>3960</v>
      </c>
      <c r="C97">
        <v>3155</v>
      </c>
      <c r="D97">
        <v>2202</v>
      </c>
      <c r="E97">
        <v>135130</v>
      </c>
      <c r="F97">
        <v>154639</v>
      </c>
      <c r="G97">
        <v>6.8000000000000005E-2</v>
      </c>
      <c r="H97">
        <f t="shared" si="10"/>
        <v>2.0402356456003985E-2</v>
      </c>
      <c r="I97">
        <v>2.7983999999999998E-2</v>
      </c>
      <c r="J97">
        <f t="shared" si="11"/>
        <v>2.4453584930062919E-2</v>
      </c>
      <c r="K97">
        <v>4.6857999999999997E-2</v>
      </c>
      <c r="L97">
        <f t="shared" si="13"/>
        <v>6.5307283061209087E-2</v>
      </c>
      <c r="M97">
        <f t="shared" si="12"/>
        <v>1.6295419225930585E-2</v>
      </c>
      <c r="N97">
        <f t="shared" si="14"/>
        <v>0.30003465376476446</v>
      </c>
      <c r="O97">
        <f t="shared" si="16"/>
        <v>0.32635706163579387</v>
      </c>
      <c r="P97">
        <f t="shared" si="17"/>
        <v>4.9517333333333337E-2</v>
      </c>
      <c r="Q97">
        <f t="shared" si="18"/>
        <v>6.2698979520577555E-2</v>
      </c>
      <c r="R97">
        <f t="shared" si="19"/>
        <v>2.6948226254583683E-2</v>
      </c>
    </row>
    <row r="98" spans="1:18" x14ac:dyDescent="0.25">
      <c r="A98" s="18">
        <f t="shared" si="15"/>
        <v>39783</v>
      </c>
      <c r="B98">
        <v>4182</v>
      </c>
      <c r="C98">
        <v>3011</v>
      </c>
      <c r="D98">
        <v>2431</v>
      </c>
      <c r="E98">
        <v>134425</v>
      </c>
      <c r="F98">
        <v>154655</v>
      </c>
      <c r="G98">
        <v>7.2999999999999995E-2</v>
      </c>
      <c r="H98">
        <f t="shared" si="10"/>
        <v>1.9469140991238563E-2</v>
      </c>
      <c r="I98">
        <v>3.0429999999999999E-2</v>
      </c>
      <c r="J98">
        <f t="shared" si="11"/>
        <v>2.6449534447641525E-2</v>
      </c>
      <c r="K98">
        <v>5.2403999999999999E-2</v>
      </c>
      <c r="L98">
        <f t="shared" si="13"/>
        <v>6.9268432597526672E-2</v>
      </c>
      <c r="M98">
        <f t="shared" si="12"/>
        <v>1.8084433699088711E-2</v>
      </c>
      <c r="N98">
        <f t="shared" si="14"/>
        <v>0.26670056152381594</v>
      </c>
      <c r="O98">
        <f t="shared" si="16"/>
        <v>0.3009616761464497</v>
      </c>
      <c r="P98">
        <f t="shared" si="17"/>
        <v>5.0485000000000002E-2</v>
      </c>
      <c r="Q98">
        <f t="shared" si="18"/>
        <v>6.5425036079554758E-2</v>
      </c>
      <c r="R98">
        <f t="shared" si="19"/>
        <v>2.7106146684533334E-2</v>
      </c>
    </row>
    <row r="99" spans="1:18" x14ac:dyDescent="0.25">
      <c r="A99" s="18">
        <f t="shared" si="15"/>
        <v>39814</v>
      </c>
      <c r="B99">
        <v>4202</v>
      </c>
      <c r="C99">
        <v>2853</v>
      </c>
      <c r="D99">
        <v>2613</v>
      </c>
      <c r="E99">
        <v>133631</v>
      </c>
      <c r="F99">
        <v>154232</v>
      </c>
      <c r="G99">
        <v>7.8E-2</v>
      </c>
      <c r="H99">
        <f t="shared" si="10"/>
        <v>1.8498106748275324E-2</v>
      </c>
      <c r="I99">
        <v>3.0665000000000001E-2</v>
      </c>
      <c r="J99">
        <f t="shared" si="11"/>
        <v>2.6569029870584574E-2</v>
      </c>
      <c r="K99">
        <v>5.5424000000000001E-2</v>
      </c>
      <c r="L99">
        <f t="shared" si="13"/>
        <v>7.3456627651139694E-2</v>
      </c>
      <c r="M99">
        <f t="shared" si="12"/>
        <v>1.9553846038718559E-2</v>
      </c>
      <c r="N99">
        <f t="shared" si="14"/>
        <v>0.23715521472147852</v>
      </c>
      <c r="O99">
        <f t="shared" si="16"/>
        <v>0.26796347667001963</v>
      </c>
      <c r="P99">
        <f t="shared" si="17"/>
        <v>5.1561999999999997E-2</v>
      </c>
      <c r="Q99">
        <f t="shared" si="18"/>
        <v>6.9344114436625151E-2</v>
      </c>
      <c r="R99">
        <f t="shared" si="19"/>
        <v>2.5824049749429673E-2</v>
      </c>
    </row>
    <row r="100" spans="1:18" x14ac:dyDescent="0.25">
      <c r="A100" s="18">
        <f t="shared" si="15"/>
        <v>39845</v>
      </c>
      <c r="B100">
        <v>4008</v>
      </c>
      <c r="C100">
        <v>2807</v>
      </c>
      <c r="D100">
        <v>2482</v>
      </c>
      <c r="E100">
        <v>132936</v>
      </c>
      <c r="F100">
        <v>154526</v>
      </c>
      <c r="G100">
        <v>8.3000000000000004E-2</v>
      </c>
      <c r="H100">
        <f t="shared" si="10"/>
        <v>1.8165227858095077E-2</v>
      </c>
      <c r="I100">
        <v>3.0179000000000001E-2</v>
      </c>
      <c r="J100">
        <f t="shared" si="11"/>
        <v>2.5962462912390148E-2</v>
      </c>
      <c r="K100">
        <v>5.4559999999999997E-2</v>
      </c>
      <c r="L100">
        <f t="shared" si="13"/>
        <v>7.6465572921663644E-2</v>
      </c>
      <c r="M100">
        <f t="shared" si="12"/>
        <v>1.867063850273816E-2</v>
      </c>
      <c r="N100">
        <f t="shared" si="14"/>
        <v>0.21885816696500091</v>
      </c>
      <c r="O100">
        <f t="shared" si="16"/>
        <v>0.24090464773676512</v>
      </c>
      <c r="P100">
        <f t="shared" si="17"/>
        <v>5.4129333333333335E-2</v>
      </c>
      <c r="Q100">
        <f t="shared" si="18"/>
        <v>7.3063544390110008E-2</v>
      </c>
      <c r="R100">
        <f t="shared" si="19"/>
        <v>2.6327009076872087E-2</v>
      </c>
    </row>
    <row r="101" spans="1:18" x14ac:dyDescent="0.25">
      <c r="A101" s="18">
        <f t="shared" si="15"/>
        <v>39873</v>
      </c>
      <c r="B101">
        <v>3784</v>
      </c>
      <c r="C101">
        <v>2550</v>
      </c>
      <c r="D101">
        <v>2448</v>
      </c>
      <c r="E101">
        <v>132106</v>
      </c>
      <c r="F101">
        <v>154142</v>
      </c>
      <c r="G101">
        <v>8.6999999999999994E-2</v>
      </c>
      <c r="H101">
        <f t="shared" si="10"/>
        <v>1.6543187450532626E-2</v>
      </c>
      <c r="I101">
        <v>2.7050000000000001E-2</v>
      </c>
      <c r="J101">
        <f t="shared" si="11"/>
        <v>2.318295662441126E-2</v>
      </c>
      <c r="K101">
        <v>5.4863000000000002E-2</v>
      </c>
      <c r="L101">
        <f t="shared" si="13"/>
        <v>8.2034655100634846E-2</v>
      </c>
      <c r="M101">
        <f t="shared" si="12"/>
        <v>1.8530573933053761E-2</v>
      </c>
      <c r="N101">
        <f t="shared" si="14"/>
        <v>0.19015157989117962</v>
      </c>
      <c r="O101">
        <f t="shared" si="16"/>
        <v>0.21538832052588633</v>
      </c>
      <c r="P101">
        <f t="shared" si="17"/>
        <v>5.4948999999999998E-2</v>
      </c>
      <c r="Q101">
        <f t="shared" si="18"/>
        <v>7.7318951891146057E-2</v>
      </c>
      <c r="R101">
        <f t="shared" si="19"/>
        <v>2.5238149802461998E-2</v>
      </c>
    </row>
    <row r="102" spans="1:18" x14ac:dyDescent="0.25">
      <c r="A102" s="18">
        <f t="shared" si="15"/>
        <v>39904</v>
      </c>
      <c r="B102">
        <v>3887</v>
      </c>
      <c r="C102">
        <v>2292</v>
      </c>
      <c r="D102">
        <v>2599</v>
      </c>
      <c r="E102">
        <v>131402</v>
      </c>
      <c r="F102">
        <v>154479</v>
      </c>
      <c r="G102">
        <v>0.09</v>
      </c>
      <c r="H102">
        <f t="shared" si="10"/>
        <v>1.4836968131590701E-2</v>
      </c>
      <c r="I102">
        <v>2.7955000000000001E-2</v>
      </c>
      <c r="J102">
        <f t="shared" si="11"/>
        <v>2.3778914350817911E-2</v>
      </c>
      <c r="K102">
        <v>6.2521999999999994E-2</v>
      </c>
      <c r="L102">
        <f t="shared" si="13"/>
        <v>8.810407549987713E-2</v>
      </c>
      <c r="M102">
        <f t="shared" si="12"/>
        <v>1.9778998797582988E-2</v>
      </c>
      <c r="N102">
        <f t="shared" si="14"/>
        <v>0.16485520146211891</v>
      </c>
      <c r="O102">
        <f t="shared" si="16"/>
        <v>0.19128831610609978</v>
      </c>
      <c r="P102">
        <f t="shared" si="17"/>
        <v>5.7314999999999998E-2</v>
      </c>
      <c r="Q102">
        <f t="shared" si="18"/>
        <v>8.2201434507391868E-2</v>
      </c>
      <c r="R102">
        <f t="shared" si="19"/>
        <v>2.4308111295873108E-2</v>
      </c>
    </row>
    <row r="103" spans="1:18" x14ac:dyDescent="0.25">
      <c r="A103" s="18">
        <f t="shared" si="15"/>
        <v>39934</v>
      </c>
      <c r="B103">
        <v>3792</v>
      </c>
      <c r="C103">
        <v>2415</v>
      </c>
      <c r="D103">
        <v>2179</v>
      </c>
      <c r="E103">
        <v>131050</v>
      </c>
      <c r="F103">
        <v>154742</v>
      </c>
      <c r="G103">
        <v>9.4E-2</v>
      </c>
      <c r="H103">
        <f t="shared" si="10"/>
        <v>1.5606622636388311E-2</v>
      </c>
      <c r="I103">
        <v>3.0155999999999999E-2</v>
      </c>
      <c r="J103">
        <f t="shared" si="11"/>
        <v>2.5538921559757531E-2</v>
      </c>
      <c r="K103">
        <v>6.1603999999999999E-2</v>
      </c>
      <c r="L103">
        <f t="shared" si="13"/>
        <v>8.779237293394164E-2</v>
      </c>
      <c r="M103">
        <f t="shared" si="12"/>
        <v>1.6627241510873712E-2</v>
      </c>
      <c r="N103">
        <f t="shared" si="14"/>
        <v>0.16602790038710968</v>
      </c>
      <c r="O103">
        <f t="shared" si="16"/>
        <v>0.17367822724680274</v>
      </c>
      <c r="P103">
        <f t="shared" si="17"/>
        <v>5.9662999999999994E-2</v>
      </c>
      <c r="Q103">
        <f t="shared" si="18"/>
        <v>8.5977034511484543E-2</v>
      </c>
      <c r="R103">
        <f t="shared" si="19"/>
        <v>2.4166930844995566E-2</v>
      </c>
    </row>
    <row r="104" spans="1:18" x14ac:dyDescent="0.25">
      <c r="A104" s="18">
        <f t="shared" si="15"/>
        <v>39965</v>
      </c>
      <c r="B104">
        <v>3626</v>
      </c>
      <c r="C104">
        <v>2377</v>
      </c>
      <c r="D104">
        <v>2135</v>
      </c>
      <c r="E104">
        <v>130578</v>
      </c>
      <c r="F104">
        <v>154710</v>
      </c>
      <c r="G104">
        <v>9.5000000000000001E-2</v>
      </c>
      <c r="H104">
        <f t="shared" si="10"/>
        <v>1.5364229849395644E-2</v>
      </c>
      <c r="I104">
        <v>2.776E-2</v>
      </c>
      <c r="J104">
        <f t="shared" si="11"/>
        <v>2.3429935233662984E-2</v>
      </c>
      <c r="K104">
        <v>5.8305000000000003E-2</v>
      </c>
      <c r="L104">
        <f t="shared" si="13"/>
        <v>8.8951593068201176E-2</v>
      </c>
      <c r="M104">
        <f t="shared" si="12"/>
        <v>1.6350380615417603E-2</v>
      </c>
      <c r="N104">
        <f t="shared" si="14"/>
        <v>0.16172873525679626</v>
      </c>
      <c r="O104">
        <f t="shared" si="16"/>
        <v>0.16420394570200827</v>
      </c>
      <c r="P104">
        <f t="shared" si="17"/>
        <v>6.0810333333333327E-2</v>
      </c>
      <c r="Q104">
        <f t="shared" si="18"/>
        <v>8.8282680500673325E-2</v>
      </c>
      <c r="R104">
        <f t="shared" si="19"/>
        <v>2.4249257048079471E-2</v>
      </c>
    </row>
    <row r="105" spans="1:18" x14ac:dyDescent="0.25">
      <c r="A105" s="18">
        <f t="shared" si="15"/>
        <v>39995</v>
      </c>
      <c r="B105">
        <v>3840</v>
      </c>
      <c r="C105">
        <v>2179</v>
      </c>
      <c r="D105">
        <v>2253</v>
      </c>
      <c r="E105">
        <v>130227</v>
      </c>
      <c r="F105">
        <v>154505</v>
      </c>
      <c r="G105">
        <v>9.5000000000000001E-2</v>
      </c>
      <c r="H105">
        <f t="shared" si="10"/>
        <v>1.410310345943497E-2</v>
      </c>
      <c r="I105">
        <v>2.8246E-2</v>
      </c>
      <c r="J105">
        <f t="shared" si="11"/>
        <v>2.38075909646937E-2</v>
      </c>
      <c r="K105">
        <v>6.5527000000000002E-2</v>
      </c>
      <c r="L105">
        <f t="shared" si="13"/>
        <v>9.2843559482227639E-2</v>
      </c>
      <c r="M105">
        <f t="shared" si="12"/>
        <v>1.7300559791748254E-2</v>
      </c>
      <c r="N105">
        <f t="shared" si="14"/>
        <v>0.14845372062563125</v>
      </c>
      <c r="O105">
        <f t="shared" si="16"/>
        <v>0.15873678542317907</v>
      </c>
      <c r="P105">
        <f t="shared" si="17"/>
        <v>6.1811999999999999E-2</v>
      </c>
      <c r="Q105">
        <f t="shared" si="18"/>
        <v>8.9862508494790161E-2</v>
      </c>
      <c r="R105">
        <f t="shared" si="19"/>
        <v>2.4258815919371405E-2</v>
      </c>
    </row>
    <row r="106" spans="1:18" x14ac:dyDescent="0.25">
      <c r="A106" s="18">
        <f t="shared" si="15"/>
        <v>40026</v>
      </c>
      <c r="B106">
        <v>3789</v>
      </c>
      <c r="C106">
        <v>2282</v>
      </c>
      <c r="D106">
        <v>2049</v>
      </c>
      <c r="E106">
        <v>130017</v>
      </c>
      <c r="F106">
        <v>154300</v>
      </c>
      <c r="G106">
        <v>9.6000000000000002E-2</v>
      </c>
      <c r="H106">
        <f t="shared" si="10"/>
        <v>1.4789371354504213E-2</v>
      </c>
      <c r="I106">
        <v>3.0189000000000001E-2</v>
      </c>
      <c r="J106">
        <f t="shared" si="11"/>
        <v>2.5437998788075178E-2</v>
      </c>
      <c r="K106">
        <v>6.4974000000000004E-2</v>
      </c>
      <c r="L106">
        <f t="shared" si="13"/>
        <v>9.1139802913779627E-2</v>
      </c>
      <c r="M106">
        <f t="shared" si="12"/>
        <v>1.57594776067745E-2</v>
      </c>
      <c r="N106">
        <f t="shared" si="14"/>
        <v>0.15405595160941887</v>
      </c>
      <c r="O106">
        <f t="shared" si="16"/>
        <v>0.15474613583061547</v>
      </c>
      <c r="P106">
        <f t="shared" si="17"/>
        <v>6.2935333333333329E-2</v>
      </c>
      <c r="Q106">
        <f t="shared" si="18"/>
        <v>9.0978318488069476E-2</v>
      </c>
      <c r="R106">
        <f t="shared" si="19"/>
        <v>2.4225174995477286E-2</v>
      </c>
    </row>
    <row r="107" spans="1:18" x14ac:dyDescent="0.25">
      <c r="A107" s="18">
        <f t="shared" si="15"/>
        <v>40057</v>
      </c>
      <c r="B107">
        <v>3878</v>
      </c>
      <c r="C107">
        <v>2477</v>
      </c>
      <c r="D107">
        <v>2152</v>
      </c>
      <c r="E107">
        <v>129784</v>
      </c>
      <c r="F107">
        <v>153815</v>
      </c>
      <c r="G107">
        <v>9.8000000000000004E-2</v>
      </c>
      <c r="H107">
        <f t="shared" si="10"/>
        <v>1.610376101160485E-2</v>
      </c>
      <c r="I107">
        <v>3.1670999999999998E-2</v>
      </c>
      <c r="J107">
        <f t="shared" si="11"/>
        <v>2.6722940311413063E-2</v>
      </c>
      <c r="K107">
        <v>6.2099000000000001E-2</v>
      </c>
      <c r="L107">
        <f t="shared" si="13"/>
        <v>8.8246340589708275E-2</v>
      </c>
      <c r="M107">
        <f t="shared" si="12"/>
        <v>1.6581396782346051E-2</v>
      </c>
      <c r="N107">
        <f t="shared" si="14"/>
        <v>0.16432409195515152</v>
      </c>
      <c r="O107">
        <f t="shared" si="16"/>
        <v>0.15561125473006721</v>
      </c>
      <c r="P107">
        <f t="shared" si="17"/>
        <v>6.4199999999999993E-2</v>
      </c>
      <c r="Q107">
        <f t="shared" si="18"/>
        <v>9.0743234328571842E-2</v>
      </c>
      <c r="R107">
        <f t="shared" si="19"/>
        <v>2.5322843354727315E-2</v>
      </c>
    </row>
    <row r="108" spans="1:18" x14ac:dyDescent="0.25">
      <c r="A108" s="18">
        <f t="shared" si="15"/>
        <v>40087</v>
      </c>
      <c r="B108">
        <v>3792</v>
      </c>
      <c r="C108">
        <v>2409</v>
      </c>
      <c r="D108">
        <v>1971</v>
      </c>
      <c r="E108">
        <v>129614</v>
      </c>
      <c r="F108">
        <v>153804</v>
      </c>
      <c r="G108">
        <v>0.1</v>
      </c>
      <c r="H108">
        <f t="shared" si="10"/>
        <v>1.5662791604899744E-2</v>
      </c>
      <c r="I108">
        <v>2.9000000000000001E-2</v>
      </c>
      <c r="J108">
        <f t="shared" si="11"/>
        <v>2.4438935268263504E-2</v>
      </c>
      <c r="K108">
        <v>5.9882999999999999E-2</v>
      </c>
      <c r="L108">
        <f t="shared" si="13"/>
        <v>9.0388408726464822E-2</v>
      </c>
      <c r="M108">
        <f t="shared" si="12"/>
        <v>1.5206690635270881E-2</v>
      </c>
      <c r="N108">
        <f t="shared" si="14"/>
        <v>0.15662791604899742</v>
      </c>
      <c r="O108">
        <f t="shared" si="16"/>
        <v>0.15833598653785594</v>
      </c>
      <c r="P108">
        <f t="shared" si="17"/>
        <v>6.2318666666666661E-2</v>
      </c>
      <c r="Q108">
        <f t="shared" si="18"/>
        <v>8.9924850743317575E-2</v>
      </c>
      <c r="R108">
        <f t="shared" si="19"/>
        <v>2.5533291455917248E-2</v>
      </c>
    </row>
    <row r="109" spans="1:18" x14ac:dyDescent="0.25">
      <c r="A109" s="18">
        <f t="shared" si="15"/>
        <v>40118</v>
      </c>
      <c r="B109">
        <v>3960</v>
      </c>
      <c r="C109">
        <v>2390</v>
      </c>
      <c r="D109">
        <v>1868</v>
      </c>
      <c r="E109">
        <v>129593</v>
      </c>
      <c r="F109">
        <v>153887</v>
      </c>
      <c r="G109">
        <v>9.9000000000000005E-2</v>
      </c>
      <c r="H109">
        <f t="shared" si="10"/>
        <v>1.553087655227537E-2</v>
      </c>
      <c r="I109">
        <v>3.066E-2</v>
      </c>
      <c r="J109">
        <f t="shared" si="11"/>
        <v>2.5819733830667956E-2</v>
      </c>
      <c r="K109">
        <v>6.3533999999999993E-2</v>
      </c>
      <c r="L109">
        <f t="shared" si="13"/>
        <v>9.0316466692374114E-2</v>
      </c>
      <c r="M109">
        <f t="shared" si="12"/>
        <v>1.441435880024384E-2</v>
      </c>
      <c r="N109">
        <f t="shared" si="14"/>
        <v>0.15687754093207443</v>
      </c>
      <c r="O109">
        <f t="shared" si="16"/>
        <v>0.15927651631207443</v>
      </c>
      <c r="P109">
        <f t="shared" si="17"/>
        <v>6.1838666666666674E-2</v>
      </c>
      <c r="Q109">
        <f t="shared" si="18"/>
        <v>8.9650405336182404E-2</v>
      </c>
      <c r="R109">
        <f t="shared" si="19"/>
        <v>2.5660536470114837E-2</v>
      </c>
    </row>
    <row r="110" spans="1:18" x14ac:dyDescent="0.25">
      <c r="A110" s="18">
        <f t="shared" si="15"/>
        <v>40148</v>
      </c>
      <c r="B110">
        <v>3829</v>
      </c>
      <c r="C110">
        <v>2451</v>
      </c>
      <c r="D110">
        <v>1981</v>
      </c>
      <c r="E110">
        <v>129373</v>
      </c>
      <c r="F110">
        <v>153120</v>
      </c>
      <c r="G110">
        <v>9.9000000000000005E-2</v>
      </c>
      <c r="H110">
        <f t="shared" si="10"/>
        <v>1.6007053291536049E-2</v>
      </c>
      <c r="I110">
        <v>3.0338E-2</v>
      </c>
      <c r="J110">
        <f t="shared" si="11"/>
        <v>2.5632955028735634E-2</v>
      </c>
      <c r="K110">
        <v>6.0671999999999997E-2</v>
      </c>
      <c r="L110">
        <f t="shared" si="13"/>
        <v>8.8962960622357021E-2</v>
      </c>
      <c r="M110">
        <f t="shared" si="12"/>
        <v>1.5312314006786579E-2</v>
      </c>
      <c r="N110">
        <f t="shared" si="14"/>
        <v>0.16168740698521261</v>
      </c>
      <c r="O110">
        <f t="shared" si="16"/>
        <v>0.15839762132209481</v>
      </c>
      <c r="P110">
        <f t="shared" si="17"/>
        <v>6.1363000000000001E-2</v>
      </c>
      <c r="Q110">
        <f t="shared" si="18"/>
        <v>8.9889278680398657E-2</v>
      </c>
      <c r="R110">
        <f t="shared" si="19"/>
        <v>2.5297208042555697E-2</v>
      </c>
    </row>
    <row r="111" spans="1:18" x14ac:dyDescent="0.25">
      <c r="A111" s="18">
        <f t="shared" si="15"/>
        <v>40179</v>
      </c>
      <c r="B111">
        <v>3882</v>
      </c>
      <c r="C111">
        <v>2751</v>
      </c>
      <c r="D111">
        <v>1869</v>
      </c>
      <c r="E111">
        <v>129360</v>
      </c>
      <c r="F111">
        <v>153455</v>
      </c>
      <c r="G111">
        <v>9.8000000000000004E-2</v>
      </c>
      <c r="H111">
        <f t="shared" si="10"/>
        <v>1.7927079599882701E-2</v>
      </c>
      <c r="I111">
        <v>3.2606000000000003E-2</v>
      </c>
      <c r="J111">
        <f t="shared" si="11"/>
        <v>2.7486312990779062E-2</v>
      </c>
      <c r="K111">
        <v>5.6725999999999999E-2</v>
      </c>
      <c r="L111">
        <f t="shared" si="13"/>
        <v>8.3638375702042425E-2</v>
      </c>
      <c r="M111">
        <f t="shared" si="12"/>
        <v>1.4448051948051948E-2</v>
      </c>
      <c r="N111">
        <f t="shared" si="14"/>
        <v>0.18292938367227246</v>
      </c>
      <c r="O111">
        <f t="shared" si="16"/>
        <v>0.16716477719651981</v>
      </c>
      <c r="P111">
        <f t="shared" si="17"/>
        <v>6.0310666666666658E-2</v>
      </c>
      <c r="Q111">
        <f t="shared" si="18"/>
        <v>8.763926767225784E-2</v>
      </c>
      <c r="R111">
        <f t="shared" si="19"/>
        <v>2.6313000616727551E-2</v>
      </c>
    </row>
    <row r="112" spans="1:18" x14ac:dyDescent="0.25">
      <c r="A112" s="18">
        <f t="shared" si="15"/>
        <v>40210</v>
      </c>
      <c r="B112">
        <v>3822</v>
      </c>
      <c r="C112">
        <v>2577</v>
      </c>
      <c r="D112">
        <v>1784</v>
      </c>
      <c r="E112">
        <v>129320</v>
      </c>
      <c r="F112">
        <v>153702</v>
      </c>
      <c r="G112">
        <v>9.8000000000000004E-2</v>
      </c>
      <c r="H112">
        <f t="shared" si="10"/>
        <v>1.6766209938712574E-2</v>
      </c>
      <c r="I112">
        <v>2.8476000000000001E-2</v>
      </c>
      <c r="J112">
        <f t="shared" si="11"/>
        <v>2.3958805480735451E-2</v>
      </c>
      <c r="K112">
        <v>5.5546999999999999E-2</v>
      </c>
      <c r="L112">
        <f t="shared" si="13"/>
        <v>8.6485422920829239E-2</v>
      </c>
      <c r="M112">
        <f t="shared" si="12"/>
        <v>1.3795236622332199E-2</v>
      </c>
      <c r="N112">
        <f t="shared" si="14"/>
        <v>0.17108377488482218</v>
      </c>
      <c r="O112">
        <f t="shared" si="16"/>
        <v>0.17190018851410241</v>
      </c>
      <c r="P112">
        <f t="shared" si="17"/>
        <v>5.7648333333333336E-2</v>
      </c>
      <c r="Q112">
        <f t="shared" si="18"/>
        <v>8.636225308174289E-2</v>
      </c>
      <c r="R112">
        <f t="shared" si="19"/>
        <v>2.5692691166750048E-2</v>
      </c>
    </row>
    <row r="113" spans="1:18" x14ac:dyDescent="0.25">
      <c r="A113" s="18">
        <f t="shared" si="15"/>
        <v>40238</v>
      </c>
      <c r="B113">
        <v>4186</v>
      </c>
      <c r="C113">
        <v>2614</v>
      </c>
      <c r="D113">
        <v>1869</v>
      </c>
      <c r="E113">
        <v>129474</v>
      </c>
      <c r="F113">
        <v>153960</v>
      </c>
      <c r="G113">
        <v>9.9000000000000005E-2</v>
      </c>
      <c r="H113">
        <f t="shared" si="10"/>
        <v>1.6978435957391531E-2</v>
      </c>
      <c r="I113">
        <v>3.2888000000000001E-2</v>
      </c>
      <c r="J113">
        <f t="shared" si="11"/>
        <v>2.7657449415432578E-2</v>
      </c>
      <c r="K113">
        <v>6.1929999999999999E-2</v>
      </c>
      <c r="L113">
        <f t="shared" si="13"/>
        <v>8.6380573376844308E-2</v>
      </c>
      <c r="M113">
        <f t="shared" si="12"/>
        <v>1.4435330645535011E-2</v>
      </c>
      <c r="N113">
        <f t="shared" si="14"/>
        <v>0.17149935310496495</v>
      </c>
      <c r="O113">
        <f t="shared" si="16"/>
        <v>0.17517083722068652</v>
      </c>
      <c r="P113">
        <f t="shared" si="17"/>
        <v>5.8067666666666663E-2</v>
      </c>
      <c r="Q113">
        <f t="shared" si="18"/>
        <v>8.5501457333238662E-2</v>
      </c>
      <c r="R113">
        <f t="shared" si="19"/>
        <v>2.636752262898236E-2</v>
      </c>
    </row>
    <row r="114" spans="1:18" x14ac:dyDescent="0.25">
      <c r="A114" s="18">
        <f t="shared" si="15"/>
        <v>40269</v>
      </c>
      <c r="B114">
        <v>4098</v>
      </c>
      <c r="C114">
        <v>3142</v>
      </c>
      <c r="D114">
        <v>1703</v>
      </c>
      <c r="E114">
        <v>129703</v>
      </c>
      <c r="F114">
        <v>154577</v>
      </c>
      <c r="G114">
        <v>9.9000000000000005E-2</v>
      </c>
      <c r="H114">
        <f t="shared" si="10"/>
        <v>2.0326439250341253E-2</v>
      </c>
      <c r="I114">
        <v>3.5947E-2</v>
      </c>
      <c r="J114">
        <f t="shared" si="11"/>
        <v>3.0162532207249459E-2</v>
      </c>
      <c r="K114">
        <v>5.3802999999999997E-2</v>
      </c>
      <c r="L114">
        <f t="shared" si="13"/>
        <v>7.8946752471169349E-2</v>
      </c>
      <c r="M114">
        <f t="shared" si="12"/>
        <v>1.3129996993130459E-2</v>
      </c>
      <c r="N114">
        <f t="shared" si="14"/>
        <v>0.20531756818526517</v>
      </c>
      <c r="O114">
        <f t="shared" si="16"/>
        <v>0.1826335653916841</v>
      </c>
      <c r="P114">
        <f t="shared" si="17"/>
        <v>5.7093333333333329E-2</v>
      </c>
      <c r="Q114">
        <f t="shared" si="18"/>
        <v>8.3937582922947632E-2</v>
      </c>
      <c r="R114">
        <f t="shared" si="19"/>
        <v>2.7259595701139162E-2</v>
      </c>
    </row>
    <row r="115" spans="1:18" x14ac:dyDescent="0.25">
      <c r="A115" s="18">
        <f t="shared" si="15"/>
        <v>40299</v>
      </c>
      <c r="B115">
        <v>4378</v>
      </c>
      <c r="C115">
        <v>2849</v>
      </c>
      <c r="D115">
        <v>1764</v>
      </c>
      <c r="E115">
        <v>130224</v>
      </c>
      <c r="F115">
        <v>154110</v>
      </c>
      <c r="G115">
        <v>9.6000000000000002E-2</v>
      </c>
      <c r="H115">
        <f t="shared" si="10"/>
        <v>1.8486795146324054E-2</v>
      </c>
      <c r="I115">
        <v>3.1660000000000001E-2</v>
      </c>
      <c r="J115">
        <f t="shared" si="11"/>
        <v>2.6752915709558109E-2</v>
      </c>
      <c r="K115">
        <v>5.6787999999999998E-2</v>
      </c>
      <c r="L115">
        <f t="shared" si="13"/>
        <v>8.1517739425844241E-2</v>
      </c>
      <c r="M115">
        <f t="shared" si="12"/>
        <v>1.3545890158496129E-2</v>
      </c>
      <c r="N115">
        <f t="shared" si="14"/>
        <v>0.19257078277420889</v>
      </c>
      <c r="O115">
        <f t="shared" si="16"/>
        <v>0.18979590135481303</v>
      </c>
      <c r="P115">
        <f t="shared" si="17"/>
        <v>5.7507000000000003E-2</v>
      </c>
      <c r="Q115">
        <f t="shared" si="18"/>
        <v>8.2281688424619304E-2</v>
      </c>
      <c r="R115">
        <f t="shared" si="19"/>
        <v>2.8190965777413382E-2</v>
      </c>
    </row>
    <row r="116" spans="1:18" x14ac:dyDescent="0.25">
      <c r="A116" s="18">
        <f t="shared" si="15"/>
        <v>40330</v>
      </c>
      <c r="B116">
        <v>4026</v>
      </c>
      <c r="C116">
        <v>2645</v>
      </c>
      <c r="D116">
        <v>1995</v>
      </c>
      <c r="E116">
        <v>130094</v>
      </c>
      <c r="F116">
        <v>153623</v>
      </c>
      <c r="G116">
        <v>9.4E-2</v>
      </c>
      <c r="H116">
        <f t="shared" si="10"/>
        <v>1.7217473945958614E-2</v>
      </c>
      <c r="I116">
        <v>2.9682E-2</v>
      </c>
      <c r="J116">
        <f t="shared" si="11"/>
        <v>2.5135885303632921E-2</v>
      </c>
      <c r="K116">
        <v>5.6807000000000003E-2</v>
      </c>
      <c r="L116">
        <f t="shared" si="13"/>
        <v>8.3584651329901866E-2</v>
      </c>
      <c r="M116">
        <f t="shared" si="12"/>
        <v>1.5335065414238935E-2</v>
      </c>
      <c r="N116">
        <f t="shared" si="14"/>
        <v>0.18316461644636822</v>
      </c>
      <c r="O116">
        <f t="shared" si="16"/>
        <v>0.19368432246861408</v>
      </c>
      <c r="P116">
        <f t="shared" si="17"/>
        <v>5.5799333333333333E-2</v>
      </c>
      <c r="Q116">
        <f t="shared" si="18"/>
        <v>8.1349714408971818E-2</v>
      </c>
      <c r="R116">
        <f t="shared" si="19"/>
        <v>2.7350444406813498E-2</v>
      </c>
    </row>
    <row r="117" spans="1:18" x14ac:dyDescent="0.25">
      <c r="A117" s="18">
        <f t="shared" si="15"/>
        <v>40360</v>
      </c>
      <c r="B117">
        <v>4090</v>
      </c>
      <c r="C117">
        <v>2922</v>
      </c>
      <c r="D117">
        <v>2061</v>
      </c>
      <c r="E117">
        <v>130008</v>
      </c>
      <c r="F117">
        <v>153709</v>
      </c>
      <c r="G117">
        <v>9.5000000000000001E-2</v>
      </c>
      <c r="H117">
        <f t="shared" si="10"/>
        <v>1.9009947368078643E-2</v>
      </c>
      <c r="I117">
        <v>3.3914E-2</v>
      </c>
      <c r="J117">
        <f t="shared" si="11"/>
        <v>2.8684665907656674E-2</v>
      </c>
      <c r="K117">
        <v>5.5946000000000003E-2</v>
      </c>
      <c r="L117">
        <f t="shared" si="13"/>
        <v>7.9968448653053567E-2</v>
      </c>
      <c r="M117">
        <f t="shared" si="12"/>
        <v>1.5852870592578918E-2</v>
      </c>
      <c r="N117">
        <f t="shared" si="14"/>
        <v>0.20010470913766992</v>
      </c>
      <c r="O117">
        <f t="shared" si="16"/>
        <v>0.19194670278608231</v>
      </c>
      <c r="P117">
        <f t="shared" si="17"/>
        <v>5.6513666666666663E-2</v>
      </c>
      <c r="Q117">
        <f t="shared" si="18"/>
        <v>8.1690279802933238E-2</v>
      </c>
      <c r="R117">
        <f t="shared" si="19"/>
        <v>2.6857822306949233E-2</v>
      </c>
    </row>
    <row r="118" spans="1:18" x14ac:dyDescent="0.25">
      <c r="A118" s="18">
        <f t="shared" si="15"/>
        <v>40391</v>
      </c>
      <c r="B118">
        <v>3911</v>
      </c>
      <c r="C118">
        <v>2905</v>
      </c>
      <c r="D118">
        <v>1792</v>
      </c>
      <c r="E118">
        <v>129971</v>
      </c>
      <c r="F118">
        <v>154078</v>
      </c>
      <c r="G118">
        <v>9.5000000000000001E-2</v>
      </c>
      <c r="H118">
        <f t="shared" si="10"/>
        <v>1.885408689105518E-2</v>
      </c>
      <c r="I118">
        <v>3.0252999999999999E-2</v>
      </c>
      <c r="J118">
        <f t="shared" si="11"/>
        <v>2.5519624235776684E-2</v>
      </c>
      <c r="K118">
        <v>5.1658000000000003E-2</v>
      </c>
      <c r="L118">
        <f t="shared" si="13"/>
        <v>8.0298304661862344E-2</v>
      </c>
      <c r="M118">
        <f t="shared" si="12"/>
        <v>1.378769110032238E-2</v>
      </c>
      <c r="N118">
        <f t="shared" si="14"/>
        <v>0.19846407253742296</v>
      </c>
      <c r="O118">
        <f t="shared" si="16"/>
        <v>0.19391113270715368</v>
      </c>
      <c r="P118">
        <f t="shared" si="17"/>
        <v>5.4803666666666667E-2</v>
      </c>
      <c r="Q118">
        <f t="shared" si="18"/>
        <v>8.1283801548272583E-2</v>
      </c>
      <c r="R118">
        <f t="shared" si="19"/>
        <v>2.6446725149022091E-2</v>
      </c>
    </row>
    <row r="119" spans="1:18" x14ac:dyDescent="0.25">
      <c r="A119" s="18">
        <f t="shared" si="15"/>
        <v>40422</v>
      </c>
      <c r="B119">
        <v>3946</v>
      </c>
      <c r="C119">
        <v>2784</v>
      </c>
      <c r="D119">
        <v>1720</v>
      </c>
      <c r="E119">
        <v>129928</v>
      </c>
      <c r="F119">
        <v>153966</v>
      </c>
      <c r="G119">
        <v>9.5000000000000001E-2</v>
      </c>
      <c r="H119">
        <f t="shared" si="10"/>
        <v>1.8081914188846887E-2</v>
      </c>
      <c r="I119">
        <v>2.9713E-2</v>
      </c>
      <c r="J119">
        <f t="shared" si="11"/>
        <v>2.5074046633672367E-2</v>
      </c>
      <c r="K119">
        <v>5.3575999999999999E-2</v>
      </c>
      <c r="L119">
        <f t="shared" si="13"/>
        <v>8.1994916189396236E-2</v>
      </c>
      <c r="M119">
        <f t="shared" si="12"/>
        <v>1.3238101102148882E-2</v>
      </c>
      <c r="N119">
        <f t="shared" si="14"/>
        <v>0.19033593882996722</v>
      </c>
      <c r="O119">
        <f t="shared" si="16"/>
        <v>0.19630157350168673</v>
      </c>
      <c r="P119">
        <f t="shared" si="17"/>
        <v>5.3726666666666666E-2</v>
      </c>
      <c r="Q119">
        <f t="shared" si="18"/>
        <v>8.075388983477072E-2</v>
      </c>
      <c r="R119">
        <f t="shared" si="19"/>
        <v>2.6426112259035239E-2</v>
      </c>
    </row>
    <row r="120" spans="1:18" x14ac:dyDescent="0.25">
      <c r="A120" s="18">
        <f t="shared" si="15"/>
        <v>40452</v>
      </c>
      <c r="B120">
        <v>4073</v>
      </c>
      <c r="C120">
        <v>3033</v>
      </c>
      <c r="D120">
        <v>1645</v>
      </c>
      <c r="E120">
        <v>130156</v>
      </c>
      <c r="F120">
        <v>153681</v>
      </c>
      <c r="G120">
        <v>9.5000000000000001E-2</v>
      </c>
      <c r="H120">
        <f t="shared" si="10"/>
        <v>1.9735686259199251E-2</v>
      </c>
      <c r="I120">
        <v>3.3475999999999999E-2</v>
      </c>
      <c r="J120">
        <f t="shared" si="11"/>
        <v>2.8351600106714558E-2</v>
      </c>
      <c r="K120">
        <v>5.3419000000000001E-2</v>
      </c>
      <c r="L120">
        <f t="shared" si="13"/>
        <v>7.848434026824766E-2</v>
      </c>
      <c r="M120">
        <f t="shared" si="12"/>
        <v>1.2638679738160361E-2</v>
      </c>
      <c r="N120">
        <f t="shared" si="14"/>
        <v>0.20774406588630789</v>
      </c>
      <c r="O120">
        <f t="shared" si="16"/>
        <v>0.1988480257512327</v>
      </c>
      <c r="P120">
        <f t="shared" si="17"/>
        <v>5.2884333333333332E-2</v>
      </c>
      <c r="Q120">
        <f t="shared" si="18"/>
        <v>8.0259187039835408E-2</v>
      </c>
      <c r="R120">
        <f t="shared" si="19"/>
        <v>2.6315090325387869E-2</v>
      </c>
    </row>
    <row r="121" spans="1:18" x14ac:dyDescent="0.25">
      <c r="A121" s="18">
        <f t="shared" si="15"/>
        <v>40483</v>
      </c>
      <c r="B121">
        <v>4100</v>
      </c>
      <c r="C121">
        <v>3051</v>
      </c>
      <c r="D121">
        <v>1771</v>
      </c>
      <c r="E121">
        <v>130300</v>
      </c>
      <c r="F121">
        <v>154140</v>
      </c>
      <c r="G121">
        <v>9.8000000000000004E-2</v>
      </c>
      <c r="H121">
        <f t="shared" si="10"/>
        <v>1.9793694044375244E-2</v>
      </c>
      <c r="I121">
        <v>3.1905000000000003E-2</v>
      </c>
      <c r="J121">
        <f t="shared" si="11"/>
        <v>2.6970426235889456E-2</v>
      </c>
      <c r="K121">
        <v>5.1810000000000002E-2</v>
      </c>
      <c r="L121">
        <f t="shared" si="13"/>
        <v>7.959704350965216E-2</v>
      </c>
      <c r="M121">
        <f t="shared" si="12"/>
        <v>1.3591711435149655E-2</v>
      </c>
      <c r="N121">
        <f t="shared" si="14"/>
        <v>0.20197646984056369</v>
      </c>
      <c r="O121">
        <f t="shared" si="16"/>
        <v>0.20001882485227962</v>
      </c>
      <c r="P121">
        <f t="shared" si="17"/>
        <v>5.2935000000000003E-2</v>
      </c>
      <c r="Q121">
        <f t="shared" si="18"/>
        <v>8.0025433322432019E-2</v>
      </c>
      <c r="R121">
        <f t="shared" si="19"/>
        <v>2.6798690992092127E-2</v>
      </c>
    </row>
    <row r="122" spans="1:18" x14ac:dyDescent="0.25">
      <c r="A122" s="18">
        <f t="shared" si="15"/>
        <v>40513</v>
      </c>
      <c r="B122">
        <v>4125</v>
      </c>
      <c r="C122">
        <v>2930</v>
      </c>
      <c r="D122">
        <v>1774</v>
      </c>
      <c r="E122">
        <v>130395</v>
      </c>
      <c r="F122">
        <v>153649</v>
      </c>
      <c r="G122">
        <v>9.3000000000000013E-2</v>
      </c>
      <c r="H122">
        <f t="shared" si="10"/>
        <v>1.906943748413592E-2</v>
      </c>
      <c r="I122">
        <v>3.1001000000000001E-2</v>
      </c>
      <c r="J122">
        <f t="shared" si="11"/>
        <v>2.6309155249952816E-2</v>
      </c>
      <c r="K122">
        <v>5.3260000000000002E-2</v>
      </c>
      <c r="L122">
        <f t="shared" si="13"/>
        <v>7.8998684376777276E-2</v>
      </c>
      <c r="M122">
        <f t="shared" si="12"/>
        <v>1.360481613558802E-2</v>
      </c>
      <c r="N122">
        <f t="shared" si="14"/>
        <v>0.20504771488318191</v>
      </c>
      <c r="O122">
        <f t="shared" si="16"/>
        <v>0.20492275020335118</v>
      </c>
      <c r="P122">
        <f t="shared" si="17"/>
        <v>5.2829666666666664E-2</v>
      </c>
      <c r="Q122">
        <f t="shared" si="18"/>
        <v>7.9026689384892365E-2</v>
      </c>
      <c r="R122">
        <f t="shared" si="19"/>
        <v>2.7210393864185611E-2</v>
      </c>
    </row>
    <row r="123" spans="1:18" x14ac:dyDescent="0.25">
      <c r="A123" s="18">
        <f t="shared" si="15"/>
        <v>40544</v>
      </c>
      <c r="B123">
        <v>3939</v>
      </c>
      <c r="C123">
        <v>2868</v>
      </c>
      <c r="D123">
        <v>1692</v>
      </c>
      <c r="E123">
        <v>130464</v>
      </c>
      <c r="F123">
        <v>153244</v>
      </c>
      <c r="G123">
        <v>9.0999999999999998E-2</v>
      </c>
      <c r="H123">
        <f t="shared" si="10"/>
        <v>1.871525149434888E-2</v>
      </c>
      <c r="I123">
        <v>2.9989999999999999E-2</v>
      </c>
      <c r="J123">
        <f t="shared" si="11"/>
        <v>2.5531931821147973E-2</v>
      </c>
      <c r="K123">
        <v>5.2365000000000002E-2</v>
      </c>
      <c r="L123">
        <f t="shared" si="13"/>
        <v>7.8880596843276224E-2</v>
      </c>
      <c r="M123">
        <f t="shared" si="12"/>
        <v>1.2969094922737307E-2</v>
      </c>
      <c r="N123">
        <f t="shared" si="14"/>
        <v>0.20566210433350418</v>
      </c>
      <c r="O123">
        <f t="shared" si="16"/>
        <v>0.20422876301908324</v>
      </c>
      <c r="P123">
        <f t="shared" si="17"/>
        <v>5.2478333333333328E-2</v>
      </c>
      <c r="Q123">
        <f t="shared" si="18"/>
        <v>7.9158774909901891E-2</v>
      </c>
      <c r="R123">
        <f t="shared" si="19"/>
        <v>2.6270504435663419E-2</v>
      </c>
    </row>
    <row r="124" spans="1:18" x14ac:dyDescent="0.25">
      <c r="A124" s="18">
        <f t="shared" si="15"/>
        <v>40575</v>
      </c>
      <c r="B124">
        <v>4052</v>
      </c>
      <c r="C124">
        <v>3017</v>
      </c>
      <c r="D124">
        <v>1615</v>
      </c>
      <c r="E124">
        <v>130660</v>
      </c>
      <c r="F124">
        <v>153269</v>
      </c>
      <c r="G124">
        <v>0.09</v>
      </c>
      <c r="H124">
        <f t="shared" si="10"/>
        <v>1.968434582335632E-2</v>
      </c>
      <c r="I124">
        <v>3.2417000000000001E-2</v>
      </c>
      <c r="J124">
        <f t="shared" si="11"/>
        <v>2.7635107034038198E-2</v>
      </c>
      <c r="K124">
        <v>5.271E-2</v>
      </c>
      <c r="L124">
        <f t="shared" si="13"/>
        <v>7.6490603447268268E-2</v>
      </c>
      <c r="M124">
        <f t="shared" si="12"/>
        <v>1.2360324506352365E-2</v>
      </c>
      <c r="N124">
        <f t="shared" si="14"/>
        <v>0.21871495359284801</v>
      </c>
      <c r="O124">
        <f t="shared" si="16"/>
        <v>0.20980825760317803</v>
      </c>
      <c r="P124">
        <f t="shared" si="17"/>
        <v>5.2778333333333337E-2</v>
      </c>
      <c r="Q124">
        <f t="shared" si="18"/>
        <v>7.8123294889107256E-2</v>
      </c>
      <c r="R124">
        <f t="shared" si="19"/>
        <v>2.6492064701712992E-2</v>
      </c>
    </row>
    <row r="125" spans="1:18" x14ac:dyDescent="0.25">
      <c r="A125" s="18">
        <f t="shared" si="15"/>
        <v>40603</v>
      </c>
      <c r="B125">
        <v>4203</v>
      </c>
      <c r="C125">
        <v>3104</v>
      </c>
      <c r="D125">
        <v>1701</v>
      </c>
      <c r="E125">
        <v>130865</v>
      </c>
      <c r="F125">
        <v>153358</v>
      </c>
      <c r="G125">
        <v>8.900000000000001E-2</v>
      </c>
      <c r="H125">
        <f t="shared" si="10"/>
        <v>2.0240222225120306E-2</v>
      </c>
      <c r="I125">
        <v>3.3071000000000003E-2</v>
      </c>
      <c r="J125">
        <f t="shared" si="11"/>
        <v>2.8220480281432991E-2</v>
      </c>
      <c r="K125">
        <v>5.2677000000000002E-2</v>
      </c>
      <c r="L125">
        <f t="shared" si="13"/>
        <v>7.5012681514724081E-2</v>
      </c>
      <c r="M125">
        <f t="shared" si="12"/>
        <v>1.2998127841668896E-2</v>
      </c>
      <c r="N125">
        <f t="shared" si="14"/>
        <v>0.22741822724854274</v>
      </c>
      <c r="O125">
        <f t="shared" si="16"/>
        <v>0.2172650950582983</v>
      </c>
      <c r="P125">
        <f t="shared" si="17"/>
        <v>5.2583999999999999E-2</v>
      </c>
      <c r="Q125">
        <f t="shared" si="18"/>
        <v>7.6794627268422858E-2</v>
      </c>
      <c r="R125">
        <f t="shared" si="19"/>
        <v>2.7129173045539721E-2</v>
      </c>
    </row>
    <row r="126" spans="1:18" x14ac:dyDescent="0.25">
      <c r="A126" s="18">
        <f t="shared" si="15"/>
        <v>40634</v>
      </c>
      <c r="B126">
        <v>4036</v>
      </c>
      <c r="C126">
        <v>3025</v>
      </c>
      <c r="D126">
        <v>1563</v>
      </c>
      <c r="E126">
        <v>131169</v>
      </c>
      <c r="F126">
        <v>153478</v>
      </c>
      <c r="G126">
        <v>0.09</v>
      </c>
      <c r="H126">
        <f t="shared" si="10"/>
        <v>1.9709665228892739E-2</v>
      </c>
      <c r="I126">
        <v>3.0431E-2</v>
      </c>
      <c r="J126">
        <f t="shared" si="11"/>
        <v>2.6007661286959693E-2</v>
      </c>
      <c r="K126">
        <v>5.0774E-2</v>
      </c>
      <c r="L126">
        <f t="shared" si="13"/>
        <v>7.6441457026846418E-2</v>
      </c>
      <c r="M126">
        <f t="shared" si="12"/>
        <v>1.1915925256729867E-2</v>
      </c>
      <c r="N126">
        <f t="shared" si="14"/>
        <v>0.21899628032103044</v>
      </c>
      <c r="O126">
        <f t="shared" si="16"/>
        <v>0.22170982038747375</v>
      </c>
      <c r="P126">
        <f t="shared" si="17"/>
        <v>5.2053666666666665E-2</v>
      </c>
      <c r="Q126">
        <f t="shared" si="18"/>
        <v>7.5981580662946246E-2</v>
      </c>
      <c r="R126">
        <f t="shared" si="19"/>
        <v>2.7287749534143629E-2</v>
      </c>
    </row>
    <row r="127" spans="1:18" x14ac:dyDescent="0.25">
      <c r="A127" s="18">
        <f t="shared" si="15"/>
        <v>40664</v>
      </c>
      <c r="B127">
        <v>4107</v>
      </c>
      <c r="C127">
        <v>2937</v>
      </c>
      <c r="D127">
        <v>1708</v>
      </c>
      <c r="E127">
        <v>131284</v>
      </c>
      <c r="F127">
        <v>153552</v>
      </c>
      <c r="G127">
        <v>0.09</v>
      </c>
      <c r="H127">
        <f t="shared" si="10"/>
        <v>1.9127070959674898E-2</v>
      </c>
      <c r="I127">
        <v>3.0891999999999999E-2</v>
      </c>
      <c r="J127">
        <f t="shared" si="11"/>
        <v>2.6412064499322707E-2</v>
      </c>
      <c r="K127">
        <v>5.314E-2</v>
      </c>
      <c r="L127">
        <f t="shared" si="13"/>
        <v>7.7596895401297536E-2</v>
      </c>
      <c r="M127">
        <f t="shared" si="12"/>
        <v>1.3009963133359739E-2</v>
      </c>
      <c r="N127">
        <f t="shared" si="14"/>
        <v>0.21252301066305443</v>
      </c>
      <c r="O127">
        <f t="shared" si="16"/>
        <v>0.21964583941087587</v>
      </c>
      <c r="P127">
        <f t="shared" si="17"/>
        <v>5.2197E-2</v>
      </c>
      <c r="Q127">
        <f t="shared" si="18"/>
        <v>7.6350344647622678E-2</v>
      </c>
      <c r="R127">
        <f t="shared" si="19"/>
        <v>2.6880068689238465E-2</v>
      </c>
    </row>
    <row r="128" spans="1:18" x14ac:dyDescent="0.25">
      <c r="A128" s="18">
        <f t="shared" si="15"/>
        <v>40695</v>
      </c>
      <c r="B128">
        <v>4142</v>
      </c>
      <c r="C128">
        <v>3180</v>
      </c>
      <c r="D128">
        <v>1774</v>
      </c>
      <c r="E128">
        <v>131493</v>
      </c>
      <c r="F128">
        <v>153369</v>
      </c>
      <c r="G128">
        <v>9.0999999999999998E-2</v>
      </c>
      <c r="H128">
        <f t="shared" si="10"/>
        <v>2.0734307454570351E-2</v>
      </c>
      <c r="I128">
        <v>3.3647999999999997E-2</v>
      </c>
      <c r="J128">
        <f t="shared" si="11"/>
        <v>2.8848570858517688E-2</v>
      </c>
      <c r="K128">
        <v>5.1704E-2</v>
      </c>
      <c r="L128">
        <f t="shared" si="13"/>
        <v>7.4941650677094032E-2</v>
      </c>
      <c r="M128">
        <f t="shared" si="12"/>
        <v>1.3491212459978858E-2</v>
      </c>
      <c r="N128">
        <f t="shared" si="14"/>
        <v>0.22784953246780607</v>
      </c>
      <c r="O128">
        <f t="shared" si="16"/>
        <v>0.21978960781729698</v>
      </c>
      <c r="P128">
        <f t="shared" si="17"/>
        <v>5.1872666666666671E-2</v>
      </c>
      <c r="Q128">
        <f t="shared" si="18"/>
        <v>7.6326667701745995E-2</v>
      </c>
      <c r="R128">
        <f t="shared" si="19"/>
        <v>2.7089432214933363E-2</v>
      </c>
    </row>
    <row r="129" spans="1:18" x14ac:dyDescent="0.25">
      <c r="A129" s="18">
        <f t="shared" si="15"/>
        <v>40725</v>
      </c>
      <c r="B129">
        <v>4077</v>
      </c>
      <c r="C129">
        <v>3286</v>
      </c>
      <c r="D129">
        <v>1692</v>
      </c>
      <c r="E129">
        <v>131571</v>
      </c>
      <c r="F129">
        <v>153325</v>
      </c>
      <c r="G129">
        <v>0.09</v>
      </c>
      <c r="H129">
        <f t="shared" si="10"/>
        <v>2.1431599543453448E-2</v>
      </c>
      <c r="I129">
        <v>3.2093999999999998E-2</v>
      </c>
      <c r="J129">
        <f t="shared" si="11"/>
        <v>2.7540451159302134E-2</v>
      </c>
      <c r="K129">
        <v>4.8365999999999999E-2</v>
      </c>
      <c r="L129">
        <f t="shared" si="13"/>
        <v>7.3306297906017878E-2</v>
      </c>
      <c r="M129">
        <f t="shared" si="12"/>
        <v>1.2859976742595253E-2</v>
      </c>
      <c r="N129">
        <f t="shared" si="14"/>
        <v>0.23812888381614944</v>
      </c>
      <c r="O129">
        <f t="shared" si="16"/>
        <v>0.22616714231567001</v>
      </c>
      <c r="P129">
        <f t="shared" si="17"/>
        <v>5.1069999999999997E-2</v>
      </c>
      <c r="Q129">
        <f t="shared" si="18"/>
        <v>7.528161466146982E-2</v>
      </c>
      <c r="R129">
        <f t="shared" si="19"/>
        <v>2.7600362172380846E-2</v>
      </c>
    </row>
    <row r="130" spans="1:18" x14ac:dyDescent="0.25">
      <c r="A130" s="18">
        <f t="shared" si="15"/>
        <v>40756</v>
      </c>
      <c r="B130">
        <v>4187</v>
      </c>
      <c r="C130">
        <v>3172</v>
      </c>
      <c r="D130">
        <v>1721</v>
      </c>
      <c r="E130">
        <v>131703</v>
      </c>
      <c r="F130">
        <v>153707</v>
      </c>
      <c r="G130">
        <v>0.09</v>
      </c>
      <c r="H130">
        <f t="shared" ref="H130:H152" si="20">C130/F130</f>
        <v>2.0636665864274237E-2</v>
      </c>
      <c r="I130">
        <v>3.1229E-2</v>
      </c>
      <c r="J130">
        <f t="shared" ref="J130:J152" si="21">I130*E130/F130</f>
        <v>2.6758397385935575E-2</v>
      </c>
      <c r="K130">
        <v>5.0030999999999999E-2</v>
      </c>
      <c r="L130">
        <f t="shared" si="13"/>
        <v>7.4704852759702053E-2</v>
      </c>
      <c r="M130">
        <f t="shared" ref="M130:M152" si="22">D130/E130</f>
        <v>1.3067280168257367E-2</v>
      </c>
      <c r="N130">
        <f t="shared" si="14"/>
        <v>0.22929628738082486</v>
      </c>
      <c r="O130">
        <f t="shared" si="16"/>
        <v>0.23175823455492681</v>
      </c>
      <c r="P130">
        <f t="shared" si="17"/>
        <v>5.0033666666666664E-2</v>
      </c>
      <c r="Q130">
        <f t="shared" si="18"/>
        <v>7.4317600447604659E-2</v>
      </c>
      <c r="R130">
        <f t="shared" si="19"/>
        <v>2.7715806467918467E-2</v>
      </c>
    </row>
    <row r="131" spans="1:18" x14ac:dyDescent="0.25">
      <c r="A131" s="18">
        <f t="shared" si="15"/>
        <v>40787</v>
      </c>
      <c r="B131">
        <v>4304</v>
      </c>
      <c r="C131">
        <v>3465</v>
      </c>
      <c r="D131">
        <v>1737</v>
      </c>
      <c r="E131">
        <v>131928</v>
      </c>
      <c r="F131">
        <v>154074</v>
      </c>
      <c r="G131">
        <v>0.09</v>
      </c>
      <c r="H131">
        <f t="shared" si="20"/>
        <v>2.2489193504419955E-2</v>
      </c>
      <c r="I131">
        <v>3.5161999999999999E-2</v>
      </c>
      <c r="J131">
        <f t="shared" si="21"/>
        <v>3.0107950309591496E-2</v>
      </c>
      <c r="K131">
        <v>4.9496999999999999E-2</v>
      </c>
      <c r="L131">
        <f t="shared" ref="L131:L152" si="23">0.035772338*(H131/G131)^(-0.5)</f>
        <v>7.1561863240819701E-2</v>
      </c>
      <c r="M131">
        <f t="shared" si="22"/>
        <v>1.3166272512279425E-2</v>
      </c>
      <c r="N131">
        <f t="shared" ref="N131:N152" si="24">H131/G131</f>
        <v>0.24987992782688839</v>
      </c>
      <c r="O131">
        <f t="shared" si="16"/>
        <v>0.23910169967462092</v>
      </c>
      <c r="P131">
        <f t="shared" si="17"/>
        <v>4.9298000000000002E-2</v>
      </c>
      <c r="Q131">
        <f t="shared" si="18"/>
        <v>7.3191004635513215E-2</v>
      </c>
      <c r="R131">
        <f t="shared" si="19"/>
        <v>2.8135599618276403E-2</v>
      </c>
    </row>
    <row r="132" spans="1:18" x14ac:dyDescent="0.25">
      <c r="A132" s="18">
        <f t="shared" ref="A132:A152" si="25">DATE(YEAR(A131),MONTH(A131)+1,1)</f>
        <v>40817</v>
      </c>
      <c r="B132">
        <v>4159</v>
      </c>
      <c r="C132">
        <v>3308</v>
      </c>
      <c r="D132">
        <v>1686</v>
      </c>
      <c r="E132">
        <v>132094</v>
      </c>
      <c r="F132">
        <v>154010</v>
      </c>
      <c r="G132">
        <v>8.900000000000001E-2</v>
      </c>
      <c r="H132">
        <f t="shared" si="20"/>
        <v>2.1479124732160248E-2</v>
      </c>
      <c r="I132">
        <v>3.0606999999999999E-2</v>
      </c>
      <c r="J132">
        <f t="shared" si="21"/>
        <v>2.6251548977339133E-2</v>
      </c>
      <c r="K132">
        <v>4.7419999999999997E-2</v>
      </c>
      <c r="L132">
        <f t="shared" si="23"/>
        <v>7.2817210676210345E-2</v>
      </c>
      <c r="M132">
        <f t="shared" si="22"/>
        <v>1.2763638015352704E-2</v>
      </c>
      <c r="N132">
        <f t="shared" si="24"/>
        <v>0.24133848013663198</v>
      </c>
      <c r="O132">
        <f t="shared" si="16"/>
        <v>0.24017156511478174</v>
      </c>
      <c r="P132">
        <f t="shared" si="17"/>
        <v>4.8982666666666667E-2</v>
      </c>
      <c r="Q132">
        <f t="shared" si="18"/>
        <v>7.3027975558910704E-2</v>
      </c>
      <c r="R132">
        <f t="shared" si="19"/>
        <v>2.7705965557622069E-2</v>
      </c>
    </row>
    <row r="133" spans="1:18" x14ac:dyDescent="0.25">
      <c r="A133" s="18">
        <f t="shared" si="25"/>
        <v>40848</v>
      </c>
      <c r="B133">
        <v>4264</v>
      </c>
      <c r="C133">
        <v>3118</v>
      </c>
      <c r="D133">
        <v>1751</v>
      </c>
      <c r="E133">
        <v>132268</v>
      </c>
      <c r="F133">
        <v>154096</v>
      </c>
      <c r="G133">
        <v>8.5999999999999993E-2</v>
      </c>
      <c r="H133">
        <f t="shared" si="20"/>
        <v>2.0234139757034576E-2</v>
      </c>
      <c r="I133">
        <v>3.1105000000000001E-2</v>
      </c>
      <c r="J133">
        <f t="shared" si="21"/>
        <v>2.6698915870626103E-2</v>
      </c>
      <c r="K133">
        <v>5.1323000000000001E-2</v>
      </c>
      <c r="L133">
        <f t="shared" si="23"/>
        <v>7.3748667620741268E-2</v>
      </c>
      <c r="M133">
        <f t="shared" si="22"/>
        <v>1.3238273807723713E-2</v>
      </c>
      <c r="N133">
        <f t="shared" si="24"/>
        <v>0.23528069484923927</v>
      </c>
      <c r="O133">
        <f t="shared" ref="O133:O152" si="26">AVERAGE(N131:N133)</f>
        <v>0.24216636760425322</v>
      </c>
      <c r="P133">
        <f t="shared" ref="P133:P152" si="27">AVERAGE(K131:K133)</f>
        <v>4.9413333333333337E-2</v>
      </c>
      <c r="Q133">
        <f t="shared" ref="Q133:Q152" si="28">AVERAGE(L131:L133)</f>
        <v>7.27092471792571E-2</v>
      </c>
      <c r="R133">
        <f t="shared" ref="R133:R152" si="29">AVERAGE(J131:J133)</f>
        <v>2.7686138385852242E-2</v>
      </c>
    </row>
    <row r="134" spans="1:18" x14ac:dyDescent="0.25">
      <c r="A134" s="18">
        <f t="shared" si="25"/>
        <v>40878</v>
      </c>
      <c r="B134">
        <v>4174</v>
      </c>
      <c r="C134">
        <v>3384</v>
      </c>
      <c r="D134">
        <v>1680</v>
      </c>
      <c r="E134">
        <v>132498</v>
      </c>
      <c r="F134">
        <v>153945</v>
      </c>
      <c r="G134">
        <v>8.5000000000000006E-2</v>
      </c>
      <c r="H134">
        <f t="shared" si="20"/>
        <v>2.1981876644256066E-2</v>
      </c>
      <c r="I134">
        <v>3.3807999999999998E-2</v>
      </c>
      <c r="J134">
        <f t="shared" si="21"/>
        <v>2.9098005027769658E-2</v>
      </c>
      <c r="K134">
        <v>4.9029999999999997E-2</v>
      </c>
      <c r="L134">
        <f t="shared" si="23"/>
        <v>7.0343569978484538E-2</v>
      </c>
      <c r="M134">
        <f t="shared" si="22"/>
        <v>1.26794366707422E-2</v>
      </c>
      <c r="N134">
        <f t="shared" si="24"/>
        <v>0.25861031346183605</v>
      </c>
      <c r="O134">
        <f t="shared" si="26"/>
        <v>0.24507649614923577</v>
      </c>
      <c r="P134">
        <f t="shared" si="27"/>
        <v>4.9257666666666665E-2</v>
      </c>
      <c r="Q134">
        <f t="shared" si="28"/>
        <v>7.2303149425145388E-2</v>
      </c>
      <c r="R134">
        <f t="shared" si="29"/>
        <v>2.7349489958578294E-2</v>
      </c>
    </row>
    <row r="135" spans="1:18" x14ac:dyDescent="0.25">
      <c r="A135" s="18">
        <f t="shared" si="25"/>
        <v>40909</v>
      </c>
      <c r="B135">
        <v>4192</v>
      </c>
      <c r="C135">
        <v>3415</v>
      </c>
      <c r="D135">
        <v>1640</v>
      </c>
      <c r="E135">
        <v>132809</v>
      </c>
      <c r="F135">
        <v>154356</v>
      </c>
      <c r="G135">
        <v>8.3000000000000004E-2</v>
      </c>
      <c r="H135">
        <f t="shared" si="20"/>
        <v>2.2124180465935887E-2</v>
      </c>
      <c r="I135">
        <v>3.2099000000000003E-2</v>
      </c>
      <c r="J135">
        <f t="shared" si="21"/>
        <v>2.7618207850682835E-2</v>
      </c>
      <c r="K135">
        <v>4.7391000000000003E-2</v>
      </c>
      <c r="L135">
        <f t="shared" si="23"/>
        <v>6.9287162415657383E-2</v>
      </c>
      <c r="M135">
        <f t="shared" si="22"/>
        <v>1.2348560715011784E-2</v>
      </c>
      <c r="N135">
        <f t="shared" si="24"/>
        <v>0.26655639115585406</v>
      </c>
      <c r="O135">
        <f t="shared" si="26"/>
        <v>0.25348246648897649</v>
      </c>
      <c r="P135">
        <f t="shared" si="27"/>
        <v>4.9247999999999993E-2</v>
      </c>
      <c r="Q135">
        <f t="shared" si="28"/>
        <v>7.1126466671627725E-2</v>
      </c>
      <c r="R135">
        <f t="shared" si="29"/>
        <v>2.7805042916359532E-2</v>
      </c>
    </row>
    <row r="136" spans="1:18" x14ac:dyDescent="0.25">
      <c r="A136" s="18">
        <f t="shared" si="25"/>
        <v>40940</v>
      </c>
      <c r="B136">
        <v>4489</v>
      </c>
      <c r="C136">
        <v>3526</v>
      </c>
      <c r="D136">
        <v>1762</v>
      </c>
      <c r="E136">
        <v>133080</v>
      </c>
      <c r="F136">
        <v>154825</v>
      </c>
      <c r="G136">
        <v>8.3000000000000004E-2</v>
      </c>
      <c r="H136">
        <f t="shared" si="20"/>
        <v>2.2774099790085579E-2</v>
      </c>
      <c r="I136">
        <v>3.4895000000000002E-2</v>
      </c>
      <c r="J136">
        <f t="shared" si="21"/>
        <v>2.999403584692395E-2</v>
      </c>
      <c r="K136">
        <v>4.9607999999999999E-2</v>
      </c>
      <c r="L136">
        <f t="shared" si="23"/>
        <v>6.8291360079136887E-2</v>
      </c>
      <c r="M136">
        <f t="shared" si="22"/>
        <v>1.3240156296964232E-2</v>
      </c>
      <c r="N136">
        <f t="shared" si="24"/>
        <v>0.27438674445886241</v>
      </c>
      <c r="O136">
        <f t="shared" si="26"/>
        <v>0.26651781635885086</v>
      </c>
      <c r="P136">
        <f t="shared" si="27"/>
        <v>4.8676333333333342E-2</v>
      </c>
      <c r="Q136">
        <f t="shared" si="28"/>
        <v>6.9307364157759607E-2</v>
      </c>
      <c r="R136">
        <f t="shared" si="29"/>
        <v>2.8903416241792147E-2</v>
      </c>
    </row>
    <row r="137" spans="1:18" x14ac:dyDescent="0.25">
      <c r="A137" s="18">
        <f t="shared" si="25"/>
        <v>40969</v>
      </c>
      <c r="B137">
        <v>4435</v>
      </c>
      <c r="C137">
        <v>3848</v>
      </c>
      <c r="D137">
        <v>1704</v>
      </c>
      <c r="E137">
        <v>133285</v>
      </c>
      <c r="F137">
        <v>154707</v>
      </c>
      <c r="G137">
        <v>8.199999999999999E-2</v>
      </c>
      <c r="H137">
        <f t="shared" si="20"/>
        <v>2.4872824112677511E-2</v>
      </c>
      <c r="I137">
        <v>3.603E-2</v>
      </c>
      <c r="J137">
        <f t="shared" si="21"/>
        <v>3.1040990711473943E-2</v>
      </c>
      <c r="K137">
        <v>4.5939000000000001E-2</v>
      </c>
      <c r="L137">
        <f t="shared" si="23"/>
        <v>6.4951876465400168E-2</v>
      </c>
      <c r="M137">
        <f t="shared" si="22"/>
        <v>1.2784634429980868E-2</v>
      </c>
      <c r="N137">
        <f t="shared" si="24"/>
        <v>0.30332712332533557</v>
      </c>
      <c r="O137">
        <f t="shared" si="26"/>
        <v>0.28142341964668405</v>
      </c>
      <c r="P137">
        <f t="shared" si="27"/>
        <v>4.7646000000000001E-2</v>
      </c>
      <c r="Q137">
        <f t="shared" si="28"/>
        <v>6.7510132986731475E-2</v>
      </c>
      <c r="R137">
        <f t="shared" si="29"/>
        <v>2.9551078136360241E-2</v>
      </c>
    </row>
    <row r="138" spans="1:18" x14ac:dyDescent="0.25">
      <c r="A138" s="18">
        <f t="shared" si="25"/>
        <v>41000</v>
      </c>
      <c r="B138">
        <v>4252</v>
      </c>
      <c r="C138">
        <v>3523</v>
      </c>
      <c r="D138">
        <v>1752</v>
      </c>
      <c r="E138">
        <v>133397</v>
      </c>
      <c r="F138">
        <v>154451</v>
      </c>
      <c r="G138">
        <v>8.1000000000000003E-2</v>
      </c>
      <c r="H138">
        <f t="shared" si="20"/>
        <v>2.2809823180167173E-2</v>
      </c>
      <c r="I138">
        <v>2.9783E-2</v>
      </c>
      <c r="J138">
        <f t="shared" si="21"/>
        <v>2.5723128053557441E-2</v>
      </c>
      <c r="K138">
        <v>4.4683E-2</v>
      </c>
      <c r="L138">
        <f t="shared" si="23"/>
        <v>6.7410706018007027E-2</v>
      </c>
      <c r="M138">
        <f t="shared" si="22"/>
        <v>1.3133728644572218E-2</v>
      </c>
      <c r="N138">
        <f t="shared" si="24"/>
        <v>0.28160275531070583</v>
      </c>
      <c r="O138">
        <f t="shared" si="26"/>
        <v>0.28643887436496795</v>
      </c>
      <c r="P138">
        <f t="shared" si="27"/>
        <v>4.6743333333333331E-2</v>
      </c>
      <c r="Q138">
        <f t="shared" si="28"/>
        <v>6.6884647520848037E-2</v>
      </c>
      <c r="R138">
        <f t="shared" si="29"/>
        <v>2.8919384870651776E-2</v>
      </c>
    </row>
    <row r="139" spans="1:18" x14ac:dyDescent="0.25">
      <c r="A139" s="18">
        <f t="shared" si="25"/>
        <v>41030</v>
      </c>
      <c r="B139">
        <v>4526</v>
      </c>
      <c r="C139">
        <v>3774</v>
      </c>
      <c r="D139">
        <v>1955</v>
      </c>
      <c r="E139">
        <v>133522</v>
      </c>
      <c r="F139">
        <v>154998</v>
      </c>
      <c r="G139">
        <v>8.199999999999999E-2</v>
      </c>
      <c r="H139">
        <f t="shared" si="20"/>
        <v>2.434870127356482E-2</v>
      </c>
      <c r="I139">
        <v>3.6159999999999998E-2</v>
      </c>
      <c r="J139">
        <f t="shared" si="21"/>
        <v>3.1149792384417858E-2</v>
      </c>
      <c r="K139">
        <v>4.7437E-2</v>
      </c>
      <c r="L139">
        <f t="shared" si="23"/>
        <v>6.5647221743850362E-2</v>
      </c>
      <c r="M139">
        <f t="shared" si="22"/>
        <v>1.4641781878641721E-2</v>
      </c>
      <c r="N139">
        <f t="shared" si="24"/>
        <v>0.29693538138493686</v>
      </c>
      <c r="O139">
        <f t="shared" si="26"/>
        <v>0.29395508667365938</v>
      </c>
      <c r="P139">
        <f t="shared" si="27"/>
        <v>4.6019666666666674E-2</v>
      </c>
      <c r="Q139">
        <f t="shared" si="28"/>
        <v>6.6003268075752519E-2</v>
      </c>
      <c r="R139">
        <f t="shared" si="29"/>
        <v>2.9304637049816413E-2</v>
      </c>
    </row>
    <row r="140" spans="1:18" x14ac:dyDescent="0.25">
      <c r="A140" s="18">
        <f t="shared" si="25"/>
        <v>41061</v>
      </c>
      <c r="B140">
        <v>4357</v>
      </c>
      <c r="C140">
        <v>3792</v>
      </c>
      <c r="D140">
        <v>1786</v>
      </c>
      <c r="E140">
        <v>133609</v>
      </c>
      <c r="F140">
        <v>155149</v>
      </c>
      <c r="G140">
        <v>8.199999999999999E-2</v>
      </c>
      <c r="H140">
        <f t="shared" si="20"/>
        <v>2.4441021211867302E-2</v>
      </c>
      <c r="I140">
        <v>3.3106999999999998E-2</v>
      </c>
      <c r="J140">
        <f t="shared" si="21"/>
        <v>2.8510613429670831E-2</v>
      </c>
      <c r="K140">
        <v>4.4281000000000001E-2</v>
      </c>
      <c r="L140">
        <f t="shared" si="23"/>
        <v>6.5523121337013823E-2</v>
      </c>
      <c r="M140">
        <f t="shared" si="22"/>
        <v>1.336736297704496E-2</v>
      </c>
      <c r="N140">
        <f t="shared" si="24"/>
        <v>0.29806123429106468</v>
      </c>
      <c r="O140">
        <f t="shared" si="26"/>
        <v>0.29219979032890248</v>
      </c>
      <c r="P140">
        <f t="shared" si="27"/>
        <v>4.5467E-2</v>
      </c>
      <c r="Q140">
        <f t="shared" si="28"/>
        <v>6.6193683032957071E-2</v>
      </c>
      <c r="R140">
        <f t="shared" si="29"/>
        <v>2.8461177955882044E-2</v>
      </c>
    </row>
    <row r="141" spans="1:18" x14ac:dyDescent="0.25">
      <c r="A141" s="18">
        <f t="shared" si="25"/>
        <v>41091</v>
      </c>
      <c r="B141">
        <v>4171</v>
      </c>
      <c r="C141">
        <v>3499</v>
      </c>
      <c r="D141">
        <v>1534</v>
      </c>
      <c r="E141">
        <v>133762</v>
      </c>
      <c r="F141">
        <v>154995</v>
      </c>
      <c r="G141">
        <v>8.199999999999999E-2</v>
      </c>
      <c r="H141">
        <f t="shared" si="20"/>
        <v>2.2574921771670056E-2</v>
      </c>
      <c r="I141">
        <v>2.9288999999999999E-2</v>
      </c>
      <c r="J141">
        <f t="shared" si="21"/>
        <v>2.5276655492112648E-2</v>
      </c>
      <c r="K141">
        <v>4.4281000000000001E-2</v>
      </c>
      <c r="L141">
        <f t="shared" si="23"/>
        <v>6.8177508276246607E-2</v>
      </c>
      <c r="M141">
        <f t="shared" si="22"/>
        <v>1.1468129962171619E-2</v>
      </c>
      <c r="N141">
        <f t="shared" si="24"/>
        <v>0.27530392404475679</v>
      </c>
      <c r="O141">
        <f t="shared" si="26"/>
        <v>0.29010017990691944</v>
      </c>
      <c r="P141">
        <f t="shared" si="27"/>
        <v>4.5332999999999991E-2</v>
      </c>
      <c r="Q141">
        <f t="shared" si="28"/>
        <v>6.6449283785703597E-2</v>
      </c>
      <c r="R141">
        <f t="shared" si="29"/>
        <v>2.831235376873378E-2</v>
      </c>
    </row>
    <row r="142" spans="1:18" x14ac:dyDescent="0.25">
      <c r="A142" s="18">
        <f t="shared" si="25"/>
        <v>41122</v>
      </c>
      <c r="B142">
        <v>4405</v>
      </c>
      <c r="C142">
        <v>3632</v>
      </c>
      <c r="D142">
        <v>1859</v>
      </c>
      <c r="E142">
        <v>133927</v>
      </c>
      <c r="F142">
        <v>154647</v>
      </c>
      <c r="G142">
        <v>8.1000000000000003E-2</v>
      </c>
      <c r="H142">
        <f t="shared" si="20"/>
        <v>2.3485744954638628E-2</v>
      </c>
      <c r="I142">
        <v>3.4236999999999997E-2</v>
      </c>
      <c r="J142">
        <f t="shared" si="21"/>
        <v>2.9649839304997833E-2</v>
      </c>
      <c r="K142">
        <v>4.7369000000000001E-2</v>
      </c>
      <c r="L142">
        <f t="shared" si="23"/>
        <v>6.6433581279308637E-2</v>
      </c>
      <c r="M142">
        <f t="shared" si="22"/>
        <v>1.3880696200168749E-2</v>
      </c>
      <c r="N142">
        <f t="shared" si="24"/>
        <v>0.28994746857578552</v>
      </c>
      <c r="O142">
        <f t="shared" si="26"/>
        <v>0.28777087563720233</v>
      </c>
      <c r="P142">
        <f t="shared" si="27"/>
        <v>4.5310333333333334E-2</v>
      </c>
      <c r="Q142">
        <f t="shared" si="28"/>
        <v>6.6711403630856356E-2</v>
      </c>
      <c r="R142">
        <f t="shared" si="29"/>
        <v>2.7812369408927104E-2</v>
      </c>
    </row>
    <row r="143" spans="1:18" x14ac:dyDescent="0.25">
      <c r="A143" s="18">
        <f t="shared" si="25"/>
        <v>41153</v>
      </c>
      <c r="B143">
        <v>4217</v>
      </c>
      <c r="C143">
        <v>3603</v>
      </c>
      <c r="D143">
        <v>1732</v>
      </c>
      <c r="E143">
        <v>134065</v>
      </c>
      <c r="F143">
        <v>155056</v>
      </c>
      <c r="G143">
        <v>7.8E-2</v>
      </c>
      <c r="H143">
        <f t="shared" si="20"/>
        <v>2.3236766071612836E-2</v>
      </c>
      <c r="I143">
        <v>3.1571000000000002E-2</v>
      </c>
      <c r="J143">
        <f t="shared" si="21"/>
        <v>2.7297016013569295E-2</v>
      </c>
      <c r="K143">
        <v>4.4864000000000001E-2</v>
      </c>
      <c r="L143">
        <f t="shared" si="23"/>
        <v>6.5540052357719814E-2</v>
      </c>
      <c r="M143">
        <f t="shared" si="22"/>
        <v>1.2919106403610188E-2</v>
      </c>
      <c r="N143">
        <f t="shared" si="24"/>
        <v>0.2979072573283697</v>
      </c>
      <c r="O143">
        <f t="shared" si="26"/>
        <v>0.28771954998297061</v>
      </c>
      <c r="P143">
        <f t="shared" si="27"/>
        <v>4.5504666666666672E-2</v>
      </c>
      <c r="Q143">
        <f t="shared" si="28"/>
        <v>6.6717047304425015E-2</v>
      </c>
      <c r="R143">
        <f t="shared" si="29"/>
        <v>2.7407836936893259E-2</v>
      </c>
    </row>
    <row r="144" spans="1:18" x14ac:dyDescent="0.25">
      <c r="A144" s="18">
        <f t="shared" si="25"/>
        <v>41183</v>
      </c>
      <c r="B144">
        <v>4287</v>
      </c>
      <c r="C144">
        <v>3646</v>
      </c>
      <c r="D144">
        <v>1672</v>
      </c>
      <c r="E144">
        <v>134225</v>
      </c>
      <c r="F144">
        <v>155576</v>
      </c>
      <c r="G144">
        <v>7.9000000000000001E-2</v>
      </c>
      <c r="H144">
        <f t="shared" si="20"/>
        <v>2.3435491335424486E-2</v>
      </c>
      <c r="I144">
        <v>3.2580999999999999E-2</v>
      </c>
      <c r="J144">
        <f t="shared" si="21"/>
        <v>2.8109635965701651E-2</v>
      </c>
      <c r="K144">
        <v>4.5449000000000003E-2</v>
      </c>
      <c r="L144">
        <f t="shared" si="23"/>
        <v>6.5678592869773234E-2</v>
      </c>
      <c r="M144">
        <f t="shared" si="22"/>
        <v>1.2456695846526354E-2</v>
      </c>
      <c r="N144">
        <f t="shared" si="24"/>
        <v>0.29665178905600614</v>
      </c>
      <c r="O144">
        <f t="shared" si="26"/>
        <v>0.29483550498672045</v>
      </c>
      <c r="P144">
        <f t="shared" si="27"/>
        <v>4.5894000000000011E-2</v>
      </c>
      <c r="Q144">
        <f t="shared" si="28"/>
        <v>6.5884075502267228E-2</v>
      </c>
      <c r="R144">
        <f t="shared" si="29"/>
        <v>2.8352163761422928E-2</v>
      </c>
    </row>
    <row r="145" spans="1:18" x14ac:dyDescent="0.25">
      <c r="A145" s="18">
        <f t="shared" si="25"/>
        <v>41214</v>
      </c>
      <c r="B145">
        <v>4420</v>
      </c>
      <c r="C145">
        <v>3789</v>
      </c>
      <c r="D145">
        <v>1705</v>
      </c>
      <c r="E145">
        <v>134472</v>
      </c>
      <c r="F145">
        <v>155319</v>
      </c>
      <c r="G145">
        <v>7.8E-2</v>
      </c>
      <c r="H145">
        <f t="shared" si="20"/>
        <v>2.439495489927182E-2</v>
      </c>
      <c r="I145">
        <v>3.4268E-2</v>
      </c>
      <c r="J145">
        <f t="shared" si="21"/>
        <v>2.9668530546810113E-2</v>
      </c>
      <c r="K145">
        <v>4.5588999999999998E-2</v>
      </c>
      <c r="L145">
        <f t="shared" si="23"/>
        <v>6.3965325934332531E-2</v>
      </c>
      <c r="M145">
        <f t="shared" si="22"/>
        <v>1.2679219465762389E-2</v>
      </c>
      <c r="N145">
        <f t="shared" si="24"/>
        <v>0.3127558320419464</v>
      </c>
      <c r="O145">
        <f t="shared" si="26"/>
        <v>0.3024382928087741</v>
      </c>
      <c r="P145">
        <f t="shared" si="27"/>
        <v>4.5300666666666663E-2</v>
      </c>
      <c r="Q145">
        <f t="shared" si="28"/>
        <v>6.5061323720608522E-2</v>
      </c>
      <c r="R145">
        <f t="shared" si="29"/>
        <v>2.835839417536035E-2</v>
      </c>
    </row>
    <row r="146" spans="1:18" x14ac:dyDescent="0.25">
      <c r="A146" s="18">
        <f t="shared" si="25"/>
        <v>41244</v>
      </c>
      <c r="B146">
        <v>4195</v>
      </c>
      <c r="C146">
        <v>3612</v>
      </c>
      <c r="D146">
        <v>1569</v>
      </c>
      <c r="E146">
        <v>134691</v>
      </c>
      <c r="F146">
        <v>155511</v>
      </c>
      <c r="G146">
        <v>7.8E-2</v>
      </c>
      <c r="H146">
        <f t="shared" si="20"/>
        <v>2.3226652776973975E-2</v>
      </c>
      <c r="I146">
        <v>3.0136E-2</v>
      </c>
      <c r="J146">
        <f t="shared" si="21"/>
        <v>2.6101356019831393E-2</v>
      </c>
      <c r="K146">
        <v>4.3761000000000001E-2</v>
      </c>
      <c r="L146">
        <f t="shared" si="23"/>
        <v>6.5554319452739665E-2</v>
      </c>
      <c r="M146">
        <f t="shared" si="22"/>
        <v>1.1648885226184378E-2</v>
      </c>
      <c r="N146">
        <f t="shared" si="24"/>
        <v>0.29777759970479456</v>
      </c>
      <c r="O146">
        <f t="shared" si="26"/>
        <v>0.30239507360091572</v>
      </c>
      <c r="P146">
        <f t="shared" si="27"/>
        <v>4.4933000000000001E-2</v>
      </c>
      <c r="Q146">
        <f t="shared" si="28"/>
        <v>6.5066079418948472E-2</v>
      </c>
      <c r="R146">
        <f t="shared" si="29"/>
        <v>2.7959840844114386E-2</v>
      </c>
    </row>
    <row r="147" spans="1:18" x14ac:dyDescent="0.25">
      <c r="A147" s="18">
        <f t="shared" si="25"/>
        <v>41275</v>
      </c>
      <c r="B147">
        <v>4298</v>
      </c>
      <c r="C147">
        <v>3611</v>
      </c>
      <c r="D147">
        <v>1520</v>
      </c>
      <c r="E147">
        <v>134839</v>
      </c>
      <c r="F147">
        <v>155654</v>
      </c>
      <c r="G147">
        <v>7.9000000000000001E-2</v>
      </c>
      <c r="H147">
        <f t="shared" si="20"/>
        <v>2.3198889845426396E-2</v>
      </c>
      <c r="I147">
        <v>3.2155999999999997E-2</v>
      </c>
      <c r="J147">
        <f t="shared" si="21"/>
        <v>2.7855904017885822E-2</v>
      </c>
      <c r="K147">
        <v>4.5774000000000002E-2</v>
      </c>
      <c r="L147">
        <f t="shared" si="23"/>
        <v>6.6012665582797642E-2</v>
      </c>
      <c r="M147">
        <f t="shared" si="22"/>
        <v>1.1272703001357173E-2</v>
      </c>
      <c r="N147">
        <f t="shared" si="24"/>
        <v>0.29365683348641008</v>
      </c>
      <c r="O147">
        <f t="shared" si="26"/>
        <v>0.30139675507771702</v>
      </c>
      <c r="P147">
        <f t="shared" si="27"/>
        <v>4.5041333333333329E-2</v>
      </c>
      <c r="Q147">
        <f t="shared" si="28"/>
        <v>6.5177436989956608E-2</v>
      </c>
      <c r="R147">
        <f t="shared" si="29"/>
        <v>2.7875263528175775E-2</v>
      </c>
    </row>
    <row r="148" spans="1:18" x14ac:dyDescent="0.25">
      <c r="A148" s="18">
        <f t="shared" si="25"/>
        <v>41306</v>
      </c>
      <c r="B148">
        <v>4451</v>
      </c>
      <c r="C148">
        <v>3899</v>
      </c>
      <c r="D148">
        <v>1572</v>
      </c>
      <c r="E148">
        <v>135171</v>
      </c>
      <c r="F148">
        <v>155524</v>
      </c>
      <c r="G148">
        <v>7.6999999999999999E-2</v>
      </c>
      <c r="H148">
        <f t="shared" si="20"/>
        <v>2.507008564594532E-2</v>
      </c>
      <c r="I148">
        <v>3.5369999999999999E-2</v>
      </c>
      <c r="J148">
        <f t="shared" si="21"/>
        <v>3.0741224955633858E-2</v>
      </c>
      <c r="K148">
        <v>4.5314E-2</v>
      </c>
      <c r="L148">
        <f t="shared" si="23"/>
        <v>6.269238318012034E-2</v>
      </c>
      <c r="M148">
        <f t="shared" si="22"/>
        <v>1.1629713474043988E-2</v>
      </c>
      <c r="N148">
        <f t="shared" si="24"/>
        <v>0.32558552786941974</v>
      </c>
      <c r="O148">
        <f t="shared" si="26"/>
        <v>0.3056733203535415</v>
      </c>
      <c r="P148">
        <f t="shared" si="27"/>
        <v>4.4949666666666666E-2</v>
      </c>
      <c r="Q148">
        <f t="shared" si="28"/>
        <v>6.4753122738552549E-2</v>
      </c>
      <c r="R148">
        <f t="shared" si="29"/>
        <v>2.8232828331117024E-2</v>
      </c>
    </row>
    <row r="149" spans="1:18" x14ac:dyDescent="0.25">
      <c r="A149" s="18">
        <f t="shared" si="25"/>
        <v>41334</v>
      </c>
      <c r="B149">
        <v>4227</v>
      </c>
      <c r="C149">
        <v>3875</v>
      </c>
      <c r="D149">
        <v>1686</v>
      </c>
      <c r="E149">
        <v>135313</v>
      </c>
      <c r="F149">
        <v>155028</v>
      </c>
      <c r="G149">
        <v>7.5999999999999998E-2</v>
      </c>
      <c r="H149">
        <f t="shared" si="20"/>
        <v>2.4995484686637252E-2</v>
      </c>
      <c r="I149">
        <v>3.1404000000000001E-2</v>
      </c>
      <c r="J149">
        <f t="shared" si="21"/>
        <v>2.741033524266584E-2</v>
      </c>
      <c r="K149">
        <v>4.1845E-2</v>
      </c>
      <c r="L149">
        <f t="shared" si="23"/>
        <v>6.2376835800047666E-2</v>
      </c>
      <c r="M149">
        <f t="shared" si="22"/>
        <v>1.2460000147805458E-2</v>
      </c>
      <c r="N149">
        <f t="shared" si="24"/>
        <v>0.32888795640312174</v>
      </c>
      <c r="O149">
        <f t="shared" si="26"/>
        <v>0.31604343925298384</v>
      </c>
      <c r="P149">
        <f t="shared" si="27"/>
        <v>4.4310999999999996E-2</v>
      </c>
      <c r="Q149">
        <f t="shared" si="28"/>
        <v>6.3693961520988551E-2</v>
      </c>
      <c r="R149">
        <f t="shared" si="29"/>
        <v>2.8669154738728508E-2</v>
      </c>
    </row>
    <row r="150" spans="1:18" x14ac:dyDescent="0.25">
      <c r="A150" s="18">
        <f t="shared" si="25"/>
        <v>41365</v>
      </c>
      <c r="B150">
        <v>4395</v>
      </c>
      <c r="C150">
        <v>3800</v>
      </c>
      <c r="D150">
        <v>1741</v>
      </c>
      <c r="E150">
        <v>135512</v>
      </c>
      <c r="F150">
        <v>155238</v>
      </c>
      <c r="G150">
        <v>7.4999999999999997E-2</v>
      </c>
      <c r="H150">
        <f t="shared" si="20"/>
        <v>2.4478542624872777E-2</v>
      </c>
      <c r="I150">
        <v>3.2225999999999998E-2</v>
      </c>
      <c r="J150">
        <f t="shared" si="21"/>
        <v>2.8131061415375101E-2</v>
      </c>
      <c r="K150">
        <v>4.4116000000000002E-2</v>
      </c>
      <c r="L150">
        <f t="shared" si="23"/>
        <v>6.2615979471262045E-2</v>
      </c>
      <c r="M150">
        <f t="shared" si="22"/>
        <v>1.2847570694846213E-2</v>
      </c>
      <c r="N150">
        <f t="shared" si="24"/>
        <v>0.32638056833163703</v>
      </c>
      <c r="O150">
        <f t="shared" si="26"/>
        <v>0.32695135086805949</v>
      </c>
      <c r="P150">
        <f t="shared" si="27"/>
        <v>4.3758333333333337E-2</v>
      </c>
      <c r="Q150">
        <f t="shared" si="28"/>
        <v>6.2561732817143348E-2</v>
      </c>
      <c r="R150">
        <f t="shared" si="29"/>
        <v>2.8760873871224935E-2</v>
      </c>
    </row>
    <row r="151" spans="1:18" x14ac:dyDescent="0.25">
      <c r="A151" s="18">
        <f t="shared" si="25"/>
        <v>41395</v>
      </c>
      <c r="B151">
        <v>4490</v>
      </c>
      <c r="C151">
        <v>3907</v>
      </c>
      <c r="D151">
        <v>1752</v>
      </c>
      <c r="E151">
        <v>135688</v>
      </c>
      <c r="F151">
        <v>155658</v>
      </c>
      <c r="G151">
        <v>7.5999999999999998E-2</v>
      </c>
      <c r="H151">
        <f t="shared" si="20"/>
        <v>2.5099898495419444E-2</v>
      </c>
      <c r="I151">
        <v>3.4229999999999997E-2</v>
      </c>
      <c r="J151">
        <f t="shared" si="21"/>
        <v>2.983849362062984E-2</v>
      </c>
      <c r="K151">
        <v>4.4717E-2</v>
      </c>
      <c r="L151">
        <f t="shared" si="23"/>
        <v>6.2246958969262606E-2</v>
      </c>
      <c r="M151">
        <f t="shared" si="22"/>
        <v>1.2911974529803668E-2</v>
      </c>
      <c r="N151">
        <f t="shared" si="24"/>
        <v>0.3302618223081506</v>
      </c>
      <c r="O151">
        <f t="shared" si="26"/>
        <v>0.32851011568096977</v>
      </c>
      <c r="P151">
        <f t="shared" si="27"/>
        <v>4.3559333333333339E-2</v>
      </c>
      <c r="Q151">
        <f t="shared" si="28"/>
        <v>6.241325808019077E-2</v>
      </c>
      <c r="R151">
        <f t="shared" si="29"/>
        <v>2.8459963426223592E-2</v>
      </c>
    </row>
    <row r="152" spans="1:18" x14ac:dyDescent="0.25">
      <c r="A152" s="18">
        <f t="shared" si="25"/>
        <v>41426</v>
      </c>
      <c r="B152">
        <v>4201</v>
      </c>
      <c r="C152">
        <v>3936</v>
      </c>
      <c r="D152">
        <v>1537</v>
      </c>
      <c r="E152">
        <v>135876</v>
      </c>
      <c r="F152">
        <v>155835</v>
      </c>
      <c r="G152">
        <v>7.5999999999999998E-2</v>
      </c>
      <c r="H152">
        <f t="shared" si="20"/>
        <v>2.5257483877177783E-2</v>
      </c>
      <c r="I152">
        <v>3.1445000000000001E-2</v>
      </c>
      <c r="J152">
        <f t="shared" si="21"/>
        <v>2.7417594378669748E-2</v>
      </c>
      <c r="K152">
        <v>4.1181000000000002E-2</v>
      </c>
      <c r="L152">
        <f t="shared" si="23"/>
        <v>6.2052470890863347E-2</v>
      </c>
      <c r="M152">
        <f t="shared" si="22"/>
        <v>1.1311784273896789E-2</v>
      </c>
      <c r="N152">
        <f t="shared" si="24"/>
        <v>0.3323353141733919</v>
      </c>
      <c r="O152">
        <f t="shared" si="26"/>
        <v>0.32965923493772648</v>
      </c>
      <c r="P152">
        <f t="shared" si="27"/>
        <v>4.3337999999999995E-2</v>
      </c>
      <c r="Q152">
        <f t="shared" si="28"/>
        <v>6.2305136443796004E-2</v>
      </c>
      <c r="R152">
        <f t="shared" si="29"/>
        <v>2.8462383138224898E-2</v>
      </c>
    </row>
    <row r="154" spans="1:18" x14ac:dyDescent="0.25">
      <c r="J154" t="s">
        <v>165</v>
      </c>
      <c r="K154">
        <f>AVERAGE(K3:K86)</f>
        <v>5.0551940476190459E-2</v>
      </c>
      <c r="L154">
        <f>AVERAGE(L3:L86)</f>
        <v>5.055194027031603E-2</v>
      </c>
    </row>
    <row r="155" spans="1:18" x14ac:dyDescent="0.25">
      <c r="J155" t="s">
        <v>161</v>
      </c>
      <c r="K155" s="19" t="s">
        <v>162</v>
      </c>
      <c r="L155">
        <f>K154/L154</f>
        <v>1.0000000040725328</v>
      </c>
    </row>
  </sheetData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85546875" defaultRowHeight="15" x14ac:dyDescent="0.25"/>
  <cols>
    <col min="1" max="1" width="10.140625" bestFit="1" customWidth="1"/>
    <col min="10" max="10" width="15.28515625" bestFit="1" customWidth="1"/>
    <col min="11" max="11" width="19.28515625" bestFit="1" customWidth="1"/>
    <col min="12" max="12" width="15.28515625" bestFit="1" customWidth="1"/>
    <col min="13" max="14" width="12.140625" bestFit="1" customWidth="1"/>
    <col min="15" max="15" width="21.7109375" bestFit="1" customWidth="1"/>
  </cols>
  <sheetData>
    <row r="1" spans="1:15" x14ac:dyDescent="0.25">
      <c r="B1" t="s">
        <v>87</v>
      </c>
      <c r="C1" t="s">
        <v>88</v>
      </c>
      <c r="D1" t="s">
        <v>125</v>
      </c>
      <c r="E1" t="s">
        <v>126</v>
      </c>
      <c r="F1" t="s">
        <v>127</v>
      </c>
      <c r="G1" t="s">
        <v>91</v>
      </c>
      <c r="H1" t="s">
        <v>92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  <c r="O1" t="s">
        <v>134</v>
      </c>
    </row>
    <row r="2" spans="1:15" x14ac:dyDescent="0.25">
      <c r="A2" s="18">
        <v>36861</v>
      </c>
      <c r="B2">
        <f>'2-state flows'!B637</f>
        <v>143248</v>
      </c>
      <c r="C2">
        <f>'2-state flows'!C637</f>
        <v>5634</v>
      </c>
      <c r="D2">
        <f>'raw JOLTS data'!D14</f>
        <v>5191</v>
      </c>
      <c r="E2">
        <f>C2/B2</f>
        <v>3.9330392047358428E-2</v>
      </c>
      <c r="F2">
        <f>D2/B2</f>
        <v>3.6237853233552997E-2</v>
      </c>
      <c r="G2">
        <f>'2-state flows'!G637</f>
        <v>0.64656714155464468</v>
      </c>
      <c r="H2">
        <f>'2-state flows'!H637</f>
        <v>3.0361475102809485E-2</v>
      </c>
      <c r="I2" t="e">
        <f>NA()</f>
        <v>#N/A</v>
      </c>
      <c r="J2">
        <v>0.5</v>
      </c>
      <c r="K2" t="e">
        <f>NA()</f>
        <v>#N/A</v>
      </c>
      <c r="L2" t="e">
        <f>F2/EXP(K2)</f>
        <v>#N/A</v>
      </c>
      <c r="M2" t="e">
        <f>NA()</f>
        <v>#N/A</v>
      </c>
      <c r="N2" t="e">
        <f>NA()</f>
        <v>#N/A</v>
      </c>
      <c r="O2" t="e">
        <f>NA()</f>
        <v>#N/A</v>
      </c>
    </row>
    <row r="3" spans="1:15" x14ac:dyDescent="0.25">
      <c r="A3" s="18">
        <f>DATE(YEAR(A2),MONTH(A2)+1,1)</f>
        <v>36892</v>
      </c>
      <c r="B3">
        <f>'2-state flows'!B638</f>
        <v>143800</v>
      </c>
      <c r="C3">
        <f>'2-state flows'!C638</f>
        <v>6023</v>
      </c>
      <c r="D3">
        <f>'raw JOLTS data'!D15</f>
        <v>5186</v>
      </c>
      <c r="E3">
        <f t="shared" ref="E3:E66" si="0">C3/B3</f>
        <v>4.1884561891515994E-2</v>
      </c>
      <c r="F3">
        <f t="shared" ref="F3:F66" si="1">D3/B3</f>
        <v>3.6063977746870653E-2</v>
      </c>
      <c r="G3">
        <f>'2-state flows'!G638</f>
        <v>0.77247289479512171</v>
      </c>
      <c r="H3">
        <f>'2-state flows'!H638</f>
        <v>3.4467119542790088E-2</v>
      </c>
      <c r="I3">
        <f>LN(H3/H2)</f>
        <v>0.12683127446308279</v>
      </c>
      <c r="J3">
        <v>0.5</v>
      </c>
      <c r="K3">
        <f>I3/(1-J3)</f>
        <v>0.25366254892616558</v>
      </c>
      <c r="L3">
        <f t="shared" ref="L3:L66" si="2">F3/EXP(K3)</f>
        <v>2.7983973516213827E-2</v>
      </c>
      <c r="M3" t="e">
        <f>NA()</f>
        <v>#N/A</v>
      </c>
      <c r="N3" t="e">
        <f>NA()</f>
        <v>#N/A</v>
      </c>
      <c r="O3" t="e">
        <f>NA()</f>
        <v>#N/A</v>
      </c>
    </row>
    <row r="4" spans="1:15" x14ac:dyDescent="0.25">
      <c r="A4" s="18">
        <f t="shared" ref="A4:A67" si="3">DATE(YEAR(A3),MONTH(A3)+1,1)</f>
        <v>36923</v>
      </c>
      <c r="B4">
        <f>'2-state flows'!B639</f>
        <v>143701</v>
      </c>
      <c r="C4">
        <f>'2-state flows'!C639</f>
        <v>6089</v>
      </c>
      <c r="D4">
        <f>'raw JOLTS data'!D16</f>
        <v>4702</v>
      </c>
      <c r="E4">
        <f t="shared" si="0"/>
        <v>4.2372704434903027E-2</v>
      </c>
      <c r="F4">
        <f t="shared" si="1"/>
        <v>3.2720718714553135E-2</v>
      </c>
      <c r="G4">
        <f>'2-state flows'!G639</f>
        <v>0.69757806967315195</v>
      </c>
      <c r="H4">
        <f>'2-state flows'!H639</f>
        <v>3.1398343710226144E-2</v>
      </c>
      <c r="I4">
        <f t="shared" ref="I4:I67" si="4">LN(H4/H3)</f>
        <v>-9.3250669418251581E-2</v>
      </c>
      <c r="J4">
        <v>0.5</v>
      </c>
      <c r="K4">
        <f>K3+(I4/(1-J4))</f>
        <v>6.7161210089662415E-2</v>
      </c>
      <c r="L4">
        <f t="shared" si="2"/>
        <v>3.0595326453232135E-2</v>
      </c>
      <c r="M4">
        <f>AVERAGE(E2:E4)</f>
        <v>4.1195886124592483E-2</v>
      </c>
      <c r="N4">
        <f>AVERAGE(F2:F4)</f>
        <v>3.5007516564992257E-2</v>
      </c>
      <c r="O4" t="e">
        <f>AVERAGE(L2:L4)</f>
        <v>#N/A</v>
      </c>
    </row>
    <row r="5" spans="1:15" x14ac:dyDescent="0.25">
      <c r="A5" s="18">
        <f t="shared" si="3"/>
        <v>36951</v>
      </c>
      <c r="B5">
        <f>'2-state flows'!B640</f>
        <v>143924</v>
      </c>
      <c r="C5">
        <f>'2-state flows'!C640</f>
        <v>6141</v>
      </c>
      <c r="D5">
        <f>'raw JOLTS data'!D17</f>
        <v>4774</v>
      </c>
      <c r="E5">
        <f t="shared" si="0"/>
        <v>4.2668352741724799E-2</v>
      </c>
      <c r="F5">
        <f t="shared" si="1"/>
        <v>3.3170284316722712E-2</v>
      </c>
      <c r="G5">
        <f>'2-state flows'!G640</f>
        <v>0.77701742864871404</v>
      </c>
      <c r="H5">
        <f>'2-state flows'!H640</f>
        <v>3.6010205464450253E-2</v>
      </c>
      <c r="I5">
        <f t="shared" si="4"/>
        <v>0.13704723996440407</v>
      </c>
      <c r="J5">
        <v>0.5</v>
      </c>
      <c r="K5">
        <f t="shared" ref="K5:K68" si="5">K4+(I5/(1-J5))</f>
        <v>0.34125569001847056</v>
      </c>
      <c r="L5">
        <f t="shared" si="2"/>
        <v>2.357999621061347E-2</v>
      </c>
      <c r="M5">
        <f t="shared" ref="M5:M68" si="6">AVERAGE(E3:E5)</f>
        <v>4.2308539689381273E-2</v>
      </c>
      <c r="N5">
        <f t="shared" ref="N5:N68" si="7">AVERAGE(F3:F5)</f>
        <v>3.39849935927155E-2</v>
      </c>
      <c r="O5">
        <f t="shared" ref="O5:O68" si="8">AVERAGE(L3:L5)</f>
        <v>2.7386432060019811E-2</v>
      </c>
    </row>
    <row r="6" spans="1:15" x14ac:dyDescent="0.25">
      <c r="A6" s="18">
        <f t="shared" si="3"/>
        <v>36982</v>
      </c>
      <c r="B6">
        <f>'2-state flows'!B641</f>
        <v>143569</v>
      </c>
      <c r="C6">
        <f>'2-state flows'!C641</f>
        <v>6271</v>
      </c>
      <c r="D6">
        <f>'raw JOLTS data'!D18</f>
        <v>4653</v>
      </c>
      <c r="E6">
        <f t="shared" si="0"/>
        <v>4.3679345819780037E-2</v>
      </c>
      <c r="F6">
        <f t="shared" si="1"/>
        <v>3.2409503444336872E-2</v>
      </c>
      <c r="G6">
        <f>'2-state flows'!G641</f>
        <v>0.70684606890823243</v>
      </c>
      <c r="H6">
        <f>'2-state flows'!H641</f>
        <v>3.1821176883616305E-2</v>
      </c>
      <c r="I6">
        <f t="shared" si="4"/>
        <v>-0.12367037552239252</v>
      </c>
      <c r="J6">
        <v>0.5</v>
      </c>
      <c r="K6">
        <f t="shared" si="5"/>
        <v>9.3914938973685524E-2</v>
      </c>
      <c r="L6">
        <f t="shared" si="2"/>
        <v>2.9504321879327947E-2</v>
      </c>
      <c r="M6">
        <f t="shared" si="6"/>
        <v>4.2906800998802619E-2</v>
      </c>
      <c r="N6">
        <f t="shared" si="7"/>
        <v>3.2766835491870906E-2</v>
      </c>
      <c r="O6">
        <f t="shared" si="8"/>
        <v>2.7893214847724515E-2</v>
      </c>
    </row>
    <row r="7" spans="1:15" x14ac:dyDescent="0.25">
      <c r="A7" s="18">
        <f t="shared" si="3"/>
        <v>37012</v>
      </c>
      <c r="B7">
        <f>'2-state flows'!B642</f>
        <v>143318</v>
      </c>
      <c r="C7">
        <f>'2-state flows'!C642</f>
        <v>6226</v>
      </c>
      <c r="D7">
        <f>'raw JOLTS data'!D19</f>
        <v>4452</v>
      </c>
      <c r="E7">
        <f t="shared" si="0"/>
        <v>4.3441856570702909E-2</v>
      </c>
      <c r="F7">
        <f t="shared" si="1"/>
        <v>3.1063788219204844E-2</v>
      </c>
      <c r="G7">
        <f>'2-state flows'!G642</f>
        <v>0.65726793061002164</v>
      </c>
      <c r="H7">
        <f>'2-state flows'!H642</f>
        <v>3.2454644202866784E-2</v>
      </c>
      <c r="I7">
        <f t="shared" si="4"/>
        <v>1.9711543758982552E-2</v>
      </c>
      <c r="J7">
        <v>0.5</v>
      </c>
      <c r="K7">
        <f t="shared" si="5"/>
        <v>0.13333802649165064</v>
      </c>
      <c r="L7">
        <f t="shared" si="2"/>
        <v>2.7186071049013862E-2</v>
      </c>
      <c r="M7">
        <f t="shared" si="6"/>
        <v>4.3263185044069251E-2</v>
      </c>
      <c r="N7">
        <f t="shared" si="7"/>
        <v>3.2214525326754805E-2</v>
      </c>
      <c r="O7">
        <f t="shared" si="8"/>
        <v>2.6756796379651764E-2</v>
      </c>
    </row>
    <row r="8" spans="1:15" x14ac:dyDescent="0.25">
      <c r="A8" s="18">
        <f t="shared" si="3"/>
        <v>37043</v>
      </c>
      <c r="B8">
        <f>'2-state flows'!B643</f>
        <v>143357</v>
      </c>
      <c r="C8">
        <f>'2-state flows'!C643</f>
        <v>6484</v>
      </c>
      <c r="D8">
        <f>'raw JOLTS data'!D20</f>
        <v>4337</v>
      </c>
      <c r="E8">
        <f t="shared" si="0"/>
        <v>4.5229741135765958E-2</v>
      </c>
      <c r="F8">
        <f t="shared" si="1"/>
        <v>3.0253144248275285E-2</v>
      </c>
      <c r="G8">
        <f>'2-state flows'!G643</f>
        <v>0.61136537004871239</v>
      </c>
      <c r="H8">
        <f>'2-state flows'!H643</f>
        <v>2.9941681286933412E-2</v>
      </c>
      <c r="I8">
        <f t="shared" si="4"/>
        <v>-8.0592019018968342E-2</v>
      </c>
      <c r="J8">
        <v>0.5</v>
      </c>
      <c r="K8">
        <f t="shared" si="5"/>
        <v>-2.7846011546286048E-2</v>
      </c>
      <c r="L8">
        <f t="shared" si="2"/>
        <v>3.1107412433930098E-2</v>
      </c>
      <c r="M8">
        <f t="shared" si="6"/>
        <v>4.4116981175416299E-2</v>
      </c>
      <c r="N8">
        <f t="shared" si="7"/>
        <v>3.1242145303938998E-2</v>
      </c>
      <c r="O8">
        <f t="shared" si="8"/>
        <v>2.9265935120757303E-2</v>
      </c>
    </row>
    <row r="9" spans="1:15" x14ac:dyDescent="0.25">
      <c r="A9" s="18">
        <f t="shared" si="3"/>
        <v>37073</v>
      </c>
      <c r="B9">
        <f>'2-state flows'!B644</f>
        <v>143654</v>
      </c>
      <c r="C9">
        <f>'2-state flows'!C644</f>
        <v>6583</v>
      </c>
      <c r="D9">
        <f>'raw JOLTS data'!D21</f>
        <v>4231</v>
      </c>
      <c r="E9">
        <f t="shared" si="0"/>
        <v>4.5825385996909239E-2</v>
      </c>
      <c r="F9">
        <f t="shared" si="1"/>
        <v>2.9452712768179096E-2</v>
      </c>
      <c r="G9">
        <f>'2-state flows'!G644</f>
        <v>0.60315680300234831</v>
      </c>
      <c r="H9">
        <f>'2-state flows'!H644</f>
        <v>3.3494266380111777E-2</v>
      </c>
      <c r="I9">
        <f t="shared" si="4"/>
        <v>0.11212273872718459</v>
      </c>
      <c r="J9">
        <v>0.5</v>
      </c>
      <c r="K9">
        <f t="shared" si="5"/>
        <v>0.19639946590808313</v>
      </c>
      <c r="L9">
        <f t="shared" si="2"/>
        <v>2.420082090585007E-2</v>
      </c>
      <c r="M9">
        <f t="shared" si="6"/>
        <v>4.483232790112604E-2</v>
      </c>
      <c r="N9">
        <f t="shared" si="7"/>
        <v>3.0256548411886408E-2</v>
      </c>
      <c r="O9">
        <f t="shared" si="8"/>
        <v>2.7498101462931343E-2</v>
      </c>
    </row>
    <row r="10" spans="1:15" x14ac:dyDescent="0.25">
      <c r="A10" s="18">
        <f t="shared" si="3"/>
        <v>37104</v>
      </c>
      <c r="B10">
        <f>'2-state flows'!B645</f>
        <v>143284</v>
      </c>
      <c r="C10">
        <f>'2-state flows'!C645</f>
        <v>7042</v>
      </c>
      <c r="D10">
        <f>'raw JOLTS data'!D22</f>
        <v>4139</v>
      </c>
      <c r="E10">
        <f t="shared" si="0"/>
        <v>4.9147148320817395E-2</v>
      </c>
      <c r="F10">
        <f t="shared" si="1"/>
        <v>2.8886686580497475E-2</v>
      </c>
      <c r="G10">
        <f>'2-state flows'!G645</f>
        <v>0.60353859229088114</v>
      </c>
      <c r="H10">
        <f>'2-state flows'!H645</f>
        <v>3.2187214531370613E-2</v>
      </c>
      <c r="I10">
        <f t="shared" si="4"/>
        <v>-3.9804961893884938E-2</v>
      </c>
      <c r="J10">
        <v>0.5</v>
      </c>
      <c r="K10">
        <f t="shared" si="5"/>
        <v>0.11678954212031326</v>
      </c>
      <c r="L10">
        <f t="shared" si="2"/>
        <v>2.5702577402329323E-2</v>
      </c>
      <c r="M10">
        <f t="shared" si="6"/>
        <v>4.6734091817830864E-2</v>
      </c>
      <c r="N10">
        <f t="shared" si="7"/>
        <v>2.953084786565062E-2</v>
      </c>
      <c r="O10">
        <f t="shared" si="8"/>
        <v>2.7003603580703164E-2</v>
      </c>
    </row>
    <row r="11" spans="1:15" x14ac:dyDescent="0.25">
      <c r="A11" s="18">
        <f t="shared" si="3"/>
        <v>37135</v>
      </c>
      <c r="B11">
        <f>'2-state flows'!B646</f>
        <v>143989</v>
      </c>
      <c r="C11">
        <f>'2-state flows'!C646</f>
        <v>7142</v>
      </c>
      <c r="D11">
        <f>'raw JOLTS data'!D23</f>
        <v>4006</v>
      </c>
      <c r="E11">
        <f t="shared" si="0"/>
        <v>4.9601011188354666E-2</v>
      </c>
      <c r="F11">
        <f t="shared" si="1"/>
        <v>2.782156970324122E-2</v>
      </c>
      <c r="G11">
        <f>'2-state flows'!G646</f>
        <v>0.55861237105610628</v>
      </c>
      <c r="H11">
        <f>'2-state flows'!H646</f>
        <v>3.4501281640412891E-2</v>
      </c>
      <c r="I11">
        <f t="shared" si="4"/>
        <v>6.9427162888448093E-2</v>
      </c>
      <c r="J11">
        <v>0.5</v>
      </c>
      <c r="K11">
        <f t="shared" si="5"/>
        <v>0.25564386789720944</v>
      </c>
      <c r="L11">
        <f t="shared" si="2"/>
        <v>2.1545516428881906E-2</v>
      </c>
      <c r="M11">
        <f t="shared" si="6"/>
        <v>4.819118183536044E-2</v>
      </c>
      <c r="N11">
        <f t="shared" si="7"/>
        <v>2.872032301730593E-2</v>
      </c>
      <c r="O11">
        <f t="shared" si="8"/>
        <v>2.3816304912353769E-2</v>
      </c>
    </row>
    <row r="12" spans="1:15" x14ac:dyDescent="0.25">
      <c r="A12" s="18">
        <f t="shared" si="3"/>
        <v>37165</v>
      </c>
      <c r="B12">
        <f>'2-state flows'!B647</f>
        <v>144086</v>
      </c>
      <c r="C12">
        <f>'2-state flows'!C647</f>
        <v>7694</v>
      </c>
      <c r="D12">
        <f>'raw JOLTS data'!D24</f>
        <v>3583</v>
      </c>
      <c r="E12">
        <f t="shared" si="0"/>
        <v>5.3398664686367864E-2</v>
      </c>
      <c r="F12">
        <f t="shared" si="1"/>
        <v>2.4867093263745262E-2</v>
      </c>
      <c r="G12">
        <f>'2-state flows'!G647</f>
        <v>0.55461790049531257</v>
      </c>
      <c r="H12">
        <f>'2-state flows'!H647</f>
        <v>3.4284228969413133E-2</v>
      </c>
      <c r="I12">
        <f t="shared" si="4"/>
        <v>-6.3110207219675835E-3</v>
      </c>
      <c r="J12">
        <v>0.5</v>
      </c>
      <c r="K12">
        <f t="shared" si="5"/>
        <v>0.24302182645327428</v>
      </c>
      <c r="L12">
        <f t="shared" si="2"/>
        <v>1.9502127210142287E-2</v>
      </c>
      <c r="M12">
        <f t="shared" si="6"/>
        <v>5.0715608065179975E-2</v>
      </c>
      <c r="N12">
        <f t="shared" si="7"/>
        <v>2.7191783182494655E-2</v>
      </c>
      <c r="O12">
        <f t="shared" si="8"/>
        <v>2.2250073680451173E-2</v>
      </c>
    </row>
    <row r="13" spans="1:15" x14ac:dyDescent="0.25">
      <c r="A13" s="18">
        <f t="shared" si="3"/>
        <v>37196</v>
      </c>
      <c r="B13">
        <f>'2-state flows'!B648</f>
        <v>144240</v>
      </c>
      <c r="C13">
        <f>'2-state flows'!C648</f>
        <v>8003</v>
      </c>
      <c r="D13">
        <f>'raw JOLTS data'!D25</f>
        <v>3538</v>
      </c>
      <c r="E13">
        <f t="shared" si="0"/>
        <v>5.5483915696062119E-2</v>
      </c>
      <c r="F13">
        <f t="shared" si="1"/>
        <v>2.4528563505268997E-2</v>
      </c>
      <c r="G13">
        <f>'2-state flows'!G648</f>
        <v>0.52481784943024901</v>
      </c>
      <c r="H13">
        <f>'2-state flows'!H648</f>
        <v>3.3271858559273407E-2</v>
      </c>
      <c r="I13">
        <f t="shared" si="4"/>
        <v>-2.9973500234958074E-2</v>
      </c>
      <c r="J13">
        <v>0.5</v>
      </c>
      <c r="K13">
        <f t="shared" si="5"/>
        <v>0.18307482598335811</v>
      </c>
      <c r="L13">
        <f t="shared" si="2"/>
        <v>2.0425078209420099E-2</v>
      </c>
      <c r="M13">
        <f t="shared" si="6"/>
        <v>5.2827863856928219E-2</v>
      </c>
      <c r="N13">
        <f t="shared" si="7"/>
        <v>2.5739075490751828E-2</v>
      </c>
      <c r="O13">
        <f t="shared" si="8"/>
        <v>2.0490907282814764E-2</v>
      </c>
    </row>
    <row r="14" spans="1:15" x14ac:dyDescent="0.25">
      <c r="A14" s="18">
        <f t="shared" si="3"/>
        <v>37226</v>
      </c>
      <c r="B14">
        <f>'2-state flows'!B649</f>
        <v>144305</v>
      </c>
      <c r="C14">
        <f>'2-state flows'!C649</f>
        <v>8258</v>
      </c>
      <c r="D14">
        <f>'raw JOLTS data'!D26</f>
        <v>3559</v>
      </c>
      <c r="E14">
        <f t="shared" si="0"/>
        <v>5.7226014344617306E-2</v>
      </c>
      <c r="F14">
        <f t="shared" si="1"/>
        <v>2.4663040088701016E-2</v>
      </c>
      <c r="G14">
        <f>'2-state flows'!G649</f>
        <v>0.57410877755993184</v>
      </c>
      <c r="H14">
        <f>'2-state flows'!H649</f>
        <v>3.4102550882281854E-2</v>
      </c>
      <c r="I14">
        <f t="shared" si="4"/>
        <v>2.4660236035809486E-2</v>
      </c>
      <c r="J14">
        <v>0.5</v>
      </c>
      <c r="K14">
        <f t="shared" si="5"/>
        <v>0.23239529805497708</v>
      </c>
      <c r="L14">
        <f t="shared" si="2"/>
        <v>1.9548732923641645E-2</v>
      </c>
      <c r="M14">
        <f t="shared" si="6"/>
        <v>5.5369531575682425E-2</v>
      </c>
      <c r="N14">
        <f t="shared" si="7"/>
        <v>2.468623228590509E-2</v>
      </c>
      <c r="O14">
        <f t="shared" si="8"/>
        <v>1.982531278106801E-2</v>
      </c>
    </row>
    <row r="15" spans="1:15" x14ac:dyDescent="0.25">
      <c r="A15" s="18">
        <f t="shared" si="3"/>
        <v>37257</v>
      </c>
      <c r="B15">
        <f>'2-state flows'!B650</f>
        <v>143883</v>
      </c>
      <c r="C15">
        <f>'2-state flows'!C650</f>
        <v>8182</v>
      </c>
      <c r="D15">
        <f>'raw JOLTS data'!D27</f>
        <v>3572</v>
      </c>
      <c r="E15">
        <f t="shared" si="0"/>
        <v>5.6865647783268351E-2</v>
      </c>
      <c r="F15">
        <f t="shared" si="1"/>
        <v>2.4825726458302926E-2</v>
      </c>
      <c r="G15">
        <f>'2-state flows'!G650</f>
        <v>0.54304280849159781</v>
      </c>
      <c r="H15">
        <f>'2-state flows'!H650</f>
        <v>3.3062318638601096E-2</v>
      </c>
      <c r="I15">
        <f t="shared" si="4"/>
        <v>-3.0977963231123798E-2</v>
      </c>
      <c r="J15">
        <v>0.5</v>
      </c>
      <c r="K15">
        <f t="shared" si="5"/>
        <v>0.17043937159272948</v>
      </c>
      <c r="L15">
        <f t="shared" si="2"/>
        <v>2.0935391521941314E-2</v>
      </c>
      <c r="M15">
        <f t="shared" si="6"/>
        <v>5.652519260798259E-2</v>
      </c>
      <c r="N15">
        <f t="shared" si="7"/>
        <v>2.4672443350757647E-2</v>
      </c>
      <c r="O15">
        <f t="shared" si="8"/>
        <v>2.0303067551667685E-2</v>
      </c>
    </row>
    <row r="16" spans="1:15" x14ac:dyDescent="0.25">
      <c r="A16" s="18">
        <f t="shared" si="3"/>
        <v>37288</v>
      </c>
      <c r="B16">
        <f>'2-state flows'!B651</f>
        <v>144653</v>
      </c>
      <c r="C16">
        <f>'2-state flows'!C651</f>
        <v>8215</v>
      </c>
      <c r="D16">
        <f>'raw JOLTS data'!D28</f>
        <v>3370</v>
      </c>
      <c r="E16">
        <f t="shared" si="0"/>
        <v>5.6791079341596787E-2</v>
      </c>
      <c r="F16">
        <f t="shared" si="1"/>
        <v>2.3297131756686691E-2</v>
      </c>
      <c r="G16">
        <f>'2-state flows'!G651</f>
        <v>0.55031287679980967</v>
      </c>
      <c r="H16">
        <f>'2-state flows'!H651</f>
        <v>3.3995953822049174E-2</v>
      </c>
      <c r="I16">
        <f t="shared" si="4"/>
        <v>2.7847288108086683E-2</v>
      </c>
      <c r="J16">
        <v>0.5</v>
      </c>
      <c r="K16">
        <f t="shared" si="5"/>
        <v>0.22613394780890284</v>
      </c>
      <c r="L16">
        <f t="shared" si="2"/>
        <v>1.8582054527003199E-2</v>
      </c>
      <c r="M16">
        <f t="shared" si="6"/>
        <v>5.6960913823160819E-2</v>
      </c>
      <c r="N16">
        <f t="shared" si="7"/>
        <v>2.4261966101230215E-2</v>
      </c>
      <c r="O16">
        <f t="shared" si="8"/>
        <v>1.9688726324195386E-2</v>
      </c>
    </row>
    <row r="17" spans="1:15" x14ac:dyDescent="0.25">
      <c r="A17" s="18">
        <f t="shared" si="3"/>
        <v>37316</v>
      </c>
      <c r="B17">
        <f>'2-state flows'!B652</f>
        <v>144481</v>
      </c>
      <c r="C17">
        <f>'2-state flows'!C652</f>
        <v>8304</v>
      </c>
      <c r="D17">
        <f>'raw JOLTS data'!D29</f>
        <v>3560</v>
      </c>
      <c r="E17">
        <f t="shared" si="0"/>
        <v>5.7474685252732194E-2</v>
      </c>
      <c r="F17">
        <f t="shared" si="1"/>
        <v>2.4639918051508503E-2</v>
      </c>
      <c r="G17">
        <f>'2-state flows'!G652</f>
        <v>0.46848647627294709</v>
      </c>
      <c r="H17">
        <f>'2-state flows'!H652</f>
        <v>3.1320626501574876E-2</v>
      </c>
      <c r="I17">
        <f t="shared" si="4"/>
        <v>-8.196463813495726E-2</v>
      </c>
      <c r="J17">
        <v>0.5</v>
      </c>
      <c r="K17">
        <f t="shared" si="5"/>
        <v>6.2204671538988315E-2</v>
      </c>
      <c r="L17">
        <f t="shared" si="2"/>
        <v>2.3153897879638511E-2</v>
      </c>
      <c r="M17">
        <f t="shared" si="6"/>
        <v>5.7043804125865773E-2</v>
      </c>
      <c r="N17">
        <f t="shared" si="7"/>
        <v>2.4254258755499372E-2</v>
      </c>
      <c r="O17">
        <f t="shared" si="8"/>
        <v>2.089044797619434E-2</v>
      </c>
    </row>
    <row r="18" spans="1:15" x14ac:dyDescent="0.25">
      <c r="A18" s="18">
        <f t="shared" si="3"/>
        <v>37347</v>
      </c>
      <c r="B18">
        <f>'2-state flows'!B653</f>
        <v>144725</v>
      </c>
      <c r="C18">
        <f>'2-state flows'!C653</f>
        <v>8599</v>
      </c>
      <c r="D18">
        <f>'raw JOLTS data'!D30</f>
        <v>3373</v>
      </c>
      <c r="E18">
        <f t="shared" si="0"/>
        <v>5.9416134047331148E-2</v>
      </c>
      <c r="F18">
        <f t="shared" si="1"/>
        <v>2.3306270513041977E-2</v>
      </c>
      <c r="G18">
        <f>'2-state flows'!G653</f>
        <v>0.5221857939656146</v>
      </c>
      <c r="H18">
        <f>'2-state flows'!H653</f>
        <v>3.1073226807837091E-2</v>
      </c>
      <c r="I18">
        <f t="shared" si="4"/>
        <v>-7.9303000916806712E-3</v>
      </c>
      <c r="J18">
        <v>0.5</v>
      </c>
      <c r="K18">
        <f t="shared" si="5"/>
        <v>4.6344071355626973E-2</v>
      </c>
      <c r="L18">
        <f t="shared" si="2"/>
        <v>2.2250809138825833E-2</v>
      </c>
      <c r="M18">
        <f t="shared" si="6"/>
        <v>5.7893966213886705E-2</v>
      </c>
      <c r="N18">
        <f t="shared" si="7"/>
        <v>2.374777344041239E-2</v>
      </c>
      <c r="O18">
        <f t="shared" si="8"/>
        <v>2.132892051515585E-2</v>
      </c>
    </row>
    <row r="19" spans="1:15" x14ac:dyDescent="0.25">
      <c r="A19" s="18">
        <f t="shared" si="3"/>
        <v>37377</v>
      </c>
      <c r="B19">
        <f>'2-state flows'!B654</f>
        <v>144938</v>
      </c>
      <c r="C19">
        <f>'2-state flows'!C654</f>
        <v>8399</v>
      </c>
      <c r="D19">
        <f>'raw JOLTS data'!D31</f>
        <v>3482</v>
      </c>
      <c r="E19">
        <f t="shared" si="0"/>
        <v>5.7948916088258424E-2</v>
      </c>
      <c r="F19">
        <f t="shared" si="1"/>
        <v>2.4024065462473609E-2</v>
      </c>
      <c r="G19">
        <f>'2-state flows'!G654</f>
        <v>0.47021986884004779</v>
      </c>
      <c r="H19">
        <f>'2-state flows'!H654</f>
        <v>2.8869080568424934E-2</v>
      </c>
      <c r="I19">
        <f t="shared" si="4"/>
        <v>-7.3575428207116864E-2</v>
      </c>
      <c r="J19">
        <v>0.5</v>
      </c>
      <c r="K19">
        <f t="shared" si="5"/>
        <v>-0.10080678505860675</v>
      </c>
      <c r="L19">
        <f t="shared" si="2"/>
        <v>2.6572127833180505E-2</v>
      </c>
      <c r="M19">
        <f t="shared" si="6"/>
        <v>5.8279911796107253E-2</v>
      </c>
      <c r="N19">
        <f t="shared" si="7"/>
        <v>2.3990084675674695E-2</v>
      </c>
      <c r="O19">
        <f t="shared" si="8"/>
        <v>2.3992278283881618E-2</v>
      </c>
    </row>
    <row r="20" spans="1:15" x14ac:dyDescent="0.25">
      <c r="A20" s="18">
        <f t="shared" si="3"/>
        <v>37408</v>
      </c>
      <c r="B20">
        <f>'2-state flows'!B655</f>
        <v>144808</v>
      </c>
      <c r="C20">
        <f>'2-state flows'!C655</f>
        <v>8393</v>
      </c>
      <c r="D20">
        <f>'raw JOLTS data'!D32</f>
        <v>3251</v>
      </c>
      <c r="E20">
        <f t="shared" si="0"/>
        <v>5.7959504999723771E-2</v>
      </c>
      <c r="F20">
        <f t="shared" si="1"/>
        <v>2.2450417104027402E-2</v>
      </c>
      <c r="G20">
        <f>'2-state flows'!G655</f>
        <v>0.51069854180589802</v>
      </c>
      <c r="H20">
        <f>'2-state flows'!H655</f>
        <v>3.1392491337976676E-2</v>
      </c>
      <c r="I20">
        <f t="shared" si="4"/>
        <v>8.3797589087548349E-2</v>
      </c>
      <c r="J20">
        <v>0.5</v>
      </c>
      <c r="K20">
        <f t="shared" si="5"/>
        <v>6.6788393116489944E-2</v>
      </c>
      <c r="L20">
        <f t="shared" si="2"/>
        <v>2.0999965610842709E-2</v>
      </c>
      <c r="M20">
        <f t="shared" si="6"/>
        <v>5.8441518378437779E-2</v>
      </c>
      <c r="N20">
        <f t="shared" si="7"/>
        <v>2.3260251026514328E-2</v>
      </c>
      <c r="O20">
        <f t="shared" si="8"/>
        <v>2.3274300860949681E-2</v>
      </c>
    </row>
    <row r="21" spans="1:15" x14ac:dyDescent="0.25">
      <c r="A21" s="18">
        <f t="shared" si="3"/>
        <v>37438</v>
      </c>
      <c r="B21">
        <f>'2-state flows'!B656</f>
        <v>144803</v>
      </c>
      <c r="C21">
        <f>'2-state flows'!C656</f>
        <v>8390</v>
      </c>
      <c r="D21">
        <f>'raw JOLTS data'!D33</f>
        <v>3403</v>
      </c>
      <c r="E21">
        <f t="shared" si="0"/>
        <v>5.7940788519574869E-2</v>
      </c>
      <c r="F21">
        <f t="shared" si="1"/>
        <v>2.3500894318487876E-2</v>
      </c>
      <c r="G21">
        <f>'2-state flows'!G656</f>
        <v>0.53603545392026519</v>
      </c>
      <c r="H21">
        <f>'2-state flows'!H656</f>
        <v>3.214213211362945E-2</v>
      </c>
      <c r="I21">
        <f t="shared" si="4"/>
        <v>2.359896147542194E-2</v>
      </c>
      <c r="J21">
        <v>0.5</v>
      </c>
      <c r="K21">
        <f t="shared" si="5"/>
        <v>0.11398631606733382</v>
      </c>
      <c r="L21">
        <f t="shared" si="2"/>
        <v>2.0969146864453028E-2</v>
      </c>
      <c r="M21">
        <f t="shared" si="6"/>
        <v>5.7949736535852357E-2</v>
      </c>
      <c r="N21">
        <f t="shared" si="7"/>
        <v>2.332512562832963E-2</v>
      </c>
      <c r="O21">
        <f t="shared" si="8"/>
        <v>2.2847080102825417E-2</v>
      </c>
    </row>
    <row r="22" spans="1:15" x14ac:dyDescent="0.25">
      <c r="A22" s="18">
        <f t="shared" si="3"/>
        <v>37469</v>
      </c>
      <c r="B22">
        <f>'2-state flows'!B657</f>
        <v>145009</v>
      </c>
      <c r="C22">
        <f>'2-state flows'!C657</f>
        <v>8304</v>
      </c>
      <c r="D22">
        <f>'raw JOLTS data'!D34</f>
        <v>3415</v>
      </c>
      <c r="E22">
        <f t="shared" si="0"/>
        <v>5.7265411112413712E-2</v>
      </c>
      <c r="F22">
        <f t="shared" si="1"/>
        <v>2.355026239750636E-2</v>
      </c>
      <c r="G22">
        <f>'2-state flows'!G657</f>
        <v>0.50022847212557664</v>
      </c>
      <c r="H22">
        <f>'2-state flows'!H657</f>
        <v>2.9886352750128457E-2</v>
      </c>
      <c r="I22">
        <f t="shared" si="4"/>
        <v>-7.2765749990563872E-2</v>
      </c>
      <c r="J22">
        <v>0.5</v>
      </c>
      <c r="K22">
        <f t="shared" si="5"/>
        <v>-3.154518391379392E-2</v>
      </c>
      <c r="L22">
        <f t="shared" si="2"/>
        <v>2.4305001360141194E-2</v>
      </c>
      <c r="M22">
        <f t="shared" si="6"/>
        <v>5.7721901543904115E-2</v>
      </c>
      <c r="N22">
        <f t="shared" si="7"/>
        <v>2.3167191273340548E-2</v>
      </c>
      <c r="O22">
        <f t="shared" si="8"/>
        <v>2.2091371278478978E-2</v>
      </c>
    </row>
    <row r="23" spans="1:15" x14ac:dyDescent="0.25">
      <c r="A23" s="18">
        <f t="shared" si="3"/>
        <v>37500</v>
      </c>
      <c r="B23">
        <f>'2-state flows'!B658</f>
        <v>145552</v>
      </c>
      <c r="C23">
        <f>'2-state flows'!C658</f>
        <v>8251</v>
      </c>
      <c r="D23">
        <f>'raw JOLTS data'!D35</f>
        <v>3290</v>
      </c>
      <c r="E23">
        <f t="shared" si="0"/>
        <v>5.6687644278333518E-2</v>
      </c>
      <c r="F23">
        <f t="shared" si="1"/>
        <v>2.2603605584258547E-2</v>
      </c>
      <c r="G23">
        <f>'2-state flows'!G658</f>
        <v>0.48117229984037602</v>
      </c>
      <c r="H23">
        <f>'2-state flows'!H658</f>
        <v>2.9436501910725169E-2</v>
      </c>
      <c r="I23">
        <f t="shared" si="4"/>
        <v>-1.5166480605591068E-2</v>
      </c>
      <c r="J23">
        <v>0.5</v>
      </c>
      <c r="K23">
        <f t="shared" si="5"/>
        <v>-6.1878145124976053E-2</v>
      </c>
      <c r="L23">
        <f t="shared" si="2"/>
        <v>2.4046454840450572E-2</v>
      </c>
      <c r="M23">
        <f t="shared" si="6"/>
        <v>5.7297947970107364E-2</v>
      </c>
      <c r="N23">
        <f t="shared" si="7"/>
        <v>2.3218254100084258E-2</v>
      </c>
      <c r="O23">
        <f t="shared" si="8"/>
        <v>2.310686768834826E-2</v>
      </c>
    </row>
    <row r="24" spans="1:15" x14ac:dyDescent="0.25">
      <c r="A24" s="18">
        <f t="shared" si="3"/>
        <v>37530</v>
      </c>
      <c r="B24">
        <f>'2-state flows'!B659</f>
        <v>145314</v>
      </c>
      <c r="C24">
        <f>'2-state flows'!C659</f>
        <v>8307</v>
      </c>
      <c r="D24">
        <f>'raw JOLTS data'!D36</f>
        <v>3560</v>
      </c>
      <c r="E24">
        <f t="shared" si="0"/>
        <v>5.7165861513687598E-2</v>
      </c>
      <c r="F24">
        <f t="shared" si="1"/>
        <v>2.449867184166701E-2</v>
      </c>
      <c r="G24">
        <f>'2-state flows'!G659</f>
        <v>0.48825022690301073</v>
      </c>
      <c r="H24">
        <f>'2-state flows'!H659</f>
        <v>3.1597172020287917E-2</v>
      </c>
      <c r="I24">
        <f t="shared" si="4"/>
        <v>7.0832157725573552E-2</v>
      </c>
      <c r="J24">
        <v>0.5</v>
      </c>
      <c r="K24">
        <f t="shared" si="5"/>
        <v>7.9786170326171052E-2</v>
      </c>
      <c r="L24">
        <f t="shared" si="2"/>
        <v>2.2619960743541778E-2</v>
      </c>
      <c r="M24">
        <f t="shared" si="6"/>
        <v>5.703963896814495E-2</v>
      </c>
      <c r="N24">
        <f t="shared" si="7"/>
        <v>2.3550846607810639E-2</v>
      </c>
      <c r="O24">
        <f t="shared" si="8"/>
        <v>2.3657138981377848E-2</v>
      </c>
    </row>
    <row r="25" spans="1:15" x14ac:dyDescent="0.25">
      <c r="A25" s="18">
        <f t="shared" si="3"/>
        <v>37561</v>
      </c>
      <c r="B25">
        <f>'2-state flows'!B660</f>
        <v>145041</v>
      </c>
      <c r="C25">
        <f>'2-state flows'!C660</f>
        <v>8520</v>
      </c>
      <c r="D25">
        <f>'raw JOLTS data'!D37</f>
        <v>3513</v>
      </c>
      <c r="E25">
        <f t="shared" si="0"/>
        <v>5.8742010879682297E-2</v>
      </c>
      <c r="F25">
        <f t="shared" si="1"/>
        <v>2.4220737584545061E-2</v>
      </c>
      <c r="G25">
        <f>'2-state flows'!G660</f>
        <v>0.46570864057653888</v>
      </c>
      <c r="H25">
        <f>'2-state flows'!H660</f>
        <v>3.0178799565756316E-2</v>
      </c>
      <c r="I25">
        <f t="shared" si="4"/>
        <v>-4.5927946830509339E-2</v>
      </c>
      <c r="J25">
        <v>0.5</v>
      </c>
      <c r="K25">
        <f t="shared" si="5"/>
        <v>-1.2069723334847626E-2</v>
      </c>
      <c r="L25">
        <f t="shared" si="2"/>
        <v>2.4514846522481822E-2</v>
      </c>
      <c r="M25">
        <f t="shared" si="6"/>
        <v>5.7531838890567809E-2</v>
      </c>
      <c r="N25">
        <f t="shared" si="7"/>
        <v>2.3774338336823537E-2</v>
      </c>
      <c r="O25">
        <f t="shared" si="8"/>
        <v>2.3727087368824725E-2</v>
      </c>
    </row>
    <row r="26" spans="1:15" x14ac:dyDescent="0.25">
      <c r="A26" s="18">
        <f t="shared" si="3"/>
        <v>37591</v>
      </c>
      <c r="B26">
        <f>'2-state flows'!B661</f>
        <v>145066</v>
      </c>
      <c r="C26">
        <f>'2-state flows'!C661</f>
        <v>8640</v>
      </c>
      <c r="D26">
        <f>'raw JOLTS data'!D38</f>
        <v>3056</v>
      </c>
      <c r="E26">
        <f t="shared" si="0"/>
        <v>5.9559097238498337E-2</v>
      </c>
      <c r="F26">
        <f t="shared" si="1"/>
        <v>2.1066273282505894E-2</v>
      </c>
      <c r="G26">
        <f>'2-state flows'!G661</f>
        <v>0.50639102669812475</v>
      </c>
      <c r="H26">
        <f>'2-state flows'!H661</f>
        <v>3.0933295109926782E-2</v>
      </c>
      <c r="I26">
        <f t="shared" si="4"/>
        <v>2.4693438724057694E-2</v>
      </c>
      <c r="J26">
        <v>0.5</v>
      </c>
      <c r="K26">
        <f t="shared" si="5"/>
        <v>3.7317154113267761E-2</v>
      </c>
      <c r="L26">
        <f t="shared" si="2"/>
        <v>2.0294627277780888E-2</v>
      </c>
      <c r="M26">
        <f t="shared" si="6"/>
        <v>5.8488989877289406E-2</v>
      </c>
      <c r="N26">
        <f t="shared" si="7"/>
        <v>2.3261894236239321E-2</v>
      </c>
      <c r="O26">
        <f t="shared" si="8"/>
        <v>2.2476478181268161E-2</v>
      </c>
    </row>
    <row r="27" spans="1:15" x14ac:dyDescent="0.25">
      <c r="A27" s="18">
        <f t="shared" si="3"/>
        <v>37622</v>
      </c>
      <c r="B27">
        <f>'2-state flows'!B662</f>
        <v>145937</v>
      </c>
      <c r="C27">
        <f>'2-state flows'!C662</f>
        <v>8520</v>
      </c>
      <c r="D27">
        <f>'raw JOLTS data'!D39</f>
        <v>3618</v>
      </c>
      <c r="E27">
        <f t="shared" si="0"/>
        <v>5.8381356338694096E-2</v>
      </c>
      <c r="F27">
        <f t="shared" si="1"/>
        <v>2.4791519628332773E-2</v>
      </c>
      <c r="G27">
        <f>'2-state flows'!G662</f>
        <v>0.4611564958232941</v>
      </c>
      <c r="H27">
        <f>'2-state flows'!H662</f>
        <v>2.9494555993636266E-2</v>
      </c>
      <c r="I27">
        <f t="shared" si="4"/>
        <v>-4.7627411725717092E-2</v>
      </c>
      <c r="J27">
        <v>0.5</v>
      </c>
      <c r="K27">
        <f t="shared" si="5"/>
        <v>-5.7937669338166423E-2</v>
      </c>
      <c r="L27">
        <f t="shared" si="2"/>
        <v>2.6270307619897057E-2</v>
      </c>
      <c r="M27">
        <f t="shared" si="6"/>
        <v>5.8894154818958246E-2</v>
      </c>
      <c r="N27">
        <f t="shared" si="7"/>
        <v>2.3359510165127911E-2</v>
      </c>
      <c r="O27">
        <f t="shared" si="8"/>
        <v>2.3693260473386588E-2</v>
      </c>
    </row>
    <row r="28" spans="1:15" x14ac:dyDescent="0.25">
      <c r="A28" s="18">
        <f t="shared" si="3"/>
        <v>37653</v>
      </c>
      <c r="B28">
        <f>'2-state flows'!B663</f>
        <v>146100</v>
      </c>
      <c r="C28">
        <f>'2-state flows'!C663</f>
        <v>8618</v>
      </c>
      <c r="D28">
        <f>'raw JOLTS data'!D40</f>
        <v>3378</v>
      </c>
      <c r="E28">
        <f t="shared" si="0"/>
        <v>5.898699520876112E-2</v>
      </c>
      <c r="F28">
        <f t="shared" si="1"/>
        <v>2.3121149897330596E-2</v>
      </c>
      <c r="G28">
        <f>'2-state flows'!G663</f>
        <v>0.48538424486039178</v>
      </c>
      <c r="H28">
        <f>'2-state flows'!H663</f>
        <v>3.0146833505713684E-2</v>
      </c>
      <c r="I28">
        <f t="shared" si="4"/>
        <v>2.1874189244508395E-2</v>
      </c>
      <c r="J28">
        <v>0.5</v>
      </c>
      <c r="K28">
        <f t="shared" si="5"/>
        <v>-1.4189290849149633E-2</v>
      </c>
      <c r="L28">
        <f t="shared" si="2"/>
        <v>2.3451561225586878E-2</v>
      </c>
      <c r="M28">
        <f t="shared" si="6"/>
        <v>5.8975816261984525E-2</v>
      </c>
      <c r="N28">
        <f t="shared" si="7"/>
        <v>2.299298093605642E-2</v>
      </c>
      <c r="O28">
        <f t="shared" si="8"/>
        <v>2.3338832041088275E-2</v>
      </c>
    </row>
    <row r="29" spans="1:15" x14ac:dyDescent="0.25">
      <c r="A29" s="18">
        <f t="shared" si="3"/>
        <v>37681</v>
      </c>
      <c r="B29">
        <f>'2-state flows'!B664</f>
        <v>146022</v>
      </c>
      <c r="C29">
        <f>'2-state flows'!C664</f>
        <v>8588</v>
      </c>
      <c r="D29">
        <f>'raw JOLTS data'!D41</f>
        <v>3056</v>
      </c>
      <c r="E29">
        <f t="shared" si="0"/>
        <v>5.8813055566969363E-2</v>
      </c>
      <c r="F29">
        <f t="shared" si="1"/>
        <v>2.0928353261837257E-2</v>
      </c>
      <c r="G29">
        <f>'2-state flows'!G664</f>
        <v>0.42742786839620089</v>
      </c>
      <c r="H29">
        <f>'2-state flows'!H664</f>
        <v>2.9011109204431573E-2</v>
      </c>
      <c r="I29">
        <f t="shared" si="4"/>
        <v>-3.8401060325130347E-2</v>
      </c>
      <c r="J29">
        <v>0.5</v>
      </c>
      <c r="K29">
        <f t="shared" si="5"/>
        <v>-9.0991411499410327E-2</v>
      </c>
      <c r="L29">
        <f t="shared" si="2"/>
        <v>2.2921979792507895E-2</v>
      </c>
      <c r="M29">
        <f t="shared" si="6"/>
        <v>5.8727135704808198E-2</v>
      </c>
      <c r="N29">
        <f t="shared" si="7"/>
        <v>2.2947007595833541E-2</v>
      </c>
      <c r="O29">
        <f t="shared" si="8"/>
        <v>2.4214616212663947E-2</v>
      </c>
    </row>
    <row r="30" spans="1:15" x14ac:dyDescent="0.25">
      <c r="A30" s="18">
        <f t="shared" si="3"/>
        <v>37712</v>
      </c>
      <c r="B30">
        <f>'2-state flows'!B665</f>
        <v>146474</v>
      </c>
      <c r="C30">
        <f>'2-state flows'!C665</f>
        <v>8842</v>
      </c>
      <c r="D30">
        <f>'raw JOLTS data'!D42</f>
        <v>3107</v>
      </c>
      <c r="E30">
        <f t="shared" si="0"/>
        <v>6.0365662165298963E-2</v>
      </c>
      <c r="F30">
        <f t="shared" si="1"/>
        <v>2.1211955705449433E-2</v>
      </c>
      <c r="G30">
        <f>'2-state flows'!G665</f>
        <v>0.47641727650865945</v>
      </c>
      <c r="H30">
        <f>'2-state flows'!H665</f>
        <v>3.1672577079757486E-2</v>
      </c>
      <c r="I30">
        <f t="shared" si="4"/>
        <v>8.7772397493938642E-2</v>
      </c>
      <c r="J30">
        <v>0.5</v>
      </c>
      <c r="K30">
        <f t="shared" si="5"/>
        <v>8.4553383488466957E-2</v>
      </c>
      <c r="L30">
        <f t="shared" si="2"/>
        <v>1.9492145461919613E-2</v>
      </c>
      <c r="M30">
        <f t="shared" si="6"/>
        <v>5.9388570980343149E-2</v>
      </c>
      <c r="N30">
        <f t="shared" si="7"/>
        <v>2.1753819621539095E-2</v>
      </c>
      <c r="O30">
        <f t="shared" si="8"/>
        <v>2.1955228826671461E-2</v>
      </c>
    </row>
    <row r="31" spans="1:15" x14ac:dyDescent="0.25">
      <c r="A31" s="18">
        <f t="shared" si="3"/>
        <v>37742</v>
      </c>
      <c r="B31">
        <f>'2-state flows'!B666</f>
        <v>146500</v>
      </c>
      <c r="C31">
        <f>'2-state flows'!C666</f>
        <v>8957</v>
      </c>
      <c r="D31">
        <f>'raw JOLTS data'!D43</f>
        <v>3108</v>
      </c>
      <c r="E31">
        <f t="shared" si="0"/>
        <v>6.1139931740614335E-2</v>
      </c>
      <c r="F31">
        <f t="shared" si="1"/>
        <v>2.1215017064846416E-2</v>
      </c>
      <c r="G31">
        <f>'2-state flows'!G666</f>
        <v>0.41832403011537911</v>
      </c>
      <c r="H31">
        <f>'2-state flows'!H666</f>
        <v>3.0029575838806239E-2</v>
      </c>
      <c r="I31">
        <f t="shared" si="4"/>
        <v>-5.3268472826801756E-2</v>
      </c>
      <c r="J31">
        <v>0.5</v>
      </c>
      <c r="K31">
        <f t="shared" si="5"/>
        <v>-2.1983562165136555E-2</v>
      </c>
      <c r="L31">
        <f t="shared" si="2"/>
        <v>2.1686562848904765E-2</v>
      </c>
      <c r="M31">
        <f t="shared" si="6"/>
        <v>6.010621649096088E-2</v>
      </c>
      <c r="N31">
        <f t="shared" si="7"/>
        <v>2.1118442010711034E-2</v>
      </c>
      <c r="O31">
        <f t="shared" si="8"/>
        <v>2.1366896034444093E-2</v>
      </c>
    </row>
    <row r="32" spans="1:15" x14ac:dyDescent="0.25">
      <c r="A32" s="18">
        <f t="shared" si="3"/>
        <v>37773</v>
      </c>
      <c r="B32">
        <f>'2-state flows'!B667</f>
        <v>147056</v>
      </c>
      <c r="C32">
        <f>'2-state flows'!C667</f>
        <v>9266</v>
      </c>
      <c r="D32">
        <f>'raw JOLTS data'!D44</f>
        <v>3196</v>
      </c>
      <c r="E32">
        <f t="shared" si="0"/>
        <v>6.3010009792188015E-2</v>
      </c>
      <c r="F32">
        <f t="shared" si="1"/>
        <v>2.1733217277771732E-2</v>
      </c>
      <c r="G32">
        <f>'2-state flows'!G667</f>
        <v>0.4589191639241379</v>
      </c>
      <c r="H32">
        <f>'2-state flows'!H667</f>
        <v>2.852287504965699E-2</v>
      </c>
      <c r="I32">
        <f t="shared" si="4"/>
        <v>-5.1476358655576919E-2</v>
      </c>
      <c r="J32">
        <v>0.5</v>
      </c>
      <c r="K32">
        <f t="shared" si="5"/>
        <v>-0.12493627947629039</v>
      </c>
      <c r="L32">
        <f t="shared" si="2"/>
        <v>2.4625392345581081E-2</v>
      </c>
      <c r="M32">
        <f t="shared" si="6"/>
        <v>6.1505201232700445E-2</v>
      </c>
      <c r="N32">
        <f t="shared" si="7"/>
        <v>2.1386730016022527E-2</v>
      </c>
      <c r="O32">
        <f t="shared" si="8"/>
        <v>2.1934700218801822E-2</v>
      </c>
    </row>
    <row r="33" spans="1:15" x14ac:dyDescent="0.25">
      <c r="A33" s="18">
        <f t="shared" si="3"/>
        <v>37803</v>
      </c>
      <c r="B33">
        <f>'2-state flows'!B668</f>
        <v>146485</v>
      </c>
      <c r="C33">
        <f>'2-state flows'!C668</f>
        <v>9011</v>
      </c>
      <c r="D33">
        <f>'raw JOLTS data'!D45</f>
        <v>3106</v>
      </c>
      <c r="E33">
        <f t="shared" si="0"/>
        <v>6.1514830870054951E-2</v>
      </c>
      <c r="F33">
        <f t="shared" si="1"/>
        <v>2.1203536198245554E-2</v>
      </c>
      <c r="G33">
        <f>'2-state flows'!G668</f>
        <v>0.46734995659208073</v>
      </c>
      <c r="H33">
        <f>'2-state flows'!H668</f>
        <v>2.9571851303826235E-2</v>
      </c>
      <c r="I33">
        <f t="shared" si="4"/>
        <v>3.611654074831832E-2</v>
      </c>
      <c r="J33">
        <v>0.5</v>
      </c>
      <c r="K33">
        <f t="shared" si="5"/>
        <v>-5.2703197979653754E-2</v>
      </c>
      <c r="L33">
        <f t="shared" si="2"/>
        <v>2.2351002341576345E-2</v>
      </c>
      <c r="M33">
        <f t="shared" si="6"/>
        <v>6.1888257467619091E-2</v>
      </c>
      <c r="N33">
        <f t="shared" si="7"/>
        <v>2.1383923513621231E-2</v>
      </c>
      <c r="O33">
        <f t="shared" si="8"/>
        <v>2.2887652512020729E-2</v>
      </c>
    </row>
    <row r="34" spans="1:15" x14ac:dyDescent="0.25">
      <c r="A34" s="18">
        <f t="shared" si="3"/>
        <v>37834</v>
      </c>
      <c r="B34">
        <f>'2-state flows'!B669</f>
        <v>146445</v>
      </c>
      <c r="C34">
        <f>'2-state flows'!C669</f>
        <v>8896</v>
      </c>
      <c r="D34">
        <f>'raw JOLTS data'!D46</f>
        <v>3182</v>
      </c>
      <c r="E34">
        <f t="shared" si="0"/>
        <v>6.0746355286967806E-2</v>
      </c>
      <c r="F34">
        <f t="shared" si="1"/>
        <v>2.1728293898733313E-2</v>
      </c>
      <c r="G34">
        <f>'2-state flows'!G669</f>
        <v>0.43044401392473225</v>
      </c>
      <c r="H34">
        <f>'2-state flows'!H669</f>
        <v>2.8065618220891167E-2</v>
      </c>
      <c r="I34">
        <f t="shared" si="4"/>
        <v>-5.2277663074111233E-2</v>
      </c>
      <c r="J34">
        <v>0.5</v>
      </c>
      <c r="K34">
        <f t="shared" si="5"/>
        <v>-0.15725852412787622</v>
      </c>
      <c r="L34">
        <f t="shared" si="2"/>
        <v>2.5428581611269239E-2</v>
      </c>
      <c r="M34">
        <f t="shared" si="6"/>
        <v>6.1757065316403591E-2</v>
      </c>
      <c r="N34">
        <f t="shared" si="7"/>
        <v>2.1555015791583532E-2</v>
      </c>
      <c r="O34">
        <f t="shared" si="8"/>
        <v>2.4134992099475557E-2</v>
      </c>
    </row>
    <row r="35" spans="1:15" x14ac:dyDescent="0.25">
      <c r="A35" s="18">
        <f t="shared" si="3"/>
        <v>37865</v>
      </c>
      <c r="B35">
        <f>'2-state flows'!B670</f>
        <v>146530</v>
      </c>
      <c r="C35">
        <f>'2-state flows'!C670</f>
        <v>8921</v>
      </c>
      <c r="D35">
        <f>'raw JOLTS data'!D47</f>
        <v>3051</v>
      </c>
      <c r="E35">
        <f t="shared" si="0"/>
        <v>6.0881730703610179E-2</v>
      </c>
      <c r="F35">
        <f t="shared" si="1"/>
        <v>2.0821674742373574E-2</v>
      </c>
      <c r="G35">
        <f>'2-state flows'!G670</f>
        <v>0.46771502713745172</v>
      </c>
      <c r="H35">
        <f>'2-state flows'!H670</f>
        <v>2.8578962349740472E-2</v>
      </c>
      <c r="I35">
        <f t="shared" si="4"/>
        <v>1.8125588643348262E-2</v>
      </c>
      <c r="J35">
        <v>0.5</v>
      </c>
      <c r="K35">
        <f t="shared" si="5"/>
        <v>-0.1210073468411797</v>
      </c>
      <c r="L35">
        <f t="shared" si="2"/>
        <v>2.3500033481832206E-2</v>
      </c>
      <c r="M35">
        <f t="shared" si="6"/>
        <v>6.1047638953544314E-2</v>
      </c>
      <c r="N35">
        <f t="shared" si="7"/>
        <v>2.1251168279784145E-2</v>
      </c>
      <c r="O35">
        <f t="shared" si="8"/>
        <v>2.3759872478225929E-2</v>
      </c>
    </row>
    <row r="36" spans="1:15" x14ac:dyDescent="0.25">
      <c r="A36" s="18">
        <f t="shared" si="3"/>
        <v>37895</v>
      </c>
      <c r="B36">
        <f>'2-state flows'!B671</f>
        <v>146716</v>
      </c>
      <c r="C36">
        <f>'2-state flows'!C671</f>
        <v>8732</v>
      </c>
      <c r="D36">
        <f>'raw JOLTS data'!D48</f>
        <v>3140</v>
      </c>
      <c r="E36">
        <f t="shared" si="0"/>
        <v>5.9516344502303774E-2</v>
      </c>
      <c r="F36">
        <f t="shared" si="1"/>
        <v>2.1401892090842173E-2</v>
      </c>
      <c r="G36">
        <f>'2-state flows'!G671</f>
        <v>0.46314857151374805</v>
      </c>
      <c r="H36">
        <f>'2-state flows'!H671</f>
        <v>2.7878531513290797E-2</v>
      </c>
      <c r="I36">
        <f t="shared" si="4"/>
        <v>-2.4813952160179963E-2</v>
      </c>
      <c r="J36">
        <v>0.5</v>
      </c>
      <c r="K36">
        <f t="shared" si="5"/>
        <v>-0.17063525116153963</v>
      </c>
      <c r="L36">
        <f t="shared" si="2"/>
        <v>2.5383886545448896E-2</v>
      </c>
      <c r="M36">
        <f t="shared" si="6"/>
        <v>6.0381476830960588E-2</v>
      </c>
      <c r="N36">
        <f t="shared" si="7"/>
        <v>2.1317286910649685E-2</v>
      </c>
      <c r="O36">
        <f t="shared" si="8"/>
        <v>2.4770833879516781E-2</v>
      </c>
    </row>
    <row r="37" spans="1:15" x14ac:dyDescent="0.25">
      <c r="A37" s="18">
        <f t="shared" si="3"/>
        <v>37926</v>
      </c>
      <c r="B37">
        <f>'2-state flows'!B672</f>
        <v>147000</v>
      </c>
      <c r="C37">
        <f>'2-state flows'!C672</f>
        <v>8576</v>
      </c>
      <c r="D37">
        <f>'raw JOLTS data'!D49</f>
        <v>3286</v>
      </c>
      <c r="E37">
        <f t="shared" si="0"/>
        <v>5.8340136054421766E-2</v>
      </c>
      <c r="F37">
        <f t="shared" si="1"/>
        <v>2.2353741496598641E-2</v>
      </c>
      <c r="G37">
        <f>'2-state flows'!G672</f>
        <v>0.4710564220436132</v>
      </c>
      <c r="H37">
        <f>'2-state flows'!H672</f>
        <v>2.6808778852741577E-2</v>
      </c>
      <c r="I37">
        <f t="shared" si="4"/>
        <v>-3.912750980550319E-2</v>
      </c>
      <c r="J37">
        <v>0.5</v>
      </c>
      <c r="K37">
        <f t="shared" si="5"/>
        <v>-0.248890270772546</v>
      </c>
      <c r="L37">
        <f t="shared" si="2"/>
        <v>2.8670937601617964E-2</v>
      </c>
      <c r="M37">
        <f t="shared" si="6"/>
        <v>5.9579403753445233E-2</v>
      </c>
      <c r="N37">
        <f t="shared" si="7"/>
        <v>2.1525769443271465E-2</v>
      </c>
      <c r="O37">
        <f t="shared" si="8"/>
        <v>2.5851619209633026E-2</v>
      </c>
    </row>
    <row r="38" spans="1:15" x14ac:dyDescent="0.25">
      <c r="A38" s="18">
        <f t="shared" si="3"/>
        <v>37956</v>
      </c>
      <c r="B38">
        <f>'2-state flows'!B673</f>
        <v>146729</v>
      </c>
      <c r="C38">
        <f>'2-state flows'!C673</f>
        <v>8317</v>
      </c>
      <c r="D38">
        <f>'raw JOLTS data'!D50</f>
        <v>3255</v>
      </c>
      <c r="E38">
        <f t="shared" si="0"/>
        <v>5.668272802240866E-2</v>
      </c>
      <c r="F38">
        <f t="shared" si="1"/>
        <v>2.2183753722849607E-2</v>
      </c>
      <c r="G38">
        <f>'2-state flows'!G673</f>
        <v>0.45904549347158924</v>
      </c>
      <c r="H38">
        <f>'2-state flows'!H673</f>
        <v>2.8067173815642749E-2</v>
      </c>
      <c r="I38">
        <f t="shared" si="4"/>
        <v>4.5871298847969477E-2</v>
      </c>
      <c r="J38">
        <v>0.5</v>
      </c>
      <c r="K38">
        <f t="shared" si="5"/>
        <v>-0.15714767307660704</v>
      </c>
      <c r="L38">
        <f t="shared" si="2"/>
        <v>2.5958727677741645E-2</v>
      </c>
      <c r="M38">
        <f t="shared" si="6"/>
        <v>5.8179736193044729E-2</v>
      </c>
      <c r="N38">
        <f t="shared" si="7"/>
        <v>2.1979795770096806E-2</v>
      </c>
      <c r="O38">
        <f t="shared" si="8"/>
        <v>2.6671183941602835E-2</v>
      </c>
    </row>
    <row r="39" spans="1:15" x14ac:dyDescent="0.25">
      <c r="A39" s="18">
        <f t="shared" si="3"/>
        <v>37987</v>
      </c>
      <c r="B39">
        <f>'2-state flows'!B674</f>
        <v>146842</v>
      </c>
      <c r="C39">
        <f>'2-state flows'!C674</f>
        <v>8370</v>
      </c>
      <c r="D39">
        <f>'raw JOLTS data'!D51</f>
        <v>3322</v>
      </c>
      <c r="E39">
        <f t="shared" si="0"/>
        <v>5.7000040860244343E-2</v>
      </c>
      <c r="F39">
        <f t="shared" si="1"/>
        <v>2.2622955285272604E-2</v>
      </c>
      <c r="G39">
        <f>'2-state flows'!G674</f>
        <v>0.44680993940322322</v>
      </c>
      <c r="H39">
        <f>'2-state flows'!H674</f>
        <v>2.5168545480489683E-2</v>
      </c>
      <c r="I39">
        <f t="shared" si="4"/>
        <v>-0.10900568220364494</v>
      </c>
      <c r="J39">
        <v>0.5</v>
      </c>
      <c r="K39">
        <f t="shared" si="5"/>
        <v>-0.3751590374838969</v>
      </c>
      <c r="L39">
        <f t="shared" si="2"/>
        <v>3.2921441040194753E-2</v>
      </c>
      <c r="M39">
        <f t="shared" si="6"/>
        <v>5.7340968312358263E-2</v>
      </c>
      <c r="N39">
        <f t="shared" si="7"/>
        <v>2.2386816834906953E-2</v>
      </c>
      <c r="O39">
        <f t="shared" si="8"/>
        <v>2.9183702106518123E-2</v>
      </c>
    </row>
    <row r="40" spans="1:15" x14ac:dyDescent="0.25">
      <c r="A40" s="18">
        <f t="shared" si="3"/>
        <v>38018</v>
      </c>
      <c r="B40">
        <f>'2-state flows'!B675</f>
        <v>146709</v>
      </c>
      <c r="C40">
        <f>'2-state flows'!C675</f>
        <v>8167</v>
      </c>
      <c r="D40">
        <f>'raw JOLTS data'!D52</f>
        <v>3415</v>
      </c>
      <c r="E40">
        <f t="shared" si="0"/>
        <v>5.5668023093334421E-2</v>
      </c>
      <c r="F40">
        <f t="shared" si="1"/>
        <v>2.3277372213020332E-2</v>
      </c>
      <c r="G40">
        <f>'2-state flows'!G675</f>
        <v>0.40777952668769213</v>
      </c>
      <c r="H40">
        <f>'2-state flows'!H675</f>
        <v>2.6922111256452268E-2</v>
      </c>
      <c r="I40">
        <f t="shared" si="4"/>
        <v>6.7352909106947953E-2</v>
      </c>
      <c r="J40">
        <v>0.5</v>
      </c>
      <c r="K40">
        <f t="shared" si="5"/>
        <v>-0.24045321927000099</v>
      </c>
      <c r="L40">
        <f t="shared" si="2"/>
        <v>2.9604754052474362E-2</v>
      </c>
      <c r="M40">
        <f t="shared" si="6"/>
        <v>5.6450263991995799E-2</v>
      </c>
      <c r="N40">
        <f t="shared" si="7"/>
        <v>2.2694693740380845E-2</v>
      </c>
      <c r="O40">
        <f t="shared" si="8"/>
        <v>2.9494974256803586E-2</v>
      </c>
    </row>
    <row r="41" spans="1:15" x14ac:dyDescent="0.25">
      <c r="A41" s="18">
        <f t="shared" si="3"/>
        <v>38047</v>
      </c>
      <c r="B41">
        <f>'2-state flows'!B676</f>
        <v>146944</v>
      </c>
      <c r="C41">
        <f>'2-state flows'!C676</f>
        <v>8491</v>
      </c>
      <c r="D41">
        <f>'raw JOLTS data'!D53</f>
        <v>3394</v>
      </c>
      <c r="E41">
        <f t="shared" si="0"/>
        <v>5.778391768292683E-2</v>
      </c>
      <c r="F41">
        <f t="shared" si="1"/>
        <v>2.3097234320557491E-2</v>
      </c>
      <c r="G41">
        <f>'2-state flows'!G676</f>
        <v>0.54058936986659134</v>
      </c>
      <c r="H41">
        <f>'2-state flows'!H676</f>
        <v>3.0110446158747622E-2</v>
      </c>
      <c r="I41">
        <f t="shared" si="4"/>
        <v>0.11192423124964059</v>
      </c>
      <c r="J41">
        <v>0.5</v>
      </c>
      <c r="K41">
        <f t="shared" si="5"/>
        <v>-1.660475677071982E-2</v>
      </c>
      <c r="L41">
        <f t="shared" si="2"/>
        <v>2.3483960137023158E-2</v>
      </c>
      <c r="M41">
        <f t="shared" si="6"/>
        <v>5.6817327212168534E-2</v>
      </c>
      <c r="N41">
        <f t="shared" si="7"/>
        <v>2.2999187272950142E-2</v>
      </c>
      <c r="O41">
        <f t="shared" si="8"/>
        <v>2.8670051743230757E-2</v>
      </c>
    </row>
    <row r="42" spans="1:15" x14ac:dyDescent="0.25">
      <c r="A42" s="18">
        <f t="shared" si="3"/>
        <v>38078</v>
      </c>
      <c r="B42">
        <f>'2-state flows'!B677</f>
        <v>146850</v>
      </c>
      <c r="C42">
        <f>'2-state flows'!C677</f>
        <v>8170</v>
      </c>
      <c r="D42">
        <f>'raw JOLTS data'!D54</f>
        <v>3524</v>
      </c>
      <c r="E42">
        <f t="shared" si="0"/>
        <v>5.5635001702417433E-2</v>
      </c>
      <c r="F42">
        <f t="shared" si="1"/>
        <v>2.3997276132107594E-2</v>
      </c>
      <c r="G42">
        <f>'2-state flows'!G677</f>
        <v>0.4804234558517041</v>
      </c>
      <c r="H42">
        <f>'2-state flows'!H677</f>
        <v>2.8689459629306378E-2</v>
      </c>
      <c r="I42">
        <f t="shared" si="4"/>
        <v>-4.8342365004737611E-2</v>
      </c>
      <c r="J42">
        <v>0.5</v>
      </c>
      <c r="K42">
        <f t="shared" si="5"/>
        <v>-0.11328948678019504</v>
      </c>
      <c r="L42">
        <f t="shared" si="2"/>
        <v>2.6875895751792379E-2</v>
      </c>
      <c r="M42">
        <f t="shared" si="6"/>
        <v>5.6362314159559557E-2</v>
      </c>
      <c r="N42">
        <f t="shared" si="7"/>
        <v>2.3457294221895141E-2</v>
      </c>
      <c r="O42">
        <f t="shared" si="8"/>
        <v>2.6654869980429968E-2</v>
      </c>
    </row>
    <row r="43" spans="1:15" x14ac:dyDescent="0.25">
      <c r="A43" s="18">
        <f t="shared" si="3"/>
        <v>38108</v>
      </c>
      <c r="B43">
        <f>'2-state flows'!B678</f>
        <v>147065</v>
      </c>
      <c r="C43">
        <f>'2-state flows'!C678</f>
        <v>8212</v>
      </c>
      <c r="D43">
        <f>'raw JOLTS data'!D55</f>
        <v>3620</v>
      </c>
      <c r="E43">
        <f t="shared" si="0"/>
        <v>5.5839254751300443E-2</v>
      </c>
      <c r="F43">
        <f t="shared" si="1"/>
        <v>2.46149661714208E-2</v>
      </c>
      <c r="G43">
        <f>'2-state flows'!G678</f>
        <v>0.46066017736971598</v>
      </c>
      <c r="H43">
        <f>'2-state flows'!H678</f>
        <v>2.7917905436641868E-2</v>
      </c>
      <c r="I43">
        <f t="shared" si="4"/>
        <v>-2.7261540103646162E-2</v>
      </c>
      <c r="J43">
        <v>0.5</v>
      </c>
      <c r="K43">
        <f t="shared" si="5"/>
        <v>-0.16781256698748737</v>
      </c>
      <c r="L43">
        <f t="shared" si="2"/>
        <v>2.9112487501387618E-2</v>
      </c>
      <c r="M43">
        <f t="shared" si="6"/>
        <v>5.6419391378881571E-2</v>
      </c>
      <c r="N43">
        <f t="shared" si="7"/>
        <v>2.3903158874695296E-2</v>
      </c>
      <c r="O43">
        <f t="shared" si="8"/>
        <v>2.6490781130067715E-2</v>
      </c>
    </row>
    <row r="44" spans="1:15" x14ac:dyDescent="0.25">
      <c r="A44" s="18">
        <f t="shared" si="3"/>
        <v>38139</v>
      </c>
      <c r="B44">
        <f>'2-state flows'!B679</f>
        <v>147460</v>
      </c>
      <c r="C44">
        <f>'2-state flows'!C679</f>
        <v>8286</v>
      </c>
      <c r="D44">
        <f>'raw JOLTS data'!D56</f>
        <v>3423</v>
      </c>
      <c r="E44">
        <f t="shared" si="0"/>
        <v>5.6191509561915098E-2</v>
      </c>
      <c r="F44">
        <f t="shared" si="1"/>
        <v>2.3213074732130749E-2</v>
      </c>
      <c r="G44">
        <f>'2-state flows'!G679</f>
        <v>0.53254173883144706</v>
      </c>
      <c r="H44">
        <f>'2-state flows'!H679</f>
        <v>3.0296527721667958E-2</v>
      </c>
      <c r="I44">
        <f t="shared" si="4"/>
        <v>8.1764854401570428E-2</v>
      </c>
      <c r="J44">
        <v>0.5</v>
      </c>
      <c r="K44">
        <f t="shared" si="5"/>
        <v>-4.2828581843465108E-3</v>
      </c>
      <c r="L44">
        <f t="shared" si="2"/>
        <v>2.3312706240748181E-2</v>
      </c>
      <c r="M44">
        <f t="shared" si="6"/>
        <v>5.5888588671877661E-2</v>
      </c>
      <c r="N44">
        <f t="shared" si="7"/>
        <v>2.3941772345219714E-2</v>
      </c>
      <c r="O44">
        <f t="shared" si="8"/>
        <v>2.6433696497976056E-2</v>
      </c>
    </row>
    <row r="45" spans="1:15" x14ac:dyDescent="0.25">
      <c r="A45" s="18">
        <f t="shared" si="3"/>
        <v>38169</v>
      </c>
      <c r="B45">
        <f>'2-state flows'!B680</f>
        <v>147692</v>
      </c>
      <c r="C45">
        <f>'2-state flows'!C680</f>
        <v>8136</v>
      </c>
      <c r="D45">
        <f>'raw JOLTS data'!D57</f>
        <v>3807</v>
      </c>
      <c r="E45">
        <f t="shared" si="0"/>
        <v>5.5087614765864094E-2</v>
      </c>
      <c r="F45">
        <f t="shared" si="1"/>
        <v>2.5776616201283752E-2</v>
      </c>
      <c r="G45">
        <f>'2-state flows'!G680</f>
        <v>0.50616589737016404</v>
      </c>
      <c r="H45">
        <f>'2-state flows'!H680</f>
        <v>2.8158608987517798E-2</v>
      </c>
      <c r="I45">
        <f t="shared" si="4"/>
        <v>-7.3179975984300566E-2</v>
      </c>
      <c r="J45">
        <v>0.5</v>
      </c>
      <c r="K45">
        <f t="shared" si="5"/>
        <v>-0.15064281015294764</v>
      </c>
      <c r="L45">
        <f t="shared" si="2"/>
        <v>2.9967412531334479E-2</v>
      </c>
      <c r="M45">
        <f t="shared" si="6"/>
        <v>5.5706126359693214E-2</v>
      </c>
      <c r="N45">
        <f t="shared" si="7"/>
        <v>2.4534885701611765E-2</v>
      </c>
      <c r="O45">
        <f t="shared" si="8"/>
        <v>2.7464202091156759E-2</v>
      </c>
    </row>
    <row r="46" spans="1:15" x14ac:dyDescent="0.25">
      <c r="A46" s="18">
        <f t="shared" si="3"/>
        <v>38200</v>
      </c>
      <c r="B46">
        <f>'2-state flows'!B681</f>
        <v>147564</v>
      </c>
      <c r="C46">
        <f>'2-state flows'!C681</f>
        <v>7990</v>
      </c>
      <c r="D46">
        <f>'raw JOLTS data'!D58</f>
        <v>3623</v>
      </c>
      <c r="E46">
        <f t="shared" si="0"/>
        <v>5.4145997668808107E-2</v>
      </c>
      <c r="F46">
        <f t="shared" si="1"/>
        <v>2.4552058767721124E-2</v>
      </c>
      <c r="G46">
        <f>'2-state flows'!G681</f>
        <v>0.52474770308626417</v>
      </c>
      <c r="H46">
        <f>'2-state flows'!H681</f>
        <v>2.9451564208073183E-2</v>
      </c>
      <c r="I46">
        <f t="shared" si="4"/>
        <v>4.4893889393645962E-2</v>
      </c>
      <c r="J46">
        <v>0.5</v>
      </c>
      <c r="K46">
        <f t="shared" si="5"/>
        <v>-6.0855031365655718E-2</v>
      </c>
      <c r="L46">
        <f t="shared" si="2"/>
        <v>2.6092573726298588E-2</v>
      </c>
      <c r="M46">
        <f t="shared" si="6"/>
        <v>5.5141707332195776E-2</v>
      </c>
      <c r="N46">
        <f t="shared" si="7"/>
        <v>2.451391656704521E-2</v>
      </c>
      <c r="O46">
        <f t="shared" si="8"/>
        <v>2.6457564166127084E-2</v>
      </c>
    </row>
    <row r="47" spans="1:15" x14ac:dyDescent="0.25">
      <c r="A47" s="18">
        <f t="shared" si="3"/>
        <v>38231</v>
      </c>
      <c r="B47">
        <f>'2-state flows'!B682</f>
        <v>147415</v>
      </c>
      <c r="C47">
        <f>'2-state flows'!C682</f>
        <v>7927</v>
      </c>
      <c r="D47">
        <f>'raw JOLTS data'!D59</f>
        <v>3754</v>
      </c>
      <c r="E47">
        <f t="shared" si="0"/>
        <v>5.3773360919852117E-2</v>
      </c>
      <c r="F47">
        <f t="shared" si="1"/>
        <v>2.5465522504494114E-2</v>
      </c>
      <c r="G47">
        <f>'2-state flows'!G682</f>
        <v>0.48269796617559879</v>
      </c>
      <c r="H47">
        <f>'2-state flows'!H682</f>
        <v>2.8658485931940866E-2</v>
      </c>
      <c r="I47">
        <f t="shared" si="4"/>
        <v>-2.729743032217263E-2</v>
      </c>
      <c r="J47">
        <v>0.5</v>
      </c>
      <c r="K47">
        <f t="shared" si="5"/>
        <v>-0.11544989201000097</v>
      </c>
      <c r="L47">
        <f t="shared" si="2"/>
        <v>2.8581949170144429E-2</v>
      </c>
      <c r="M47">
        <f t="shared" si="6"/>
        <v>5.433565778484143E-2</v>
      </c>
      <c r="N47">
        <f t="shared" si="7"/>
        <v>2.5264732491166331E-2</v>
      </c>
      <c r="O47">
        <f t="shared" si="8"/>
        <v>2.8213978475925831E-2</v>
      </c>
    </row>
    <row r="48" spans="1:15" x14ac:dyDescent="0.25">
      <c r="A48" s="18">
        <f t="shared" si="3"/>
        <v>38261</v>
      </c>
      <c r="B48">
        <f>'2-state flows'!B683</f>
        <v>147793</v>
      </c>
      <c r="C48">
        <f>'2-state flows'!C683</f>
        <v>8061</v>
      </c>
      <c r="D48">
        <f>'raw JOLTS data'!D60</f>
        <v>3836</v>
      </c>
      <c r="E48">
        <f t="shared" si="0"/>
        <v>5.4542502012950543E-2</v>
      </c>
      <c r="F48">
        <f t="shared" si="1"/>
        <v>2.5955221153911214E-2</v>
      </c>
      <c r="G48">
        <f>'2-state flows'!G683</f>
        <v>0.50354950838993151</v>
      </c>
      <c r="H48">
        <f>'2-state flows'!H683</f>
        <v>2.7859152848067892E-2</v>
      </c>
      <c r="I48">
        <f t="shared" si="4"/>
        <v>-2.8288031965297819E-2</v>
      </c>
      <c r="J48">
        <v>0.5</v>
      </c>
      <c r="K48">
        <f t="shared" si="5"/>
        <v>-0.17202595594059661</v>
      </c>
      <c r="L48">
        <f t="shared" si="2"/>
        <v>3.0827240960315895E-2</v>
      </c>
      <c r="M48">
        <f t="shared" si="6"/>
        <v>5.4153953533870258E-2</v>
      </c>
      <c r="N48">
        <f t="shared" si="7"/>
        <v>2.5324267475375487E-2</v>
      </c>
      <c r="O48">
        <f t="shared" si="8"/>
        <v>2.8500587952252975E-2</v>
      </c>
    </row>
    <row r="49" spans="1:15" x14ac:dyDescent="0.25">
      <c r="A49" s="18">
        <f t="shared" si="3"/>
        <v>38292</v>
      </c>
      <c r="B49">
        <f>'2-state flows'!B684</f>
        <v>148162</v>
      </c>
      <c r="C49">
        <f>'2-state flows'!C684</f>
        <v>7932</v>
      </c>
      <c r="D49">
        <f>'raw JOLTS data'!D61</f>
        <v>3383</v>
      </c>
      <c r="E49">
        <f t="shared" si="0"/>
        <v>5.3535994384525047E-2</v>
      </c>
      <c r="F49">
        <f t="shared" si="1"/>
        <v>2.2833115103737801E-2</v>
      </c>
      <c r="G49">
        <f>'2-state flows'!G684</f>
        <v>0.51843561248640846</v>
      </c>
      <c r="H49">
        <f>'2-state flows'!H684</f>
        <v>2.9343427292932898E-2</v>
      </c>
      <c r="I49">
        <f t="shared" si="4"/>
        <v>5.1907018450249198E-2</v>
      </c>
      <c r="J49">
        <v>0.5</v>
      </c>
      <c r="K49">
        <f t="shared" si="5"/>
        <v>-6.8211919040098212E-2</v>
      </c>
      <c r="L49">
        <f t="shared" si="2"/>
        <v>2.4444954093881741E-2</v>
      </c>
      <c r="M49">
        <f t="shared" si="6"/>
        <v>5.39506191057759E-2</v>
      </c>
      <c r="N49">
        <f t="shared" si="7"/>
        <v>2.4751286254047711E-2</v>
      </c>
      <c r="O49">
        <f t="shared" si="8"/>
        <v>2.7951381408114023E-2</v>
      </c>
    </row>
    <row r="50" spans="1:15" x14ac:dyDescent="0.25">
      <c r="A50" s="18">
        <f t="shared" si="3"/>
        <v>38322</v>
      </c>
      <c r="B50">
        <f>'2-state flows'!B685</f>
        <v>148059</v>
      </c>
      <c r="C50">
        <f>'2-state flows'!C685</f>
        <v>7934</v>
      </c>
      <c r="D50">
        <f>'raw JOLTS data'!D62</f>
        <v>3808</v>
      </c>
      <c r="E50">
        <f t="shared" si="0"/>
        <v>5.3586745824299772E-2</v>
      </c>
      <c r="F50">
        <f t="shared" si="1"/>
        <v>2.5719476695101277E-2</v>
      </c>
      <c r="G50">
        <f>'2-state flows'!G685</f>
        <v>0.51778195359457813</v>
      </c>
      <c r="H50">
        <f>'2-state flows'!H685</f>
        <v>2.7928275398146303E-2</v>
      </c>
      <c r="I50">
        <f t="shared" si="4"/>
        <v>-4.9428948117060771E-2</v>
      </c>
      <c r="J50">
        <v>0.5</v>
      </c>
      <c r="K50">
        <f t="shared" si="5"/>
        <v>-0.16706981527421977</v>
      </c>
      <c r="L50">
        <f t="shared" si="2"/>
        <v>3.0396223332525649E-2</v>
      </c>
      <c r="M50">
        <f t="shared" si="6"/>
        <v>5.3888414073925119E-2</v>
      </c>
      <c r="N50">
        <f t="shared" si="7"/>
        <v>2.4835937650916764E-2</v>
      </c>
      <c r="O50">
        <f t="shared" si="8"/>
        <v>2.8556139462241097E-2</v>
      </c>
    </row>
    <row r="51" spans="1:15" x14ac:dyDescent="0.25">
      <c r="A51" s="18">
        <f t="shared" si="3"/>
        <v>38353</v>
      </c>
      <c r="B51">
        <f>'2-state flows'!B686</f>
        <v>148029</v>
      </c>
      <c r="C51">
        <f>'2-state flows'!C686</f>
        <v>7784</v>
      </c>
      <c r="D51">
        <f>'raw JOLTS data'!D63</f>
        <v>3638</v>
      </c>
      <c r="E51">
        <f t="shared" si="0"/>
        <v>5.2584290915969167E-2</v>
      </c>
      <c r="F51">
        <f t="shared" si="1"/>
        <v>2.457626546149741E-2</v>
      </c>
      <c r="G51">
        <f>'2-state flows'!G686</f>
        <v>0.48529779158961023</v>
      </c>
      <c r="H51">
        <f>'2-state flows'!H686</f>
        <v>2.8722796769941526E-2</v>
      </c>
      <c r="I51">
        <f t="shared" si="4"/>
        <v>2.8051489248770569E-2</v>
      </c>
      <c r="J51">
        <v>0.5</v>
      </c>
      <c r="K51">
        <f t="shared" si="5"/>
        <v>-0.11096683677667862</v>
      </c>
      <c r="L51">
        <f t="shared" si="2"/>
        <v>2.7460483162944013E-2</v>
      </c>
      <c r="M51">
        <f t="shared" si="6"/>
        <v>5.3235677041597991E-2</v>
      </c>
      <c r="N51">
        <f t="shared" si="7"/>
        <v>2.4376285753445498E-2</v>
      </c>
      <c r="O51">
        <f t="shared" si="8"/>
        <v>2.7433886863117134E-2</v>
      </c>
    </row>
    <row r="52" spans="1:15" x14ac:dyDescent="0.25">
      <c r="A52" s="18">
        <f t="shared" si="3"/>
        <v>38384</v>
      </c>
      <c r="B52">
        <f>'2-state flows'!B687</f>
        <v>148364</v>
      </c>
      <c r="C52">
        <f>'2-state flows'!C687</f>
        <v>7980</v>
      </c>
      <c r="D52">
        <f>'raw JOLTS data'!D64</f>
        <v>3757</v>
      </c>
      <c r="E52">
        <f t="shared" si="0"/>
        <v>5.3786632875899812E-2</v>
      </c>
      <c r="F52">
        <f t="shared" si="1"/>
        <v>2.5322854600846566E-2</v>
      </c>
      <c r="G52">
        <f>'2-state flows'!G687</f>
        <v>0.49657509851423803</v>
      </c>
      <c r="H52">
        <f>'2-state flows'!H687</f>
        <v>2.6004891634691652E-2</v>
      </c>
      <c r="I52">
        <f t="shared" si="4"/>
        <v>-9.94064598865953E-2</v>
      </c>
      <c r="J52">
        <v>0.5</v>
      </c>
      <c r="K52">
        <f t="shared" si="5"/>
        <v>-0.30977975654986922</v>
      </c>
      <c r="L52">
        <f t="shared" si="2"/>
        <v>3.4518212676807485E-2</v>
      </c>
      <c r="M52">
        <f t="shared" si="6"/>
        <v>5.3319223205389586E-2</v>
      </c>
      <c r="N52">
        <f t="shared" si="7"/>
        <v>2.520619891914842E-2</v>
      </c>
      <c r="O52">
        <f t="shared" si="8"/>
        <v>3.0791639724092379E-2</v>
      </c>
    </row>
    <row r="53" spans="1:15" x14ac:dyDescent="0.25">
      <c r="A53" s="18">
        <f t="shared" si="3"/>
        <v>38412</v>
      </c>
      <c r="B53">
        <f>'2-state flows'!B688</f>
        <v>148391</v>
      </c>
      <c r="C53">
        <f>'2-state flows'!C688</f>
        <v>7737</v>
      </c>
      <c r="D53">
        <f>'raw JOLTS data'!D65</f>
        <v>3916</v>
      </c>
      <c r="E53">
        <f t="shared" si="0"/>
        <v>5.2139280684138527E-2</v>
      </c>
      <c r="F53">
        <f t="shared" si="1"/>
        <v>2.6389740617692448E-2</v>
      </c>
      <c r="G53">
        <f>'2-state flows'!G688</f>
        <v>0.53002561505415935</v>
      </c>
      <c r="H53">
        <f>'2-state flows'!H688</f>
        <v>2.8552142696856006E-2</v>
      </c>
      <c r="I53">
        <f t="shared" si="4"/>
        <v>9.3447323842583779E-2</v>
      </c>
      <c r="J53">
        <v>0.5</v>
      </c>
      <c r="K53">
        <f t="shared" si="5"/>
        <v>-0.12288510886470166</v>
      </c>
      <c r="L53">
        <f t="shared" si="2"/>
        <v>2.9840317952433106E-2</v>
      </c>
      <c r="M53">
        <f t="shared" si="6"/>
        <v>5.2836734825335831E-2</v>
      </c>
      <c r="N53">
        <f t="shared" si="7"/>
        <v>2.5429620226678811E-2</v>
      </c>
      <c r="O53">
        <f t="shared" si="8"/>
        <v>3.06063379307282E-2</v>
      </c>
    </row>
    <row r="54" spans="1:15" x14ac:dyDescent="0.25">
      <c r="A54" s="18">
        <f t="shared" si="3"/>
        <v>38443</v>
      </c>
      <c r="B54">
        <f>'2-state flows'!B689</f>
        <v>148926</v>
      </c>
      <c r="C54">
        <f>'2-state flows'!C689</f>
        <v>7672</v>
      </c>
      <c r="D54">
        <f>'raw JOLTS data'!D66</f>
        <v>4057</v>
      </c>
      <c r="E54">
        <f t="shared" si="0"/>
        <v>5.1515517773927988E-2</v>
      </c>
      <c r="F54">
        <f t="shared" si="1"/>
        <v>2.7241717362985644E-2</v>
      </c>
      <c r="G54">
        <f>'2-state flows'!G689</f>
        <v>0.54324504827334597</v>
      </c>
      <c r="H54">
        <f>'2-state flows'!H689</f>
        <v>2.9310275208740695E-2</v>
      </c>
      <c r="I54">
        <f t="shared" si="4"/>
        <v>2.6206160300040724E-2</v>
      </c>
      <c r="J54">
        <v>0.5</v>
      </c>
      <c r="K54">
        <f t="shared" si="5"/>
        <v>-7.0472788264620223E-2</v>
      </c>
      <c r="L54">
        <f t="shared" si="2"/>
        <v>2.923078144720594E-2</v>
      </c>
      <c r="M54">
        <f t="shared" si="6"/>
        <v>5.2480477111322109E-2</v>
      </c>
      <c r="N54">
        <f t="shared" si="7"/>
        <v>2.6318104193841552E-2</v>
      </c>
      <c r="O54">
        <f t="shared" si="8"/>
        <v>3.1196437358815509E-2</v>
      </c>
    </row>
    <row r="55" spans="1:15" x14ac:dyDescent="0.25">
      <c r="A55" s="18">
        <f t="shared" si="3"/>
        <v>38473</v>
      </c>
      <c r="B55">
        <f>'2-state flows'!B690</f>
        <v>149261</v>
      </c>
      <c r="C55">
        <f>'2-state flows'!C690</f>
        <v>7651</v>
      </c>
      <c r="D55">
        <f>'raw JOLTS data'!D67</f>
        <v>3877</v>
      </c>
      <c r="E55">
        <f t="shared" si="0"/>
        <v>5.125920367678094E-2</v>
      </c>
      <c r="F55">
        <f t="shared" si="1"/>
        <v>2.5974635035273783E-2</v>
      </c>
      <c r="G55">
        <f>'2-state flows'!G690</f>
        <v>0.54428108581532053</v>
      </c>
      <c r="H55">
        <f>'2-state flows'!H690</f>
        <v>2.822886892780516E-2</v>
      </c>
      <c r="I55">
        <f t="shared" si="4"/>
        <v>-3.7592969120481295E-2</v>
      </c>
      <c r="J55">
        <v>0.5</v>
      </c>
      <c r="K55">
        <f t="shared" si="5"/>
        <v>-0.14565872650558281</v>
      </c>
      <c r="L55">
        <f t="shared" si="2"/>
        <v>3.0047492486091572E-2</v>
      </c>
      <c r="M55">
        <f t="shared" si="6"/>
        <v>5.1638000711615818E-2</v>
      </c>
      <c r="N55">
        <f t="shared" si="7"/>
        <v>2.6535364338650624E-2</v>
      </c>
      <c r="O55">
        <f t="shared" si="8"/>
        <v>2.9706197295243542E-2</v>
      </c>
    </row>
    <row r="56" spans="1:15" x14ac:dyDescent="0.25">
      <c r="A56" s="18">
        <f t="shared" si="3"/>
        <v>38504</v>
      </c>
      <c r="B56">
        <f>'2-state flows'!B691</f>
        <v>149238</v>
      </c>
      <c r="C56">
        <f>'2-state flows'!C691</f>
        <v>7524</v>
      </c>
      <c r="D56">
        <f>'raw JOLTS data'!D68</f>
        <v>4064</v>
      </c>
      <c r="E56">
        <f t="shared" si="0"/>
        <v>5.0416113858400675E-2</v>
      </c>
      <c r="F56">
        <f t="shared" si="1"/>
        <v>2.7231670218040981E-2</v>
      </c>
      <c r="G56">
        <f>'2-state flows'!G691</f>
        <v>0.53034865166356038</v>
      </c>
      <c r="H56">
        <f>'2-state flows'!H691</f>
        <v>2.7071536680442414E-2</v>
      </c>
      <c r="I56">
        <f t="shared" si="4"/>
        <v>-4.1862306211385425E-2</v>
      </c>
      <c r="J56">
        <v>0.5</v>
      </c>
      <c r="K56">
        <f t="shared" si="5"/>
        <v>-0.22938333892835366</v>
      </c>
      <c r="L56">
        <f t="shared" si="2"/>
        <v>3.4252651615988554E-2</v>
      </c>
      <c r="M56">
        <f t="shared" si="6"/>
        <v>5.1063611769703199E-2</v>
      </c>
      <c r="N56">
        <f t="shared" si="7"/>
        <v>2.6816007538766801E-2</v>
      </c>
      <c r="O56">
        <f t="shared" si="8"/>
        <v>3.1176975183095357E-2</v>
      </c>
    </row>
    <row r="57" spans="1:15" x14ac:dyDescent="0.25">
      <c r="A57" s="18">
        <f t="shared" si="3"/>
        <v>38534</v>
      </c>
      <c r="B57">
        <f>'2-state flows'!B692</f>
        <v>149432</v>
      </c>
      <c r="C57">
        <f>'2-state flows'!C692</f>
        <v>7406</v>
      </c>
      <c r="D57">
        <f>'raw JOLTS data'!D69</f>
        <v>4155</v>
      </c>
      <c r="E57">
        <f t="shared" si="0"/>
        <v>4.9561004336420578E-2</v>
      </c>
      <c r="F57">
        <f t="shared" si="1"/>
        <v>2.7805289362385566E-2</v>
      </c>
      <c r="G57">
        <f>'2-state flows'!G692</f>
        <v>0.5289472450850079</v>
      </c>
      <c r="H57">
        <f>'2-state flows'!H692</f>
        <v>2.7022256142937504E-2</v>
      </c>
      <c r="I57">
        <f t="shared" si="4"/>
        <v>-1.8220408873680376E-3</v>
      </c>
      <c r="J57">
        <v>0.5</v>
      </c>
      <c r="K57">
        <f t="shared" si="5"/>
        <v>-0.23302742070308974</v>
      </c>
      <c r="L57">
        <f t="shared" si="2"/>
        <v>3.51018448224793E-2</v>
      </c>
      <c r="M57">
        <f t="shared" si="6"/>
        <v>5.041210729053406E-2</v>
      </c>
      <c r="N57">
        <f t="shared" si="7"/>
        <v>2.700386487190011E-2</v>
      </c>
      <c r="O57">
        <f t="shared" si="8"/>
        <v>3.3133996308186475E-2</v>
      </c>
    </row>
    <row r="58" spans="1:15" x14ac:dyDescent="0.25">
      <c r="A58" s="18">
        <f t="shared" si="3"/>
        <v>38565</v>
      </c>
      <c r="B58">
        <f>'2-state flows'!B693</f>
        <v>149779</v>
      </c>
      <c r="C58">
        <f>'2-state flows'!C693</f>
        <v>7345</v>
      </c>
      <c r="D58">
        <f>'raw JOLTS data'!D70</f>
        <v>4102</v>
      </c>
      <c r="E58">
        <f t="shared" si="0"/>
        <v>4.9038917338211634E-2</v>
      </c>
      <c r="F58">
        <f t="shared" si="1"/>
        <v>2.7387016871524044E-2</v>
      </c>
      <c r="G58">
        <f>'2-state flows'!G693</f>
        <v>0.52432223980017556</v>
      </c>
      <c r="H58">
        <f>'2-state flows'!H693</f>
        <v>2.8939472671327515E-2</v>
      </c>
      <c r="I58">
        <f t="shared" si="4"/>
        <v>6.8545671545820183E-2</v>
      </c>
      <c r="J58">
        <v>0.5</v>
      </c>
      <c r="K58">
        <f t="shared" si="5"/>
        <v>-9.5936077611449372E-2</v>
      </c>
      <c r="L58">
        <f t="shared" si="2"/>
        <v>3.0144580081937652E-2</v>
      </c>
      <c r="M58">
        <f t="shared" si="6"/>
        <v>4.9672011844344298E-2</v>
      </c>
      <c r="N58">
        <f t="shared" si="7"/>
        <v>2.7474658817316866E-2</v>
      </c>
      <c r="O58">
        <f t="shared" si="8"/>
        <v>3.316635884013517E-2</v>
      </c>
    </row>
    <row r="59" spans="1:15" x14ac:dyDescent="0.25">
      <c r="A59" s="18">
        <f t="shared" si="3"/>
        <v>38596</v>
      </c>
      <c r="B59">
        <f>'2-state flows'!B694</f>
        <v>149954</v>
      </c>
      <c r="C59">
        <f>'2-state flows'!C694</f>
        <v>7553</v>
      </c>
      <c r="D59">
        <f>'raw JOLTS data'!D71</f>
        <v>4275</v>
      </c>
      <c r="E59">
        <f t="shared" si="0"/>
        <v>5.0368779759126132E-2</v>
      </c>
      <c r="F59">
        <f t="shared" si="1"/>
        <v>2.8508742681088866E-2</v>
      </c>
      <c r="G59">
        <f>'2-state flows'!G694</f>
        <v>0.56357170234986964</v>
      </c>
      <c r="H59">
        <f>'2-state flows'!H694</f>
        <v>2.89613247972271E-2</v>
      </c>
      <c r="I59">
        <f t="shared" si="4"/>
        <v>7.5481264136167481E-4</v>
      </c>
      <c r="J59">
        <v>0.5</v>
      </c>
      <c r="K59">
        <f t="shared" si="5"/>
        <v>-9.4426452328726027E-2</v>
      </c>
      <c r="L59">
        <f t="shared" si="2"/>
        <v>3.1331915835995733E-2</v>
      </c>
      <c r="M59">
        <f t="shared" si="6"/>
        <v>4.9656233811252781E-2</v>
      </c>
      <c r="N59">
        <f t="shared" si="7"/>
        <v>2.7900349638332825E-2</v>
      </c>
      <c r="O59">
        <f t="shared" si="8"/>
        <v>3.2192780246804227E-2</v>
      </c>
    </row>
    <row r="60" spans="1:15" x14ac:dyDescent="0.25">
      <c r="A60" s="18">
        <f t="shared" si="3"/>
        <v>38626</v>
      </c>
      <c r="B60">
        <f>'2-state flows'!B695</f>
        <v>150001</v>
      </c>
      <c r="C60">
        <f>'2-state flows'!C695</f>
        <v>7453</v>
      </c>
      <c r="D60">
        <f>'raw JOLTS data'!D72</f>
        <v>4221</v>
      </c>
      <c r="E60">
        <f t="shared" si="0"/>
        <v>4.9686335424430503E-2</v>
      </c>
      <c r="F60">
        <f t="shared" si="1"/>
        <v>2.8139812401250658E-2</v>
      </c>
      <c r="G60">
        <f>'2-state flows'!G695</f>
        <v>0.55202225797950899</v>
      </c>
      <c r="H60">
        <f>'2-state flows'!H695</f>
        <v>2.9907623692917763E-2</v>
      </c>
      <c r="I60">
        <f t="shared" si="4"/>
        <v>3.2152108672016295E-2</v>
      </c>
      <c r="J60">
        <v>0.5</v>
      </c>
      <c r="K60">
        <f t="shared" si="5"/>
        <v>-3.0122234984693436E-2</v>
      </c>
      <c r="L60">
        <f t="shared" si="2"/>
        <v>2.90003419131761E-2</v>
      </c>
      <c r="M60">
        <f t="shared" si="6"/>
        <v>4.9698010840589425E-2</v>
      </c>
      <c r="N60">
        <f t="shared" si="7"/>
        <v>2.8011857317954525E-2</v>
      </c>
      <c r="O60">
        <f t="shared" si="8"/>
        <v>3.0158945943703164E-2</v>
      </c>
    </row>
    <row r="61" spans="1:15" x14ac:dyDescent="0.25">
      <c r="A61" s="18">
        <f t="shared" si="3"/>
        <v>38657</v>
      </c>
      <c r="B61">
        <f>'2-state flows'!B696</f>
        <v>150065</v>
      </c>
      <c r="C61">
        <f>'2-state flows'!C696</f>
        <v>7566</v>
      </c>
      <c r="D61">
        <f>'raw JOLTS data'!D73</f>
        <v>4437</v>
      </c>
      <c r="E61">
        <f t="shared" si="0"/>
        <v>5.0418152134075231E-2</v>
      </c>
      <c r="F61">
        <f t="shared" si="1"/>
        <v>2.9567187552060774E-2</v>
      </c>
      <c r="G61">
        <f>'2-state flows'!G696</f>
        <v>0.57043140184055685</v>
      </c>
      <c r="H61">
        <f>'2-state flows'!H696</f>
        <v>2.7611151955238347E-2</v>
      </c>
      <c r="I61">
        <f t="shared" si="4"/>
        <v>-7.9893673440295396E-2</v>
      </c>
      <c r="J61">
        <v>0.5</v>
      </c>
      <c r="K61">
        <f t="shared" si="5"/>
        <v>-0.18990958186528423</v>
      </c>
      <c r="L61">
        <f t="shared" si="2"/>
        <v>3.5750876977431269E-2</v>
      </c>
      <c r="M61">
        <f t="shared" si="6"/>
        <v>5.0157755772543965E-2</v>
      </c>
      <c r="N61">
        <f t="shared" si="7"/>
        <v>2.873858087813343E-2</v>
      </c>
      <c r="O61">
        <f t="shared" si="8"/>
        <v>3.2027711575534364E-2</v>
      </c>
    </row>
    <row r="62" spans="1:15" x14ac:dyDescent="0.25">
      <c r="A62" s="18">
        <f t="shared" si="3"/>
        <v>38687</v>
      </c>
      <c r="B62">
        <f>'2-state flows'!B697</f>
        <v>150030</v>
      </c>
      <c r="C62">
        <f>'2-state flows'!C697</f>
        <v>7279</v>
      </c>
      <c r="D62">
        <f>'raw JOLTS data'!D74</f>
        <v>4278</v>
      </c>
      <c r="E62">
        <f t="shared" si="0"/>
        <v>4.8516963274011865E-2</v>
      </c>
      <c r="F62">
        <f t="shared" si="1"/>
        <v>2.8514297140571885E-2</v>
      </c>
      <c r="G62">
        <f>'2-state flows'!G697</f>
        <v>0.56606738320288053</v>
      </c>
      <c r="H62">
        <f>'2-state flows'!H697</f>
        <v>2.6867773638829643E-2</v>
      </c>
      <c r="I62">
        <f t="shared" si="4"/>
        <v>-2.7292185030031741E-2</v>
      </c>
      <c r="J62">
        <v>0.5</v>
      </c>
      <c r="K62">
        <f t="shared" si="5"/>
        <v>-0.2444939519253477</v>
      </c>
      <c r="L62">
        <f t="shared" si="2"/>
        <v>3.641204285060385E-2</v>
      </c>
      <c r="M62">
        <f t="shared" si="6"/>
        <v>4.9540483610839202E-2</v>
      </c>
      <c r="N62">
        <f t="shared" si="7"/>
        <v>2.8740432364627772E-2</v>
      </c>
      <c r="O62">
        <f t="shared" si="8"/>
        <v>3.3721087247070403E-2</v>
      </c>
    </row>
    <row r="63" spans="1:15" x14ac:dyDescent="0.25">
      <c r="A63" s="18">
        <f t="shared" si="3"/>
        <v>38718</v>
      </c>
      <c r="B63">
        <f>'2-state flows'!B698</f>
        <v>150214</v>
      </c>
      <c r="C63">
        <f>'2-state flows'!C698</f>
        <v>7064</v>
      </c>
      <c r="D63">
        <f>'raw JOLTS data'!D75</f>
        <v>4296</v>
      </c>
      <c r="E63">
        <f t="shared" si="0"/>
        <v>4.7026242560613524E-2</v>
      </c>
      <c r="F63">
        <f t="shared" si="1"/>
        <v>2.8599198476839709E-2</v>
      </c>
      <c r="G63">
        <f>'2-state flows'!G698</f>
        <v>0.52119440757930147</v>
      </c>
      <c r="H63">
        <f>'2-state flows'!H698</f>
        <v>2.6808142064896127E-2</v>
      </c>
      <c r="I63">
        <f t="shared" si="4"/>
        <v>-2.2219126654705553E-3</v>
      </c>
      <c r="J63">
        <v>0.5</v>
      </c>
      <c r="K63">
        <f t="shared" si="5"/>
        <v>-0.24893777725628882</v>
      </c>
      <c r="L63">
        <f t="shared" si="2"/>
        <v>3.668311140349511E-2</v>
      </c>
      <c r="M63">
        <f t="shared" si="6"/>
        <v>4.8653785989566878E-2</v>
      </c>
      <c r="N63">
        <f t="shared" si="7"/>
        <v>2.8893561056490793E-2</v>
      </c>
      <c r="O63">
        <f t="shared" si="8"/>
        <v>3.6282010410510074E-2</v>
      </c>
    </row>
    <row r="64" spans="1:15" x14ac:dyDescent="0.25">
      <c r="A64" s="18">
        <f t="shared" si="3"/>
        <v>38749</v>
      </c>
      <c r="B64">
        <f>'2-state flows'!B699</f>
        <v>150641</v>
      </c>
      <c r="C64">
        <f>'2-state flows'!C699</f>
        <v>7184</v>
      </c>
      <c r="D64">
        <f>'raw JOLTS data'!D76</f>
        <v>4282</v>
      </c>
      <c r="E64">
        <f t="shared" si="0"/>
        <v>4.7689540032262133E-2</v>
      </c>
      <c r="F64">
        <f t="shared" si="1"/>
        <v>2.8425196327692991E-2</v>
      </c>
      <c r="G64">
        <f>'2-state flows'!G699</f>
        <v>0.58867681598019717</v>
      </c>
      <c r="H64">
        <f>'2-state flows'!H699</f>
        <v>2.8433357017958617E-2</v>
      </c>
      <c r="I64">
        <f t="shared" si="4"/>
        <v>5.8857349049137177E-2</v>
      </c>
      <c r="J64">
        <v>0.5</v>
      </c>
      <c r="K64">
        <f t="shared" si="5"/>
        <v>-0.13122307915801446</v>
      </c>
      <c r="L64">
        <f t="shared" si="2"/>
        <v>3.241103741157756E-2</v>
      </c>
      <c r="M64">
        <f t="shared" si="6"/>
        <v>4.7744248622295843E-2</v>
      </c>
      <c r="N64">
        <f t="shared" si="7"/>
        <v>2.8512897315034858E-2</v>
      </c>
      <c r="O64">
        <f t="shared" si="8"/>
        <v>3.5168730555225507E-2</v>
      </c>
    </row>
    <row r="65" spans="1:15" x14ac:dyDescent="0.25">
      <c r="A65" s="18">
        <f t="shared" si="3"/>
        <v>38777</v>
      </c>
      <c r="B65">
        <f>'2-state flows'!B700</f>
        <v>150813</v>
      </c>
      <c r="C65">
        <f>'2-state flows'!C700</f>
        <v>7072</v>
      </c>
      <c r="D65">
        <f>'raw JOLTS data'!D77</f>
        <v>4472</v>
      </c>
      <c r="E65">
        <f t="shared" si="0"/>
        <v>4.6892509266442547E-2</v>
      </c>
      <c r="F65">
        <f t="shared" si="1"/>
        <v>2.9652616153779846E-2</v>
      </c>
      <c r="G65">
        <f>'2-state flows'!G700</f>
        <v>0.56272440427315551</v>
      </c>
      <c r="H65">
        <f>'2-state flows'!H700</f>
        <v>2.8128062158613892E-2</v>
      </c>
      <c r="I65">
        <f t="shared" si="4"/>
        <v>-1.079526746851322E-2</v>
      </c>
      <c r="J65">
        <v>0.5</v>
      </c>
      <c r="K65">
        <f t="shared" si="5"/>
        <v>-0.15281361409504091</v>
      </c>
      <c r="L65">
        <f t="shared" si="2"/>
        <v>3.4548494342478045E-2</v>
      </c>
      <c r="M65">
        <f t="shared" si="6"/>
        <v>4.7202763953106075E-2</v>
      </c>
      <c r="N65">
        <f t="shared" si="7"/>
        <v>2.8892336986104179E-2</v>
      </c>
      <c r="O65">
        <f t="shared" si="8"/>
        <v>3.4547547719183572E-2</v>
      </c>
    </row>
    <row r="66" spans="1:15" x14ac:dyDescent="0.25">
      <c r="A66" s="18">
        <f>DATE(YEAR(A65),MONTH(A65)+1,1)</f>
        <v>38808</v>
      </c>
      <c r="B66">
        <f>'2-state flows'!B701</f>
        <v>150881</v>
      </c>
      <c r="C66">
        <f>'2-state flows'!C701</f>
        <v>7120</v>
      </c>
      <c r="D66">
        <f>'raw JOLTS data'!D78</f>
        <v>4438</v>
      </c>
      <c r="E66">
        <f t="shared" si="0"/>
        <v>4.7189506962440599E-2</v>
      </c>
      <c r="F66">
        <f t="shared" si="1"/>
        <v>2.9413908974622385E-2</v>
      </c>
      <c r="G66">
        <f>'2-state flows'!G701</f>
        <v>0.56968740423326059</v>
      </c>
      <c r="H66">
        <f>'2-state flows'!H701</f>
        <v>2.6921650712523712E-2</v>
      </c>
      <c r="I66">
        <f t="shared" si="4"/>
        <v>-4.383690926471525E-2</v>
      </c>
      <c r="J66">
        <v>0.5</v>
      </c>
      <c r="K66">
        <f t="shared" si="5"/>
        <v>-0.24048743262447142</v>
      </c>
      <c r="L66">
        <f t="shared" si="2"/>
        <v>3.7410637513360906E-2</v>
      </c>
      <c r="M66">
        <f t="shared" si="6"/>
        <v>4.7257185420381757E-2</v>
      </c>
      <c r="N66">
        <f t="shared" si="7"/>
        <v>2.9163907152031741E-2</v>
      </c>
      <c r="O66">
        <f t="shared" si="8"/>
        <v>3.4790056422472175E-2</v>
      </c>
    </row>
    <row r="67" spans="1:15" x14ac:dyDescent="0.25">
      <c r="A67" s="18">
        <f t="shared" si="3"/>
        <v>38838</v>
      </c>
      <c r="B67">
        <f>'2-state flows'!B702</f>
        <v>151069</v>
      </c>
      <c r="C67">
        <f>'2-state flows'!C702</f>
        <v>6980</v>
      </c>
      <c r="D67">
        <f>'raw JOLTS data'!D79</f>
        <v>4487</v>
      </c>
      <c r="E67">
        <f t="shared" ref="E67:E130" si="9">C67/B67</f>
        <v>4.6204052452852667E-2</v>
      </c>
      <c r="F67">
        <f t="shared" ref="F67:F130" si="10">D67/B67</f>
        <v>2.9701659506583083E-2</v>
      </c>
      <c r="G67">
        <f>'2-state flows'!G702</f>
        <v>0.59155306119708606</v>
      </c>
      <c r="H67">
        <f>'2-state flows'!H702</f>
        <v>2.8851778650509492E-2</v>
      </c>
      <c r="I67">
        <f t="shared" si="4"/>
        <v>6.9240820633888103E-2</v>
      </c>
      <c r="J67">
        <v>0.5</v>
      </c>
      <c r="K67">
        <f t="shared" si="5"/>
        <v>-0.10200579135669521</v>
      </c>
      <c r="L67">
        <f t="shared" ref="L67:L130" si="11">F67/EXP(K67)</f>
        <v>3.2891317305280054E-2</v>
      </c>
      <c r="M67">
        <f t="shared" si="6"/>
        <v>4.6762022893911938E-2</v>
      </c>
      <c r="N67">
        <f t="shared" si="7"/>
        <v>2.9589394878328439E-2</v>
      </c>
      <c r="O67">
        <f t="shared" si="8"/>
        <v>3.4950149720373004E-2</v>
      </c>
    </row>
    <row r="68" spans="1:15" x14ac:dyDescent="0.25">
      <c r="A68" s="18">
        <f t="shared" ref="A68:A120" si="12">DATE(YEAR(A67),MONTH(A67)+1,1)</f>
        <v>38869</v>
      </c>
      <c r="B68">
        <f>'2-state flows'!B703</f>
        <v>151354</v>
      </c>
      <c r="C68">
        <f>'2-state flows'!C703</f>
        <v>7001</v>
      </c>
      <c r="D68">
        <f>'raw JOLTS data'!D80</f>
        <v>4333</v>
      </c>
      <c r="E68">
        <f t="shared" si="9"/>
        <v>4.625579766639798E-2</v>
      </c>
      <c r="F68">
        <f t="shared" si="10"/>
        <v>2.8628249005642401E-2</v>
      </c>
      <c r="G68">
        <f>'2-state flows'!G703</f>
        <v>0.55510945906105846</v>
      </c>
      <c r="H68">
        <f>'2-state flows'!H703</f>
        <v>2.8513488326554454E-2</v>
      </c>
      <c r="I68">
        <f t="shared" ref="I68:I131" si="13">LN(H68/H67)</f>
        <v>-1.179439278638689E-2</v>
      </c>
      <c r="J68">
        <v>0.5</v>
      </c>
      <c r="K68">
        <f t="shared" si="5"/>
        <v>-0.12559457692946899</v>
      </c>
      <c r="L68">
        <f t="shared" si="11"/>
        <v>3.2459349918957249E-2</v>
      </c>
      <c r="M68">
        <f t="shared" si="6"/>
        <v>4.6549785693897082E-2</v>
      </c>
      <c r="N68">
        <f t="shared" si="7"/>
        <v>2.9247939162282622E-2</v>
      </c>
      <c r="O68">
        <f t="shared" si="8"/>
        <v>3.4253768245866067E-2</v>
      </c>
    </row>
    <row r="69" spans="1:15" x14ac:dyDescent="0.25">
      <c r="A69" s="18">
        <f t="shared" si="12"/>
        <v>38899</v>
      </c>
      <c r="B69">
        <f>'2-state flows'!B704</f>
        <v>151377</v>
      </c>
      <c r="C69">
        <f>'2-state flows'!C704</f>
        <v>7175</v>
      </c>
      <c r="D69">
        <f>'raw JOLTS data'!D81</f>
        <v>4076</v>
      </c>
      <c r="E69">
        <f t="shared" si="9"/>
        <v>4.7398217694894204E-2</v>
      </c>
      <c r="F69">
        <f t="shared" si="10"/>
        <v>2.6926151264723176E-2</v>
      </c>
      <c r="G69">
        <f>'2-state flows'!G704</f>
        <v>0.5665863675381777</v>
      </c>
      <c r="H69">
        <f>'2-state flows'!H704</f>
        <v>2.7418852976945227E-2</v>
      </c>
      <c r="I69">
        <f t="shared" si="13"/>
        <v>-3.9146408293494951E-2</v>
      </c>
      <c r="J69">
        <v>0.5</v>
      </c>
      <c r="K69">
        <f t="shared" ref="K69:K132" si="14">K68+(I69/(1-J69))</f>
        <v>-0.2038873935164589</v>
      </c>
      <c r="L69">
        <f t="shared" si="11"/>
        <v>3.3015771576342549E-2</v>
      </c>
      <c r="M69">
        <f t="shared" ref="M69:M132" si="15">AVERAGE(E67:E69)</f>
        <v>4.6619355938048279E-2</v>
      </c>
      <c r="N69">
        <f t="shared" ref="N69:N132" si="16">AVERAGE(F67:F69)</f>
        <v>2.8418686592316222E-2</v>
      </c>
      <c r="O69">
        <f t="shared" ref="O69:O132" si="17">AVERAGE(L67:L69)</f>
        <v>3.2788812933526618E-2</v>
      </c>
    </row>
    <row r="70" spans="1:15" x14ac:dyDescent="0.25">
      <c r="A70" s="18">
        <f t="shared" si="12"/>
        <v>38930</v>
      </c>
      <c r="B70">
        <f>'2-state flows'!B705</f>
        <v>151716</v>
      </c>
      <c r="C70">
        <f>'2-state flows'!C705</f>
        <v>7091</v>
      </c>
      <c r="D70">
        <f>'raw JOLTS data'!D82</f>
        <v>4498</v>
      </c>
      <c r="E70">
        <f t="shared" si="9"/>
        <v>4.6738643254501833E-2</v>
      </c>
      <c r="F70">
        <f t="shared" si="10"/>
        <v>2.964749927496111E-2</v>
      </c>
      <c r="G70">
        <f>'2-state flows'!G705</f>
        <v>0.61812579126068856</v>
      </c>
      <c r="H70">
        <f>'2-state flows'!H705</f>
        <v>2.8016387343299566E-2</v>
      </c>
      <c r="I70">
        <f t="shared" si="13"/>
        <v>2.1558759598792089E-2</v>
      </c>
      <c r="J70">
        <v>0.5</v>
      </c>
      <c r="K70">
        <f t="shared" si="14"/>
        <v>-0.16076987431887474</v>
      </c>
      <c r="L70">
        <f t="shared" si="11"/>
        <v>3.4818458217778167E-2</v>
      </c>
      <c r="M70">
        <f t="shared" si="15"/>
        <v>4.6797552871931346E-2</v>
      </c>
      <c r="N70">
        <f t="shared" si="16"/>
        <v>2.8400633181775565E-2</v>
      </c>
      <c r="O70">
        <f t="shared" si="17"/>
        <v>3.3431193237692655E-2</v>
      </c>
    </row>
    <row r="71" spans="1:15" x14ac:dyDescent="0.25">
      <c r="A71" s="18">
        <f t="shared" si="12"/>
        <v>38961</v>
      </c>
      <c r="B71">
        <f>'2-state flows'!B706</f>
        <v>151662</v>
      </c>
      <c r="C71">
        <f>'2-state flows'!C706</f>
        <v>6847</v>
      </c>
      <c r="D71">
        <f>'raw JOLTS data'!D83</f>
        <v>4563</v>
      </c>
      <c r="E71">
        <f t="shared" si="9"/>
        <v>4.5146444066410836E-2</v>
      </c>
      <c r="F71">
        <f t="shared" si="10"/>
        <v>3.0086640028484393E-2</v>
      </c>
      <c r="G71">
        <f>'2-state flows'!G706</f>
        <v>0.61752311400123694</v>
      </c>
      <c r="H71">
        <f>'2-state flows'!H706</f>
        <v>2.8072408312306049E-2</v>
      </c>
      <c r="I71">
        <f t="shared" si="13"/>
        <v>1.997582118859924E-3</v>
      </c>
      <c r="J71">
        <v>0.5</v>
      </c>
      <c r="K71">
        <f t="shared" si="14"/>
        <v>-0.1567747100811549</v>
      </c>
      <c r="L71">
        <f t="shared" si="11"/>
        <v>3.5193307279806574E-2</v>
      </c>
      <c r="M71">
        <f t="shared" si="15"/>
        <v>4.6427768338602293E-2</v>
      </c>
      <c r="N71">
        <f t="shared" si="16"/>
        <v>2.8886763522722892E-2</v>
      </c>
      <c r="O71">
        <f t="shared" si="17"/>
        <v>3.4342512357975759E-2</v>
      </c>
    </row>
    <row r="72" spans="1:15" x14ac:dyDescent="0.25">
      <c r="A72" s="18">
        <f t="shared" si="12"/>
        <v>38991</v>
      </c>
      <c r="B72">
        <f>'2-state flows'!B707</f>
        <v>152041</v>
      </c>
      <c r="C72">
        <f>'2-state flows'!C707</f>
        <v>6727</v>
      </c>
      <c r="D72">
        <f>'raw JOLTS data'!D84</f>
        <v>4434</v>
      </c>
      <c r="E72">
        <f t="shared" si="9"/>
        <v>4.4244644536671027E-2</v>
      </c>
      <c r="F72">
        <f t="shared" si="10"/>
        <v>2.9163186245815275E-2</v>
      </c>
      <c r="G72">
        <f>'2-state flows'!G707</f>
        <v>0.53007719138784348</v>
      </c>
      <c r="H72">
        <f>'2-state flows'!H707</f>
        <v>2.5839550102187445E-2</v>
      </c>
      <c r="I72">
        <f t="shared" si="13"/>
        <v>-8.2880915498829283E-2</v>
      </c>
      <c r="J72">
        <v>0.5</v>
      </c>
      <c r="K72">
        <f t="shared" si="14"/>
        <v>-0.32253654107881347</v>
      </c>
      <c r="L72">
        <f t="shared" si="11"/>
        <v>4.0263433910865114E-2</v>
      </c>
      <c r="M72">
        <f t="shared" si="15"/>
        <v>4.5376577285861232E-2</v>
      </c>
      <c r="N72">
        <f t="shared" si="16"/>
        <v>2.9632441849753593E-2</v>
      </c>
      <c r="O72">
        <f t="shared" si="17"/>
        <v>3.6758399802816616E-2</v>
      </c>
    </row>
    <row r="73" spans="1:15" x14ac:dyDescent="0.25">
      <c r="A73" s="18">
        <f t="shared" si="12"/>
        <v>39022</v>
      </c>
      <c r="B73">
        <f>'2-state flows'!B708</f>
        <v>152406</v>
      </c>
      <c r="C73">
        <f>'2-state flows'!C708</f>
        <v>6872</v>
      </c>
      <c r="D73">
        <f>'raw JOLTS data'!D85</f>
        <v>4705</v>
      </c>
      <c r="E73">
        <f t="shared" si="9"/>
        <v>4.5090088316732939E-2</v>
      </c>
      <c r="F73">
        <f t="shared" si="10"/>
        <v>3.087148799916014E-2</v>
      </c>
      <c r="G73">
        <f>'2-state flows'!G708</f>
        <v>0.60552869259486686</v>
      </c>
      <c r="H73">
        <f>'2-state flows'!H708</f>
        <v>2.7572407590042945E-2</v>
      </c>
      <c r="I73">
        <f t="shared" si="13"/>
        <v>6.4909279809544806E-2</v>
      </c>
      <c r="J73">
        <v>0.5</v>
      </c>
      <c r="K73">
        <f t="shared" si="14"/>
        <v>-0.19271798145972385</v>
      </c>
      <c r="L73">
        <f t="shared" si="11"/>
        <v>3.7432938333142207E-2</v>
      </c>
      <c r="M73">
        <f t="shared" si="15"/>
        <v>4.4827058973271605E-2</v>
      </c>
      <c r="N73">
        <f t="shared" si="16"/>
        <v>3.0040438091153272E-2</v>
      </c>
      <c r="O73">
        <f t="shared" si="17"/>
        <v>3.7629893174604634E-2</v>
      </c>
    </row>
    <row r="74" spans="1:15" x14ac:dyDescent="0.25">
      <c r="A74" s="18">
        <f t="shared" si="12"/>
        <v>39052</v>
      </c>
      <c r="B74">
        <f>'2-state flows'!B709</f>
        <v>152732</v>
      </c>
      <c r="C74">
        <f>'2-state flows'!C709</f>
        <v>6762</v>
      </c>
      <c r="D74">
        <f>'raw JOLTS data'!D86</f>
        <v>4583</v>
      </c>
      <c r="E74">
        <f t="shared" si="9"/>
        <v>4.4273629625749676E-2</v>
      </c>
      <c r="F74">
        <f t="shared" si="10"/>
        <v>3.0006809313045071E-2</v>
      </c>
      <c r="G74">
        <f>'2-state flows'!G709</f>
        <v>0.48935801628899378</v>
      </c>
      <c r="H74">
        <f>'2-state flows'!H709</f>
        <v>2.5772492878175506E-2</v>
      </c>
      <c r="I74">
        <f t="shared" si="13"/>
        <v>-6.7507792012202597E-2</v>
      </c>
      <c r="J74">
        <v>0.5</v>
      </c>
      <c r="K74">
        <f t="shared" si="14"/>
        <v>-0.32773356548412902</v>
      </c>
      <c r="L74">
        <f t="shared" si="11"/>
        <v>4.1644024898116964E-2</v>
      </c>
      <c r="M74">
        <f t="shared" si="15"/>
        <v>4.453612082638455E-2</v>
      </c>
      <c r="N74">
        <f t="shared" si="16"/>
        <v>3.0013827852673494E-2</v>
      </c>
      <c r="O74">
        <f t="shared" si="17"/>
        <v>3.97801323807081E-2</v>
      </c>
    </row>
    <row r="75" spans="1:15" x14ac:dyDescent="0.25">
      <c r="A75" s="18">
        <f t="shared" si="12"/>
        <v>39083</v>
      </c>
      <c r="B75">
        <f>'2-state flows'!B710</f>
        <v>153144</v>
      </c>
      <c r="C75">
        <f>'2-state flows'!C710</f>
        <v>7116</v>
      </c>
      <c r="D75">
        <f>'raw JOLTS data'!D87</f>
        <v>4602</v>
      </c>
      <c r="E75">
        <f t="shared" si="9"/>
        <v>4.6466071148722768E-2</v>
      </c>
      <c r="F75">
        <f t="shared" si="10"/>
        <v>3.0050148879485972E-2</v>
      </c>
      <c r="G75">
        <f>'2-state flows'!G710</f>
        <v>0.59087067358204881</v>
      </c>
      <c r="H75">
        <f>'2-state flows'!H710</f>
        <v>2.7058272313499956E-2</v>
      </c>
      <c r="I75">
        <f t="shared" si="13"/>
        <v>4.8685018542491708E-2</v>
      </c>
      <c r="J75">
        <v>0.5</v>
      </c>
      <c r="K75">
        <f t="shared" si="14"/>
        <v>-0.23036352839914559</v>
      </c>
      <c r="L75">
        <f t="shared" si="11"/>
        <v>3.7834869227854742E-2</v>
      </c>
      <c r="M75">
        <f t="shared" si="15"/>
        <v>4.5276596363735128E-2</v>
      </c>
      <c r="N75">
        <f t="shared" si="16"/>
        <v>3.0309482063897063E-2</v>
      </c>
      <c r="O75">
        <f t="shared" si="17"/>
        <v>3.897061081970464E-2</v>
      </c>
    </row>
    <row r="76" spans="1:15" x14ac:dyDescent="0.25">
      <c r="A76" s="18">
        <f t="shared" si="12"/>
        <v>39114</v>
      </c>
      <c r="B76">
        <f>'2-state flows'!B711</f>
        <v>152983</v>
      </c>
      <c r="C76">
        <f>'2-state flows'!C711</f>
        <v>6927</v>
      </c>
      <c r="D76">
        <f>'raw JOLTS data'!D88</f>
        <v>4483</v>
      </c>
      <c r="E76">
        <f t="shared" si="9"/>
        <v>4.5279540864017573E-2</v>
      </c>
      <c r="F76">
        <f t="shared" si="10"/>
        <v>2.9303909584725101E-2</v>
      </c>
      <c r="G76">
        <f>'2-state flows'!G711</f>
        <v>0.53550572500592053</v>
      </c>
      <c r="H76">
        <f>'2-state flows'!H711</f>
        <v>2.3645527223728563E-2</v>
      </c>
      <c r="I76">
        <f t="shared" si="13"/>
        <v>-0.13481880087721862</v>
      </c>
      <c r="J76">
        <v>0.5</v>
      </c>
      <c r="K76">
        <f t="shared" si="14"/>
        <v>-0.50000113015358283</v>
      </c>
      <c r="L76">
        <f t="shared" si="11"/>
        <v>4.8314033649257009E-2</v>
      </c>
      <c r="M76">
        <f t="shared" si="15"/>
        <v>4.5339747212829996E-2</v>
      </c>
      <c r="N76">
        <f t="shared" si="16"/>
        <v>2.9786955925752048E-2</v>
      </c>
      <c r="O76">
        <f t="shared" si="17"/>
        <v>4.2597642591742903E-2</v>
      </c>
    </row>
    <row r="77" spans="1:15" x14ac:dyDescent="0.25">
      <c r="A77" s="18">
        <f t="shared" si="12"/>
        <v>39142</v>
      </c>
      <c r="B77">
        <f>'2-state flows'!B712</f>
        <v>153051</v>
      </c>
      <c r="C77">
        <f>'2-state flows'!C712</f>
        <v>6731</v>
      </c>
      <c r="D77">
        <f>'raw JOLTS data'!D89</f>
        <v>4707</v>
      </c>
      <c r="E77">
        <f t="shared" si="9"/>
        <v>4.3978804450803981E-2</v>
      </c>
      <c r="F77">
        <f t="shared" si="10"/>
        <v>3.0754454397553758E-2</v>
      </c>
      <c r="G77">
        <f>'2-state flows'!G712</f>
        <v>0.52016939370282778</v>
      </c>
      <c r="H77">
        <f>'2-state flows'!H712</f>
        <v>2.4983799157624175E-2</v>
      </c>
      <c r="I77">
        <f t="shared" si="13"/>
        <v>5.5053607789189024E-2</v>
      </c>
      <c r="J77">
        <v>0.5</v>
      </c>
      <c r="K77">
        <f t="shared" si="14"/>
        <v>-0.38989391457520478</v>
      </c>
      <c r="L77">
        <f t="shared" si="11"/>
        <v>4.5418919930527941E-2</v>
      </c>
      <c r="M77">
        <f t="shared" si="15"/>
        <v>4.5241472154514774E-2</v>
      </c>
      <c r="N77">
        <f t="shared" si="16"/>
        <v>3.0036170953921609E-2</v>
      </c>
      <c r="O77">
        <f t="shared" si="17"/>
        <v>4.385594093587989E-2</v>
      </c>
    </row>
    <row r="78" spans="1:15" x14ac:dyDescent="0.25">
      <c r="A78" s="18">
        <f t="shared" si="12"/>
        <v>39173</v>
      </c>
      <c r="B78">
        <f>'2-state flows'!B713</f>
        <v>152435</v>
      </c>
      <c r="C78">
        <f>'2-state flows'!C713</f>
        <v>6850</v>
      </c>
      <c r="D78">
        <f>'raw JOLTS data'!D90</f>
        <v>4498</v>
      </c>
      <c r="E78">
        <f t="shared" si="9"/>
        <v>4.4937186341719421E-2</v>
      </c>
      <c r="F78">
        <f t="shared" si="10"/>
        <v>2.9507659002197657E-2</v>
      </c>
      <c r="G78">
        <f>'2-state flows'!G713</f>
        <v>0.56128433246662723</v>
      </c>
      <c r="H78">
        <f>'2-state flows'!H713</f>
        <v>2.5646521586178025E-2</v>
      </c>
      <c r="I78">
        <f t="shared" si="13"/>
        <v>2.6180370636923477E-2</v>
      </c>
      <c r="J78">
        <v>0.5</v>
      </c>
      <c r="K78">
        <f t="shared" si="14"/>
        <v>-0.33753317330135785</v>
      </c>
      <c r="L78">
        <f t="shared" si="11"/>
        <v>4.1354573921592551E-2</v>
      </c>
      <c r="M78">
        <f t="shared" si="15"/>
        <v>4.4731843885513656E-2</v>
      </c>
      <c r="N78">
        <f t="shared" si="16"/>
        <v>2.9855340994825508E-2</v>
      </c>
      <c r="O78">
        <f t="shared" si="17"/>
        <v>4.5029175833792505E-2</v>
      </c>
    </row>
    <row r="79" spans="1:15" x14ac:dyDescent="0.25">
      <c r="A79" s="18">
        <f t="shared" si="12"/>
        <v>39203</v>
      </c>
      <c r="B79">
        <f>'2-state flows'!B714</f>
        <v>152670</v>
      </c>
      <c r="C79">
        <f>'2-state flows'!C714</f>
        <v>6766</v>
      </c>
      <c r="D79">
        <f>'raw JOLTS data'!D91</f>
        <v>4479</v>
      </c>
      <c r="E79">
        <f t="shared" si="9"/>
        <v>4.4317809654811031E-2</v>
      </c>
      <c r="F79">
        <f t="shared" si="10"/>
        <v>2.9337787384554923E-2</v>
      </c>
      <c r="G79">
        <f>'2-state flows'!G714</f>
        <v>0.52066796951469241</v>
      </c>
      <c r="H79">
        <f>'2-state flows'!H714</f>
        <v>2.6040019067683294E-2</v>
      </c>
      <c r="I79">
        <f t="shared" si="13"/>
        <v>1.5226597840503774E-2</v>
      </c>
      <c r="J79">
        <v>0.5</v>
      </c>
      <c r="K79">
        <f t="shared" si="14"/>
        <v>-0.30707997762035028</v>
      </c>
      <c r="L79">
        <f t="shared" si="11"/>
        <v>3.9883245943961677E-2</v>
      </c>
      <c r="M79">
        <f t="shared" si="15"/>
        <v>4.4411266815778144E-2</v>
      </c>
      <c r="N79">
        <f t="shared" si="16"/>
        <v>2.9866633594768779E-2</v>
      </c>
      <c r="O79">
        <f t="shared" si="17"/>
        <v>4.2218913265360723E-2</v>
      </c>
    </row>
    <row r="80" spans="1:15" x14ac:dyDescent="0.25">
      <c r="A80" s="18">
        <f t="shared" si="12"/>
        <v>39234</v>
      </c>
      <c r="B80">
        <f>'2-state flows'!B715</f>
        <v>153041</v>
      </c>
      <c r="C80">
        <f>'2-state flows'!C715</f>
        <v>6979</v>
      </c>
      <c r="D80">
        <f>'raw JOLTS data'!D92</f>
        <v>4690</v>
      </c>
      <c r="E80">
        <f t="shared" si="9"/>
        <v>4.5602158898595799E-2</v>
      </c>
      <c r="F80">
        <f t="shared" si="10"/>
        <v>3.0645382609888853E-2</v>
      </c>
      <c r="G80">
        <f>'2-state flows'!G715</f>
        <v>0.49676813884661036</v>
      </c>
      <c r="H80">
        <f>'2-state flows'!H715</f>
        <v>2.5230090696724355E-2</v>
      </c>
      <c r="I80">
        <f t="shared" si="13"/>
        <v>-3.1597192142654253E-2</v>
      </c>
      <c r="J80">
        <v>0.5</v>
      </c>
      <c r="K80">
        <f t="shared" si="14"/>
        <v>-0.37027436190565877</v>
      </c>
      <c r="L80">
        <f t="shared" si="11"/>
        <v>4.4378555298806702E-2</v>
      </c>
      <c r="M80">
        <f t="shared" si="15"/>
        <v>4.4952384965042079E-2</v>
      </c>
      <c r="N80">
        <f t="shared" si="16"/>
        <v>2.9830276332213811E-2</v>
      </c>
      <c r="O80">
        <f t="shared" si="17"/>
        <v>4.187212505478697E-2</v>
      </c>
    </row>
    <row r="81" spans="1:15" x14ac:dyDescent="0.25">
      <c r="A81" s="18">
        <f t="shared" si="12"/>
        <v>39264</v>
      </c>
      <c r="B81">
        <f>'2-state flows'!B716</f>
        <v>153054</v>
      </c>
      <c r="C81">
        <f>'2-state flows'!C716</f>
        <v>7149</v>
      </c>
      <c r="D81">
        <f>'raw JOLTS data'!D93</f>
        <v>4404</v>
      </c>
      <c r="E81">
        <f t="shared" si="9"/>
        <v>4.670900466502019E-2</v>
      </c>
      <c r="F81">
        <f t="shared" si="10"/>
        <v>2.8774158140264221E-2</v>
      </c>
      <c r="G81">
        <f>'2-state flows'!G716</f>
        <v>0.57202566638568486</v>
      </c>
      <c r="H81">
        <f>'2-state flows'!H716</f>
        <v>2.728076569202911E-2</v>
      </c>
      <c r="I81">
        <f t="shared" si="13"/>
        <v>7.8144543027647229E-2</v>
      </c>
      <c r="J81">
        <v>0.5</v>
      </c>
      <c r="K81">
        <f t="shared" si="14"/>
        <v>-0.21398527585036431</v>
      </c>
      <c r="L81">
        <f t="shared" si="11"/>
        <v>3.5639799375538322E-2</v>
      </c>
      <c r="M81">
        <f t="shared" si="15"/>
        <v>4.5542991072809014E-2</v>
      </c>
      <c r="N81">
        <f t="shared" si="16"/>
        <v>2.958577604490267E-2</v>
      </c>
      <c r="O81">
        <f t="shared" si="17"/>
        <v>3.9967200206102234E-2</v>
      </c>
    </row>
    <row r="82" spans="1:15" x14ac:dyDescent="0.25">
      <c r="A82" s="18">
        <f t="shared" si="12"/>
        <v>39295</v>
      </c>
      <c r="B82">
        <f>'2-state flows'!B717</f>
        <v>152749</v>
      </c>
      <c r="C82">
        <f>'2-state flows'!C717</f>
        <v>7067</v>
      </c>
      <c r="D82">
        <f>'raw JOLTS data'!D94</f>
        <v>4491</v>
      </c>
      <c r="E82">
        <f t="shared" si="9"/>
        <v>4.6265441999620294E-2</v>
      </c>
      <c r="F82">
        <f t="shared" si="10"/>
        <v>2.9401174475773981E-2</v>
      </c>
      <c r="G82">
        <f>'2-state flows'!G717</f>
        <v>0.51942815334498471</v>
      </c>
      <c r="H82">
        <f>'2-state flows'!H717</f>
        <v>2.6114661972270234E-2</v>
      </c>
      <c r="I82">
        <f t="shared" si="13"/>
        <v>-4.3684982481545322E-2</v>
      </c>
      <c r="J82">
        <v>0.5</v>
      </c>
      <c r="K82">
        <f t="shared" si="14"/>
        <v>-0.30135524081345494</v>
      </c>
      <c r="L82">
        <f t="shared" si="11"/>
        <v>3.9741256812955206E-2</v>
      </c>
      <c r="M82">
        <f t="shared" si="15"/>
        <v>4.6192201854412092E-2</v>
      </c>
      <c r="N82">
        <f t="shared" si="16"/>
        <v>2.9606905075309015E-2</v>
      </c>
      <c r="O82">
        <f t="shared" si="17"/>
        <v>3.9919870495766743E-2</v>
      </c>
    </row>
    <row r="83" spans="1:15" x14ac:dyDescent="0.25">
      <c r="A83" s="18">
        <f t="shared" si="12"/>
        <v>39326</v>
      </c>
      <c r="B83">
        <f>'2-state flows'!B718</f>
        <v>153414</v>
      </c>
      <c r="C83">
        <f>'2-state flows'!C718</f>
        <v>7170</v>
      </c>
      <c r="D83">
        <f>'raw JOLTS data'!D95</f>
        <v>4536</v>
      </c>
      <c r="E83">
        <f t="shared" si="9"/>
        <v>4.673628221674684E-2</v>
      </c>
      <c r="F83">
        <f t="shared" si="10"/>
        <v>2.9567053854276663E-2</v>
      </c>
      <c r="G83">
        <f>'2-state flows'!G718</f>
        <v>0.51483177809681258</v>
      </c>
      <c r="H83">
        <f>'2-state flows'!H718</f>
        <v>2.5834088348782654E-2</v>
      </c>
      <c r="I83">
        <f t="shared" si="13"/>
        <v>-1.0802044320851918E-2</v>
      </c>
      <c r="J83">
        <v>0.5</v>
      </c>
      <c r="K83">
        <f t="shared" si="14"/>
        <v>-0.32295932945515876</v>
      </c>
      <c r="L83">
        <f t="shared" si="11"/>
        <v>4.0838286068152714E-2</v>
      </c>
      <c r="M83">
        <f t="shared" si="15"/>
        <v>4.6570242960462443E-2</v>
      </c>
      <c r="N83">
        <f t="shared" si="16"/>
        <v>2.9247462156771622E-2</v>
      </c>
      <c r="O83">
        <f t="shared" si="17"/>
        <v>3.8739780752215409E-2</v>
      </c>
    </row>
    <row r="84" spans="1:15" x14ac:dyDescent="0.25">
      <c r="A84" s="18">
        <f t="shared" si="12"/>
        <v>39356</v>
      </c>
      <c r="B84">
        <f>'2-state flows'!B719</f>
        <v>153183</v>
      </c>
      <c r="C84">
        <f>'2-state flows'!C719</f>
        <v>7237</v>
      </c>
      <c r="D84">
        <f>'raw JOLTS data'!D96</f>
        <v>4275</v>
      </c>
      <c r="E84">
        <f t="shared" si="9"/>
        <v>4.7244145890862566E-2</v>
      </c>
      <c r="F84">
        <f t="shared" si="10"/>
        <v>2.7907796557059203E-2</v>
      </c>
      <c r="G84">
        <f>'2-state flows'!G719</f>
        <v>0.55085915853310063</v>
      </c>
      <c r="H84">
        <f>'2-state flows'!H719</f>
        <v>2.7342428723142333E-2</v>
      </c>
      <c r="I84">
        <f t="shared" si="13"/>
        <v>5.674478773956991E-2</v>
      </c>
      <c r="J84">
        <v>0.5</v>
      </c>
      <c r="K84">
        <f t="shared" si="14"/>
        <v>-0.20946975397601894</v>
      </c>
      <c r="L84">
        <f t="shared" si="11"/>
        <v>3.441098518773722E-2</v>
      </c>
      <c r="M84">
        <f t="shared" si="15"/>
        <v>4.6748623369076564E-2</v>
      </c>
      <c r="N84">
        <f t="shared" si="16"/>
        <v>2.8958674962369951E-2</v>
      </c>
      <c r="O84">
        <f t="shared" si="17"/>
        <v>3.833017602294838E-2</v>
      </c>
    </row>
    <row r="85" spans="1:15" x14ac:dyDescent="0.25">
      <c r="A85" s="18">
        <f t="shared" si="12"/>
        <v>39387</v>
      </c>
      <c r="B85">
        <f>'2-state flows'!B720</f>
        <v>153835</v>
      </c>
      <c r="C85">
        <f>'2-state flows'!C720</f>
        <v>7240</v>
      </c>
      <c r="D85">
        <f>'raw JOLTS data'!D97</f>
        <v>4396</v>
      </c>
      <c r="E85">
        <f t="shared" si="9"/>
        <v>4.7063412097377057E-2</v>
      </c>
      <c r="F85">
        <f t="shared" si="10"/>
        <v>2.8576071765202979E-2</v>
      </c>
      <c r="G85">
        <f>'2-state flows'!G720</f>
        <v>0.47729645571974094</v>
      </c>
      <c r="H85">
        <f>'2-state flows'!H720</f>
        <v>2.7090383660092619E-2</v>
      </c>
      <c r="I85">
        <f t="shared" si="13"/>
        <v>-9.2608429864740778E-3</v>
      </c>
      <c r="J85">
        <v>0.5</v>
      </c>
      <c r="K85">
        <f t="shared" si="14"/>
        <v>-0.22799143994896709</v>
      </c>
      <c r="L85">
        <f t="shared" si="11"/>
        <v>3.5893677149749795E-2</v>
      </c>
      <c r="M85">
        <f t="shared" si="15"/>
        <v>4.7014613401662152E-2</v>
      </c>
      <c r="N85">
        <f t="shared" si="16"/>
        <v>2.8683640725512948E-2</v>
      </c>
      <c r="O85">
        <f t="shared" si="17"/>
        <v>3.7047649468546572E-2</v>
      </c>
    </row>
    <row r="86" spans="1:15" x14ac:dyDescent="0.25">
      <c r="A86" s="18">
        <f t="shared" si="12"/>
        <v>39417</v>
      </c>
      <c r="B86">
        <f>'2-state flows'!B721</f>
        <v>153918</v>
      </c>
      <c r="C86">
        <f>'2-state flows'!C721</f>
        <v>7645</v>
      </c>
      <c r="D86">
        <f>'raw JOLTS data'!D98</f>
        <v>4256</v>
      </c>
      <c r="E86">
        <f t="shared" si="9"/>
        <v>4.9669304434828934E-2</v>
      </c>
      <c r="F86">
        <f t="shared" si="10"/>
        <v>2.7651086942397901E-2</v>
      </c>
      <c r="G86">
        <f>'2-state flows'!G721</f>
        <v>0.48174316474191042</v>
      </c>
      <c r="H86">
        <f>'2-state flows'!H721</f>
        <v>2.5527103969889796E-2</v>
      </c>
      <c r="I86">
        <f t="shared" si="13"/>
        <v>-5.9438029956401107E-2</v>
      </c>
      <c r="J86">
        <v>0.5</v>
      </c>
      <c r="K86">
        <f t="shared" si="14"/>
        <v>-0.34686749986176929</v>
      </c>
      <c r="L86">
        <f t="shared" si="11"/>
        <v>3.9116037057077974E-2</v>
      </c>
      <c r="M86">
        <f t="shared" si="15"/>
        <v>4.7992287474356188E-2</v>
      </c>
      <c r="N86">
        <f t="shared" si="16"/>
        <v>2.8044985088220026E-2</v>
      </c>
      <c r="O86">
        <f t="shared" si="17"/>
        <v>3.6473566464854994E-2</v>
      </c>
    </row>
    <row r="87" spans="1:15" x14ac:dyDescent="0.25">
      <c r="A87" s="18">
        <f t="shared" si="12"/>
        <v>39448</v>
      </c>
      <c r="B87">
        <f>'2-state flows'!B722</f>
        <v>154063</v>
      </c>
      <c r="C87">
        <f>'2-state flows'!C722</f>
        <v>7685</v>
      </c>
      <c r="D87">
        <f>'raw JOLTS data'!D99</f>
        <v>4224</v>
      </c>
      <c r="E87">
        <f t="shared" si="9"/>
        <v>4.9882191051712613E-2</v>
      </c>
      <c r="F87">
        <f t="shared" si="10"/>
        <v>2.7417355237792332E-2</v>
      </c>
      <c r="G87">
        <f>'2-state flows'!G722</f>
        <v>0.55323928408313239</v>
      </c>
      <c r="H87">
        <f>'2-state flows'!H722</f>
        <v>2.7352584599885089E-2</v>
      </c>
      <c r="I87">
        <f t="shared" si="13"/>
        <v>6.9070236847642533E-2</v>
      </c>
      <c r="J87">
        <v>0.5</v>
      </c>
      <c r="K87">
        <f t="shared" si="14"/>
        <v>-0.20872702616648423</v>
      </c>
      <c r="L87">
        <f t="shared" si="11"/>
        <v>3.3781159704368083E-2</v>
      </c>
      <c r="M87">
        <f t="shared" si="15"/>
        <v>4.8871635861306197E-2</v>
      </c>
      <c r="N87">
        <f t="shared" si="16"/>
        <v>2.7881504648464405E-2</v>
      </c>
      <c r="O87">
        <f t="shared" si="17"/>
        <v>3.6263624637065284E-2</v>
      </c>
    </row>
    <row r="88" spans="1:15" x14ac:dyDescent="0.25">
      <c r="A88" s="18">
        <f t="shared" si="12"/>
        <v>39479</v>
      </c>
      <c r="B88">
        <f>'2-state flows'!B723</f>
        <v>153653</v>
      </c>
      <c r="C88">
        <f>'2-state flows'!C723</f>
        <v>7497</v>
      </c>
      <c r="D88">
        <f>'raw JOLTS data'!D100</f>
        <v>4026</v>
      </c>
      <c r="E88">
        <f t="shared" si="9"/>
        <v>4.8791758052234582E-2</v>
      </c>
      <c r="F88">
        <f t="shared" si="10"/>
        <v>2.6201896481031935E-2</v>
      </c>
      <c r="G88">
        <f>'2-state flows'!G723</f>
        <v>0.49996489208219563</v>
      </c>
      <c r="H88">
        <f>'2-state flows'!H723</f>
        <v>2.8508187817837184E-2</v>
      </c>
      <c r="I88">
        <f t="shared" si="13"/>
        <v>4.1380312555203073E-2</v>
      </c>
      <c r="J88">
        <v>0.5</v>
      </c>
      <c r="K88">
        <f t="shared" si="14"/>
        <v>-0.12596640105607809</v>
      </c>
      <c r="L88">
        <f t="shared" si="11"/>
        <v>2.9719345398237725E-2</v>
      </c>
      <c r="M88">
        <f t="shared" si="15"/>
        <v>4.9447751179592048E-2</v>
      </c>
      <c r="N88">
        <f t="shared" si="16"/>
        <v>2.7090112887074056E-2</v>
      </c>
      <c r="O88">
        <f t="shared" si="17"/>
        <v>3.4205514053227928E-2</v>
      </c>
    </row>
    <row r="89" spans="1:15" x14ac:dyDescent="0.25">
      <c r="A89" s="18">
        <f t="shared" si="12"/>
        <v>39508</v>
      </c>
      <c r="B89">
        <f>'2-state flows'!B724</f>
        <v>153908</v>
      </c>
      <c r="C89">
        <f>'2-state flows'!C724</f>
        <v>7822</v>
      </c>
      <c r="D89">
        <f>'raw JOLTS data'!D101</f>
        <v>4003</v>
      </c>
      <c r="E89">
        <f t="shared" si="9"/>
        <v>5.0822569327130494E-2</v>
      </c>
      <c r="F89">
        <f t="shared" si="10"/>
        <v>2.6009044364165606E-2</v>
      </c>
      <c r="G89">
        <f>'2-state flows'!G724</f>
        <v>0.49982355481249768</v>
      </c>
      <c r="H89">
        <f>'2-state flows'!H724</f>
        <v>2.5134729659672773E-2</v>
      </c>
      <c r="I89">
        <f t="shared" si="13"/>
        <v>-0.12594079631465119</v>
      </c>
      <c r="J89">
        <v>0.5</v>
      </c>
      <c r="K89">
        <f t="shared" si="14"/>
        <v>-0.37784799368538047</v>
      </c>
      <c r="L89">
        <f t="shared" si="11"/>
        <v>3.7950866314883674E-2</v>
      </c>
      <c r="M89">
        <f t="shared" si="15"/>
        <v>4.9832172810359232E-2</v>
      </c>
      <c r="N89">
        <f t="shared" si="16"/>
        <v>2.6542765360996628E-2</v>
      </c>
      <c r="O89">
        <f t="shared" si="17"/>
        <v>3.3817123805829831E-2</v>
      </c>
    </row>
    <row r="90" spans="1:15" x14ac:dyDescent="0.25">
      <c r="A90" s="18">
        <f t="shared" si="12"/>
        <v>39539</v>
      </c>
      <c r="B90">
        <f>'2-state flows'!B725</f>
        <v>153769</v>
      </c>
      <c r="C90">
        <f>'2-state flows'!C725</f>
        <v>7637</v>
      </c>
      <c r="D90">
        <f>'raw JOLTS data'!D102</f>
        <v>3906</v>
      </c>
      <c r="E90">
        <f t="shared" si="9"/>
        <v>4.9665407201711656E-2</v>
      </c>
      <c r="F90">
        <f t="shared" si="10"/>
        <v>2.5401738972094506E-2</v>
      </c>
      <c r="G90">
        <f>'2-state flows'!G725</f>
        <v>0.50857596288207529</v>
      </c>
      <c r="H90">
        <f>'2-state flows'!H725</f>
        <v>3.3297443157760127E-2</v>
      </c>
      <c r="I90">
        <f t="shared" si="13"/>
        <v>0.28123007043577264</v>
      </c>
      <c r="J90">
        <v>0.5</v>
      </c>
      <c r="K90">
        <f t="shared" si="14"/>
        <v>0.18461214718616481</v>
      </c>
      <c r="L90">
        <f t="shared" si="11"/>
        <v>2.1119683817487547E-2</v>
      </c>
      <c r="M90">
        <f t="shared" si="15"/>
        <v>4.975991152702558E-2</v>
      </c>
      <c r="N90">
        <f t="shared" si="16"/>
        <v>2.5870893272430681E-2</v>
      </c>
      <c r="O90">
        <f t="shared" si="17"/>
        <v>2.9596631843536319E-2</v>
      </c>
    </row>
    <row r="91" spans="1:15" x14ac:dyDescent="0.25">
      <c r="A91" s="18">
        <f t="shared" si="12"/>
        <v>39569</v>
      </c>
      <c r="B91">
        <f>'2-state flows'!B726</f>
        <v>154303</v>
      </c>
      <c r="C91">
        <f>'2-state flows'!C726</f>
        <v>8395</v>
      </c>
      <c r="D91">
        <f>'raw JOLTS data'!D103</f>
        <v>3947</v>
      </c>
      <c r="E91">
        <f t="shared" si="9"/>
        <v>5.4405941556547828E-2</v>
      </c>
      <c r="F91">
        <f t="shared" si="10"/>
        <v>2.5579541551363227E-2</v>
      </c>
      <c r="G91">
        <f>'2-state flows'!G726</f>
        <v>0.44466542837825612</v>
      </c>
      <c r="H91">
        <f>'2-state flows'!H726</f>
        <v>2.7131854715566544E-2</v>
      </c>
      <c r="I91">
        <f t="shared" si="13"/>
        <v>-0.20477212364604475</v>
      </c>
      <c r="J91">
        <v>0.5</v>
      </c>
      <c r="K91">
        <f t="shared" si="14"/>
        <v>-0.22493210010592468</v>
      </c>
      <c r="L91">
        <f t="shared" si="11"/>
        <v>3.203166593398088E-2</v>
      </c>
      <c r="M91">
        <f t="shared" si="15"/>
        <v>5.1631306028463324E-2</v>
      </c>
      <c r="N91">
        <f t="shared" si="16"/>
        <v>2.5663441629207778E-2</v>
      </c>
      <c r="O91">
        <f t="shared" si="17"/>
        <v>3.03674053554507E-2</v>
      </c>
    </row>
    <row r="92" spans="1:15" x14ac:dyDescent="0.25">
      <c r="A92" s="18">
        <f t="shared" si="12"/>
        <v>39600</v>
      </c>
      <c r="B92">
        <f>'2-state flows'!B727</f>
        <v>154313</v>
      </c>
      <c r="C92">
        <f>'2-state flows'!C727</f>
        <v>8575</v>
      </c>
      <c r="D92">
        <f>'raw JOLTS data'!D104</f>
        <v>3777</v>
      </c>
      <c r="E92">
        <f t="shared" si="9"/>
        <v>5.556887624503444E-2</v>
      </c>
      <c r="F92">
        <f t="shared" si="10"/>
        <v>2.4476226889503801E-2</v>
      </c>
      <c r="G92">
        <f>'2-state flows'!G727</f>
        <v>0.42138829640727854</v>
      </c>
      <c r="H92">
        <f>'2-state flows'!H727</f>
        <v>2.7877356420571531E-2</v>
      </c>
      <c r="I92">
        <f t="shared" si="13"/>
        <v>2.7106273131303205E-2</v>
      </c>
      <c r="J92">
        <v>0.5</v>
      </c>
      <c r="K92">
        <f t="shared" si="14"/>
        <v>-0.17071955384331827</v>
      </c>
      <c r="L92">
        <f t="shared" si="11"/>
        <v>2.9032673531825228E-2</v>
      </c>
      <c r="M92">
        <f t="shared" si="15"/>
        <v>5.3213408334431313E-2</v>
      </c>
      <c r="N92">
        <f t="shared" si="16"/>
        <v>2.5152502470987177E-2</v>
      </c>
      <c r="O92">
        <f t="shared" si="17"/>
        <v>2.7394674427764554E-2</v>
      </c>
    </row>
    <row r="93" spans="1:15" x14ac:dyDescent="0.25">
      <c r="A93" s="18">
        <f t="shared" si="12"/>
        <v>39630</v>
      </c>
      <c r="B93">
        <f>'2-state flows'!B728</f>
        <v>154469</v>
      </c>
      <c r="C93">
        <f>'2-state flows'!C728</f>
        <v>8937</v>
      </c>
      <c r="D93">
        <f>'raw JOLTS data'!D105</f>
        <v>3784</v>
      </c>
      <c r="E93">
        <f t="shared" si="9"/>
        <v>5.7856268895377067E-2</v>
      </c>
      <c r="F93">
        <f t="shared" si="10"/>
        <v>2.4496824605584291E-2</v>
      </c>
      <c r="G93">
        <f>'2-state flows'!G728</f>
        <v>0.45659234148027633</v>
      </c>
      <c r="H93">
        <f>'2-state flows'!H728</f>
        <v>3.2391497479791434E-2</v>
      </c>
      <c r="I93">
        <f t="shared" si="13"/>
        <v>0.15008120342147546</v>
      </c>
      <c r="J93">
        <v>0.5</v>
      </c>
      <c r="K93">
        <f t="shared" si="14"/>
        <v>0.12944285299963265</v>
      </c>
      <c r="L93">
        <f t="shared" si="11"/>
        <v>2.1522537635694883E-2</v>
      </c>
      <c r="M93">
        <f t="shared" si="15"/>
        <v>5.5943695565653116E-2</v>
      </c>
      <c r="N93">
        <f t="shared" si="16"/>
        <v>2.4850864348817104E-2</v>
      </c>
      <c r="O93">
        <f t="shared" si="17"/>
        <v>2.7528959033833664E-2</v>
      </c>
    </row>
    <row r="94" spans="1:15" x14ac:dyDescent="0.25">
      <c r="A94" s="18">
        <f t="shared" si="12"/>
        <v>39661</v>
      </c>
      <c r="B94">
        <f>'2-state flows'!B729</f>
        <v>154641</v>
      </c>
      <c r="C94">
        <f>'2-state flows'!C729</f>
        <v>9438</v>
      </c>
      <c r="D94">
        <f>'raw JOLTS data'!D106</f>
        <v>3643</v>
      </c>
      <c r="E94">
        <f t="shared" si="9"/>
        <v>6.1031679826178048E-2</v>
      </c>
      <c r="F94">
        <f t="shared" si="10"/>
        <v>2.3557788684760186E-2</v>
      </c>
      <c r="G94">
        <f>'2-state flows'!G729</f>
        <v>0.42175731165956831</v>
      </c>
      <c r="H94">
        <f>'2-state flows'!H729</f>
        <v>2.7892509730935874E-2</v>
      </c>
      <c r="I94">
        <f t="shared" si="13"/>
        <v>-0.14953778053801059</v>
      </c>
      <c r="J94">
        <v>0.5</v>
      </c>
      <c r="K94">
        <f t="shared" si="14"/>
        <v>-0.16963270807638853</v>
      </c>
      <c r="L94">
        <f t="shared" si="11"/>
        <v>2.7912907146064023E-2</v>
      </c>
      <c r="M94">
        <f t="shared" si="15"/>
        <v>5.8152274988863183E-2</v>
      </c>
      <c r="N94">
        <f t="shared" si="16"/>
        <v>2.4176946726616091E-2</v>
      </c>
      <c r="O94">
        <f t="shared" si="17"/>
        <v>2.6156039437861378E-2</v>
      </c>
    </row>
    <row r="95" spans="1:15" x14ac:dyDescent="0.25">
      <c r="A95" s="18">
        <f t="shared" si="12"/>
        <v>39692</v>
      </c>
      <c r="B95">
        <f>'2-state flows'!B730</f>
        <v>154570</v>
      </c>
      <c r="C95">
        <f>'2-state flows'!C730</f>
        <v>9494</v>
      </c>
      <c r="D95">
        <f>'raw JOLTS data'!D107</f>
        <v>3233</v>
      </c>
      <c r="E95">
        <f t="shared" si="9"/>
        <v>6.1422009445558645E-2</v>
      </c>
      <c r="F95">
        <f t="shared" si="10"/>
        <v>2.091608979750275E-2</v>
      </c>
      <c r="G95">
        <f>'2-state flows'!G730</f>
        <v>0.39486215480518239</v>
      </c>
      <c r="H95">
        <f>'2-state flows'!H730</f>
        <v>3.074924577777911E-2</v>
      </c>
      <c r="I95">
        <f t="shared" si="13"/>
        <v>9.7507282041839116E-2</v>
      </c>
      <c r="J95">
        <v>0.5</v>
      </c>
      <c r="K95">
        <f t="shared" si="14"/>
        <v>2.5381856007289705E-2</v>
      </c>
      <c r="L95">
        <f t="shared" si="11"/>
        <v>2.0391881451046832E-2</v>
      </c>
      <c r="M95">
        <f t="shared" si="15"/>
        <v>6.0103319389037922E-2</v>
      </c>
      <c r="N95">
        <f t="shared" si="16"/>
        <v>2.2990234362615741E-2</v>
      </c>
      <c r="O95">
        <f t="shared" si="17"/>
        <v>2.3275775410935246E-2</v>
      </c>
    </row>
    <row r="96" spans="1:15" x14ac:dyDescent="0.25">
      <c r="A96" s="18">
        <f t="shared" si="12"/>
        <v>39722</v>
      </c>
      <c r="B96">
        <f>'2-state flows'!B731</f>
        <v>154876</v>
      </c>
      <c r="C96">
        <f>'2-state flows'!C731</f>
        <v>10074</v>
      </c>
      <c r="D96">
        <f>'raw JOLTS data'!D108</f>
        <v>3384</v>
      </c>
      <c r="E96">
        <f t="shared" si="9"/>
        <v>6.5045584854980756E-2</v>
      </c>
      <c r="F96">
        <f t="shared" si="10"/>
        <v>2.1849737854799968E-2</v>
      </c>
      <c r="G96">
        <f>'2-state flows'!G731</f>
        <v>0.41242794646461084</v>
      </c>
      <c r="H96">
        <f>'2-state flows'!H731</f>
        <v>3.2663190100302372E-2</v>
      </c>
      <c r="I96">
        <f t="shared" si="13"/>
        <v>6.0383292438096328E-2</v>
      </c>
      <c r="J96">
        <v>0.5</v>
      </c>
      <c r="K96">
        <f t="shared" si="14"/>
        <v>0.14614844088348236</v>
      </c>
      <c r="L96">
        <f t="shared" si="11"/>
        <v>1.8878816683558092E-2</v>
      </c>
      <c r="M96">
        <f t="shared" si="15"/>
        <v>6.2499758042239152E-2</v>
      </c>
      <c r="N96">
        <f t="shared" si="16"/>
        <v>2.2107872112354304E-2</v>
      </c>
      <c r="O96">
        <f t="shared" si="17"/>
        <v>2.2394535093556312E-2</v>
      </c>
    </row>
    <row r="97" spans="1:15" x14ac:dyDescent="0.25">
      <c r="A97" s="18">
        <f t="shared" si="12"/>
        <v>39753</v>
      </c>
      <c r="B97">
        <f>'2-state flows'!B732</f>
        <v>154639</v>
      </c>
      <c r="C97">
        <f>'2-state flows'!C732</f>
        <v>10538</v>
      </c>
      <c r="D97">
        <f>'raw JOLTS data'!D109</f>
        <v>3155</v>
      </c>
      <c r="E97">
        <f t="shared" si="9"/>
        <v>6.8145810565251971E-2</v>
      </c>
      <c r="F97">
        <f t="shared" si="10"/>
        <v>2.0402356456003985E-2</v>
      </c>
      <c r="G97">
        <f>'2-state flows'!G732</f>
        <v>0.33872567520719821</v>
      </c>
      <c r="H97">
        <f>'2-state flows'!H732</f>
        <v>3.0980087435813083E-2</v>
      </c>
      <c r="I97">
        <f t="shared" si="13"/>
        <v>-5.2904101522220977E-2</v>
      </c>
      <c r="J97">
        <v>0.5</v>
      </c>
      <c r="K97">
        <f t="shared" si="14"/>
        <v>4.0340237839040408E-2</v>
      </c>
      <c r="L97">
        <f t="shared" si="11"/>
        <v>1.9595700283685558E-2</v>
      </c>
      <c r="M97">
        <f t="shared" si="15"/>
        <v>6.4871134955263796E-2</v>
      </c>
      <c r="N97">
        <f t="shared" si="16"/>
        <v>2.1056061369435566E-2</v>
      </c>
      <c r="O97">
        <f t="shared" si="17"/>
        <v>1.9622132806096829E-2</v>
      </c>
    </row>
    <row r="98" spans="1:15" x14ac:dyDescent="0.25">
      <c r="A98" s="18">
        <f t="shared" si="12"/>
        <v>39783</v>
      </c>
      <c r="B98">
        <f>'2-state flows'!B733</f>
        <v>154655</v>
      </c>
      <c r="C98">
        <f>'2-state flows'!C733</f>
        <v>11286</v>
      </c>
      <c r="D98">
        <f>'raw JOLTS data'!D110</f>
        <v>3011</v>
      </c>
      <c r="E98">
        <f t="shared" si="9"/>
        <v>7.2975332191005784E-2</v>
      </c>
      <c r="F98">
        <f t="shared" si="10"/>
        <v>1.9469140991238563E-2</v>
      </c>
      <c r="G98">
        <f>'2-state flows'!G733</f>
        <v>0.34609843075133351</v>
      </c>
      <c r="H98">
        <f>'2-state flows'!H733</f>
        <v>3.3893328750791638E-2</v>
      </c>
      <c r="I98">
        <f t="shared" si="13"/>
        <v>8.9873545692571735E-2</v>
      </c>
      <c r="J98">
        <v>0.5</v>
      </c>
      <c r="K98">
        <f t="shared" si="14"/>
        <v>0.22008732922418389</v>
      </c>
      <c r="L98">
        <f t="shared" si="11"/>
        <v>1.5622987222721936E-2</v>
      </c>
      <c r="M98">
        <f t="shared" si="15"/>
        <v>6.8722242537079495E-2</v>
      </c>
      <c r="N98">
        <f t="shared" si="16"/>
        <v>2.057374510068084E-2</v>
      </c>
      <c r="O98">
        <f t="shared" si="17"/>
        <v>1.8032501396655194E-2</v>
      </c>
    </row>
    <row r="99" spans="1:15" x14ac:dyDescent="0.25">
      <c r="A99" s="18">
        <f t="shared" si="12"/>
        <v>39814</v>
      </c>
      <c r="B99">
        <f>'2-state flows'!B734</f>
        <v>154232</v>
      </c>
      <c r="C99">
        <f>'2-state flows'!C734</f>
        <v>12079</v>
      </c>
      <c r="D99">
        <f>'raw JOLTS data'!D111</f>
        <v>2853</v>
      </c>
      <c r="E99">
        <f t="shared" si="9"/>
        <v>7.8317080761450289E-2</v>
      </c>
      <c r="F99">
        <f t="shared" si="10"/>
        <v>1.8498106748275324E-2</v>
      </c>
      <c r="G99">
        <f>'2-state flows'!G734</f>
        <v>0.30595210541908274</v>
      </c>
      <c r="H99">
        <f>'2-state flows'!H734</f>
        <v>3.2648075980607594E-2</v>
      </c>
      <c r="I99">
        <f t="shared" si="13"/>
        <v>-3.7432277640639354E-2</v>
      </c>
      <c r="J99">
        <v>0.5</v>
      </c>
      <c r="K99">
        <f t="shared" si="14"/>
        <v>0.14522277394290517</v>
      </c>
      <c r="L99">
        <f t="shared" si="11"/>
        <v>1.5997710447568037E-2</v>
      </c>
      <c r="M99">
        <f t="shared" si="15"/>
        <v>7.3146074505902672E-2</v>
      </c>
      <c r="N99">
        <f t="shared" si="16"/>
        <v>1.9456534731839292E-2</v>
      </c>
      <c r="O99">
        <f t="shared" si="17"/>
        <v>1.7072132651325178E-2</v>
      </c>
    </row>
    <row r="100" spans="1:15" x14ac:dyDescent="0.25">
      <c r="A100" s="18">
        <f t="shared" si="12"/>
        <v>39845</v>
      </c>
      <c r="B100">
        <f>'2-state flows'!B735</f>
        <v>154526</v>
      </c>
      <c r="C100">
        <f>'2-state flows'!C735</f>
        <v>12881</v>
      </c>
      <c r="D100">
        <f>'raw JOLTS data'!D112</f>
        <v>2807</v>
      </c>
      <c r="E100">
        <f t="shared" si="9"/>
        <v>8.3358140377671072E-2</v>
      </c>
      <c r="F100">
        <f t="shared" si="10"/>
        <v>1.8165227858095077E-2</v>
      </c>
      <c r="G100">
        <f>'2-state flows'!G735</f>
        <v>0.3094592898440921</v>
      </c>
      <c r="H100">
        <f>'2-state flows'!H735</f>
        <v>3.2643362173296643E-2</v>
      </c>
      <c r="I100">
        <f t="shared" si="13"/>
        <v>-1.4439281634535489E-4</v>
      </c>
      <c r="J100">
        <v>0.5</v>
      </c>
      <c r="K100">
        <f t="shared" si="14"/>
        <v>0.14493398831021445</v>
      </c>
      <c r="L100">
        <f t="shared" si="11"/>
        <v>1.5714364354196191E-2</v>
      </c>
      <c r="M100">
        <f t="shared" si="15"/>
        <v>7.8216851110042382E-2</v>
      </c>
      <c r="N100">
        <f t="shared" si="16"/>
        <v>1.8710825199202988E-2</v>
      </c>
      <c r="O100">
        <f t="shared" si="17"/>
        <v>1.5778354008162052E-2</v>
      </c>
    </row>
    <row r="101" spans="1:15" x14ac:dyDescent="0.25">
      <c r="A101" s="18">
        <f t="shared" si="12"/>
        <v>39873</v>
      </c>
      <c r="B101">
        <f>'2-state flows'!B736</f>
        <v>154142</v>
      </c>
      <c r="C101">
        <f>'2-state flows'!C736</f>
        <v>13421</v>
      </c>
      <c r="D101">
        <f>'raw JOLTS data'!D113</f>
        <v>2550</v>
      </c>
      <c r="E101">
        <f t="shared" si="9"/>
        <v>8.7069066185724853E-2</v>
      </c>
      <c r="F101">
        <f t="shared" si="10"/>
        <v>1.6543187450532626E-2</v>
      </c>
      <c r="G101">
        <f>'2-state flows'!G736</f>
        <v>0.29873767076906677</v>
      </c>
      <c r="H101">
        <f>'2-state flows'!H736</f>
        <v>3.1871496086348344E-2</v>
      </c>
      <c r="I101">
        <f t="shared" si="13"/>
        <v>-2.3929461817874666E-2</v>
      </c>
      <c r="J101">
        <v>0.5</v>
      </c>
      <c r="K101">
        <f t="shared" si="14"/>
        <v>9.7075064674465111E-2</v>
      </c>
      <c r="L101">
        <f t="shared" si="11"/>
        <v>1.5012742162418968E-2</v>
      </c>
      <c r="M101">
        <f t="shared" si="15"/>
        <v>8.29147624416154E-2</v>
      </c>
      <c r="N101">
        <f t="shared" si="16"/>
        <v>1.7735507352301009E-2</v>
      </c>
      <c r="O101">
        <f t="shared" si="17"/>
        <v>1.5574938988061067E-2</v>
      </c>
    </row>
    <row r="102" spans="1:15" x14ac:dyDescent="0.25">
      <c r="A102" s="18">
        <f t="shared" si="12"/>
        <v>39904</v>
      </c>
      <c r="B102">
        <f>'2-state flows'!B737</f>
        <v>154479</v>
      </c>
      <c r="C102">
        <f>'2-state flows'!C737</f>
        <v>13826</v>
      </c>
      <c r="D102">
        <f>'raw JOLTS data'!D114</f>
        <v>2292</v>
      </c>
      <c r="E102">
        <f t="shared" si="9"/>
        <v>8.9500838301646179E-2</v>
      </c>
      <c r="F102">
        <f t="shared" si="10"/>
        <v>1.4836968131590701E-2</v>
      </c>
      <c r="G102">
        <f>'2-state flows'!G737</f>
        <v>0.25382051064619504</v>
      </c>
      <c r="H102">
        <f>'2-state flows'!H737</f>
        <v>3.0389978231504643E-2</v>
      </c>
      <c r="I102">
        <f t="shared" si="13"/>
        <v>-4.7599180109517955E-2</v>
      </c>
      <c r="J102">
        <v>0.5</v>
      </c>
      <c r="K102">
        <f t="shared" si="14"/>
        <v>1.8767044554292012E-3</v>
      </c>
      <c r="L102">
        <f t="shared" si="11"/>
        <v>1.4809149639102256E-2</v>
      </c>
      <c r="M102">
        <f t="shared" si="15"/>
        <v>8.6642681621680706E-2</v>
      </c>
      <c r="N102">
        <f t="shared" si="16"/>
        <v>1.6515127813406135E-2</v>
      </c>
      <c r="O102">
        <f t="shared" si="17"/>
        <v>1.5178752051905805E-2</v>
      </c>
    </row>
    <row r="103" spans="1:15" x14ac:dyDescent="0.25">
      <c r="A103" s="18">
        <f t="shared" si="12"/>
        <v>39934</v>
      </c>
      <c r="B103">
        <f>'2-state flows'!B738</f>
        <v>154742</v>
      </c>
      <c r="C103">
        <f>'2-state flows'!C738</f>
        <v>14492</v>
      </c>
      <c r="D103">
        <f>'raw JOLTS data'!D115</f>
        <v>2415</v>
      </c>
      <c r="E103">
        <f t="shared" si="9"/>
        <v>9.365266055757325E-2</v>
      </c>
      <c r="F103">
        <f t="shared" si="10"/>
        <v>1.5606622636388311E-2</v>
      </c>
      <c r="G103">
        <f>'2-state flows'!G738</f>
        <v>0.26918821236653911</v>
      </c>
      <c r="H103">
        <f>'2-state flows'!H738</f>
        <v>2.9572018239493274E-2</v>
      </c>
      <c r="I103">
        <f t="shared" si="13"/>
        <v>-2.7284306146689041E-2</v>
      </c>
      <c r="J103">
        <v>0.5</v>
      </c>
      <c r="K103">
        <f t="shared" si="14"/>
        <v>-5.269190783794888E-2</v>
      </c>
      <c r="L103">
        <f t="shared" si="11"/>
        <v>1.6451016357949131E-2</v>
      </c>
      <c r="M103">
        <f t="shared" si="15"/>
        <v>9.0074188348314765E-2</v>
      </c>
      <c r="N103">
        <f t="shared" si="16"/>
        <v>1.5662259406170546E-2</v>
      </c>
      <c r="O103">
        <f t="shared" si="17"/>
        <v>1.5424302719823452E-2</v>
      </c>
    </row>
    <row r="104" spans="1:15" x14ac:dyDescent="0.25">
      <c r="A104" s="18">
        <f t="shared" si="12"/>
        <v>39965</v>
      </c>
      <c r="B104">
        <f>'2-state flows'!B739</f>
        <v>154710</v>
      </c>
      <c r="C104">
        <f>'2-state flows'!C739</f>
        <v>14705</v>
      </c>
      <c r="D104">
        <f>'raw JOLTS data'!D116</f>
        <v>2377</v>
      </c>
      <c r="E104">
        <f t="shared" si="9"/>
        <v>9.5048800982483361E-2</v>
      </c>
      <c r="F104">
        <f t="shared" si="10"/>
        <v>1.5364229849395644E-2</v>
      </c>
      <c r="G104">
        <f>'2-state flows'!G739</f>
        <v>0.29309257997292704</v>
      </c>
      <c r="H104">
        <f>'2-state flows'!H739</f>
        <v>2.9964970136790135E-2</v>
      </c>
      <c r="I104">
        <f t="shared" si="13"/>
        <v>1.3200452829416086E-2</v>
      </c>
      <c r="J104">
        <v>0.5</v>
      </c>
      <c r="K104">
        <f t="shared" si="14"/>
        <v>-2.6291002179116708E-2</v>
      </c>
      <c r="L104">
        <f t="shared" si="11"/>
        <v>1.5773527699321284E-2</v>
      </c>
      <c r="M104">
        <f t="shared" si="15"/>
        <v>9.2734099947234264E-2</v>
      </c>
      <c r="N104">
        <f t="shared" si="16"/>
        <v>1.5269273539124885E-2</v>
      </c>
      <c r="O104">
        <f t="shared" si="17"/>
        <v>1.5677897898790889E-2</v>
      </c>
    </row>
    <row r="105" spans="1:15" x14ac:dyDescent="0.25">
      <c r="A105" s="18">
        <f t="shared" si="12"/>
        <v>39995</v>
      </c>
      <c r="B105">
        <f>'2-state flows'!B740</f>
        <v>154505</v>
      </c>
      <c r="C105">
        <f>'2-state flows'!C740</f>
        <v>14607</v>
      </c>
      <c r="D105">
        <f>'raw JOLTS data'!D117</f>
        <v>2179</v>
      </c>
      <c r="E105">
        <f t="shared" si="9"/>
        <v>9.4540629753082431E-2</v>
      </c>
      <c r="F105">
        <f t="shared" si="10"/>
        <v>1.410310345943497E-2</v>
      </c>
      <c r="G105">
        <f>'2-state flows'!G740</f>
        <v>0.24845609313334738</v>
      </c>
      <c r="H105">
        <f>'2-state flows'!H740</f>
        <v>2.7675975400599843E-2</v>
      </c>
      <c r="I105">
        <f t="shared" si="13"/>
        <v>-7.9464314505547445E-2</v>
      </c>
      <c r="J105">
        <v>0.5</v>
      </c>
      <c r="K105">
        <f t="shared" si="14"/>
        <v>-0.18521963119021159</v>
      </c>
      <c r="L105">
        <f t="shared" si="11"/>
        <v>1.6972841501464282E-2</v>
      </c>
      <c r="M105">
        <f t="shared" si="15"/>
        <v>9.4414030431046347E-2</v>
      </c>
      <c r="N105">
        <f t="shared" si="16"/>
        <v>1.5024651981739641E-2</v>
      </c>
      <c r="O105">
        <f t="shared" si="17"/>
        <v>1.6399128519578234E-2</v>
      </c>
    </row>
    <row r="106" spans="1:15" x14ac:dyDescent="0.25">
      <c r="A106" s="18">
        <f t="shared" si="12"/>
        <v>40026</v>
      </c>
      <c r="B106">
        <f>'2-state flows'!B741</f>
        <v>154300</v>
      </c>
      <c r="C106">
        <f>'2-state flows'!C741</f>
        <v>14819</v>
      </c>
      <c r="D106">
        <f>'raw JOLTS data'!D118</f>
        <v>2282</v>
      </c>
      <c r="E106">
        <f t="shared" si="9"/>
        <v>9.60401814646792E-2</v>
      </c>
      <c r="F106">
        <f t="shared" si="10"/>
        <v>1.4789371354504213E-2</v>
      </c>
      <c r="G106">
        <f>'2-state flows'!G741</f>
        <v>0.235911127126226</v>
      </c>
      <c r="H106">
        <f>'2-state flows'!H741</f>
        <v>2.6580290436467844E-2</v>
      </c>
      <c r="I106">
        <f t="shared" si="13"/>
        <v>-4.0394742695766983E-2</v>
      </c>
      <c r="J106">
        <v>0.5</v>
      </c>
      <c r="K106">
        <f t="shared" si="14"/>
        <v>-0.26600911658174553</v>
      </c>
      <c r="L106">
        <f t="shared" si="11"/>
        <v>1.9296387218451415E-2</v>
      </c>
      <c r="M106">
        <f t="shared" si="15"/>
        <v>9.5209870733414984E-2</v>
      </c>
      <c r="N106">
        <f t="shared" si="16"/>
        <v>1.4752234887778276E-2</v>
      </c>
      <c r="O106">
        <f t="shared" si="17"/>
        <v>1.7347585473078995E-2</v>
      </c>
    </row>
    <row r="107" spans="1:15" x14ac:dyDescent="0.25">
      <c r="A107" s="18">
        <f t="shared" si="12"/>
        <v>40057</v>
      </c>
      <c r="B107">
        <f>'2-state flows'!B742</f>
        <v>153815</v>
      </c>
      <c r="C107">
        <f>'2-state flows'!C742</f>
        <v>15005</v>
      </c>
      <c r="D107">
        <f>'raw JOLTS data'!D119</f>
        <v>2477</v>
      </c>
      <c r="E107">
        <f t="shared" si="9"/>
        <v>9.7552254331502122E-2</v>
      </c>
      <c r="F107">
        <f t="shared" si="10"/>
        <v>1.610376101160485E-2</v>
      </c>
      <c r="G107">
        <f>'2-state flows'!G742</f>
        <v>0.25434849277141719</v>
      </c>
      <c r="H107">
        <f>'2-state flows'!H742</f>
        <v>3.0615680432985612E-2</v>
      </c>
      <c r="I107">
        <f t="shared" si="13"/>
        <v>0.14134233005486743</v>
      </c>
      <c r="J107">
        <v>0.5</v>
      </c>
      <c r="K107">
        <f t="shared" si="14"/>
        <v>1.6675543527989334E-2</v>
      </c>
      <c r="L107">
        <f t="shared" si="11"/>
        <v>1.5837448666619399E-2</v>
      </c>
      <c r="M107">
        <f t="shared" si="15"/>
        <v>9.6044355183087918E-2</v>
      </c>
      <c r="N107">
        <f t="shared" si="16"/>
        <v>1.4998745275181344E-2</v>
      </c>
      <c r="O107">
        <f t="shared" si="17"/>
        <v>1.7368892462178365E-2</v>
      </c>
    </row>
    <row r="108" spans="1:15" x14ac:dyDescent="0.25">
      <c r="A108" s="18">
        <f t="shared" si="12"/>
        <v>40087</v>
      </c>
      <c r="B108">
        <f>'2-state flows'!B743</f>
        <v>153804</v>
      </c>
      <c r="C108">
        <f>'2-state flows'!C743</f>
        <v>15382</v>
      </c>
      <c r="D108">
        <f>'raw JOLTS data'!D120</f>
        <v>2409</v>
      </c>
      <c r="E108">
        <f t="shared" si="9"/>
        <v>0.100010402850381</v>
      </c>
      <c r="F108">
        <f t="shared" si="10"/>
        <v>1.5662791604899744E-2</v>
      </c>
      <c r="G108">
        <f>'2-state flows'!G743</f>
        <v>0.2515399491859221</v>
      </c>
      <c r="H108">
        <f>'2-state flows'!H743</f>
        <v>2.6636289860070956E-2</v>
      </c>
      <c r="I108">
        <f t="shared" si="13"/>
        <v>-0.13923774370373987</v>
      </c>
      <c r="J108">
        <v>0.5</v>
      </c>
      <c r="K108">
        <f t="shared" si="14"/>
        <v>-0.2617999438794904</v>
      </c>
      <c r="L108">
        <f t="shared" si="11"/>
        <v>2.0350141841420259E-2</v>
      </c>
      <c r="M108">
        <f t="shared" si="15"/>
        <v>9.7867612882187441E-2</v>
      </c>
      <c r="N108">
        <f t="shared" si="16"/>
        <v>1.5518641323669603E-2</v>
      </c>
      <c r="O108">
        <f t="shared" si="17"/>
        <v>1.8494659242163689E-2</v>
      </c>
    </row>
    <row r="109" spans="1:15" x14ac:dyDescent="0.25">
      <c r="A109" s="18">
        <f t="shared" si="12"/>
        <v>40118</v>
      </c>
      <c r="B109">
        <f>'2-state flows'!B744</f>
        <v>153887</v>
      </c>
      <c r="C109">
        <f>'2-state flows'!C744</f>
        <v>15223</v>
      </c>
      <c r="D109">
        <f>'raw JOLTS data'!D121</f>
        <v>2390</v>
      </c>
      <c r="E109">
        <f t="shared" si="9"/>
        <v>9.8923235880873622E-2</v>
      </c>
      <c r="F109">
        <f t="shared" si="10"/>
        <v>1.553087655227537E-2</v>
      </c>
      <c r="G109">
        <f>'2-state flows'!G744</f>
        <v>0.25859681854732952</v>
      </c>
      <c r="H109">
        <f>'2-state flows'!H744</f>
        <v>2.7328284989624183E-2</v>
      </c>
      <c r="I109">
        <f t="shared" si="13"/>
        <v>2.5647679579841889E-2</v>
      </c>
      <c r="J109">
        <v>0.5</v>
      </c>
      <c r="K109">
        <f t="shared" si="14"/>
        <v>-0.21050458471980663</v>
      </c>
      <c r="L109">
        <f t="shared" si="11"/>
        <v>1.9169771988509752E-2</v>
      </c>
      <c r="M109">
        <f t="shared" si="15"/>
        <v>9.8828631020918919E-2</v>
      </c>
      <c r="N109">
        <f t="shared" si="16"/>
        <v>1.5765809722926655E-2</v>
      </c>
      <c r="O109">
        <f t="shared" si="17"/>
        <v>1.8452454165516469E-2</v>
      </c>
    </row>
    <row r="110" spans="1:15" x14ac:dyDescent="0.25">
      <c r="A110" s="18">
        <f t="shared" si="12"/>
        <v>40148</v>
      </c>
      <c r="B110">
        <f>'2-state flows'!B745</f>
        <v>153120</v>
      </c>
      <c r="C110">
        <f>'2-state flows'!C745</f>
        <v>15095</v>
      </c>
      <c r="D110">
        <f>'raw JOLTS data'!D122</f>
        <v>2451</v>
      </c>
      <c r="E110">
        <f t="shared" si="9"/>
        <v>9.8582810867293633E-2</v>
      </c>
      <c r="F110">
        <f t="shared" si="10"/>
        <v>1.6007053291536049E-2</v>
      </c>
      <c r="G110">
        <f>'2-state flows'!G745</f>
        <v>0.26267593939942335</v>
      </c>
      <c r="H110">
        <f>'2-state flows'!H745</f>
        <v>2.8067764115771155E-2</v>
      </c>
      <c r="I110">
        <f t="shared" si="13"/>
        <v>2.6699487291489049E-2</v>
      </c>
      <c r="J110">
        <v>0.5</v>
      </c>
      <c r="K110">
        <f t="shared" si="14"/>
        <v>-0.15710561013682853</v>
      </c>
      <c r="L110">
        <f t="shared" si="11"/>
        <v>1.8730160132900062E-2</v>
      </c>
      <c r="M110">
        <f t="shared" si="15"/>
        <v>9.9172149866182766E-2</v>
      </c>
      <c r="N110">
        <f t="shared" si="16"/>
        <v>1.5733573816237054E-2</v>
      </c>
      <c r="O110">
        <f t="shared" si="17"/>
        <v>1.9416691320943359E-2</v>
      </c>
    </row>
    <row r="111" spans="1:15" x14ac:dyDescent="0.25">
      <c r="A111" s="18">
        <f t="shared" si="12"/>
        <v>40179</v>
      </c>
      <c r="B111">
        <f>'2-state flows'!B746</f>
        <v>153455</v>
      </c>
      <c r="C111">
        <f>'2-state flows'!C746</f>
        <v>15016</v>
      </c>
      <c r="D111">
        <f>'raw JOLTS data'!D123</f>
        <v>2751</v>
      </c>
      <c r="E111">
        <f t="shared" si="9"/>
        <v>9.7852790720406632E-2</v>
      </c>
      <c r="F111">
        <f t="shared" si="10"/>
        <v>1.7927079599882701E-2</v>
      </c>
      <c r="G111">
        <f>'2-state flows'!G746</f>
        <v>0.23671417285694829</v>
      </c>
      <c r="H111">
        <f>'2-state flows'!H746</f>
        <v>2.6184865999893461E-2</v>
      </c>
      <c r="I111">
        <f t="shared" si="13"/>
        <v>-6.9440123047120633E-2</v>
      </c>
      <c r="J111">
        <v>0.5</v>
      </c>
      <c r="K111">
        <f t="shared" si="14"/>
        <v>-0.29598585623106977</v>
      </c>
      <c r="L111">
        <f t="shared" si="11"/>
        <v>2.4102082624496833E-2</v>
      </c>
      <c r="M111">
        <f t="shared" si="15"/>
        <v>9.8452945822857962E-2</v>
      </c>
      <c r="N111">
        <f t="shared" si="16"/>
        <v>1.648833648123137E-2</v>
      </c>
      <c r="O111">
        <f t="shared" si="17"/>
        <v>2.0667338248635547E-2</v>
      </c>
    </row>
    <row r="112" spans="1:15" x14ac:dyDescent="0.25">
      <c r="A112" s="18">
        <f t="shared" si="12"/>
        <v>40210</v>
      </c>
      <c r="B112">
        <f>'2-state flows'!B747</f>
        <v>153702</v>
      </c>
      <c r="C112">
        <f>'2-state flows'!C747</f>
        <v>15078</v>
      </c>
      <c r="D112">
        <f>'raw JOLTS data'!D124</f>
        <v>2577</v>
      </c>
      <c r="E112">
        <f t="shared" si="9"/>
        <v>9.8098918686809547E-2</v>
      </c>
      <c r="F112">
        <f t="shared" si="10"/>
        <v>1.6766209938712574E-2</v>
      </c>
      <c r="G112">
        <f>'2-state flows'!G747</f>
        <v>0.22363113534504458</v>
      </c>
      <c r="H112">
        <f>'2-state flows'!H747</f>
        <v>2.5253091374343544E-2</v>
      </c>
      <c r="I112">
        <f t="shared" si="13"/>
        <v>-3.6233031386225571E-2</v>
      </c>
      <c r="J112">
        <v>0.5</v>
      </c>
      <c r="K112">
        <f t="shared" si="14"/>
        <v>-0.36845191900352092</v>
      </c>
      <c r="L112">
        <f t="shared" si="11"/>
        <v>2.4235474950961004E-2</v>
      </c>
      <c r="M112">
        <f t="shared" si="15"/>
        <v>9.8178173424836604E-2</v>
      </c>
      <c r="N112">
        <f t="shared" si="16"/>
        <v>1.690011427671044E-2</v>
      </c>
      <c r="O112">
        <f t="shared" si="17"/>
        <v>2.2355905902785966E-2</v>
      </c>
    </row>
    <row r="113" spans="1:15" x14ac:dyDescent="0.25">
      <c r="A113" s="18">
        <f t="shared" si="12"/>
        <v>40238</v>
      </c>
      <c r="B113">
        <f>'2-state flows'!B748</f>
        <v>153960</v>
      </c>
      <c r="C113">
        <f>'2-state flows'!C748</f>
        <v>15192</v>
      </c>
      <c r="D113">
        <f>'raw JOLTS data'!D125</f>
        <v>2614</v>
      </c>
      <c r="E113">
        <f t="shared" si="9"/>
        <v>9.8674980514419336E-2</v>
      </c>
      <c r="F113">
        <f t="shared" si="10"/>
        <v>1.6978435957391531E-2</v>
      </c>
      <c r="G113">
        <f>'2-state flows'!G748</f>
        <v>0.22457295578585923</v>
      </c>
      <c r="H113">
        <f>'2-state flows'!H748</f>
        <v>2.5310552808581657E-2</v>
      </c>
      <c r="I113">
        <f t="shared" si="13"/>
        <v>2.272836932653143E-3</v>
      </c>
      <c r="J113">
        <v>0.5</v>
      </c>
      <c r="K113">
        <f t="shared" si="14"/>
        <v>-0.36390624513821462</v>
      </c>
      <c r="L113">
        <f t="shared" si="11"/>
        <v>2.4430938756352528E-2</v>
      </c>
      <c r="M113">
        <f t="shared" si="15"/>
        <v>9.8208896640545176E-2</v>
      </c>
      <c r="N113">
        <f t="shared" si="16"/>
        <v>1.7223908498662271E-2</v>
      </c>
      <c r="O113">
        <f t="shared" si="17"/>
        <v>2.425616544393679E-2</v>
      </c>
    </row>
    <row r="114" spans="1:15" x14ac:dyDescent="0.25">
      <c r="A114" s="18">
        <f t="shared" si="12"/>
        <v>40269</v>
      </c>
      <c r="B114">
        <f>'2-state flows'!B749</f>
        <v>154577</v>
      </c>
      <c r="C114">
        <f>'2-state flows'!C749</f>
        <v>15281</v>
      </c>
      <c r="D114">
        <f>'raw JOLTS data'!D126</f>
        <v>3142</v>
      </c>
      <c r="E114">
        <f t="shared" si="9"/>
        <v>9.885688038970869E-2</v>
      </c>
      <c r="F114">
        <f t="shared" si="10"/>
        <v>2.0326439250341253E-2</v>
      </c>
      <c r="G114">
        <f>'2-state flows'!G749</f>
        <v>0.27311856739546664</v>
      </c>
      <c r="H114">
        <f>'2-state flows'!H749</f>
        <v>2.6430747462641582E-2</v>
      </c>
      <c r="I114">
        <f t="shared" si="13"/>
        <v>4.3306593230759791E-2</v>
      </c>
      <c r="J114">
        <v>0.5</v>
      </c>
      <c r="K114">
        <f t="shared" si="14"/>
        <v>-0.27729305867669507</v>
      </c>
      <c r="L114">
        <f t="shared" si="11"/>
        <v>2.6821814315683496E-2</v>
      </c>
      <c r="M114">
        <f t="shared" si="15"/>
        <v>9.8543593196979196E-2</v>
      </c>
      <c r="N114">
        <f t="shared" si="16"/>
        <v>1.8023695048815121E-2</v>
      </c>
      <c r="O114">
        <f t="shared" si="17"/>
        <v>2.5162742674332342E-2</v>
      </c>
    </row>
    <row r="115" spans="1:15" x14ac:dyDescent="0.25">
      <c r="A115" s="18">
        <f t="shared" si="12"/>
        <v>40299</v>
      </c>
      <c r="B115">
        <f>'2-state flows'!B750</f>
        <v>154110</v>
      </c>
      <c r="C115">
        <f>'2-state flows'!C750</f>
        <v>14856</v>
      </c>
      <c r="D115">
        <f>'raw JOLTS data'!D127</f>
        <v>2849</v>
      </c>
      <c r="E115">
        <f t="shared" si="9"/>
        <v>9.6398676270196618E-2</v>
      </c>
      <c r="F115">
        <f t="shared" si="10"/>
        <v>1.8486795146324054E-2</v>
      </c>
      <c r="G115">
        <f>'2-state flows'!G750</f>
        <v>0.27164548965797536</v>
      </c>
      <c r="H115">
        <f>'2-state flows'!H750</f>
        <v>2.5816806648507488E-2</v>
      </c>
      <c r="I115">
        <f t="shared" si="13"/>
        <v>-2.3502308727697992E-2</v>
      </c>
      <c r="J115">
        <v>0.5</v>
      </c>
      <c r="K115">
        <f t="shared" si="14"/>
        <v>-0.32429767613209104</v>
      </c>
      <c r="L115">
        <f t="shared" si="11"/>
        <v>2.5568327474454897E-2</v>
      </c>
      <c r="M115">
        <f t="shared" si="15"/>
        <v>9.7976845724774886E-2</v>
      </c>
      <c r="N115">
        <f t="shared" si="16"/>
        <v>1.8597223451352281E-2</v>
      </c>
      <c r="O115">
        <f t="shared" si="17"/>
        <v>2.5607026848830306E-2</v>
      </c>
    </row>
    <row r="116" spans="1:15" x14ac:dyDescent="0.25">
      <c r="A116" s="18">
        <f t="shared" si="12"/>
        <v>40330</v>
      </c>
      <c r="B116">
        <f>'2-state flows'!B751</f>
        <v>153623</v>
      </c>
      <c r="C116">
        <f>'2-state flows'!C751</f>
        <v>14475</v>
      </c>
      <c r="D116">
        <f>'raw JOLTS data'!D128</f>
        <v>2645</v>
      </c>
      <c r="E116">
        <f t="shared" si="9"/>
        <v>9.4224172161720576E-2</v>
      </c>
      <c r="F116">
        <f t="shared" si="10"/>
        <v>1.7217473945958614E-2</v>
      </c>
      <c r="G116">
        <f>'2-state flows'!G751</f>
        <v>0.24887063661084902</v>
      </c>
      <c r="H116">
        <f>'2-state flows'!H751</f>
        <v>2.6439820240680673E-2</v>
      </c>
      <c r="I116">
        <f t="shared" si="13"/>
        <v>2.3845515866273068E-2</v>
      </c>
      <c r="J116">
        <v>0.5</v>
      </c>
      <c r="K116">
        <f t="shared" si="14"/>
        <v>-0.27660664439954491</v>
      </c>
      <c r="L116">
        <f t="shared" si="11"/>
        <v>2.2703780207890187E-2</v>
      </c>
      <c r="M116">
        <f t="shared" si="15"/>
        <v>9.6493242940541957E-2</v>
      </c>
      <c r="N116">
        <f t="shared" si="16"/>
        <v>1.8676902780874641E-2</v>
      </c>
      <c r="O116">
        <f t="shared" si="17"/>
        <v>2.5031307332676195E-2</v>
      </c>
    </row>
    <row r="117" spans="1:15" x14ac:dyDescent="0.25">
      <c r="A117" s="18">
        <f t="shared" si="12"/>
        <v>40360</v>
      </c>
      <c r="B117">
        <f>'2-state flows'!B752</f>
        <v>153709</v>
      </c>
      <c r="C117">
        <f>'2-state flows'!C752</f>
        <v>14542</v>
      </c>
      <c r="D117">
        <f>'raw JOLTS data'!D129</f>
        <v>2922</v>
      </c>
      <c r="E117">
        <f t="shared" si="9"/>
        <v>9.4607342445790416E-2</v>
      </c>
      <c r="F117">
        <f t="shared" si="10"/>
        <v>1.9009947368078643E-2</v>
      </c>
      <c r="G117">
        <f>'2-state flows'!G752</f>
        <v>0.23123561806205337</v>
      </c>
      <c r="H117">
        <f>'2-state flows'!H752</f>
        <v>2.5229717583621799E-2</v>
      </c>
      <c r="I117">
        <f t="shared" si="13"/>
        <v>-4.6848647279421916E-2</v>
      </c>
      <c r="J117">
        <v>0.5</v>
      </c>
      <c r="K117">
        <f t="shared" si="14"/>
        <v>-0.37030393895838876</v>
      </c>
      <c r="L117">
        <f t="shared" si="11"/>
        <v>2.7529724912156044E-2</v>
      </c>
      <c r="M117">
        <f t="shared" si="15"/>
        <v>9.5076730292569203E-2</v>
      </c>
      <c r="N117">
        <f t="shared" si="16"/>
        <v>1.8238072153453768E-2</v>
      </c>
      <c r="O117">
        <f t="shared" si="17"/>
        <v>2.5267277531500376E-2</v>
      </c>
    </row>
    <row r="118" spans="1:15" x14ac:dyDescent="0.25">
      <c r="A118" s="18">
        <f t="shared" si="12"/>
        <v>40391</v>
      </c>
      <c r="B118">
        <f>'2-state flows'!B753</f>
        <v>154078</v>
      </c>
      <c r="C118">
        <f>'2-state flows'!C753</f>
        <v>14673</v>
      </c>
      <c r="D118">
        <f>'raw JOLTS data'!D130</f>
        <v>2905</v>
      </c>
      <c r="E118">
        <f t="shared" si="9"/>
        <v>9.5230986902737569E-2</v>
      </c>
      <c r="F118">
        <f t="shared" si="10"/>
        <v>1.885408689105518E-2</v>
      </c>
      <c r="G118">
        <f>'2-state flows'!G753</f>
        <v>0.26151435653964106</v>
      </c>
      <c r="H118">
        <f>'2-state flows'!H753</f>
        <v>2.6732904213082935E-2</v>
      </c>
      <c r="I118">
        <f t="shared" si="13"/>
        <v>5.7872605278852254E-2</v>
      </c>
      <c r="J118">
        <v>0.5</v>
      </c>
      <c r="K118">
        <f t="shared" si="14"/>
        <v>-0.25455872840068428</v>
      </c>
      <c r="L118">
        <f t="shared" si="11"/>
        <v>2.4319741550134655E-2</v>
      </c>
      <c r="M118">
        <f t="shared" si="15"/>
        <v>9.4687500503416192E-2</v>
      </c>
      <c r="N118">
        <f t="shared" si="16"/>
        <v>1.8360502735030811E-2</v>
      </c>
      <c r="O118">
        <f t="shared" si="17"/>
        <v>2.485108222339363E-2</v>
      </c>
    </row>
    <row r="119" spans="1:15" x14ac:dyDescent="0.25">
      <c r="A119" s="18">
        <f t="shared" si="12"/>
        <v>40422</v>
      </c>
      <c r="B119">
        <f>'2-state flows'!B754</f>
        <v>153966</v>
      </c>
      <c r="C119">
        <f>'2-state flows'!C754</f>
        <v>14577</v>
      </c>
      <c r="D119">
        <f>'raw JOLTS data'!D131</f>
        <v>2784</v>
      </c>
      <c r="E119">
        <f t="shared" si="9"/>
        <v>9.4676746814231716E-2</v>
      </c>
      <c r="F119">
        <f t="shared" si="10"/>
        <v>1.8081914188846887E-2</v>
      </c>
      <c r="G119">
        <f>'2-state flows'!G754</f>
        <v>0.23713617032420214</v>
      </c>
      <c r="H119">
        <f>'2-state flows'!H754</f>
        <v>2.4856272178771753E-2</v>
      </c>
      <c r="I119">
        <f t="shared" si="13"/>
        <v>-7.2785051940881251E-2</v>
      </c>
      <c r="J119">
        <v>0.5</v>
      </c>
      <c r="K119">
        <f t="shared" si="14"/>
        <v>-0.40012883228244678</v>
      </c>
      <c r="L119">
        <f t="shared" si="11"/>
        <v>2.697852164819102E-2</v>
      </c>
      <c r="M119">
        <f t="shared" si="15"/>
        <v>9.4838358720919905E-2</v>
      </c>
      <c r="N119">
        <f t="shared" si="16"/>
        <v>1.8648649482660238E-2</v>
      </c>
      <c r="O119">
        <f t="shared" si="17"/>
        <v>2.6275996036827242E-2</v>
      </c>
    </row>
    <row r="120" spans="1:15" x14ac:dyDescent="0.25">
      <c r="A120" s="18">
        <f t="shared" si="12"/>
        <v>40452</v>
      </c>
      <c r="B120">
        <f>'2-state flows'!B755</f>
        <v>153681</v>
      </c>
      <c r="C120">
        <f>'2-state flows'!C755</f>
        <v>14584</v>
      </c>
      <c r="D120">
        <f>'raw JOLTS data'!D132</f>
        <v>3033</v>
      </c>
      <c r="E120">
        <f t="shared" si="9"/>
        <v>9.4897872866522209E-2</v>
      </c>
      <c r="F120">
        <f t="shared" si="10"/>
        <v>1.9735686259199251E-2</v>
      </c>
      <c r="G120">
        <f>'2-state flows'!G755</f>
        <v>0.2172810382623496</v>
      </c>
      <c r="H120">
        <f>'2-state flows'!H755</f>
        <v>2.6913795062962265E-2</v>
      </c>
      <c r="I120">
        <f t="shared" si="13"/>
        <v>7.9528860521109773E-2</v>
      </c>
      <c r="J120">
        <v>0.5</v>
      </c>
      <c r="K120">
        <f t="shared" si="14"/>
        <v>-0.24107111124022723</v>
      </c>
      <c r="L120">
        <f t="shared" si="11"/>
        <v>2.511586186765986E-2</v>
      </c>
      <c r="M120">
        <f t="shared" si="15"/>
        <v>9.4935202194497179E-2</v>
      </c>
      <c r="N120">
        <f t="shared" si="16"/>
        <v>1.8890562446367106E-2</v>
      </c>
      <c r="O120">
        <f t="shared" si="17"/>
        <v>2.5471375021995177E-2</v>
      </c>
    </row>
    <row r="121" spans="1:15" x14ac:dyDescent="0.25">
      <c r="A121" s="18">
        <f>DATE(YEAR(A120),MONTH(A120)+1,1)</f>
        <v>40483</v>
      </c>
      <c r="B121">
        <f>'2-state flows'!B756</f>
        <v>154140</v>
      </c>
      <c r="C121">
        <f>'2-state flows'!C756</f>
        <v>15094</v>
      </c>
      <c r="D121">
        <f>'raw JOLTS data'!D133</f>
        <v>3051</v>
      </c>
      <c r="E121">
        <f t="shared" si="9"/>
        <v>9.7923965226417539E-2</v>
      </c>
      <c r="F121">
        <f t="shared" si="10"/>
        <v>1.9793694044375244E-2</v>
      </c>
      <c r="G121">
        <f>'2-state flows'!G756</f>
        <v>0.29435594292703537</v>
      </c>
      <c r="H121">
        <f>'2-state flows'!H756</f>
        <v>2.5734416803720007E-2</v>
      </c>
      <c r="I121">
        <f t="shared" si="13"/>
        <v>-4.480971152827936E-2</v>
      </c>
      <c r="J121">
        <v>0.5</v>
      </c>
      <c r="K121">
        <f t="shared" si="14"/>
        <v>-0.33069053429678597</v>
      </c>
      <c r="L121">
        <f t="shared" si="11"/>
        <v>2.7551416190830035E-2</v>
      </c>
      <c r="M121">
        <f t="shared" si="15"/>
        <v>9.5832861635723812E-2</v>
      </c>
      <c r="N121">
        <f t="shared" si="16"/>
        <v>1.9203764830807126E-2</v>
      </c>
      <c r="O121">
        <f t="shared" si="17"/>
        <v>2.6548599902226976E-2</v>
      </c>
    </row>
    <row r="122" spans="1:15" x14ac:dyDescent="0.25">
      <c r="A122" s="18">
        <f t="shared" ref="A122:A149" si="18">DATE(YEAR(A121),MONTH(A121)+1,1)</f>
        <v>40513</v>
      </c>
      <c r="B122">
        <f>'2-state flows'!B757</f>
        <v>153649</v>
      </c>
      <c r="C122">
        <f>'2-state flows'!C757</f>
        <v>14354</v>
      </c>
      <c r="D122">
        <f>'raw JOLTS data'!D134</f>
        <v>2930</v>
      </c>
      <c r="E122">
        <f t="shared" si="9"/>
        <v>9.3420718650951196E-2</v>
      </c>
      <c r="F122">
        <f t="shared" si="10"/>
        <v>1.906943748413592E-2</v>
      </c>
      <c r="G122">
        <f>'2-state flows'!G757</f>
        <v>0.27936968178720273</v>
      </c>
      <c r="H122">
        <f>'2-state flows'!H757</f>
        <v>2.5772907054898299E-2</v>
      </c>
      <c r="I122">
        <f t="shared" si="13"/>
        <v>1.4945547723878979E-3</v>
      </c>
      <c r="J122">
        <v>0.5</v>
      </c>
      <c r="K122">
        <f t="shared" si="14"/>
        <v>-0.3277014247520102</v>
      </c>
      <c r="L122">
        <f t="shared" si="11"/>
        <v>2.6464080124237475E-2</v>
      </c>
      <c r="M122">
        <f t="shared" si="15"/>
        <v>9.5414185581296981E-2</v>
      </c>
      <c r="N122">
        <f t="shared" si="16"/>
        <v>1.9532939262570138E-2</v>
      </c>
      <c r="O122">
        <f t="shared" si="17"/>
        <v>2.6377119394242459E-2</v>
      </c>
    </row>
    <row r="123" spans="1:15" x14ac:dyDescent="0.25">
      <c r="A123" s="18">
        <f t="shared" si="18"/>
        <v>40544</v>
      </c>
      <c r="B123">
        <f>'2-state flows'!B758</f>
        <v>153244</v>
      </c>
      <c r="C123">
        <f>'2-state flows'!C758</f>
        <v>13992</v>
      </c>
      <c r="D123">
        <f>'raw JOLTS data'!D135</f>
        <v>2868</v>
      </c>
      <c r="E123">
        <f t="shared" si="9"/>
        <v>9.1305369215107929E-2</v>
      </c>
      <c r="F123">
        <f t="shared" si="10"/>
        <v>1.871525149434888E-2</v>
      </c>
      <c r="G123">
        <f>'2-state flows'!G758</f>
        <v>0.24322301795602475</v>
      </c>
      <c r="H123">
        <f>'2-state flows'!H758</f>
        <v>2.285226764101644E-2</v>
      </c>
      <c r="I123">
        <f t="shared" si="13"/>
        <v>-0.12027347329688717</v>
      </c>
      <c r="J123">
        <v>0.5</v>
      </c>
      <c r="K123">
        <f t="shared" si="14"/>
        <v>-0.56824837134578454</v>
      </c>
      <c r="L123">
        <f t="shared" si="11"/>
        <v>3.3035645683526856E-2</v>
      </c>
      <c r="M123">
        <f t="shared" si="15"/>
        <v>9.4216684364158906E-2</v>
      </c>
      <c r="N123">
        <f t="shared" si="16"/>
        <v>1.9192794340953348E-2</v>
      </c>
      <c r="O123">
        <f t="shared" si="17"/>
        <v>2.9017047332864792E-2</v>
      </c>
    </row>
    <row r="124" spans="1:15" x14ac:dyDescent="0.25">
      <c r="A124" s="18">
        <f t="shared" si="18"/>
        <v>40575</v>
      </c>
      <c r="B124">
        <f>'2-state flows'!B759</f>
        <v>153269</v>
      </c>
      <c r="C124">
        <f>'2-state flows'!C759</f>
        <v>13798</v>
      </c>
      <c r="D124">
        <f>'raw JOLTS data'!D136</f>
        <v>3017</v>
      </c>
      <c r="E124">
        <f t="shared" si="9"/>
        <v>9.0024727766214951E-2</v>
      </c>
      <c r="F124">
        <f t="shared" si="10"/>
        <v>1.968434582335632E-2</v>
      </c>
      <c r="G124">
        <f>'2-state flows'!G759</f>
        <v>0.23846911604852705</v>
      </c>
      <c r="H124">
        <f>'2-state flows'!H759</f>
        <v>2.2923857860815387E-2</v>
      </c>
      <c r="I124">
        <f t="shared" si="13"/>
        <v>3.1278434939810149E-3</v>
      </c>
      <c r="J124">
        <v>0.5</v>
      </c>
      <c r="K124">
        <f t="shared" si="14"/>
        <v>-0.56199268435782246</v>
      </c>
      <c r="L124">
        <f t="shared" si="11"/>
        <v>3.4529580965780599E-2</v>
      </c>
      <c r="M124">
        <f t="shared" si="15"/>
        <v>9.1583605210758035E-2</v>
      </c>
      <c r="N124">
        <f t="shared" si="16"/>
        <v>1.915634493394704E-2</v>
      </c>
      <c r="O124">
        <f t="shared" si="17"/>
        <v>3.134310225784831E-2</v>
      </c>
    </row>
    <row r="125" spans="1:15" x14ac:dyDescent="0.25">
      <c r="A125" s="18">
        <f t="shared" si="18"/>
        <v>40603</v>
      </c>
      <c r="B125">
        <f>'2-state flows'!B760</f>
        <v>153358</v>
      </c>
      <c r="C125">
        <f>'2-state flows'!C760</f>
        <v>13716</v>
      </c>
      <c r="D125">
        <f>'raw JOLTS data'!D137</f>
        <v>3104</v>
      </c>
      <c r="E125">
        <f t="shared" si="9"/>
        <v>8.9437786095280331E-2</v>
      </c>
      <c r="F125">
        <f t="shared" si="10"/>
        <v>2.0240222225120306E-2</v>
      </c>
      <c r="G125">
        <f>'2-state flows'!G760</f>
        <v>0.24989436468271159</v>
      </c>
      <c r="H125">
        <f>'2-state flows'!H760</f>
        <v>2.5823492310837876E-2</v>
      </c>
      <c r="I125">
        <f t="shared" si="13"/>
        <v>0.11910643609050635</v>
      </c>
      <c r="J125">
        <v>0.5</v>
      </c>
      <c r="K125">
        <f t="shared" si="14"/>
        <v>-0.32377981217680973</v>
      </c>
      <c r="L125">
        <f t="shared" si="11"/>
        <v>2.7978927457633893E-2</v>
      </c>
      <c r="M125">
        <f t="shared" si="15"/>
        <v>9.0255961025534404E-2</v>
      </c>
      <c r="N125">
        <f t="shared" si="16"/>
        <v>1.9546606514275169E-2</v>
      </c>
      <c r="O125">
        <f t="shared" si="17"/>
        <v>3.1848051368980446E-2</v>
      </c>
    </row>
    <row r="126" spans="1:15" x14ac:dyDescent="0.25">
      <c r="A126" s="18">
        <f t="shared" si="18"/>
        <v>40634</v>
      </c>
      <c r="B126">
        <f>'2-state flows'!B761</f>
        <v>153478</v>
      </c>
      <c r="C126">
        <f>'2-state flows'!C761</f>
        <v>13872</v>
      </c>
      <c r="D126">
        <f>'raw JOLTS data'!D138</f>
        <v>3025</v>
      </c>
      <c r="E126">
        <f t="shared" si="9"/>
        <v>9.0384289605024828E-2</v>
      </c>
      <c r="F126">
        <f t="shared" si="10"/>
        <v>1.9709665228892739E-2</v>
      </c>
      <c r="G126">
        <f>'2-state flows'!G761</f>
        <v>0.25555846845233976</v>
      </c>
      <c r="H126">
        <f>'2-state flows'!H761</f>
        <v>2.5385442141787236E-2</v>
      </c>
      <c r="I126">
        <f t="shared" si="13"/>
        <v>-1.7108766617227641E-2</v>
      </c>
      <c r="J126">
        <v>0.5</v>
      </c>
      <c r="K126">
        <f t="shared" si="14"/>
        <v>-0.35799734541126504</v>
      </c>
      <c r="L126">
        <f t="shared" si="11"/>
        <v>2.8193923657727646E-2</v>
      </c>
      <c r="M126">
        <f t="shared" si="15"/>
        <v>8.9948934488840046E-2</v>
      </c>
      <c r="N126">
        <f t="shared" si="16"/>
        <v>1.9878077759123123E-2</v>
      </c>
      <c r="O126">
        <f t="shared" si="17"/>
        <v>3.0234144027047379E-2</v>
      </c>
    </row>
    <row r="127" spans="1:15" x14ac:dyDescent="0.25">
      <c r="A127" s="18">
        <f t="shared" si="18"/>
        <v>40664</v>
      </c>
      <c r="B127">
        <f>'2-state flows'!B762</f>
        <v>153552</v>
      </c>
      <c r="C127">
        <f>'2-state flows'!C762</f>
        <v>13871</v>
      </c>
      <c r="D127">
        <f>'raw JOLTS data'!D139</f>
        <v>2937</v>
      </c>
      <c r="E127">
        <f t="shared" si="9"/>
        <v>9.0334219026779197E-2</v>
      </c>
      <c r="F127">
        <f t="shared" si="10"/>
        <v>1.9127070959674898E-2</v>
      </c>
      <c r="G127">
        <f>'2-state flows'!G762</f>
        <v>0.27983940564861254</v>
      </c>
      <c r="H127">
        <f>'2-state flows'!H762</f>
        <v>2.8563148056583276E-2</v>
      </c>
      <c r="I127">
        <f t="shared" si="13"/>
        <v>0.11794149177723472</v>
      </c>
      <c r="J127">
        <v>0.5</v>
      </c>
      <c r="K127">
        <f t="shared" si="14"/>
        <v>-0.12211436185679561</v>
      </c>
      <c r="L127">
        <f t="shared" si="11"/>
        <v>2.161135824547462E-2</v>
      </c>
      <c r="M127">
        <f t="shared" si="15"/>
        <v>9.0052098242361447E-2</v>
      </c>
      <c r="N127">
        <f t="shared" si="16"/>
        <v>1.9692319471229316E-2</v>
      </c>
      <c r="O127">
        <f t="shared" si="17"/>
        <v>2.5928069786945385E-2</v>
      </c>
    </row>
    <row r="128" spans="1:15" x14ac:dyDescent="0.25">
      <c r="A128" s="18">
        <f t="shared" si="18"/>
        <v>40695</v>
      </c>
      <c r="B128">
        <f>'2-state flows'!B763</f>
        <v>153369</v>
      </c>
      <c r="C128">
        <f>'2-state flows'!C763</f>
        <v>13964</v>
      </c>
      <c r="D128">
        <f>'raw JOLTS data'!D140</f>
        <v>3180</v>
      </c>
      <c r="E128">
        <f t="shared" si="9"/>
        <v>9.1048386570949796E-2</v>
      </c>
      <c r="F128">
        <f t="shared" si="10"/>
        <v>2.0734307454570351E-2</v>
      </c>
      <c r="G128">
        <f>'2-state flows'!G763</f>
        <v>0.2614726540495953</v>
      </c>
      <c r="H128">
        <f>'2-state flows'!H763</f>
        <v>2.4978631923241717E-2</v>
      </c>
      <c r="I128">
        <f t="shared" si="13"/>
        <v>-0.13409662115394697</v>
      </c>
      <c r="J128">
        <v>0.5</v>
      </c>
      <c r="K128">
        <f t="shared" si="14"/>
        <v>-0.39030760416468957</v>
      </c>
      <c r="L128">
        <f t="shared" si="11"/>
        <v>3.0633595457268434E-2</v>
      </c>
      <c r="M128">
        <f t="shared" si="15"/>
        <v>9.0588965067584612E-2</v>
      </c>
      <c r="N128">
        <f t="shared" si="16"/>
        <v>1.9857014547712663E-2</v>
      </c>
      <c r="O128">
        <f t="shared" si="17"/>
        <v>2.6812959120156899E-2</v>
      </c>
    </row>
    <row r="129" spans="1:15" x14ac:dyDescent="0.25">
      <c r="A129" s="18">
        <f t="shared" si="18"/>
        <v>40725</v>
      </c>
      <c r="B129">
        <f>'2-state flows'!B764</f>
        <v>153325</v>
      </c>
      <c r="C129">
        <f>'2-state flows'!C764</f>
        <v>13817</v>
      </c>
      <c r="D129">
        <f>'raw JOLTS data'!D141</f>
        <v>3286</v>
      </c>
      <c r="E129">
        <f t="shared" si="9"/>
        <v>9.011576716125877E-2</v>
      </c>
      <c r="F129">
        <f t="shared" si="10"/>
        <v>2.1431599543453448E-2</v>
      </c>
      <c r="G129">
        <f>'2-state flows'!G764</f>
        <v>0.25486376712300002</v>
      </c>
      <c r="H129">
        <f>'2-state flows'!H764</f>
        <v>2.5406328824176348E-2</v>
      </c>
      <c r="I129">
        <f t="shared" si="13"/>
        <v>1.6977572980045107E-2</v>
      </c>
      <c r="J129">
        <v>0.5</v>
      </c>
      <c r="K129">
        <f t="shared" si="14"/>
        <v>-0.35635245820459938</v>
      </c>
      <c r="L129">
        <f t="shared" si="11"/>
        <v>3.0606698960904E-2</v>
      </c>
      <c r="M129">
        <f t="shared" si="15"/>
        <v>9.0499457586329268E-2</v>
      </c>
      <c r="N129">
        <f t="shared" si="16"/>
        <v>2.0430992652566232E-2</v>
      </c>
      <c r="O129">
        <f t="shared" si="17"/>
        <v>2.7617217554549017E-2</v>
      </c>
    </row>
    <row r="130" spans="1:15" x14ac:dyDescent="0.25">
      <c r="A130" s="18">
        <f t="shared" si="18"/>
        <v>40756</v>
      </c>
      <c r="B130">
        <f>'2-state flows'!B765</f>
        <v>153707</v>
      </c>
      <c r="C130">
        <f>'2-state flows'!C765</f>
        <v>13837</v>
      </c>
      <c r="D130">
        <f>'raw JOLTS data'!D142</f>
        <v>3172</v>
      </c>
      <c r="E130">
        <f t="shared" si="9"/>
        <v>9.0021924831009653E-2</v>
      </c>
      <c r="F130">
        <f t="shared" si="10"/>
        <v>2.0636665864274237E-2</v>
      </c>
      <c r="G130">
        <f>'2-state flows'!G765</f>
        <v>0.2561010545964596</v>
      </c>
      <c r="H130">
        <f>'2-state flows'!H765</f>
        <v>2.5934423685245015E-2</v>
      </c>
      <c r="I130">
        <f t="shared" si="13"/>
        <v>2.0572876756705091E-2</v>
      </c>
      <c r="J130">
        <v>0.5</v>
      </c>
      <c r="K130">
        <f t="shared" si="14"/>
        <v>-0.31520670469118917</v>
      </c>
      <c r="L130">
        <f t="shared" si="11"/>
        <v>2.8283429260952349E-2</v>
      </c>
      <c r="M130">
        <f t="shared" si="15"/>
        <v>9.0395359521072735E-2</v>
      </c>
      <c r="N130">
        <f t="shared" si="16"/>
        <v>2.0934190954099346E-2</v>
      </c>
      <c r="O130">
        <f t="shared" si="17"/>
        <v>2.9841241226374927E-2</v>
      </c>
    </row>
    <row r="131" spans="1:15" x14ac:dyDescent="0.25">
      <c r="A131" s="18">
        <f t="shared" si="18"/>
        <v>40787</v>
      </c>
      <c r="B131">
        <f>'2-state flows'!B766</f>
        <v>154074</v>
      </c>
      <c r="C131">
        <f>'2-state flows'!C766</f>
        <v>13910</v>
      </c>
      <c r="D131">
        <f>'raw JOLTS data'!D143</f>
        <v>3465</v>
      </c>
      <c r="E131">
        <f t="shared" ref="E131:E154" si="19">C131/B131</f>
        <v>9.0281293404467985E-2</v>
      </c>
      <c r="F131">
        <f t="shared" ref="F131:F154" si="20">D131/B131</f>
        <v>2.2489193504419955E-2</v>
      </c>
      <c r="G131">
        <f>'2-state flows'!G766</f>
        <v>0.27186721877295805</v>
      </c>
      <c r="H131">
        <f>'2-state flows'!H766</f>
        <v>2.5215558443410831E-2</v>
      </c>
      <c r="I131">
        <f t="shared" si="13"/>
        <v>-2.8109983497229214E-2</v>
      </c>
      <c r="J131">
        <v>0.5</v>
      </c>
      <c r="K131">
        <f t="shared" si="14"/>
        <v>-0.37142667168564758</v>
      </c>
      <c r="L131">
        <f t="shared" ref="L131:L154" si="21">F131/EXP(K131)</f>
        <v>3.2604867166941477E-2</v>
      </c>
      <c r="M131">
        <f t="shared" si="15"/>
        <v>9.0139661798912141E-2</v>
      </c>
      <c r="N131">
        <f t="shared" si="16"/>
        <v>2.1519152970715882E-2</v>
      </c>
      <c r="O131">
        <f t="shared" si="17"/>
        <v>3.0498331796265942E-2</v>
      </c>
    </row>
    <row r="132" spans="1:15" x14ac:dyDescent="0.25">
      <c r="A132" s="18">
        <f t="shared" si="18"/>
        <v>40817</v>
      </c>
      <c r="B132">
        <f>'2-state flows'!B767</f>
        <v>154010</v>
      </c>
      <c r="C132">
        <f>'2-state flows'!C767</f>
        <v>13696</v>
      </c>
      <c r="D132">
        <f>'raw JOLTS data'!D144</f>
        <v>3308</v>
      </c>
      <c r="E132">
        <f t="shared" si="19"/>
        <v>8.8929290305824291E-2</v>
      </c>
      <c r="F132">
        <f t="shared" si="20"/>
        <v>2.1479124732160248E-2</v>
      </c>
      <c r="G132">
        <f>'2-state flows'!G767</f>
        <v>0.27679913937832651</v>
      </c>
      <c r="H132">
        <f>'2-state flows'!H767</f>
        <v>2.3956686293374913E-2</v>
      </c>
      <c r="I132">
        <f t="shared" ref="I132:I154" si="22">LN(H132/H131)</f>
        <v>-5.121374048272008E-2</v>
      </c>
      <c r="J132">
        <v>0.5</v>
      </c>
      <c r="K132">
        <f t="shared" si="14"/>
        <v>-0.47385415265108777</v>
      </c>
      <c r="L132">
        <f t="shared" si="21"/>
        <v>3.4499184063499597E-2</v>
      </c>
      <c r="M132">
        <f t="shared" si="15"/>
        <v>8.9744169513767305E-2</v>
      </c>
      <c r="N132">
        <f t="shared" si="16"/>
        <v>2.1534994700284815E-2</v>
      </c>
      <c r="O132">
        <f t="shared" si="17"/>
        <v>3.1795826830464474E-2</v>
      </c>
    </row>
    <row r="133" spans="1:15" x14ac:dyDescent="0.25">
      <c r="A133" s="18">
        <f t="shared" si="18"/>
        <v>40848</v>
      </c>
      <c r="B133">
        <f>'2-state flows'!B768</f>
        <v>154096</v>
      </c>
      <c r="C133">
        <f>'2-state flows'!C768</f>
        <v>13325</v>
      </c>
      <c r="D133">
        <f>'raw JOLTS data'!D145</f>
        <v>3118</v>
      </c>
      <c r="E133">
        <f t="shared" si="19"/>
        <v>8.6472069359360401E-2</v>
      </c>
      <c r="F133">
        <f t="shared" si="20"/>
        <v>2.0234139757034576E-2</v>
      </c>
      <c r="G133">
        <f>'2-state flows'!G768</f>
        <v>0.28839777566070413</v>
      </c>
      <c r="H133">
        <f>'2-state flows'!H768</f>
        <v>2.5015051776099067E-2</v>
      </c>
      <c r="I133">
        <f t="shared" si="22"/>
        <v>4.3230252669474355E-2</v>
      </c>
      <c r="J133">
        <v>0.5</v>
      </c>
      <c r="K133">
        <f t="shared" ref="K133:K154" si="23">K132+(I133/(1-J133))</f>
        <v>-0.38739364731213904</v>
      </c>
      <c r="L133">
        <f t="shared" si="21"/>
        <v>2.9807645234810352E-2</v>
      </c>
      <c r="M133">
        <f t="shared" ref="M133:M154" si="24">AVERAGE(E131:E133)</f>
        <v>8.8560884356550892E-2</v>
      </c>
      <c r="N133">
        <f t="shared" ref="N133:N154" si="25">AVERAGE(F131:F133)</f>
        <v>2.1400819331204926E-2</v>
      </c>
      <c r="O133">
        <f t="shared" ref="O133:O154" si="26">AVERAGE(L131:L133)</f>
        <v>3.2303898821750478E-2</v>
      </c>
    </row>
    <row r="134" spans="1:15" x14ac:dyDescent="0.25">
      <c r="A134" s="18">
        <f t="shared" si="18"/>
        <v>40878</v>
      </c>
      <c r="B134">
        <f>'2-state flows'!B769</f>
        <v>153945</v>
      </c>
      <c r="C134">
        <f>'2-state flows'!C769</f>
        <v>13049</v>
      </c>
      <c r="D134">
        <f>'raw JOLTS data'!D146</f>
        <v>3384</v>
      </c>
      <c r="E134">
        <f t="shared" si="19"/>
        <v>8.4764039104875122E-2</v>
      </c>
      <c r="F134">
        <f t="shared" si="20"/>
        <v>2.1981876644256066E-2</v>
      </c>
      <c r="G134">
        <f>'2-state flows'!G769</f>
        <v>0.28085433489067663</v>
      </c>
      <c r="H134">
        <f>'2-state flows'!H769</f>
        <v>2.3533226321797732E-2</v>
      </c>
      <c r="I134">
        <f t="shared" si="22"/>
        <v>-6.1064406151750718E-2</v>
      </c>
      <c r="J134">
        <v>0.5</v>
      </c>
      <c r="K134">
        <f t="shared" si="23"/>
        <v>-0.50952245961564047</v>
      </c>
      <c r="L134">
        <f t="shared" si="21"/>
        <v>3.6588748846277504E-2</v>
      </c>
      <c r="M134">
        <f t="shared" si="24"/>
        <v>8.6721799590019952E-2</v>
      </c>
      <c r="N134">
        <f t="shared" si="25"/>
        <v>2.1231713711150294E-2</v>
      </c>
      <c r="O134">
        <f t="shared" si="26"/>
        <v>3.3631859381529149E-2</v>
      </c>
    </row>
    <row r="135" spans="1:15" x14ac:dyDescent="0.25">
      <c r="A135" s="18">
        <f t="shared" si="18"/>
        <v>40909</v>
      </c>
      <c r="B135">
        <f>'2-state flows'!B770</f>
        <v>154356</v>
      </c>
      <c r="C135">
        <f>'2-state flows'!C770</f>
        <v>12748</v>
      </c>
      <c r="D135">
        <f>'raw JOLTS data'!D147</f>
        <v>3415</v>
      </c>
      <c r="E135">
        <f t="shared" si="19"/>
        <v>8.258830236595921E-2</v>
      </c>
      <c r="F135">
        <f t="shared" si="20"/>
        <v>2.2124180465935887E-2</v>
      </c>
      <c r="G135">
        <f>'2-state flows'!G770</f>
        <v>0.25963845665917962</v>
      </c>
      <c r="H135">
        <f>'2-state flows'!H770</f>
        <v>2.3843850063345537E-2</v>
      </c>
      <c r="I135">
        <f t="shared" si="22"/>
        <v>1.3113016515427654E-2</v>
      </c>
      <c r="J135">
        <v>0.5</v>
      </c>
      <c r="K135">
        <f t="shared" si="23"/>
        <v>-0.48329642658478517</v>
      </c>
      <c r="L135">
        <f t="shared" si="21"/>
        <v>3.5872377691652461E-2</v>
      </c>
      <c r="M135">
        <f t="shared" si="24"/>
        <v>8.4608136943398249E-2</v>
      </c>
      <c r="N135">
        <f t="shared" si="25"/>
        <v>2.144673228907551E-2</v>
      </c>
      <c r="O135">
        <f t="shared" si="26"/>
        <v>3.4089590590913439E-2</v>
      </c>
    </row>
    <row r="136" spans="1:15" x14ac:dyDescent="0.25">
      <c r="A136" s="18">
        <f t="shared" si="18"/>
        <v>40940</v>
      </c>
      <c r="B136">
        <f>'2-state flows'!B771</f>
        <v>154825</v>
      </c>
      <c r="C136">
        <f>'2-state flows'!C771</f>
        <v>12806</v>
      </c>
      <c r="D136">
        <f>'raw JOLTS data'!D148</f>
        <v>3526</v>
      </c>
      <c r="E136">
        <f t="shared" si="19"/>
        <v>8.2712740190537704E-2</v>
      </c>
      <c r="F136">
        <f t="shared" si="20"/>
        <v>2.2774099790085579E-2</v>
      </c>
      <c r="G136">
        <f>'2-state flows'!G771</f>
        <v>0.28040578217537393</v>
      </c>
      <c r="H136">
        <f>'2-state flows'!H771</f>
        <v>2.4304260635796528E-2</v>
      </c>
      <c r="I136">
        <f t="shared" si="22"/>
        <v>1.9125344679808916E-2</v>
      </c>
      <c r="J136">
        <v>0.5</v>
      </c>
      <c r="K136">
        <f t="shared" si="23"/>
        <v>-0.44504573722516733</v>
      </c>
      <c r="L136">
        <f t="shared" si="21"/>
        <v>3.5540384922758295E-2</v>
      </c>
      <c r="M136">
        <f t="shared" si="24"/>
        <v>8.3355027220457345E-2</v>
      </c>
      <c r="N136">
        <f t="shared" si="25"/>
        <v>2.2293385633425849E-2</v>
      </c>
      <c r="O136">
        <f t="shared" si="26"/>
        <v>3.6000503820229422E-2</v>
      </c>
    </row>
    <row r="137" spans="1:15" x14ac:dyDescent="0.25">
      <c r="A137" s="18">
        <f t="shared" si="18"/>
        <v>40969</v>
      </c>
      <c r="B137">
        <f>'2-state flows'!B772</f>
        <v>154707</v>
      </c>
      <c r="C137">
        <f>'2-state flows'!C772</f>
        <v>12686</v>
      </c>
      <c r="D137">
        <f>'raw JOLTS data'!D149</f>
        <v>3848</v>
      </c>
      <c r="E137">
        <f t="shared" si="19"/>
        <v>8.2000168059622389E-2</v>
      </c>
      <c r="F137">
        <f t="shared" si="20"/>
        <v>2.4872824112677511E-2</v>
      </c>
      <c r="G137">
        <f>'2-state flows'!G772</f>
        <v>0.28497618807739428</v>
      </c>
      <c r="H137">
        <f>'2-state flows'!H772</f>
        <v>2.4080326665127678E-2</v>
      </c>
      <c r="I137">
        <f t="shared" si="22"/>
        <v>-9.2564836074269206E-3</v>
      </c>
      <c r="J137">
        <v>0.5</v>
      </c>
      <c r="K137">
        <f t="shared" si="23"/>
        <v>-0.46355870444002117</v>
      </c>
      <c r="L137">
        <f t="shared" si="21"/>
        <v>3.9540857752858358E-2</v>
      </c>
      <c r="M137">
        <f t="shared" si="24"/>
        <v>8.2433736872039767E-2</v>
      </c>
      <c r="N137">
        <f t="shared" si="25"/>
        <v>2.3257034789566325E-2</v>
      </c>
      <c r="O137">
        <f t="shared" si="26"/>
        <v>3.698454012242304E-2</v>
      </c>
    </row>
    <row r="138" spans="1:15" x14ac:dyDescent="0.25">
      <c r="A138" s="18">
        <f t="shared" si="18"/>
        <v>41000</v>
      </c>
      <c r="B138">
        <f>'2-state flows'!B773</f>
        <v>154451</v>
      </c>
      <c r="C138">
        <f>'2-state flows'!C773</f>
        <v>12518</v>
      </c>
      <c r="D138">
        <f>'raw JOLTS data'!D150</f>
        <v>3523</v>
      </c>
      <c r="E138">
        <f t="shared" si="19"/>
        <v>8.1048358379032834E-2</v>
      </c>
      <c r="F138">
        <f t="shared" si="20"/>
        <v>2.2809823180167173E-2</v>
      </c>
      <c r="G138">
        <f>'2-state flows'!G773</f>
        <v>0.25744874125008349</v>
      </c>
      <c r="H138">
        <f>'2-state flows'!H773</f>
        <v>2.4136963609950556E-2</v>
      </c>
      <c r="I138">
        <f t="shared" si="22"/>
        <v>2.3492390612446287E-3</v>
      </c>
      <c r="J138">
        <v>0.5</v>
      </c>
      <c r="K138">
        <f t="shared" si="23"/>
        <v>-0.45886022631753193</v>
      </c>
      <c r="L138">
        <f t="shared" si="21"/>
        <v>3.6091288149909903E-2</v>
      </c>
      <c r="M138">
        <f t="shared" si="24"/>
        <v>8.1920422209730989E-2</v>
      </c>
      <c r="N138">
        <f t="shared" si="25"/>
        <v>2.3485582360976753E-2</v>
      </c>
      <c r="O138">
        <f t="shared" si="26"/>
        <v>3.7057510275175516E-2</v>
      </c>
    </row>
    <row r="139" spans="1:15" x14ac:dyDescent="0.25">
      <c r="A139" s="18">
        <f t="shared" si="18"/>
        <v>41030</v>
      </c>
      <c r="B139">
        <f>'2-state flows'!B774</f>
        <v>154998</v>
      </c>
      <c r="C139">
        <f>'2-state flows'!C774</f>
        <v>12695</v>
      </c>
      <c r="D139">
        <f>'raw JOLTS data'!D151</f>
        <v>3774</v>
      </c>
      <c r="E139">
        <f t="shared" si="19"/>
        <v>8.1904282635904976E-2</v>
      </c>
      <c r="F139">
        <f t="shared" si="20"/>
        <v>2.434870127356482E-2</v>
      </c>
      <c r="G139">
        <f>'2-state flows'!G774</f>
        <v>0.29794858824741083</v>
      </c>
      <c r="H139">
        <f>'2-state flows'!H774</f>
        <v>2.6629682085543678E-2</v>
      </c>
      <c r="I139">
        <f t="shared" si="22"/>
        <v>9.8282036310021789E-2</v>
      </c>
      <c r="J139">
        <v>0.5</v>
      </c>
      <c r="K139">
        <f t="shared" si="23"/>
        <v>-0.26229615369748838</v>
      </c>
      <c r="L139">
        <f t="shared" si="21"/>
        <v>3.1651155797623676E-2</v>
      </c>
      <c r="M139">
        <f t="shared" si="24"/>
        <v>8.1650936358186724E-2</v>
      </c>
      <c r="N139">
        <f t="shared" si="25"/>
        <v>2.4010449522136504E-2</v>
      </c>
      <c r="O139">
        <f t="shared" si="26"/>
        <v>3.5761100566797314E-2</v>
      </c>
    </row>
    <row r="140" spans="1:15" x14ac:dyDescent="0.25">
      <c r="A140" s="18">
        <f t="shared" si="18"/>
        <v>41061</v>
      </c>
      <c r="B140">
        <f>'2-state flows'!B775</f>
        <v>155149</v>
      </c>
      <c r="C140">
        <f>'2-state flows'!C775</f>
        <v>12701</v>
      </c>
      <c r="D140">
        <f>'raw JOLTS data'!D152</f>
        <v>3792</v>
      </c>
      <c r="E140">
        <f t="shared" si="19"/>
        <v>8.1863241142385704E-2</v>
      </c>
      <c r="F140">
        <f t="shared" si="20"/>
        <v>2.4441021211867302E-2</v>
      </c>
      <c r="G140">
        <f>'2-state flows'!G775</f>
        <v>0.27820243716980847</v>
      </c>
      <c r="H140">
        <f>'2-state flows'!H775</f>
        <v>2.5163288515231152E-2</v>
      </c>
      <c r="I140">
        <f t="shared" si="22"/>
        <v>-5.6640334153243314E-2</v>
      </c>
      <c r="J140">
        <v>0.5</v>
      </c>
      <c r="K140">
        <f t="shared" si="23"/>
        <v>-0.37557682200397502</v>
      </c>
      <c r="L140">
        <f t="shared" si="21"/>
        <v>3.5581994586844183E-2</v>
      </c>
      <c r="M140">
        <f t="shared" si="24"/>
        <v>8.1605294052441171E-2</v>
      </c>
      <c r="N140">
        <f t="shared" si="25"/>
        <v>2.3866515221866429E-2</v>
      </c>
      <c r="O140">
        <f t="shared" si="26"/>
        <v>3.4441479511459254E-2</v>
      </c>
    </row>
    <row r="141" spans="1:15" x14ac:dyDescent="0.25">
      <c r="A141" s="18">
        <f t="shared" si="18"/>
        <v>41091</v>
      </c>
      <c r="B141">
        <f>'2-state flows'!B776</f>
        <v>154995</v>
      </c>
      <c r="C141">
        <f>'2-state flows'!C776</f>
        <v>12745</v>
      </c>
      <c r="D141">
        <f>'raw JOLTS data'!D153</f>
        <v>3499</v>
      </c>
      <c r="E141">
        <f t="shared" si="19"/>
        <v>8.2228458982547825E-2</v>
      </c>
      <c r="F141">
        <f t="shared" si="20"/>
        <v>2.2574921771670056E-2</v>
      </c>
      <c r="G141">
        <f>'2-state flows'!G776</f>
        <v>0.33033652821779086</v>
      </c>
      <c r="H141">
        <f>'2-state flows'!H776</f>
        <v>2.7405880741837717E-2</v>
      </c>
      <c r="I141">
        <f t="shared" si="22"/>
        <v>8.5371488585567923E-2</v>
      </c>
      <c r="J141">
        <v>0.5</v>
      </c>
      <c r="K141">
        <f t="shared" si="23"/>
        <v>-0.20483384483283917</v>
      </c>
      <c r="L141">
        <f t="shared" si="21"/>
        <v>2.7706678324061741E-2</v>
      </c>
      <c r="M141">
        <f t="shared" si="24"/>
        <v>8.1998660920279506E-2</v>
      </c>
      <c r="N141">
        <f t="shared" si="25"/>
        <v>2.3788214752367393E-2</v>
      </c>
      <c r="O141">
        <f t="shared" si="26"/>
        <v>3.1646609569509869E-2</v>
      </c>
    </row>
    <row r="142" spans="1:15" x14ac:dyDescent="0.25">
      <c r="A142" s="18">
        <f t="shared" si="18"/>
        <v>41122</v>
      </c>
      <c r="B142">
        <f>'2-state flows'!B777</f>
        <v>154647</v>
      </c>
      <c r="C142">
        <f>'2-state flows'!C777</f>
        <v>12483</v>
      </c>
      <c r="D142">
        <f>'raw JOLTS data'!D154</f>
        <v>3632</v>
      </c>
      <c r="E142">
        <f t="shared" si="19"/>
        <v>8.0719315602630501E-2</v>
      </c>
      <c r="F142">
        <f t="shared" si="20"/>
        <v>2.3485744954638628E-2</v>
      </c>
      <c r="G142">
        <f>'2-state flows'!G777</f>
        <v>0.31155417206610025</v>
      </c>
      <c r="H142">
        <f>'2-state flows'!H777</f>
        <v>2.4036243272424596E-2</v>
      </c>
      <c r="I142">
        <f t="shared" si="22"/>
        <v>-0.13119478839002377</v>
      </c>
      <c r="J142">
        <v>0.5</v>
      </c>
      <c r="K142">
        <f t="shared" si="23"/>
        <v>-0.46722342161288671</v>
      </c>
      <c r="L142">
        <f t="shared" si="21"/>
        <v>3.747286462458628E-2</v>
      </c>
      <c r="M142">
        <f t="shared" si="24"/>
        <v>8.1603671909188005E-2</v>
      </c>
      <c r="N142">
        <f t="shared" si="25"/>
        <v>2.3500562646058664E-2</v>
      </c>
      <c r="O142">
        <f t="shared" si="26"/>
        <v>3.3587179178497399E-2</v>
      </c>
    </row>
    <row r="143" spans="1:15" x14ac:dyDescent="0.25">
      <c r="A143" s="18">
        <f t="shared" si="18"/>
        <v>41153</v>
      </c>
      <c r="B143">
        <f>'2-state flows'!B778</f>
        <v>155056</v>
      </c>
      <c r="C143">
        <f>'2-state flows'!C778</f>
        <v>12082</v>
      </c>
      <c r="D143">
        <f>'raw JOLTS data'!D155</f>
        <v>3603</v>
      </c>
      <c r="E143">
        <f t="shared" si="19"/>
        <v>7.792023526983799E-2</v>
      </c>
      <c r="F143">
        <f t="shared" si="20"/>
        <v>2.3236766071612836E-2</v>
      </c>
      <c r="G143">
        <f>'2-state flows'!G778</f>
        <v>0.27319609944059847</v>
      </c>
      <c r="H143">
        <f>'2-state flows'!H778</f>
        <v>2.4428789041374094E-2</v>
      </c>
      <c r="I143">
        <f t="shared" si="22"/>
        <v>1.619948794436063E-2</v>
      </c>
      <c r="J143">
        <v>0.5</v>
      </c>
      <c r="K143">
        <f t="shared" si="23"/>
        <v>-0.43482444572416545</v>
      </c>
      <c r="L143">
        <f t="shared" si="21"/>
        <v>3.5893643354428573E-2</v>
      </c>
      <c r="M143">
        <f t="shared" si="24"/>
        <v>8.0289336618338772E-2</v>
      </c>
      <c r="N143">
        <f t="shared" si="25"/>
        <v>2.3099144265973839E-2</v>
      </c>
      <c r="O143">
        <f t="shared" si="26"/>
        <v>3.3691062101025536E-2</v>
      </c>
    </row>
    <row r="144" spans="1:15" x14ac:dyDescent="0.25">
      <c r="A144" s="18">
        <f t="shared" si="18"/>
        <v>41183</v>
      </c>
      <c r="B144">
        <f>'2-state flows'!B779</f>
        <v>155576</v>
      </c>
      <c r="C144">
        <f>'2-state flows'!C779</f>
        <v>12248</v>
      </c>
      <c r="D144">
        <f>'raw JOLTS data'!D156</f>
        <v>3646</v>
      </c>
      <c r="E144">
        <f t="shared" si="19"/>
        <v>7.8726795906823674E-2</v>
      </c>
      <c r="F144">
        <f t="shared" si="20"/>
        <v>2.3435491335424486E-2</v>
      </c>
      <c r="G144">
        <f>'2-state flows'!G779</f>
        <v>0.30473941857642045</v>
      </c>
      <c r="H144">
        <f>'2-state flows'!H779</f>
        <v>2.4354598269629275E-2</v>
      </c>
      <c r="I144">
        <f t="shared" si="22"/>
        <v>-3.0416431917857909E-3</v>
      </c>
      <c r="J144">
        <v>0.5</v>
      </c>
      <c r="K144">
        <f t="shared" si="23"/>
        <v>-0.44090773210773704</v>
      </c>
      <c r="L144">
        <f t="shared" si="21"/>
        <v>3.6421502532422649E-2</v>
      </c>
      <c r="M144">
        <f t="shared" si="24"/>
        <v>7.9122115593097397E-2</v>
      </c>
      <c r="N144">
        <f t="shared" si="25"/>
        <v>2.3386000787225317E-2</v>
      </c>
      <c r="O144">
        <f t="shared" si="26"/>
        <v>3.6596003503812501E-2</v>
      </c>
    </row>
    <row r="145" spans="1:15" x14ac:dyDescent="0.25">
      <c r="A145" s="18">
        <f t="shared" si="18"/>
        <v>41214</v>
      </c>
      <c r="B145">
        <f>'2-state flows'!B780</f>
        <v>155319</v>
      </c>
      <c r="C145">
        <f>'2-state flows'!C780</f>
        <v>12042</v>
      </c>
      <c r="D145">
        <f>'raw JOLTS data'!D157</f>
        <v>3789</v>
      </c>
      <c r="E145">
        <f t="shared" si="19"/>
        <v>7.7530759276070532E-2</v>
      </c>
      <c r="F145">
        <f t="shared" si="20"/>
        <v>2.439495489927182E-2</v>
      </c>
      <c r="G145">
        <f>'2-state flows'!G780</f>
        <v>0.27992394815647431</v>
      </c>
      <c r="H145">
        <f>'2-state flows'!H780</f>
        <v>2.485467698130361E-2</v>
      </c>
      <c r="I145">
        <f t="shared" si="22"/>
        <v>2.0325270994494125E-2</v>
      </c>
      <c r="J145">
        <v>0.5</v>
      </c>
      <c r="K145">
        <f t="shared" si="23"/>
        <v>-0.40025719011874877</v>
      </c>
      <c r="L145">
        <f t="shared" si="21"/>
        <v>3.6402357339339712E-2</v>
      </c>
      <c r="M145">
        <f t="shared" si="24"/>
        <v>7.8059263484244065E-2</v>
      </c>
      <c r="N145">
        <f t="shared" si="25"/>
        <v>2.3689070768769711E-2</v>
      </c>
      <c r="O145">
        <f t="shared" si="26"/>
        <v>3.6239167742063649E-2</v>
      </c>
    </row>
    <row r="146" spans="1:15" x14ac:dyDescent="0.25">
      <c r="A146" s="18">
        <f t="shared" si="18"/>
        <v>41244</v>
      </c>
      <c r="B146">
        <f>'2-state flows'!B781</f>
        <v>155511</v>
      </c>
      <c r="C146">
        <f>'2-state flows'!C781</f>
        <v>12206</v>
      </c>
      <c r="D146">
        <f>'raw JOLTS data'!D158</f>
        <v>3612</v>
      </c>
      <c r="E146">
        <f t="shared" si="19"/>
        <v>7.848962452816842E-2</v>
      </c>
      <c r="F146">
        <f t="shared" si="20"/>
        <v>2.3226652776973975E-2</v>
      </c>
      <c r="G146">
        <f>'2-state flows'!G781</f>
        <v>0.2910807081729968</v>
      </c>
      <c r="H146">
        <f>'2-state flows'!H781</f>
        <v>2.5818697767500492E-2</v>
      </c>
      <c r="I146">
        <f t="shared" si="22"/>
        <v>3.8053005778840035E-2</v>
      </c>
      <c r="J146">
        <v>0.5</v>
      </c>
      <c r="K146">
        <f t="shared" si="23"/>
        <v>-0.32415117856106868</v>
      </c>
      <c r="L146">
        <f t="shared" si="21"/>
        <v>3.2119124271450278E-2</v>
      </c>
      <c r="M146">
        <f t="shared" si="24"/>
        <v>7.8249059903687537E-2</v>
      </c>
      <c r="N146">
        <f t="shared" si="25"/>
        <v>2.3685699670556757E-2</v>
      </c>
      <c r="O146">
        <f t="shared" si="26"/>
        <v>3.4980994714404211E-2</v>
      </c>
    </row>
    <row r="147" spans="1:15" x14ac:dyDescent="0.25">
      <c r="A147" s="18">
        <f t="shared" si="18"/>
        <v>41275</v>
      </c>
      <c r="B147">
        <f>'2-state flows'!B782</f>
        <v>155654</v>
      </c>
      <c r="C147">
        <f>'2-state flows'!C782</f>
        <v>12332</v>
      </c>
      <c r="D147">
        <f>'raw JOLTS data'!D159</f>
        <v>3611</v>
      </c>
      <c r="E147">
        <f t="shared" si="19"/>
        <v>7.9227003482082059E-2</v>
      </c>
      <c r="F147">
        <f t="shared" si="20"/>
        <v>2.3198889845426396E-2</v>
      </c>
      <c r="G147">
        <f>'2-state flows'!G782</f>
        <v>0.32185433308454797</v>
      </c>
      <c r="H147">
        <f>'2-state flows'!H782</f>
        <v>2.5216237807774603E-2</v>
      </c>
      <c r="I147">
        <f t="shared" si="22"/>
        <v>-2.3610804656019418E-2</v>
      </c>
      <c r="J147">
        <v>0.5</v>
      </c>
      <c r="K147">
        <f t="shared" si="23"/>
        <v>-0.37137278787310751</v>
      </c>
      <c r="L147">
        <f t="shared" si="21"/>
        <v>3.3631973740671679E-2</v>
      </c>
      <c r="M147">
        <f t="shared" si="24"/>
        <v>7.8415795762106999E-2</v>
      </c>
      <c r="N147">
        <f t="shared" si="25"/>
        <v>2.3606832507224063E-2</v>
      </c>
      <c r="O147">
        <f t="shared" si="26"/>
        <v>3.4051151783820559E-2</v>
      </c>
    </row>
    <row r="148" spans="1:15" x14ac:dyDescent="0.25">
      <c r="A148" s="18">
        <f t="shared" si="18"/>
        <v>41306</v>
      </c>
      <c r="B148">
        <f>'2-state flows'!B783</f>
        <v>155524</v>
      </c>
      <c r="C148">
        <f>'2-state flows'!C783</f>
        <v>12032</v>
      </c>
      <c r="D148">
        <f>'raw JOLTS data'!D160</f>
        <v>3899</v>
      </c>
      <c r="E148">
        <f t="shared" si="19"/>
        <v>7.7364265322393974E-2</v>
      </c>
      <c r="F148">
        <f t="shared" si="20"/>
        <v>2.507008564594532E-2</v>
      </c>
      <c r="G148">
        <f>'2-state flows'!G783</f>
        <v>0.30334487639838287</v>
      </c>
      <c r="H148">
        <f>'2-state flows'!H783</f>
        <v>2.3067108540035609E-2</v>
      </c>
      <c r="I148">
        <f t="shared" si="22"/>
        <v>-8.9080414327664698E-2</v>
      </c>
      <c r="J148">
        <v>0.5</v>
      </c>
      <c r="K148">
        <f t="shared" si="23"/>
        <v>-0.54953361652843691</v>
      </c>
      <c r="L148">
        <f t="shared" si="21"/>
        <v>4.3432540660619384E-2</v>
      </c>
      <c r="M148">
        <f t="shared" si="24"/>
        <v>7.836029777754816E-2</v>
      </c>
      <c r="N148">
        <f t="shared" si="25"/>
        <v>2.3831876089448562E-2</v>
      </c>
      <c r="O148">
        <f t="shared" si="26"/>
        <v>3.6394546224247114E-2</v>
      </c>
    </row>
    <row r="149" spans="1:15" x14ac:dyDescent="0.25">
      <c r="A149" s="18">
        <f t="shared" si="18"/>
        <v>41334</v>
      </c>
      <c r="B149">
        <f>'2-state flows'!B784</f>
        <v>155028</v>
      </c>
      <c r="C149">
        <f>'2-state flows'!C784</f>
        <v>11742</v>
      </c>
      <c r="D149">
        <f>'raw JOLTS data'!D161</f>
        <v>3875</v>
      </c>
      <c r="E149">
        <f t="shared" si="19"/>
        <v>7.5741156436256674E-2</v>
      </c>
      <c r="F149">
        <f t="shared" si="20"/>
        <v>2.4995484686637252E-2</v>
      </c>
      <c r="G149">
        <f>'2-state flows'!G784</f>
        <v>0.28965301365128815</v>
      </c>
      <c r="H149">
        <f>'2-state flows'!H784</f>
        <v>2.30619371145016E-2</v>
      </c>
      <c r="I149">
        <f t="shared" si="22"/>
        <v>-2.2421558834768252E-4</v>
      </c>
      <c r="J149">
        <v>0.5</v>
      </c>
      <c r="K149">
        <f t="shared" si="23"/>
        <v>-0.54998204770513226</v>
      </c>
      <c r="L149">
        <f t="shared" si="21"/>
        <v>4.332272151691996E-2</v>
      </c>
      <c r="M149">
        <f t="shared" si="24"/>
        <v>7.7444141746910902E-2</v>
      </c>
      <c r="N149">
        <f t="shared" si="25"/>
        <v>2.442148672600299E-2</v>
      </c>
      <c r="O149">
        <f t="shared" si="26"/>
        <v>4.0129078639403674E-2</v>
      </c>
    </row>
    <row r="150" spans="1:15" x14ac:dyDescent="0.25">
      <c r="A150" s="18">
        <f>DATE(YEAR(A149),MONTH(A149)+1,1)</f>
        <v>41365</v>
      </c>
      <c r="B150">
        <f>'2-state flows'!B785</f>
        <v>155238</v>
      </c>
      <c r="C150">
        <f>'2-state flows'!C785</f>
        <v>11659</v>
      </c>
      <c r="D150">
        <f>'raw JOLTS data'!D162</f>
        <v>3800</v>
      </c>
      <c r="E150">
        <f t="shared" si="19"/>
        <v>7.5104033806155712E-2</v>
      </c>
      <c r="F150">
        <f t="shared" si="20"/>
        <v>2.4478542624872777E-2</v>
      </c>
      <c r="G150">
        <f>'2-state flows'!G785</f>
        <v>0.30187268690116426</v>
      </c>
      <c r="H150">
        <f>'2-state flows'!H785</f>
        <v>2.5337669963989524E-2</v>
      </c>
      <c r="I150">
        <f t="shared" si="22"/>
        <v>9.4108705213568775E-2</v>
      </c>
      <c r="J150">
        <v>0.5</v>
      </c>
      <c r="K150">
        <f t="shared" si="23"/>
        <v>-0.36176463727799468</v>
      </c>
      <c r="L150">
        <f t="shared" si="21"/>
        <v>3.514778356696803E-2</v>
      </c>
      <c r="M150">
        <f t="shared" si="24"/>
        <v>7.606981852160212E-2</v>
      </c>
      <c r="N150">
        <f t="shared" si="25"/>
        <v>2.4848037652485121E-2</v>
      </c>
      <c r="O150">
        <f t="shared" si="26"/>
        <v>4.0634348581502458E-2</v>
      </c>
    </row>
    <row r="151" spans="1:15" x14ac:dyDescent="0.25">
      <c r="A151" s="18">
        <f t="shared" ref="A151:A154" si="27">DATE(YEAR(A150),MONTH(A150)+1,1)</f>
        <v>41395</v>
      </c>
      <c r="B151">
        <f>'2-state flows'!B786</f>
        <v>155658</v>
      </c>
      <c r="C151">
        <f>'2-state flows'!C786</f>
        <v>11760</v>
      </c>
      <c r="D151">
        <f>'raw JOLTS data'!D163</f>
        <v>3907</v>
      </c>
      <c r="E151">
        <f t="shared" si="19"/>
        <v>7.5550244767374625E-2</v>
      </c>
      <c r="F151">
        <f t="shared" si="20"/>
        <v>2.5099898495419444E-2</v>
      </c>
      <c r="G151">
        <f>'2-state flows'!G786</f>
        <v>0.30664994621084296</v>
      </c>
      <c r="H151">
        <f>'2-state flows'!H786</f>
        <v>2.5199653979797832E-2</v>
      </c>
      <c r="I151">
        <f t="shared" si="22"/>
        <v>-5.4619562944761479E-3</v>
      </c>
      <c r="J151">
        <v>0.5</v>
      </c>
      <c r="K151">
        <f t="shared" si="23"/>
        <v>-0.37268854986694699</v>
      </c>
      <c r="L151">
        <f t="shared" si="21"/>
        <v>3.6435819828315057E-2</v>
      </c>
      <c r="M151">
        <f t="shared" si="24"/>
        <v>7.5465145003262332E-2</v>
      </c>
      <c r="N151">
        <f t="shared" si="25"/>
        <v>2.4857975268976495E-2</v>
      </c>
      <c r="O151">
        <f t="shared" si="26"/>
        <v>3.8302108304067682E-2</v>
      </c>
    </row>
    <row r="152" spans="1:15" x14ac:dyDescent="0.25">
      <c r="A152" s="18">
        <f t="shared" si="27"/>
        <v>41426</v>
      </c>
      <c r="B152">
        <f>'2-state flows'!B787</f>
        <v>155835</v>
      </c>
      <c r="C152">
        <f>'2-state flows'!C787</f>
        <v>11777</v>
      </c>
      <c r="D152">
        <f>'raw JOLTS data'!D164</f>
        <v>3869</v>
      </c>
      <c r="E152">
        <f t="shared" si="19"/>
        <v>7.5573523277825905E-2</v>
      </c>
      <c r="F152">
        <f t="shared" si="20"/>
        <v>2.482754195142298E-2</v>
      </c>
      <c r="G152">
        <f>'2-state flows'!G787</f>
        <v>0.32127974652397701</v>
      </c>
      <c r="H152">
        <f>'2-state flows'!H787</f>
        <v>2.4106151983581334E-2</v>
      </c>
      <c r="I152">
        <f t="shared" si="22"/>
        <v>-4.4363186513418015E-2</v>
      </c>
      <c r="J152">
        <v>0.5</v>
      </c>
      <c r="K152">
        <f t="shared" si="23"/>
        <v>-0.46141492289378305</v>
      </c>
      <c r="L152">
        <f t="shared" si="21"/>
        <v>3.9384349729416623E-2</v>
      </c>
      <c r="M152">
        <f t="shared" si="24"/>
        <v>7.5409267283785414E-2</v>
      </c>
      <c r="N152">
        <f t="shared" si="25"/>
        <v>2.4801994357238399E-2</v>
      </c>
      <c r="O152">
        <f t="shared" si="26"/>
        <v>3.6989317708233237E-2</v>
      </c>
    </row>
    <row r="153" spans="1:15" x14ac:dyDescent="0.25">
      <c r="A153" s="18">
        <f t="shared" si="27"/>
        <v>41456</v>
      </c>
      <c r="B153">
        <f>'2-state flows'!B788</f>
        <v>155798</v>
      </c>
      <c r="C153">
        <f>'2-state flows'!C788</f>
        <v>11514</v>
      </c>
      <c r="D153">
        <f>'raw JOLTS data'!D165</f>
        <v>3808</v>
      </c>
      <c r="E153">
        <f t="shared" si="19"/>
        <v>7.3903387719996411E-2</v>
      </c>
      <c r="F153">
        <f t="shared" si="20"/>
        <v>2.4441905544358721E-2</v>
      </c>
      <c r="G153">
        <f>'2-state flows'!G788</f>
        <v>0.32215041125655669</v>
      </c>
      <c r="H153">
        <f>'2-state flows'!H788</f>
        <v>2.0354718067138206E-2</v>
      </c>
      <c r="I153">
        <f t="shared" si="22"/>
        <v>-0.16915434588180636</v>
      </c>
      <c r="J153">
        <v>0.5</v>
      </c>
      <c r="K153">
        <f t="shared" si="23"/>
        <v>-0.79972361465739583</v>
      </c>
      <c r="L153">
        <f t="shared" si="21"/>
        <v>5.4381428852213691E-2</v>
      </c>
      <c r="M153">
        <f t="shared" si="24"/>
        <v>7.5009051921732309E-2</v>
      </c>
      <c r="N153">
        <f t="shared" si="25"/>
        <v>2.4789781997067051E-2</v>
      </c>
      <c r="O153">
        <f t="shared" si="26"/>
        <v>4.3400532803315128E-2</v>
      </c>
    </row>
    <row r="154" spans="1:15" x14ac:dyDescent="0.25">
      <c r="A154" s="18">
        <f t="shared" si="27"/>
        <v>41487</v>
      </c>
      <c r="B154">
        <f>'2-state flows'!B789</f>
        <v>155486</v>
      </c>
      <c r="C154">
        <f>'2-state flows'!C789</f>
        <v>11316</v>
      </c>
      <c r="D154">
        <f>'raw JOLTS data'!D166</f>
        <v>3883</v>
      </c>
      <c r="E154">
        <f t="shared" si="19"/>
        <v>7.2778256563291871E-2</v>
      </c>
      <c r="F154">
        <f t="shared" si="20"/>
        <v>2.4973309494102362E-2</v>
      </c>
      <c r="G154" t="e">
        <f>'2-state flows'!G789</f>
        <v>#N/A</v>
      </c>
      <c r="H154" t="e">
        <f>'2-state flows'!H789</f>
        <v>#N/A</v>
      </c>
      <c r="I154" t="e">
        <f t="shared" si="22"/>
        <v>#N/A</v>
      </c>
      <c r="J154">
        <v>0.5</v>
      </c>
      <c r="K154" t="e">
        <f t="shared" si="23"/>
        <v>#N/A</v>
      </c>
      <c r="L154" t="e">
        <f t="shared" si="21"/>
        <v>#N/A</v>
      </c>
      <c r="M154">
        <f t="shared" si="24"/>
        <v>7.4085055853704729E-2</v>
      </c>
      <c r="N154">
        <f t="shared" si="25"/>
        <v>2.4747585663294686E-2</v>
      </c>
      <c r="O154" t="e">
        <f t="shared" si="26"/>
        <v>#N/A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51"/>
  <sheetViews>
    <sheetView workbookViewId="0"/>
  </sheetViews>
  <sheetFormatPr defaultColWidth="8.85546875" defaultRowHeight="15" x14ac:dyDescent="0.25"/>
  <cols>
    <col min="1" max="1" width="10.140625" bestFit="1" customWidth="1"/>
    <col min="2" max="2" width="12.85546875" bestFit="1" customWidth="1"/>
  </cols>
  <sheetData>
    <row r="1" spans="1:2" x14ac:dyDescent="0.25">
      <c r="A1" t="s">
        <v>137</v>
      </c>
      <c r="B1" t="s">
        <v>138</v>
      </c>
    </row>
    <row r="2" spans="1:2" x14ac:dyDescent="0.25">
      <c r="A2" s="18">
        <v>18629</v>
      </c>
      <c r="B2">
        <v>40</v>
      </c>
    </row>
    <row r="3" spans="1:2" x14ac:dyDescent="0.25">
      <c r="A3" s="18">
        <f>DATE(YEAR(A2),MONTH(A2)+1,1)</f>
        <v>18660</v>
      </c>
      <c r="B3">
        <v>41</v>
      </c>
    </row>
    <row r="4" spans="1:2" x14ac:dyDescent="0.25">
      <c r="A4" s="18">
        <f t="shared" ref="A4:A67" si="0">DATE(YEAR(A3),MONTH(A3)+1,1)</f>
        <v>18688</v>
      </c>
      <c r="B4">
        <v>43</v>
      </c>
    </row>
    <row r="5" spans="1:2" x14ac:dyDescent="0.25">
      <c r="A5" s="18">
        <f t="shared" si="0"/>
        <v>18719</v>
      </c>
      <c r="B5">
        <v>42</v>
      </c>
    </row>
    <row r="6" spans="1:2" x14ac:dyDescent="0.25">
      <c r="A6" s="18">
        <f t="shared" si="0"/>
        <v>18749</v>
      </c>
      <c r="B6">
        <v>43</v>
      </c>
    </row>
    <row r="7" spans="1:2" x14ac:dyDescent="0.25">
      <c r="A7" s="18">
        <f t="shared" si="0"/>
        <v>18780</v>
      </c>
      <c r="B7">
        <v>41</v>
      </c>
    </row>
    <row r="8" spans="1:2" x14ac:dyDescent="0.25">
      <c r="A8" s="18">
        <f t="shared" si="0"/>
        <v>18810</v>
      </c>
      <c r="B8">
        <v>42</v>
      </c>
    </row>
    <row r="9" spans="1:2" x14ac:dyDescent="0.25">
      <c r="A9" s="18">
        <f t="shared" si="0"/>
        <v>18841</v>
      </c>
      <c r="B9">
        <v>42</v>
      </c>
    </row>
    <row r="10" spans="1:2" x14ac:dyDescent="0.25">
      <c r="A10" s="18">
        <f t="shared" si="0"/>
        <v>18872</v>
      </c>
      <c r="B10">
        <v>41</v>
      </c>
    </row>
    <row r="11" spans="1:2" x14ac:dyDescent="0.25">
      <c r="A11" s="18">
        <f t="shared" si="0"/>
        <v>18902</v>
      </c>
      <c r="B11">
        <v>42</v>
      </c>
    </row>
    <row r="12" spans="1:2" x14ac:dyDescent="0.25">
      <c r="A12" s="18">
        <f t="shared" si="0"/>
        <v>18933</v>
      </c>
      <c r="B12">
        <v>42</v>
      </c>
    </row>
    <row r="13" spans="1:2" x14ac:dyDescent="0.25">
      <c r="A13" s="18">
        <f t="shared" si="0"/>
        <v>18963</v>
      </c>
      <c r="B13">
        <v>42</v>
      </c>
    </row>
    <row r="14" spans="1:2" x14ac:dyDescent="0.25">
      <c r="A14" s="18">
        <f t="shared" si="0"/>
        <v>18994</v>
      </c>
      <c r="B14">
        <v>44</v>
      </c>
    </row>
    <row r="15" spans="1:2" x14ac:dyDescent="0.25">
      <c r="A15" s="18">
        <f t="shared" si="0"/>
        <v>19025</v>
      </c>
      <c r="B15">
        <v>43</v>
      </c>
    </row>
    <row r="16" spans="1:2" x14ac:dyDescent="0.25">
      <c r="A16" s="18">
        <f t="shared" si="0"/>
        <v>19054</v>
      </c>
      <c r="B16">
        <v>42</v>
      </c>
    </row>
    <row r="17" spans="1:2" x14ac:dyDescent="0.25">
      <c r="A17" s="18">
        <f t="shared" si="0"/>
        <v>19085</v>
      </c>
      <c r="B17">
        <v>43</v>
      </c>
    </row>
    <row r="18" spans="1:2" x14ac:dyDescent="0.25">
      <c r="A18" s="18">
        <f t="shared" si="0"/>
        <v>19115</v>
      </c>
      <c r="B18">
        <v>42</v>
      </c>
    </row>
    <row r="19" spans="1:2" x14ac:dyDescent="0.25">
      <c r="A19" s="18">
        <f t="shared" si="0"/>
        <v>19146</v>
      </c>
      <c r="B19">
        <v>42</v>
      </c>
    </row>
    <row r="20" spans="1:2" x14ac:dyDescent="0.25">
      <c r="A20" s="18">
        <f t="shared" si="0"/>
        <v>19176</v>
      </c>
      <c r="B20">
        <v>43</v>
      </c>
    </row>
    <row r="21" spans="1:2" x14ac:dyDescent="0.25">
      <c r="A21" s="18">
        <f t="shared" si="0"/>
        <v>19207</v>
      </c>
      <c r="B21">
        <v>43</v>
      </c>
    </row>
    <row r="22" spans="1:2" x14ac:dyDescent="0.25">
      <c r="A22" s="18">
        <f t="shared" si="0"/>
        <v>19238</v>
      </c>
      <c r="B22">
        <v>46</v>
      </c>
    </row>
    <row r="23" spans="1:2" x14ac:dyDescent="0.25">
      <c r="A23" s="18">
        <f t="shared" si="0"/>
        <v>19268</v>
      </c>
      <c r="B23">
        <v>48</v>
      </c>
    </row>
    <row r="24" spans="1:2" x14ac:dyDescent="0.25">
      <c r="A24" s="18">
        <f t="shared" si="0"/>
        <v>19299</v>
      </c>
      <c r="B24">
        <v>48</v>
      </c>
    </row>
    <row r="25" spans="1:2" x14ac:dyDescent="0.25">
      <c r="A25" s="18">
        <f t="shared" si="0"/>
        <v>19329</v>
      </c>
      <c r="B25">
        <v>48</v>
      </c>
    </row>
    <row r="26" spans="1:2" x14ac:dyDescent="0.25">
      <c r="A26" s="18">
        <f t="shared" si="0"/>
        <v>19360</v>
      </c>
      <c r="B26">
        <v>47</v>
      </c>
    </row>
    <row r="27" spans="1:2" x14ac:dyDescent="0.25">
      <c r="A27" s="18">
        <f t="shared" si="0"/>
        <v>19391</v>
      </c>
      <c r="B27">
        <v>47</v>
      </c>
    </row>
    <row r="28" spans="1:2" x14ac:dyDescent="0.25">
      <c r="A28" s="18">
        <f t="shared" si="0"/>
        <v>19419</v>
      </c>
      <c r="B28">
        <v>50</v>
      </c>
    </row>
    <row r="29" spans="1:2" x14ac:dyDescent="0.25">
      <c r="A29" s="18">
        <f t="shared" si="0"/>
        <v>19450</v>
      </c>
      <c r="B29">
        <v>49</v>
      </c>
    </row>
    <row r="30" spans="1:2" x14ac:dyDescent="0.25">
      <c r="A30" s="18">
        <f t="shared" si="0"/>
        <v>19480</v>
      </c>
      <c r="B30">
        <v>47</v>
      </c>
    </row>
    <row r="31" spans="1:2" x14ac:dyDescent="0.25">
      <c r="A31" s="18">
        <f t="shared" si="0"/>
        <v>19511</v>
      </c>
      <c r="B31">
        <v>45</v>
      </c>
    </row>
    <row r="32" spans="1:2" x14ac:dyDescent="0.25">
      <c r="A32" s="18">
        <f t="shared" si="0"/>
        <v>19541</v>
      </c>
      <c r="B32">
        <v>43</v>
      </c>
    </row>
    <row r="33" spans="1:2" x14ac:dyDescent="0.25">
      <c r="A33" s="18">
        <f t="shared" si="0"/>
        <v>19572</v>
      </c>
      <c r="B33">
        <v>41</v>
      </c>
    </row>
    <row r="34" spans="1:2" x14ac:dyDescent="0.25">
      <c r="A34" s="18">
        <f t="shared" si="0"/>
        <v>19603</v>
      </c>
      <c r="B34">
        <v>40</v>
      </c>
    </row>
    <row r="35" spans="1:2" x14ac:dyDescent="0.25">
      <c r="A35" s="18">
        <f t="shared" si="0"/>
        <v>19633</v>
      </c>
      <c r="B35">
        <v>36</v>
      </c>
    </row>
    <row r="36" spans="1:2" x14ac:dyDescent="0.25">
      <c r="A36" s="18">
        <f t="shared" si="0"/>
        <v>19664</v>
      </c>
      <c r="B36">
        <v>33</v>
      </c>
    </row>
    <row r="37" spans="1:2" x14ac:dyDescent="0.25">
      <c r="A37" s="18">
        <f t="shared" si="0"/>
        <v>19694</v>
      </c>
      <c r="B37">
        <v>30</v>
      </c>
    </row>
    <row r="38" spans="1:2" x14ac:dyDescent="0.25">
      <c r="A38" s="18">
        <f t="shared" si="0"/>
        <v>19725</v>
      </c>
      <c r="B38">
        <v>29</v>
      </c>
    </row>
    <row r="39" spans="1:2" x14ac:dyDescent="0.25">
      <c r="A39" s="18">
        <f t="shared" si="0"/>
        <v>19756</v>
      </c>
      <c r="B39">
        <v>28</v>
      </c>
    </row>
    <row r="40" spans="1:2" x14ac:dyDescent="0.25">
      <c r="A40" s="18">
        <f t="shared" si="0"/>
        <v>19784</v>
      </c>
      <c r="B40">
        <v>27</v>
      </c>
    </row>
    <row r="41" spans="1:2" x14ac:dyDescent="0.25">
      <c r="A41" s="18">
        <f t="shared" si="0"/>
        <v>19815</v>
      </c>
      <c r="B41">
        <v>27</v>
      </c>
    </row>
    <row r="42" spans="1:2" x14ac:dyDescent="0.25">
      <c r="A42" s="18">
        <f t="shared" si="0"/>
        <v>19845</v>
      </c>
      <c r="B42">
        <v>26</v>
      </c>
    </row>
    <row r="43" spans="1:2" x14ac:dyDescent="0.25">
      <c r="A43" s="18">
        <f t="shared" si="0"/>
        <v>19876</v>
      </c>
      <c r="B43">
        <v>27</v>
      </c>
    </row>
    <row r="44" spans="1:2" x14ac:dyDescent="0.25">
      <c r="A44" s="18">
        <f t="shared" si="0"/>
        <v>19906</v>
      </c>
      <c r="B44">
        <v>26</v>
      </c>
    </row>
    <row r="45" spans="1:2" x14ac:dyDescent="0.25">
      <c r="A45" s="18">
        <f t="shared" si="0"/>
        <v>19937</v>
      </c>
      <c r="B45">
        <v>26</v>
      </c>
    </row>
    <row r="46" spans="1:2" x14ac:dyDescent="0.25">
      <c r="A46" s="18">
        <f t="shared" si="0"/>
        <v>19968</v>
      </c>
      <c r="B46">
        <v>26</v>
      </c>
    </row>
    <row r="47" spans="1:2" x14ac:dyDescent="0.25">
      <c r="A47" s="18">
        <f t="shared" si="0"/>
        <v>19998</v>
      </c>
      <c r="B47">
        <v>26</v>
      </c>
    </row>
    <row r="48" spans="1:2" x14ac:dyDescent="0.25">
      <c r="A48" s="18">
        <f t="shared" si="0"/>
        <v>20029</v>
      </c>
      <c r="B48">
        <v>28</v>
      </c>
    </row>
    <row r="49" spans="1:2" x14ac:dyDescent="0.25">
      <c r="A49" s="18">
        <f t="shared" si="0"/>
        <v>20059</v>
      </c>
      <c r="B49">
        <v>29</v>
      </c>
    </row>
    <row r="50" spans="1:2" x14ac:dyDescent="0.25">
      <c r="A50" s="18">
        <f t="shared" si="0"/>
        <v>20090</v>
      </c>
      <c r="B50">
        <v>30</v>
      </c>
    </row>
    <row r="51" spans="1:2" x14ac:dyDescent="0.25">
      <c r="A51" s="18">
        <f t="shared" si="0"/>
        <v>20121</v>
      </c>
      <c r="B51">
        <v>32</v>
      </c>
    </row>
    <row r="52" spans="1:2" x14ac:dyDescent="0.25">
      <c r="A52" s="18">
        <f t="shared" si="0"/>
        <v>20149</v>
      </c>
      <c r="B52">
        <v>34</v>
      </c>
    </row>
    <row r="53" spans="1:2" x14ac:dyDescent="0.25">
      <c r="A53" s="18">
        <f t="shared" si="0"/>
        <v>20180</v>
      </c>
      <c r="B53">
        <v>34</v>
      </c>
    </row>
    <row r="54" spans="1:2" x14ac:dyDescent="0.25">
      <c r="A54" s="18">
        <f t="shared" si="0"/>
        <v>20210</v>
      </c>
      <c r="B54">
        <v>36</v>
      </c>
    </row>
    <row r="55" spans="1:2" x14ac:dyDescent="0.25">
      <c r="A55" s="18">
        <f t="shared" si="0"/>
        <v>20241</v>
      </c>
      <c r="B55">
        <v>38</v>
      </c>
    </row>
    <row r="56" spans="1:2" x14ac:dyDescent="0.25">
      <c r="A56" s="18">
        <f t="shared" si="0"/>
        <v>20271</v>
      </c>
      <c r="B56">
        <v>39</v>
      </c>
    </row>
    <row r="57" spans="1:2" x14ac:dyDescent="0.25">
      <c r="A57" s="18">
        <f t="shared" si="0"/>
        <v>20302</v>
      </c>
      <c r="B57">
        <v>41</v>
      </c>
    </row>
    <row r="58" spans="1:2" x14ac:dyDescent="0.25">
      <c r="A58" s="18">
        <f t="shared" si="0"/>
        <v>20333</v>
      </c>
      <c r="B58">
        <v>43</v>
      </c>
    </row>
    <row r="59" spans="1:2" x14ac:dyDescent="0.25">
      <c r="A59" s="18">
        <f t="shared" si="0"/>
        <v>20363</v>
      </c>
      <c r="B59">
        <v>42</v>
      </c>
    </row>
    <row r="60" spans="1:2" x14ac:dyDescent="0.25">
      <c r="A60" s="18">
        <f t="shared" si="0"/>
        <v>20394</v>
      </c>
      <c r="B60">
        <v>44</v>
      </c>
    </row>
    <row r="61" spans="1:2" x14ac:dyDescent="0.25">
      <c r="A61" s="18">
        <f t="shared" si="0"/>
        <v>20424</v>
      </c>
      <c r="B61">
        <v>46</v>
      </c>
    </row>
    <row r="62" spans="1:2" x14ac:dyDescent="0.25">
      <c r="A62" s="18">
        <f t="shared" si="0"/>
        <v>20455</v>
      </c>
      <c r="B62">
        <v>44</v>
      </c>
    </row>
    <row r="63" spans="1:2" x14ac:dyDescent="0.25">
      <c r="A63" s="18">
        <f t="shared" si="0"/>
        <v>20486</v>
      </c>
      <c r="B63">
        <v>45</v>
      </c>
    </row>
    <row r="64" spans="1:2" x14ac:dyDescent="0.25">
      <c r="A64" s="18">
        <f t="shared" si="0"/>
        <v>20515</v>
      </c>
      <c r="B64">
        <v>45</v>
      </c>
    </row>
    <row r="65" spans="1:2" x14ac:dyDescent="0.25">
      <c r="A65" s="18">
        <f t="shared" si="0"/>
        <v>20546</v>
      </c>
      <c r="B65">
        <v>45</v>
      </c>
    </row>
    <row r="66" spans="1:2" x14ac:dyDescent="0.25">
      <c r="A66" s="18">
        <f t="shared" si="0"/>
        <v>20576</v>
      </c>
      <c r="B66">
        <v>45</v>
      </c>
    </row>
    <row r="67" spans="1:2" x14ac:dyDescent="0.25">
      <c r="A67" s="18">
        <f t="shared" si="0"/>
        <v>20607</v>
      </c>
      <c r="B67">
        <v>44</v>
      </c>
    </row>
    <row r="68" spans="1:2" x14ac:dyDescent="0.25">
      <c r="A68" s="18">
        <f t="shared" ref="A68:A131" si="1">DATE(YEAR(A67),MONTH(A67)+1,1)</f>
        <v>20637</v>
      </c>
      <c r="B68">
        <v>42</v>
      </c>
    </row>
    <row r="69" spans="1:2" x14ac:dyDescent="0.25">
      <c r="A69" s="18">
        <f t="shared" si="1"/>
        <v>20668</v>
      </c>
      <c r="B69">
        <v>43</v>
      </c>
    </row>
    <row r="70" spans="1:2" x14ac:dyDescent="0.25">
      <c r="A70" s="18">
        <f t="shared" si="1"/>
        <v>20699</v>
      </c>
      <c r="B70">
        <v>43</v>
      </c>
    </row>
    <row r="71" spans="1:2" x14ac:dyDescent="0.25">
      <c r="A71" s="18">
        <f t="shared" si="1"/>
        <v>20729</v>
      </c>
      <c r="B71">
        <v>45</v>
      </c>
    </row>
    <row r="72" spans="1:2" x14ac:dyDescent="0.25">
      <c r="A72" s="18">
        <f t="shared" si="1"/>
        <v>20760</v>
      </c>
      <c r="B72">
        <v>45</v>
      </c>
    </row>
    <row r="73" spans="1:2" x14ac:dyDescent="0.25">
      <c r="A73" s="18">
        <f t="shared" si="1"/>
        <v>20790</v>
      </c>
      <c r="B73">
        <v>43</v>
      </c>
    </row>
    <row r="74" spans="1:2" x14ac:dyDescent="0.25">
      <c r="A74" s="18">
        <f t="shared" si="1"/>
        <v>20821</v>
      </c>
      <c r="B74">
        <v>45</v>
      </c>
    </row>
    <row r="75" spans="1:2" x14ac:dyDescent="0.25">
      <c r="A75" s="18">
        <f t="shared" si="1"/>
        <v>20852</v>
      </c>
      <c r="B75">
        <v>43</v>
      </c>
    </row>
    <row r="76" spans="1:2" x14ac:dyDescent="0.25">
      <c r="A76" s="18">
        <f t="shared" si="1"/>
        <v>20880</v>
      </c>
      <c r="B76">
        <v>42</v>
      </c>
    </row>
    <row r="77" spans="1:2" x14ac:dyDescent="0.25">
      <c r="A77" s="18">
        <f t="shared" si="1"/>
        <v>20911</v>
      </c>
      <c r="B77">
        <v>40</v>
      </c>
    </row>
    <row r="78" spans="1:2" x14ac:dyDescent="0.25">
      <c r="A78" s="18">
        <f t="shared" si="1"/>
        <v>20941</v>
      </c>
      <c r="B78">
        <v>40</v>
      </c>
    </row>
    <row r="79" spans="1:2" x14ac:dyDescent="0.25">
      <c r="A79" s="18">
        <f t="shared" si="1"/>
        <v>20972</v>
      </c>
      <c r="B79">
        <v>38</v>
      </c>
    </row>
    <row r="80" spans="1:2" x14ac:dyDescent="0.25">
      <c r="A80" s="18">
        <f t="shared" si="1"/>
        <v>21002</v>
      </c>
      <c r="B80">
        <v>39</v>
      </c>
    </row>
    <row r="81" spans="1:2" x14ac:dyDescent="0.25">
      <c r="A81" s="18">
        <f t="shared" si="1"/>
        <v>21033</v>
      </c>
      <c r="B81">
        <v>37</v>
      </c>
    </row>
    <row r="82" spans="1:2" x14ac:dyDescent="0.25">
      <c r="A82" s="18">
        <f t="shared" si="1"/>
        <v>21064</v>
      </c>
      <c r="B82">
        <v>36</v>
      </c>
    </row>
    <row r="83" spans="1:2" x14ac:dyDescent="0.25">
      <c r="A83" s="18">
        <f t="shared" si="1"/>
        <v>21094</v>
      </c>
      <c r="B83">
        <v>34</v>
      </c>
    </row>
    <row r="84" spans="1:2" x14ac:dyDescent="0.25">
      <c r="A84" s="18">
        <f t="shared" si="1"/>
        <v>21125</v>
      </c>
      <c r="B84">
        <v>30</v>
      </c>
    </row>
    <row r="85" spans="1:2" x14ac:dyDescent="0.25">
      <c r="A85" s="18">
        <f t="shared" si="1"/>
        <v>21155</v>
      </c>
      <c r="B85">
        <v>29</v>
      </c>
    </row>
    <row r="86" spans="1:2" x14ac:dyDescent="0.25">
      <c r="A86" s="18">
        <f t="shared" si="1"/>
        <v>21186</v>
      </c>
      <c r="B86">
        <v>28</v>
      </c>
    </row>
    <row r="87" spans="1:2" x14ac:dyDescent="0.25">
      <c r="A87" s="18">
        <f t="shared" si="1"/>
        <v>21217</v>
      </c>
      <c r="B87">
        <v>26</v>
      </c>
    </row>
    <row r="88" spans="1:2" x14ac:dyDescent="0.25">
      <c r="A88" s="18">
        <f t="shared" si="1"/>
        <v>21245</v>
      </c>
      <c r="B88">
        <v>25</v>
      </c>
    </row>
    <row r="89" spans="1:2" x14ac:dyDescent="0.25">
      <c r="A89" s="18">
        <f t="shared" si="1"/>
        <v>21276</v>
      </c>
      <c r="B89">
        <v>24</v>
      </c>
    </row>
    <row r="90" spans="1:2" x14ac:dyDescent="0.25">
      <c r="A90" s="18">
        <f t="shared" si="1"/>
        <v>21306</v>
      </c>
      <c r="B90">
        <v>24</v>
      </c>
    </row>
    <row r="91" spans="1:2" x14ac:dyDescent="0.25">
      <c r="A91" s="18">
        <f t="shared" si="1"/>
        <v>21337</v>
      </c>
      <c r="B91">
        <v>25</v>
      </c>
    </row>
    <row r="92" spans="1:2" x14ac:dyDescent="0.25">
      <c r="A92" s="18">
        <f t="shared" si="1"/>
        <v>21367</v>
      </c>
      <c r="B92">
        <v>26</v>
      </c>
    </row>
    <row r="93" spans="1:2" x14ac:dyDescent="0.25">
      <c r="A93" s="18">
        <f t="shared" si="1"/>
        <v>21398</v>
      </c>
      <c r="B93">
        <v>27</v>
      </c>
    </row>
    <row r="94" spans="1:2" x14ac:dyDescent="0.25">
      <c r="A94" s="18">
        <f t="shared" si="1"/>
        <v>21429</v>
      </c>
      <c r="B94">
        <v>29</v>
      </c>
    </row>
    <row r="95" spans="1:2" x14ac:dyDescent="0.25">
      <c r="A95" s="18">
        <f t="shared" si="1"/>
        <v>21459</v>
      </c>
      <c r="B95">
        <v>29</v>
      </c>
    </row>
    <row r="96" spans="1:2" x14ac:dyDescent="0.25">
      <c r="A96" s="18">
        <f t="shared" si="1"/>
        <v>21490</v>
      </c>
      <c r="B96">
        <v>30</v>
      </c>
    </row>
    <row r="97" spans="1:2" x14ac:dyDescent="0.25">
      <c r="A97" s="18">
        <f t="shared" si="1"/>
        <v>21520</v>
      </c>
      <c r="B97">
        <v>32</v>
      </c>
    </row>
    <row r="98" spans="1:2" x14ac:dyDescent="0.25">
      <c r="A98" s="18">
        <f t="shared" si="1"/>
        <v>21551</v>
      </c>
      <c r="B98">
        <v>32</v>
      </c>
    </row>
    <row r="99" spans="1:2" x14ac:dyDescent="0.25">
      <c r="A99" s="18">
        <f t="shared" si="1"/>
        <v>21582</v>
      </c>
      <c r="B99">
        <v>34</v>
      </c>
    </row>
    <row r="100" spans="1:2" x14ac:dyDescent="0.25">
      <c r="A100" s="18">
        <f t="shared" si="1"/>
        <v>21610</v>
      </c>
      <c r="B100">
        <v>36</v>
      </c>
    </row>
    <row r="101" spans="1:2" x14ac:dyDescent="0.25">
      <c r="A101" s="18">
        <f t="shared" si="1"/>
        <v>21641</v>
      </c>
      <c r="B101">
        <v>38</v>
      </c>
    </row>
    <row r="102" spans="1:2" x14ac:dyDescent="0.25">
      <c r="A102" s="18">
        <f t="shared" si="1"/>
        <v>21671</v>
      </c>
      <c r="B102">
        <v>38</v>
      </c>
    </row>
    <row r="103" spans="1:2" x14ac:dyDescent="0.25">
      <c r="A103" s="18">
        <f t="shared" si="1"/>
        <v>21702</v>
      </c>
      <c r="B103">
        <v>40</v>
      </c>
    </row>
    <row r="104" spans="1:2" x14ac:dyDescent="0.25">
      <c r="A104" s="18">
        <f t="shared" si="1"/>
        <v>21732</v>
      </c>
      <c r="B104">
        <v>42</v>
      </c>
    </row>
    <row r="105" spans="1:2" x14ac:dyDescent="0.25">
      <c r="A105" s="18">
        <f t="shared" si="1"/>
        <v>21763</v>
      </c>
      <c r="B105">
        <v>40</v>
      </c>
    </row>
    <row r="106" spans="1:2" x14ac:dyDescent="0.25">
      <c r="A106" s="18">
        <f t="shared" si="1"/>
        <v>21794</v>
      </c>
      <c r="B106">
        <v>41</v>
      </c>
    </row>
    <row r="107" spans="1:2" x14ac:dyDescent="0.25">
      <c r="A107" s="18">
        <f t="shared" si="1"/>
        <v>21824</v>
      </c>
      <c r="B107">
        <v>40</v>
      </c>
    </row>
    <row r="108" spans="1:2" x14ac:dyDescent="0.25">
      <c r="A108" s="18">
        <f t="shared" si="1"/>
        <v>21855</v>
      </c>
      <c r="B108">
        <v>40</v>
      </c>
    </row>
    <row r="109" spans="1:2" x14ac:dyDescent="0.25">
      <c r="A109" s="18">
        <f t="shared" si="1"/>
        <v>21885</v>
      </c>
      <c r="B109">
        <v>40</v>
      </c>
    </row>
    <row r="110" spans="1:2" x14ac:dyDescent="0.25">
      <c r="A110" s="18">
        <f t="shared" si="1"/>
        <v>21916</v>
      </c>
      <c r="B110">
        <v>41</v>
      </c>
    </row>
    <row r="111" spans="1:2" x14ac:dyDescent="0.25">
      <c r="A111" s="18">
        <f t="shared" si="1"/>
        <v>21947</v>
      </c>
      <c r="B111">
        <v>41</v>
      </c>
    </row>
    <row r="112" spans="1:2" x14ac:dyDescent="0.25">
      <c r="A112" s="18">
        <f t="shared" si="1"/>
        <v>21976</v>
      </c>
      <c r="B112">
        <v>39</v>
      </c>
    </row>
    <row r="113" spans="1:2" x14ac:dyDescent="0.25">
      <c r="A113" s="18">
        <f t="shared" si="1"/>
        <v>22007</v>
      </c>
      <c r="B113">
        <v>38</v>
      </c>
    </row>
    <row r="114" spans="1:2" x14ac:dyDescent="0.25">
      <c r="A114" s="18">
        <f t="shared" si="1"/>
        <v>22037</v>
      </c>
      <c r="B114">
        <v>38</v>
      </c>
    </row>
    <row r="115" spans="1:2" x14ac:dyDescent="0.25">
      <c r="A115" s="18">
        <f t="shared" si="1"/>
        <v>22068</v>
      </c>
      <c r="B115">
        <v>37</v>
      </c>
    </row>
    <row r="116" spans="1:2" x14ac:dyDescent="0.25">
      <c r="A116" s="18">
        <f t="shared" si="1"/>
        <v>22098</v>
      </c>
      <c r="B116">
        <v>36</v>
      </c>
    </row>
    <row r="117" spans="1:2" x14ac:dyDescent="0.25">
      <c r="A117" s="18">
        <f t="shared" si="1"/>
        <v>22129</v>
      </c>
      <c r="B117">
        <v>35</v>
      </c>
    </row>
    <row r="118" spans="1:2" x14ac:dyDescent="0.25">
      <c r="A118" s="18">
        <f t="shared" si="1"/>
        <v>22160</v>
      </c>
      <c r="B118">
        <v>34</v>
      </c>
    </row>
    <row r="119" spans="1:2" x14ac:dyDescent="0.25">
      <c r="A119" s="18">
        <f t="shared" si="1"/>
        <v>22190</v>
      </c>
      <c r="B119">
        <v>32</v>
      </c>
    </row>
    <row r="120" spans="1:2" x14ac:dyDescent="0.25">
      <c r="A120" s="18">
        <f t="shared" si="1"/>
        <v>22221</v>
      </c>
      <c r="B120">
        <v>32</v>
      </c>
    </row>
    <row r="121" spans="1:2" x14ac:dyDescent="0.25">
      <c r="A121" s="18">
        <f t="shared" si="1"/>
        <v>22251</v>
      </c>
      <c r="B121">
        <v>30</v>
      </c>
    </row>
    <row r="122" spans="1:2" x14ac:dyDescent="0.25">
      <c r="A122" s="18">
        <f t="shared" si="1"/>
        <v>22282</v>
      </c>
      <c r="B122">
        <v>30</v>
      </c>
    </row>
    <row r="123" spans="1:2" x14ac:dyDescent="0.25">
      <c r="A123" s="18">
        <f t="shared" si="1"/>
        <v>22313</v>
      </c>
      <c r="B123">
        <v>30</v>
      </c>
    </row>
    <row r="124" spans="1:2" x14ac:dyDescent="0.25">
      <c r="A124" s="18">
        <f t="shared" si="1"/>
        <v>22341</v>
      </c>
      <c r="B124">
        <v>30</v>
      </c>
    </row>
    <row r="125" spans="1:2" x14ac:dyDescent="0.25">
      <c r="A125" s="18">
        <f t="shared" si="1"/>
        <v>22372</v>
      </c>
      <c r="B125">
        <v>30</v>
      </c>
    </row>
    <row r="126" spans="1:2" x14ac:dyDescent="0.25">
      <c r="A126" s="18">
        <f t="shared" si="1"/>
        <v>22402</v>
      </c>
      <c r="B126">
        <v>32</v>
      </c>
    </row>
    <row r="127" spans="1:2" x14ac:dyDescent="0.25">
      <c r="A127" s="18">
        <f t="shared" si="1"/>
        <v>22433</v>
      </c>
      <c r="B127">
        <v>32</v>
      </c>
    </row>
    <row r="128" spans="1:2" x14ac:dyDescent="0.25">
      <c r="A128" s="18">
        <f t="shared" si="1"/>
        <v>22463</v>
      </c>
      <c r="B128">
        <v>33</v>
      </c>
    </row>
    <row r="129" spans="1:2" x14ac:dyDescent="0.25">
      <c r="A129" s="18">
        <f t="shared" si="1"/>
        <v>22494</v>
      </c>
      <c r="B129">
        <v>34</v>
      </c>
    </row>
    <row r="130" spans="1:2" x14ac:dyDescent="0.25">
      <c r="A130" s="18">
        <f t="shared" si="1"/>
        <v>22525</v>
      </c>
      <c r="B130">
        <v>35</v>
      </c>
    </row>
    <row r="131" spans="1:2" x14ac:dyDescent="0.25">
      <c r="A131" s="18">
        <f t="shared" si="1"/>
        <v>22555</v>
      </c>
      <c r="B131">
        <v>37</v>
      </c>
    </row>
    <row r="132" spans="1:2" x14ac:dyDescent="0.25">
      <c r="A132" s="18">
        <f t="shared" ref="A132:A195" si="2">DATE(YEAR(A131),MONTH(A131)+1,1)</f>
        <v>22586</v>
      </c>
      <c r="B132">
        <v>38</v>
      </c>
    </row>
    <row r="133" spans="1:2" x14ac:dyDescent="0.25">
      <c r="A133" s="18">
        <f t="shared" si="2"/>
        <v>22616</v>
      </c>
      <c r="B133">
        <v>38</v>
      </c>
    </row>
    <row r="134" spans="1:2" x14ac:dyDescent="0.25">
      <c r="A134" s="18">
        <f t="shared" si="2"/>
        <v>22647</v>
      </c>
      <c r="B134">
        <v>40</v>
      </c>
    </row>
    <row r="135" spans="1:2" x14ac:dyDescent="0.25">
      <c r="A135" s="18">
        <f t="shared" si="2"/>
        <v>22678</v>
      </c>
      <c r="B135">
        <v>39</v>
      </c>
    </row>
    <row r="136" spans="1:2" x14ac:dyDescent="0.25">
      <c r="A136" s="18">
        <f t="shared" si="2"/>
        <v>22706</v>
      </c>
      <c r="B136">
        <v>39</v>
      </c>
    </row>
    <row r="137" spans="1:2" x14ac:dyDescent="0.25">
      <c r="A137" s="18">
        <f t="shared" si="2"/>
        <v>22737</v>
      </c>
      <c r="B137">
        <v>39</v>
      </c>
    </row>
    <row r="138" spans="1:2" x14ac:dyDescent="0.25">
      <c r="A138" s="18">
        <f t="shared" si="2"/>
        <v>22767</v>
      </c>
      <c r="B138">
        <v>40</v>
      </c>
    </row>
    <row r="139" spans="1:2" x14ac:dyDescent="0.25">
      <c r="A139" s="18">
        <f t="shared" si="2"/>
        <v>22798</v>
      </c>
      <c r="B139">
        <v>39</v>
      </c>
    </row>
    <row r="140" spans="1:2" x14ac:dyDescent="0.25">
      <c r="A140" s="18">
        <f t="shared" si="2"/>
        <v>22828</v>
      </c>
      <c r="B140">
        <v>39</v>
      </c>
    </row>
    <row r="141" spans="1:2" x14ac:dyDescent="0.25">
      <c r="A141" s="18">
        <f t="shared" si="2"/>
        <v>22859</v>
      </c>
      <c r="B141">
        <v>38</v>
      </c>
    </row>
    <row r="142" spans="1:2" x14ac:dyDescent="0.25">
      <c r="A142" s="18">
        <f t="shared" si="2"/>
        <v>22890</v>
      </c>
      <c r="B142">
        <v>38</v>
      </c>
    </row>
    <row r="143" spans="1:2" x14ac:dyDescent="0.25">
      <c r="A143" s="18">
        <f t="shared" si="2"/>
        <v>22920</v>
      </c>
      <c r="B143">
        <v>37</v>
      </c>
    </row>
    <row r="144" spans="1:2" x14ac:dyDescent="0.25">
      <c r="A144" s="18">
        <f t="shared" si="2"/>
        <v>22951</v>
      </c>
      <c r="B144">
        <v>37</v>
      </c>
    </row>
    <row r="145" spans="1:2" x14ac:dyDescent="0.25">
      <c r="A145" s="18">
        <f t="shared" si="2"/>
        <v>22981</v>
      </c>
      <c r="B145">
        <v>37</v>
      </c>
    </row>
    <row r="146" spans="1:2" x14ac:dyDescent="0.25">
      <c r="A146" s="18">
        <f t="shared" si="2"/>
        <v>23012</v>
      </c>
      <c r="B146">
        <v>38</v>
      </c>
    </row>
    <row r="147" spans="1:2" x14ac:dyDescent="0.25">
      <c r="A147" s="18">
        <f t="shared" si="2"/>
        <v>23043</v>
      </c>
      <c r="B147">
        <v>38</v>
      </c>
    </row>
    <row r="148" spans="1:2" x14ac:dyDescent="0.25">
      <c r="A148" s="18">
        <f t="shared" si="2"/>
        <v>23071</v>
      </c>
      <c r="B148">
        <v>38</v>
      </c>
    </row>
    <row r="149" spans="1:2" x14ac:dyDescent="0.25">
      <c r="A149" s="18">
        <f t="shared" si="2"/>
        <v>23102</v>
      </c>
      <c r="B149">
        <v>38</v>
      </c>
    </row>
    <row r="150" spans="1:2" x14ac:dyDescent="0.25">
      <c r="A150" s="18">
        <f t="shared" si="2"/>
        <v>23132</v>
      </c>
      <c r="B150">
        <v>37</v>
      </c>
    </row>
    <row r="151" spans="1:2" x14ac:dyDescent="0.25">
      <c r="A151" s="18">
        <f t="shared" si="2"/>
        <v>23163</v>
      </c>
      <c r="B151">
        <v>37</v>
      </c>
    </row>
    <row r="152" spans="1:2" x14ac:dyDescent="0.25">
      <c r="A152" s="18">
        <f t="shared" si="2"/>
        <v>23193</v>
      </c>
      <c r="B152">
        <v>38</v>
      </c>
    </row>
    <row r="153" spans="1:2" x14ac:dyDescent="0.25">
      <c r="A153" s="18">
        <f t="shared" si="2"/>
        <v>23224</v>
      </c>
      <c r="B153">
        <v>38</v>
      </c>
    </row>
    <row r="154" spans="1:2" x14ac:dyDescent="0.25">
      <c r="A154" s="18">
        <f t="shared" si="2"/>
        <v>23255</v>
      </c>
      <c r="B154">
        <v>38</v>
      </c>
    </row>
    <row r="155" spans="1:2" x14ac:dyDescent="0.25">
      <c r="A155" s="18">
        <f t="shared" si="2"/>
        <v>23285</v>
      </c>
      <c r="B155">
        <v>39</v>
      </c>
    </row>
    <row r="156" spans="1:2" x14ac:dyDescent="0.25">
      <c r="A156" s="18">
        <f t="shared" si="2"/>
        <v>23316</v>
      </c>
      <c r="B156">
        <v>38</v>
      </c>
    </row>
    <row r="157" spans="1:2" x14ac:dyDescent="0.25">
      <c r="A157" s="18">
        <f t="shared" si="2"/>
        <v>23346</v>
      </c>
      <c r="B157">
        <v>40</v>
      </c>
    </row>
    <row r="158" spans="1:2" x14ac:dyDescent="0.25">
      <c r="A158" s="18">
        <f t="shared" si="2"/>
        <v>23377</v>
      </c>
      <c r="B158">
        <v>40</v>
      </c>
    </row>
    <row r="159" spans="1:2" x14ac:dyDescent="0.25">
      <c r="A159" s="18">
        <f t="shared" si="2"/>
        <v>23408</v>
      </c>
      <c r="B159">
        <v>40</v>
      </c>
    </row>
    <row r="160" spans="1:2" x14ac:dyDescent="0.25">
      <c r="A160" s="18">
        <f t="shared" si="2"/>
        <v>23437</v>
      </c>
      <c r="B160">
        <v>40</v>
      </c>
    </row>
    <row r="161" spans="1:2" x14ac:dyDescent="0.25">
      <c r="A161" s="18">
        <f t="shared" si="2"/>
        <v>23468</v>
      </c>
      <c r="B161">
        <v>42</v>
      </c>
    </row>
    <row r="162" spans="1:2" x14ac:dyDescent="0.25">
      <c r="A162" s="18">
        <f t="shared" si="2"/>
        <v>23498</v>
      </c>
      <c r="B162">
        <v>42</v>
      </c>
    </row>
    <row r="163" spans="1:2" x14ac:dyDescent="0.25">
      <c r="A163" s="18">
        <f t="shared" si="2"/>
        <v>23529</v>
      </c>
      <c r="B163">
        <v>43</v>
      </c>
    </row>
    <row r="164" spans="1:2" x14ac:dyDescent="0.25">
      <c r="A164" s="18">
        <f t="shared" si="2"/>
        <v>23559</v>
      </c>
      <c r="B164">
        <v>45</v>
      </c>
    </row>
    <row r="165" spans="1:2" x14ac:dyDescent="0.25">
      <c r="A165" s="18">
        <f t="shared" si="2"/>
        <v>23590</v>
      </c>
      <c r="B165">
        <v>44</v>
      </c>
    </row>
    <row r="166" spans="1:2" x14ac:dyDescent="0.25">
      <c r="A166" s="18">
        <f t="shared" si="2"/>
        <v>23621</v>
      </c>
      <c r="B166">
        <v>45</v>
      </c>
    </row>
    <row r="167" spans="1:2" x14ac:dyDescent="0.25">
      <c r="A167" s="18">
        <f t="shared" si="2"/>
        <v>23651</v>
      </c>
      <c r="B167">
        <v>45</v>
      </c>
    </row>
    <row r="168" spans="1:2" x14ac:dyDescent="0.25">
      <c r="A168" s="18">
        <f t="shared" si="2"/>
        <v>23682</v>
      </c>
      <c r="B168">
        <v>47</v>
      </c>
    </row>
    <row r="169" spans="1:2" x14ac:dyDescent="0.25">
      <c r="A169" s="18">
        <f t="shared" si="2"/>
        <v>23712</v>
      </c>
      <c r="B169">
        <v>47</v>
      </c>
    </row>
    <row r="170" spans="1:2" x14ac:dyDescent="0.25">
      <c r="A170" s="18">
        <f t="shared" si="2"/>
        <v>23743</v>
      </c>
      <c r="B170">
        <v>47</v>
      </c>
    </row>
    <row r="171" spans="1:2" x14ac:dyDescent="0.25">
      <c r="A171" s="18">
        <f t="shared" si="2"/>
        <v>23774</v>
      </c>
      <c r="B171">
        <v>49</v>
      </c>
    </row>
    <row r="172" spans="1:2" x14ac:dyDescent="0.25">
      <c r="A172" s="18">
        <f t="shared" si="2"/>
        <v>23802</v>
      </c>
      <c r="B172">
        <v>50</v>
      </c>
    </row>
    <row r="173" spans="1:2" x14ac:dyDescent="0.25">
      <c r="A173" s="18">
        <f t="shared" si="2"/>
        <v>23833</v>
      </c>
      <c r="B173">
        <v>51</v>
      </c>
    </row>
    <row r="174" spans="1:2" x14ac:dyDescent="0.25">
      <c r="A174" s="18">
        <f t="shared" si="2"/>
        <v>23863</v>
      </c>
      <c r="B174">
        <v>53</v>
      </c>
    </row>
    <row r="175" spans="1:2" x14ac:dyDescent="0.25">
      <c r="A175" s="18">
        <f t="shared" si="2"/>
        <v>23894</v>
      </c>
      <c r="B175">
        <v>53</v>
      </c>
    </row>
    <row r="176" spans="1:2" x14ac:dyDescent="0.25">
      <c r="A176" s="18">
        <f t="shared" si="2"/>
        <v>23924</v>
      </c>
      <c r="B176">
        <v>53</v>
      </c>
    </row>
    <row r="177" spans="1:2" x14ac:dyDescent="0.25">
      <c r="A177" s="18">
        <f t="shared" si="2"/>
        <v>23955</v>
      </c>
      <c r="B177">
        <v>55</v>
      </c>
    </row>
    <row r="178" spans="1:2" x14ac:dyDescent="0.25">
      <c r="A178" s="18">
        <f t="shared" si="2"/>
        <v>23986</v>
      </c>
      <c r="B178">
        <v>57</v>
      </c>
    </row>
    <row r="179" spans="1:2" x14ac:dyDescent="0.25">
      <c r="A179" s="18">
        <f t="shared" si="2"/>
        <v>24016</v>
      </c>
      <c r="B179">
        <v>59</v>
      </c>
    </row>
    <row r="180" spans="1:2" x14ac:dyDescent="0.25">
      <c r="A180" s="18">
        <f t="shared" si="2"/>
        <v>24047</v>
      </c>
      <c r="B180">
        <v>63</v>
      </c>
    </row>
    <row r="181" spans="1:2" x14ac:dyDescent="0.25">
      <c r="A181" s="18">
        <f t="shared" si="2"/>
        <v>24077</v>
      </c>
      <c r="B181">
        <v>64</v>
      </c>
    </row>
    <row r="182" spans="1:2" x14ac:dyDescent="0.25">
      <c r="A182" s="18">
        <f t="shared" si="2"/>
        <v>24108</v>
      </c>
      <c r="B182">
        <v>65</v>
      </c>
    </row>
    <row r="183" spans="1:2" x14ac:dyDescent="0.25">
      <c r="A183" s="18">
        <f t="shared" si="2"/>
        <v>24139</v>
      </c>
      <c r="B183">
        <v>66</v>
      </c>
    </row>
    <row r="184" spans="1:2" x14ac:dyDescent="0.25">
      <c r="A184" s="18">
        <f t="shared" si="2"/>
        <v>24167</v>
      </c>
      <c r="B184">
        <v>70</v>
      </c>
    </row>
    <row r="185" spans="1:2" x14ac:dyDescent="0.25">
      <c r="A185" s="18">
        <f t="shared" si="2"/>
        <v>24198</v>
      </c>
      <c r="B185">
        <v>67</v>
      </c>
    </row>
    <row r="186" spans="1:2" x14ac:dyDescent="0.25">
      <c r="A186" s="18">
        <f t="shared" si="2"/>
        <v>24228</v>
      </c>
      <c r="B186">
        <v>68</v>
      </c>
    </row>
    <row r="187" spans="1:2" x14ac:dyDescent="0.25">
      <c r="A187" s="18">
        <f t="shared" si="2"/>
        <v>24259</v>
      </c>
      <c r="B187">
        <v>69</v>
      </c>
    </row>
    <row r="188" spans="1:2" x14ac:dyDescent="0.25">
      <c r="A188" s="18">
        <f t="shared" si="2"/>
        <v>24289</v>
      </c>
      <c r="B188">
        <v>69</v>
      </c>
    </row>
    <row r="189" spans="1:2" x14ac:dyDescent="0.25">
      <c r="A189" s="18">
        <f t="shared" si="2"/>
        <v>24320</v>
      </c>
      <c r="B189">
        <v>68</v>
      </c>
    </row>
    <row r="190" spans="1:2" x14ac:dyDescent="0.25">
      <c r="A190" s="18">
        <f t="shared" si="2"/>
        <v>24351</v>
      </c>
      <c r="B190">
        <v>67</v>
      </c>
    </row>
    <row r="191" spans="1:2" x14ac:dyDescent="0.25">
      <c r="A191" s="18">
        <f t="shared" si="2"/>
        <v>24381</v>
      </c>
      <c r="B191">
        <v>67</v>
      </c>
    </row>
    <row r="192" spans="1:2" x14ac:dyDescent="0.25">
      <c r="A192" s="18">
        <f t="shared" si="2"/>
        <v>24412</v>
      </c>
      <c r="B192">
        <v>67</v>
      </c>
    </row>
    <row r="193" spans="1:2" x14ac:dyDescent="0.25">
      <c r="A193" s="18">
        <f t="shared" si="2"/>
        <v>24442</v>
      </c>
      <c r="B193">
        <v>66</v>
      </c>
    </row>
    <row r="194" spans="1:2" x14ac:dyDescent="0.25">
      <c r="A194" s="18">
        <f t="shared" si="2"/>
        <v>24473</v>
      </c>
      <c r="B194">
        <v>67</v>
      </c>
    </row>
    <row r="195" spans="1:2" x14ac:dyDescent="0.25">
      <c r="A195" s="18">
        <f t="shared" si="2"/>
        <v>24504</v>
      </c>
      <c r="B195">
        <v>66</v>
      </c>
    </row>
    <row r="196" spans="1:2" x14ac:dyDescent="0.25">
      <c r="A196" s="18">
        <f t="shared" ref="A196:A259" si="3">DATE(YEAR(A195),MONTH(A195)+1,1)</f>
        <v>24532</v>
      </c>
      <c r="B196">
        <v>64</v>
      </c>
    </row>
    <row r="197" spans="1:2" x14ac:dyDescent="0.25">
      <c r="A197" s="18">
        <f t="shared" si="3"/>
        <v>24563</v>
      </c>
      <c r="B197">
        <v>65</v>
      </c>
    </row>
    <row r="198" spans="1:2" x14ac:dyDescent="0.25">
      <c r="A198" s="18">
        <f t="shared" si="3"/>
        <v>24593</v>
      </c>
      <c r="B198">
        <v>64</v>
      </c>
    </row>
    <row r="199" spans="1:2" x14ac:dyDescent="0.25">
      <c r="A199" s="18">
        <f t="shared" si="3"/>
        <v>24624</v>
      </c>
      <c r="B199">
        <v>64</v>
      </c>
    </row>
    <row r="200" spans="1:2" x14ac:dyDescent="0.25">
      <c r="A200" s="18">
        <f t="shared" si="3"/>
        <v>24654</v>
      </c>
      <c r="B200">
        <v>63</v>
      </c>
    </row>
    <row r="201" spans="1:2" x14ac:dyDescent="0.25">
      <c r="A201" s="18">
        <f t="shared" si="3"/>
        <v>24685</v>
      </c>
      <c r="B201">
        <v>65</v>
      </c>
    </row>
    <row r="202" spans="1:2" x14ac:dyDescent="0.25">
      <c r="A202" s="18">
        <f t="shared" si="3"/>
        <v>24716</v>
      </c>
      <c r="B202">
        <v>64</v>
      </c>
    </row>
    <row r="203" spans="1:2" x14ac:dyDescent="0.25">
      <c r="A203" s="18">
        <f t="shared" si="3"/>
        <v>24746</v>
      </c>
      <c r="B203">
        <v>66</v>
      </c>
    </row>
    <row r="204" spans="1:2" x14ac:dyDescent="0.25">
      <c r="A204" s="18">
        <f t="shared" si="3"/>
        <v>24777</v>
      </c>
      <c r="B204">
        <v>65</v>
      </c>
    </row>
    <row r="205" spans="1:2" x14ac:dyDescent="0.25">
      <c r="A205" s="18">
        <f t="shared" si="3"/>
        <v>24807</v>
      </c>
      <c r="B205">
        <v>66</v>
      </c>
    </row>
    <row r="206" spans="1:2" x14ac:dyDescent="0.25">
      <c r="A206" s="18">
        <f t="shared" si="3"/>
        <v>24838</v>
      </c>
      <c r="B206">
        <v>67</v>
      </c>
    </row>
    <row r="207" spans="1:2" x14ac:dyDescent="0.25">
      <c r="A207" s="18">
        <f t="shared" si="3"/>
        <v>24869</v>
      </c>
      <c r="B207">
        <v>66</v>
      </c>
    </row>
    <row r="208" spans="1:2" x14ac:dyDescent="0.25">
      <c r="A208" s="18">
        <f t="shared" si="3"/>
        <v>24898</v>
      </c>
      <c r="B208">
        <v>67</v>
      </c>
    </row>
    <row r="209" spans="1:2" x14ac:dyDescent="0.25">
      <c r="A209" s="18">
        <f t="shared" si="3"/>
        <v>24929</v>
      </c>
      <c r="B209">
        <v>69</v>
      </c>
    </row>
    <row r="210" spans="1:2" x14ac:dyDescent="0.25">
      <c r="A210" s="18">
        <f t="shared" si="3"/>
        <v>24959</v>
      </c>
      <c r="B210">
        <v>69</v>
      </c>
    </row>
    <row r="211" spans="1:2" x14ac:dyDescent="0.25">
      <c r="A211" s="18">
        <f t="shared" si="3"/>
        <v>24990</v>
      </c>
      <c r="B211">
        <v>69</v>
      </c>
    </row>
    <row r="212" spans="1:2" x14ac:dyDescent="0.25">
      <c r="A212" s="18">
        <f t="shared" si="3"/>
        <v>25020</v>
      </c>
      <c r="B212">
        <v>71</v>
      </c>
    </row>
    <row r="213" spans="1:2" x14ac:dyDescent="0.25">
      <c r="A213" s="18">
        <f t="shared" si="3"/>
        <v>25051</v>
      </c>
      <c r="B213">
        <v>72</v>
      </c>
    </row>
    <row r="214" spans="1:2" x14ac:dyDescent="0.25">
      <c r="A214" s="18">
        <f t="shared" si="3"/>
        <v>25082</v>
      </c>
      <c r="B214">
        <v>73</v>
      </c>
    </row>
    <row r="215" spans="1:2" x14ac:dyDescent="0.25">
      <c r="A215" s="18">
        <f t="shared" si="3"/>
        <v>25112</v>
      </c>
      <c r="B215">
        <v>77</v>
      </c>
    </row>
    <row r="216" spans="1:2" x14ac:dyDescent="0.25">
      <c r="A216" s="18">
        <f t="shared" si="3"/>
        <v>25143</v>
      </c>
      <c r="B216">
        <v>77</v>
      </c>
    </row>
    <row r="217" spans="1:2" x14ac:dyDescent="0.25">
      <c r="A217" s="18">
        <f t="shared" si="3"/>
        <v>25173</v>
      </c>
      <c r="B217">
        <v>76</v>
      </c>
    </row>
    <row r="218" spans="1:2" x14ac:dyDescent="0.25">
      <c r="A218" s="18">
        <f t="shared" si="3"/>
        <v>25204</v>
      </c>
      <c r="B218">
        <v>79</v>
      </c>
    </row>
    <row r="219" spans="1:2" x14ac:dyDescent="0.25">
      <c r="A219" s="18">
        <f t="shared" si="3"/>
        <v>25235</v>
      </c>
      <c r="B219">
        <v>79</v>
      </c>
    </row>
    <row r="220" spans="1:2" x14ac:dyDescent="0.25">
      <c r="A220" s="18">
        <f t="shared" si="3"/>
        <v>25263</v>
      </c>
      <c r="B220">
        <v>80</v>
      </c>
    </row>
    <row r="221" spans="1:2" x14ac:dyDescent="0.25">
      <c r="A221" s="18">
        <f t="shared" si="3"/>
        <v>25294</v>
      </c>
      <c r="B221">
        <v>80</v>
      </c>
    </row>
    <row r="222" spans="1:2" x14ac:dyDescent="0.25">
      <c r="A222" s="18">
        <f t="shared" si="3"/>
        <v>25324</v>
      </c>
      <c r="B222">
        <v>80</v>
      </c>
    </row>
    <row r="223" spans="1:2" x14ac:dyDescent="0.25">
      <c r="A223" s="18">
        <f t="shared" si="3"/>
        <v>25355</v>
      </c>
      <c r="B223">
        <v>78</v>
      </c>
    </row>
    <row r="224" spans="1:2" x14ac:dyDescent="0.25">
      <c r="A224" s="18">
        <f t="shared" si="3"/>
        <v>25385</v>
      </c>
      <c r="B224">
        <v>77</v>
      </c>
    </row>
    <row r="225" spans="1:2" x14ac:dyDescent="0.25">
      <c r="A225" s="18">
        <f t="shared" si="3"/>
        <v>25416</v>
      </c>
      <c r="B225">
        <v>76</v>
      </c>
    </row>
    <row r="226" spans="1:2" x14ac:dyDescent="0.25">
      <c r="A226" s="18">
        <f t="shared" si="3"/>
        <v>25447</v>
      </c>
      <c r="B226">
        <v>80</v>
      </c>
    </row>
    <row r="227" spans="1:2" x14ac:dyDescent="0.25">
      <c r="A227" s="18">
        <f t="shared" si="3"/>
        <v>25477</v>
      </c>
      <c r="B227">
        <v>79</v>
      </c>
    </row>
    <row r="228" spans="1:2" x14ac:dyDescent="0.25">
      <c r="A228" s="18">
        <f t="shared" si="3"/>
        <v>25508</v>
      </c>
      <c r="B228">
        <v>77</v>
      </c>
    </row>
    <row r="229" spans="1:2" x14ac:dyDescent="0.25">
      <c r="A229" s="18">
        <f t="shared" si="3"/>
        <v>25538</v>
      </c>
      <c r="B229">
        <v>75</v>
      </c>
    </row>
    <row r="230" spans="1:2" x14ac:dyDescent="0.25">
      <c r="A230" s="18">
        <f t="shared" si="3"/>
        <v>25569</v>
      </c>
      <c r="B230">
        <v>71</v>
      </c>
    </row>
    <row r="231" spans="1:2" x14ac:dyDescent="0.25">
      <c r="A231" s="18">
        <f t="shared" si="3"/>
        <v>25600</v>
      </c>
      <c r="B231">
        <v>71</v>
      </c>
    </row>
    <row r="232" spans="1:2" x14ac:dyDescent="0.25">
      <c r="A232" s="18">
        <f t="shared" si="3"/>
        <v>25628</v>
      </c>
      <c r="B232">
        <v>67</v>
      </c>
    </row>
    <row r="233" spans="1:2" x14ac:dyDescent="0.25">
      <c r="A233" s="18">
        <f t="shared" si="3"/>
        <v>25659</v>
      </c>
      <c r="B233">
        <v>65</v>
      </c>
    </row>
    <row r="234" spans="1:2" x14ac:dyDescent="0.25">
      <c r="A234" s="18">
        <f t="shared" si="3"/>
        <v>25689</v>
      </c>
      <c r="B234">
        <v>61</v>
      </c>
    </row>
    <row r="235" spans="1:2" x14ac:dyDescent="0.25">
      <c r="A235" s="18">
        <f t="shared" si="3"/>
        <v>25720</v>
      </c>
      <c r="B235">
        <v>60</v>
      </c>
    </row>
    <row r="236" spans="1:2" x14ac:dyDescent="0.25">
      <c r="A236" s="18">
        <f t="shared" si="3"/>
        <v>25750</v>
      </c>
      <c r="B236">
        <v>58</v>
      </c>
    </row>
    <row r="237" spans="1:2" x14ac:dyDescent="0.25">
      <c r="A237" s="18">
        <f t="shared" si="3"/>
        <v>25781</v>
      </c>
      <c r="B237">
        <v>57</v>
      </c>
    </row>
    <row r="238" spans="1:2" x14ac:dyDescent="0.25">
      <c r="A238" s="18">
        <f t="shared" si="3"/>
        <v>25812</v>
      </c>
      <c r="B238">
        <v>56</v>
      </c>
    </row>
    <row r="239" spans="1:2" x14ac:dyDescent="0.25">
      <c r="A239" s="18">
        <f t="shared" si="3"/>
        <v>25842</v>
      </c>
      <c r="B239">
        <v>53</v>
      </c>
    </row>
    <row r="240" spans="1:2" x14ac:dyDescent="0.25">
      <c r="A240" s="18">
        <f t="shared" si="3"/>
        <v>25873</v>
      </c>
      <c r="B240">
        <v>53</v>
      </c>
    </row>
    <row r="241" spans="1:2" x14ac:dyDescent="0.25">
      <c r="A241" s="18">
        <f t="shared" si="3"/>
        <v>25903</v>
      </c>
      <c r="B241">
        <v>53</v>
      </c>
    </row>
    <row r="242" spans="1:2" x14ac:dyDescent="0.25">
      <c r="A242" s="18">
        <f t="shared" si="3"/>
        <v>25934</v>
      </c>
      <c r="B242">
        <v>51</v>
      </c>
    </row>
    <row r="243" spans="1:2" x14ac:dyDescent="0.25">
      <c r="A243" s="18">
        <f t="shared" si="3"/>
        <v>25965</v>
      </c>
      <c r="B243">
        <v>52</v>
      </c>
    </row>
    <row r="244" spans="1:2" x14ac:dyDescent="0.25">
      <c r="A244" s="18">
        <f t="shared" si="3"/>
        <v>25993</v>
      </c>
      <c r="B244">
        <v>52</v>
      </c>
    </row>
    <row r="245" spans="1:2" x14ac:dyDescent="0.25">
      <c r="A245" s="18">
        <f t="shared" si="3"/>
        <v>26024</v>
      </c>
      <c r="B245">
        <v>52</v>
      </c>
    </row>
    <row r="246" spans="1:2" x14ac:dyDescent="0.25">
      <c r="A246" s="18">
        <f t="shared" si="3"/>
        <v>26054</v>
      </c>
      <c r="B246">
        <v>53</v>
      </c>
    </row>
    <row r="247" spans="1:2" x14ac:dyDescent="0.25">
      <c r="A247" s="18">
        <f t="shared" si="3"/>
        <v>26085</v>
      </c>
      <c r="B247">
        <v>55</v>
      </c>
    </row>
    <row r="248" spans="1:2" x14ac:dyDescent="0.25">
      <c r="A248" s="18">
        <f t="shared" si="3"/>
        <v>26115</v>
      </c>
      <c r="B248">
        <v>54</v>
      </c>
    </row>
    <row r="249" spans="1:2" x14ac:dyDescent="0.25">
      <c r="A249" s="18">
        <f t="shared" si="3"/>
        <v>26146</v>
      </c>
      <c r="B249">
        <v>55</v>
      </c>
    </row>
    <row r="250" spans="1:2" x14ac:dyDescent="0.25">
      <c r="A250" s="18">
        <f t="shared" si="3"/>
        <v>26177</v>
      </c>
      <c r="B250">
        <v>54</v>
      </c>
    </row>
    <row r="251" spans="1:2" x14ac:dyDescent="0.25">
      <c r="A251" s="18">
        <f t="shared" si="3"/>
        <v>26207</v>
      </c>
      <c r="B251">
        <v>55</v>
      </c>
    </row>
    <row r="252" spans="1:2" x14ac:dyDescent="0.25">
      <c r="A252" s="18">
        <f t="shared" si="3"/>
        <v>26238</v>
      </c>
      <c r="B252">
        <v>56</v>
      </c>
    </row>
    <row r="253" spans="1:2" x14ac:dyDescent="0.25">
      <c r="A253" s="18">
        <f t="shared" si="3"/>
        <v>26268</v>
      </c>
      <c r="B253">
        <v>56</v>
      </c>
    </row>
    <row r="254" spans="1:2" x14ac:dyDescent="0.25">
      <c r="A254" s="18">
        <f t="shared" si="3"/>
        <v>26299</v>
      </c>
      <c r="B254">
        <v>59</v>
      </c>
    </row>
    <row r="255" spans="1:2" x14ac:dyDescent="0.25">
      <c r="A255" s="18">
        <f t="shared" si="3"/>
        <v>26330</v>
      </c>
      <c r="B255">
        <v>60</v>
      </c>
    </row>
    <row r="256" spans="1:2" x14ac:dyDescent="0.25">
      <c r="A256" s="18">
        <f t="shared" si="3"/>
        <v>26359</v>
      </c>
      <c r="B256">
        <v>62</v>
      </c>
    </row>
    <row r="257" spans="1:2" x14ac:dyDescent="0.25">
      <c r="A257" s="18">
        <f t="shared" si="3"/>
        <v>26390</v>
      </c>
      <c r="B257">
        <v>62</v>
      </c>
    </row>
    <row r="258" spans="1:2" x14ac:dyDescent="0.25">
      <c r="A258" s="18">
        <f t="shared" si="3"/>
        <v>26420</v>
      </c>
      <c r="B258">
        <v>64</v>
      </c>
    </row>
    <row r="259" spans="1:2" x14ac:dyDescent="0.25">
      <c r="A259" s="18">
        <f t="shared" si="3"/>
        <v>26451</v>
      </c>
      <c r="B259">
        <v>64</v>
      </c>
    </row>
    <row r="260" spans="1:2" x14ac:dyDescent="0.25">
      <c r="A260" s="18">
        <f t="shared" ref="A260:A323" si="4">DATE(YEAR(A259),MONTH(A259)+1,1)</f>
        <v>26481</v>
      </c>
      <c r="B260">
        <v>66</v>
      </c>
    </row>
    <row r="261" spans="1:2" x14ac:dyDescent="0.25">
      <c r="A261" s="18">
        <f t="shared" si="4"/>
        <v>26512</v>
      </c>
      <c r="B261">
        <v>68</v>
      </c>
    </row>
    <row r="262" spans="1:2" x14ac:dyDescent="0.25">
      <c r="A262" s="18">
        <f t="shared" si="4"/>
        <v>26543</v>
      </c>
      <c r="B262">
        <v>69</v>
      </c>
    </row>
    <row r="263" spans="1:2" x14ac:dyDescent="0.25">
      <c r="A263" s="18">
        <f t="shared" si="4"/>
        <v>26573</v>
      </c>
      <c r="B263">
        <v>72</v>
      </c>
    </row>
    <row r="264" spans="1:2" x14ac:dyDescent="0.25">
      <c r="A264" s="18">
        <f t="shared" si="4"/>
        <v>26604</v>
      </c>
      <c r="B264">
        <v>73</v>
      </c>
    </row>
    <row r="265" spans="1:2" x14ac:dyDescent="0.25">
      <c r="A265" s="18">
        <f t="shared" si="4"/>
        <v>26634</v>
      </c>
      <c r="B265">
        <v>80</v>
      </c>
    </row>
    <row r="266" spans="1:2" x14ac:dyDescent="0.25">
      <c r="A266" s="18">
        <f t="shared" si="4"/>
        <v>26665</v>
      </c>
      <c r="B266">
        <v>82</v>
      </c>
    </row>
    <row r="267" spans="1:2" x14ac:dyDescent="0.25">
      <c r="A267" s="18">
        <f t="shared" si="4"/>
        <v>26696</v>
      </c>
      <c r="B267">
        <v>82</v>
      </c>
    </row>
    <row r="268" spans="1:2" x14ac:dyDescent="0.25">
      <c r="A268" s="18">
        <f t="shared" si="4"/>
        <v>26724</v>
      </c>
      <c r="B268">
        <v>82</v>
      </c>
    </row>
    <row r="269" spans="1:2" x14ac:dyDescent="0.25">
      <c r="A269" s="18">
        <f t="shared" si="4"/>
        <v>26755</v>
      </c>
      <c r="B269">
        <v>81</v>
      </c>
    </row>
    <row r="270" spans="1:2" x14ac:dyDescent="0.25">
      <c r="A270" s="18">
        <f t="shared" si="4"/>
        <v>26785</v>
      </c>
      <c r="B270">
        <v>82</v>
      </c>
    </row>
    <row r="271" spans="1:2" x14ac:dyDescent="0.25">
      <c r="A271" s="18">
        <f t="shared" si="4"/>
        <v>26816</v>
      </c>
      <c r="B271">
        <v>82</v>
      </c>
    </row>
    <row r="272" spans="1:2" x14ac:dyDescent="0.25">
      <c r="A272" s="18">
        <f t="shared" si="4"/>
        <v>26846</v>
      </c>
      <c r="B272">
        <v>84</v>
      </c>
    </row>
    <row r="273" spans="1:2" x14ac:dyDescent="0.25">
      <c r="A273" s="18">
        <f t="shared" si="4"/>
        <v>26877</v>
      </c>
      <c r="B273">
        <v>82</v>
      </c>
    </row>
    <row r="274" spans="1:2" x14ac:dyDescent="0.25">
      <c r="A274" s="18">
        <f t="shared" si="4"/>
        <v>26908</v>
      </c>
      <c r="B274">
        <v>81</v>
      </c>
    </row>
    <row r="275" spans="1:2" x14ac:dyDescent="0.25">
      <c r="A275" s="18">
        <f t="shared" si="4"/>
        <v>26938</v>
      </c>
      <c r="B275">
        <v>82</v>
      </c>
    </row>
    <row r="276" spans="1:2" x14ac:dyDescent="0.25">
      <c r="A276" s="18">
        <f t="shared" si="4"/>
        <v>26969</v>
      </c>
      <c r="B276">
        <v>82</v>
      </c>
    </row>
    <row r="277" spans="1:2" x14ac:dyDescent="0.25">
      <c r="A277" s="18">
        <f t="shared" si="4"/>
        <v>26999</v>
      </c>
      <c r="B277">
        <v>79</v>
      </c>
    </row>
    <row r="278" spans="1:2" x14ac:dyDescent="0.25">
      <c r="A278" s="18">
        <f t="shared" si="4"/>
        <v>27030</v>
      </c>
      <c r="B278">
        <v>78</v>
      </c>
    </row>
    <row r="279" spans="1:2" x14ac:dyDescent="0.25">
      <c r="A279" s="18">
        <f t="shared" si="4"/>
        <v>27061</v>
      </c>
      <c r="B279">
        <v>77</v>
      </c>
    </row>
    <row r="280" spans="1:2" x14ac:dyDescent="0.25">
      <c r="A280" s="18">
        <f t="shared" si="4"/>
        <v>27089</v>
      </c>
      <c r="B280">
        <v>77</v>
      </c>
    </row>
    <row r="281" spans="1:2" x14ac:dyDescent="0.25">
      <c r="A281" s="18">
        <f t="shared" si="4"/>
        <v>27120</v>
      </c>
      <c r="B281">
        <v>79</v>
      </c>
    </row>
    <row r="282" spans="1:2" x14ac:dyDescent="0.25">
      <c r="A282" s="18">
        <f t="shared" si="4"/>
        <v>27150</v>
      </c>
      <c r="B282">
        <v>78</v>
      </c>
    </row>
    <row r="283" spans="1:2" x14ac:dyDescent="0.25">
      <c r="A283" s="18">
        <f t="shared" si="4"/>
        <v>27181</v>
      </c>
      <c r="B283">
        <v>76</v>
      </c>
    </row>
    <row r="284" spans="1:2" x14ac:dyDescent="0.25">
      <c r="A284" s="18">
        <f t="shared" si="4"/>
        <v>27211</v>
      </c>
      <c r="B284">
        <v>74</v>
      </c>
    </row>
    <row r="285" spans="1:2" x14ac:dyDescent="0.25">
      <c r="A285" s="18">
        <f t="shared" si="4"/>
        <v>27242</v>
      </c>
      <c r="B285">
        <v>72</v>
      </c>
    </row>
    <row r="286" spans="1:2" x14ac:dyDescent="0.25">
      <c r="A286" s="18">
        <f t="shared" si="4"/>
        <v>27273</v>
      </c>
      <c r="B286">
        <v>69</v>
      </c>
    </row>
    <row r="287" spans="1:2" x14ac:dyDescent="0.25">
      <c r="A287" s="18">
        <f t="shared" si="4"/>
        <v>27303</v>
      </c>
      <c r="B287">
        <v>64</v>
      </c>
    </row>
    <row r="288" spans="1:2" x14ac:dyDescent="0.25">
      <c r="A288" s="18">
        <f t="shared" si="4"/>
        <v>27334</v>
      </c>
      <c r="B288">
        <v>59</v>
      </c>
    </row>
    <row r="289" spans="1:2" x14ac:dyDescent="0.25">
      <c r="A289" s="18">
        <f t="shared" si="4"/>
        <v>27364</v>
      </c>
      <c r="B289">
        <v>54</v>
      </c>
    </row>
    <row r="290" spans="1:2" x14ac:dyDescent="0.25">
      <c r="A290" s="18">
        <f t="shared" si="4"/>
        <v>27395</v>
      </c>
      <c r="B290">
        <v>51</v>
      </c>
    </row>
    <row r="291" spans="1:2" x14ac:dyDescent="0.25">
      <c r="A291" s="18">
        <f t="shared" si="4"/>
        <v>27426</v>
      </c>
      <c r="B291">
        <v>50</v>
      </c>
    </row>
    <row r="292" spans="1:2" x14ac:dyDescent="0.25">
      <c r="A292" s="18">
        <f t="shared" si="4"/>
        <v>27454</v>
      </c>
      <c r="B292">
        <v>49</v>
      </c>
    </row>
    <row r="293" spans="1:2" x14ac:dyDescent="0.25">
      <c r="A293" s="18">
        <f t="shared" si="4"/>
        <v>27485</v>
      </c>
      <c r="B293">
        <v>49</v>
      </c>
    </row>
    <row r="294" spans="1:2" x14ac:dyDescent="0.25">
      <c r="A294" s="18">
        <f t="shared" si="4"/>
        <v>27515</v>
      </c>
      <c r="B294">
        <v>49</v>
      </c>
    </row>
    <row r="295" spans="1:2" x14ac:dyDescent="0.25">
      <c r="A295" s="18">
        <f t="shared" si="4"/>
        <v>27546</v>
      </c>
      <c r="B295">
        <v>52</v>
      </c>
    </row>
    <row r="296" spans="1:2" x14ac:dyDescent="0.25">
      <c r="A296" s="18">
        <f t="shared" si="4"/>
        <v>27576</v>
      </c>
      <c r="B296">
        <v>53</v>
      </c>
    </row>
    <row r="297" spans="1:2" x14ac:dyDescent="0.25">
      <c r="A297" s="18">
        <f t="shared" si="4"/>
        <v>27607</v>
      </c>
      <c r="B297">
        <v>52</v>
      </c>
    </row>
    <row r="298" spans="1:2" x14ac:dyDescent="0.25">
      <c r="A298" s="18">
        <f t="shared" si="4"/>
        <v>27638</v>
      </c>
      <c r="B298">
        <v>54</v>
      </c>
    </row>
    <row r="299" spans="1:2" x14ac:dyDescent="0.25">
      <c r="A299" s="18">
        <f t="shared" si="4"/>
        <v>27668</v>
      </c>
      <c r="B299">
        <v>54</v>
      </c>
    </row>
    <row r="300" spans="1:2" x14ac:dyDescent="0.25">
      <c r="A300" s="18">
        <f t="shared" si="4"/>
        <v>27699</v>
      </c>
      <c r="B300">
        <v>56</v>
      </c>
    </row>
    <row r="301" spans="1:2" x14ac:dyDescent="0.25">
      <c r="A301" s="18">
        <f t="shared" si="4"/>
        <v>27729</v>
      </c>
      <c r="B301">
        <v>56</v>
      </c>
    </row>
    <row r="302" spans="1:2" x14ac:dyDescent="0.25">
      <c r="A302" s="18">
        <f t="shared" si="4"/>
        <v>27760</v>
      </c>
      <c r="B302">
        <v>57</v>
      </c>
    </row>
    <row r="303" spans="1:2" x14ac:dyDescent="0.25">
      <c r="A303" s="18">
        <f t="shared" si="4"/>
        <v>27791</v>
      </c>
      <c r="B303">
        <v>60</v>
      </c>
    </row>
    <row r="304" spans="1:2" x14ac:dyDescent="0.25">
      <c r="A304" s="18">
        <f t="shared" si="4"/>
        <v>27820</v>
      </c>
      <c r="B304">
        <v>61</v>
      </c>
    </row>
    <row r="305" spans="1:2" x14ac:dyDescent="0.25">
      <c r="A305" s="18">
        <f t="shared" si="4"/>
        <v>27851</v>
      </c>
      <c r="B305">
        <v>60</v>
      </c>
    </row>
    <row r="306" spans="1:2" x14ac:dyDescent="0.25">
      <c r="A306" s="18">
        <f t="shared" si="4"/>
        <v>27881</v>
      </c>
      <c r="B306">
        <v>62</v>
      </c>
    </row>
    <row r="307" spans="1:2" x14ac:dyDescent="0.25">
      <c r="A307" s="18">
        <f t="shared" si="4"/>
        <v>27912</v>
      </c>
      <c r="B307">
        <v>62</v>
      </c>
    </row>
    <row r="308" spans="1:2" x14ac:dyDescent="0.25">
      <c r="A308" s="18">
        <f t="shared" si="4"/>
        <v>27942</v>
      </c>
      <c r="B308">
        <v>62</v>
      </c>
    </row>
    <row r="309" spans="1:2" x14ac:dyDescent="0.25">
      <c r="A309" s="18">
        <f t="shared" si="4"/>
        <v>27973</v>
      </c>
      <c r="B309">
        <v>62</v>
      </c>
    </row>
    <row r="310" spans="1:2" x14ac:dyDescent="0.25">
      <c r="A310" s="18">
        <f t="shared" si="4"/>
        <v>28004</v>
      </c>
      <c r="B310">
        <v>61</v>
      </c>
    </row>
    <row r="311" spans="1:2" x14ac:dyDescent="0.25">
      <c r="A311" s="18">
        <f t="shared" si="4"/>
        <v>28034</v>
      </c>
      <c r="B311">
        <v>62</v>
      </c>
    </row>
    <row r="312" spans="1:2" x14ac:dyDescent="0.25">
      <c r="A312" s="18">
        <f t="shared" si="4"/>
        <v>28065</v>
      </c>
      <c r="B312">
        <v>64</v>
      </c>
    </row>
    <row r="313" spans="1:2" x14ac:dyDescent="0.25">
      <c r="A313" s="18">
        <f t="shared" si="4"/>
        <v>28095</v>
      </c>
      <c r="B313">
        <v>66</v>
      </c>
    </row>
    <row r="314" spans="1:2" x14ac:dyDescent="0.25">
      <c r="A314" s="18">
        <f t="shared" si="4"/>
        <v>28126</v>
      </c>
      <c r="B314">
        <v>68</v>
      </c>
    </row>
    <row r="315" spans="1:2" x14ac:dyDescent="0.25">
      <c r="A315" s="18">
        <f t="shared" si="4"/>
        <v>28157</v>
      </c>
      <c r="B315">
        <v>68</v>
      </c>
    </row>
    <row r="316" spans="1:2" x14ac:dyDescent="0.25">
      <c r="A316" s="18">
        <f t="shared" si="4"/>
        <v>28185</v>
      </c>
      <c r="B316">
        <v>70</v>
      </c>
    </row>
    <row r="317" spans="1:2" x14ac:dyDescent="0.25">
      <c r="A317" s="18">
        <f t="shared" si="4"/>
        <v>28216</v>
      </c>
      <c r="B317">
        <v>72</v>
      </c>
    </row>
    <row r="318" spans="1:2" x14ac:dyDescent="0.25">
      <c r="A318" s="18">
        <f t="shared" si="4"/>
        <v>28246</v>
      </c>
      <c r="B318">
        <v>74</v>
      </c>
    </row>
    <row r="319" spans="1:2" x14ac:dyDescent="0.25">
      <c r="A319" s="18">
        <f t="shared" si="4"/>
        <v>28277</v>
      </c>
      <c r="B319">
        <v>75</v>
      </c>
    </row>
    <row r="320" spans="1:2" x14ac:dyDescent="0.25">
      <c r="A320" s="18">
        <f t="shared" si="4"/>
        <v>28307</v>
      </c>
      <c r="B320">
        <v>77</v>
      </c>
    </row>
    <row r="321" spans="1:2" x14ac:dyDescent="0.25">
      <c r="A321" s="18">
        <f t="shared" si="4"/>
        <v>28338</v>
      </c>
      <c r="B321">
        <v>79</v>
      </c>
    </row>
    <row r="322" spans="1:2" x14ac:dyDescent="0.25">
      <c r="A322" s="18">
        <f t="shared" si="4"/>
        <v>28369</v>
      </c>
      <c r="B322">
        <v>78</v>
      </c>
    </row>
    <row r="323" spans="1:2" x14ac:dyDescent="0.25">
      <c r="A323" s="18">
        <f t="shared" si="4"/>
        <v>28399</v>
      </c>
      <c r="B323">
        <v>82</v>
      </c>
    </row>
    <row r="324" spans="1:2" x14ac:dyDescent="0.25">
      <c r="A324" s="18">
        <f t="shared" ref="A324:A387" si="5">DATE(YEAR(A323),MONTH(A323)+1,1)</f>
        <v>28430</v>
      </c>
      <c r="B324">
        <v>85</v>
      </c>
    </row>
    <row r="325" spans="1:2" x14ac:dyDescent="0.25">
      <c r="A325" s="18">
        <f t="shared" si="5"/>
        <v>28460</v>
      </c>
      <c r="B325">
        <v>88</v>
      </c>
    </row>
    <row r="326" spans="1:2" x14ac:dyDescent="0.25">
      <c r="A326" s="18">
        <f t="shared" si="5"/>
        <v>28491</v>
      </c>
      <c r="B326">
        <v>88</v>
      </c>
    </row>
    <row r="327" spans="1:2" x14ac:dyDescent="0.25">
      <c r="A327" s="18">
        <f t="shared" si="5"/>
        <v>28522</v>
      </c>
      <c r="B327">
        <v>89</v>
      </c>
    </row>
    <row r="328" spans="1:2" x14ac:dyDescent="0.25">
      <c r="A328" s="18">
        <f t="shared" si="5"/>
        <v>28550</v>
      </c>
      <c r="B328">
        <v>91</v>
      </c>
    </row>
    <row r="329" spans="1:2" x14ac:dyDescent="0.25">
      <c r="A329" s="18">
        <f t="shared" si="5"/>
        <v>28581</v>
      </c>
      <c r="B329">
        <v>97</v>
      </c>
    </row>
    <row r="330" spans="1:2" x14ac:dyDescent="0.25">
      <c r="A330" s="18">
        <f t="shared" si="5"/>
        <v>28611</v>
      </c>
      <c r="B330">
        <v>96</v>
      </c>
    </row>
    <row r="331" spans="1:2" x14ac:dyDescent="0.25">
      <c r="A331" s="18">
        <f t="shared" si="5"/>
        <v>28642</v>
      </c>
      <c r="B331">
        <v>97</v>
      </c>
    </row>
    <row r="332" spans="1:2" x14ac:dyDescent="0.25">
      <c r="A332" s="18">
        <f t="shared" si="5"/>
        <v>28672</v>
      </c>
      <c r="B332">
        <v>96</v>
      </c>
    </row>
    <row r="333" spans="1:2" x14ac:dyDescent="0.25">
      <c r="A333" s="18">
        <f t="shared" si="5"/>
        <v>28703</v>
      </c>
      <c r="B333">
        <v>98</v>
      </c>
    </row>
    <row r="334" spans="1:2" x14ac:dyDescent="0.25">
      <c r="A334" s="18">
        <f t="shared" si="5"/>
        <v>28734</v>
      </c>
      <c r="B334">
        <v>99</v>
      </c>
    </row>
    <row r="335" spans="1:2" x14ac:dyDescent="0.25">
      <c r="A335" s="18">
        <f t="shared" si="5"/>
        <v>28764</v>
      </c>
      <c r="B335">
        <v>103</v>
      </c>
    </row>
    <row r="336" spans="1:2" x14ac:dyDescent="0.25">
      <c r="A336" s="18">
        <f t="shared" si="5"/>
        <v>28795</v>
      </c>
      <c r="B336">
        <v>102</v>
      </c>
    </row>
    <row r="337" spans="1:2" x14ac:dyDescent="0.25">
      <c r="A337" s="18">
        <f t="shared" si="5"/>
        <v>28825</v>
      </c>
      <c r="B337">
        <v>103</v>
      </c>
    </row>
    <row r="338" spans="1:2" x14ac:dyDescent="0.25">
      <c r="A338" s="18">
        <f t="shared" si="5"/>
        <v>28856</v>
      </c>
      <c r="B338">
        <v>102</v>
      </c>
    </row>
    <row r="339" spans="1:2" x14ac:dyDescent="0.25">
      <c r="A339" s="18">
        <f t="shared" si="5"/>
        <v>28887</v>
      </c>
      <c r="B339">
        <v>100</v>
      </c>
    </row>
    <row r="340" spans="1:2" x14ac:dyDescent="0.25">
      <c r="A340" s="18">
        <f t="shared" si="5"/>
        <v>28915</v>
      </c>
      <c r="B340">
        <v>100</v>
      </c>
    </row>
    <row r="341" spans="1:2" x14ac:dyDescent="0.25">
      <c r="A341" s="18">
        <f t="shared" si="5"/>
        <v>28946</v>
      </c>
      <c r="B341">
        <v>104</v>
      </c>
    </row>
    <row r="342" spans="1:2" x14ac:dyDescent="0.25">
      <c r="A342" s="18">
        <f t="shared" si="5"/>
        <v>28976</v>
      </c>
      <c r="B342">
        <v>103</v>
      </c>
    </row>
    <row r="343" spans="1:2" x14ac:dyDescent="0.25">
      <c r="A343" s="18">
        <f t="shared" si="5"/>
        <v>29007</v>
      </c>
      <c r="B343">
        <v>101</v>
      </c>
    </row>
    <row r="344" spans="1:2" x14ac:dyDescent="0.25">
      <c r="A344" s="18">
        <f t="shared" si="5"/>
        <v>29037</v>
      </c>
      <c r="B344">
        <v>101</v>
      </c>
    </row>
    <row r="345" spans="1:2" x14ac:dyDescent="0.25">
      <c r="A345" s="18">
        <f t="shared" si="5"/>
        <v>29068</v>
      </c>
      <c r="B345">
        <v>102</v>
      </c>
    </row>
    <row r="346" spans="1:2" x14ac:dyDescent="0.25">
      <c r="A346" s="18">
        <f t="shared" si="5"/>
        <v>29099</v>
      </c>
      <c r="B346">
        <v>105</v>
      </c>
    </row>
    <row r="347" spans="1:2" x14ac:dyDescent="0.25">
      <c r="A347" s="18">
        <f t="shared" si="5"/>
        <v>29129</v>
      </c>
      <c r="B347">
        <v>106</v>
      </c>
    </row>
    <row r="348" spans="1:2" x14ac:dyDescent="0.25">
      <c r="A348" s="18">
        <f t="shared" si="5"/>
        <v>29160</v>
      </c>
      <c r="B348">
        <v>100</v>
      </c>
    </row>
    <row r="349" spans="1:2" x14ac:dyDescent="0.25">
      <c r="A349" s="18">
        <f t="shared" si="5"/>
        <v>29190</v>
      </c>
      <c r="B349">
        <v>99</v>
      </c>
    </row>
    <row r="350" spans="1:2" x14ac:dyDescent="0.25">
      <c r="A350" s="18">
        <f t="shared" si="5"/>
        <v>29221</v>
      </c>
      <c r="B350">
        <v>97</v>
      </c>
    </row>
    <row r="351" spans="1:2" x14ac:dyDescent="0.25">
      <c r="A351" s="18">
        <f t="shared" si="5"/>
        <v>29252</v>
      </c>
      <c r="B351">
        <v>94</v>
      </c>
    </row>
    <row r="352" spans="1:2" x14ac:dyDescent="0.25">
      <c r="A352" s="18">
        <f t="shared" si="5"/>
        <v>29281</v>
      </c>
      <c r="B352">
        <v>93</v>
      </c>
    </row>
    <row r="353" spans="1:2" x14ac:dyDescent="0.25">
      <c r="A353" s="18">
        <f t="shared" si="5"/>
        <v>29312</v>
      </c>
      <c r="B353">
        <v>82</v>
      </c>
    </row>
    <row r="354" spans="1:2" x14ac:dyDescent="0.25">
      <c r="A354" s="18">
        <f t="shared" si="5"/>
        <v>29342</v>
      </c>
      <c r="B354">
        <v>76</v>
      </c>
    </row>
    <row r="355" spans="1:2" x14ac:dyDescent="0.25">
      <c r="A355" s="18">
        <f t="shared" si="5"/>
        <v>29373</v>
      </c>
      <c r="B355">
        <v>77</v>
      </c>
    </row>
    <row r="356" spans="1:2" x14ac:dyDescent="0.25">
      <c r="A356" s="18">
        <f t="shared" si="5"/>
        <v>29403</v>
      </c>
      <c r="B356">
        <v>77</v>
      </c>
    </row>
    <row r="357" spans="1:2" x14ac:dyDescent="0.25">
      <c r="A357" s="18">
        <f t="shared" si="5"/>
        <v>29434</v>
      </c>
      <c r="B357">
        <v>78</v>
      </c>
    </row>
    <row r="358" spans="1:2" x14ac:dyDescent="0.25">
      <c r="A358" s="18">
        <f t="shared" si="5"/>
        <v>29465</v>
      </c>
      <c r="B358">
        <v>81</v>
      </c>
    </row>
    <row r="359" spans="1:2" x14ac:dyDescent="0.25">
      <c r="A359" s="18">
        <f t="shared" si="5"/>
        <v>29495</v>
      </c>
      <c r="B359">
        <v>81</v>
      </c>
    </row>
    <row r="360" spans="1:2" x14ac:dyDescent="0.25">
      <c r="A360" s="18">
        <f t="shared" si="5"/>
        <v>29526</v>
      </c>
      <c r="B360">
        <v>84</v>
      </c>
    </row>
    <row r="361" spans="1:2" x14ac:dyDescent="0.25">
      <c r="A361" s="18">
        <f t="shared" si="5"/>
        <v>29556</v>
      </c>
      <c r="B361">
        <v>81</v>
      </c>
    </row>
    <row r="362" spans="1:2" x14ac:dyDescent="0.25">
      <c r="A362" s="18">
        <f t="shared" si="5"/>
        <v>29587</v>
      </c>
      <c r="B362">
        <v>80</v>
      </c>
    </row>
    <row r="363" spans="1:2" x14ac:dyDescent="0.25">
      <c r="A363" s="18">
        <f t="shared" si="5"/>
        <v>29618</v>
      </c>
      <c r="B363">
        <v>81</v>
      </c>
    </row>
    <row r="364" spans="1:2" x14ac:dyDescent="0.25">
      <c r="A364" s="18">
        <f t="shared" si="5"/>
        <v>29646</v>
      </c>
      <c r="B364">
        <v>81</v>
      </c>
    </row>
    <row r="365" spans="1:2" x14ac:dyDescent="0.25">
      <c r="A365" s="18">
        <f t="shared" si="5"/>
        <v>29677</v>
      </c>
      <c r="B365">
        <v>81</v>
      </c>
    </row>
    <row r="366" spans="1:2" x14ac:dyDescent="0.25">
      <c r="A366" s="18">
        <f t="shared" si="5"/>
        <v>29707</v>
      </c>
      <c r="B366">
        <v>80</v>
      </c>
    </row>
    <row r="367" spans="1:2" x14ac:dyDescent="0.25">
      <c r="A367" s="18">
        <f t="shared" si="5"/>
        <v>29738</v>
      </c>
      <c r="B367">
        <v>80</v>
      </c>
    </row>
    <row r="368" spans="1:2" x14ac:dyDescent="0.25">
      <c r="A368" s="18">
        <f t="shared" si="5"/>
        <v>29768</v>
      </c>
      <c r="B368">
        <v>80</v>
      </c>
    </row>
    <row r="369" spans="1:2" x14ac:dyDescent="0.25">
      <c r="A369" s="18">
        <f t="shared" si="5"/>
        <v>29799</v>
      </c>
      <c r="B369">
        <v>79</v>
      </c>
    </row>
    <row r="370" spans="1:2" x14ac:dyDescent="0.25">
      <c r="A370" s="18">
        <f t="shared" si="5"/>
        <v>29830</v>
      </c>
      <c r="B370">
        <v>75</v>
      </c>
    </row>
    <row r="371" spans="1:2" x14ac:dyDescent="0.25">
      <c r="A371" s="18">
        <f t="shared" si="5"/>
        <v>29860</v>
      </c>
      <c r="B371">
        <v>71</v>
      </c>
    </row>
    <row r="372" spans="1:2" x14ac:dyDescent="0.25">
      <c r="A372" s="18">
        <f t="shared" si="5"/>
        <v>29891</v>
      </c>
      <c r="B372">
        <v>70</v>
      </c>
    </row>
    <row r="373" spans="1:2" x14ac:dyDescent="0.25">
      <c r="A373" s="18">
        <f t="shared" si="5"/>
        <v>29921</v>
      </c>
      <c r="B373">
        <v>67</v>
      </c>
    </row>
    <row r="374" spans="1:2" x14ac:dyDescent="0.25">
      <c r="A374" s="18">
        <f t="shared" si="5"/>
        <v>29952</v>
      </c>
      <c r="B374">
        <v>67</v>
      </c>
    </row>
    <row r="375" spans="1:2" x14ac:dyDescent="0.25">
      <c r="A375" s="18">
        <f t="shared" si="5"/>
        <v>29983</v>
      </c>
      <c r="B375">
        <v>64</v>
      </c>
    </row>
    <row r="376" spans="1:2" x14ac:dyDescent="0.25">
      <c r="A376" s="18">
        <f t="shared" si="5"/>
        <v>30011</v>
      </c>
      <c r="B376">
        <v>62</v>
      </c>
    </row>
    <row r="377" spans="1:2" x14ac:dyDescent="0.25">
      <c r="A377" s="18">
        <f t="shared" si="5"/>
        <v>30042</v>
      </c>
      <c r="B377">
        <v>60</v>
      </c>
    </row>
    <row r="378" spans="1:2" x14ac:dyDescent="0.25">
      <c r="A378" s="18">
        <f t="shared" si="5"/>
        <v>30072</v>
      </c>
      <c r="B378">
        <v>59</v>
      </c>
    </row>
    <row r="379" spans="1:2" x14ac:dyDescent="0.25">
      <c r="A379" s="18">
        <f t="shared" si="5"/>
        <v>30103</v>
      </c>
      <c r="B379">
        <v>56</v>
      </c>
    </row>
    <row r="380" spans="1:2" x14ac:dyDescent="0.25">
      <c r="A380" s="18">
        <f t="shared" si="5"/>
        <v>30133</v>
      </c>
      <c r="B380">
        <v>53</v>
      </c>
    </row>
    <row r="381" spans="1:2" x14ac:dyDescent="0.25">
      <c r="A381" s="18">
        <f t="shared" si="5"/>
        <v>30164</v>
      </c>
      <c r="B381">
        <v>52</v>
      </c>
    </row>
    <row r="382" spans="1:2" x14ac:dyDescent="0.25">
      <c r="A382" s="18">
        <f t="shared" si="5"/>
        <v>30195</v>
      </c>
      <c r="B382">
        <v>49</v>
      </c>
    </row>
    <row r="383" spans="1:2" x14ac:dyDescent="0.25">
      <c r="A383" s="18">
        <f t="shared" si="5"/>
        <v>30225</v>
      </c>
      <c r="B383">
        <v>49</v>
      </c>
    </row>
    <row r="384" spans="1:2" x14ac:dyDescent="0.25">
      <c r="A384" s="18">
        <f t="shared" si="5"/>
        <v>30256</v>
      </c>
      <c r="B384">
        <v>50</v>
      </c>
    </row>
    <row r="385" spans="1:2" x14ac:dyDescent="0.25">
      <c r="A385" s="18">
        <f t="shared" si="5"/>
        <v>30286</v>
      </c>
      <c r="B385">
        <v>51</v>
      </c>
    </row>
    <row r="386" spans="1:2" x14ac:dyDescent="0.25">
      <c r="A386" s="18">
        <f t="shared" si="5"/>
        <v>30317</v>
      </c>
      <c r="B386">
        <v>52</v>
      </c>
    </row>
    <row r="387" spans="1:2" x14ac:dyDescent="0.25">
      <c r="A387" s="18">
        <f t="shared" si="5"/>
        <v>30348</v>
      </c>
      <c r="B387">
        <v>52</v>
      </c>
    </row>
    <row r="388" spans="1:2" x14ac:dyDescent="0.25">
      <c r="A388" s="18">
        <f t="shared" ref="A388:A451" si="6">DATE(YEAR(A387),MONTH(A387)+1,1)</f>
        <v>30376</v>
      </c>
      <c r="B388">
        <v>54</v>
      </c>
    </row>
    <row r="389" spans="1:2" x14ac:dyDescent="0.25">
      <c r="A389" s="18">
        <f t="shared" si="6"/>
        <v>30407</v>
      </c>
      <c r="B389">
        <v>55</v>
      </c>
    </row>
    <row r="390" spans="1:2" x14ac:dyDescent="0.25">
      <c r="A390" s="18">
        <f t="shared" si="6"/>
        <v>30437</v>
      </c>
      <c r="B390">
        <v>60</v>
      </c>
    </row>
    <row r="391" spans="1:2" x14ac:dyDescent="0.25">
      <c r="A391" s="18">
        <f t="shared" si="6"/>
        <v>30468</v>
      </c>
      <c r="B391">
        <v>60</v>
      </c>
    </row>
    <row r="392" spans="1:2" x14ac:dyDescent="0.25">
      <c r="A392" s="18">
        <f t="shared" si="6"/>
        <v>30498</v>
      </c>
      <c r="B392">
        <v>64</v>
      </c>
    </row>
    <row r="393" spans="1:2" x14ac:dyDescent="0.25">
      <c r="A393" s="18">
        <f t="shared" si="6"/>
        <v>30529</v>
      </c>
      <c r="B393">
        <v>65</v>
      </c>
    </row>
    <row r="394" spans="1:2" x14ac:dyDescent="0.25">
      <c r="A394" s="18">
        <f t="shared" si="6"/>
        <v>30560</v>
      </c>
      <c r="B394">
        <v>67</v>
      </c>
    </row>
    <row r="395" spans="1:2" x14ac:dyDescent="0.25">
      <c r="A395" s="18">
        <f t="shared" si="6"/>
        <v>30590</v>
      </c>
      <c r="B395">
        <v>72</v>
      </c>
    </row>
    <row r="396" spans="1:2" x14ac:dyDescent="0.25">
      <c r="A396" s="18">
        <f t="shared" si="6"/>
        <v>30621</v>
      </c>
      <c r="B396">
        <v>73</v>
      </c>
    </row>
    <row r="397" spans="1:2" x14ac:dyDescent="0.25">
      <c r="A397" s="18">
        <f t="shared" si="6"/>
        <v>30651</v>
      </c>
      <c r="B397">
        <v>76</v>
      </c>
    </row>
    <row r="398" spans="1:2" x14ac:dyDescent="0.25">
      <c r="A398" s="18">
        <f t="shared" si="6"/>
        <v>30682</v>
      </c>
      <c r="B398">
        <v>78</v>
      </c>
    </row>
    <row r="399" spans="1:2" x14ac:dyDescent="0.25">
      <c r="A399" s="18">
        <f t="shared" si="6"/>
        <v>30713</v>
      </c>
      <c r="B399">
        <v>81</v>
      </c>
    </row>
    <row r="400" spans="1:2" x14ac:dyDescent="0.25">
      <c r="A400" s="18">
        <f t="shared" si="6"/>
        <v>30742</v>
      </c>
      <c r="B400">
        <v>81</v>
      </c>
    </row>
    <row r="401" spans="1:2" x14ac:dyDescent="0.25">
      <c r="A401" s="18">
        <f t="shared" si="6"/>
        <v>30773</v>
      </c>
      <c r="B401">
        <v>85</v>
      </c>
    </row>
    <row r="402" spans="1:2" x14ac:dyDescent="0.25">
      <c r="A402" s="18">
        <f t="shared" si="6"/>
        <v>30803</v>
      </c>
      <c r="B402">
        <v>86</v>
      </c>
    </row>
    <row r="403" spans="1:2" x14ac:dyDescent="0.25">
      <c r="A403" s="18">
        <f t="shared" si="6"/>
        <v>30834</v>
      </c>
      <c r="B403">
        <v>87</v>
      </c>
    </row>
    <row r="404" spans="1:2" x14ac:dyDescent="0.25">
      <c r="A404" s="18">
        <f t="shared" si="6"/>
        <v>30864</v>
      </c>
      <c r="B404">
        <v>89</v>
      </c>
    </row>
    <row r="405" spans="1:2" x14ac:dyDescent="0.25">
      <c r="A405" s="18">
        <f t="shared" si="6"/>
        <v>30895</v>
      </c>
      <c r="B405">
        <v>86</v>
      </c>
    </row>
    <row r="406" spans="1:2" x14ac:dyDescent="0.25">
      <c r="A406" s="18">
        <f t="shared" si="6"/>
        <v>30926</v>
      </c>
      <c r="B406">
        <v>88</v>
      </c>
    </row>
    <row r="407" spans="1:2" x14ac:dyDescent="0.25">
      <c r="A407" s="18">
        <f t="shared" si="6"/>
        <v>30956</v>
      </c>
      <c r="B407">
        <v>89</v>
      </c>
    </row>
    <row r="408" spans="1:2" x14ac:dyDescent="0.25">
      <c r="A408" s="18">
        <f t="shared" si="6"/>
        <v>30987</v>
      </c>
      <c r="B408">
        <v>88</v>
      </c>
    </row>
    <row r="409" spans="1:2" x14ac:dyDescent="0.25">
      <c r="A409" s="18">
        <f t="shared" si="6"/>
        <v>31017</v>
      </c>
      <c r="B409">
        <v>91</v>
      </c>
    </row>
    <row r="410" spans="1:2" x14ac:dyDescent="0.25">
      <c r="A410" s="18">
        <f t="shared" si="6"/>
        <v>31048</v>
      </c>
      <c r="B410">
        <v>89</v>
      </c>
    </row>
    <row r="411" spans="1:2" x14ac:dyDescent="0.25">
      <c r="A411" s="18">
        <f t="shared" si="6"/>
        <v>31079</v>
      </c>
      <c r="B411">
        <v>90</v>
      </c>
    </row>
    <row r="412" spans="1:2" x14ac:dyDescent="0.25">
      <c r="A412" s="18">
        <f t="shared" si="6"/>
        <v>31107</v>
      </c>
      <c r="B412">
        <v>92</v>
      </c>
    </row>
    <row r="413" spans="1:2" x14ac:dyDescent="0.25">
      <c r="A413" s="18">
        <f t="shared" si="6"/>
        <v>31138</v>
      </c>
      <c r="B413">
        <v>91</v>
      </c>
    </row>
    <row r="414" spans="1:2" x14ac:dyDescent="0.25">
      <c r="A414" s="18">
        <f t="shared" si="6"/>
        <v>31168</v>
      </c>
      <c r="B414">
        <v>92</v>
      </c>
    </row>
    <row r="415" spans="1:2" x14ac:dyDescent="0.25">
      <c r="A415" s="18">
        <f t="shared" si="6"/>
        <v>31199</v>
      </c>
      <c r="B415">
        <v>92</v>
      </c>
    </row>
    <row r="416" spans="1:2" x14ac:dyDescent="0.25">
      <c r="A416" s="18">
        <f t="shared" si="6"/>
        <v>31229</v>
      </c>
      <c r="B416">
        <v>91</v>
      </c>
    </row>
    <row r="417" spans="1:2" x14ac:dyDescent="0.25">
      <c r="A417" s="18">
        <f t="shared" si="6"/>
        <v>31260</v>
      </c>
      <c r="B417">
        <v>92</v>
      </c>
    </row>
    <row r="418" spans="1:2" x14ac:dyDescent="0.25">
      <c r="A418" s="18">
        <f t="shared" si="6"/>
        <v>31291</v>
      </c>
      <c r="B418">
        <v>93</v>
      </c>
    </row>
    <row r="419" spans="1:2" x14ac:dyDescent="0.25">
      <c r="A419" s="18">
        <f t="shared" si="6"/>
        <v>31321</v>
      </c>
      <c r="B419">
        <v>92</v>
      </c>
    </row>
    <row r="420" spans="1:2" x14ac:dyDescent="0.25">
      <c r="A420" s="18">
        <f t="shared" si="6"/>
        <v>31352</v>
      </c>
      <c r="B420">
        <v>93</v>
      </c>
    </row>
    <row r="421" spans="1:2" x14ac:dyDescent="0.25">
      <c r="A421" s="18">
        <f t="shared" si="6"/>
        <v>31382</v>
      </c>
      <c r="B421">
        <v>90</v>
      </c>
    </row>
    <row r="422" spans="1:2" x14ac:dyDescent="0.25">
      <c r="A422" s="18">
        <f t="shared" si="6"/>
        <v>31413</v>
      </c>
      <c r="B422">
        <v>91</v>
      </c>
    </row>
    <row r="423" spans="1:2" x14ac:dyDescent="0.25">
      <c r="A423" s="18">
        <f t="shared" si="6"/>
        <v>31444</v>
      </c>
      <c r="B423">
        <v>91</v>
      </c>
    </row>
    <row r="424" spans="1:2" x14ac:dyDescent="0.25">
      <c r="A424" s="18">
        <f t="shared" si="6"/>
        <v>31472</v>
      </c>
      <c r="B424">
        <v>91</v>
      </c>
    </row>
    <row r="425" spans="1:2" x14ac:dyDescent="0.25">
      <c r="A425" s="18">
        <f t="shared" si="6"/>
        <v>31503</v>
      </c>
      <c r="B425">
        <v>91</v>
      </c>
    </row>
    <row r="426" spans="1:2" x14ac:dyDescent="0.25">
      <c r="A426" s="18">
        <f t="shared" si="6"/>
        <v>31533</v>
      </c>
      <c r="B426">
        <v>90</v>
      </c>
    </row>
    <row r="427" spans="1:2" x14ac:dyDescent="0.25">
      <c r="A427" s="18">
        <f t="shared" si="6"/>
        <v>31564</v>
      </c>
      <c r="B427">
        <v>92</v>
      </c>
    </row>
    <row r="428" spans="1:2" x14ac:dyDescent="0.25">
      <c r="A428" s="18">
        <f t="shared" si="6"/>
        <v>31594</v>
      </c>
      <c r="B428">
        <v>91</v>
      </c>
    </row>
    <row r="429" spans="1:2" x14ac:dyDescent="0.25">
      <c r="A429" s="18">
        <f t="shared" si="6"/>
        <v>31625</v>
      </c>
      <c r="B429">
        <v>92</v>
      </c>
    </row>
    <row r="430" spans="1:2" x14ac:dyDescent="0.25">
      <c r="A430" s="18">
        <f t="shared" si="6"/>
        <v>31656</v>
      </c>
      <c r="B430">
        <v>93</v>
      </c>
    </row>
    <row r="431" spans="1:2" x14ac:dyDescent="0.25">
      <c r="A431" s="18">
        <f t="shared" si="6"/>
        <v>31686</v>
      </c>
      <c r="B431">
        <v>93</v>
      </c>
    </row>
    <row r="432" spans="1:2" x14ac:dyDescent="0.25">
      <c r="A432" s="18">
        <f t="shared" si="6"/>
        <v>31717</v>
      </c>
      <c r="B432">
        <v>97</v>
      </c>
    </row>
    <row r="433" spans="1:2" x14ac:dyDescent="0.25">
      <c r="A433" s="18">
        <f t="shared" si="6"/>
        <v>31747</v>
      </c>
      <c r="B433">
        <v>92</v>
      </c>
    </row>
    <row r="434" spans="1:2" x14ac:dyDescent="0.25">
      <c r="A434" s="18">
        <f t="shared" si="6"/>
        <v>31778</v>
      </c>
      <c r="B434">
        <v>91</v>
      </c>
    </row>
    <row r="435" spans="1:2" x14ac:dyDescent="0.25">
      <c r="A435" s="18">
        <f t="shared" si="6"/>
        <v>31809</v>
      </c>
      <c r="B435">
        <v>95</v>
      </c>
    </row>
    <row r="436" spans="1:2" x14ac:dyDescent="0.25">
      <c r="A436" s="18">
        <f t="shared" si="6"/>
        <v>31837</v>
      </c>
      <c r="B436">
        <v>99</v>
      </c>
    </row>
    <row r="437" spans="1:2" x14ac:dyDescent="0.25">
      <c r="A437" s="18">
        <f t="shared" si="6"/>
        <v>31868</v>
      </c>
      <c r="B437">
        <v>97</v>
      </c>
    </row>
    <row r="438" spans="1:2" x14ac:dyDescent="0.25">
      <c r="A438" s="18">
        <f t="shared" si="6"/>
        <v>31898</v>
      </c>
      <c r="B438">
        <v>99</v>
      </c>
    </row>
    <row r="439" spans="1:2" x14ac:dyDescent="0.25">
      <c r="A439" s="18">
        <f t="shared" si="6"/>
        <v>31929</v>
      </c>
      <c r="B439">
        <v>100</v>
      </c>
    </row>
    <row r="440" spans="1:2" x14ac:dyDescent="0.25">
      <c r="A440" s="18">
        <f t="shared" si="6"/>
        <v>31959</v>
      </c>
      <c r="B440">
        <v>100</v>
      </c>
    </row>
    <row r="441" spans="1:2" x14ac:dyDescent="0.25">
      <c r="A441" s="18">
        <f t="shared" si="6"/>
        <v>31990</v>
      </c>
      <c r="B441">
        <v>104</v>
      </c>
    </row>
    <row r="442" spans="1:2" x14ac:dyDescent="0.25">
      <c r="A442" s="18">
        <f t="shared" si="6"/>
        <v>32021</v>
      </c>
      <c r="B442">
        <v>103</v>
      </c>
    </row>
    <row r="443" spans="1:2" x14ac:dyDescent="0.25">
      <c r="A443" s="18">
        <f t="shared" si="6"/>
        <v>32051</v>
      </c>
      <c r="B443">
        <v>104</v>
      </c>
    </row>
    <row r="444" spans="1:2" x14ac:dyDescent="0.25">
      <c r="A444" s="18">
        <f t="shared" si="6"/>
        <v>32082</v>
      </c>
      <c r="B444">
        <v>106</v>
      </c>
    </row>
    <row r="445" spans="1:2" x14ac:dyDescent="0.25">
      <c r="A445" s="18">
        <f t="shared" si="6"/>
        <v>32112</v>
      </c>
      <c r="B445">
        <v>101</v>
      </c>
    </row>
    <row r="446" spans="1:2" x14ac:dyDescent="0.25">
      <c r="A446" s="18">
        <f t="shared" si="6"/>
        <v>32143</v>
      </c>
      <c r="B446">
        <v>102</v>
      </c>
    </row>
    <row r="447" spans="1:2" x14ac:dyDescent="0.25">
      <c r="A447" s="18">
        <f t="shared" si="6"/>
        <v>32174</v>
      </c>
      <c r="B447">
        <v>102</v>
      </c>
    </row>
    <row r="448" spans="1:2" x14ac:dyDescent="0.25">
      <c r="A448" s="18">
        <f t="shared" si="6"/>
        <v>32203</v>
      </c>
      <c r="B448">
        <v>104</v>
      </c>
    </row>
    <row r="449" spans="1:2" x14ac:dyDescent="0.25">
      <c r="A449" s="18">
        <f t="shared" si="6"/>
        <v>32234</v>
      </c>
      <c r="B449">
        <v>102</v>
      </c>
    </row>
    <row r="450" spans="1:2" x14ac:dyDescent="0.25">
      <c r="A450" s="18">
        <f t="shared" si="6"/>
        <v>32264</v>
      </c>
      <c r="B450">
        <v>105</v>
      </c>
    </row>
    <row r="451" spans="1:2" x14ac:dyDescent="0.25">
      <c r="A451" s="18">
        <f t="shared" si="6"/>
        <v>32295</v>
      </c>
      <c r="B451">
        <v>102</v>
      </c>
    </row>
    <row r="452" spans="1:2" x14ac:dyDescent="0.25">
      <c r="A452" s="18">
        <f t="shared" ref="A452:A515" si="7">DATE(YEAR(A451),MONTH(A451)+1,1)</f>
        <v>32325</v>
      </c>
      <c r="B452">
        <v>104</v>
      </c>
    </row>
    <row r="453" spans="1:2" x14ac:dyDescent="0.25">
      <c r="A453" s="18">
        <f t="shared" si="7"/>
        <v>32356</v>
      </c>
      <c r="B453">
        <v>104</v>
      </c>
    </row>
    <row r="454" spans="1:2" x14ac:dyDescent="0.25">
      <c r="A454" s="18">
        <f t="shared" si="7"/>
        <v>32387</v>
      </c>
      <c r="B454">
        <v>100</v>
      </c>
    </row>
    <row r="455" spans="1:2" x14ac:dyDescent="0.25">
      <c r="A455" s="18">
        <f t="shared" si="7"/>
        <v>32417</v>
      </c>
      <c r="B455">
        <v>104</v>
      </c>
    </row>
    <row r="456" spans="1:2" x14ac:dyDescent="0.25">
      <c r="A456" s="18">
        <f t="shared" si="7"/>
        <v>32448</v>
      </c>
      <c r="B456">
        <v>102</v>
      </c>
    </row>
    <row r="457" spans="1:2" x14ac:dyDescent="0.25">
      <c r="A457" s="18">
        <f t="shared" si="7"/>
        <v>32478</v>
      </c>
      <c r="B457">
        <v>104</v>
      </c>
    </row>
    <row r="458" spans="1:2" x14ac:dyDescent="0.25">
      <c r="A458" s="18">
        <f t="shared" si="7"/>
        <v>32509</v>
      </c>
      <c r="B458">
        <v>104</v>
      </c>
    </row>
    <row r="459" spans="1:2" x14ac:dyDescent="0.25">
      <c r="A459" s="18">
        <f t="shared" si="7"/>
        <v>32540</v>
      </c>
      <c r="B459">
        <v>103</v>
      </c>
    </row>
    <row r="460" spans="1:2" x14ac:dyDescent="0.25">
      <c r="A460" s="18">
        <f t="shared" si="7"/>
        <v>32568</v>
      </c>
      <c r="B460">
        <v>99</v>
      </c>
    </row>
    <row r="461" spans="1:2" x14ac:dyDescent="0.25">
      <c r="A461" s="18">
        <f t="shared" si="7"/>
        <v>32599</v>
      </c>
      <c r="B461">
        <v>103</v>
      </c>
    </row>
    <row r="462" spans="1:2" x14ac:dyDescent="0.25">
      <c r="A462" s="18">
        <f t="shared" si="7"/>
        <v>32629</v>
      </c>
      <c r="B462">
        <v>98</v>
      </c>
    </row>
    <row r="463" spans="1:2" x14ac:dyDescent="0.25">
      <c r="A463" s="18">
        <f t="shared" si="7"/>
        <v>32660</v>
      </c>
      <c r="B463">
        <v>96</v>
      </c>
    </row>
    <row r="464" spans="1:2" x14ac:dyDescent="0.25">
      <c r="A464" s="18">
        <f t="shared" si="7"/>
        <v>32690</v>
      </c>
      <c r="B464">
        <v>96</v>
      </c>
    </row>
    <row r="465" spans="1:2" x14ac:dyDescent="0.25">
      <c r="A465" s="18">
        <f t="shared" si="7"/>
        <v>32721</v>
      </c>
      <c r="B465">
        <v>95</v>
      </c>
    </row>
    <row r="466" spans="1:2" x14ac:dyDescent="0.25">
      <c r="A466" s="18">
        <f t="shared" si="7"/>
        <v>32752</v>
      </c>
      <c r="B466">
        <v>95</v>
      </c>
    </row>
    <row r="467" spans="1:2" x14ac:dyDescent="0.25">
      <c r="A467" s="18">
        <f t="shared" si="7"/>
        <v>32782</v>
      </c>
      <c r="B467">
        <v>97</v>
      </c>
    </row>
    <row r="468" spans="1:2" x14ac:dyDescent="0.25">
      <c r="A468" s="18">
        <f t="shared" si="7"/>
        <v>32813</v>
      </c>
      <c r="B468">
        <v>94</v>
      </c>
    </row>
    <row r="469" spans="1:2" x14ac:dyDescent="0.25">
      <c r="A469" s="18">
        <f t="shared" si="7"/>
        <v>32843</v>
      </c>
      <c r="B469">
        <v>96</v>
      </c>
    </row>
    <row r="470" spans="1:2" x14ac:dyDescent="0.25">
      <c r="A470" s="18">
        <f t="shared" si="7"/>
        <v>32874</v>
      </c>
      <c r="B470">
        <v>97</v>
      </c>
    </row>
    <row r="471" spans="1:2" x14ac:dyDescent="0.25">
      <c r="A471" s="18">
        <f t="shared" si="7"/>
        <v>32905</v>
      </c>
      <c r="B471">
        <v>92</v>
      </c>
    </row>
    <row r="472" spans="1:2" x14ac:dyDescent="0.25">
      <c r="A472" s="18">
        <f t="shared" si="7"/>
        <v>32933</v>
      </c>
      <c r="B472">
        <v>90</v>
      </c>
    </row>
    <row r="473" spans="1:2" x14ac:dyDescent="0.25">
      <c r="A473" s="18">
        <f t="shared" si="7"/>
        <v>32964</v>
      </c>
      <c r="B473">
        <v>90</v>
      </c>
    </row>
    <row r="474" spans="1:2" x14ac:dyDescent="0.25">
      <c r="A474" s="18">
        <f t="shared" si="7"/>
        <v>32994</v>
      </c>
      <c r="B474">
        <v>86</v>
      </c>
    </row>
    <row r="475" spans="1:2" x14ac:dyDescent="0.25">
      <c r="A475" s="18">
        <f t="shared" si="7"/>
        <v>33025</v>
      </c>
      <c r="B475">
        <v>86</v>
      </c>
    </row>
    <row r="476" spans="1:2" x14ac:dyDescent="0.25">
      <c r="A476" s="18">
        <f t="shared" si="7"/>
        <v>33055</v>
      </c>
      <c r="B476">
        <v>85</v>
      </c>
    </row>
    <row r="477" spans="1:2" x14ac:dyDescent="0.25">
      <c r="A477" s="18">
        <f t="shared" si="7"/>
        <v>33086</v>
      </c>
      <c r="B477">
        <v>82</v>
      </c>
    </row>
    <row r="478" spans="1:2" x14ac:dyDescent="0.25">
      <c r="A478" s="18">
        <f t="shared" si="7"/>
        <v>33117</v>
      </c>
      <c r="B478">
        <v>81</v>
      </c>
    </row>
    <row r="479" spans="1:2" x14ac:dyDescent="0.25">
      <c r="A479" s="18">
        <f t="shared" si="7"/>
        <v>33147</v>
      </c>
      <c r="B479">
        <v>75</v>
      </c>
    </row>
    <row r="480" spans="1:2" x14ac:dyDescent="0.25">
      <c r="A480" s="18">
        <f t="shared" si="7"/>
        <v>33178</v>
      </c>
      <c r="B480">
        <v>71</v>
      </c>
    </row>
    <row r="481" spans="1:2" x14ac:dyDescent="0.25">
      <c r="A481" s="18">
        <f t="shared" si="7"/>
        <v>33208</v>
      </c>
      <c r="B481">
        <v>71</v>
      </c>
    </row>
    <row r="482" spans="1:2" x14ac:dyDescent="0.25">
      <c r="A482" s="18">
        <f t="shared" si="7"/>
        <v>33239</v>
      </c>
      <c r="B482">
        <v>67</v>
      </c>
    </row>
    <row r="483" spans="1:2" x14ac:dyDescent="0.25">
      <c r="A483" s="18">
        <f t="shared" si="7"/>
        <v>33270</v>
      </c>
      <c r="B483">
        <v>64</v>
      </c>
    </row>
    <row r="484" spans="1:2" x14ac:dyDescent="0.25">
      <c r="A484" s="18">
        <f t="shared" si="7"/>
        <v>33298</v>
      </c>
      <c r="B484">
        <v>63</v>
      </c>
    </row>
    <row r="485" spans="1:2" x14ac:dyDescent="0.25">
      <c r="A485" s="18">
        <f t="shared" si="7"/>
        <v>33329</v>
      </c>
      <c r="B485">
        <v>63</v>
      </c>
    </row>
    <row r="486" spans="1:2" x14ac:dyDescent="0.25">
      <c r="A486" s="18">
        <f t="shared" si="7"/>
        <v>33359</v>
      </c>
      <c r="B486">
        <v>61</v>
      </c>
    </row>
    <row r="487" spans="1:2" x14ac:dyDescent="0.25">
      <c r="A487" s="18">
        <f t="shared" si="7"/>
        <v>33390</v>
      </c>
      <c r="B487">
        <v>64</v>
      </c>
    </row>
    <row r="488" spans="1:2" x14ac:dyDescent="0.25">
      <c r="A488" s="18">
        <f t="shared" si="7"/>
        <v>33420</v>
      </c>
      <c r="B488">
        <v>61</v>
      </c>
    </row>
    <row r="489" spans="1:2" x14ac:dyDescent="0.25">
      <c r="A489" s="18">
        <f t="shared" si="7"/>
        <v>33451</v>
      </c>
      <c r="B489">
        <v>60</v>
      </c>
    </row>
    <row r="490" spans="1:2" x14ac:dyDescent="0.25">
      <c r="A490" s="18">
        <f t="shared" si="7"/>
        <v>33482</v>
      </c>
      <c r="B490">
        <v>62</v>
      </c>
    </row>
    <row r="491" spans="1:2" x14ac:dyDescent="0.25">
      <c r="A491" s="18">
        <f t="shared" si="7"/>
        <v>33512</v>
      </c>
      <c r="B491">
        <v>59</v>
      </c>
    </row>
    <row r="492" spans="1:2" x14ac:dyDescent="0.25">
      <c r="A492" s="18">
        <f t="shared" si="7"/>
        <v>33543</v>
      </c>
      <c r="B492">
        <v>60</v>
      </c>
    </row>
    <row r="493" spans="1:2" x14ac:dyDescent="0.25">
      <c r="A493" s="18">
        <f t="shared" si="7"/>
        <v>33573</v>
      </c>
      <c r="B493">
        <v>60</v>
      </c>
    </row>
    <row r="494" spans="1:2" x14ac:dyDescent="0.25">
      <c r="A494" s="18">
        <f t="shared" si="7"/>
        <v>33604</v>
      </c>
      <c r="B494">
        <v>59</v>
      </c>
    </row>
    <row r="495" spans="1:2" x14ac:dyDescent="0.25">
      <c r="A495" s="18">
        <f t="shared" si="7"/>
        <v>33635</v>
      </c>
      <c r="B495">
        <v>61</v>
      </c>
    </row>
    <row r="496" spans="1:2" x14ac:dyDescent="0.25">
      <c r="A496" s="18">
        <f t="shared" si="7"/>
        <v>33664</v>
      </c>
      <c r="B496">
        <v>64</v>
      </c>
    </row>
    <row r="497" spans="1:2" x14ac:dyDescent="0.25">
      <c r="A497" s="18">
        <f t="shared" si="7"/>
        <v>33695</v>
      </c>
      <c r="B497">
        <v>61</v>
      </c>
    </row>
    <row r="498" spans="1:2" x14ac:dyDescent="0.25">
      <c r="A498" s="18">
        <f t="shared" si="7"/>
        <v>33725</v>
      </c>
      <c r="B498">
        <v>63</v>
      </c>
    </row>
    <row r="499" spans="1:2" x14ac:dyDescent="0.25">
      <c r="A499" s="18">
        <f t="shared" si="7"/>
        <v>33756</v>
      </c>
      <c r="B499">
        <v>63</v>
      </c>
    </row>
    <row r="500" spans="1:2" x14ac:dyDescent="0.25">
      <c r="A500" s="18">
        <f t="shared" si="7"/>
        <v>33786</v>
      </c>
      <c r="B500">
        <v>61</v>
      </c>
    </row>
    <row r="501" spans="1:2" x14ac:dyDescent="0.25">
      <c r="A501" s="18">
        <f t="shared" si="7"/>
        <v>33817</v>
      </c>
      <c r="B501">
        <v>63</v>
      </c>
    </row>
    <row r="502" spans="1:2" x14ac:dyDescent="0.25">
      <c r="A502" s="18">
        <f t="shared" si="7"/>
        <v>33848</v>
      </c>
      <c r="B502">
        <v>62</v>
      </c>
    </row>
    <row r="503" spans="1:2" x14ac:dyDescent="0.25">
      <c r="A503" s="18">
        <f t="shared" si="7"/>
        <v>33878</v>
      </c>
      <c r="B503">
        <v>62</v>
      </c>
    </row>
    <row r="504" spans="1:2" x14ac:dyDescent="0.25">
      <c r="A504" s="18">
        <f t="shared" si="7"/>
        <v>33909</v>
      </c>
      <c r="B504">
        <v>66</v>
      </c>
    </row>
    <row r="505" spans="1:2" x14ac:dyDescent="0.25">
      <c r="A505" s="18">
        <f t="shared" si="7"/>
        <v>33939</v>
      </c>
      <c r="B505">
        <v>65</v>
      </c>
    </row>
    <row r="506" spans="1:2" x14ac:dyDescent="0.25">
      <c r="A506" s="18">
        <f t="shared" si="7"/>
        <v>33970</v>
      </c>
      <c r="B506">
        <v>66</v>
      </c>
    </row>
    <row r="507" spans="1:2" x14ac:dyDescent="0.25">
      <c r="A507" s="18">
        <f t="shared" si="7"/>
        <v>34001</v>
      </c>
      <c r="B507">
        <v>67</v>
      </c>
    </row>
    <row r="508" spans="1:2" x14ac:dyDescent="0.25">
      <c r="A508" s="18">
        <f t="shared" si="7"/>
        <v>34029</v>
      </c>
      <c r="B508">
        <v>66</v>
      </c>
    </row>
    <row r="509" spans="1:2" x14ac:dyDescent="0.25">
      <c r="A509" s="18">
        <f t="shared" si="7"/>
        <v>34060</v>
      </c>
      <c r="B509">
        <v>65</v>
      </c>
    </row>
    <row r="510" spans="1:2" x14ac:dyDescent="0.25">
      <c r="A510" s="18">
        <f t="shared" si="7"/>
        <v>34090</v>
      </c>
      <c r="B510">
        <v>68</v>
      </c>
    </row>
    <row r="511" spans="1:2" x14ac:dyDescent="0.25">
      <c r="A511" s="18">
        <f t="shared" si="7"/>
        <v>34121</v>
      </c>
      <c r="B511">
        <v>67</v>
      </c>
    </row>
    <row r="512" spans="1:2" x14ac:dyDescent="0.25">
      <c r="A512" s="18">
        <f t="shared" si="7"/>
        <v>34151</v>
      </c>
      <c r="B512">
        <v>68</v>
      </c>
    </row>
    <row r="513" spans="1:2" x14ac:dyDescent="0.25">
      <c r="A513" s="18">
        <f t="shared" si="7"/>
        <v>34182</v>
      </c>
      <c r="B513">
        <v>71</v>
      </c>
    </row>
    <row r="514" spans="1:2" x14ac:dyDescent="0.25">
      <c r="A514" s="18">
        <f t="shared" si="7"/>
        <v>34213</v>
      </c>
      <c r="B514">
        <v>71</v>
      </c>
    </row>
    <row r="515" spans="1:2" x14ac:dyDescent="0.25">
      <c r="A515" s="18">
        <f t="shared" si="7"/>
        <v>34243</v>
      </c>
      <c r="B515">
        <v>74</v>
      </c>
    </row>
    <row r="516" spans="1:2" x14ac:dyDescent="0.25">
      <c r="A516" s="18">
        <f t="shared" ref="A516:A579" si="8">DATE(YEAR(A515),MONTH(A515)+1,1)</f>
        <v>34274</v>
      </c>
      <c r="B516">
        <v>74</v>
      </c>
    </row>
    <row r="517" spans="1:2" x14ac:dyDescent="0.25">
      <c r="A517" s="18">
        <f t="shared" si="8"/>
        <v>34304</v>
      </c>
      <c r="B517">
        <v>75</v>
      </c>
    </row>
    <row r="518" spans="1:2" x14ac:dyDescent="0.25">
      <c r="A518" s="18">
        <f t="shared" si="8"/>
        <v>34335</v>
      </c>
      <c r="B518">
        <v>76</v>
      </c>
    </row>
    <row r="519" spans="1:2" x14ac:dyDescent="0.25">
      <c r="A519" s="18">
        <f t="shared" si="8"/>
        <v>34366</v>
      </c>
      <c r="B519">
        <v>79</v>
      </c>
    </row>
    <row r="520" spans="1:2" x14ac:dyDescent="0.25">
      <c r="A520" s="18">
        <f t="shared" si="8"/>
        <v>34394</v>
      </c>
      <c r="B520">
        <v>80</v>
      </c>
    </row>
    <row r="521" spans="1:2" x14ac:dyDescent="0.25">
      <c r="A521" s="18">
        <f t="shared" si="8"/>
        <v>34425</v>
      </c>
      <c r="B521">
        <v>80</v>
      </c>
    </row>
    <row r="522" spans="1:2" x14ac:dyDescent="0.25">
      <c r="A522" s="18">
        <f t="shared" si="8"/>
        <v>34455</v>
      </c>
      <c r="B522">
        <v>83</v>
      </c>
    </row>
    <row r="523" spans="1:2" x14ac:dyDescent="0.25">
      <c r="A523" s="18">
        <f t="shared" si="8"/>
        <v>34486</v>
      </c>
      <c r="B523">
        <v>81</v>
      </c>
    </row>
    <row r="524" spans="1:2" x14ac:dyDescent="0.25">
      <c r="A524" s="18">
        <f t="shared" si="8"/>
        <v>34516</v>
      </c>
      <c r="B524">
        <v>85</v>
      </c>
    </row>
    <row r="525" spans="1:2" x14ac:dyDescent="0.25">
      <c r="A525" s="18">
        <f t="shared" si="8"/>
        <v>34547</v>
      </c>
      <c r="B525">
        <v>82</v>
      </c>
    </row>
    <row r="526" spans="1:2" x14ac:dyDescent="0.25">
      <c r="A526" s="18">
        <f t="shared" si="8"/>
        <v>34578</v>
      </c>
      <c r="B526">
        <v>83</v>
      </c>
    </row>
    <row r="527" spans="1:2" x14ac:dyDescent="0.25">
      <c r="A527" s="18">
        <f t="shared" si="8"/>
        <v>34608</v>
      </c>
      <c r="B527">
        <v>88</v>
      </c>
    </row>
    <row r="528" spans="1:2" x14ac:dyDescent="0.25">
      <c r="A528" s="18">
        <f t="shared" si="8"/>
        <v>34639</v>
      </c>
      <c r="B528">
        <v>87</v>
      </c>
    </row>
    <row r="529" spans="1:2" x14ac:dyDescent="0.25">
      <c r="A529" s="18">
        <f t="shared" si="8"/>
        <v>34669</v>
      </c>
      <c r="B529">
        <v>90</v>
      </c>
    </row>
    <row r="530" spans="1:2" x14ac:dyDescent="0.25">
      <c r="A530" s="18">
        <f t="shared" si="8"/>
        <v>34700</v>
      </c>
      <c r="B530">
        <v>87</v>
      </c>
    </row>
    <row r="531" spans="1:2" x14ac:dyDescent="0.25">
      <c r="A531" s="18">
        <f t="shared" si="8"/>
        <v>34731</v>
      </c>
      <c r="B531">
        <v>87.22</v>
      </c>
    </row>
    <row r="532" spans="1:2" x14ac:dyDescent="0.25">
      <c r="A532" s="18">
        <f t="shared" si="8"/>
        <v>34759</v>
      </c>
      <c r="B532">
        <v>85.42</v>
      </c>
    </row>
    <row r="533" spans="1:2" x14ac:dyDescent="0.25">
      <c r="A533" s="18">
        <f t="shared" si="8"/>
        <v>34790</v>
      </c>
      <c r="B533">
        <v>86.64</v>
      </c>
    </row>
    <row r="534" spans="1:2" x14ac:dyDescent="0.25">
      <c r="A534" s="18">
        <f t="shared" si="8"/>
        <v>34820</v>
      </c>
      <c r="B534">
        <v>80.8</v>
      </c>
    </row>
    <row r="535" spans="1:2" x14ac:dyDescent="0.25">
      <c r="A535" s="18">
        <f t="shared" si="8"/>
        <v>34851</v>
      </c>
      <c r="B535">
        <v>82.01</v>
      </c>
    </row>
    <row r="536" spans="1:2" x14ac:dyDescent="0.25">
      <c r="A536" s="18">
        <f t="shared" si="8"/>
        <v>34881</v>
      </c>
      <c r="B536">
        <v>86.28</v>
      </c>
    </row>
    <row r="537" spans="1:2" x14ac:dyDescent="0.25">
      <c r="A537" s="18">
        <f t="shared" si="8"/>
        <v>34912</v>
      </c>
      <c r="B537">
        <v>85.48</v>
      </c>
    </row>
    <row r="538" spans="1:2" x14ac:dyDescent="0.25">
      <c r="A538" s="18">
        <f t="shared" si="8"/>
        <v>34943</v>
      </c>
      <c r="B538">
        <v>85.69</v>
      </c>
    </row>
    <row r="539" spans="1:2" x14ac:dyDescent="0.25">
      <c r="A539" s="18">
        <f t="shared" si="8"/>
        <v>34973</v>
      </c>
      <c r="B539">
        <v>86.93</v>
      </c>
    </row>
    <row r="540" spans="1:2" x14ac:dyDescent="0.25">
      <c r="A540" s="18">
        <f t="shared" si="8"/>
        <v>35004</v>
      </c>
      <c r="B540">
        <v>84.08</v>
      </c>
    </row>
    <row r="541" spans="1:2" x14ac:dyDescent="0.25">
      <c r="A541" s="18">
        <f t="shared" si="8"/>
        <v>35034</v>
      </c>
      <c r="B541">
        <v>91.49</v>
      </c>
    </row>
    <row r="542" spans="1:2" x14ac:dyDescent="0.25">
      <c r="A542" s="18">
        <f t="shared" si="8"/>
        <v>35065</v>
      </c>
      <c r="B542">
        <v>86.57</v>
      </c>
    </row>
    <row r="543" spans="1:2" x14ac:dyDescent="0.25">
      <c r="A543" s="18">
        <f t="shared" si="8"/>
        <v>35096</v>
      </c>
      <c r="B543">
        <v>84.73</v>
      </c>
    </row>
    <row r="544" spans="1:2" x14ac:dyDescent="0.25">
      <c r="A544" s="18">
        <f t="shared" si="8"/>
        <v>35125</v>
      </c>
      <c r="B544">
        <v>87.02</v>
      </c>
    </row>
    <row r="545" spans="1:2" x14ac:dyDescent="0.25">
      <c r="A545" s="18">
        <f t="shared" si="8"/>
        <v>35156</v>
      </c>
      <c r="B545">
        <v>85.17</v>
      </c>
    </row>
    <row r="546" spans="1:2" x14ac:dyDescent="0.25">
      <c r="A546" s="18">
        <f t="shared" si="8"/>
        <v>35186</v>
      </c>
      <c r="B546">
        <v>82.27</v>
      </c>
    </row>
    <row r="547" spans="1:2" x14ac:dyDescent="0.25">
      <c r="A547" s="18">
        <f t="shared" si="8"/>
        <v>35217</v>
      </c>
      <c r="B547">
        <v>89.8</v>
      </c>
    </row>
    <row r="548" spans="1:2" x14ac:dyDescent="0.25">
      <c r="A548" s="18">
        <f t="shared" si="8"/>
        <v>35247</v>
      </c>
      <c r="B548">
        <v>84.81</v>
      </c>
    </row>
    <row r="549" spans="1:2" x14ac:dyDescent="0.25">
      <c r="A549" s="18">
        <f t="shared" si="8"/>
        <v>35278</v>
      </c>
      <c r="B549">
        <v>85.04</v>
      </c>
    </row>
    <row r="550" spans="1:2" x14ac:dyDescent="0.25">
      <c r="A550" s="18">
        <f t="shared" si="8"/>
        <v>35309</v>
      </c>
      <c r="B550">
        <v>89.48</v>
      </c>
    </row>
    <row r="551" spans="1:2" x14ac:dyDescent="0.25">
      <c r="A551" s="18">
        <f t="shared" si="8"/>
        <v>35339</v>
      </c>
      <c r="B551">
        <v>85.51</v>
      </c>
    </row>
    <row r="552" spans="1:2" x14ac:dyDescent="0.25">
      <c r="A552" s="18">
        <f t="shared" si="8"/>
        <v>35370</v>
      </c>
      <c r="B552">
        <v>92.1</v>
      </c>
    </row>
    <row r="553" spans="1:2" x14ac:dyDescent="0.25">
      <c r="A553" s="18">
        <f t="shared" si="8"/>
        <v>35400</v>
      </c>
      <c r="B553">
        <v>91.29</v>
      </c>
    </row>
    <row r="554" spans="1:2" x14ac:dyDescent="0.25">
      <c r="A554" s="18">
        <f t="shared" si="8"/>
        <v>35431</v>
      </c>
      <c r="B554">
        <v>90.49</v>
      </c>
    </row>
    <row r="555" spans="1:2" x14ac:dyDescent="0.25">
      <c r="A555" s="18">
        <f t="shared" si="8"/>
        <v>35462</v>
      </c>
      <c r="B555">
        <v>93.95</v>
      </c>
    </row>
    <row r="556" spans="1:2" x14ac:dyDescent="0.25">
      <c r="A556" s="18">
        <f t="shared" si="8"/>
        <v>35490</v>
      </c>
      <c r="B556">
        <v>93.16</v>
      </c>
    </row>
    <row r="557" spans="1:2" x14ac:dyDescent="0.25">
      <c r="A557" s="18">
        <f t="shared" si="8"/>
        <v>35521</v>
      </c>
      <c r="B557">
        <v>92.36</v>
      </c>
    </row>
    <row r="558" spans="1:2" x14ac:dyDescent="0.25">
      <c r="A558" s="18">
        <f t="shared" si="8"/>
        <v>35551</v>
      </c>
      <c r="B558">
        <v>87.25</v>
      </c>
    </row>
    <row r="559" spans="1:2" x14ac:dyDescent="0.25">
      <c r="A559" s="18">
        <f t="shared" si="8"/>
        <v>35582</v>
      </c>
      <c r="B559">
        <v>95.08</v>
      </c>
    </row>
    <row r="560" spans="1:2" x14ac:dyDescent="0.25">
      <c r="A560" s="18">
        <f t="shared" si="8"/>
        <v>35612</v>
      </c>
      <c r="B560">
        <v>92.12</v>
      </c>
    </row>
    <row r="561" spans="1:2" x14ac:dyDescent="0.25">
      <c r="A561" s="18">
        <f t="shared" si="8"/>
        <v>35643</v>
      </c>
      <c r="B561">
        <v>93.49</v>
      </c>
    </row>
    <row r="562" spans="1:2" x14ac:dyDescent="0.25">
      <c r="A562" s="18">
        <f t="shared" si="8"/>
        <v>35674</v>
      </c>
      <c r="B562">
        <v>98.15</v>
      </c>
    </row>
    <row r="563" spans="1:2" x14ac:dyDescent="0.25">
      <c r="A563" s="18">
        <f t="shared" si="8"/>
        <v>35704</v>
      </c>
      <c r="B563">
        <v>96.27</v>
      </c>
    </row>
    <row r="564" spans="1:2" x14ac:dyDescent="0.25">
      <c r="A564" s="18">
        <f t="shared" si="8"/>
        <v>35735</v>
      </c>
      <c r="B564">
        <v>102.07</v>
      </c>
    </row>
    <row r="565" spans="1:2" x14ac:dyDescent="0.25">
      <c r="A565" s="18">
        <f t="shared" si="8"/>
        <v>35765</v>
      </c>
      <c r="B565">
        <v>95.8</v>
      </c>
    </row>
    <row r="566" spans="1:2" x14ac:dyDescent="0.25">
      <c r="A566" s="18">
        <f t="shared" si="8"/>
        <v>35796</v>
      </c>
      <c r="B566">
        <v>99.44</v>
      </c>
    </row>
    <row r="567" spans="1:2" x14ac:dyDescent="0.25">
      <c r="A567" s="18">
        <f t="shared" si="8"/>
        <v>35827</v>
      </c>
      <c r="B567">
        <v>101.99</v>
      </c>
    </row>
    <row r="568" spans="1:2" x14ac:dyDescent="0.25">
      <c r="A568" s="18">
        <f t="shared" si="8"/>
        <v>35855</v>
      </c>
      <c r="B568">
        <v>101.23</v>
      </c>
    </row>
    <row r="569" spans="1:2" x14ac:dyDescent="0.25">
      <c r="A569" s="18">
        <f t="shared" si="8"/>
        <v>35886</v>
      </c>
      <c r="B569">
        <v>101.58</v>
      </c>
    </row>
    <row r="570" spans="1:2" x14ac:dyDescent="0.25">
      <c r="A570" s="18">
        <f t="shared" si="8"/>
        <v>35916</v>
      </c>
      <c r="B570">
        <v>101.94</v>
      </c>
    </row>
    <row r="571" spans="1:2" x14ac:dyDescent="0.25">
      <c r="A571" s="18">
        <f t="shared" si="8"/>
        <v>35947</v>
      </c>
      <c r="B571">
        <v>100.06</v>
      </c>
    </row>
    <row r="572" spans="1:2" x14ac:dyDescent="0.25">
      <c r="A572" s="18">
        <f t="shared" si="8"/>
        <v>35977</v>
      </c>
      <c r="B572">
        <v>100.43</v>
      </c>
    </row>
    <row r="573" spans="1:2" x14ac:dyDescent="0.25">
      <c r="A573" s="18">
        <f t="shared" si="8"/>
        <v>36008</v>
      </c>
      <c r="B573">
        <v>101.94</v>
      </c>
    </row>
    <row r="574" spans="1:2" x14ac:dyDescent="0.25">
      <c r="A574" s="18">
        <f t="shared" si="8"/>
        <v>36039</v>
      </c>
      <c r="B574">
        <v>97.77</v>
      </c>
    </row>
    <row r="575" spans="1:2" x14ac:dyDescent="0.25">
      <c r="A575" s="18">
        <f t="shared" si="8"/>
        <v>36069</v>
      </c>
      <c r="B575">
        <v>97.01</v>
      </c>
    </row>
    <row r="576" spans="1:2" x14ac:dyDescent="0.25">
      <c r="A576" s="18">
        <f t="shared" si="8"/>
        <v>36100</v>
      </c>
      <c r="B576">
        <v>101.97</v>
      </c>
    </row>
    <row r="577" spans="1:2" x14ac:dyDescent="0.25">
      <c r="A577" s="18">
        <f t="shared" si="8"/>
        <v>36130</v>
      </c>
      <c r="B577">
        <v>100.08</v>
      </c>
    </row>
    <row r="578" spans="1:2" x14ac:dyDescent="0.25">
      <c r="A578" s="18">
        <f t="shared" si="8"/>
        <v>36161</v>
      </c>
      <c r="B578">
        <v>106.26</v>
      </c>
    </row>
    <row r="579" spans="1:2" x14ac:dyDescent="0.25">
      <c r="A579" s="18">
        <f t="shared" si="8"/>
        <v>36192</v>
      </c>
      <c r="B579">
        <v>107.85</v>
      </c>
    </row>
    <row r="580" spans="1:2" x14ac:dyDescent="0.25">
      <c r="A580" s="18">
        <f t="shared" ref="A580:A643" si="9">DATE(YEAR(A579),MONTH(A579)+1,1)</f>
        <v>36220</v>
      </c>
      <c r="B580">
        <v>103.65</v>
      </c>
    </row>
    <row r="581" spans="1:2" x14ac:dyDescent="0.25">
      <c r="A581" s="18">
        <f t="shared" si="9"/>
        <v>36251</v>
      </c>
      <c r="B581">
        <v>102.92</v>
      </c>
    </row>
    <row r="582" spans="1:2" x14ac:dyDescent="0.25">
      <c r="A582" s="18">
        <f t="shared" si="9"/>
        <v>36281</v>
      </c>
      <c r="B582">
        <v>104.54</v>
      </c>
    </row>
    <row r="583" spans="1:2" x14ac:dyDescent="0.25">
      <c r="A583" s="18">
        <f t="shared" si="9"/>
        <v>36312</v>
      </c>
      <c r="B583">
        <v>100.28</v>
      </c>
    </row>
    <row r="584" spans="1:2" x14ac:dyDescent="0.25">
      <c r="A584" s="18">
        <f t="shared" si="9"/>
        <v>36342</v>
      </c>
      <c r="B584">
        <v>101.91</v>
      </c>
    </row>
    <row r="585" spans="1:2" x14ac:dyDescent="0.25">
      <c r="A585" s="18">
        <f t="shared" si="9"/>
        <v>36373</v>
      </c>
      <c r="B585">
        <v>102.38</v>
      </c>
    </row>
    <row r="586" spans="1:2" x14ac:dyDescent="0.25">
      <c r="A586" s="18">
        <f t="shared" si="9"/>
        <v>36404</v>
      </c>
      <c r="B586">
        <v>99.26</v>
      </c>
    </row>
    <row r="587" spans="1:2" x14ac:dyDescent="0.25">
      <c r="A587" s="18">
        <f t="shared" si="9"/>
        <v>36434</v>
      </c>
      <c r="B587">
        <v>103.34</v>
      </c>
    </row>
    <row r="588" spans="1:2" x14ac:dyDescent="0.25">
      <c r="A588" s="18">
        <f t="shared" si="9"/>
        <v>36465</v>
      </c>
      <c r="B588">
        <v>102.63</v>
      </c>
    </row>
    <row r="589" spans="1:2" x14ac:dyDescent="0.25">
      <c r="A589" s="18">
        <f t="shared" si="9"/>
        <v>36495</v>
      </c>
      <c r="B589">
        <v>104.34</v>
      </c>
    </row>
    <row r="590" spans="1:2" x14ac:dyDescent="0.25">
      <c r="A590" s="18">
        <f t="shared" si="9"/>
        <v>36526</v>
      </c>
      <c r="B590">
        <v>109.74</v>
      </c>
    </row>
    <row r="591" spans="1:2" x14ac:dyDescent="0.25">
      <c r="A591" s="18">
        <f t="shared" si="9"/>
        <v>36557</v>
      </c>
      <c r="B591">
        <v>111.52</v>
      </c>
    </row>
    <row r="592" spans="1:2" x14ac:dyDescent="0.25">
      <c r="A592" s="18">
        <f t="shared" si="9"/>
        <v>36586</v>
      </c>
      <c r="B592">
        <v>109.63</v>
      </c>
    </row>
    <row r="593" spans="1:2" x14ac:dyDescent="0.25">
      <c r="A593" s="18">
        <f t="shared" si="9"/>
        <v>36617</v>
      </c>
      <c r="B593">
        <v>110.21</v>
      </c>
    </row>
    <row r="594" spans="1:2" x14ac:dyDescent="0.25">
      <c r="A594" s="18">
        <f t="shared" si="9"/>
        <v>36647</v>
      </c>
      <c r="B594">
        <v>103.33</v>
      </c>
    </row>
    <row r="595" spans="1:2" x14ac:dyDescent="0.25">
      <c r="A595" s="18">
        <f t="shared" si="9"/>
        <v>36678</v>
      </c>
      <c r="B595">
        <v>101.39</v>
      </c>
    </row>
    <row r="596" spans="1:2" x14ac:dyDescent="0.25">
      <c r="A596" s="18">
        <f t="shared" si="9"/>
        <v>36708</v>
      </c>
      <c r="B596">
        <v>103.21</v>
      </c>
    </row>
    <row r="597" spans="1:2" x14ac:dyDescent="0.25">
      <c r="A597" s="18">
        <f t="shared" si="9"/>
        <v>36739</v>
      </c>
      <c r="B597">
        <v>97.46</v>
      </c>
    </row>
    <row r="598" spans="1:2" x14ac:dyDescent="0.25">
      <c r="A598" s="18">
        <f t="shared" si="9"/>
        <v>36770</v>
      </c>
      <c r="B598">
        <v>100.56</v>
      </c>
    </row>
    <row r="599" spans="1:2" x14ac:dyDescent="0.25">
      <c r="A599" s="18">
        <f t="shared" si="9"/>
        <v>36800</v>
      </c>
      <c r="B599">
        <v>99.87</v>
      </c>
    </row>
    <row r="600" spans="1:2" x14ac:dyDescent="0.25">
      <c r="A600" s="18">
        <f t="shared" si="9"/>
        <v>36831</v>
      </c>
      <c r="B600">
        <v>96.6</v>
      </c>
    </row>
    <row r="601" spans="1:2" x14ac:dyDescent="0.25">
      <c r="A601" s="18">
        <f t="shared" si="9"/>
        <v>36861</v>
      </c>
      <c r="B601">
        <v>101.07</v>
      </c>
    </row>
    <row r="602" spans="1:2" x14ac:dyDescent="0.25">
      <c r="A602" s="18">
        <f t="shared" si="9"/>
        <v>36892</v>
      </c>
      <c r="B602">
        <v>100.39</v>
      </c>
    </row>
    <row r="603" spans="1:2" x14ac:dyDescent="0.25">
      <c r="A603" s="18">
        <f t="shared" si="9"/>
        <v>36923</v>
      </c>
      <c r="B603">
        <v>94.46</v>
      </c>
    </row>
    <row r="604" spans="1:2" x14ac:dyDescent="0.25">
      <c r="A604" s="18">
        <f t="shared" si="9"/>
        <v>36951</v>
      </c>
      <c r="B604">
        <v>88.46</v>
      </c>
    </row>
    <row r="605" spans="1:2" x14ac:dyDescent="0.25">
      <c r="A605" s="18">
        <f t="shared" si="9"/>
        <v>36982</v>
      </c>
      <c r="B605">
        <v>86.37</v>
      </c>
    </row>
    <row r="606" spans="1:2" x14ac:dyDescent="0.25">
      <c r="A606" s="18">
        <f t="shared" si="9"/>
        <v>37012</v>
      </c>
      <c r="B606">
        <v>80.25</v>
      </c>
    </row>
    <row r="607" spans="1:2" x14ac:dyDescent="0.25">
      <c r="A607" s="18">
        <f t="shared" si="9"/>
        <v>37043</v>
      </c>
      <c r="B607">
        <v>76.75</v>
      </c>
    </row>
    <row r="608" spans="1:2" x14ac:dyDescent="0.25">
      <c r="A608" s="18">
        <f t="shared" si="9"/>
        <v>37073</v>
      </c>
      <c r="B608">
        <v>78.63</v>
      </c>
    </row>
    <row r="609" spans="1:2" x14ac:dyDescent="0.25">
      <c r="A609" s="18">
        <f t="shared" si="9"/>
        <v>37104</v>
      </c>
      <c r="B609">
        <v>72.349999999999994</v>
      </c>
    </row>
    <row r="610" spans="1:2" x14ac:dyDescent="0.25">
      <c r="A610" s="18">
        <f t="shared" si="9"/>
        <v>37135</v>
      </c>
      <c r="B610">
        <v>72.86</v>
      </c>
    </row>
    <row r="611" spans="1:2" x14ac:dyDescent="0.25">
      <c r="A611" s="18">
        <f t="shared" si="9"/>
        <v>37165</v>
      </c>
      <c r="B611">
        <v>63.69</v>
      </c>
    </row>
    <row r="612" spans="1:2" x14ac:dyDescent="0.25">
      <c r="A612" s="18">
        <f t="shared" si="9"/>
        <v>37196</v>
      </c>
      <c r="B612">
        <v>62.76</v>
      </c>
    </row>
    <row r="613" spans="1:2" x14ac:dyDescent="0.25">
      <c r="A613" s="18">
        <f t="shared" si="9"/>
        <v>37226</v>
      </c>
      <c r="B613">
        <v>66.040000000000006</v>
      </c>
    </row>
    <row r="614" spans="1:2" x14ac:dyDescent="0.25">
      <c r="A614" s="18">
        <f t="shared" si="9"/>
        <v>37257</v>
      </c>
      <c r="B614">
        <v>66.540000000000006</v>
      </c>
    </row>
    <row r="615" spans="1:2" x14ac:dyDescent="0.25">
      <c r="A615" s="18">
        <f t="shared" si="9"/>
        <v>37288</v>
      </c>
      <c r="B615">
        <v>67.05</v>
      </c>
    </row>
    <row r="616" spans="1:2" x14ac:dyDescent="0.25">
      <c r="A616" s="18">
        <f t="shared" si="9"/>
        <v>37316</v>
      </c>
      <c r="B616">
        <v>66.13</v>
      </c>
    </row>
    <row r="617" spans="1:2" x14ac:dyDescent="0.25">
      <c r="A617" s="18">
        <f t="shared" si="9"/>
        <v>37347</v>
      </c>
      <c r="B617">
        <v>68.11</v>
      </c>
    </row>
    <row r="618" spans="1:2" x14ac:dyDescent="0.25">
      <c r="A618" s="18">
        <f t="shared" si="9"/>
        <v>37377</v>
      </c>
      <c r="B618">
        <v>64.27</v>
      </c>
    </row>
    <row r="619" spans="1:2" x14ac:dyDescent="0.25">
      <c r="A619" s="18">
        <f t="shared" si="9"/>
        <v>37408</v>
      </c>
      <c r="B619">
        <v>69.22</v>
      </c>
    </row>
    <row r="620" spans="1:2" x14ac:dyDescent="0.25">
      <c r="A620" s="18">
        <f t="shared" si="9"/>
        <v>37438</v>
      </c>
      <c r="B620">
        <v>65.34</v>
      </c>
    </row>
    <row r="621" spans="1:2" x14ac:dyDescent="0.25">
      <c r="A621" s="18">
        <f t="shared" si="9"/>
        <v>37469</v>
      </c>
      <c r="B621">
        <v>61.4</v>
      </c>
    </row>
    <row r="622" spans="1:2" x14ac:dyDescent="0.25">
      <c r="A622" s="18">
        <f t="shared" si="9"/>
        <v>37500</v>
      </c>
      <c r="B622">
        <v>64.95</v>
      </c>
    </row>
    <row r="623" spans="1:2" x14ac:dyDescent="0.25">
      <c r="A623" s="18">
        <f t="shared" si="9"/>
        <v>37530</v>
      </c>
      <c r="B623">
        <v>60.95</v>
      </c>
    </row>
    <row r="624" spans="1:2" x14ac:dyDescent="0.25">
      <c r="A624" s="18">
        <f t="shared" si="9"/>
        <v>37561</v>
      </c>
      <c r="B624">
        <v>61.49</v>
      </c>
    </row>
    <row r="625" spans="1:2" x14ac:dyDescent="0.25">
      <c r="A625" s="18">
        <f t="shared" si="9"/>
        <v>37591</v>
      </c>
      <c r="B625">
        <v>60.49</v>
      </c>
    </row>
    <row r="626" spans="1:2" x14ac:dyDescent="0.25">
      <c r="A626" s="18">
        <f t="shared" si="9"/>
        <v>37622</v>
      </c>
      <c r="B626">
        <v>64.17</v>
      </c>
    </row>
    <row r="627" spans="1:2" x14ac:dyDescent="0.25">
      <c r="A627" s="18">
        <f t="shared" si="9"/>
        <v>37653</v>
      </c>
      <c r="B627">
        <v>64.77</v>
      </c>
    </row>
    <row r="628" spans="1:2" x14ac:dyDescent="0.25">
      <c r="A628" s="18">
        <f t="shared" si="9"/>
        <v>37681</v>
      </c>
      <c r="B628">
        <v>62.19</v>
      </c>
    </row>
    <row r="629" spans="1:2" x14ac:dyDescent="0.25">
      <c r="A629" s="18">
        <f t="shared" si="9"/>
        <v>37712</v>
      </c>
      <c r="B629">
        <v>59.57</v>
      </c>
    </row>
    <row r="630" spans="1:2" x14ac:dyDescent="0.25">
      <c r="A630" s="18">
        <f t="shared" si="9"/>
        <v>37742</v>
      </c>
      <c r="B630">
        <v>58.52</v>
      </c>
    </row>
    <row r="631" spans="1:2" x14ac:dyDescent="0.25">
      <c r="A631" s="18">
        <f t="shared" si="9"/>
        <v>37773</v>
      </c>
      <c r="B631">
        <v>62.38</v>
      </c>
    </row>
    <row r="632" spans="1:2" x14ac:dyDescent="0.25">
      <c r="A632" s="18">
        <f t="shared" si="9"/>
        <v>37803</v>
      </c>
      <c r="B632">
        <v>63.01</v>
      </c>
    </row>
    <row r="633" spans="1:2" x14ac:dyDescent="0.25">
      <c r="A633" s="18">
        <f t="shared" si="9"/>
        <v>37834</v>
      </c>
      <c r="B633">
        <v>61.97</v>
      </c>
    </row>
    <row r="634" spans="1:2" x14ac:dyDescent="0.25">
      <c r="A634" s="18">
        <f t="shared" si="9"/>
        <v>37865</v>
      </c>
      <c r="B634">
        <v>62.61</v>
      </c>
    </row>
    <row r="635" spans="1:2" x14ac:dyDescent="0.25">
      <c r="A635" s="18">
        <f t="shared" si="9"/>
        <v>37895</v>
      </c>
      <c r="B635">
        <v>61.56</v>
      </c>
    </row>
    <row r="636" spans="1:2" x14ac:dyDescent="0.25">
      <c r="A636" s="18">
        <f t="shared" si="9"/>
        <v>37926</v>
      </c>
      <c r="B636">
        <v>67.39</v>
      </c>
    </row>
    <row r="637" spans="1:2" x14ac:dyDescent="0.25">
      <c r="A637" s="18">
        <f t="shared" si="9"/>
        <v>37956</v>
      </c>
      <c r="B637">
        <v>66.37</v>
      </c>
    </row>
    <row r="638" spans="1:2" x14ac:dyDescent="0.25">
      <c r="A638" s="18">
        <f t="shared" si="9"/>
        <v>37987</v>
      </c>
      <c r="B638">
        <v>67.09</v>
      </c>
    </row>
    <row r="639" spans="1:2" x14ac:dyDescent="0.25">
      <c r="A639" s="18">
        <f t="shared" si="9"/>
        <v>38018</v>
      </c>
      <c r="B639">
        <v>71.41</v>
      </c>
    </row>
    <row r="640" spans="1:2" x14ac:dyDescent="0.25">
      <c r="A640" s="18">
        <f t="shared" si="9"/>
        <v>38047</v>
      </c>
      <c r="B640">
        <v>70.400000000000006</v>
      </c>
    </row>
    <row r="641" spans="1:2" x14ac:dyDescent="0.25">
      <c r="A641" s="18">
        <f t="shared" si="9"/>
        <v>38078</v>
      </c>
      <c r="B641">
        <v>69.38</v>
      </c>
    </row>
    <row r="642" spans="1:2" x14ac:dyDescent="0.25">
      <c r="A642" s="18">
        <f t="shared" si="9"/>
        <v>38108</v>
      </c>
      <c r="B642">
        <v>72.02</v>
      </c>
    </row>
    <row r="643" spans="1:2" x14ac:dyDescent="0.25">
      <c r="A643" s="18">
        <f t="shared" si="9"/>
        <v>38139</v>
      </c>
      <c r="B643">
        <v>70.989999999999995</v>
      </c>
    </row>
    <row r="644" spans="1:2" x14ac:dyDescent="0.25">
      <c r="A644" s="18">
        <f t="shared" ref="A644:A707" si="10">DATE(YEAR(A643),MONTH(A643)+1,1)</f>
        <v>38169</v>
      </c>
      <c r="B644">
        <v>69.94</v>
      </c>
    </row>
    <row r="645" spans="1:2" x14ac:dyDescent="0.25">
      <c r="A645" s="18">
        <f t="shared" si="10"/>
        <v>38200</v>
      </c>
      <c r="B645">
        <v>70.78</v>
      </c>
    </row>
    <row r="646" spans="1:2" x14ac:dyDescent="0.25">
      <c r="A646" s="18">
        <f t="shared" si="10"/>
        <v>38231</v>
      </c>
      <c r="B646">
        <v>69.7</v>
      </c>
    </row>
    <row r="647" spans="1:2" x14ac:dyDescent="0.25">
      <c r="A647" s="18">
        <f t="shared" si="10"/>
        <v>38261</v>
      </c>
      <c r="B647">
        <v>72.52</v>
      </c>
    </row>
    <row r="648" spans="1:2" x14ac:dyDescent="0.25">
      <c r="A648" s="18">
        <f t="shared" si="10"/>
        <v>38292</v>
      </c>
      <c r="B648">
        <v>71.44</v>
      </c>
    </row>
    <row r="649" spans="1:2" x14ac:dyDescent="0.25">
      <c r="A649" s="18">
        <f t="shared" si="10"/>
        <v>38322</v>
      </c>
      <c r="B649">
        <v>76.349999999999994</v>
      </c>
    </row>
    <row r="650" spans="1:2" x14ac:dyDescent="0.25">
      <c r="A650" s="18">
        <f t="shared" si="10"/>
        <v>38353</v>
      </c>
      <c r="B650">
        <v>85.47</v>
      </c>
    </row>
    <row r="651" spans="1:2" x14ac:dyDescent="0.25">
      <c r="A651" s="18">
        <f t="shared" si="10"/>
        <v>38384</v>
      </c>
      <c r="B651">
        <v>84.51</v>
      </c>
    </row>
    <row r="652" spans="1:2" x14ac:dyDescent="0.25">
      <c r="A652" s="18">
        <f t="shared" si="10"/>
        <v>38412</v>
      </c>
      <c r="B652">
        <v>81.430000000000007</v>
      </c>
    </row>
    <row r="653" spans="1:2" x14ac:dyDescent="0.25">
      <c r="A653" s="18">
        <f t="shared" si="10"/>
        <v>38443</v>
      </c>
      <c r="B653">
        <v>82.51</v>
      </c>
    </row>
    <row r="654" spans="1:2" x14ac:dyDescent="0.25">
      <c r="A654" s="18">
        <f t="shared" si="10"/>
        <v>38473</v>
      </c>
      <c r="B654">
        <v>81.47</v>
      </c>
    </row>
    <row r="655" spans="1:2" x14ac:dyDescent="0.25">
      <c r="A655" s="18">
        <f t="shared" si="10"/>
        <v>38504</v>
      </c>
      <c r="B655">
        <v>89.7</v>
      </c>
    </row>
    <row r="656" spans="1:2" x14ac:dyDescent="0.25">
      <c r="A656" s="18">
        <f t="shared" si="10"/>
        <v>38534</v>
      </c>
      <c r="B656">
        <v>89.9</v>
      </c>
    </row>
    <row r="657" spans="1:2" x14ac:dyDescent="0.25">
      <c r="A657" s="18">
        <f t="shared" si="10"/>
        <v>38565</v>
      </c>
      <c r="B657">
        <v>88.78</v>
      </c>
    </row>
    <row r="658" spans="1:2" x14ac:dyDescent="0.25">
      <c r="A658" s="18">
        <f t="shared" si="10"/>
        <v>38596</v>
      </c>
      <c r="B658">
        <v>90.91</v>
      </c>
    </row>
    <row r="659" spans="1:2" x14ac:dyDescent="0.25">
      <c r="A659" s="18">
        <f t="shared" si="10"/>
        <v>38626</v>
      </c>
      <c r="B659">
        <v>89.95</v>
      </c>
    </row>
    <row r="660" spans="1:2" x14ac:dyDescent="0.25">
      <c r="A660" s="18">
        <f t="shared" si="10"/>
        <v>38657</v>
      </c>
      <c r="B660">
        <v>94.28</v>
      </c>
    </row>
    <row r="661" spans="1:2" x14ac:dyDescent="0.25">
      <c r="A661" s="18">
        <f t="shared" si="10"/>
        <v>38687</v>
      </c>
      <c r="B661">
        <v>95.62</v>
      </c>
    </row>
    <row r="662" spans="1:2" x14ac:dyDescent="0.25">
      <c r="A662" s="18">
        <f t="shared" si="10"/>
        <v>38718</v>
      </c>
      <c r="B662">
        <v>96.39</v>
      </c>
    </row>
    <row r="663" spans="1:2" x14ac:dyDescent="0.25">
      <c r="A663" s="18">
        <f t="shared" si="10"/>
        <v>38749</v>
      </c>
      <c r="B663">
        <v>97.08</v>
      </c>
    </row>
    <row r="664" spans="1:2" x14ac:dyDescent="0.25">
      <c r="A664" s="18">
        <f t="shared" si="10"/>
        <v>38777</v>
      </c>
      <c r="B664">
        <v>95.39</v>
      </c>
    </row>
    <row r="665" spans="1:2" x14ac:dyDescent="0.25">
      <c r="A665" s="18">
        <f t="shared" si="10"/>
        <v>38808</v>
      </c>
      <c r="B665">
        <v>93.88</v>
      </c>
    </row>
    <row r="666" spans="1:2" x14ac:dyDescent="0.25">
      <c r="A666" s="18">
        <f t="shared" si="10"/>
        <v>38838</v>
      </c>
      <c r="B666">
        <v>92.91</v>
      </c>
    </row>
    <row r="667" spans="1:2" x14ac:dyDescent="0.25">
      <c r="A667" s="18">
        <f t="shared" si="10"/>
        <v>38869</v>
      </c>
      <c r="B667">
        <v>92.16</v>
      </c>
    </row>
    <row r="668" spans="1:2" x14ac:dyDescent="0.25">
      <c r="A668" s="18">
        <f t="shared" si="10"/>
        <v>38899</v>
      </c>
      <c r="B668">
        <v>90.91</v>
      </c>
    </row>
    <row r="669" spans="1:2" x14ac:dyDescent="0.25">
      <c r="A669" s="18">
        <f t="shared" si="10"/>
        <v>38930</v>
      </c>
      <c r="B669">
        <v>88.3</v>
      </c>
    </row>
    <row r="670" spans="1:2" x14ac:dyDescent="0.25">
      <c r="A670" s="18">
        <f t="shared" si="10"/>
        <v>38961</v>
      </c>
      <c r="B670">
        <v>88</v>
      </c>
    </row>
    <row r="671" spans="1:2" x14ac:dyDescent="0.25">
      <c r="A671" s="18">
        <f t="shared" si="10"/>
        <v>38991</v>
      </c>
      <c r="B671">
        <v>88.18</v>
      </c>
    </row>
    <row r="672" spans="1:2" x14ac:dyDescent="0.25">
      <c r="A672" s="18">
        <f t="shared" si="10"/>
        <v>39022</v>
      </c>
      <c r="B672">
        <v>89.79</v>
      </c>
    </row>
    <row r="673" spans="1:2" x14ac:dyDescent="0.25">
      <c r="A673" s="18">
        <f t="shared" si="10"/>
        <v>39052</v>
      </c>
      <c r="B673">
        <v>96.95</v>
      </c>
    </row>
    <row r="674" spans="1:2" x14ac:dyDescent="0.25">
      <c r="A674" s="18">
        <f t="shared" si="10"/>
        <v>39083</v>
      </c>
      <c r="B674">
        <v>96.65</v>
      </c>
    </row>
    <row r="675" spans="1:2" x14ac:dyDescent="0.25">
      <c r="A675" s="18">
        <f t="shared" si="10"/>
        <v>39114</v>
      </c>
      <c r="B675">
        <v>96.34</v>
      </c>
    </row>
    <row r="676" spans="1:2" x14ac:dyDescent="0.25">
      <c r="A676" s="18">
        <f t="shared" si="10"/>
        <v>39142</v>
      </c>
      <c r="B676">
        <v>97.51</v>
      </c>
    </row>
    <row r="677" spans="1:2" x14ac:dyDescent="0.25">
      <c r="A677" s="18">
        <f t="shared" si="10"/>
        <v>39173</v>
      </c>
      <c r="B677">
        <v>98.58</v>
      </c>
    </row>
    <row r="678" spans="1:2" x14ac:dyDescent="0.25">
      <c r="A678" s="18">
        <f t="shared" si="10"/>
        <v>39203</v>
      </c>
      <c r="B678">
        <v>95.35</v>
      </c>
    </row>
    <row r="679" spans="1:2" x14ac:dyDescent="0.25">
      <c r="A679" s="18">
        <f t="shared" si="10"/>
        <v>39234</v>
      </c>
      <c r="B679">
        <v>93.25</v>
      </c>
    </row>
    <row r="680" spans="1:2" x14ac:dyDescent="0.25">
      <c r="A680" s="18">
        <f t="shared" si="10"/>
        <v>39264</v>
      </c>
      <c r="B680">
        <v>90.43</v>
      </c>
    </row>
    <row r="681" spans="1:2" x14ac:dyDescent="0.25">
      <c r="A681" s="18">
        <f t="shared" si="10"/>
        <v>39295</v>
      </c>
      <c r="B681">
        <v>84.14</v>
      </c>
    </row>
    <row r="682" spans="1:2" x14ac:dyDescent="0.25">
      <c r="A682" s="18">
        <f t="shared" si="10"/>
        <v>39326</v>
      </c>
      <c r="B682">
        <v>87.78</v>
      </c>
    </row>
    <row r="683" spans="1:2" x14ac:dyDescent="0.25">
      <c r="A683" s="18">
        <f t="shared" si="10"/>
        <v>39356</v>
      </c>
      <c r="B683">
        <v>85.38</v>
      </c>
    </row>
    <row r="684" spans="1:2" x14ac:dyDescent="0.25">
      <c r="A684" s="18">
        <f t="shared" si="10"/>
        <v>39387</v>
      </c>
      <c r="B684">
        <v>86.08</v>
      </c>
    </row>
    <row r="685" spans="1:2" x14ac:dyDescent="0.25">
      <c r="A685" s="18">
        <f t="shared" si="10"/>
        <v>39417</v>
      </c>
      <c r="B685">
        <v>84.29</v>
      </c>
    </row>
    <row r="686" spans="1:2" x14ac:dyDescent="0.25">
      <c r="A686" s="18">
        <f t="shared" si="10"/>
        <v>39448</v>
      </c>
      <c r="B686">
        <v>84.18</v>
      </c>
    </row>
    <row r="687" spans="1:2" x14ac:dyDescent="0.25">
      <c r="A687" s="18">
        <f t="shared" si="10"/>
        <v>39479</v>
      </c>
      <c r="B687">
        <v>84.14</v>
      </c>
    </row>
    <row r="688" spans="1:2" x14ac:dyDescent="0.25">
      <c r="A688" s="18">
        <f t="shared" si="10"/>
        <v>39508</v>
      </c>
      <c r="B688">
        <v>81.150000000000006</v>
      </c>
    </row>
    <row r="689" spans="1:2" x14ac:dyDescent="0.25">
      <c r="A689" s="18">
        <f t="shared" si="10"/>
        <v>39539</v>
      </c>
      <c r="B689">
        <v>78.64</v>
      </c>
    </row>
    <row r="690" spans="1:2" x14ac:dyDescent="0.25">
      <c r="A690" s="18">
        <f t="shared" si="10"/>
        <v>39569</v>
      </c>
      <c r="B690">
        <v>77.069999999999993</v>
      </c>
    </row>
    <row r="691" spans="1:2" x14ac:dyDescent="0.25">
      <c r="A691" s="18">
        <f t="shared" si="10"/>
        <v>39600</v>
      </c>
      <c r="B691">
        <v>75.67</v>
      </c>
    </row>
    <row r="692" spans="1:2" x14ac:dyDescent="0.25">
      <c r="A692" s="18">
        <f t="shared" si="10"/>
        <v>39630</v>
      </c>
      <c r="B692">
        <v>77.37</v>
      </c>
    </row>
    <row r="693" spans="1:2" x14ac:dyDescent="0.25">
      <c r="A693" s="18">
        <f t="shared" si="10"/>
        <v>39661</v>
      </c>
      <c r="B693">
        <v>78.73</v>
      </c>
    </row>
    <row r="694" spans="1:2" x14ac:dyDescent="0.25">
      <c r="A694" s="18">
        <f t="shared" si="10"/>
        <v>39692</v>
      </c>
      <c r="B694">
        <v>78.739999999999995</v>
      </c>
    </row>
    <row r="695" spans="1:2" x14ac:dyDescent="0.25">
      <c r="A695" s="18">
        <f t="shared" si="10"/>
        <v>39722</v>
      </c>
      <c r="B695">
        <v>76.39</v>
      </c>
    </row>
    <row r="696" spans="1:2" x14ac:dyDescent="0.25">
      <c r="A696" s="18">
        <f t="shared" si="10"/>
        <v>39753</v>
      </c>
      <c r="B696">
        <v>74.83</v>
      </c>
    </row>
    <row r="697" spans="1:2" x14ac:dyDescent="0.25">
      <c r="A697" s="18">
        <f t="shared" si="10"/>
        <v>39783</v>
      </c>
      <c r="B697">
        <v>68.27</v>
      </c>
    </row>
    <row r="698" spans="1:2" x14ac:dyDescent="0.25">
      <c r="A698" s="18">
        <f t="shared" si="10"/>
        <v>39814</v>
      </c>
      <c r="B698">
        <v>61.18</v>
      </c>
    </row>
    <row r="699" spans="1:2" x14ac:dyDescent="0.25">
      <c r="A699" s="18">
        <f t="shared" si="10"/>
        <v>39845</v>
      </c>
      <c r="B699">
        <v>58.09</v>
      </c>
    </row>
    <row r="700" spans="1:2" x14ac:dyDescent="0.25">
      <c r="A700" s="18">
        <f t="shared" si="10"/>
        <v>39873</v>
      </c>
      <c r="B700">
        <v>54.27</v>
      </c>
    </row>
    <row r="701" spans="1:2" x14ac:dyDescent="0.25">
      <c r="A701" s="18">
        <f t="shared" si="10"/>
        <v>39904</v>
      </c>
      <c r="B701">
        <v>53.16</v>
      </c>
    </row>
    <row r="702" spans="1:2" x14ac:dyDescent="0.25">
      <c r="A702" s="18">
        <f t="shared" si="10"/>
        <v>39934</v>
      </c>
      <c r="B702">
        <v>53.15</v>
      </c>
    </row>
    <row r="703" spans="1:2" x14ac:dyDescent="0.25">
      <c r="A703" s="18">
        <f t="shared" si="10"/>
        <v>39965</v>
      </c>
      <c r="B703">
        <v>53.22</v>
      </c>
    </row>
    <row r="704" spans="1:2" x14ac:dyDescent="0.25">
      <c r="A704" s="18">
        <f t="shared" si="10"/>
        <v>39995</v>
      </c>
      <c r="B704">
        <v>53.13</v>
      </c>
    </row>
    <row r="705" spans="1:2" x14ac:dyDescent="0.25">
      <c r="A705" s="18">
        <f t="shared" si="10"/>
        <v>40026</v>
      </c>
      <c r="B705">
        <v>54.35</v>
      </c>
    </row>
    <row r="706" spans="1:2" x14ac:dyDescent="0.25">
      <c r="A706" s="18">
        <f t="shared" si="10"/>
        <v>40057</v>
      </c>
      <c r="B706">
        <v>54.37</v>
      </c>
    </row>
    <row r="707" spans="1:2" x14ac:dyDescent="0.25">
      <c r="A707" s="18">
        <f t="shared" si="10"/>
        <v>40087</v>
      </c>
      <c r="B707">
        <v>56.43</v>
      </c>
    </row>
    <row r="708" spans="1:2" x14ac:dyDescent="0.25">
      <c r="A708" s="18">
        <f t="shared" ref="A708:A751" si="11">DATE(YEAR(A707),MONTH(A707)+1,1)</f>
        <v>40118</v>
      </c>
      <c r="B708">
        <v>55.71</v>
      </c>
    </row>
    <row r="709" spans="1:2" x14ac:dyDescent="0.25">
      <c r="A709" s="18">
        <f t="shared" si="11"/>
        <v>40148</v>
      </c>
      <c r="B709">
        <v>56.92</v>
      </c>
    </row>
    <row r="710" spans="1:2" x14ac:dyDescent="0.25">
      <c r="A710" s="18">
        <f t="shared" si="11"/>
        <v>40179</v>
      </c>
      <c r="B710">
        <v>59.49</v>
      </c>
    </row>
    <row r="711" spans="1:2" x14ac:dyDescent="0.25">
      <c r="A711" s="18">
        <f t="shared" si="11"/>
        <v>40210</v>
      </c>
      <c r="B711">
        <v>60.84</v>
      </c>
    </row>
    <row r="712" spans="1:2" x14ac:dyDescent="0.25">
      <c r="A712" s="18">
        <f t="shared" si="11"/>
        <v>40238</v>
      </c>
      <c r="B712">
        <v>60.23</v>
      </c>
    </row>
    <row r="713" spans="1:2" x14ac:dyDescent="0.25">
      <c r="A713" s="18">
        <f t="shared" si="11"/>
        <v>40269</v>
      </c>
      <c r="B713">
        <v>60.98</v>
      </c>
    </row>
    <row r="714" spans="1:2" x14ac:dyDescent="0.25">
      <c r="A714" s="18">
        <f t="shared" si="11"/>
        <v>40299</v>
      </c>
      <c r="B714">
        <v>62.03</v>
      </c>
    </row>
    <row r="715" spans="1:2" x14ac:dyDescent="0.25">
      <c r="A715" s="18">
        <f t="shared" si="11"/>
        <v>40330</v>
      </c>
      <c r="B715">
        <v>62.55</v>
      </c>
    </row>
    <row r="716" spans="1:2" x14ac:dyDescent="0.25">
      <c r="A716" s="18">
        <f t="shared" si="11"/>
        <v>40360</v>
      </c>
      <c r="B716">
        <v>63.43</v>
      </c>
    </row>
    <row r="717" spans="1:2" x14ac:dyDescent="0.25">
      <c r="A717" s="18">
        <f t="shared" si="11"/>
        <v>40391</v>
      </c>
      <c r="B717">
        <v>63.48</v>
      </c>
    </row>
    <row r="718" spans="1:2" x14ac:dyDescent="0.25">
      <c r="A718" s="18">
        <f t="shared" si="11"/>
        <v>40422</v>
      </c>
      <c r="B718">
        <v>62.85</v>
      </c>
    </row>
    <row r="719" spans="1:2" x14ac:dyDescent="0.25">
      <c r="A719" s="18">
        <f t="shared" si="11"/>
        <v>40452</v>
      </c>
      <c r="B719">
        <v>63.61</v>
      </c>
    </row>
    <row r="720" spans="1:2" x14ac:dyDescent="0.25">
      <c r="A720" s="18">
        <f t="shared" si="11"/>
        <v>40483</v>
      </c>
      <c r="B720">
        <v>64.930000000000007</v>
      </c>
    </row>
    <row r="721" spans="1:2" x14ac:dyDescent="0.25">
      <c r="A721" s="18">
        <f t="shared" si="11"/>
        <v>40513</v>
      </c>
      <c r="B721">
        <v>65.34</v>
      </c>
    </row>
    <row r="722" spans="1:2" x14ac:dyDescent="0.25">
      <c r="A722" s="18">
        <f t="shared" si="11"/>
        <v>40544</v>
      </c>
      <c r="B722">
        <v>66.069999999999993</v>
      </c>
    </row>
    <row r="723" spans="1:2" x14ac:dyDescent="0.25">
      <c r="A723" s="18">
        <f t="shared" si="11"/>
        <v>40575</v>
      </c>
      <c r="B723">
        <v>67.260000000000005</v>
      </c>
    </row>
    <row r="724" spans="1:2" x14ac:dyDescent="0.25">
      <c r="A724" s="18">
        <f t="shared" si="11"/>
        <v>40603</v>
      </c>
      <c r="B724">
        <v>69.98</v>
      </c>
    </row>
    <row r="725" spans="1:2" x14ac:dyDescent="0.25">
      <c r="A725" s="18">
        <f t="shared" si="11"/>
        <v>40634</v>
      </c>
      <c r="B725">
        <v>74.19</v>
      </c>
    </row>
    <row r="726" spans="1:2" x14ac:dyDescent="0.25">
      <c r="A726" s="18">
        <f t="shared" si="11"/>
        <v>40664</v>
      </c>
      <c r="B726">
        <v>71.790000000000006</v>
      </c>
    </row>
    <row r="727" spans="1:2" x14ac:dyDescent="0.25">
      <c r="A727" s="18">
        <f t="shared" si="11"/>
        <v>40695</v>
      </c>
      <c r="B727">
        <v>70.400000000000006</v>
      </c>
    </row>
    <row r="728" spans="1:2" x14ac:dyDescent="0.25">
      <c r="A728" s="18">
        <f t="shared" si="11"/>
        <v>40725</v>
      </c>
      <c r="B728">
        <v>71</v>
      </c>
    </row>
    <row r="729" spans="1:2" x14ac:dyDescent="0.25">
      <c r="A729" s="18">
        <f t="shared" si="11"/>
        <v>40756</v>
      </c>
      <c r="B729">
        <v>70.28</v>
      </c>
    </row>
    <row r="730" spans="1:2" x14ac:dyDescent="0.25">
      <c r="A730" s="18">
        <f t="shared" si="11"/>
        <v>40787</v>
      </c>
      <c r="B730">
        <v>70.599999999999994</v>
      </c>
    </row>
    <row r="731" spans="1:2" x14ac:dyDescent="0.25">
      <c r="A731" s="18">
        <f t="shared" si="11"/>
        <v>40817</v>
      </c>
      <c r="B731">
        <v>72.31</v>
      </c>
    </row>
    <row r="732" spans="1:2" x14ac:dyDescent="0.25">
      <c r="A732" s="18">
        <f t="shared" si="11"/>
        <v>40848</v>
      </c>
      <c r="B732">
        <v>72.86</v>
      </c>
    </row>
    <row r="733" spans="1:2" x14ac:dyDescent="0.25">
      <c r="A733" s="18">
        <f t="shared" si="11"/>
        <v>40878</v>
      </c>
      <c r="B733">
        <v>74.510000000000005</v>
      </c>
    </row>
    <row r="734" spans="1:2" x14ac:dyDescent="0.25">
      <c r="A734" s="18">
        <f t="shared" si="11"/>
        <v>40909</v>
      </c>
      <c r="B734">
        <v>75.7</v>
      </c>
    </row>
    <row r="735" spans="1:2" x14ac:dyDescent="0.25">
      <c r="A735" s="18">
        <f t="shared" si="11"/>
        <v>40940</v>
      </c>
      <c r="B735">
        <v>76.25</v>
      </c>
    </row>
    <row r="736" spans="1:2" x14ac:dyDescent="0.25">
      <c r="A736" s="18">
        <f t="shared" si="11"/>
        <v>40969</v>
      </c>
      <c r="B736">
        <v>77.790000000000006</v>
      </c>
    </row>
    <row r="737" spans="1:2" x14ac:dyDescent="0.25">
      <c r="A737" s="18">
        <f t="shared" si="11"/>
        <v>41000</v>
      </c>
      <c r="B737">
        <v>79.040000000000006</v>
      </c>
    </row>
    <row r="738" spans="1:2" x14ac:dyDescent="0.25">
      <c r="A738" s="18">
        <f t="shared" si="11"/>
        <v>41030</v>
      </c>
      <c r="B738">
        <v>77.38</v>
      </c>
    </row>
    <row r="739" spans="1:2" x14ac:dyDescent="0.25">
      <c r="A739" s="18">
        <f t="shared" si="11"/>
        <v>41061</v>
      </c>
      <c r="B739">
        <v>79.41</v>
      </c>
    </row>
    <row r="740" spans="1:2" x14ac:dyDescent="0.25">
      <c r="A740" s="18">
        <f t="shared" si="11"/>
        <v>41091</v>
      </c>
      <c r="B740">
        <v>78.900000000000006</v>
      </c>
    </row>
    <row r="741" spans="1:2" x14ac:dyDescent="0.25">
      <c r="A741" s="18">
        <f t="shared" si="11"/>
        <v>41122</v>
      </c>
      <c r="B741">
        <v>77.400000000000006</v>
      </c>
    </row>
    <row r="742" spans="1:2" x14ac:dyDescent="0.25">
      <c r="A742" s="18">
        <f t="shared" si="11"/>
        <v>41153</v>
      </c>
      <c r="B742">
        <v>80.2</v>
      </c>
    </row>
    <row r="743" spans="1:2" x14ac:dyDescent="0.25">
      <c r="A743" s="18">
        <f t="shared" si="11"/>
        <v>41183</v>
      </c>
      <c r="B743">
        <v>79.959999999999994</v>
      </c>
    </row>
    <row r="744" spans="1:2" x14ac:dyDescent="0.25">
      <c r="A744" s="18">
        <f t="shared" si="11"/>
        <v>41214</v>
      </c>
      <c r="B744">
        <v>77.89</v>
      </c>
    </row>
    <row r="745" spans="1:2" x14ac:dyDescent="0.25">
      <c r="A745" s="18">
        <f t="shared" si="11"/>
        <v>41244</v>
      </c>
      <c r="B745">
        <v>81.239999999999995</v>
      </c>
    </row>
    <row r="746" spans="1:2" x14ac:dyDescent="0.25">
      <c r="A746" s="18">
        <f t="shared" si="11"/>
        <v>41275</v>
      </c>
      <c r="B746">
        <v>83.12</v>
      </c>
    </row>
    <row r="747" spans="1:2" x14ac:dyDescent="0.25">
      <c r="A747" s="18">
        <f t="shared" si="11"/>
        <v>41306</v>
      </c>
      <c r="B747">
        <v>82.23</v>
      </c>
    </row>
    <row r="748" spans="1:2" x14ac:dyDescent="0.25">
      <c r="A748" s="18">
        <f t="shared" si="11"/>
        <v>41334</v>
      </c>
      <c r="B748">
        <v>79.510000000000005</v>
      </c>
    </row>
    <row r="749" spans="1:2" x14ac:dyDescent="0.25">
      <c r="A749" s="18">
        <f t="shared" si="11"/>
        <v>41365</v>
      </c>
      <c r="B749">
        <v>80.64</v>
      </c>
    </row>
    <row r="750" spans="1:2" x14ac:dyDescent="0.25">
      <c r="A750" s="18">
        <f t="shared" si="11"/>
        <v>41395</v>
      </c>
      <c r="B750">
        <v>79.680000000000007</v>
      </c>
    </row>
    <row r="751" spans="1:2" x14ac:dyDescent="0.25">
      <c r="A751" s="18">
        <f t="shared" si="11"/>
        <v>41426</v>
      </c>
      <c r="B751">
        <v>80.38</v>
      </c>
    </row>
  </sheetData>
  <sortState xmlns:xlrd2="http://schemas.microsoft.com/office/spreadsheetml/2017/richdata2" ref="A1:B1502">
    <sortCondition ref="A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792"/>
  <sheetViews>
    <sheetView tabSelected="1" workbookViewId="0">
      <pane xSplit="1" ySplit="2" topLeftCell="H3" activePane="bottomRight" state="frozen"/>
      <selection pane="topRight" activeCell="B1" sqref="B1"/>
      <selection pane="bottomLeft" activeCell="A2" sqref="A2"/>
      <selection pane="bottomRight" activeCell="V3" sqref="V3"/>
    </sheetView>
  </sheetViews>
  <sheetFormatPr defaultColWidth="11.42578125" defaultRowHeight="15" x14ac:dyDescent="0.25"/>
  <cols>
    <col min="4" max="4" width="24.42578125" bestFit="1" customWidth="1"/>
    <col min="8" max="8" width="19.42578125" bestFit="1" customWidth="1"/>
    <col min="11" max="11" width="15.28515625" bestFit="1" customWidth="1"/>
    <col min="12" max="12" width="19.28515625" bestFit="1" customWidth="1"/>
    <col min="13" max="13" width="15.28515625" bestFit="1" customWidth="1"/>
    <col min="14" max="14" width="15.28515625" customWidth="1"/>
    <col min="15" max="15" width="22.85546875" bestFit="1" customWidth="1"/>
    <col min="18" max="18" width="21.7109375" bestFit="1" customWidth="1"/>
    <col min="28" max="28" width="15.28515625" bestFit="1" customWidth="1"/>
  </cols>
  <sheetData>
    <row r="1" spans="1:28" x14ac:dyDescent="0.25">
      <c r="A1">
        <v>1</v>
      </c>
      <c r="B1">
        <f>A1+1</f>
        <v>2</v>
      </c>
      <c r="C1">
        <f t="shared" ref="C1:R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V1">
        <f>P1</f>
        <v>16</v>
      </c>
      <c r="AA1">
        <f>Q1</f>
        <v>17</v>
      </c>
      <c r="AB1">
        <f>R1</f>
        <v>18</v>
      </c>
    </row>
    <row r="2" spans="1:28" x14ac:dyDescent="0.25">
      <c r="B2" t="s">
        <v>87</v>
      </c>
      <c r="C2" t="s">
        <v>88</v>
      </c>
      <c r="D2" t="s">
        <v>142</v>
      </c>
      <c r="E2" t="s">
        <v>126</v>
      </c>
      <c r="F2" t="s">
        <v>127</v>
      </c>
      <c r="G2" t="s">
        <v>91</v>
      </c>
      <c r="H2" t="s">
        <v>159</v>
      </c>
      <c r="I2" t="s">
        <v>92</v>
      </c>
      <c r="J2" t="s">
        <v>128</v>
      </c>
      <c r="K2" t="s">
        <v>129</v>
      </c>
      <c r="L2" t="s">
        <v>130</v>
      </c>
      <c r="M2" t="s">
        <v>131</v>
      </c>
      <c r="N2" t="s">
        <v>135</v>
      </c>
      <c r="O2" t="s">
        <v>163</v>
      </c>
      <c r="P2" t="s">
        <v>132</v>
      </c>
      <c r="Q2" t="s">
        <v>133</v>
      </c>
      <c r="R2" t="s">
        <v>134</v>
      </c>
      <c r="T2" t="s">
        <v>143</v>
      </c>
      <c r="V2" t="s">
        <v>126</v>
      </c>
      <c r="W2" t="s">
        <v>144</v>
      </c>
      <c r="X2" t="s">
        <v>145</v>
      </c>
      <c r="Y2" t="s">
        <v>146</v>
      </c>
      <c r="Z2" t="s">
        <v>147</v>
      </c>
      <c r="AA2" t="s">
        <v>127</v>
      </c>
      <c r="AB2" t="s">
        <v>131</v>
      </c>
    </row>
    <row r="3" spans="1:28" x14ac:dyDescent="0.25">
      <c r="A3" s="18">
        <v>17533</v>
      </c>
      <c r="B3">
        <f>'2-state flows'!B2</f>
        <v>60095</v>
      </c>
      <c r="C3">
        <f>'2-state flows'!C2</f>
        <v>2034</v>
      </c>
      <c r="D3" t="e">
        <f>NA()</f>
        <v>#N/A</v>
      </c>
      <c r="E3">
        <f t="shared" ref="E3:E38" si="1">C3/B3</f>
        <v>3.384640985106914E-2</v>
      </c>
      <c r="F3" t="e">
        <f t="shared" ref="F3:F38" si="2">D3/B3</f>
        <v>#N/A</v>
      </c>
      <c r="G3">
        <f>'2-state flows'!G2</f>
        <v>0.76024551406311502</v>
      </c>
      <c r="H3" t="e">
        <f t="shared" ref="H3:H38" si="3">0.771211801*(F3/E3)^0.5</f>
        <v>#N/A</v>
      </c>
      <c r="I3">
        <f>'2-state flows'!H2</f>
        <v>3.3970879262789813E-2</v>
      </c>
      <c r="J3" t="e">
        <f>NA()</f>
        <v>#N/A</v>
      </c>
      <c r="K3">
        <v>0.5</v>
      </c>
      <c r="L3" t="e">
        <f t="shared" ref="L3:L38" si="4">J3/(1-K3)</f>
        <v>#N/A</v>
      </c>
      <c r="M3" t="e">
        <f t="shared" ref="M3:M38" si="5">F3/EXP(L3)</f>
        <v>#N/A</v>
      </c>
      <c r="N3" t="e">
        <f>NA()</f>
        <v>#N/A</v>
      </c>
      <c r="O3" t="e">
        <f>NA()</f>
        <v>#N/A</v>
      </c>
      <c r="P3" t="e">
        <f>NA()</f>
        <v>#N/A</v>
      </c>
      <c r="Q3" t="e">
        <f>NA()</f>
        <v>#N/A</v>
      </c>
      <c r="R3" t="e">
        <f>NA()</f>
        <v>#N/A</v>
      </c>
      <c r="U3" s="18">
        <v>18688</v>
      </c>
      <c r="V3">
        <f>VLOOKUP($U3,$A$2:$R$788,V$1)</f>
        <v>3.5155518597599418E-2</v>
      </c>
      <c r="W3" t="e">
        <f>IF(AND(YEAR($U3)&gt;=1960,YEAR($U3)&lt;=1970),$V3,NA())</f>
        <v>#N/A</v>
      </c>
      <c r="X3" t="e">
        <f>IF(AND(YEAR($U3)&gt;=1975,YEAR($U3)&lt;=1986),$V3,NA())</f>
        <v>#N/A</v>
      </c>
      <c r="Y3" t="e">
        <f>IF(AND(YEAR($U3)&gt;=1990,YEAR($U3)&lt;=2000),$V3,NA())</f>
        <v>#N/A</v>
      </c>
      <c r="Z3" t="e">
        <f>IF(YEAR($U3)&gt;=2001,$V3,NA())</f>
        <v>#N/A</v>
      </c>
      <c r="AA3">
        <f>VLOOKUP($U3,$A$2:$R$788,AA$1)</f>
        <v>3.2189817219055804E-2</v>
      </c>
      <c r="AB3">
        <f>VLOOKUP($U3,$A$2:$R$788,AB$1)</f>
        <v>2.7757943711267639E-2</v>
      </c>
    </row>
    <row r="4" spans="1:28" x14ac:dyDescent="0.25">
      <c r="A4" s="18">
        <f>DATE(YEAR(A3),MONTH(A3)+1,1)</f>
        <v>17564</v>
      </c>
      <c r="B4">
        <f>'2-state flows'!B3</f>
        <v>60524</v>
      </c>
      <c r="C4">
        <f>'2-state flows'!C3</f>
        <v>2328</v>
      </c>
      <c r="D4" t="e">
        <f>NA()</f>
        <v>#N/A</v>
      </c>
      <c r="E4">
        <f t="shared" si="1"/>
        <v>3.8464080364813961E-2</v>
      </c>
      <c r="F4" t="e">
        <f t="shared" si="2"/>
        <v>#N/A</v>
      </c>
      <c r="G4">
        <f>'2-state flows'!G3</f>
        <v>0.73168084456218807</v>
      </c>
      <c r="H4" t="e">
        <f t="shared" si="3"/>
        <v>#N/A</v>
      </c>
      <c r="I4">
        <f>'2-state flows'!H3</f>
        <v>3.1013084497600839E-2</v>
      </c>
      <c r="J4">
        <f>LN(I4/I3)</f>
        <v>-9.109446934422967E-2</v>
      </c>
      <c r="K4">
        <v>0.5</v>
      </c>
      <c r="L4">
        <f>J4/(1-K4)</f>
        <v>-0.18218893868845934</v>
      </c>
      <c r="M4" t="e">
        <f>F4/EXP(L4)</f>
        <v>#N/A</v>
      </c>
      <c r="N4" t="e">
        <f>NA()</f>
        <v>#N/A</v>
      </c>
      <c r="O4" t="e">
        <f>NA()</f>
        <v>#N/A</v>
      </c>
      <c r="P4" t="e">
        <f>NA()</f>
        <v>#N/A</v>
      </c>
      <c r="Q4" t="e">
        <f>NA()</f>
        <v>#N/A</v>
      </c>
      <c r="R4" t="e">
        <f>NA()</f>
        <v>#N/A</v>
      </c>
      <c r="U4" s="18">
        <f>DATE(YEAR(U3),MONTH(U3)+3,1)</f>
        <v>18780</v>
      </c>
      <c r="V4">
        <f t="shared" ref="V4:V67" si="6">VLOOKUP($U4,$A$2:$R$788,V$1)</f>
        <v>3.1113498158059333E-2</v>
      </c>
      <c r="W4" t="e">
        <f t="shared" ref="W4:W67" si="7">IF(AND(YEAR($U4)&gt;=1960,YEAR($U4)&lt;=1970),$V4,NA())</f>
        <v>#N/A</v>
      </c>
      <c r="X4" t="e">
        <f t="shared" ref="X4:X67" si="8">IF(AND(YEAR($U4)&gt;=1975,YEAR($U4)&lt;=1986),$V4,NA())</f>
        <v>#N/A</v>
      </c>
      <c r="Y4" t="e">
        <f t="shared" ref="Y4:Y67" si="9">IF(AND(YEAR($U4)&gt;=1990,YEAR($U4)&lt;=2000),$V4,NA())</f>
        <v>#N/A</v>
      </c>
      <c r="Z4" t="e">
        <f t="shared" ref="Z4:Z67" si="10">IF(YEAR($U4)&gt;=2001,$V4,NA())</f>
        <v>#N/A</v>
      </c>
      <c r="AA4">
        <f t="shared" ref="AA4:AB67" si="11">VLOOKUP($U4,$A$2:$R$788,AA$1)</f>
        <v>3.284816912210501E-2</v>
      </c>
      <c r="AB4">
        <f t="shared" si="11"/>
        <v>2.9438126313708804E-2</v>
      </c>
    </row>
    <row r="5" spans="1:28" x14ac:dyDescent="0.25">
      <c r="A5" s="18">
        <f t="shared" ref="A5:A39" si="12">DATE(YEAR(A4),MONTH(A4)+1,1)</f>
        <v>17593</v>
      </c>
      <c r="B5">
        <f>'2-state flows'!B4</f>
        <v>60070</v>
      </c>
      <c r="C5">
        <f>'2-state flows'!C4</f>
        <v>2399</v>
      </c>
      <c r="D5" t="e">
        <f>NA()</f>
        <v>#N/A</v>
      </c>
      <c r="E5">
        <f t="shared" si="1"/>
        <v>3.9936740469452309E-2</v>
      </c>
      <c r="F5" t="e">
        <f t="shared" si="2"/>
        <v>#N/A</v>
      </c>
      <c r="G5">
        <f>'2-state flows'!G4</f>
        <v>0.95301352532726946</v>
      </c>
      <c r="H5" t="e">
        <f t="shared" si="3"/>
        <v>#N/A</v>
      </c>
      <c r="I5">
        <f>'2-state flows'!H4</f>
        <v>3.9288028211976321E-2</v>
      </c>
      <c r="J5">
        <f t="shared" ref="J4:J39" si="13">LN(I5/I4)</f>
        <v>0.23651065081597064</v>
      </c>
      <c r="K5">
        <v>0.5</v>
      </c>
      <c r="L5">
        <f t="shared" si="4"/>
        <v>0.47302130163194128</v>
      </c>
      <c r="M5" t="e">
        <f t="shared" si="5"/>
        <v>#N/A</v>
      </c>
      <c r="N5">
        <f t="shared" ref="N5:N40" si="14">AVERAGE(G3:G5)</f>
        <v>0.81497996131752426</v>
      </c>
      <c r="O5" t="e">
        <f t="shared" ref="O5:O40" si="15">AVERAGE(H3:H5)</f>
        <v>#N/A</v>
      </c>
      <c r="P5">
        <f t="shared" ref="P5:P40" si="16">AVERAGE(E3:E5)</f>
        <v>3.7415743561778465E-2</v>
      </c>
      <c r="Q5" t="e">
        <f t="shared" ref="Q5:Q40" si="17">AVERAGE(F3:F5)</f>
        <v>#N/A</v>
      </c>
      <c r="R5" t="e">
        <f t="shared" ref="R5:R40" si="18">AVERAGE(M3:M5)</f>
        <v>#N/A</v>
      </c>
      <c r="U5" s="18">
        <f t="shared" ref="U5:U68" si="19">DATE(YEAR(U4),MONTH(U4)+3,1)</f>
        <v>18872</v>
      </c>
      <c r="V5">
        <f t="shared" si="6"/>
        <v>3.2023177893434139E-2</v>
      </c>
      <c r="W5" t="e">
        <f t="shared" si="7"/>
        <v>#N/A</v>
      </c>
      <c r="X5" t="e">
        <f t="shared" si="8"/>
        <v>#N/A</v>
      </c>
      <c r="Y5" t="e">
        <f t="shared" si="9"/>
        <v>#N/A</v>
      </c>
      <c r="Z5" t="e">
        <f t="shared" si="10"/>
        <v>#N/A</v>
      </c>
      <c r="AA5">
        <f t="shared" si="11"/>
        <v>3.2527805587781795E-2</v>
      </c>
      <c r="AB5">
        <f t="shared" si="11"/>
        <v>2.4118598309368366E-2</v>
      </c>
    </row>
    <row r="6" spans="1:28" x14ac:dyDescent="0.25">
      <c r="A6" s="18">
        <f t="shared" si="12"/>
        <v>17624</v>
      </c>
      <c r="B6">
        <f>'2-state flows'!B5</f>
        <v>60677</v>
      </c>
      <c r="C6">
        <f>'2-state flows'!C5</f>
        <v>2386</v>
      </c>
      <c r="D6" t="e">
        <f>NA()</f>
        <v>#N/A</v>
      </c>
      <c r="E6">
        <f t="shared" si="1"/>
        <v>3.9322972460734712E-2</v>
      </c>
      <c r="F6" t="e">
        <f t="shared" si="2"/>
        <v>#N/A</v>
      </c>
      <c r="G6">
        <f>'2-state flows'!G5</f>
        <v>0.89801779819742233</v>
      </c>
      <c r="H6" t="e">
        <f t="shared" si="3"/>
        <v>#N/A</v>
      </c>
      <c r="I6">
        <f>'2-state flows'!H5</f>
        <v>2.9702776953130731E-2</v>
      </c>
      <c r="J6">
        <f t="shared" si="13"/>
        <v>-0.27967930527473672</v>
      </c>
      <c r="K6">
        <v>0.5</v>
      </c>
      <c r="L6">
        <f t="shared" si="4"/>
        <v>-0.55935861054947345</v>
      </c>
      <c r="M6" t="e">
        <f>F6/EXP(L6)</f>
        <v>#N/A</v>
      </c>
      <c r="N6">
        <f t="shared" si="14"/>
        <v>0.86090405602895992</v>
      </c>
      <c r="O6" t="e">
        <f t="shared" si="15"/>
        <v>#N/A</v>
      </c>
      <c r="P6">
        <f t="shared" si="16"/>
        <v>3.9241264431666999E-2</v>
      </c>
      <c r="Q6" t="e">
        <f t="shared" si="17"/>
        <v>#N/A</v>
      </c>
      <c r="R6" t="e">
        <f t="shared" si="18"/>
        <v>#N/A</v>
      </c>
      <c r="U6" s="18">
        <f t="shared" si="19"/>
        <v>18963</v>
      </c>
      <c r="V6">
        <f t="shared" si="6"/>
        <v>3.3924578627930149E-2</v>
      </c>
      <c r="W6" t="e">
        <f t="shared" si="7"/>
        <v>#N/A</v>
      </c>
      <c r="X6" t="e">
        <f t="shared" si="8"/>
        <v>#N/A</v>
      </c>
      <c r="Y6" t="e">
        <f t="shared" si="9"/>
        <v>#N/A</v>
      </c>
      <c r="Z6" t="e">
        <f t="shared" si="10"/>
        <v>#N/A</v>
      </c>
      <c r="AA6">
        <f t="shared" si="11"/>
        <v>3.2637415777377873E-2</v>
      </c>
      <c r="AB6">
        <f t="shared" si="11"/>
        <v>3.0430366480344861E-2</v>
      </c>
    </row>
    <row r="7" spans="1:28" x14ac:dyDescent="0.25">
      <c r="A7" s="18">
        <f t="shared" si="12"/>
        <v>17654</v>
      </c>
      <c r="B7">
        <f>'2-state flows'!B6</f>
        <v>59972</v>
      </c>
      <c r="C7">
        <f>'2-state flows'!C6</f>
        <v>2118</v>
      </c>
      <c r="D7" t="e">
        <f>NA()</f>
        <v>#N/A</v>
      </c>
      <c r="E7">
        <f t="shared" si="1"/>
        <v>3.531648102447809E-2</v>
      </c>
      <c r="F7" t="e">
        <f t="shared" si="2"/>
        <v>#N/A</v>
      </c>
      <c r="G7">
        <f>'2-state flows'!G6</f>
        <v>0.82627396059549663</v>
      </c>
      <c r="H7" t="e">
        <f t="shared" si="3"/>
        <v>#N/A</v>
      </c>
      <c r="I7">
        <f>'2-state flows'!H6</f>
        <v>3.2722226967136864E-2</v>
      </c>
      <c r="J7">
        <f t="shared" si="13"/>
        <v>9.6814029218088571E-2</v>
      </c>
      <c r="K7">
        <v>0.5</v>
      </c>
      <c r="L7">
        <f t="shared" si="4"/>
        <v>0.19362805843617714</v>
      </c>
      <c r="M7" t="e">
        <f t="shared" si="5"/>
        <v>#N/A</v>
      </c>
      <c r="N7">
        <f t="shared" si="14"/>
        <v>0.89243509470672944</v>
      </c>
      <c r="O7" t="e">
        <f t="shared" si="15"/>
        <v>#N/A</v>
      </c>
      <c r="P7">
        <f t="shared" si="16"/>
        <v>3.8192064651555037E-2</v>
      </c>
      <c r="Q7" t="e">
        <f t="shared" si="17"/>
        <v>#N/A</v>
      </c>
      <c r="R7" t="e">
        <f t="shared" si="18"/>
        <v>#N/A</v>
      </c>
      <c r="U7" s="18">
        <f t="shared" si="19"/>
        <v>19054</v>
      </c>
      <c r="V7">
        <f t="shared" si="6"/>
        <v>3.0771039332671262E-2</v>
      </c>
      <c r="W7" t="e">
        <f t="shared" si="7"/>
        <v>#N/A</v>
      </c>
      <c r="X7" t="e">
        <f t="shared" si="8"/>
        <v>#N/A</v>
      </c>
      <c r="Y7" t="e">
        <f t="shared" si="9"/>
        <v>#N/A</v>
      </c>
      <c r="Z7" t="e">
        <f t="shared" si="10"/>
        <v>#N/A</v>
      </c>
      <c r="AA7">
        <f t="shared" si="11"/>
        <v>3.3430643222319728E-2</v>
      </c>
      <c r="AB7">
        <f t="shared" si="11"/>
        <v>2.6914644170211759E-2</v>
      </c>
    </row>
    <row r="8" spans="1:28" x14ac:dyDescent="0.25">
      <c r="A8" s="18">
        <f t="shared" si="12"/>
        <v>17685</v>
      </c>
      <c r="B8">
        <f>'2-state flows'!B7</f>
        <v>60957</v>
      </c>
      <c r="C8">
        <f>'2-state flows'!C7</f>
        <v>2214</v>
      </c>
      <c r="D8" t="e">
        <f>NA()</f>
        <v>#N/A</v>
      </c>
      <c r="E8">
        <f t="shared" si="1"/>
        <v>3.6320685073084308E-2</v>
      </c>
      <c r="F8" t="e">
        <f t="shared" si="2"/>
        <v>#N/A</v>
      </c>
      <c r="G8">
        <f>'2-state flows'!G7</f>
        <v>0.84189244182029566</v>
      </c>
      <c r="H8" t="e">
        <f t="shared" si="3"/>
        <v>#N/A</v>
      </c>
      <c r="I8">
        <f>'2-state flows'!H7</f>
        <v>3.170505871781213E-2</v>
      </c>
      <c r="J8">
        <f t="shared" si="13"/>
        <v>-3.1578321606213607E-2</v>
      </c>
      <c r="K8">
        <v>0.5</v>
      </c>
      <c r="L8">
        <f t="shared" si="4"/>
        <v>-6.3156643212427213E-2</v>
      </c>
      <c r="M8" t="e">
        <f t="shared" si="5"/>
        <v>#N/A</v>
      </c>
      <c r="N8">
        <f t="shared" si="14"/>
        <v>0.85539473353773821</v>
      </c>
      <c r="O8" t="e">
        <f t="shared" si="15"/>
        <v>#N/A</v>
      </c>
      <c r="P8">
        <f t="shared" si="16"/>
        <v>3.6986712852765703E-2</v>
      </c>
      <c r="Q8" t="e">
        <f t="shared" si="17"/>
        <v>#N/A</v>
      </c>
      <c r="R8" t="e">
        <f t="shared" si="18"/>
        <v>#N/A</v>
      </c>
      <c r="U8" s="18">
        <f t="shared" si="19"/>
        <v>19146</v>
      </c>
      <c r="V8">
        <f t="shared" si="6"/>
        <v>2.9899730945029141E-2</v>
      </c>
      <c r="W8" t="e">
        <f t="shared" si="7"/>
        <v>#N/A</v>
      </c>
      <c r="X8" t="e">
        <f t="shared" si="8"/>
        <v>#N/A</v>
      </c>
      <c r="Y8" t="e">
        <f t="shared" si="9"/>
        <v>#N/A</v>
      </c>
      <c r="Z8" t="e">
        <f t="shared" si="10"/>
        <v>#N/A</v>
      </c>
      <c r="AA8">
        <f t="shared" si="11"/>
        <v>3.303794371488742E-2</v>
      </c>
      <c r="AB8">
        <f t="shared" si="11"/>
        <v>2.6343268982049629E-2</v>
      </c>
    </row>
    <row r="9" spans="1:28" x14ac:dyDescent="0.25">
      <c r="A9" s="18">
        <f t="shared" si="12"/>
        <v>17715</v>
      </c>
      <c r="B9">
        <f>'2-state flows'!B8</f>
        <v>61181</v>
      </c>
      <c r="C9">
        <f>'2-state flows'!C8</f>
        <v>2213</v>
      </c>
      <c r="D9" t="e">
        <f>NA()</f>
        <v>#N/A</v>
      </c>
      <c r="E9">
        <f t="shared" si="1"/>
        <v>3.6171360389663461E-2</v>
      </c>
      <c r="F9" t="e">
        <f t="shared" si="2"/>
        <v>#N/A</v>
      </c>
      <c r="G9">
        <f>'2-state flows'!G8</f>
        <v>0.96989363358384328</v>
      </c>
      <c r="H9" t="e">
        <f t="shared" si="3"/>
        <v>#N/A</v>
      </c>
      <c r="I9">
        <f>'2-state flows'!H8</f>
        <v>4.0089725401593355E-2</v>
      </c>
      <c r="J9">
        <f t="shared" si="13"/>
        <v>0.23464382792719743</v>
      </c>
      <c r="K9">
        <v>0.5</v>
      </c>
      <c r="L9">
        <f t="shared" si="4"/>
        <v>0.46928765585439486</v>
      </c>
      <c r="M9" t="e">
        <f t="shared" si="5"/>
        <v>#N/A</v>
      </c>
      <c r="N9">
        <f t="shared" si="14"/>
        <v>0.87935334533321186</v>
      </c>
      <c r="O9" t="e">
        <f t="shared" si="15"/>
        <v>#N/A</v>
      </c>
      <c r="P9">
        <f t="shared" si="16"/>
        <v>3.5936175495741955E-2</v>
      </c>
      <c r="Q9" t="e">
        <f t="shared" si="17"/>
        <v>#N/A</v>
      </c>
      <c r="R9" t="e">
        <f t="shared" si="18"/>
        <v>#N/A</v>
      </c>
      <c r="U9" s="18">
        <f t="shared" si="19"/>
        <v>19238</v>
      </c>
      <c r="V9">
        <f t="shared" si="6"/>
        <v>3.2286042094521412E-2</v>
      </c>
      <c r="W9" t="e">
        <f t="shared" si="7"/>
        <v>#N/A</v>
      </c>
      <c r="X9" t="e">
        <f t="shared" si="8"/>
        <v>#N/A</v>
      </c>
      <c r="Y9" t="e">
        <f t="shared" si="9"/>
        <v>#N/A</v>
      </c>
      <c r="Z9" t="e">
        <f t="shared" si="10"/>
        <v>#N/A</v>
      </c>
      <c r="AA9">
        <f t="shared" si="11"/>
        <v>3.4256945468370166E-2</v>
      </c>
      <c r="AB9">
        <f t="shared" si="11"/>
        <v>3.0512836104650453E-2</v>
      </c>
    </row>
    <row r="10" spans="1:28" x14ac:dyDescent="0.25">
      <c r="A10" s="18">
        <f t="shared" si="12"/>
        <v>17746</v>
      </c>
      <c r="B10">
        <f>'2-state flows'!B9</f>
        <v>60806</v>
      </c>
      <c r="C10">
        <f>'2-state flows'!C9</f>
        <v>2350</v>
      </c>
      <c r="D10" t="e">
        <f>NA()</f>
        <v>#N/A</v>
      </c>
      <c r="E10">
        <f t="shared" si="1"/>
        <v>3.8647501891260733E-2</v>
      </c>
      <c r="F10" t="e">
        <f t="shared" si="2"/>
        <v>#N/A</v>
      </c>
      <c r="G10">
        <f>'2-state flows'!G9</f>
        <v>0.79898062126796687</v>
      </c>
      <c r="H10" t="e">
        <f t="shared" si="3"/>
        <v>#N/A</v>
      </c>
      <c r="I10">
        <f>'2-state flows'!H9</f>
        <v>3.0911510840560281E-2</v>
      </c>
      <c r="J10">
        <f t="shared" si="13"/>
        <v>-0.25999144343461039</v>
      </c>
      <c r="K10">
        <v>0.5</v>
      </c>
      <c r="L10">
        <f t="shared" si="4"/>
        <v>-0.51998288686922078</v>
      </c>
      <c r="M10" t="e">
        <f t="shared" si="5"/>
        <v>#N/A</v>
      </c>
      <c r="N10">
        <f t="shared" si="14"/>
        <v>0.8702555655573686</v>
      </c>
      <c r="O10" t="e">
        <f t="shared" si="15"/>
        <v>#N/A</v>
      </c>
      <c r="P10">
        <f t="shared" si="16"/>
        <v>3.7046515784669498E-2</v>
      </c>
      <c r="Q10" t="e">
        <f t="shared" si="17"/>
        <v>#N/A</v>
      </c>
      <c r="R10" t="e">
        <f t="shared" si="18"/>
        <v>#N/A</v>
      </c>
      <c r="U10" s="18">
        <f t="shared" si="19"/>
        <v>19329</v>
      </c>
      <c r="V10">
        <f t="shared" si="6"/>
        <v>2.8062549959584192E-2</v>
      </c>
      <c r="W10" t="e">
        <f t="shared" si="7"/>
        <v>#N/A</v>
      </c>
      <c r="X10" t="e">
        <f t="shared" si="8"/>
        <v>#N/A</v>
      </c>
      <c r="Y10" t="e">
        <f t="shared" si="9"/>
        <v>#N/A</v>
      </c>
      <c r="Z10" t="e">
        <f t="shared" si="10"/>
        <v>#N/A</v>
      </c>
      <c r="AA10">
        <f t="shared" si="11"/>
        <v>3.7218998709061403E-2</v>
      </c>
      <c r="AB10">
        <f t="shared" si="11"/>
        <v>4.0671982684993745E-2</v>
      </c>
    </row>
    <row r="11" spans="1:28" x14ac:dyDescent="0.25">
      <c r="A11" s="18">
        <f t="shared" si="12"/>
        <v>17777</v>
      </c>
      <c r="B11">
        <f>'2-state flows'!B10</f>
        <v>60815</v>
      </c>
      <c r="C11">
        <f>'2-state flows'!C10</f>
        <v>2302</v>
      </c>
      <c r="D11" t="e">
        <f>NA()</f>
        <v>#N/A</v>
      </c>
      <c r="E11">
        <f t="shared" si="1"/>
        <v>3.7852503494203729E-2</v>
      </c>
      <c r="F11" t="e">
        <f t="shared" si="2"/>
        <v>#N/A</v>
      </c>
      <c r="G11">
        <f>'2-state flows'!G10</f>
        <v>0.78594098088553077</v>
      </c>
      <c r="H11" t="e">
        <f t="shared" si="3"/>
        <v>#N/A</v>
      </c>
      <c r="I11">
        <f>'2-state flows'!H10</f>
        <v>2.9845299973528586E-2</v>
      </c>
      <c r="J11">
        <f t="shared" si="13"/>
        <v>-3.5101261029529159E-2</v>
      </c>
      <c r="K11">
        <v>0.5</v>
      </c>
      <c r="L11">
        <f t="shared" si="4"/>
        <v>-7.0202522059058317E-2</v>
      </c>
      <c r="M11" t="e">
        <f t="shared" si="5"/>
        <v>#N/A</v>
      </c>
      <c r="N11">
        <f t="shared" si="14"/>
        <v>0.85160507857911361</v>
      </c>
      <c r="O11" t="e">
        <f t="shared" si="15"/>
        <v>#N/A</v>
      </c>
      <c r="P11">
        <f t="shared" si="16"/>
        <v>3.7557121925042639E-2</v>
      </c>
      <c r="Q11" t="e">
        <f t="shared" si="17"/>
        <v>#N/A</v>
      </c>
      <c r="R11" t="e">
        <f t="shared" si="18"/>
        <v>#N/A</v>
      </c>
      <c r="U11" s="18">
        <f t="shared" si="19"/>
        <v>19419</v>
      </c>
      <c r="V11">
        <f t="shared" si="6"/>
        <v>2.6872394313589332E-2</v>
      </c>
      <c r="W11" t="e">
        <f t="shared" si="7"/>
        <v>#N/A</v>
      </c>
      <c r="X11" t="e">
        <f t="shared" si="8"/>
        <v>#N/A</v>
      </c>
      <c r="Y11" t="e">
        <f t="shared" si="9"/>
        <v>#N/A</v>
      </c>
      <c r="Z11" t="e">
        <f t="shared" si="10"/>
        <v>#N/A</v>
      </c>
      <c r="AA11">
        <f t="shared" si="11"/>
        <v>3.6527071987723821E-2</v>
      </c>
      <c r="AB11">
        <f t="shared" si="11"/>
        <v>3.4287841378995383E-2</v>
      </c>
    </row>
    <row r="12" spans="1:28" x14ac:dyDescent="0.25">
      <c r="A12" s="18">
        <f t="shared" si="12"/>
        <v>17807</v>
      </c>
      <c r="B12">
        <f>'2-state flows'!B11</f>
        <v>60646</v>
      </c>
      <c r="C12">
        <f>'2-state flows'!C11</f>
        <v>2259</v>
      </c>
      <c r="D12" t="e">
        <f>NA()</f>
        <v>#N/A</v>
      </c>
      <c r="E12">
        <f t="shared" si="1"/>
        <v>3.7248952940012535E-2</v>
      </c>
      <c r="F12" t="e">
        <f t="shared" si="2"/>
        <v>#N/A</v>
      </c>
      <c r="G12">
        <f>'2-state flows'!G11</f>
        <v>0.78148746139962888</v>
      </c>
      <c r="H12" t="e">
        <f t="shared" si="3"/>
        <v>#N/A</v>
      </c>
      <c r="I12">
        <f>'2-state flows'!H11</f>
        <v>3.088624938694088E-2</v>
      </c>
      <c r="J12">
        <f t="shared" si="13"/>
        <v>3.4283708583180056E-2</v>
      </c>
      <c r="K12">
        <v>0.5</v>
      </c>
      <c r="L12">
        <f t="shared" si="4"/>
        <v>6.8567417166360112E-2</v>
      </c>
      <c r="M12" t="e">
        <f t="shared" si="5"/>
        <v>#N/A</v>
      </c>
      <c r="N12">
        <f t="shared" si="14"/>
        <v>0.78880302118437562</v>
      </c>
      <c r="O12" t="e">
        <f t="shared" si="15"/>
        <v>#N/A</v>
      </c>
      <c r="P12">
        <f t="shared" si="16"/>
        <v>3.7916319441825663E-2</v>
      </c>
      <c r="Q12" t="e">
        <f t="shared" si="17"/>
        <v>#N/A</v>
      </c>
      <c r="R12" t="e">
        <f t="shared" si="18"/>
        <v>#N/A</v>
      </c>
      <c r="U12" s="18">
        <f t="shared" si="19"/>
        <v>19511</v>
      </c>
      <c r="V12">
        <f t="shared" si="6"/>
        <v>2.6082818341077136E-2</v>
      </c>
      <c r="W12" t="e">
        <f t="shared" si="7"/>
        <v>#N/A</v>
      </c>
      <c r="X12" t="e">
        <f t="shared" si="8"/>
        <v>#N/A</v>
      </c>
      <c r="Y12" t="e">
        <f t="shared" si="9"/>
        <v>#N/A</v>
      </c>
      <c r="Z12" t="e">
        <f t="shared" si="10"/>
        <v>#N/A</v>
      </c>
      <c r="AA12">
        <f t="shared" si="11"/>
        <v>3.610251746444007E-2</v>
      </c>
      <c r="AB12">
        <f t="shared" si="11"/>
        <v>4.2981879296292623E-2</v>
      </c>
    </row>
    <row r="13" spans="1:28" x14ac:dyDescent="0.25">
      <c r="A13" s="18">
        <f t="shared" si="12"/>
        <v>17838</v>
      </c>
      <c r="B13">
        <f>'2-state flows'!B12</f>
        <v>60702</v>
      </c>
      <c r="C13">
        <f>'2-state flows'!C12</f>
        <v>2285</v>
      </c>
      <c r="D13" t="e">
        <f>NA()</f>
        <v>#N/A</v>
      </c>
      <c r="E13">
        <f t="shared" si="1"/>
        <v>3.7642911271457281E-2</v>
      </c>
      <c r="F13" t="e">
        <f t="shared" si="2"/>
        <v>#N/A</v>
      </c>
      <c r="G13">
        <f>'2-state flows'!G12</f>
        <v>0.82937053336646693</v>
      </c>
      <c r="H13" t="e">
        <f t="shared" si="3"/>
        <v>#N/A</v>
      </c>
      <c r="I13">
        <f>'2-state flows'!H12</f>
        <v>3.6124862018148636E-2</v>
      </c>
      <c r="J13">
        <f t="shared" si="13"/>
        <v>0.15667024565716572</v>
      </c>
      <c r="K13">
        <v>0.5</v>
      </c>
      <c r="L13">
        <f t="shared" si="4"/>
        <v>0.31334049131433145</v>
      </c>
      <c r="M13" t="e">
        <f t="shared" si="5"/>
        <v>#N/A</v>
      </c>
      <c r="N13">
        <f t="shared" si="14"/>
        <v>0.79893299188387557</v>
      </c>
      <c r="O13" t="e">
        <f t="shared" si="15"/>
        <v>#N/A</v>
      </c>
      <c r="P13">
        <f t="shared" si="16"/>
        <v>3.758145590189118E-2</v>
      </c>
      <c r="Q13" t="e">
        <f t="shared" si="17"/>
        <v>#N/A</v>
      </c>
      <c r="R13" t="e">
        <f t="shared" si="18"/>
        <v>#N/A</v>
      </c>
      <c r="U13" s="18">
        <f t="shared" si="19"/>
        <v>19603</v>
      </c>
      <c r="V13">
        <f t="shared" si="6"/>
        <v>2.7287311626481913E-2</v>
      </c>
      <c r="W13" t="e">
        <f t="shared" si="7"/>
        <v>#N/A</v>
      </c>
      <c r="X13" t="e">
        <f t="shared" si="8"/>
        <v>#N/A</v>
      </c>
      <c r="Y13" t="e">
        <f t="shared" si="9"/>
        <v>#N/A</v>
      </c>
      <c r="Z13" t="e">
        <f t="shared" si="10"/>
        <v>#N/A</v>
      </c>
      <c r="AA13">
        <f t="shared" si="11"/>
        <v>3.1789292147591193E-2</v>
      </c>
      <c r="AB13">
        <f t="shared" si="11"/>
        <v>2.7229732423367986E-2</v>
      </c>
    </row>
    <row r="14" spans="1:28" x14ac:dyDescent="0.25">
      <c r="A14" s="18">
        <f t="shared" si="12"/>
        <v>17868</v>
      </c>
      <c r="B14">
        <f>'2-state flows'!B13</f>
        <v>61169</v>
      </c>
      <c r="C14">
        <f>'2-state flows'!C13</f>
        <v>2429</v>
      </c>
      <c r="D14" t="e">
        <f>NA()</f>
        <v>#N/A</v>
      </c>
      <c r="E14">
        <f t="shared" si="1"/>
        <v>3.9709656852327156E-2</v>
      </c>
      <c r="F14" t="e">
        <f t="shared" si="2"/>
        <v>#N/A</v>
      </c>
      <c r="G14">
        <f>'2-state flows'!G13</f>
        <v>0.80497842850829171</v>
      </c>
      <c r="H14" t="e">
        <f t="shared" si="3"/>
        <v>#N/A</v>
      </c>
      <c r="I14">
        <f>'2-state flows'!H13</f>
        <v>3.74940695359419E-2</v>
      </c>
      <c r="J14">
        <f t="shared" si="13"/>
        <v>3.7201447903316046E-2</v>
      </c>
      <c r="K14">
        <v>0.5</v>
      </c>
      <c r="L14">
        <f t="shared" si="4"/>
        <v>7.4402895806632091E-2</v>
      </c>
      <c r="M14" t="e">
        <f t="shared" si="5"/>
        <v>#N/A</v>
      </c>
      <c r="N14">
        <f t="shared" si="14"/>
        <v>0.80527880775812921</v>
      </c>
      <c r="O14" t="e">
        <f t="shared" si="15"/>
        <v>#N/A</v>
      </c>
      <c r="P14">
        <f t="shared" si="16"/>
        <v>3.8200507021265658E-2</v>
      </c>
      <c r="Q14" t="e">
        <f t="shared" si="17"/>
        <v>#N/A</v>
      </c>
      <c r="R14" t="e">
        <f t="shared" si="18"/>
        <v>#N/A</v>
      </c>
      <c r="U14" s="18">
        <f t="shared" si="19"/>
        <v>19694</v>
      </c>
      <c r="V14">
        <f t="shared" si="6"/>
        <v>3.7133159125407142E-2</v>
      </c>
      <c r="W14" t="e">
        <f t="shared" si="7"/>
        <v>#N/A</v>
      </c>
      <c r="X14" t="e">
        <f t="shared" si="8"/>
        <v>#N/A</v>
      </c>
      <c r="Y14" t="e">
        <f t="shared" si="9"/>
        <v>#N/A</v>
      </c>
      <c r="Z14" t="e">
        <f t="shared" si="10"/>
        <v>#N/A</v>
      </c>
      <c r="AA14">
        <f t="shared" si="11"/>
        <v>2.5379391696872994E-2</v>
      </c>
      <c r="AB14">
        <f t="shared" si="11"/>
        <v>1.48667850961709E-2</v>
      </c>
    </row>
    <row r="15" spans="1:28" x14ac:dyDescent="0.25">
      <c r="A15" s="18">
        <f t="shared" si="12"/>
        <v>17899</v>
      </c>
      <c r="B15">
        <f>'2-state flows'!B14</f>
        <v>60771</v>
      </c>
      <c r="C15">
        <f>'2-state flows'!C14</f>
        <v>2596</v>
      </c>
      <c r="D15" t="e">
        <f>NA()</f>
        <v>#N/A</v>
      </c>
      <c r="E15">
        <f t="shared" si="1"/>
        <v>4.2717743660627604E-2</v>
      </c>
      <c r="F15" t="e">
        <f t="shared" si="2"/>
        <v>#N/A</v>
      </c>
      <c r="G15">
        <f>'2-state flows'!G14</f>
        <v>0.73403337847658223</v>
      </c>
      <c r="H15" t="e">
        <f t="shared" si="3"/>
        <v>#N/A</v>
      </c>
      <c r="I15">
        <f>'2-state flows'!H14</f>
        <v>3.8999821451295373E-2</v>
      </c>
      <c r="J15">
        <f t="shared" si="13"/>
        <v>3.9374293185454996E-2</v>
      </c>
      <c r="K15">
        <v>0.5</v>
      </c>
      <c r="L15">
        <f t="shared" si="4"/>
        <v>7.8748586370909993E-2</v>
      </c>
      <c r="M15" t="e">
        <f t="shared" si="5"/>
        <v>#N/A</v>
      </c>
      <c r="N15">
        <f t="shared" si="14"/>
        <v>0.78946078011711363</v>
      </c>
      <c r="O15" t="e">
        <f t="shared" si="15"/>
        <v>#N/A</v>
      </c>
      <c r="P15">
        <f t="shared" si="16"/>
        <v>4.002343726147068E-2</v>
      </c>
      <c r="Q15" t="e">
        <f t="shared" si="17"/>
        <v>#N/A</v>
      </c>
      <c r="R15" t="e">
        <f t="shared" si="18"/>
        <v>#N/A</v>
      </c>
      <c r="U15" s="18">
        <f t="shared" si="19"/>
        <v>19784</v>
      </c>
      <c r="V15">
        <f t="shared" si="6"/>
        <v>5.2452367597192621E-2</v>
      </c>
      <c r="W15" t="e">
        <f t="shared" si="7"/>
        <v>#N/A</v>
      </c>
      <c r="X15" t="e">
        <f t="shared" si="8"/>
        <v>#N/A</v>
      </c>
      <c r="Y15" t="e">
        <f t="shared" si="9"/>
        <v>#N/A</v>
      </c>
      <c r="Z15" t="e">
        <f t="shared" si="10"/>
        <v>#N/A</v>
      </c>
      <c r="AA15">
        <f t="shared" si="11"/>
        <v>2.1281421853059309E-2</v>
      </c>
      <c r="AB15">
        <f t="shared" si="11"/>
        <v>1.0928975405395525E-2</v>
      </c>
    </row>
    <row r="16" spans="1:28" x14ac:dyDescent="0.25">
      <c r="A16" s="18">
        <f t="shared" si="12"/>
        <v>17930</v>
      </c>
      <c r="B16">
        <f>'2-state flows'!B15</f>
        <v>61057</v>
      </c>
      <c r="C16">
        <f>'2-state flows'!C15</f>
        <v>2849</v>
      </c>
      <c r="D16" t="e">
        <f>NA()</f>
        <v>#N/A</v>
      </c>
      <c r="E16">
        <f t="shared" si="1"/>
        <v>4.6661316474769475E-2</v>
      </c>
      <c r="F16" t="e">
        <f t="shared" si="2"/>
        <v>#N/A</v>
      </c>
      <c r="G16">
        <f>'2-state flows'!G15</f>
        <v>0.7112103598324272</v>
      </c>
      <c r="H16" t="e">
        <f t="shared" si="3"/>
        <v>#N/A</v>
      </c>
      <c r="I16">
        <f>'2-state flows'!H15</f>
        <v>3.92311876186799E-2</v>
      </c>
      <c r="J16">
        <f t="shared" si="13"/>
        <v>5.914965042592992E-3</v>
      </c>
      <c r="K16">
        <v>0.5</v>
      </c>
      <c r="L16">
        <f t="shared" si="4"/>
        <v>1.1829930085185984E-2</v>
      </c>
      <c r="M16" t="e">
        <f t="shared" si="5"/>
        <v>#N/A</v>
      </c>
      <c r="N16">
        <f t="shared" si="14"/>
        <v>0.75007405560576712</v>
      </c>
      <c r="O16" t="e">
        <f t="shared" si="15"/>
        <v>#N/A</v>
      </c>
      <c r="P16">
        <f t="shared" si="16"/>
        <v>4.3029572329241407E-2</v>
      </c>
      <c r="Q16" t="e">
        <f t="shared" si="17"/>
        <v>#N/A</v>
      </c>
      <c r="R16" t="e">
        <f t="shared" si="18"/>
        <v>#N/A</v>
      </c>
      <c r="U16" s="18">
        <f t="shared" si="19"/>
        <v>19876</v>
      </c>
      <c r="V16">
        <f t="shared" si="6"/>
        <v>5.7952752145803359E-2</v>
      </c>
      <c r="W16" t="e">
        <f t="shared" si="7"/>
        <v>#N/A</v>
      </c>
      <c r="X16" t="e">
        <f t="shared" si="8"/>
        <v>#N/A</v>
      </c>
      <c r="Y16" t="e">
        <f t="shared" si="9"/>
        <v>#N/A</v>
      </c>
      <c r="Z16" t="e">
        <f t="shared" si="10"/>
        <v>#N/A</v>
      </c>
      <c r="AA16">
        <f t="shared" si="11"/>
        <v>2.0258248378769241E-2</v>
      </c>
      <c r="AB16">
        <f t="shared" si="11"/>
        <v>1.1842848753196326E-2</v>
      </c>
    </row>
    <row r="17" spans="1:28" x14ac:dyDescent="0.25">
      <c r="A17" s="18">
        <f t="shared" si="12"/>
        <v>17958</v>
      </c>
      <c r="B17">
        <f>'2-state flows'!B16</f>
        <v>61073</v>
      </c>
      <c r="C17">
        <f>'2-state flows'!C16</f>
        <v>3030</v>
      </c>
      <c r="D17" t="e">
        <f>NA()</f>
        <v>#N/A</v>
      </c>
      <c r="E17">
        <f t="shared" si="1"/>
        <v>4.9612758502120415E-2</v>
      </c>
      <c r="F17" t="e">
        <f t="shared" si="2"/>
        <v>#N/A</v>
      </c>
      <c r="G17">
        <f>'2-state flows'!G16</f>
        <v>0.63357144876450311</v>
      </c>
      <c r="H17" t="e">
        <f t="shared" si="3"/>
        <v>#N/A</v>
      </c>
      <c r="I17">
        <f>'2-state flows'!H16</f>
        <v>3.8516353813761513E-2</v>
      </c>
      <c r="J17">
        <f t="shared" si="13"/>
        <v>-1.8389107503790355E-2</v>
      </c>
      <c r="K17">
        <v>0.5</v>
      </c>
      <c r="L17">
        <f t="shared" si="4"/>
        <v>-3.677821500758071E-2</v>
      </c>
      <c r="M17" t="e">
        <f t="shared" si="5"/>
        <v>#N/A</v>
      </c>
      <c r="N17">
        <f t="shared" si="14"/>
        <v>0.69293839569117088</v>
      </c>
      <c r="O17" t="e">
        <f t="shared" si="15"/>
        <v>#N/A</v>
      </c>
      <c r="P17">
        <f t="shared" si="16"/>
        <v>4.6330606212505836E-2</v>
      </c>
      <c r="Q17" t="e">
        <f t="shared" si="17"/>
        <v>#N/A</v>
      </c>
      <c r="R17" t="e">
        <f t="shared" si="18"/>
        <v>#N/A</v>
      </c>
      <c r="U17" s="18">
        <f t="shared" si="19"/>
        <v>19968</v>
      </c>
      <c r="V17">
        <f t="shared" si="6"/>
        <v>5.9819212851010051E-2</v>
      </c>
      <c r="W17" t="e">
        <f t="shared" si="7"/>
        <v>#N/A</v>
      </c>
      <c r="X17" t="e">
        <f t="shared" si="8"/>
        <v>#N/A</v>
      </c>
      <c r="Y17" t="e">
        <f t="shared" si="9"/>
        <v>#N/A</v>
      </c>
      <c r="Z17" t="e">
        <f t="shared" si="10"/>
        <v>#N/A</v>
      </c>
      <c r="AA17">
        <f t="shared" si="11"/>
        <v>1.9724600709309693E-2</v>
      </c>
      <c r="AB17">
        <f t="shared" si="11"/>
        <v>1.2478306991407733E-2</v>
      </c>
    </row>
    <row r="18" spans="1:28" x14ac:dyDescent="0.25">
      <c r="A18" s="18">
        <f t="shared" si="12"/>
        <v>17989</v>
      </c>
      <c r="B18">
        <f>'2-state flows'!B17</f>
        <v>61007</v>
      </c>
      <c r="C18">
        <f>'2-state flows'!C17</f>
        <v>3260</v>
      </c>
      <c r="D18" t="e">
        <f>NA()</f>
        <v>#N/A</v>
      </c>
      <c r="E18">
        <f t="shared" si="1"/>
        <v>5.3436490894487515E-2</v>
      </c>
      <c r="F18" t="e">
        <f t="shared" si="2"/>
        <v>#N/A</v>
      </c>
      <c r="G18">
        <f>'2-state flows'!G17</f>
        <v>0.58124369968209033</v>
      </c>
      <c r="H18" t="e">
        <f t="shared" si="3"/>
        <v>#N/A</v>
      </c>
      <c r="I18">
        <f>'2-state flows'!H17</f>
        <v>4.3220505231815691E-2</v>
      </c>
      <c r="J18">
        <f t="shared" si="13"/>
        <v>0.11523211529334816</v>
      </c>
      <c r="K18">
        <v>0.5</v>
      </c>
      <c r="L18">
        <f t="shared" si="4"/>
        <v>0.23046423058669632</v>
      </c>
      <c r="M18" t="e">
        <f t="shared" si="5"/>
        <v>#N/A</v>
      </c>
      <c r="N18">
        <f t="shared" si="14"/>
        <v>0.64200850275967358</v>
      </c>
      <c r="O18" t="e">
        <f t="shared" si="15"/>
        <v>#N/A</v>
      </c>
      <c r="P18">
        <f t="shared" si="16"/>
        <v>4.9903521957125802E-2</v>
      </c>
      <c r="Q18" t="e">
        <f t="shared" si="17"/>
        <v>#N/A</v>
      </c>
      <c r="R18" t="e">
        <f t="shared" si="18"/>
        <v>#N/A</v>
      </c>
      <c r="U18" s="18">
        <f t="shared" si="19"/>
        <v>20059</v>
      </c>
      <c r="V18">
        <f t="shared" si="6"/>
        <v>5.3725307810750973E-2</v>
      </c>
      <c r="W18" t="e">
        <f t="shared" si="7"/>
        <v>#N/A</v>
      </c>
      <c r="X18" t="e">
        <f t="shared" si="8"/>
        <v>#N/A</v>
      </c>
      <c r="Y18" t="e">
        <f t="shared" si="9"/>
        <v>#N/A</v>
      </c>
      <c r="Z18" t="e">
        <f t="shared" si="10"/>
        <v>#N/A</v>
      </c>
      <c r="AA18">
        <f t="shared" si="11"/>
        <v>2.1015377014193242E-2</v>
      </c>
      <c r="AB18">
        <f t="shared" si="11"/>
        <v>1.551121934765849E-2</v>
      </c>
    </row>
    <row r="19" spans="1:28" x14ac:dyDescent="0.25">
      <c r="A19" s="18">
        <f t="shared" si="12"/>
        <v>18019</v>
      </c>
      <c r="B19">
        <f>'2-state flows'!B18</f>
        <v>61259</v>
      </c>
      <c r="C19">
        <f>'2-state flows'!C18</f>
        <v>3707</v>
      </c>
      <c r="D19" t="e">
        <f>NA()</f>
        <v>#N/A</v>
      </c>
      <c r="E19">
        <f t="shared" si="1"/>
        <v>6.0513557191596339E-2</v>
      </c>
      <c r="F19" t="e">
        <f t="shared" si="2"/>
        <v>#N/A</v>
      </c>
      <c r="G19">
        <f>'2-state flows'!G18</f>
        <v>0.59384761748944281</v>
      </c>
      <c r="H19" t="e">
        <f t="shared" si="3"/>
        <v>#N/A</v>
      </c>
      <c r="I19">
        <f>'2-state flows'!H18</f>
        <v>3.9869165622521685E-2</v>
      </c>
      <c r="J19">
        <f t="shared" si="13"/>
        <v>-8.0711807056296506E-2</v>
      </c>
      <c r="K19">
        <v>0.5</v>
      </c>
      <c r="L19">
        <f t="shared" si="4"/>
        <v>-0.16142361411259301</v>
      </c>
      <c r="M19" t="e">
        <f t="shared" si="5"/>
        <v>#N/A</v>
      </c>
      <c r="N19">
        <f t="shared" si="14"/>
        <v>0.60288758864534542</v>
      </c>
      <c r="O19" t="e">
        <f t="shared" si="15"/>
        <v>#N/A</v>
      </c>
      <c r="P19">
        <f t="shared" si="16"/>
        <v>5.4520935529401425E-2</v>
      </c>
      <c r="Q19" t="e">
        <f t="shared" si="17"/>
        <v>#N/A</v>
      </c>
      <c r="R19" t="e">
        <f t="shared" si="18"/>
        <v>#N/A</v>
      </c>
      <c r="U19" s="18">
        <f t="shared" si="19"/>
        <v>20149</v>
      </c>
      <c r="V19">
        <f t="shared" si="6"/>
        <v>4.7229197089687681E-2</v>
      </c>
      <c r="W19" t="e">
        <f t="shared" si="7"/>
        <v>#N/A</v>
      </c>
      <c r="X19" t="e">
        <f t="shared" si="8"/>
        <v>#N/A</v>
      </c>
      <c r="Y19" t="e">
        <f t="shared" si="9"/>
        <v>#N/A</v>
      </c>
      <c r="Z19" t="e">
        <f t="shared" si="10"/>
        <v>#N/A</v>
      </c>
      <c r="AA19">
        <f t="shared" si="11"/>
        <v>2.4241655790776959E-2</v>
      </c>
      <c r="AB19">
        <f t="shared" si="11"/>
        <v>2.4728223715053382E-2</v>
      </c>
    </row>
    <row r="20" spans="1:28" x14ac:dyDescent="0.25">
      <c r="A20" s="18">
        <f t="shared" si="12"/>
        <v>18050</v>
      </c>
      <c r="B20">
        <f>'2-state flows'!B19</f>
        <v>60948</v>
      </c>
      <c r="C20">
        <f>'2-state flows'!C19</f>
        <v>3776</v>
      </c>
      <c r="D20" t="e">
        <f>NA()</f>
        <v>#N/A</v>
      </c>
      <c r="E20">
        <f t="shared" si="1"/>
        <v>6.1954452976307674E-2</v>
      </c>
      <c r="F20" t="e">
        <f t="shared" si="2"/>
        <v>#N/A</v>
      </c>
      <c r="G20">
        <f>'2-state flows'!G19</f>
        <v>0.51374301079738804</v>
      </c>
      <c r="H20" t="e">
        <f t="shared" si="3"/>
        <v>#N/A</v>
      </c>
      <c r="I20">
        <f>'2-state flows'!H19</f>
        <v>4.1567074251070153E-2</v>
      </c>
      <c r="J20">
        <f t="shared" si="13"/>
        <v>4.1705135805724929E-2</v>
      </c>
      <c r="K20">
        <v>0.5</v>
      </c>
      <c r="L20">
        <f t="shared" si="4"/>
        <v>8.3410271611449857E-2</v>
      </c>
      <c r="M20" t="e">
        <f t="shared" si="5"/>
        <v>#N/A</v>
      </c>
      <c r="N20">
        <f t="shared" si="14"/>
        <v>0.56294477598964043</v>
      </c>
      <c r="O20" t="e">
        <f t="shared" si="15"/>
        <v>#N/A</v>
      </c>
      <c r="P20">
        <f t="shared" si="16"/>
        <v>5.863483368746384E-2</v>
      </c>
      <c r="Q20" t="e">
        <f t="shared" si="17"/>
        <v>#N/A</v>
      </c>
      <c r="R20" t="e">
        <f t="shared" si="18"/>
        <v>#N/A</v>
      </c>
      <c r="U20" s="18">
        <f t="shared" si="19"/>
        <v>20241</v>
      </c>
      <c r="V20">
        <f t="shared" si="6"/>
        <v>4.3926661957227248E-2</v>
      </c>
      <c r="W20" t="e">
        <f t="shared" si="7"/>
        <v>#N/A</v>
      </c>
      <c r="X20" t="e">
        <f t="shared" si="8"/>
        <v>#N/A</v>
      </c>
      <c r="Y20" t="e">
        <f t="shared" si="9"/>
        <v>#N/A</v>
      </c>
      <c r="Z20" t="e">
        <f t="shared" si="10"/>
        <v>#N/A</v>
      </c>
      <c r="AA20">
        <f t="shared" si="11"/>
        <v>2.6998842498874926E-2</v>
      </c>
      <c r="AB20">
        <f t="shared" si="11"/>
        <v>2.3479383875423851E-2</v>
      </c>
    </row>
    <row r="21" spans="1:28" x14ac:dyDescent="0.25">
      <c r="A21" s="18">
        <f t="shared" si="12"/>
        <v>18080</v>
      </c>
      <c r="B21">
        <f>'2-state flows'!B20</f>
        <v>61301</v>
      </c>
      <c r="C21">
        <f>'2-state flows'!C20</f>
        <v>4111</v>
      </c>
      <c r="D21" t="e">
        <f>NA()</f>
        <v>#N/A</v>
      </c>
      <c r="E21">
        <f t="shared" si="1"/>
        <v>6.7062527528099047E-2</v>
      </c>
      <c r="F21" t="e">
        <f t="shared" si="2"/>
        <v>#N/A</v>
      </c>
      <c r="G21">
        <f>'2-state flows'!G20</f>
        <v>0.57253024964234678</v>
      </c>
      <c r="H21" t="e">
        <f t="shared" si="3"/>
        <v>#N/A</v>
      </c>
      <c r="I21">
        <f>'2-state flows'!H20</f>
        <v>4.3075452188344389E-2</v>
      </c>
      <c r="J21">
        <f t="shared" si="13"/>
        <v>3.5644910528131207E-2</v>
      </c>
      <c r="K21">
        <v>0.5</v>
      </c>
      <c r="L21">
        <f t="shared" si="4"/>
        <v>7.1289821056262415E-2</v>
      </c>
      <c r="M21" t="e">
        <f t="shared" si="5"/>
        <v>#N/A</v>
      </c>
      <c r="N21">
        <f t="shared" si="14"/>
        <v>0.56004029264305921</v>
      </c>
      <c r="O21" t="e">
        <f t="shared" si="15"/>
        <v>#N/A</v>
      </c>
      <c r="P21">
        <f t="shared" si="16"/>
        <v>6.3176845898667691E-2</v>
      </c>
      <c r="Q21" t="e">
        <f t="shared" si="17"/>
        <v>#N/A</v>
      </c>
      <c r="R21" t="e">
        <f t="shared" si="18"/>
        <v>#N/A</v>
      </c>
      <c r="U21" s="18">
        <f t="shared" si="19"/>
        <v>20333</v>
      </c>
      <c r="V21">
        <f t="shared" si="6"/>
        <v>4.121975104553191E-2</v>
      </c>
      <c r="W21" t="e">
        <f t="shared" si="7"/>
        <v>#N/A</v>
      </c>
      <c r="X21" t="e">
        <f t="shared" si="8"/>
        <v>#N/A</v>
      </c>
      <c r="Y21" t="e">
        <f t="shared" si="9"/>
        <v>#N/A</v>
      </c>
      <c r="Z21" t="e">
        <f t="shared" si="10"/>
        <v>#N/A</v>
      </c>
      <c r="AA21">
        <f t="shared" si="11"/>
        <v>3.0286259016498812E-2</v>
      </c>
      <c r="AB21">
        <f t="shared" si="11"/>
        <v>2.3190570073124656E-2</v>
      </c>
    </row>
    <row r="22" spans="1:28" x14ac:dyDescent="0.25">
      <c r="A22" s="18">
        <f t="shared" si="12"/>
        <v>18111</v>
      </c>
      <c r="B22">
        <f>'2-state flows'!B21</f>
        <v>61590</v>
      </c>
      <c r="C22">
        <f>'2-state flows'!C21</f>
        <v>4193</v>
      </c>
      <c r="D22" t="e">
        <f>NA()</f>
        <v>#N/A</v>
      </c>
      <c r="E22">
        <f t="shared" si="1"/>
        <v>6.8079233641824971E-2</v>
      </c>
      <c r="F22" t="e">
        <f t="shared" si="2"/>
        <v>#N/A</v>
      </c>
      <c r="G22">
        <f>'2-state flows'!G21</f>
        <v>0.55878141158330308</v>
      </c>
      <c r="H22" t="e">
        <f t="shared" si="3"/>
        <v>#N/A</v>
      </c>
      <c r="I22">
        <f>'2-state flows'!H21</f>
        <v>3.7489721336687896E-2</v>
      </c>
      <c r="J22">
        <f t="shared" si="13"/>
        <v>-0.13888648234055809</v>
      </c>
      <c r="K22">
        <v>0.5</v>
      </c>
      <c r="L22">
        <f t="shared" si="4"/>
        <v>-0.27777296468111617</v>
      </c>
      <c r="M22" t="e">
        <f t="shared" si="5"/>
        <v>#N/A</v>
      </c>
      <c r="N22">
        <f t="shared" si="14"/>
        <v>0.54835155734101271</v>
      </c>
      <c r="O22" t="e">
        <f t="shared" si="15"/>
        <v>#N/A</v>
      </c>
      <c r="P22">
        <f t="shared" si="16"/>
        <v>6.569873804874389E-2</v>
      </c>
      <c r="Q22" t="e">
        <f t="shared" si="17"/>
        <v>#N/A</v>
      </c>
      <c r="R22" t="e">
        <f t="shared" si="18"/>
        <v>#N/A</v>
      </c>
      <c r="U22" s="18">
        <f t="shared" si="19"/>
        <v>20424</v>
      </c>
      <c r="V22">
        <f t="shared" si="6"/>
        <v>4.2215390940655663E-2</v>
      </c>
      <c r="W22" t="e">
        <f t="shared" si="7"/>
        <v>#N/A</v>
      </c>
      <c r="X22" t="e">
        <f t="shared" si="8"/>
        <v>#N/A</v>
      </c>
      <c r="Y22" t="e">
        <f t="shared" si="9"/>
        <v>#N/A</v>
      </c>
      <c r="Z22" t="e">
        <f t="shared" si="10"/>
        <v>#N/A</v>
      </c>
      <c r="AA22">
        <f t="shared" si="11"/>
        <v>3.2182287944420858E-2</v>
      </c>
      <c r="AB22">
        <f t="shared" si="11"/>
        <v>2.6994813176938137E-2</v>
      </c>
    </row>
    <row r="23" spans="1:28" x14ac:dyDescent="0.25">
      <c r="A23" s="18">
        <f t="shared" si="12"/>
        <v>18142</v>
      </c>
      <c r="B23">
        <f>'2-state flows'!B22</f>
        <v>61633</v>
      </c>
      <c r="C23">
        <f>'2-state flows'!C22</f>
        <v>4049</v>
      </c>
      <c r="D23" t="e">
        <f>NA()</f>
        <v>#N/A</v>
      </c>
      <c r="E23">
        <f t="shared" si="1"/>
        <v>6.5695325556114417E-2</v>
      </c>
      <c r="F23" t="e">
        <f t="shared" si="2"/>
        <v>#N/A</v>
      </c>
      <c r="G23">
        <f>'2-state flows'!G22</f>
        <v>0.44913135112966868</v>
      </c>
      <c r="H23" t="e">
        <f t="shared" si="3"/>
        <v>#N/A</v>
      </c>
      <c r="I23">
        <f>'2-state flows'!H22</f>
        <v>5.0711852617338772E-2</v>
      </c>
      <c r="J23">
        <f t="shared" si="13"/>
        <v>0.30209286499326798</v>
      </c>
      <c r="K23">
        <v>0.5</v>
      </c>
      <c r="L23">
        <f t="shared" si="4"/>
        <v>0.60418572998653597</v>
      </c>
      <c r="M23" t="e">
        <f t="shared" si="5"/>
        <v>#N/A</v>
      </c>
      <c r="N23">
        <f t="shared" si="14"/>
        <v>0.52681433745177286</v>
      </c>
      <c r="O23" t="e">
        <f t="shared" si="15"/>
        <v>#N/A</v>
      </c>
      <c r="P23">
        <f t="shared" si="16"/>
        <v>6.6945695575346145E-2</v>
      </c>
      <c r="Q23" t="e">
        <f t="shared" si="17"/>
        <v>#N/A</v>
      </c>
      <c r="R23" t="e">
        <f t="shared" si="18"/>
        <v>#N/A</v>
      </c>
      <c r="U23" s="18">
        <f t="shared" si="19"/>
        <v>20515</v>
      </c>
      <c r="V23">
        <f t="shared" si="6"/>
        <v>4.0439320017616513E-2</v>
      </c>
      <c r="W23" t="e">
        <f t="shared" si="7"/>
        <v>#N/A</v>
      </c>
      <c r="X23" t="e">
        <f t="shared" si="8"/>
        <v>#N/A</v>
      </c>
      <c r="Y23" t="e">
        <f t="shared" si="9"/>
        <v>#N/A</v>
      </c>
      <c r="Z23" t="e">
        <f t="shared" si="10"/>
        <v>#N/A</v>
      </c>
      <c r="AA23">
        <f t="shared" si="11"/>
        <v>3.2606613518114849E-2</v>
      </c>
      <c r="AB23">
        <f t="shared" si="11"/>
        <v>2.6077588403395625E-2</v>
      </c>
    </row>
    <row r="24" spans="1:28" x14ac:dyDescent="0.25">
      <c r="A24" s="18">
        <f t="shared" si="12"/>
        <v>18172</v>
      </c>
      <c r="B24">
        <f>'2-state flows'!B23</f>
        <v>62185</v>
      </c>
      <c r="C24">
        <f>'2-state flows'!C23</f>
        <v>4916</v>
      </c>
      <c r="D24" t="e">
        <f>NA()</f>
        <v>#N/A</v>
      </c>
      <c r="E24">
        <f t="shared" si="1"/>
        <v>7.9054434349119559E-2</v>
      </c>
      <c r="F24" t="e">
        <f t="shared" si="2"/>
        <v>#N/A</v>
      </c>
      <c r="G24">
        <f>'2-state flows'!G23</f>
        <v>0.78200951872660962</v>
      </c>
      <c r="H24" t="e">
        <f t="shared" si="3"/>
        <v>#N/A</v>
      </c>
      <c r="I24">
        <f>'2-state flows'!H23</f>
        <v>4.3530441398981698E-2</v>
      </c>
      <c r="J24">
        <f t="shared" si="13"/>
        <v>-0.15269916708702938</v>
      </c>
      <c r="K24">
        <v>0.5</v>
      </c>
      <c r="L24">
        <f t="shared" si="4"/>
        <v>-0.30539833417405876</v>
      </c>
      <c r="M24" t="e">
        <f t="shared" si="5"/>
        <v>#N/A</v>
      </c>
      <c r="N24">
        <f t="shared" si="14"/>
        <v>0.59664076047986048</v>
      </c>
      <c r="O24" t="e">
        <f t="shared" si="15"/>
        <v>#N/A</v>
      </c>
      <c r="P24">
        <f t="shared" si="16"/>
        <v>7.0942997849019654E-2</v>
      </c>
      <c r="Q24" t="e">
        <f t="shared" si="17"/>
        <v>#N/A</v>
      </c>
      <c r="R24" t="e">
        <f t="shared" si="18"/>
        <v>#N/A</v>
      </c>
      <c r="U24" s="18">
        <f t="shared" si="19"/>
        <v>20607</v>
      </c>
      <c r="V24">
        <f t="shared" si="6"/>
        <v>4.2026019760730816E-2</v>
      </c>
      <c r="W24" t="e">
        <f t="shared" si="7"/>
        <v>#N/A</v>
      </c>
      <c r="X24" t="e">
        <f t="shared" si="8"/>
        <v>#N/A</v>
      </c>
      <c r="Y24" t="e">
        <f t="shared" si="9"/>
        <v>#N/A</v>
      </c>
      <c r="Z24" t="e">
        <f t="shared" si="10"/>
        <v>#N/A</v>
      </c>
      <c r="AA24">
        <f t="shared" si="11"/>
        <v>3.2448282130728617E-2</v>
      </c>
      <c r="AB24">
        <f t="shared" si="11"/>
        <v>2.3206032806995517E-2</v>
      </c>
    </row>
    <row r="25" spans="1:28" x14ac:dyDescent="0.25">
      <c r="A25" s="18">
        <f t="shared" si="12"/>
        <v>18203</v>
      </c>
      <c r="B25">
        <f>'2-state flows'!B24</f>
        <v>62005</v>
      </c>
      <c r="C25">
        <f>'2-state flows'!C24</f>
        <v>3996</v>
      </c>
      <c r="D25" t="e">
        <f>NA()</f>
        <v>#N/A</v>
      </c>
      <c r="E25">
        <f t="shared" si="1"/>
        <v>6.4446415611644228E-2</v>
      </c>
      <c r="F25" t="e">
        <f t="shared" si="2"/>
        <v>#N/A</v>
      </c>
      <c r="G25">
        <f>'2-state flows'!G24</f>
        <v>0.54588417324810967</v>
      </c>
      <c r="H25" t="e">
        <f t="shared" si="3"/>
        <v>#N/A</v>
      </c>
      <c r="I25">
        <f>'2-state flows'!H24</f>
        <v>3.912929270004574E-2</v>
      </c>
      <c r="J25">
        <f t="shared" si="13"/>
        <v>-0.10658913520780536</v>
      </c>
      <c r="K25">
        <v>0.5</v>
      </c>
      <c r="L25">
        <f t="shared" si="4"/>
        <v>-0.21317827041561072</v>
      </c>
      <c r="M25" t="e">
        <f t="shared" si="5"/>
        <v>#N/A</v>
      </c>
      <c r="N25">
        <f t="shared" si="14"/>
        <v>0.59234168103479601</v>
      </c>
      <c r="O25" t="e">
        <f t="shared" si="15"/>
        <v>#N/A</v>
      </c>
      <c r="P25">
        <f t="shared" si="16"/>
        <v>6.9732058505626068E-2</v>
      </c>
      <c r="Q25" t="e">
        <f t="shared" si="17"/>
        <v>#N/A</v>
      </c>
      <c r="R25" t="e">
        <f t="shared" si="18"/>
        <v>#N/A</v>
      </c>
      <c r="U25" s="18">
        <f t="shared" si="19"/>
        <v>20699</v>
      </c>
      <c r="V25">
        <f t="shared" si="6"/>
        <v>4.1410500885546021E-2</v>
      </c>
      <c r="W25" t="e">
        <f t="shared" si="7"/>
        <v>#N/A</v>
      </c>
      <c r="X25" t="e">
        <f t="shared" si="8"/>
        <v>#N/A</v>
      </c>
      <c r="Y25" t="e">
        <f t="shared" si="9"/>
        <v>#N/A</v>
      </c>
      <c r="Z25" t="e">
        <f t="shared" si="10"/>
        <v>#N/A</v>
      </c>
      <c r="AA25">
        <f t="shared" si="11"/>
        <v>3.0924879511343303E-2</v>
      </c>
      <c r="AB25">
        <f t="shared" si="11"/>
        <v>2.5224138300152205E-2</v>
      </c>
    </row>
    <row r="26" spans="1:28" x14ac:dyDescent="0.25">
      <c r="A26" s="18">
        <f t="shared" si="12"/>
        <v>18233</v>
      </c>
      <c r="B26">
        <f>'2-state flows'!B25</f>
        <v>61908</v>
      </c>
      <c r="C26">
        <f>'2-state flows'!C25</f>
        <v>4063</v>
      </c>
      <c r="D26" t="e">
        <f>NA()</f>
        <v>#N/A</v>
      </c>
      <c r="E26">
        <f t="shared" si="1"/>
        <v>6.562964398785294E-2</v>
      </c>
      <c r="F26" t="e">
        <f t="shared" si="2"/>
        <v>#N/A</v>
      </c>
      <c r="G26">
        <f>'2-state flows'!G25</f>
        <v>0.59277076068933821</v>
      </c>
      <c r="H26" t="e">
        <f t="shared" si="3"/>
        <v>#N/A</v>
      </c>
      <c r="I26">
        <f>'2-state flows'!H25</f>
        <v>4.0772368824189296E-2</v>
      </c>
      <c r="J26">
        <f t="shared" si="13"/>
        <v>4.1133256867024452E-2</v>
      </c>
      <c r="K26">
        <v>0.5</v>
      </c>
      <c r="L26">
        <f t="shared" si="4"/>
        <v>8.2266513734048904E-2</v>
      </c>
      <c r="M26" t="e">
        <f t="shared" si="5"/>
        <v>#N/A</v>
      </c>
      <c r="N26">
        <f t="shared" si="14"/>
        <v>0.6402214842213525</v>
      </c>
      <c r="O26" t="e">
        <f t="shared" si="15"/>
        <v>#N/A</v>
      </c>
      <c r="P26">
        <f t="shared" si="16"/>
        <v>6.97101646495389E-2</v>
      </c>
      <c r="Q26" t="e">
        <f t="shared" si="17"/>
        <v>#N/A</v>
      </c>
      <c r="R26" t="e">
        <f t="shared" si="18"/>
        <v>#N/A</v>
      </c>
      <c r="U26" s="18">
        <f t="shared" si="19"/>
        <v>20790</v>
      </c>
      <c r="V26">
        <f t="shared" si="6"/>
        <v>4.1128412752193901E-2</v>
      </c>
      <c r="W26" t="e">
        <f t="shared" si="7"/>
        <v>#N/A</v>
      </c>
      <c r="X26" t="e">
        <f t="shared" si="8"/>
        <v>#N/A</v>
      </c>
      <c r="Y26" t="e">
        <f t="shared" si="9"/>
        <v>#N/A</v>
      </c>
      <c r="Z26" t="e">
        <f t="shared" si="10"/>
        <v>#N/A</v>
      </c>
      <c r="AA26">
        <f t="shared" si="11"/>
        <v>3.2171170641966444E-2</v>
      </c>
      <c r="AB26">
        <f t="shared" si="11"/>
        <v>2.4857796804973627E-2</v>
      </c>
    </row>
    <row r="27" spans="1:28" x14ac:dyDescent="0.25">
      <c r="A27" s="18">
        <f t="shared" si="12"/>
        <v>18264</v>
      </c>
      <c r="B27">
        <f>'2-state flows'!B26</f>
        <v>61661</v>
      </c>
      <c r="C27">
        <f>'2-state flows'!C26</f>
        <v>4026</v>
      </c>
      <c r="D27" t="e">
        <f>NA()</f>
        <v>#N/A</v>
      </c>
      <c r="E27">
        <f t="shared" si="1"/>
        <v>6.5292486336582287E-2</v>
      </c>
      <c r="F27" t="e">
        <f t="shared" si="2"/>
        <v>#N/A</v>
      </c>
      <c r="G27">
        <f>'2-state flows'!G26</f>
        <v>0.54433326225161915</v>
      </c>
      <c r="H27" t="e">
        <f t="shared" si="3"/>
        <v>#N/A</v>
      </c>
      <c r="I27">
        <f>'2-state flows'!H26</f>
        <v>3.5965311734713214E-2</v>
      </c>
      <c r="J27">
        <f t="shared" si="13"/>
        <v>-0.12544970627556448</v>
      </c>
      <c r="K27">
        <v>0.5</v>
      </c>
      <c r="L27">
        <f t="shared" si="4"/>
        <v>-0.25089941255112896</v>
      </c>
      <c r="M27" t="e">
        <f t="shared" si="5"/>
        <v>#N/A</v>
      </c>
      <c r="N27">
        <f t="shared" si="14"/>
        <v>0.56099606539635571</v>
      </c>
      <c r="O27" t="e">
        <f t="shared" si="15"/>
        <v>#N/A</v>
      </c>
      <c r="P27">
        <f t="shared" si="16"/>
        <v>6.5122848645359818E-2</v>
      </c>
      <c r="Q27" t="e">
        <f t="shared" si="17"/>
        <v>#N/A</v>
      </c>
      <c r="R27" t="e">
        <f t="shared" si="18"/>
        <v>#N/A</v>
      </c>
      <c r="U27" s="18">
        <f t="shared" si="19"/>
        <v>20880</v>
      </c>
      <c r="V27">
        <f t="shared" si="6"/>
        <v>3.9597422307235036E-2</v>
      </c>
      <c r="W27" t="e">
        <f t="shared" si="7"/>
        <v>#N/A</v>
      </c>
      <c r="X27" t="e">
        <f t="shared" si="8"/>
        <v>#N/A</v>
      </c>
      <c r="Y27" t="e">
        <f t="shared" si="9"/>
        <v>#N/A</v>
      </c>
      <c r="Z27" t="e">
        <f t="shared" si="10"/>
        <v>#N/A</v>
      </c>
      <c r="AA27">
        <f t="shared" si="11"/>
        <v>3.1398459285088325E-2</v>
      </c>
      <c r="AB27">
        <f t="shared" si="11"/>
        <v>2.930959369325499E-2</v>
      </c>
    </row>
    <row r="28" spans="1:28" x14ac:dyDescent="0.25">
      <c r="A28" s="18">
        <f t="shared" si="12"/>
        <v>18295</v>
      </c>
      <c r="B28">
        <f>'2-state flows'!B27</f>
        <v>61687</v>
      </c>
      <c r="C28">
        <f>'2-state flows'!C27</f>
        <v>3936</v>
      </c>
      <c r="D28" t="e">
        <f>NA()</f>
        <v>#N/A</v>
      </c>
      <c r="E28">
        <f t="shared" si="1"/>
        <v>6.3805988295751126E-2</v>
      </c>
      <c r="F28" t="e">
        <f t="shared" si="2"/>
        <v>#N/A</v>
      </c>
      <c r="G28">
        <f>'2-state flows'!G27</f>
        <v>0.50601000173638044</v>
      </c>
      <c r="H28" t="e">
        <f t="shared" si="3"/>
        <v>#N/A</v>
      </c>
      <c r="I28">
        <f>'2-state flows'!H27</f>
        <v>3.314287794964358E-2</v>
      </c>
      <c r="J28">
        <f t="shared" si="13"/>
        <v>-8.1727060604529E-2</v>
      </c>
      <c r="K28">
        <v>0.5</v>
      </c>
      <c r="L28">
        <f t="shared" si="4"/>
        <v>-0.163454121209058</v>
      </c>
      <c r="M28" t="e">
        <f t="shared" si="5"/>
        <v>#N/A</v>
      </c>
      <c r="N28">
        <f t="shared" si="14"/>
        <v>0.54770467489244601</v>
      </c>
      <c r="O28" t="e">
        <f t="shared" si="15"/>
        <v>#N/A</v>
      </c>
      <c r="P28">
        <f t="shared" si="16"/>
        <v>6.4909372873395446E-2</v>
      </c>
      <c r="Q28" t="e">
        <f t="shared" si="17"/>
        <v>#N/A</v>
      </c>
      <c r="R28" t="e">
        <f t="shared" si="18"/>
        <v>#N/A</v>
      </c>
      <c r="U28" s="18">
        <f t="shared" si="19"/>
        <v>20972</v>
      </c>
      <c r="V28">
        <f t="shared" si="6"/>
        <v>4.0746015758410595E-2</v>
      </c>
      <c r="W28" t="e">
        <f t="shared" si="7"/>
        <v>#N/A</v>
      </c>
      <c r="X28" t="e">
        <f t="shared" si="8"/>
        <v>#N/A</v>
      </c>
      <c r="Y28" t="e">
        <f t="shared" si="9"/>
        <v>#N/A</v>
      </c>
      <c r="Z28" t="e">
        <f t="shared" si="10"/>
        <v>#N/A</v>
      </c>
      <c r="AA28">
        <f t="shared" si="11"/>
        <v>2.847449880197141E-2</v>
      </c>
      <c r="AB28">
        <f t="shared" si="11"/>
        <v>2.3660997927707234E-2</v>
      </c>
    </row>
    <row r="29" spans="1:28" x14ac:dyDescent="0.25">
      <c r="A29" s="18">
        <f t="shared" si="12"/>
        <v>18323</v>
      </c>
      <c r="B29">
        <f>'2-state flows'!B28</f>
        <v>61604</v>
      </c>
      <c r="C29">
        <f>'2-state flows'!C28</f>
        <v>3876</v>
      </c>
      <c r="D29" t="e">
        <f>NA()</f>
        <v>#N/A</v>
      </c>
      <c r="E29">
        <f t="shared" si="1"/>
        <v>6.2917992338159853E-2</v>
      </c>
      <c r="F29" t="e">
        <f t="shared" si="2"/>
        <v>#N/A</v>
      </c>
      <c r="G29">
        <f>'2-state flows'!G28</f>
        <v>0.61143879730795703</v>
      </c>
      <c r="H29" t="e">
        <f t="shared" si="3"/>
        <v>#N/A</v>
      </c>
      <c r="I29">
        <f>'2-state flows'!H28</f>
        <v>3.3977009032072125E-2</v>
      </c>
      <c r="J29">
        <f t="shared" si="13"/>
        <v>2.4856240545658801E-2</v>
      </c>
      <c r="K29">
        <v>0.5</v>
      </c>
      <c r="L29">
        <f t="shared" si="4"/>
        <v>4.9712481091317602E-2</v>
      </c>
      <c r="M29" t="e">
        <f t="shared" si="5"/>
        <v>#N/A</v>
      </c>
      <c r="N29">
        <f t="shared" si="14"/>
        <v>0.55392735376531899</v>
      </c>
      <c r="O29" t="e">
        <f t="shared" si="15"/>
        <v>#N/A</v>
      </c>
      <c r="P29">
        <f t="shared" si="16"/>
        <v>6.4005488990164436E-2</v>
      </c>
      <c r="Q29" t="e">
        <f t="shared" si="17"/>
        <v>#N/A</v>
      </c>
      <c r="R29" t="e">
        <f t="shared" si="18"/>
        <v>#N/A</v>
      </c>
      <c r="U29" s="18">
        <f t="shared" si="19"/>
        <v>21064</v>
      </c>
      <c r="V29">
        <f t="shared" si="6"/>
        <v>4.2195755330415696E-2</v>
      </c>
      <c r="W29" t="e">
        <f t="shared" si="7"/>
        <v>#N/A</v>
      </c>
      <c r="X29" t="e">
        <f t="shared" si="8"/>
        <v>#N/A</v>
      </c>
      <c r="Y29" t="e">
        <f t="shared" si="9"/>
        <v>#N/A</v>
      </c>
      <c r="Z29" t="e">
        <f t="shared" si="10"/>
        <v>#N/A</v>
      </c>
      <c r="AA29">
        <f t="shared" si="11"/>
        <v>2.6927379415611779E-2</v>
      </c>
      <c r="AB29">
        <f t="shared" si="11"/>
        <v>2.1826723486769849E-2</v>
      </c>
    </row>
    <row r="30" spans="1:28" x14ac:dyDescent="0.25">
      <c r="A30" s="18">
        <f t="shared" si="12"/>
        <v>18354</v>
      </c>
      <c r="B30">
        <f>'2-state flows'!B29</f>
        <v>62158</v>
      </c>
      <c r="C30">
        <f>'2-state flows'!C29</f>
        <v>3575</v>
      </c>
      <c r="D30" t="e">
        <f>NA()</f>
        <v>#N/A</v>
      </c>
      <c r="E30">
        <f t="shared" si="1"/>
        <v>5.7514720550854277E-2</v>
      </c>
      <c r="F30" t="e">
        <f t="shared" si="2"/>
        <v>#N/A</v>
      </c>
      <c r="G30">
        <f>'2-state flows'!G29</f>
        <v>0.59593163339607391</v>
      </c>
      <c r="H30" t="e">
        <f t="shared" si="3"/>
        <v>#N/A</v>
      </c>
      <c r="I30">
        <f>'2-state flows'!H29</f>
        <v>3.3123738359265666E-2</v>
      </c>
      <c r="J30">
        <f t="shared" si="13"/>
        <v>-2.5433894633832239E-2</v>
      </c>
      <c r="K30">
        <v>0.5</v>
      </c>
      <c r="L30">
        <f t="shared" si="4"/>
        <v>-5.0867789267664477E-2</v>
      </c>
      <c r="M30" t="e">
        <f t="shared" si="5"/>
        <v>#N/A</v>
      </c>
      <c r="N30">
        <f t="shared" si="14"/>
        <v>0.5711268108134705</v>
      </c>
      <c r="O30" t="e">
        <f t="shared" si="15"/>
        <v>#N/A</v>
      </c>
      <c r="P30">
        <f t="shared" si="16"/>
        <v>6.1412900394921754E-2</v>
      </c>
      <c r="Q30" t="e">
        <f t="shared" si="17"/>
        <v>#N/A</v>
      </c>
      <c r="R30" t="e">
        <f t="shared" si="18"/>
        <v>#N/A</v>
      </c>
      <c r="U30" s="18">
        <f t="shared" si="19"/>
        <v>21155</v>
      </c>
      <c r="V30">
        <f t="shared" si="6"/>
        <v>4.9354090311198806E-2</v>
      </c>
      <c r="W30" t="e">
        <f t="shared" si="7"/>
        <v>#N/A</v>
      </c>
      <c r="X30" t="e">
        <f t="shared" si="8"/>
        <v>#N/A</v>
      </c>
      <c r="Y30" t="e">
        <f t="shared" si="9"/>
        <v>#N/A</v>
      </c>
      <c r="Z30" t="e">
        <f t="shared" si="10"/>
        <v>#N/A</v>
      </c>
      <c r="AA30">
        <f t="shared" si="11"/>
        <v>2.2310032260229901E-2</v>
      </c>
      <c r="AB30">
        <f t="shared" si="11"/>
        <v>1.5480040532897E-2</v>
      </c>
    </row>
    <row r="31" spans="1:28" x14ac:dyDescent="0.25">
      <c r="A31" s="18">
        <f t="shared" si="12"/>
        <v>18384</v>
      </c>
      <c r="B31">
        <f>'2-state flows'!B30</f>
        <v>62083</v>
      </c>
      <c r="C31">
        <f>'2-state flows'!C30</f>
        <v>3434</v>
      </c>
      <c r="D31" t="e">
        <f>NA()</f>
        <v>#N/A</v>
      </c>
      <c r="E31">
        <f t="shared" si="1"/>
        <v>5.5313048660663951E-2</v>
      </c>
      <c r="F31" t="e">
        <f t="shared" si="2"/>
        <v>#N/A</v>
      </c>
      <c r="G31">
        <f>'2-state flows'!G30</f>
        <v>0.59239833064513503</v>
      </c>
      <c r="H31" t="e">
        <f t="shared" si="3"/>
        <v>#N/A</v>
      </c>
      <c r="I31">
        <f>'2-state flows'!H30</f>
        <v>3.3149232362315373E-2</v>
      </c>
      <c r="J31">
        <f t="shared" si="13"/>
        <v>7.6936355891884373E-4</v>
      </c>
      <c r="K31">
        <v>0.5</v>
      </c>
      <c r="L31">
        <f t="shared" si="4"/>
        <v>1.5387271178376875E-3</v>
      </c>
      <c r="M31" t="e">
        <f t="shared" si="5"/>
        <v>#N/A</v>
      </c>
      <c r="N31">
        <f t="shared" si="14"/>
        <v>0.59992292044972195</v>
      </c>
      <c r="O31" t="e">
        <f t="shared" si="15"/>
        <v>#N/A</v>
      </c>
      <c r="P31">
        <f t="shared" si="16"/>
        <v>5.858192051655936E-2</v>
      </c>
      <c r="Q31" t="e">
        <f t="shared" si="17"/>
        <v>#N/A</v>
      </c>
      <c r="R31" t="e">
        <f t="shared" si="18"/>
        <v>#N/A</v>
      </c>
      <c r="U31" s="18">
        <f t="shared" si="19"/>
        <v>21245</v>
      </c>
      <c r="V31">
        <f t="shared" si="6"/>
        <v>6.286936119305625E-2</v>
      </c>
      <c r="W31" t="e">
        <f t="shared" si="7"/>
        <v>#N/A</v>
      </c>
      <c r="X31" t="e">
        <f t="shared" si="8"/>
        <v>#N/A</v>
      </c>
      <c r="Y31" t="e">
        <f t="shared" si="9"/>
        <v>#N/A</v>
      </c>
      <c r="Z31" t="e">
        <f t="shared" si="10"/>
        <v>#N/A</v>
      </c>
      <c r="AA31">
        <f t="shared" si="11"/>
        <v>1.8956403595833216E-2</v>
      </c>
      <c r="AB31">
        <f t="shared" si="11"/>
        <v>9.9534647639003288E-3</v>
      </c>
    </row>
    <row r="32" spans="1:28" x14ac:dyDescent="0.25">
      <c r="A32" s="18">
        <f t="shared" si="12"/>
        <v>18415</v>
      </c>
      <c r="B32">
        <f>'2-state flows'!B31</f>
        <v>62419</v>
      </c>
      <c r="C32">
        <f>'2-state flows'!C31</f>
        <v>3367</v>
      </c>
      <c r="D32" t="e">
        <f>NA()</f>
        <v>#N/A</v>
      </c>
      <c r="E32">
        <f t="shared" si="1"/>
        <v>5.3941908713692949E-2</v>
      </c>
      <c r="F32" t="e">
        <f t="shared" si="2"/>
        <v>#N/A</v>
      </c>
      <c r="G32">
        <f>'2-state flows'!G31</f>
        <v>0.67811373604548353</v>
      </c>
      <c r="H32" t="e">
        <f t="shared" si="3"/>
        <v>#N/A</v>
      </c>
      <c r="I32">
        <f>'2-state flows'!H31</f>
        <v>3.2820088157348437E-2</v>
      </c>
      <c r="J32">
        <f t="shared" si="13"/>
        <v>-9.9787881279976356E-3</v>
      </c>
      <c r="K32">
        <v>0.5</v>
      </c>
      <c r="L32">
        <f t="shared" si="4"/>
        <v>-1.9957576255995271E-2</v>
      </c>
      <c r="M32" t="e">
        <f t="shared" si="5"/>
        <v>#N/A</v>
      </c>
      <c r="N32">
        <f t="shared" si="14"/>
        <v>0.62214790002889753</v>
      </c>
      <c r="O32" t="e">
        <f t="shared" si="15"/>
        <v>#N/A</v>
      </c>
      <c r="P32">
        <f t="shared" si="16"/>
        <v>5.5589892641737061E-2</v>
      </c>
      <c r="Q32" t="e">
        <f t="shared" si="17"/>
        <v>#N/A</v>
      </c>
      <c r="R32" t="e">
        <f t="shared" si="18"/>
        <v>#N/A</v>
      </c>
      <c r="U32" s="18">
        <f t="shared" si="19"/>
        <v>21337</v>
      </c>
      <c r="V32">
        <f t="shared" si="6"/>
        <v>7.3719392744314494E-2</v>
      </c>
      <c r="W32" t="e">
        <f t="shared" si="7"/>
        <v>#N/A</v>
      </c>
      <c r="X32" t="e">
        <f t="shared" si="8"/>
        <v>#N/A</v>
      </c>
      <c r="Y32" t="e">
        <f t="shared" si="9"/>
        <v>#N/A</v>
      </c>
      <c r="Z32" t="e">
        <f t="shared" si="10"/>
        <v>#N/A</v>
      </c>
      <c r="AA32">
        <f t="shared" si="11"/>
        <v>1.7369986642467018E-2</v>
      </c>
      <c r="AB32">
        <f t="shared" si="11"/>
        <v>1.0105031010097527E-2</v>
      </c>
    </row>
    <row r="33" spans="1:28" x14ac:dyDescent="0.25">
      <c r="A33" s="18">
        <f t="shared" si="12"/>
        <v>18445</v>
      </c>
      <c r="B33">
        <f>'2-state flows'!B32</f>
        <v>62121</v>
      </c>
      <c r="C33">
        <f>'2-state flows'!C32</f>
        <v>3120</v>
      </c>
      <c r="D33" t="e">
        <f>NA()</f>
        <v>#N/A</v>
      </c>
      <c r="E33">
        <f t="shared" si="1"/>
        <v>5.022456174240595E-2</v>
      </c>
      <c r="F33" t="e">
        <f t="shared" si="2"/>
        <v>#N/A</v>
      </c>
      <c r="G33">
        <f>'2-state flows'!G32</f>
        <v>0.70086922665385554</v>
      </c>
      <c r="H33" t="e">
        <f t="shared" si="3"/>
        <v>#N/A</v>
      </c>
      <c r="I33">
        <f>'2-state flows'!H32</f>
        <v>2.9395506606747102E-2</v>
      </c>
      <c r="J33">
        <f t="shared" si="13"/>
        <v>-0.11019894558577116</v>
      </c>
      <c r="K33">
        <v>0.5</v>
      </c>
      <c r="L33">
        <f t="shared" si="4"/>
        <v>-0.22039789117154232</v>
      </c>
      <c r="M33" t="e">
        <f t="shared" si="5"/>
        <v>#N/A</v>
      </c>
      <c r="N33">
        <f t="shared" si="14"/>
        <v>0.65712709778149136</v>
      </c>
      <c r="O33" t="e">
        <f t="shared" si="15"/>
        <v>#N/A</v>
      </c>
      <c r="P33">
        <f t="shared" si="16"/>
        <v>5.315983970558761E-2</v>
      </c>
      <c r="Q33" t="e">
        <f t="shared" si="17"/>
        <v>#N/A</v>
      </c>
      <c r="R33" t="e">
        <f t="shared" si="18"/>
        <v>#N/A</v>
      </c>
      <c r="U33" s="18">
        <f t="shared" si="19"/>
        <v>21429</v>
      </c>
      <c r="V33">
        <f t="shared" si="6"/>
        <v>7.3212280711598035E-2</v>
      </c>
      <c r="W33" t="e">
        <f t="shared" si="7"/>
        <v>#N/A</v>
      </c>
      <c r="X33" t="e">
        <f t="shared" si="8"/>
        <v>#N/A</v>
      </c>
      <c r="Y33" t="e">
        <f t="shared" si="9"/>
        <v>#N/A</v>
      </c>
      <c r="Z33" t="e">
        <f t="shared" si="10"/>
        <v>#N/A</v>
      </c>
      <c r="AA33">
        <f t="shared" si="11"/>
        <v>1.9448510011781831E-2</v>
      </c>
      <c r="AB33">
        <f t="shared" si="11"/>
        <v>1.3103634917862907E-2</v>
      </c>
    </row>
    <row r="34" spans="1:28" x14ac:dyDescent="0.25">
      <c r="A34" s="18">
        <f t="shared" si="12"/>
        <v>18476</v>
      </c>
      <c r="B34">
        <f>'2-state flows'!B33</f>
        <v>62596</v>
      </c>
      <c r="C34">
        <f>'2-state flows'!C33</f>
        <v>2799</v>
      </c>
      <c r="D34" t="e">
        <f>NA()</f>
        <v>#N/A</v>
      </c>
      <c r="E34">
        <f t="shared" si="1"/>
        <v>4.4715317272669183E-2</v>
      </c>
      <c r="F34" t="e">
        <f t="shared" si="2"/>
        <v>#N/A</v>
      </c>
      <c r="G34">
        <f>'2-state flows'!G33</f>
        <v>0.62246465719137345</v>
      </c>
      <c r="H34" t="e">
        <f t="shared" si="3"/>
        <v>#N/A</v>
      </c>
      <c r="I34">
        <f>'2-state flows'!H33</f>
        <v>2.8567718105647365E-2</v>
      </c>
      <c r="J34">
        <f t="shared" si="13"/>
        <v>-2.8564483401723791E-2</v>
      </c>
      <c r="K34">
        <v>0.5</v>
      </c>
      <c r="L34">
        <f t="shared" si="4"/>
        <v>-5.7128966803447583E-2</v>
      </c>
      <c r="M34" t="e">
        <f t="shared" si="5"/>
        <v>#N/A</v>
      </c>
      <c r="N34">
        <f t="shared" si="14"/>
        <v>0.66714920663023758</v>
      </c>
      <c r="O34" t="e">
        <f t="shared" si="15"/>
        <v>#N/A</v>
      </c>
      <c r="P34">
        <f t="shared" si="16"/>
        <v>4.9627262576256027E-2</v>
      </c>
      <c r="Q34" t="e">
        <f t="shared" si="17"/>
        <v>#N/A</v>
      </c>
      <c r="R34" t="e">
        <f t="shared" si="18"/>
        <v>#N/A</v>
      </c>
      <c r="U34" s="18">
        <f t="shared" si="19"/>
        <v>21520</v>
      </c>
      <c r="V34">
        <f t="shared" si="6"/>
        <v>6.3643300487287668E-2</v>
      </c>
      <c r="W34" t="e">
        <f t="shared" si="7"/>
        <v>#N/A</v>
      </c>
      <c r="X34" t="e">
        <f t="shared" si="8"/>
        <v>#N/A</v>
      </c>
      <c r="Y34" t="e">
        <f t="shared" si="9"/>
        <v>#N/A</v>
      </c>
      <c r="Z34" t="e">
        <f t="shared" si="10"/>
        <v>#N/A</v>
      </c>
      <c r="AA34">
        <f t="shared" si="11"/>
        <v>2.1629952480074249E-2</v>
      </c>
      <c r="AB34">
        <f t="shared" si="11"/>
        <v>1.539025293337897E-2</v>
      </c>
    </row>
    <row r="35" spans="1:28" x14ac:dyDescent="0.25">
      <c r="A35" s="18">
        <f t="shared" si="12"/>
        <v>18507</v>
      </c>
      <c r="B35">
        <f>'2-state flows'!B34</f>
        <v>62349</v>
      </c>
      <c r="C35">
        <f>'2-state flows'!C34</f>
        <v>2774</v>
      </c>
      <c r="D35" t="e">
        <f>NA()</f>
        <v>#N/A</v>
      </c>
      <c r="E35">
        <f t="shared" si="1"/>
        <v>4.4491491443327078E-2</v>
      </c>
      <c r="F35" t="e">
        <f t="shared" si="2"/>
        <v>#N/A</v>
      </c>
      <c r="G35">
        <f>'2-state flows'!G34</f>
        <v>0.71060216917824426</v>
      </c>
      <c r="H35" t="e">
        <f t="shared" si="3"/>
        <v>#N/A</v>
      </c>
      <c r="I35">
        <f>'2-state flows'!H34</f>
        <v>2.9548105752298624E-2</v>
      </c>
      <c r="J35">
        <f t="shared" si="13"/>
        <v>3.3742295903288172E-2</v>
      </c>
      <c r="K35">
        <v>0.5</v>
      </c>
      <c r="L35">
        <f t="shared" si="4"/>
        <v>6.7484591806576344E-2</v>
      </c>
      <c r="M35" t="e">
        <f t="shared" si="5"/>
        <v>#N/A</v>
      </c>
      <c r="N35">
        <f t="shared" si="14"/>
        <v>0.67797868434115782</v>
      </c>
      <c r="O35" t="e">
        <f t="shared" si="15"/>
        <v>#N/A</v>
      </c>
      <c r="P35">
        <f t="shared" si="16"/>
        <v>4.6477123486134066E-2</v>
      </c>
      <c r="Q35" t="e">
        <f t="shared" si="17"/>
        <v>#N/A</v>
      </c>
      <c r="R35" t="e">
        <f t="shared" si="18"/>
        <v>#N/A</v>
      </c>
      <c r="U35" s="18">
        <f t="shared" si="19"/>
        <v>21610</v>
      </c>
      <c r="V35">
        <f t="shared" si="6"/>
        <v>5.8110822048454878E-2</v>
      </c>
      <c r="W35" t="e">
        <f t="shared" si="7"/>
        <v>#N/A</v>
      </c>
      <c r="X35" t="e">
        <f t="shared" si="8"/>
        <v>#N/A</v>
      </c>
      <c r="Y35" t="e">
        <f t="shared" si="9"/>
        <v>#N/A</v>
      </c>
      <c r="Z35" t="e">
        <f t="shared" si="10"/>
        <v>#N/A</v>
      </c>
      <c r="AA35">
        <f t="shared" si="11"/>
        <v>2.421717232807084E-2</v>
      </c>
      <c r="AB35">
        <f t="shared" si="11"/>
        <v>1.9299012930071014E-2</v>
      </c>
    </row>
    <row r="36" spans="1:28" x14ac:dyDescent="0.25">
      <c r="A36" s="18">
        <f t="shared" si="12"/>
        <v>18537</v>
      </c>
      <c r="B36">
        <f>'2-state flows'!B35</f>
        <v>62428</v>
      </c>
      <c r="C36">
        <f>'2-state flows'!C35</f>
        <v>2625</v>
      </c>
      <c r="D36" t="e">
        <f>NA()</f>
        <v>#N/A</v>
      </c>
      <c r="E36">
        <f t="shared" si="1"/>
        <v>4.2048439802652653E-2</v>
      </c>
      <c r="F36" t="e">
        <f t="shared" si="2"/>
        <v>#N/A</v>
      </c>
      <c r="G36">
        <f>'2-state flows'!G35</f>
        <v>0.75400992596364647</v>
      </c>
      <c r="H36" t="e">
        <f t="shared" si="3"/>
        <v>#N/A</v>
      </c>
      <c r="I36">
        <f>'2-state flows'!H35</f>
        <v>3.2227281387489898E-2</v>
      </c>
      <c r="J36">
        <f t="shared" si="13"/>
        <v>8.6793703236705433E-2</v>
      </c>
      <c r="K36">
        <v>0.5</v>
      </c>
      <c r="L36">
        <f t="shared" si="4"/>
        <v>0.17358740647341087</v>
      </c>
      <c r="M36" t="e">
        <f t="shared" si="5"/>
        <v>#N/A</v>
      </c>
      <c r="N36">
        <f t="shared" si="14"/>
        <v>0.69569225077775476</v>
      </c>
      <c r="O36" t="e">
        <f t="shared" si="15"/>
        <v>#N/A</v>
      </c>
      <c r="P36">
        <f t="shared" si="16"/>
        <v>4.3751749506216304E-2</v>
      </c>
      <c r="Q36" t="e">
        <f t="shared" si="17"/>
        <v>#N/A</v>
      </c>
      <c r="R36" t="e">
        <f t="shared" si="18"/>
        <v>#N/A</v>
      </c>
      <c r="U36" s="18">
        <f t="shared" si="19"/>
        <v>21702</v>
      </c>
      <c r="V36">
        <f t="shared" si="6"/>
        <v>5.1167849637703183E-2</v>
      </c>
      <c r="W36" t="e">
        <f t="shared" si="7"/>
        <v>#N/A</v>
      </c>
      <c r="X36" t="e">
        <f t="shared" si="8"/>
        <v>#N/A</v>
      </c>
      <c r="Y36" t="e">
        <f t="shared" si="9"/>
        <v>#N/A</v>
      </c>
      <c r="Z36" t="e">
        <f t="shared" si="10"/>
        <v>#N/A</v>
      </c>
      <c r="AA36">
        <f t="shared" si="11"/>
        <v>2.7388314434924427E-2</v>
      </c>
      <c r="AB36">
        <f t="shared" si="11"/>
        <v>2.0862104775637182E-2</v>
      </c>
    </row>
    <row r="37" spans="1:28" x14ac:dyDescent="0.25">
      <c r="A37" s="18">
        <f t="shared" si="12"/>
        <v>18568</v>
      </c>
      <c r="B37">
        <f>'2-state flows'!B36</f>
        <v>62286</v>
      </c>
      <c r="C37">
        <f>'2-state flows'!C36</f>
        <v>2589</v>
      </c>
      <c r="D37" t="e">
        <f>NA()</f>
        <v>#N/A</v>
      </c>
      <c r="E37">
        <f t="shared" si="1"/>
        <v>4.1566323090261051E-2</v>
      </c>
      <c r="F37" t="e">
        <f t="shared" si="2"/>
        <v>#N/A</v>
      </c>
      <c r="G37">
        <f>'2-state flows'!G36</f>
        <v>0.78575726229182707</v>
      </c>
      <c r="H37" t="e">
        <f t="shared" si="3"/>
        <v>#N/A</v>
      </c>
      <c r="I37">
        <f>'2-state flows'!H36</f>
        <v>3.530545908837935E-2</v>
      </c>
      <c r="J37">
        <f t="shared" si="13"/>
        <v>9.1224258481419754E-2</v>
      </c>
      <c r="K37">
        <v>0.5</v>
      </c>
      <c r="L37">
        <f t="shared" si="4"/>
        <v>0.18244851696283951</v>
      </c>
      <c r="M37" t="e">
        <f t="shared" si="5"/>
        <v>#N/A</v>
      </c>
      <c r="N37">
        <f t="shared" si="14"/>
        <v>0.75012311914457264</v>
      </c>
      <c r="O37" t="e">
        <f t="shared" si="15"/>
        <v>#N/A</v>
      </c>
      <c r="P37">
        <f t="shared" si="16"/>
        <v>4.2702084778746929E-2</v>
      </c>
      <c r="Q37" t="e">
        <f t="shared" si="17"/>
        <v>#N/A</v>
      </c>
      <c r="R37" t="e">
        <f t="shared" si="18"/>
        <v>#N/A</v>
      </c>
      <c r="U37" s="18">
        <f t="shared" si="19"/>
        <v>21794</v>
      </c>
      <c r="V37">
        <f t="shared" si="6"/>
        <v>5.2993087840566645E-2</v>
      </c>
      <c r="W37" t="e">
        <f t="shared" si="7"/>
        <v>#N/A</v>
      </c>
      <c r="X37" t="e">
        <f t="shared" si="8"/>
        <v>#N/A</v>
      </c>
      <c r="Y37" t="e">
        <f t="shared" si="9"/>
        <v>#N/A</v>
      </c>
      <c r="Z37" t="e">
        <f t="shared" si="10"/>
        <v>#N/A</v>
      </c>
      <c r="AA37">
        <f t="shared" si="11"/>
        <v>2.8938891508119482E-2</v>
      </c>
      <c r="AB37">
        <f t="shared" si="11"/>
        <v>1.9668800706022862E-2</v>
      </c>
    </row>
    <row r="38" spans="1:28" x14ac:dyDescent="0.25">
      <c r="A38" s="18">
        <f t="shared" si="12"/>
        <v>18598</v>
      </c>
      <c r="B38">
        <f>'2-state flows'!B37</f>
        <v>62068</v>
      </c>
      <c r="C38">
        <f>'2-state flows'!C37</f>
        <v>2639</v>
      </c>
      <c r="D38" t="e">
        <f>NA()</f>
        <v>#N/A</v>
      </c>
      <c r="E38">
        <f t="shared" si="1"/>
        <v>4.2517883611522846E-2</v>
      </c>
      <c r="F38" t="e">
        <f t="shared" si="2"/>
        <v>#N/A</v>
      </c>
      <c r="G38">
        <f>'2-state flows'!G37</f>
        <v>0.79644675039774915</v>
      </c>
      <c r="H38" t="e">
        <f t="shared" si="3"/>
        <v>#N/A</v>
      </c>
      <c r="I38">
        <f>'2-state flows'!H37</f>
        <v>2.7118399883179069E-2</v>
      </c>
      <c r="J38">
        <f t="shared" si="13"/>
        <v>-0.26382514040459382</v>
      </c>
      <c r="K38">
        <v>0.5</v>
      </c>
      <c r="L38">
        <f t="shared" si="4"/>
        <v>-0.52765028080918763</v>
      </c>
      <c r="M38" t="e">
        <f t="shared" si="5"/>
        <v>#N/A</v>
      </c>
      <c r="N38">
        <f t="shared" si="14"/>
        <v>0.77873797955107416</v>
      </c>
      <c r="O38" t="e">
        <f t="shared" si="15"/>
        <v>#N/A</v>
      </c>
      <c r="P38">
        <f t="shared" si="16"/>
        <v>4.2044215501478847E-2</v>
      </c>
      <c r="Q38" t="e">
        <f t="shared" si="17"/>
        <v>#N/A</v>
      </c>
      <c r="R38" t="e">
        <f t="shared" si="18"/>
        <v>#N/A</v>
      </c>
      <c r="U38" s="18">
        <f t="shared" si="19"/>
        <v>21885</v>
      </c>
      <c r="V38">
        <f t="shared" si="6"/>
        <v>5.6056834686256017E-2</v>
      </c>
      <c r="W38" t="e">
        <f t="shared" si="7"/>
        <v>#N/A</v>
      </c>
      <c r="X38" t="e">
        <f t="shared" si="8"/>
        <v>#N/A</v>
      </c>
      <c r="Y38" t="e">
        <f t="shared" si="9"/>
        <v>#N/A</v>
      </c>
      <c r="Z38" t="e">
        <f t="shared" si="10"/>
        <v>#N/A</v>
      </c>
      <c r="AA38">
        <f t="shared" si="11"/>
        <v>2.8119784699855249E-2</v>
      </c>
      <c r="AB38">
        <f t="shared" si="11"/>
        <v>1.7342415079921632E-2</v>
      </c>
    </row>
    <row r="39" spans="1:28" x14ac:dyDescent="0.25">
      <c r="A39" s="18">
        <f t="shared" si="12"/>
        <v>18629</v>
      </c>
      <c r="B39">
        <f>'2-state flows'!B38</f>
        <v>61941</v>
      </c>
      <c r="C39">
        <f>'2-state flows'!C38</f>
        <v>2305</v>
      </c>
      <c r="D39">
        <f>'Composite HWI'!B2*48.35347462</f>
        <v>1934.1389847999999</v>
      </c>
      <c r="E39">
        <f>C39/B39</f>
        <v>3.7212831565522027E-2</v>
      </c>
      <c r="F39">
        <f>D39/B39</f>
        <v>3.1225504670573608E-2</v>
      </c>
      <c r="G39">
        <f>'2-state flows'!G38</f>
        <v>0.82513034559544374</v>
      </c>
      <c r="H39">
        <f>0.771211801*(F39/E39)^0.5</f>
        <v>0.7064509947167037</v>
      </c>
      <c r="I39">
        <f>'2-state flows'!H38</f>
        <v>2.7207720369764234E-2</v>
      </c>
      <c r="J39">
        <f t="shared" si="13"/>
        <v>3.2883101776585836E-3</v>
      </c>
      <c r="K39">
        <v>0.5</v>
      </c>
      <c r="L39">
        <f>J39/(1-K39)</f>
        <v>6.5766203553171672E-3</v>
      </c>
      <c r="M39">
        <f>F39/EXP(L39)</f>
        <v>3.1020820184779384E-2</v>
      </c>
      <c r="N39">
        <f t="shared" si="14"/>
        <v>0.80244478609500669</v>
      </c>
      <c r="O39" t="e">
        <f t="shared" si="15"/>
        <v>#N/A</v>
      </c>
      <c r="P39">
        <f t="shared" si="16"/>
        <v>4.0432346089101977E-2</v>
      </c>
      <c r="Q39" t="e">
        <f t="shared" si="17"/>
        <v>#N/A</v>
      </c>
      <c r="R39" t="e">
        <f t="shared" si="18"/>
        <v>#N/A</v>
      </c>
      <c r="U39" s="18">
        <f t="shared" si="19"/>
        <v>21976</v>
      </c>
      <c r="V39">
        <f t="shared" si="6"/>
        <v>5.1725572534709274E-2</v>
      </c>
      <c r="W39">
        <f t="shared" si="7"/>
        <v>5.1725572534709274E-2</v>
      </c>
      <c r="X39" t="e">
        <f t="shared" si="8"/>
        <v>#N/A</v>
      </c>
      <c r="Y39" t="e">
        <f t="shared" si="9"/>
        <v>#N/A</v>
      </c>
      <c r="Z39" t="e">
        <f t="shared" si="10"/>
        <v>#N/A</v>
      </c>
      <c r="AA39">
        <f t="shared" si="11"/>
        <v>2.8357000158584843E-2</v>
      </c>
      <c r="AB39">
        <f t="shared" si="11"/>
        <v>1.9955967335625505E-2</v>
      </c>
    </row>
    <row r="40" spans="1:28" x14ac:dyDescent="0.25">
      <c r="A40" s="18">
        <f>DATE(YEAR(A39),MONTH(A39)+1,1)</f>
        <v>18660</v>
      </c>
      <c r="B40">
        <f>'2-state flows'!B39</f>
        <v>61778</v>
      </c>
      <c r="C40">
        <f>'2-state flows'!C39</f>
        <v>2117</v>
      </c>
      <c r="D40">
        <f>'Composite HWI'!B3*48.35347462</f>
        <v>1982.4924594199999</v>
      </c>
      <c r="E40">
        <f t="shared" ref="E40:E103" si="20">C40/B40</f>
        <v>3.4267862345818897E-2</v>
      </c>
      <c r="F40">
        <f t="shared" ref="F40:F103" si="21">D40/B40</f>
        <v>3.2090589844604875E-2</v>
      </c>
      <c r="G40">
        <f>'2-state flows'!G39</f>
        <v>0.84431067162396944</v>
      </c>
      <c r="H40">
        <f t="shared" ref="H40:H103" si="22">0.771211801*(F40/E40)^0.5</f>
        <v>0.74630956804996473</v>
      </c>
      <c r="I40">
        <f>'2-state flows'!H39</f>
        <v>3.0160523545218688E-2</v>
      </c>
      <c r="J40">
        <f>LN(I40/I39)</f>
        <v>0.1030331317639389</v>
      </c>
      <c r="K40">
        <v>0.5</v>
      </c>
      <c r="L40">
        <f t="shared" ref="L40" si="23">J40/(1-K40)</f>
        <v>0.2060662635278778</v>
      </c>
      <c r="M40">
        <f t="shared" ref="M40:M103" si="24">F40/EXP(L40)</f>
        <v>2.6114652946600599E-2</v>
      </c>
      <c r="N40">
        <f t="shared" si="14"/>
        <v>0.82196258920572074</v>
      </c>
      <c r="O40" t="e">
        <f t="shared" si="15"/>
        <v>#N/A</v>
      </c>
      <c r="P40">
        <f t="shared" si="16"/>
        <v>3.799952584095459E-2</v>
      </c>
      <c r="Q40" t="e">
        <f t="shared" si="17"/>
        <v>#N/A</v>
      </c>
      <c r="R40" t="e">
        <f t="shared" si="18"/>
        <v>#N/A</v>
      </c>
      <c r="U40" s="18">
        <f t="shared" si="19"/>
        <v>22068</v>
      </c>
      <c r="V40">
        <f t="shared" si="6"/>
        <v>5.237918421166729E-2</v>
      </c>
      <c r="W40">
        <f t="shared" si="7"/>
        <v>5.237918421166729E-2</v>
      </c>
      <c r="X40" t="e">
        <f t="shared" si="8"/>
        <v>#N/A</v>
      </c>
      <c r="Y40" t="e">
        <f t="shared" si="9"/>
        <v>#N/A</v>
      </c>
      <c r="Z40" t="e">
        <f t="shared" si="10"/>
        <v>#N/A</v>
      </c>
      <c r="AA40">
        <f t="shared" si="11"/>
        <v>2.6126755457154194E-2</v>
      </c>
      <c r="AB40">
        <f t="shared" si="11"/>
        <v>1.6057037121699525E-2</v>
      </c>
    </row>
    <row r="41" spans="1:28" x14ac:dyDescent="0.25">
      <c r="A41" s="18">
        <f t="shared" ref="A41:A104" si="25">DATE(YEAR(A40),MONTH(A40)+1,1)</f>
        <v>18688</v>
      </c>
      <c r="B41">
        <f>'2-state flows'!B40</f>
        <v>62526</v>
      </c>
      <c r="C41">
        <f>'2-state flows'!C40</f>
        <v>2125</v>
      </c>
      <c r="D41">
        <f>'Composite HWI'!B4*48.35347462</f>
        <v>2079.1994086599998</v>
      </c>
      <c r="E41">
        <f t="shared" si="20"/>
        <v>3.3985861881457316E-2</v>
      </c>
      <c r="F41">
        <f t="shared" si="21"/>
        <v>3.3253357141988932E-2</v>
      </c>
      <c r="G41">
        <f>'2-state flows'!G40</f>
        <v>1.0295253039628871</v>
      </c>
      <c r="H41">
        <f t="shared" si="22"/>
        <v>0.76285548073628839</v>
      </c>
      <c r="I41">
        <f>'2-state flows'!H40</f>
        <v>3.0688153146925846E-2</v>
      </c>
      <c r="J41">
        <f t="shared" ref="J41:J104" si="26">LN(I41/I40)</f>
        <v>1.7342787223013155E-2</v>
      </c>
      <c r="K41">
        <v>0.5</v>
      </c>
      <c r="L41">
        <f>L40+J41/(1-K41)</f>
        <v>0.24075183797390409</v>
      </c>
      <c r="M41">
        <f t="shared" si="24"/>
        <v>2.6138358002422934E-2</v>
      </c>
      <c r="N41">
        <f>AVERAGE(G39:G41)</f>
        <v>0.89965544039410006</v>
      </c>
      <c r="O41">
        <f>AVERAGE(H39:H41)</f>
        <v>0.7385386811676522</v>
      </c>
      <c r="P41">
        <f>AVERAGE(E39:E41)</f>
        <v>3.5155518597599418E-2</v>
      </c>
      <c r="Q41">
        <f>AVERAGE(F39:F41)</f>
        <v>3.2189817219055804E-2</v>
      </c>
      <c r="R41">
        <f>AVERAGE(M39:M41)</f>
        <v>2.7757943711267639E-2</v>
      </c>
      <c r="U41" s="18">
        <f t="shared" si="19"/>
        <v>22160</v>
      </c>
      <c r="V41">
        <f t="shared" si="6"/>
        <v>5.5622134501728947E-2</v>
      </c>
      <c r="W41">
        <f t="shared" si="7"/>
        <v>5.5622134501728947E-2</v>
      </c>
      <c r="X41" t="e">
        <f t="shared" si="8"/>
        <v>#N/A</v>
      </c>
      <c r="Y41" t="e">
        <f t="shared" si="9"/>
        <v>#N/A</v>
      </c>
      <c r="Z41" t="e">
        <f t="shared" si="10"/>
        <v>#N/A</v>
      </c>
      <c r="AA41">
        <f t="shared" si="11"/>
        <v>2.4208539699149666E-2</v>
      </c>
      <c r="AB41">
        <f t="shared" si="11"/>
        <v>1.5734750873070791E-2</v>
      </c>
    </row>
    <row r="42" spans="1:28" x14ac:dyDescent="0.25">
      <c r="A42" s="18">
        <f t="shared" si="25"/>
        <v>18719</v>
      </c>
      <c r="B42">
        <f>'2-state flows'!B41</f>
        <v>61808</v>
      </c>
      <c r="C42">
        <f>'2-state flows'!C41</f>
        <v>1919</v>
      </c>
      <c r="D42">
        <f>'Composite HWI'!B5*48.35347462</f>
        <v>2030.84593404</v>
      </c>
      <c r="E42">
        <f t="shared" si="20"/>
        <v>3.1047760807662438E-2</v>
      </c>
      <c r="F42">
        <f t="shared" si="21"/>
        <v>3.2857331316981618E-2</v>
      </c>
      <c r="G42">
        <f>'2-state flows'!G41</f>
        <v>0.96514603625792117</v>
      </c>
      <c r="H42">
        <f t="shared" si="22"/>
        <v>0.79336797900356459</v>
      </c>
      <c r="I42">
        <f>'2-state flows'!H41</f>
        <v>2.9265531038087298E-2</v>
      </c>
      <c r="J42">
        <f t="shared" si="26"/>
        <v>-4.7466280717179385E-2</v>
      </c>
      <c r="K42">
        <v>0.5</v>
      </c>
      <c r="L42">
        <f t="shared" ref="L42:L105" si="27">L41+J42/(1-K42)</f>
        <v>0.14581927653954532</v>
      </c>
      <c r="M42">
        <f t="shared" si="24"/>
        <v>2.8399047874122819E-2</v>
      </c>
      <c r="N42">
        <f t="shared" ref="N42:O42" si="28">AVERAGE(G40:G42)</f>
        <v>0.94632733728159257</v>
      </c>
      <c r="O42">
        <f t="shared" si="28"/>
        <v>0.76751100926327265</v>
      </c>
      <c r="P42">
        <f t="shared" ref="P42:P105" si="29">AVERAGE(E40:E42)</f>
        <v>3.3100495011646219E-2</v>
      </c>
      <c r="Q42">
        <f t="shared" ref="Q42:Q105" si="30">AVERAGE(F40:F42)</f>
        <v>3.2733759434525139E-2</v>
      </c>
      <c r="R42">
        <f t="shared" ref="R42:R105" si="31">AVERAGE(M40:M42)</f>
        <v>2.6884019607715453E-2</v>
      </c>
      <c r="U42" s="18">
        <f t="shared" si="19"/>
        <v>22251</v>
      </c>
      <c r="V42">
        <f t="shared" si="6"/>
        <v>6.2634118762234001E-2</v>
      </c>
      <c r="W42">
        <f t="shared" si="7"/>
        <v>6.2634118762234001E-2</v>
      </c>
      <c r="X42" t="e">
        <f t="shared" si="8"/>
        <v>#N/A</v>
      </c>
      <c r="Y42" t="e">
        <f t="shared" si="9"/>
        <v>#N/A</v>
      </c>
      <c r="Z42" t="e">
        <f t="shared" si="10"/>
        <v>#N/A</v>
      </c>
      <c r="AA42">
        <f t="shared" si="11"/>
        <v>2.1571485669016153E-2</v>
      </c>
      <c r="AB42">
        <f t="shared" si="11"/>
        <v>1.198186942114981E-2</v>
      </c>
    </row>
    <row r="43" spans="1:28" x14ac:dyDescent="0.25">
      <c r="A43" s="18">
        <f t="shared" si="25"/>
        <v>18749</v>
      </c>
      <c r="B43">
        <f>'2-state flows'!B42</f>
        <v>62044</v>
      </c>
      <c r="C43">
        <f>'2-state flows'!C42</f>
        <v>1856</v>
      </c>
      <c r="D43">
        <f>'Composite HWI'!B6*48.35347462</f>
        <v>2079.1994086599998</v>
      </c>
      <c r="E43">
        <f t="shared" si="20"/>
        <v>2.9914254400103153E-2</v>
      </c>
      <c r="F43">
        <f t="shared" si="21"/>
        <v>3.3511691842240988E-2</v>
      </c>
      <c r="G43">
        <f>'2-state flows'!G42</f>
        <v>0.75768570169751648</v>
      </c>
      <c r="H43">
        <f t="shared" si="22"/>
        <v>0.81626796382116762</v>
      </c>
      <c r="I43">
        <f>'2-state flows'!H42</f>
        <v>2.6696915426728401E-2</v>
      </c>
      <c r="J43">
        <f t="shared" si="26"/>
        <v>-9.186237677766193E-2</v>
      </c>
      <c r="K43">
        <v>0.5</v>
      </c>
      <c r="L43">
        <f t="shared" si="27"/>
        <v>-3.7905477015778538E-2</v>
      </c>
      <c r="M43">
        <f t="shared" si="24"/>
        <v>3.4806350827489986E-2</v>
      </c>
      <c r="N43">
        <f t="shared" ref="N43:O43" si="32">AVERAGE(G41:G43)</f>
        <v>0.91745234730610825</v>
      </c>
      <c r="O43">
        <f t="shared" si="32"/>
        <v>0.79083047452034017</v>
      </c>
      <c r="P43">
        <f t="shared" si="29"/>
        <v>3.1649292363074295E-2</v>
      </c>
      <c r="Q43">
        <f t="shared" si="30"/>
        <v>3.3207460100403846E-2</v>
      </c>
      <c r="R43">
        <f t="shared" si="31"/>
        <v>2.978125223467858E-2</v>
      </c>
      <c r="U43" s="18">
        <f t="shared" si="19"/>
        <v>22341</v>
      </c>
      <c r="V43">
        <f t="shared" si="6"/>
        <v>6.7853757722013477E-2</v>
      </c>
      <c r="W43">
        <f t="shared" si="7"/>
        <v>6.7853757722013477E-2</v>
      </c>
      <c r="X43" t="e">
        <f t="shared" si="8"/>
        <v>#N/A</v>
      </c>
      <c r="Y43" t="e">
        <f t="shared" si="9"/>
        <v>#N/A</v>
      </c>
      <c r="Z43" t="e">
        <f t="shared" si="10"/>
        <v>#N/A</v>
      </c>
      <c r="AA43">
        <f t="shared" si="11"/>
        <v>2.0569206064340057E-2</v>
      </c>
      <c r="AB43">
        <f t="shared" si="11"/>
        <v>1.2061093700472635E-2</v>
      </c>
    </row>
    <row r="44" spans="1:28" x14ac:dyDescent="0.25">
      <c r="A44" s="18">
        <f t="shared" si="25"/>
        <v>18780</v>
      </c>
      <c r="B44">
        <f>'2-state flows'!B43</f>
        <v>61615</v>
      </c>
      <c r="C44">
        <f>'2-state flows'!C43</f>
        <v>1995</v>
      </c>
      <c r="D44">
        <f>'Composite HWI'!B7*48.35347462</f>
        <v>1982.4924594199999</v>
      </c>
      <c r="E44">
        <f t="shared" si="20"/>
        <v>3.2378479266412401E-2</v>
      </c>
      <c r="F44">
        <f t="shared" si="21"/>
        <v>3.2175484207092431E-2</v>
      </c>
      <c r="G44">
        <f>'2-state flows'!G43</f>
        <v>0.95591252795670767</v>
      </c>
      <c r="H44">
        <f t="shared" si="22"/>
        <v>0.76879046536539974</v>
      </c>
      <c r="I44">
        <f>'2-state flows'!H43</f>
        <v>3.0799251604010848E-2</v>
      </c>
      <c r="J44">
        <f t="shared" si="26"/>
        <v>0.14294235946962563</v>
      </c>
      <c r="K44">
        <v>0.5</v>
      </c>
      <c r="L44">
        <f t="shared" si="27"/>
        <v>0.24797924192347273</v>
      </c>
      <c r="M44">
        <f t="shared" si="24"/>
        <v>2.5108980239513606E-2</v>
      </c>
      <c r="N44">
        <f t="shared" ref="N44:O44" si="33">AVERAGE(G42:G44)</f>
        <v>0.8929147553040484</v>
      </c>
      <c r="O44">
        <f t="shared" si="33"/>
        <v>0.79280880273004406</v>
      </c>
      <c r="P44">
        <f t="shared" si="29"/>
        <v>3.1113498158059333E-2</v>
      </c>
      <c r="Q44">
        <f t="shared" si="30"/>
        <v>3.284816912210501E-2</v>
      </c>
      <c r="R44">
        <f t="shared" si="31"/>
        <v>2.9438126313708804E-2</v>
      </c>
      <c r="U44" s="18">
        <f t="shared" si="19"/>
        <v>22433</v>
      </c>
      <c r="V44">
        <f t="shared" si="6"/>
        <v>6.9856175895813624E-2</v>
      </c>
      <c r="W44">
        <f t="shared" si="7"/>
        <v>6.9856175895813624E-2</v>
      </c>
      <c r="X44" t="e">
        <f t="shared" si="8"/>
        <v>#N/A</v>
      </c>
      <c r="Y44" t="e">
        <f t="shared" si="9"/>
        <v>#N/A</v>
      </c>
      <c r="Z44" t="e">
        <f t="shared" si="10"/>
        <v>#N/A</v>
      </c>
      <c r="AA44">
        <f t="shared" si="11"/>
        <v>2.1479143906455434E-2</v>
      </c>
      <c r="AB44">
        <f t="shared" si="11"/>
        <v>1.3843178333213491E-2</v>
      </c>
    </row>
    <row r="45" spans="1:28" x14ac:dyDescent="0.25">
      <c r="A45" s="18">
        <f t="shared" si="25"/>
        <v>18810</v>
      </c>
      <c r="B45">
        <f>'2-state flows'!B44</f>
        <v>62106</v>
      </c>
      <c r="C45">
        <f>'2-state flows'!C44</f>
        <v>1950</v>
      </c>
      <c r="D45">
        <f>'Composite HWI'!B8*48.35347462</f>
        <v>2030.84593404</v>
      </c>
      <c r="E45">
        <f t="shared" si="20"/>
        <v>3.1397932566901751E-2</v>
      </c>
      <c r="F45">
        <f t="shared" si="21"/>
        <v>3.2699673687566419E-2</v>
      </c>
      <c r="G45">
        <f>'2-state flows'!G44</f>
        <v>0.95684566804057281</v>
      </c>
      <c r="H45">
        <f t="shared" si="22"/>
        <v>0.78703645615156137</v>
      </c>
      <c r="I45">
        <f>'2-state flows'!H44</f>
        <v>3.0572124085807964E-2</v>
      </c>
      <c r="J45">
        <f t="shared" si="26"/>
        <v>-7.4017749351332094E-3</v>
      </c>
      <c r="K45">
        <v>0.5</v>
      </c>
      <c r="L45">
        <f t="shared" si="27"/>
        <v>0.23317569205320632</v>
      </c>
      <c r="M45">
        <f t="shared" si="24"/>
        <v>2.5898612784490738E-2</v>
      </c>
      <c r="N45">
        <f t="shared" ref="N45:O45" si="34">AVERAGE(G43:G45)</f>
        <v>0.89014796589826573</v>
      </c>
      <c r="O45">
        <f t="shared" si="34"/>
        <v>0.79069829511270961</v>
      </c>
      <c r="P45">
        <f t="shared" si="29"/>
        <v>3.1230222077805767E-2</v>
      </c>
      <c r="Q45">
        <f t="shared" si="30"/>
        <v>3.279561657896661E-2</v>
      </c>
      <c r="R45">
        <f t="shared" si="31"/>
        <v>2.8604647950498108E-2</v>
      </c>
      <c r="U45" s="18">
        <f t="shared" si="19"/>
        <v>22525</v>
      </c>
      <c r="V45">
        <f t="shared" si="6"/>
        <v>6.7612642737033241E-2</v>
      </c>
      <c r="W45">
        <f t="shared" si="7"/>
        <v>6.7612642737033241E-2</v>
      </c>
      <c r="X45" t="e">
        <f t="shared" si="8"/>
        <v>#N/A</v>
      </c>
      <c r="Y45" t="e">
        <f t="shared" si="9"/>
        <v>#N/A</v>
      </c>
      <c r="Z45" t="e">
        <f t="shared" si="10"/>
        <v>#N/A</v>
      </c>
      <c r="AA45">
        <f t="shared" si="11"/>
        <v>2.334405869477545E-2</v>
      </c>
      <c r="AB45">
        <f t="shared" si="11"/>
        <v>1.4306407467210347E-2</v>
      </c>
    </row>
    <row r="46" spans="1:28" x14ac:dyDescent="0.25">
      <c r="A46" s="18">
        <f t="shared" si="25"/>
        <v>18841</v>
      </c>
      <c r="B46">
        <f>'2-state flows'!B45</f>
        <v>61927</v>
      </c>
      <c r="C46">
        <f>'2-state flows'!C45</f>
        <v>1933</v>
      </c>
      <c r="D46">
        <f>'Composite HWI'!B9*48.35347462</f>
        <v>2030.84593404</v>
      </c>
      <c r="E46">
        <f t="shared" si="20"/>
        <v>3.1214171524536954E-2</v>
      </c>
      <c r="F46">
        <f t="shared" si="21"/>
        <v>3.2794192097792559E-2</v>
      </c>
      <c r="G46">
        <f>'2-state flows'!G45</f>
        <v>0.9165494306209091</v>
      </c>
      <c r="H46">
        <f t="shared" si="22"/>
        <v>0.79048972341416446</v>
      </c>
      <c r="I46">
        <f>'2-state flows'!H45</f>
        <v>3.2990453373157452E-2</v>
      </c>
      <c r="J46">
        <f t="shared" si="26"/>
        <v>7.612961171295235E-2</v>
      </c>
      <c r="K46">
        <v>0.5</v>
      </c>
      <c r="L46">
        <f t="shared" si="27"/>
        <v>0.38543491547911102</v>
      </c>
      <c r="M46">
        <f t="shared" si="24"/>
        <v>2.2305125922401657E-2</v>
      </c>
      <c r="N46">
        <f t="shared" ref="N46:O46" si="35">AVERAGE(G44:G46)</f>
        <v>0.94310254220606315</v>
      </c>
      <c r="O46">
        <f t="shared" si="35"/>
        <v>0.78210554831037526</v>
      </c>
      <c r="P46">
        <f t="shared" si="29"/>
        <v>3.1663527785950364E-2</v>
      </c>
      <c r="Q46">
        <f t="shared" si="30"/>
        <v>3.2556449997483805E-2</v>
      </c>
      <c r="R46">
        <f t="shared" si="31"/>
        <v>2.4437572982135336E-2</v>
      </c>
      <c r="U46" s="18">
        <f t="shared" si="19"/>
        <v>22616</v>
      </c>
      <c r="V46">
        <f t="shared" si="6"/>
        <v>6.1835933320329349E-2</v>
      </c>
      <c r="W46">
        <f t="shared" si="7"/>
        <v>6.1835933320329349E-2</v>
      </c>
      <c r="X46" t="e">
        <f t="shared" si="8"/>
        <v>#N/A</v>
      </c>
      <c r="Y46" t="e">
        <f t="shared" si="9"/>
        <v>#N/A</v>
      </c>
      <c r="Z46" t="e">
        <f t="shared" si="10"/>
        <v>#N/A</v>
      </c>
      <c r="AA46">
        <f t="shared" si="11"/>
        <v>2.5902951772178894E-2</v>
      </c>
      <c r="AB46">
        <f t="shared" si="11"/>
        <v>1.723608135989926E-2</v>
      </c>
    </row>
    <row r="47" spans="1:28" x14ac:dyDescent="0.25">
      <c r="A47" s="18">
        <f t="shared" si="25"/>
        <v>18872</v>
      </c>
      <c r="B47">
        <f>'2-state flows'!B46</f>
        <v>61780</v>
      </c>
      <c r="C47">
        <f>'2-state flows'!C46</f>
        <v>2067</v>
      </c>
      <c r="D47">
        <f>'Composite HWI'!B10*48.35347462</f>
        <v>1982.4924594199999</v>
      </c>
      <c r="E47">
        <f t="shared" si="20"/>
        <v>3.3457429588863712E-2</v>
      </c>
      <c r="F47">
        <f t="shared" si="21"/>
        <v>3.2089550977986402E-2</v>
      </c>
      <c r="G47">
        <f>'2-state flows'!G46</f>
        <v>0.81492949440624718</v>
      </c>
      <c r="H47">
        <f t="shared" si="22"/>
        <v>0.75528211403615797</v>
      </c>
      <c r="I47">
        <f>'2-state flows'!H46</f>
        <v>3.1361506751999703E-2</v>
      </c>
      <c r="J47">
        <f t="shared" si="26"/>
        <v>-5.0636986624300474E-2</v>
      </c>
      <c r="K47">
        <v>0.5</v>
      </c>
      <c r="L47">
        <f t="shared" si="27"/>
        <v>0.28416094223051008</v>
      </c>
      <c r="M47">
        <f t="shared" si="24"/>
        <v>2.4152056221212703E-2</v>
      </c>
      <c r="N47">
        <f t="shared" ref="N47:O47" si="36">AVERAGE(G45:G47)</f>
        <v>0.8961081976892431</v>
      </c>
      <c r="O47">
        <f t="shared" si="36"/>
        <v>0.77760276453396127</v>
      </c>
      <c r="P47">
        <f t="shared" si="29"/>
        <v>3.2023177893434139E-2</v>
      </c>
      <c r="Q47">
        <f t="shared" si="30"/>
        <v>3.2527805587781795E-2</v>
      </c>
      <c r="R47">
        <f t="shared" si="31"/>
        <v>2.4118598309368366E-2</v>
      </c>
      <c r="U47" s="18">
        <f t="shared" si="19"/>
        <v>22706</v>
      </c>
      <c r="V47">
        <f t="shared" si="6"/>
        <v>5.6268909932464535E-2</v>
      </c>
      <c r="W47">
        <f t="shared" si="7"/>
        <v>5.6268909932464535E-2</v>
      </c>
      <c r="X47" t="e">
        <f t="shared" si="8"/>
        <v>#N/A</v>
      </c>
      <c r="Y47" t="e">
        <f t="shared" si="9"/>
        <v>#N/A</v>
      </c>
      <c r="Z47" t="e">
        <f t="shared" si="10"/>
        <v>#N/A</v>
      </c>
      <c r="AA47">
        <f t="shared" si="11"/>
        <v>2.7040285817280241E-2</v>
      </c>
      <c r="AB47">
        <f t="shared" si="11"/>
        <v>2.0154103835497882E-2</v>
      </c>
    </row>
    <row r="48" spans="1:28" x14ac:dyDescent="0.25">
      <c r="A48" s="18">
        <f t="shared" si="25"/>
        <v>18902</v>
      </c>
      <c r="B48">
        <f>'2-state flows'!B47</f>
        <v>62204</v>
      </c>
      <c r="C48">
        <f>'2-state flows'!C47</f>
        <v>2194</v>
      </c>
      <c r="D48">
        <f>'Composite HWI'!B11*48.35347462</f>
        <v>2030.84593404</v>
      </c>
      <c r="E48">
        <f t="shared" si="20"/>
        <v>3.5271043662786959E-2</v>
      </c>
      <c r="F48">
        <f t="shared" si="21"/>
        <v>3.2648156614365632E-2</v>
      </c>
      <c r="G48">
        <f>'2-state flows'!G47</f>
        <v>0.84229671334143275</v>
      </c>
      <c r="H48">
        <f t="shared" si="22"/>
        <v>0.74198280989605025</v>
      </c>
      <c r="I48">
        <f>'2-state flows'!H47</f>
        <v>3.0395178455458607E-2</v>
      </c>
      <c r="J48">
        <f t="shared" si="26"/>
        <v>-3.1297248872297068E-2</v>
      </c>
      <c r="K48">
        <v>0.5</v>
      </c>
      <c r="L48">
        <f t="shared" si="27"/>
        <v>0.22156644448591595</v>
      </c>
      <c r="M48">
        <f t="shared" si="24"/>
        <v>2.6159749495016486E-2</v>
      </c>
      <c r="N48">
        <f t="shared" ref="N48:O48" si="37">AVERAGE(G46:G48)</f>
        <v>0.85792521278952971</v>
      </c>
      <c r="O48">
        <f t="shared" si="37"/>
        <v>0.76258488244879086</v>
      </c>
      <c r="P48">
        <f t="shared" si="29"/>
        <v>3.331421492539588E-2</v>
      </c>
      <c r="Q48">
        <f t="shared" si="30"/>
        <v>3.2510633230048193E-2</v>
      </c>
      <c r="R48">
        <f t="shared" si="31"/>
        <v>2.4205643879543614E-2</v>
      </c>
      <c r="U48" s="18">
        <f t="shared" si="19"/>
        <v>22798</v>
      </c>
      <c r="V48">
        <f t="shared" si="6"/>
        <v>5.4949328187418323E-2</v>
      </c>
      <c r="W48">
        <f t="shared" si="7"/>
        <v>5.4949328187418323E-2</v>
      </c>
      <c r="X48" t="e">
        <f t="shared" si="8"/>
        <v>#N/A</v>
      </c>
      <c r="Y48" t="e">
        <f t="shared" si="9"/>
        <v>#N/A</v>
      </c>
      <c r="Z48" t="e">
        <f t="shared" si="10"/>
        <v>#N/A</v>
      </c>
      <c r="AA48">
        <f t="shared" si="11"/>
        <v>2.6997136740803149E-2</v>
      </c>
      <c r="AB48">
        <f t="shared" si="11"/>
        <v>2.1346078384288213E-2</v>
      </c>
    </row>
    <row r="49" spans="1:28" x14ac:dyDescent="0.25">
      <c r="A49" s="18">
        <f t="shared" si="25"/>
        <v>18933</v>
      </c>
      <c r="B49">
        <f>'2-state flows'!B48</f>
        <v>62014</v>
      </c>
      <c r="C49">
        <f>'2-state flows'!C48</f>
        <v>2178</v>
      </c>
      <c r="D49">
        <f>'Composite HWI'!B12*48.35347462</f>
        <v>2030.84593404</v>
      </c>
      <c r="E49">
        <f t="shared" si="20"/>
        <v>3.5121101686715901E-2</v>
      </c>
      <c r="F49">
        <f t="shared" si="21"/>
        <v>3.2748184829877125E-2</v>
      </c>
      <c r="G49">
        <f>'2-state flows'!G48</f>
        <v>0.97442190843672605</v>
      </c>
      <c r="H49">
        <f t="shared" si="22"/>
        <v>0.74470319595955603</v>
      </c>
      <c r="I49">
        <f>'2-state flows'!H48</f>
        <v>2.9694936402477327E-2</v>
      </c>
      <c r="J49">
        <f t="shared" si="26"/>
        <v>-2.3307452620212648E-2</v>
      </c>
      <c r="K49">
        <v>0.5</v>
      </c>
      <c r="L49">
        <f t="shared" si="27"/>
        <v>0.17495153924549064</v>
      </c>
      <c r="M49">
        <f t="shared" si="24"/>
        <v>2.7492025924926083E-2</v>
      </c>
      <c r="N49">
        <f t="shared" ref="N49:O49" si="38">AVERAGE(G47:G49)</f>
        <v>0.87721603872813547</v>
      </c>
      <c r="O49">
        <f t="shared" si="38"/>
        <v>0.74732270663058797</v>
      </c>
      <c r="P49">
        <f t="shared" si="29"/>
        <v>3.4616524979455526E-2</v>
      </c>
      <c r="Q49">
        <f t="shared" si="30"/>
        <v>3.2495297474076389E-2</v>
      </c>
      <c r="R49">
        <f t="shared" si="31"/>
        <v>2.5934610547051758E-2</v>
      </c>
      <c r="U49" s="18">
        <f t="shared" si="19"/>
        <v>22890</v>
      </c>
      <c r="V49">
        <f t="shared" si="6"/>
        <v>5.550926838821555E-2</v>
      </c>
      <c r="W49">
        <f t="shared" si="7"/>
        <v>5.550926838821555E-2</v>
      </c>
      <c r="X49" t="e">
        <f t="shared" si="8"/>
        <v>#N/A</v>
      </c>
      <c r="Y49" t="e">
        <f t="shared" si="9"/>
        <v>#N/A</v>
      </c>
      <c r="Z49" t="e">
        <f t="shared" si="10"/>
        <v>#N/A</v>
      </c>
      <c r="AA49">
        <f t="shared" si="11"/>
        <v>2.6177998102851305E-2</v>
      </c>
      <c r="AB49">
        <f t="shared" si="11"/>
        <v>1.7342999639276369E-2</v>
      </c>
    </row>
    <row r="50" spans="1:28" x14ac:dyDescent="0.25">
      <c r="A50" s="18">
        <f t="shared" si="25"/>
        <v>18963</v>
      </c>
      <c r="B50">
        <f>'2-state flows'!B49</f>
        <v>62457</v>
      </c>
      <c r="C50">
        <f>'2-state flows'!C49</f>
        <v>1960</v>
      </c>
      <c r="D50">
        <f>'Composite HWI'!B13*48.35347462</f>
        <v>2030.84593404</v>
      </c>
      <c r="E50">
        <f t="shared" si="20"/>
        <v>3.1381590534287587E-2</v>
      </c>
      <c r="F50">
        <f t="shared" si="21"/>
        <v>3.251590588789087E-2</v>
      </c>
      <c r="G50">
        <f>'2-state flows'!G49</f>
        <v>0.77166044618158358</v>
      </c>
      <c r="H50">
        <f t="shared" si="22"/>
        <v>0.78502614263554527</v>
      </c>
      <c r="I50">
        <f>'2-state flows'!H49</f>
        <v>2.528827332082368E-2</v>
      </c>
      <c r="J50">
        <f t="shared" si="26"/>
        <v>-0.16063575659825088</v>
      </c>
      <c r="K50">
        <v>0.5</v>
      </c>
      <c r="L50">
        <f t="shared" si="27"/>
        <v>-0.14631997395101112</v>
      </c>
      <c r="M50">
        <f t="shared" si="24"/>
        <v>3.7639324021092012E-2</v>
      </c>
      <c r="N50">
        <f t="shared" ref="N50:O50" si="39">AVERAGE(G48:G50)</f>
        <v>0.86279302265324753</v>
      </c>
      <c r="O50">
        <f t="shared" si="39"/>
        <v>0.75723738283038389</v>
      </c>
      <c r="P50">
        <f t="shared" si="29"/>
        <v>3.3924578627930149E-2</v>
      </c>
      <c r="Q50">
        <f t="shared" si="30"/>
        <v>3.2637415777377873E-2</v>
      </c>
      <c r="R50">
        <f t="shared" si="31"/>
        <v>3.0430366480344861E-2</v>
      </c>
      <c r="U50" s="18">
        <f t="shared" si="19"/>
        <v>22981</v>
      </c>
      <c r="V50">
        <f t="shared" si="6"/>
        <v>5.5182282397040087E-2</v>
      </c>
      <c r="W50">
        <f t="shared" si="7"/>
        <v>5.5182282397040087E-2</v>
      </c>
      <c r="X50" t="e">
        <f t="shared" si="8"/>
        <v>#N/A</v>
      </c>
      <c r="Y50" t="e">
        <f t="shared" si="9"/>
        <v>#N/A</v>
      </c>
      <c r="Z50" t="e">
        <f t="shared" si="10"/>
        <v>#N/A</v>
      </c>
      <c r="AA50">
        <f t="shared" si="11"/>
        <v>2.5240716506033715E-2</v>
      </c>
      <c r="AB50">
        <f t="shared" si="11"/>
        <v>1.576516468295255E-2</v>
      </c>
    </row>
    <row r="51" spans="1:28" x14ac:dyDescent="0.25">
      <c r="A51" s="18">
        <f t="shared" si="25"/>
        <v>18994</v>
      </c>
      <c r="B51">
        <f>'2-state flows'!B50</f>
        <v>62432</v>
      </c>
      <c r="C51">
        <f>'2-state flows'!C50</f>
        <v>1972</v>
      </c>
      <c r="D51">
        <f>'Composite HWI'!B14*48.35347462</f>
        <v>2127.5528832800001</v>
      </c>
      <c r="E51">
        <f t="shared" si="20"/>
        <v>3.1586365966171197E-2</v>
      </c>
      <c r="F51">
        <f t="shared" si="21"/>
        <v>3.4077922912608923E-2</v>
      </c>
      <c r="G51">
        <f>'2-state flows'!G50</f>
        <v>0.93265101497936187</v>
      </c>
      <c r="H51">
        <f t="shared" si="22"/>
        <v>0.80105141722214912</v>
      </c>
      <c r="I51">
        <f>'2-state flows'!H50</f>
        <v>3.0033521720601777E-2</v>
      </c>
      <c r="J51">
        <f t="shared" si="26"/>
        <v>0.17197336535656688</v>
      </c>
      <c r="K51">
        <v>0.5</v>
      </c>
      <c r="L51">
        <f t="shared" si="27"/>
        <v>0.19762675676212263</v>
      </c>
      <c r="M51">
        <f t="shared" si="24"/>
        <v>2.7966937137428132E-2</v>
      </c>
      <c r="N51">
        <f t="shared" ref="N51:O51" si="40">AVERAGE(G49:G51)</f>
        <v>0.89291112319922394</v>
      </c>
      <c r="O51">
        <f t="shared" si="40"/>
        <v>0.77692691860575014</v>
      </c>
      <c r="P51">
        <f t="shared" si="29"/>
        <v>3.2696352729058235E-2</v>
      </c>
      <c r="Q51">
        <f t="shared" si="30"/>
        <v>3.3114004543458975E-2</v>
      </c>
      <c r="R51">
        <f t="shared" si="31"/>
        <v>3.1032762361148745E-2</v>
      </c>
      <c r="U51" s="18">
        <f t="shared" si="19"/>
        <v>23071</v>
      </c>
      <c r="V51">
        <f t="shared" si="6"/>
        <v>5.7915221060237436E-2</v>
      </c>
      <c r="W51">
        <f t="shared" si="7"/>
        <v>5.7915221060237436E-2</v>
      </c>
      <c r="X51" t="e">
        <f t="shared" si="8"/>
        <v>#N/A</v>
      </c>
      <c r="Y51" t="e">
        <f t="shared" si="9"/>
        <v>#N/A</v>
      </c>
      <c r="Z51" t="e">
        <f t="shared" si="10"/>
        <v>#N/A</v>
      </c>
      <c r="AA51">
        <f t="shared" si="11"/>
        <v>2.5778816447183064E-2</v>
      </c>
      <c r="AB51">
        <f t="shared" si="11"/>
        <v>1.6410573435023477E-2</v>
      </c>
    </row>
    <row r="52" spans="1:28" x14ac:dyDescent="0.25">
      <c r="A52" s="18">
        <f t="shared" si="25"/>
        <v>19025</v>
      </c>
      <c r="B52">
        <f>'2-state flows'!B51</f>
        <v>62419</v>
      </c>
      <c r="C52">
        <f>'2-state flows'!C51</f>
        <v>1957</v>
      </c>
      <c r="D52">
        <f>'Composite HWI'!B15*48.35347462</f>
        <v>2079.1994086599998</v>
      </c>
      <c r="E52">
        <f t="shared" si="20"/>
        <v>3.135263301238405E-2</v>
      </c>
      <c r="F52">
        <f t="shared" si="21"/>
        <v>3.3310360766112879E-2</v>
      </c>
      <c r="G52">
        <f>'2-state flows'!G51</f>
        <v>1.0823929772102137</v>
      </c>
      <c r="H52">
        <f t="shared" si="22"/>
        <v>0.7949253104073325</v>
      </c>
      <c r="I52">
        <f>'2-state flows'!H51</f>
        <v>3.1085528538924774E-2</v>
      </c>
      <c r="J52">
        <f t="shared" si="26"/>
        <v>3.4428242065735228E-2</v>
      </c>
      <c r="K52">
        <v>0.5</v>
      </c>
      <c r="L52">
        <f t="shared" si="27"/>
        <v>0.2664832408935931</v>
      </c>
      <c r="M52">
        <f t="shared" si="24"/>
        <v>2.5518029506954462E-2</v>
      </c>
      <c r="N52">
        <f t="shared" ref="N52:O52" si="41">AVERAGE(G50:G52)</f>
        <v>0.92890147945705304</v>
      </c>
      <c r="O52">
        <f t="shared" si="41"/>
        <v>0.79366762342167563</v>
      </c>
      <c r="P52">
        <f t="shared" si="29"/>
        <v>3.1440196504280947E-2</v>
      </c>
      <c r="Q52">
        <f t="shared" si="30"/>
        <v>3.3301396522204228E-2</v>
      </c>
      <c r="R52">
        <f t="shared" si="31"/>
        <v>3.03747635551582E-2</v>
      </c>
      <c r="U52" s="18">
        <f t="shared" si="19"/>
        <v>23163</v>
      </c>
      <c r="V52">
        <f t="shared" si="6"/>
        <v>5.6929471126731808E-2</v>
      </c>
      <c r="W52">
        <f t="shared" si="7"/>
        <v>5.6929471126731808E-2</v>
      </c>
      <c r="X52" t="e">
        <f t="shared" si="8"/>
        <v>#N/A</v>
      </c>
      <c r="Y52" t="e">
        <f t="shared" si="9"/>
        <v>#N/A</v>
      </c>
      <c r="Z52" t="e">
        <f t="shared" si="10"/>
        <v>#N/A</v>
      </c>
      <c r="AA52">
        <f t="shared" si="11"/>
        <v>2.5170742764264332E-2</v>
      </c>
      <c r="AB52">
        <f t="shared" si="11"/>
        <v>1.6138320847256412E-2</v>
      </c>
    </row>
    <row r="53" spans="1:28" x14ac:dyDescent="0.25">
      <c r="A53" s="18">
        <f t="shared" si="25"/>
        <v>19054</v>
      </c>
      <c r="B53">
        <f>'2-state flows'!B52</f>
        <v>61721</v>
      </c>
      <c r="C53">
        <f>'2-state flows'!C52</f>
        <v>1813</v>
      </c>
      <c r="D53">
        <f>'Composite HWI'!B16*48.35347462</f>
        <v>2030.84593404</v>
      </c>
      <c r="E53">
        <f t="shared" si="20"/>
        <v>2.9374119019458533E-2</v>
      </c>
      <c r="F53">
        <f t="shared" si="21"/>
        <v>3.290364598823739E-2</v>
      </c>
      <c r="G53">
        <f>'2-state flows'!G52</f>
        <v>0.98950809984254406</v>
      </c>
      <c r="H53">
        <f t="shared" si="22"/>
        <v>0.8162313163268704</v>
      </c>
      <c r="I53">
        <f>'2-state flows'!H52</f>
        <v>2.9892310138601771E-2</v>
      </c>
      <c r="J53">
        <f t="shared" si="26"/>
        <v>-3.9141129279588516E-2</v>
      </c>
      <c r="K53">
        <v>0.5</v>
      </c>
      <c r="L53">
        <f t="shared" si="27"/>
        <v>0.18820098233441607</v>
      </c>
      <c r="M53">
        <f t="shared" si="24"/>
        <v>2.7258965866252684E-2</v>
      </c>
      <c r="N53">
        <f t="shared" ref="N53:O53" si="42">AVERAGE(G51:G53)</f>
        <v>1.0015173640107065</v>
      </c>
      <c r="O53">
        <f t="shared" si="42"/>
        <v>0.80406934798545071</v>
      </c>
      <c r="P53">
        <f t="shared" si="29"/>
        <v>3.0771039332671262E-2</v>
      </c>
      <c r="Q53">
        <f t="shared" si="30"/>
        <v>3.3430643222319728E-2</v>
      </c>
      <c r="R53">
        <f t="shared" si="31"/>
        <v>2.6914644170211759E-2</v>
      </c>
      <c r="U53" s="18">
        <f t="shared" si="19"/>
        <v>23255</v>
      </c>
      <c r="V53">
        <f t="shared" si="6"/>
        <v>5.5059496746221258E-2</v>
      </c>
      <c r="W53">
        <f t="shared" si="7"/>
        <v>5.5059496746221258E-2</v>
      </c>
      <c r="X53" t="e">
        <f t="shared" si="8"/>
        <v>#N/A</v>
      </c>
      <c r="Y53" t="e">
        <f t="shared" si="9"/>
        <v>#N/A</v>
      </c>
      <c r="Z53" t="e">
        <f t="shared" si="10"/>
        <v>#N/A</v>
      </c>
      <c r="AA53">
        <f t="shared" si="11"/>
        <v>2.5535000792857133E-2</v>
      </c>
      <c r="AB53">
        <f t="shared" si="11"/>
        <v>1.7498283701110451E-2</v>
      </c>
    </row>
    <row r="54" spans="1:28" x14ac:dyDescent="0.25">
      <c r="A54" s="18">
        <f t="shared" si="25"/>
        <v>19085</v>
      </c>
      <c r="B54">
        <f>'2-state flows'!B53</f>
        <v>61720</v>
      </c>
      <c r="C54">
        <f>'2-state flows'!C53</f>
        <v>1811</v>
      </c>
      <c r="D54">
        <f>'Composite HWI'!B17*48.35347462</f>
        <v>2079.1994086599998</v>
      </c>
      <c r="E54">
        <f t="shared" si="20"/>
        <v>2.9342190537913156E-2</v>
      </c>
      <c r="F54">
        <f t="shared" si="21"/>
        <v>3.3687611935515227E-2</v>
      </c>
      <c r="G54">
        <f>'2-state flows'!G53</f>
        <v>0.97367654026086303</v>
      </c>
      <c r="H54">
        <f t="shared" si="22"/>
        <v>0.82634711045508036</v>
      </c>
      <c r="I54">
        <f>'2-state flows'!H53</f>
        <v>3.0809149459586498E-2</v>
      </c>
      <c r="J54">
        <f t="shared" si="26"/>
        <v>3.0210444923307118E-2</v>
      </c>
      <c r="K54">
        <v>0.5</v>
      </c>
      <c r="L54">
        <f t="shared" si="27"/>
        <v>0.2486218721810303</v>
      </c>
      <c r="M54">
        <f t="shared" si="24"/>
        <v>2.6272119957536678E-2</v>
      </c>
      <c r="N54">
        <f t="shared" ref="N54:O54" si="43">AVERAGE(G52:G54)</f>
        <v>1.0151925391045402</v>
      </c>
      <c r="O54">
        <f t="shared" si="43"/>
        <v>0.81250124572976112</v>
      </c>
      <c r="P54">
        <f t="shared" si="29"/>
        <v>3.0022980856585241E-2</v>
      </c>
      <c r="Q54">
        <f t="shared" si="30"/>
        <v>3.3300539563288496E-2</v>
      </c>
      <c r="R54">
        <f t="shared" si="31"/>
        <v>2.634970511024794E-2</v>
      </c>
      <c r="U54" s="18">
        <f t="shared" si="19"/>
        <v>23346</v>
      </c>
      <c r="V54">
        <f t="shared" si="6"/>
        <v>5.5848093611676898E-2</v>
      </c>
      <c r="W54">
        <f t="shared" si="7"/>
        <v>5.5848093611676898E-2</v>
      </c>
      <c r="X54" t="e">
        <f t="shared" si="8"/>
        <v>#N/A</v>
      </c>
      <c r="Y54" t="e">
        <f t="shared" si="9"/>
        <v>#N/A</v>
      </c>
      <c r="Z54" t="e">
        <f t="shared" si="10"/>
        <v>#N/A</v>
      </c>
      <c r="AA54">
        <f t="shared" si="11"/>
        <v>2.608510416599058E-2</v>
      </c>
      <c r="AB54">
        <f t="shared" si="11"/>
        <v>1.5635729261500465E-2</v>
      </c>
    </row>
    <row r="55" spans="1:28" x14ac:dyDescent="0.25">
      <c r="A55" s="18">
        <f t="shared" si="25"/>
        <v>19115</v>
      </c>
      <c r="B55">
        <f>'2-state flows'!B54</f>
        <v>62058</v>
      </c>
      <c r="C55">
        <f>'2-state flows'!C54</f>
        <v>1863</v>
      </c>
      <c r="D55">
        <f>'Composite HWI'!B18*48.35347462</f>
        <v>2030.84593404</v>
      </c>
      <c r="E55">
        <f t="shared" si="20"/>
        <v>3.0020303586967032E-2</v>
      </c>
      <c r="F55">
        <f t="shared" si="21"/>
        <v>3.2724965903509623E-2</v>
      </c>
      <c r="G55">
        <f>'2-state flows'!G54</f>
        <v>0.99615453266824483</v>
      </c>
      <c r="H55">
        <f t="shared" si="22"/>
        <v>0.80520363709192466</v>
      </c>
      <c r="I55">
        <f>'2-state flows'!H54</f>
        <v>3.1388671949332654E-2</v>
      </c>
      <c r="J55">
        <f t="shared" si="26"/>
        <v>1.8635355635682187E-2</v>
      </c>
      <c r="K55">
        <v>0.5</v>
      </c>
      <c r="L55">
        <f t="shared" si="27"/>
        <v>0.28589258345239466</v>
      </c>
      <c r="M55">
        <f t="shared" si="24"/>
        <v>2.4587684473777932E-2</v>
      </c>
      <c r="N55">
        <f t="shared" ref="N55:O55" si="44">AVERAGE(G53:G55)</f>
        <v>0.98644639092388398</v>
      </c>
      <c r="O55">
        <f t="shared" si="44"/>
        <v>0.81592735462462507</v>
      </c>
      <c r="P55">
        <f t="shared" si="29"/>
        <v>2.9578871048112906E-2</v>
      </c>
      <c r="Q55">
        <f t="shared" si="30"/>
        <v>3.3105407942420749E-2</v>
      </c>
      <c r="R55">
        <f t="shared" si="31"/>
        <v>2.6039590099189099E-2</v>
      </c>
      <c r="U55" s="18">
        <f t="shared" si="19"/>
        <v>23437</v>
      </c>
      <c r="V55">
        <f t="shared" si="6"/>
        <v>5.4701368270539431E-2</v>
      </c>
      <c r="W55">
        <f t="shared" si="7"/>
        <v>5.4701368270539431E-2</v>
      </c>
      <c r="X55" t="e">
        <f t="shared" si="8"/>
        <v>#N/A</v>
      </c>
      <c r="Y55" t="e">
        <f t="shared" si="9"/>
        <v>#N/A</v>
      </c>
      <c r="Z55" t="e">
        <f t="shared" si="10"/>
        <v>#N/A</v>
      </c>
      <c r="AA55">
        <f t="shared" si="11"/>
        <v>2.6647037870635947E-2</v>
      </c>
      <c r="AB55">
        <f t="shared" si="11"/>
        <v>1.7134753434687979E-2</v>
      </c>
    </row>
    <row r="56" spans="1:28" x14ac:dyDescent="0.25">
      <c r="A56" s="18">
        <f t="shared" si="25"/>
        <v>19146</v>
      </c>
      <c r="B56">
        <f>'2-state flows'!B55</f>
        <v>62103</v>
      </c>
      <c r="C56">
        <f>'2-state flows'!C55</f>
        <v>1884</v>
      </c>
      <c r="D56">
        <f>'Composite HWI'!B19*48.35347462</f>
        <v>2030.84593404</v>
      </c>
      <c r="E56">
        <f t="shared" si="20"/>
        <v>3.0336698710207236E-2</v>
      </c>
      <c r="F56">
        <f t="shared" si="21"/>
        <v>3.2701253305637411E-2</v>
      </c>
      <c r="G56">
        <f>'2-state flows'!G55</f>
        <v>0.85155318595734197</v>
      </c>
      <c r="H56">
        <f t="shared" si="22"/>
        <v>0.80070346176496421</v>
      </c>
      <c r="I56">
        <f>'2-state flows'!H55</f>
        <v>2.9314393374376625E-2</v>
      </c>
      <c r="J56">
        <f t="shared" si="26"/>
        <v>-6.8368425027954385E-2</v>
      </c>
      <c r="K56">
        <v>0.5</v>
      </c>
      <c r="L56">
        <f t="shared" si="27"/>
        <v>0.14915573339648588</v>
      </c>
      <c r="M56">
        <f t="shared" si="24"/>
        <v>2.8170002514834272E-2</v>
      </c>
      <c r="N56">
        <f t="shared" ref="N56:O56" si="45">AVERAGE(G54:G56)</f>
        <v>0.94046141962881658</v>
      </c>
      <c r="O56">
        <f t="shared" si="45"/>
        <v>0.81075140310398963</v>
      </c>
      <c r="P56">
        <f t="shared" si="29"/>
        <v>2.9899730945029141E-2</v>
      </c>
      <c r="Q56">
        <f t="shared" si="30"/>
        <v>3.303794371488742E-2</v>
      </c>
      <c r="R56">
        <f t="shared" si="31"/>
        <v>2.6343268982049629E-2</v>
      </c>
      <c r="U56" s="18">
        <f t="shared" si="19"/>
        <v>23529</v>
      </c>
      <c r="V56">
        <f t="shared" si="6"/>
        <v>5.2326121813977423E-2</v>
      </c>
      <c r="W56">
        <f t="shared" si="7"/>
        <v>5.2326121813977423E-2</v>
      </c>
      <c r="X56" t="e">
        <f t="shared" si="8"/>
        <v>#N/A</v>
      </c>
      <c r="Y56" t="e">
        <f t="shared" si="9"/>
        <v>#N/A</v>
      </c>
      <c r="Z56" t="e">
        <f t="shared" si="10"/>
        <v>#N/A</v>
      </c>
      <c r="AA56">
        <f t="shared" si="11"/>
        <v>2.7951855886590479E-2</v>
      </c>
      <c r="AB56">
        <f t="shared" si="11"/>
        <v>2.1582714111159196E-2</v>
      </c>
    </row>
    <row r="57" spans="1:28" x14ac:dyDescent="0.25">
      <c r="A57" s="18">
        <f t="shared" si="25"/>
        <v>19176</v>
      </c>
      <c r="B57">
        <f>'2-state flows'!B56</f>
        <v>61962</v>
      </c>
      <c r="C57">
        <f>'2-state flows'!C56</f>
        <v>1991</v>
      </c>
      <c r="D57">
        <f>'Composite HWI'!B20*48.35347462</f>
        <v>2079.1994086599998</v>
      </c>
      <c r="E57">
        <f t="shared" si="20"/>
        <v>3.2132597398405474E-2</v>
      </c>
      <c r="F57">
        <f t="shared" si="21"/>
        <v>3.3556040938962584E-2</v>
      </c>
      <c r="G57">
        <f>'2-state flows'!G56</f>
        <v>0.89075320920419354</v>
      </c>
      <c r="H57">
        <f t="shared" si="22"/>
        <v>0.78810867495919457</v>
      </c>
      <c r="I57">
        <f>'2-state flows'!H56</f>
        <v>3.2023816810486536E-2</v>
      </c>
      <c r="J57">
        <f t="shared" si="26"/>
        <v>8.840126444215772E-2</v>
      </c>
      <c r="K57">
        <v>0.5</v>
      </c>
      <c r="L57">
        <f t="shared" si="27"/>
        <v>0.32595826228080133</v>
      </c>
      <c r="M57">
        <f t="shared" si="24"/>
        <v>2.4221935366653537E-2</v>
      </c>
      <c r="N57">
        <f t="shared" ref="N57:O57" si="46">AVERAGE(G55:G57)</f>
        <v>0.91282030927659352</v>
      </c>
      <c r="O57">
        <f t="shared" si="46"/>
        <v>0.79800525793869459</v>
      </c>
      <c r="P57">
        <f t="shared" si="29"/>
        <v>3.0829866565193247E-2</v>
      </c>
      <c r="Q57">
        <f t="shared" si="30"/>
        <v>3.2994086716036541E-2</v>
      </c>
      <c r="R57">
        <f t="shared" si="31"/>
        <v>2.5659874118421914E-2</v>
      </c>
      <c r="U57" s="18">
        <f t="shared" si="19"/>
        <v>23621</v>
      </c>
      <c r="V57">
        <f t="shared" si="6"/>
        <v>5.0018573338103396E-2</v>
      </c>
      <c r="W57">
        <f t="shared" si="7"/>
        <v>5.0018573338103396E-2</v>
      </c>
      <c r="X57" t="e">
        <f t="shared" si="8"/>
        <v>#N/A</v>
      </c>
      <c r="Y57" t="e">
        <f t="shared" si="9"/>
        <v>#N/A</v>
      </c>
      <c r="Z57" t="e">
        <f t="shared" si="10"/>
        <v>#N/A</v>
      </c>
      <c r="AA57">
        <f t="shared" si="11"/>
        <v>2.9530199334649742E-2</v>
      </c>
      <c r="AB57">
        <f t="shared" si="11"/>
        <v>1.9977649178378326E-2</v>
      </c>
    </row>
    <row r="58" spans="1:28" x14ac:dyDescent="0.25">
      <c r="A58" s="18">
        <f t="shared" si="25"/>
        <v>19207</v>
      </c>
      <c r="B58">
        <f>'2-state flows'!B57</f>
        <v>61877</v>
      </c>
      <c r="C58">
        <f>'2-state flows'!C57</f>
        <v>2087</v>
      </c>
      <c r="D58">
        <f>'Composite HWI'!B21*48.35347462</f>
        <v>2079.1994086599998</v>
      </c>
      <c r="E58">
        <f t="shared" si="20"/>
        <v>3.372820272476041E-2</v>
      </c>
      <c r="F58">
        <f t="shared" si="21"/>
        <v>3.3602136636553155E-2</v>
      </c>
      <c r="G58">
        <f>'2-state flows'!G57</f>
        <v>0.95139916457057261</v>
      </c>
      <c r="H58">
        <f t="shared" si="22"/>
        <v>0.76976917041792714</v>
      </c>
      <c r="I58">
        <f>'2-state flows'!H57</f>
        <v>2.9246027892327907E-2</v>
      </c>
      <c r="J58">
        <f t="shared" si="26"/>
        <v>-9.0736135388386749E-2</v>
      </c>
      <c r="K58">
        <v>0.5</v>
      </c>
      <c r="L58">
        <f t="shared" si="27"/>
        <v>0.14448599150402783</v>
      </c>
      <c r="M58">
        <f t="shared" si="24"/>
        <v>2.9081541605150339E-2</v>
      </c>
      <c r="N58">
        <f t="shared" ref="N58:O58" si="47">AVERAGE(G56:G58)</f>
        <v>0.89790185324403604</v>
      </c>
      <c r="O58">
        <f t="shared" si="47"/>
        <v>0.78619376904736205</v>
      </c>
      <c r="P58">
        <f t="shared" si="29"/>
        <v>3.2065832944457702E-2</v>
      </c>
      <c r="Q58">
        <f t="shared" si="30"/>
        <v>3.3286476960384385E-2</v>
      </c>
      <c r="R58">
        <f t="shared" si="31"/>
        <v>2.7157826495546048E-2</v>
      </c>
      <c r="U58" s="18">
        <f t="shared" si="19"/>
        <v>23712</v>
      </c>
      <c r="V58">
        <f t="shared" si="6"/>
        <v>4.9659262008241493E-2</v>
      </c>
      <c r="W58">
        <f t="shared" si="7"/>
        <v>4.9659262008241493E-2</v>
      </c>
      <c r="X58" t="e">
        <f t="shared" si="8"/>
        <v>#N/A</v>
      </c>
      <c r="Y58" t="e">
        <f t="shared" si="9"/>
        <v>#N/A</v>
      </c>
      <c r="Z58" t="e">
        <f t="shared" si="10"/>
        <v>#N/A</v>
      </c>
      <c r="AA58">
        <f t="shared" si="11"/>
        <v>3.0542180289921363E-2</v>
      </c>
      <c r="AB58">
        <f t="shared" si="11"/>
        <v>2.2964737783284783E-2</v>
      </c>
    </row>
    <row r="59" spans="1:28" x14ac:dyDescent="0.25">
      <c r="A59" s="18">
        <f t="shared" si="25"/>
        <v>19238</v>
      </c>
      <c r="B59">
        <f>'2-state flows'!B58</f>
        <v>62457</v>
      </c>
      <c r="C59">
        <f>'2-state flows'!C58</f>
        <v>1936</v>
      </c>
      <c r="D59">
        <f>'Composite HWI'!B22*48.35347462</f>
        <v>2224.2598325200001</v>
      </c>
      <c r="E59">
        <f t="shared" si="20"/>
        <v>3.0997326160398353E-2</v>
      </c>
      <c r="F59">
        <f t="shared" si="21"/>
        <v>3.5612658829594766E-2</v>
      </c>
      <c r="G59">
        <f>'2-state flows'!G58</f>
        <v>0.89761294699064809</v>
      </c>
      <c r="H59">
        <f t="shared" si="22"/>
        <v>0.82663492389966642</v>
      </c>
      <c r="I59">
        <f>'2-state flows'!H58</f>
        <v>2.6258120062522601E-2</v>
      </c>
      <c r="J59">
        <f t="shared" si="26"/>
        <v>-0.1077684889851636</v>
      </c>
      <c r="K59">
        <v>0.5</v>
      </c>
      <c r="L59">
        <f t="shared" si="27"/>
        <v>-7.1050986466299371E-2</v>
      </c>
      <c r="M59">
        <f t="shared" si="24"/>
        <v>3.8235031342147487E-2</v>
      </c>
      <c r="N59">
        <f t="shared" ref="N59:O59" si="48">AVERAGE(G57:G59)</f>
        <v>0.91325510692180478</v>
      </c>
      <c r="O59">
        <f t="shared" si="48"/>
        <v>0.79483758975892937</v>
      </c>
      <c r="P59">
        <f t="shared" si="29"/>
        <v>3.2286042094521412E-2</v>
      </c>
      <c r="Q59">
        <f t="shared" si="30"/>
        <v>3.4256945468370166E-2</v>
      </c>
      <c r="R59">
        <f t="shared" si="31"/>
        <v>3.0512836104650453E-2</v>
      </c>
      <c r="U59" s="18">
        <f t="shared" si="19"/>
        <v>23802</v>
      </c>
      <c r="V59">
        <f t="shared" si="6"/>
        <v>4.8840400989619448E-2</v>
      </c>
      <c r="W59">
        <f t="shared" si="7"/>
        <v>4.8840400989619448E-2</v>
      </c>
      <c r="X59" t="e">
        <f t="shared" si="8"/>
        <v>#N/A</v>
      </c>
      <c r="Y59" t="e">
        <f t="shared" si="9"/>
        <v>#N/A</v>
      </c>
      <c r="Z59" t="e">
        <f t="shared" si="10"/>
        <v>#N/A</v>
      </c>
      <c r="AA59">
        <f t="shared" si="11"/>
        <v>3.1888180524110639E-2</v>
      </c>
      <c r="AB59">
        <f t="shared" si="11"/>
        <v>2.0982169760222043E-2</v>
      </c>
    </row>
    <row r="60" spans="1:28" x14ac:dyDescent="0.25">
      <c r="A60" s="18">
        <f t="shared" si="25"/>
        <v>19268</v>
      </c>
      <c r="B60">
        <f>'2-state flows'!B59</f>
        <v>61971</v>
      </c>
      <c r="C60">
        <f>'2-state flows'!C59</f>
        <v>1839</v>
      </c>
      <c r="D60">
        <f>'Composite HWI'!B23*48.35347462</f>
        <v>2320.9667817600002</v>
      </c>
      <c r="E60">
        <f t="shared" si="20"/>
        <v>2.9675170644333639E-2</v>
      </c>
      <c r="F60">
        <f t="shared" si="21"/>
        <v>3.7452466181923806E-2</v>
      </c>
      <c r="G60">
        <f>'2-state flows'!G59</f>
        <v>0.92942720977952509</v>
      </c>
      <c r="H60">
        <f t="shared" si="22"/>
        <v>0.86639764719342827</v>
      </c>
      <c r="I60">
        <f>'2-state flows'!H59</f>
        <v>2.5945678836556945E-2</v>
      </c>
      <c r="J60">
        <f t="shared" si="26"/>
        <v>-1.1970199994720669E-2</v>
      </c>
      <c r="K60">
        <v>0.5</v>
      </c>
      <c r="L60">
        <f t="shared" si="27"/>
        <v>-9.4991386455740706E-2</v>
      </c>
      <c r="M60">
        <f t="shared" si="24"/>
        <v>4.1184581336521468E-2</v>
      </c>
      <c r="N60">
        <f t="shared" ref="N60:O60" si="49">AVERAGE(G58:G60)</f>
        <v>0.92614644044691519</v>
      </c>
      <c r="O60">
        <f t="shared" si="49"/>
        <v>0.8209339138370072</v>
      </c>
      <c r="P60">
        <f t="shared" si="29"/>
        <v>3.1466899843164135E-2</v>
      </c>
      <c r="Q60">
        <f t="shared" si="30"/>
        <v>3.5555753882690576E-2</v>
      </c>
      <c r="R60">
        <f t="shared" si="31"/>
        <v>3.6167051427939766E-2</v>
      </c>
      <c r="U60" s="18">
        <f t="shared" si="19"/>
        <v>23894</v>
      </c>
      <c r="V60">
        <f t="shared" si="6"/>
        <v>4.6678952776483214E-2</v>
      </c>
      <c r="W60">
        <f t="shared" si="7"/>
        <v>4.6678952776483214E-2</v>
      </c>
      <c r="X60" t="e">
        <f t="shared" si="8"/>
        <v>#N/A</v>
      </c>
      <c r="Y60" t="e">
        <f t="shared" si="9"/>
        <v>#N/A</v>
      </c>
      <c r="Z60" t="e">
        <f t="shared" si="10"/>
        <v>#N/A</v>
      </c>
      <c r="AA60">
        <f t="shared" si="11"/>
        <v>3.4025650091793397E-2</v>
      </c>
      <c r="AB60">
        <f t="shared" si="11"/>
        <v>2.3686296409769964E-2</v>
      </c>
    </row>
    <row r="61" spans="1:28" x14ac:dyDescent="0.25">
      <c r="A61" s="18">
        <f t="shared" si="25"/>
        <v>19299</v>
      </c>
      <c r="B61">
        <f>'2-state flows'!B60</f>
        <v>62491</v>
      </c>
      <c r="C61">
        <f>'2-state flows'!C60</f>
        <v>1743</v>
      </c>
      <c r="D61">
        <f>'Composite HWI'!B24*48.35347462</f>
        <v>2320.9667817600002</v>
      </c>
      <c r="E61">
        <f t="shared" si="20"/>
        <v>2.7892016450368852E-2</v>
      </c>
      <c r="F61">
        <f t="shared" si="21"/>
        <v>3.7140816785777159E-2</v>
      </c>
      <c r="G61">
        <f>'2-state flows'!G60</f>
        <v>1.0288165267325677</v>
      </c>
      <c r="H61">
        <f t="shared" si="22"/>
        <v>0.88993735233414584</v>
      </c>
      <c r="I61">
        <f>'2-state flows'!H60</f>
        <v>2.7493066284640995E-2</v>
      </c>
      <c r="J61">
        <f t="shared" si="26"/>
        <v>5.7928760853531769E-2</v>
      </c>
      <c r="K61">
        <v>0.5</v>
      </c>
      <c r="L61">
        <f t="shared" si="27"/>
        <v>2.0866135251322832E-2</v>
      </c>
      <c r="M61">
        <f t="shared" si="24"/>
        <v>3.6373861008103893E-2</v>
      </c>
      <c r="N61">
        <f t="shared" ref="N61:O61" si="50">AVERAGE(G59:G61)</f>
        <v>0.95195222783424693</v>
      </c>
      <c r="O61">
        <f t="shared" si="50"/>
        <v>0.86098997447574688</v>
      </c>
      <c r="P61">
        <f t="shared" si="29"/>
        <v>2.9521504418366946E-2</v>
      </c>
      <c r="Q61">
        <f t="shared" si="30"/>
        <v>3.6735313932431908E-2</v>
      </c>
      <c r="R61">
        <f t="shared" si="31"/>
        <v>3.8597824562257611E-2</v>
      </c>
      <c r="U61" s="18">
        <f t="shared" si="19"/>
        <v>23986</v>
      </c>
      <c r="V61">
        <f t="shared" si="6"/>
        <v>4.364353784696421E-2</v>
      </c>
      <c r="W61">
        <f t="shared" si="7"/>
        <v>4.364353784696421E-2</v>
      </c>
      <c r="X61" t="e">
        <f t="shared" si="8"/>
        <v>#N/A</v>
      </c>
      <c r="Y61" t="e">
        <f t="shared" si="9"/>
        <v>#N/A</v>
      </c>
      <c r="Z61" t="e">
        <f t="shared" si="10"/>
        <v>#N/A</v>
      </c>
      <c r="AA61">
        <f t="shared" si="11"/>
        <v>3.5638335843843461E-2</v>
      </c>
      <c r="AB61">
        <f t="shared" si="11"/>
        <v>2.7524268771047213E-2</v>
      </c>
    </row>
    <row r="62" spans="1:28" x14ac:dyDescent="0.25">
      <c r="A62" s="18">
        <f t="shared" si="25"/>
        <v>19329</v>
      </c>
      <c r="B62">
        <f>'2-state flows'!B61</f>
        <v>62621</v>
      </c>
      <c r="C62">
        <f>'2-state flows'!C61</f>
        <v>1667</v>
      </c>
      <c r="D62">
        <f>'Composite HWI'!B25*48.35347462</f>
        <v>2320.9667817600002</v>
      </c>
      <c r="E62">
        <f t="shared" si="20"/>
        <v>2.6620462784050079E-2</v>
      </c>
      <c r="F62">
        <f t="shared" si="21"/>
        <v>3.7063713159483244E-2</v>
      </c>
      <c r="G62">
        <f>'2-state flows'!G61</f>
        <v>0.75948696306715668</v>
      </c>
      <c r="H62">
        <f t="shared" si="22"/>
        <v>0.9099977718555109</v>
      </c>
      <c r="I62">
        <f>'2-state flows'!H61</f>
        <v>2.4842429844876283E-2</v>
      </c>
      <c r="J62">
        <f t="shared" si="26"/>
        <v>-0.10138076565389291</v>
      </c>
      <c r="K62">
        <v>0.5</v>
      </c>
      <c r="L62">
        <f t="shared" si="27"/>
        <v>-0.18189539605646299</v>
      </c>
      <c r="M62">
        <f t="shared" si="24"/>
        <v>4.4457505710355873E-2</v>
      </c>
      <c r="N62">
        <f t="shared" ref="N62:O62" si="51">AVERAGE(G60:G62)</f>
        <v>0.90591023319308317</v>
      </c>
      <c r="O62">
        <f t="shared" si="51"/>
        <v>0.88877759046102833</v>
      </c>
      <c r="P62">
        <f t="shared" si="29"/>
        <v>2.8062549959584192E-2</v>
      </c>
      <c r="Q62">
        <f t="shared" si="30"/>
        <v>3.7218998709061403E-2</v>
      </c>
      <c r="R62">
        <f t="shared" si="31"/>
        <v>4.0671982684993745E-2</v>
      </c>
      <c r="U62" s="18">
        <f t="shared" si="19"/>
        <v>24077</v>
      </c>
      <c r="V62">
        <f t="shared" si="6"/>
        <v>4.1148399782750998E-2</v>
      </c>
      <c r="W62">
        <f t="shared" si="7"/>
        <v>4.1148399782750998E-2</v>
      </c>
      <c r="X62" t="e">
        <f t="shared" si="8"/>
        <v>#N/A</v>
      </c>
      <c r="Y62" t="e">
        <f t="shared" si="9"/>
        <v>#N/A</v>
      </c>
      <c r="Z62" t="e">
        <f t="shared" si="10"/>
        <v>#N/A</v>
      </c>
      <c r="AA62">
        <f t="shared" si="11"/>
        <v>4.0019363635703631E-2</v>
      </c>
      <c r="AB62">
        <f t="shared" si="11"/>
        <v>3.5568694286590215E-2</v>
      </c>
    </row>
    <row r="63" spans="1:28" x14ac:dyDescent="0.25">
      <c r="A63" s="18">
        <f t="shared" si="25"/>
        <v>19360</v>
      </c>
      <c r="B63">
        <f>'2-state flows'!B62</f>
        <v>63439</v>
      </c>
      <c r="C63">
        <f>'2-state flows'!C62</f>
        <v>1839</v>
      </c>
      <c r="D63">
        <f>'Composite HWI'!B26*48.35347462</f>
        <v>2272.61330714</v>
      </c>
      <c r="E63">
        <f t="shared" si="20"/>
        <v>2.8988477119752835E-2</v>
      </c>
      <c r="F63">
        <f t="shared" si="21"/>
        <v>3.582359916045335E-2</v>
      </c>
      <c r="G63">
        <f>'2-state flows'!G62</f>
        <v>1.1748558058831697</v>
      </c>
      <c r="H63">
        <f t="shared" si="22"/>
        <v>0.85732517051496282</v>
      </c>
      <c r="I63">
        <f>'2-state flows'!H62</f>
        <v>2.9405312400147897E-2</v>
      </c>
      <c r="J63">
        <f t="shared" si="26"/>
        <v>0.16862227978077457</v>
      </c>
      <c r="K63">
        <v>0.5</v>
      </c>
      <c r="L63">
        <f t="shared" si="27"/>
        <v>0.15534916350508615</v>
      </c>
      <c r="M63">
        <f t="shared" si="24"/>
        <v>3.066916361070161E-2</v>
      </c>
      <c r="N63">
        <f t="shared" ref="N63:O63" si="52">AVERAGE(G61:G63)</f>
        <v>0.98771976522763139</v>
      </c>
      <c r="O63">
        <f t="shared" si="52"/>
        <v>0.88575343156820663</v>
      </c>
      <c r="P63">
        <f t="shared" si="29"/>
        <v>2.7833652118057255E-2</v>
      </c>
      <c r="Q63">
        <f t="shared" si="30"/>
        <v>3.6676043035237915E-2</v>
      </c>
      <c r="R63">
        <f t="shared" si="31"/>
        <v>3.7166843443053793E-2</v>
      </c>
      <c r="U63" s="18">
        <f t="shared" si="19"/>
        <v>24167</v>
      </c>
      <c r="V63">
        <f t="shared" si="6"/>
        <v>3.8606465055645613E-2</v>
      </c>
      <c r="W63">
        <f t="shared" si="7"/>
        <v>3.8606465055645613E-2</v>
      </c>
      <c r="X63" t="e">
        <f t="shared" si="8"/>
        <v>#N/A</v>
      </c>
      <c r="Y63" t="e">
        <f t="shared" si="9"/>
        <v>#N/A</v>
      </c>
      <c r="Z63" t="e">
        <f t="shared" si="10"/>
        <v>#N/A</v>
      </c>
      <c r="AA63">
        <f t="shared" si="11"/>
        <v>4.3154890174594451E-2</v>
      </c>
      <c r="AB63">
        <f t="shared" si="11"/>
        <v>3.3988228839022611E-2</v>
      </c>
    </row>
    <row r="64" spans="1:28" x14ac:dyDescent="0.25">
      <c r="A64" s="18">
        <f t="shared" si="25"/>
        <v>19391</v>
      </c>
      <c r="B64">
        <f>'2-state flows'!B63</f>
        <v>63520</v>
      </c>
      <c r="C64">
        <f>'2-state flows'!C63</f>
        <v>1636</v>
      </c>
      <c r="D64">
        <f>'Composite HWI'!B27*48.35347462</f>
        <v>2272.61330714</v>
      </c>
      <c r="E64">
        <f t="shared" si="20"/>
        <v>2.5755667506297229E-2</v>
      </c>
      <c r="F64">
        <f t="shared" si="21"/>
        <v>3.5777917303841313E-2</v>
      </c>
      <c r="G64">
        <f>'2-state flows'!G63</f>
        <v>0.97352105970500158</v>
      </c>
      <c r="H64">
        <f t="shared" si="22"/>
        <v>0.90896003670724923</v>
      </c>
      <c r="I64">
        <f>'2-state flows'!H63</f>
        <v>2.6017691848966323E-2</v>
      </c>
      <c r="J64">
        <f t="shared" si="26"/>
        <v>-0.12239858955811998</v>
      </c>
      <c r="K64">
        <v>0.5</v>
      </c>
      <c r="L64">
        <f t="shared" si="27"/>
        <v>-8.9448015611153814E-2</v>
      </c>
      <c r="M64">
        <f t="shared" si="24"/>
        <v>3.9125674315335236E-2</v>
      </c>
      <c r="N64">
        <f t="shared" ref="N64:O64" si="53">AVERAGE(G62:G64)</f>
        <v>0.96928794288510944</v>
      </c>
      <c r="O64">
        <f t="shared" si="53"/>
        <v>0.89209432635924102</v>
      </c>
      <c r="P64">
        <f t="shared" si="29"/>
        <v>2.7121535803366719E-2</v>
      </c>
      <c r="Q64">
        <f t="shared" si="30"/>
        <v>3.6221743207925962E-2</v>
      </c>
      <c r="R64">
        <f t="shared" si="31"/>
        <v>3.8084114545464239E-2</v>
      </c>
      <c r="U64" s="18">
        <f t="shared" si="19"/>
        <v>24259</v>
      </c>
      <c r="V64">
        <f t="shared" si="6"/>
        <v>3.8201202717431312E-2</v>
      </c>
      <c r="W64">
        <f t="shared" si="7"/>
        <v>3.8201202717431312E-2</v>
      </c>
      <c r="X64" t="e">
        <f t="shared" si="8"/>
        <v>#N/A</v>
      </c>
      <c r="Y64" t="e">
        <f t="shared" si="9"/>
        <v>#N/A</v>
      </c>
      <c r="Z64" t="e">
        <f t="shared" si="10"/>
        <v>#N/A</v>
      </c>
      <c r="AA64">
        <f t="shared" si="11"/>
        <v>4.3562479152157552E-2</v>
      </c>
      <c r="AB64">
        <f t="shared" si="11"/>
        <v>2.9261191437659918E-2</v>
      </c>
    </row>
    <row r="65" spans="1:28" x14ac:dyDescent="0.25">
      <c r="A65" s="18">
        <f t="shared" si="25"/>
        <v>19419</v>
      </c>
      <c r="B65">
        <f>'2-state flows'!B64</f>
        <v>63657</v>
      </c>
      <c r="C65">
        <f>'2-state flows'!C64</f>
        <v>1647</v>
      </c>
      <c r="D65">
        <f>'Composite HWI'!B28*48.35347462</f>
        <v>2417.6737309999999</v>
      </c>
      <c r="E65">
        <f t="shared" si="20"/>
        <v>2.587303831471794E-2</v>
      </c>
      <c r="F65">
        <f t="shared" si="21"/>
        <v>3.7979699498876793E-2</v>
      </c>
      <c r="G65">
        <f>'2-state flows'!G64</f>
        <v>1.0232040952936343</v>
      </c>
      <c r="H65">
        <f t="shared" si="22"/>
        <v>0.93438468761763294</v>
      </c>
      <c r="I65">
        <f>'2-state flows'!H64</f>
        <v>2.9158115167277128E-2</v>
      </c>
      <c r="J65">
        <f t="shared" si="26"/>
        <v>0.11395650509490916</v>
      </c>
      <c r="K65">
        <v>0.5</v>
      </c>
      <c r="L65">
        <f t="shared" si="27"/>
        <v>0.13846499457866451</v>
      </c>
      <c r="M65">
        <f t="shared" si="24"/>
        <v>3.3068686210949313E-2</v>
      </c>
      <c r="N65">
        <f t="shared" ref="N65:O65" si="54">AVERAGE(G63:G65)</f>
        <v>1.0571936536272686</v>
      </c>
      <c r="O65">
        <f t="shared" si="54"/>
        <v>0.9002232982799484</v>
      </c>
      <c r="P65">
        <f t="shared" si="29"/>
        <v>2.6872394313589332E-2</v>
      </c>
      <c r="Q65">
        <f t="shared" si="30"/>
        <v>3.6527071987723821E-2</v>
      </c>
      <c r="R65">
        <f t="shared" si="31"/>
        <v>3.4287841378995383E-2</v>
      </c>
      <c r="U65" s="18">
        <f t="shared" si="19"/>
        <v>24351</v>
      </c>
      <c r="V65">
        <f t="shared" si="6"/>
        <v>3.7632503387553147E-2</v>
      </c>
      <c r="W65">
        <f t="shared" si="7"/>
        <v>3.7632503387553147E-2</v>
      </c>
      <c r="X65" t="e">
        <f t="shared" si="8"/>
        <v>#N/A</v>
      </c>
      <c r="Y65" t="e">
        <f t="shared" si="9"/>
        <v>#N/A</v>
      </c>
      <c r="Z65" t="e">
        <f t="shared" si="10"/>
        <v>#N/A</v>
      </c>
      <c r="AA65">
        <f t="shared" si="11"/>
        <v>4.3295458268620191E-2</v>
      </c>
      <c r="AB65">
        <f t="shared" si="11"/>
        <v>3.2299290473020555E-2</v>
      </c>
    </row>
    <row r="66" spans="1:28" x14ac:dyDescent="0.25">
      <c r="A66" s="18">
        <f t="shared" si="25"/>
        <v>19450</v>
      </c>
      <c r="B66">
        <f>'2-state flows'!B65</f>
        <v>63167</v>
      </c>
      <c r="C66">
        <f>'2-state flows'!C65</f>
        <v>1723</v>
      </c>
      <c r="D66">
        <f>'Composite HWI'!B29*48.35347462</f>
        <v>2369.32025638</v>
      </c>
      <c r="E66">
        <f t="shared" si="20"/>
        <v>2.7276900913451644E-2</v>
      </c>
      <c r="F66">
        <f t="shared" si="21"/>
        <v>3.750882986971045E-2</v>
      </c>
      <c r="G66">
        <f>'2-state flows'!G65</f>
        <v>1.0172757177404765</v>
      </c>
      <c r="H66">
        <f t="shared" si="22"/>
        <v>0.9043632615821704</v>
      </c>
      <c r="I66">
        <f>'2-state flows'!H65</f>
        <v>2.5198076197144707E-2</v>
      </c>
      <c r="J66">
        <f t="shared" si="26"/>
        <v>-0.14596561722075391</v>
      </c>
      <c r="K66">
        <v>0.5</v>
      </c>
      <c r="L66">
        <f t="shared" si="27"/>
        <v>-0.1534662398628433</v>
      </c>
      <c r="M66">
        <f t="shared" si="24"/>
        <v>4.3730360463045702E-2</v>
      </c>
      <c r="N66">
        <f t="shared" ref="N66:O66" si="55">AVERAGE(G64:G66)</f>
        <v>1.004666957579704</v>
      </c>
      <c r="O66">
        <f t="shared" si="55"/>
        <v>0.91590266196901748</v>
      </c>
      <c r="P66">
        <f t="shared" si="29"/>
        <v>2.6301868911488935E-2</v>
      </c>
      <c r="Q66">
        <f t="shared" si="30"/>
        <v>3.7088815557476187E-2</v>
      </c>
      <c r="R66">
        <f t="shared" si="31"/>
        <v>3.8641573663110086E-2</v>
      </c>
      <c r="U66" s="18">
        <f t="shared" si="19"/>
        <v>24442</v>
      </c>
      <c r="V66">
        <f t="shared" si="6"/>
        <v>3.6957376833585305E-2</v>
      </c>
      <c r="W66">
        <f t="shared" si="7"/>
        <v>3.6957376833585305E-2</v>
      </c>
      <c r="X66" t="e">
        <f t="shared" si="8"/>
        <v>#N/A</v>
      </c>
      <c r="Y66" t="e">
        <f t="shared" si="9"/>
        <v>#N/A</v>
      </c>
      <c r="Z66" t="e">
        <f t="shared" si="10"/>
        <v>#N/A</v>
      </c>
      <c r="AA66">
        <f t="shared" si="11"/>
        <v>4.2148014592352796E-2</v>
      </c>
      <c r="AB66">
        <f t="shared" si="11"/>
        <v>3.3999066883534566E-2</v>
      </c>
    </row>
    <row r="67" spans="1:28" x14ac:dyDescent="0.25">
      <c r="A67" s="18">
        <f t="shared" si="25"/>
        <v>19480</v>
      </c>
      <c r="B67">
        <f>'2-state flows'!B66</f>
        <v>62615</v>
      </c>
      <c r="C67">
        <f>'2-state flows'!C66</f>
        <v>1596</v>
      </c>
      <c r="D67">
        <f>'Composite HWI'!B30*48.35347462</f>
        <v>2272.61330714</v>
      </c>
      <c r="E67">
        <f t="shared" si="20"/>
        <v>2.5489100055897149E-2</v>
      </c>
      <c r="F67">
        <f t="shared" si="21"/>
        <v>3.6295030058931567E-2</v>
      </c>
      <c r="G67">
        <f>'2-state flows'!G66</f>
        <v>0.94231568527057463</v>
      </c>
      <c r="H67">
        <f t="shared" si="22"/>
        <v>0.92028002503557926</v>
      </c>
      <c r="I67">
        <f>'2-state flows'!H66</f>
        <v>2.4928304167599245E-2</v>
      </c>
      <c r="J67">
        <f t="shared" si="26"/>
        <v>-1.0763778760899283E-2</v>
      </c>
      <c r="K67">
        <v>0.5</v>
      </c>
      <c r="L67">
        <f t="shared" si="27"/>
        <v>-0.17499379738464188</v>
      </c>
      <c r="M67">
        <f t="shared" si="24"/>
        <v>4.3236049062120405E-2</v>
      </c>
      <c r="N67">
        <f t="shared" ref="N67:O67" si="56">AVERAGE(G65:G67)</f>
        <v>0.99426516610156179</v>
      </c>
      <c r="O67">
        <f t="shared" si="56"/>
        <v>0.91967599141179424</v>
      </c>
      <c r="P67">
        <f t="shared" si="29"/>
        <v>2.6213013094688913E-2</v>
      </c>
      <c r="Q67">
        <f t="shared" si="30"/>
        <v>3.7261186475839599E-2</v>
      </c>
      <c r="R67">
        <f t="shared" si="31"/>
        <v>4.0011698578705138E-2</v>
      </c>
      <c r="U67" s="18">
        <f t="shared" si="19"/>
        <v>24532</v>
      </c>
      <c r="V67">
        <f t="shared" si="6"/>
        <v>3.8223647645088156E-2</v>
      </c>
      <c r="W67">
        <f t="shared" si="7"/>
        <v>3.8223647645088156E-2</v>
      </c>
      <c r="X67" t="e">
        <f t="shared" si="8"/>
        <v>#N/A</v>
      </c>
      <c r="Y67" t="e">
        <f t="shared" si="9"/>
        <v>#N/A</v>
      </c>
      <c r="Z67" t="e">
        <f t="shared" si="10"/>
        <v>#N/A</v>
      </c>
      <c r="AA67">
        <f t="shared" si="11"/>
        <v>4.1506999590435238E-2</v>
      </c>
      <c r="AB67">
        <f t="shared" si="11"/>
        <v>3.1937358800441094E-2</v>
      </c>
    </row>
    <row r="68" spans="1:28" x14ac:dyDescent="0.25">
      <c r="A68" s="18">
        <f t="shared" si="25"/>
        <v>19511</v>
      </c>
      <c r="B68">
        <f>'2-state flows'!B67</f>
        <v>63063</v>
      </c>
      <c r="C68">
        <f>'2-state flows'!C67</f>
        <v>1607</v>
      </c>
      <c r="D68">
        <f>'Composite HWI'!B31*48.35347462</f>
        <v>2175.9063578999999</v>
      </c>
      <c r="E68">
        <f t="shared" si="20"/>
        <v>2.5482454053882626E-2</v>
      </c>
      <c r="F68">
        <f t="shared" si="21"/>
        <v>3.450369246467818E-2</v>
      </c>
      <c r="G68">
        <f>'2-state flows'!G67</f>
        <v>0.89291943441219546</v>
      </c>
      <c r="H68">
        <f t="shared" si="22"/>
        <v>0.89739951127020856</v>
      </c>
      <c r="I68">
        <f>'2-state flows'!H67</f>
        <v>2.4666510580498492E-2</v>
      </c>
      <c r="J68">
        <f t="shared" si="26"/>
        <v>-1.055739476076943E-2</v>
      </c>
      <c r="K68">
        <v>0.5</v>
      </c>
      <c r="L68">
        <f t="shared" si="27"/>
        <v>-0.19610858690618074</v>
      </c>
      <c r="M68">
        <f t="shared" si="24"/>
        <v>4.1979228363711756E-2</v>
      </c>
      <c r="N68">
        <f t="shared" ref="N68:O68" si="57">AVERAGE(G66:G68)</f>
        <v>0.95083694580774891</v>
      </c>
      <c r="O68">
        <f t="shared" si="57"/>
        <v>0.90734759929598596</v>
      </c>
      <c r="P68">
        <f t="shared" si="29"/>
        <v>2.6082818341077136E-2</v>
      </c>
      <c r="Q68">
        <f t="shared" si="30"/>
        <v>3.610251746444007E-2</v>
      </c>
      <c r="R68">
        <f t="shared" si="31"/>
        <v>4.2981879296292623E-2</v>
      </c>
      <c r="U68" s="18">
        <f t="shared" si="19"/>
        <v>24624</v>
      </c>
      <c r="V68">
        <f t="shared" ref="V68:V131" si="58">VLOOKUP($U68,$A$2:$R$788,V$1)</f>
        <v>3.819313497524001E-2</v>
      </c>
      <c r="W68">
        <f t="shared" ref="W68:W131" si="59">IF(AND(YEAR($U68)&gt;=1960,YEAR($U68)&lt;=1970),$V68,NA())</f>
        <v>3.819313497524001E-2</v>
      </c>
      <c r="X68" t="e">
        <f t="shared" ref="X68:X131" si="60">IF(AND(YEAR($U68)&gt;=1975,YEAR($U68)&lt;=1986),$V68,NA())</f>
        <v>#N/A</v>
      </c>
      <c r="Y68" t="e">
        <f t="shared" ref="Y68:Y131" si="61">IF(AND(YEAR($U68)&gt;=1990,YEAR($U68)&lt;=2000),$V68,NA())</f>
        <v>#N/A</v>
      </c>
      <c r="Z68" t="e">
        <f t="shared" ref="Z68:Z131" si="62">IF(YEAR($U68)&gt;=2001,$V68,NA())</f>
        <v>#N/A</v>
      </c>
      <c r="AA68">
        <f t="shared" ref="AA68:AB131" si="63">VLOOKUP($U68,$A$2:$R$788,AA$1)</f>
        <v>4.0431541776727017E-2</v>
      </c>
      <c r="AB68">
        <f t="shared" si="63"/>
        <v>2.8779320672855883E-2</v>
      </c>
    </row>
    <row r="69" spans="1:28" x14ac:dyDescent="0.25">
      <c r="A69" s="18">
        <f t="shared" si="25"/>
        <v>19541</v>
      </c>
      <c r="B69">
        <f>'2-state flows'!B68</f>
        <v>63057</v>
      </c>
      <c r="C69">
        <f>'2-state flows'!C68</f>
        <v>1660</v>
      </c>
      <c r="D69">
        <f>'Composite HWI'!B32*48.35347462</f>
        <v>2079.1994086599998</v>
      </c>
      <c r="E69">
        <f t="shared" si="20"/>
        <v>2.6325388140888403E-2</v>
      </c>
      <c r="F69">
        <f t="shared" si="21"/>
        <v>3.2973332201975986E-2</v>
      </c>
      <c r="G69">
        <f>'2-state flows'!G68</f>
        <v>1.0361466976990021</v>
      </c>
      <c r="H69">
        <f t="shared" si="22"/>
        <v>0.86311307163178996</v>
      </c>
      <c r="I69">
        <f>'2-state flows'!H68</f>
        <v>2.8146774962516125E-2</v>
      </c>
      <c r="J69">
        <f t="shared" si="26"/>
        <v>0.13198630516124726</v>
      </c>
      <c r="K69">
        <v>0.5</v>
      </c>
      <c r="L69">
        <f t="shared" si="27"/>
        <v>6.7864023416313785E-2</v>
      </c>
      <c r="M69">
        <f t="shared" si="24"/>
        <v>3.0809870094497475E-2</v>
      </c>
      <c r="N69">
        <f t="shared" ref="N69:O69" si="64">AVERAGE(G67:G69)</f>
        <v>0.95712727246059082</v>
      </c>
      <c r="O69">
        <f t="shared" si="64"/>
        <v>0.89359753597919267</v>
      </c>
      <c r="P69">
        <f t="shared" si="29"/>
        <v>2.576564741688939E-2</v>
      </c>
      <c r="Q69">
        <f t="shared" si="30"/>
        <v>3.4590684908528575E-2</v>
      </c>
      <c r="R69">
        <f t="shared" si="31"/>
        <v>3.8675049173443214E-2</v>
      </c>
      <c r="U69" s="18">
        <f t="shared" ref="U69:U132" si="65">DATE(YEAR(U68),MONTH(U68)+3,1)</f>
        <v>24716</v>
      </c>
      <c r="V69">
        <f t="shared" si="58"/>
        <v>3.7971929294218908E-2</v>
      </c>
      <c r="W69">
        <f t="shared" si="59"/>
        <v>3.7971929294218908E-2</v>
      </c>
      <c r="X69" t="e">
        <f t="shared" si="60"/>
        <v>#N/A</v>
      </c>
      <c r="Y69" t="e">
        <f t="shared" si="61"/>
        <v>#N/A</v>
      </c>
      <c r="Z69" t="e">
        <f t="shared" si="62"/>
        <v>#N/A</v>
      </c>
      <c r="AA69">
        <f t="shared" si="63"/>
        <v>3.9846453003671282E-2</v>
      </c>
      <c r="AB69">
        <f t="shared" si="63"/>
        <v>2.8677949455590861E-2</v>
      </c>
    </row>
    <row r="70" spans="1:28" x14ac:dyDescent="0.25">
      <c r="A70" s="18">
        <f t="shared" si="25"/>
        <v>19572</v>
      </c>
      <c r="B70">
        <f>'2-state flows'!B69</f>
        <v>62816</v>
      </c>
      <c r="C70">
        <f>'2-state flows'!C69</f>
        <v>1665</v>
      </c>
      <c r="D70">
        <f>'Composite HWI'!B33*48.35347462</f>
        <v>1982.4924594199999</v>
      </c>
      <c r="E70">
        <f t="shared" si="20"/>
        <v>2.6505985736118187E-2</v>
      </c>
      <c r="F70">
        <f t="shared" si="21"/>
        <v>3.156031042123026E-2</v>
      </c>
      <c r="G70">
        <f>'2-state flows'!G69</f>
        <v>0.92837547108922702</v>
      </c>
      <c r="H70">
        <f t="shared" si="22"/>
        <v>0.84153526416069657</v>
      </c>
      <c r="I70">
        <f>'2-state flows'!H69</f>
        <v>2.9242079774204902E-2</v>
      </c>
      <c r="J70">
        <f t="shared" si="26"/>
        <v>3.8175978201250481E-2</v>
      </c>
      <c r="K70">
        <v>0.5</v>
      </c>
      <c r="L70">
        <f t="shared" si="27"/>
        <v>0.14421597981881473</v>
      </c>
      <c r="M70">
        <f t="shared" si="24"/>
        <v>2.7321784527327246E-2</v>
      </c>
      <c r="N70">
        <f t="shared" ref="N70:O70" si="66">AVERAGE(G68:G70)</f>
        <v>0.95248053440014158</v>
      </c>
      <c r="O70">
        <f t="shared" si="66"/>
        <v>0.86734928235423181</v>
      </c>
      <c r="P70">
        <f t="shared" si="29"/>
        <v>2.6104609310296404E-2</v>
      </c>
      <c r="Q70">
        <f t="shared" si="30"/>
        <v>3.3012445029294811E-2</v>
      </c>
      <c r="R70">
        <f t="shared" si="31"/>
        <v>3.3370294328512157E-2</v>
      </c>
      <c r="U70" s="18">
        <f t="shared" si="65"/>
        <v>24807</v>
      </c>
      <c r="V70">
        <f t="shared" si="58"/>
        <v>3.9285614008625562E-2</v>
      </c>
      <c r="W70">
        <f t="shared" si="59"/>
        <v>3.9285614008625562E-2</v>
      </c>
      <c r="X70" t="e">
        <f t="shared" si="60"/>
        <v>#N/A</v>
      </c>
      <c r="Y70" t="e">
        <f t="shared" si="61"/>
        <v>#N/A</v>
      </c>
      <c r="Z70" t="e">
        <f t="shared" si="62"/>
        <v>#N/A</v>
      </c>
      <c r="AA70">
        <f t="shared" si="63"/>
        <v>4.0555880258001796E-2</v>
      </c>
      <c r="AB70">
        <f t="shared" si="63"/>
        <v>3.299232603969831E-2</v>
      </c>
    </row>
    <row r="71" spans="1:28" x14ac:dyDescent="0.25">
      <c r="A71" s="18">
        <f t="shared" si="25"/>
        <v>19603</v>
      </c>
      <c r="B71">
        <f>'2-state flows'!B70</f>
        <v>62727</v>
      </c>
      <c r="C71">
        <f>'2-state flows'!C70</f>
        <v>1821</v>
      </c>
      <c r="D71">
        <f>'Composite HWI'!B34*48.35347462</f>
        <v>1934.1389847999999</v>
      </c>
      <c r="E71">
        <f t="shared" si="20"/>
        <v>2.9030561002439143E-2</v>
      </c>
      <c r="F71">
        <f t="shared" si="21"/>
        <v>3.083423381956733E-2</v>
      </c>
      <c r="G71">
        <f>'2-state flows'!G70</f>
        <v>0.91136056576629632</v>
      </c>
      <c r="H71">
        <f t="shared" si="22"/>
        <v>0.79480855482372015</v>
      </c>
      <c r="I71">
        <f>'2-state flows'!H70</f>
        <v>3.1127464258009416E-2</v>
      </c>
      <c r="J71">
        <f t="shared" si="26"/>
        <v>6.2481764538044757E-2</v>
      </c>
      <c r="K71">
        <v>0.5</v>
      </c>
      <c r="L71">
        <f t="shared" si="27"/>
        <v>0.26917950889490427</v>
      </c>
      <c r="M71">
        <f t="shared" si="24"/>
        <v>2.3557542648279244E-2</v>
      </c>
      <c r="N71">
        <f t="shared" ref="N71:O71" si="67">AVERAGE(G69:G71)</f>
        <v>0.95862757818484179</v>
      </c>
      <c r="O71">
        <f t="shared" si="67"/>
        <v>0.83315229687206882</v>
      </c>
      <c r="P71">
        <f t="shared" si="29"/>
        <v>2.7287311626481913E-2</v>
      </c>
      <c r="Q71">
        <f t="shared" si="30"/>
        <v>3.1789292147591193E-2</v>
      </c>
      <c r="R71">
        <f t="shared" si="31"/>
        <v>2.7229732423367986E-2</v>
      </c>
      <c r="U71" s="18">
        <f t="shared" si="65"/>
        <v>24898</v>
      </c>
      <c r="V71">
        <f t="shared" si="58"/>
        <v>3.7407781024464744E-2</v>
      </c>
      <c r="W71">
        <f t="shared" si="59"/>
        <v>3.7407781024464744E-2</v>
      </c>
      <c r="X71" t="e">
        <f t="shared" si="60"/>
        <v>#N/A</v>
      </c>
      <c r="Y71" t="e">
        <f t="shared" si="61"/>
        <v>#N/A</v>
      </c>
      <c r="Z71" t="e">
        <f t="shared" si="62"/>
        <v>#N/A</v>
      </c>
      <c r="AA71">
        <f t="shared" si="63"/>
        <v>4.1317679904917089E-2</v>
      </c>
      <c r="AB71">
        <f t="shared" si="63"/>
        <v>3.1624707898354469E-2</v>
      </c>
    </row>
    <row r="72" spans="1:28" x14ac:dyDescent="0.25">
      <c r="A72" s="18">
        <f t="shared" si="25"/>
        <v>19633</v>
      </c>
      <c r="B72">
        <f>'2-state flows'!B71</f>
        <v>62867</v>
      </c>
      <c r="C72">
        <f>'2-state flows'!C71</f>
        <v>1974</v>
      </c>
      <c r="D72">
        <f>'Composite HWI'!B35*48.35347462</f>
        <v>1740.7250863199999</v>
      </c>
      <c r="E72">
        <f t="shared" si="20"/>
        <v>3.139962142300412E-2</v>
      </c>
      <c r="F72">
        <f t="shared" si="21"/>
        <v>2.7689011505559354E-2</v>
      </c>
      <c r="G72">
        <f>'2-state flows'!G71</f>
        <v>0.78098785960125039</v>
      </c>
      <c r="H72">
        <f t="shared" si="22"/>
        <v>0.72421111569982521</v>
      </c>
      <c r="I72">
        <f>'2-state flows'!H71</f>
        <v>3.1001454801316223E-2</v>
      </c>
      <c r="J72">
        <f t="shared" si="26"/>
        <v>-4.0563921402244629E-3</v>
      </c>
      <c r="K72">
        <v>0.5</v>
      </c>
      <c r="L72">
        <f t="shared" si="27"/>
        <v>0.26106672461445535</v>
      </c>
      <c r="M72">
        <f t="shared" si="24"/>
        <v>2.13268941694672E-2</v>
      </c>
      <c r="N72">
        <f t="shared" ref="N72:O72" si="68">AVERAGE(G70:G72)</f>
        <v>0.87357463215225784</v>
      </c>
      <c r="O72">
        <f t="shared" si="68"/>
        <v>0.78685164489474735</v>
      </c>
      <c r="P72">
        <f t="shared" si="29"/>
        <v>2.8978722720520485E-2</v>
      </c>
      <c r="Q72">
        <f t="shared" si="30"/>
        <v>3.0027851915452316E-2</v>
      </c>
      <c r="R72">
        <f t="shared" si="31"/>
        <v>2.4068740448357898E-2</v>
      </c>
      <c r="U72" s="18">
        <f t="shared" si="65"/>
        <v>24990</v>
      </c>
      <c r="V72">
        <f t="shared" si="58"/>
        <v>3.549842559345124E-2</v>
      </c>
      <c r="W72">
        <f t="shared" si="59"/>
        <v>3.549842559345124E-2</v>
      </c>
      <c r="X72" t="e">
        <f t="shared" si="60"/>
        <v>#N/A</v>
      </c>
      <c r="Y72" t="e">
        <f t="shared" si="61"/>
        <v>#N/A</v>
      </c>
      <c r="Z72" t="e">
        <f t="shared" si="62"/>
        <v>#N/A</v>
      </c>
      <c r="AA72">
        <f t="shared" si="63"/>
        <v>4.2370044830894994E-2</v>
      </c>
      <c r="AB72">
        <f t="shared" si="63"/>
        <v>3.0149906254978459E-2</v>
      </c>
    </row>
    <row r="73" spans="1:28" x14ac:dyDescent="0.25">
      <c r="A73" s="18">
        <f t="shared" si="25"/>
        <v>19664</v>
      </c>
      <c r="B73">
        <f>'2-state flows'!B72</f>
        <v>62949</v>
      </c>
      <c r="C73">
        <f>'2-state flows'!C72</f>
        <v>2211</v>
      </c>
      <c r="D73">
        <f>'Composite HWI'!B36*48.35347462</f>
        <v>1595.66466246</v>
      </c>
      <c r="E73">
        <f t="shared" si="20"/>
        <v>3.5123671543630559E-2</v>
      </c>
      <c r="F73">
        <f t="shared" si="21"/>
        <v>2.5348530754420246E-2</v>
      </c>
      <c r="G73">
        <f>'2-state flows'!G72</f>
        <v>0.73801019498720877</v>
      </c>
      <c r="H73">
        <f t="shared" si="22"/>
        <v>0.65516412529951062</v>
      </c>
      <c r="I73">
        <f>'2-state flows'!H72</f>
        <v>4.1253539132733393E-2</v>
      </c>
      <c r="J73">
        <f t="shared" si="26"/>
        <v>0.28570277379876896</v>
      </c>
      <c r="K73">
        <v>0.5</v>
      </c>
      <c r="L73">
        <f t="shared" si="27"/>
        <v>0.83247227221199327</v>
      </c>
      <c r="M73">
        <f t="shared" si="24"/>
        <v>1.1025915955435148E-2</v>
      </c>
      <c r="N73">
        <f t="shared" ref="N73:O73" si="69">AVERAGE(G71:G73)</f>
        <v>0.81011954011825182</v>
      </c>
      <c r="O73">
        <f t="shared" si="69"/>
        <v>0.72472793194101859</v>
      </c>
      <c r="P73">
        <f t="shared" si="29"/>
        <v>3.1851284656357941E-2</v>
      </c>
      <c r="Q73">
        <f t="shared" si="30"/>
        <v>2.7957258693182312E-2</v>
      </c>
      <c r="R73">
        <f t="shared" si="31"/>
        <v>1.8636784257727194E-2</v>
      </c>
      <c r="U73" s="18">
        <f t="shared" si="65"/>
        <v>25082</v>
      </c>
      <c r="V73">
        <f t="shared" si="58"/>
        <v>3.5230253071638601E-2</v>
      </c>
      <c r="W73">
        <f t="shared" si="59"/>
        <v>3.5230253071638601E-2</v>
      </c>
      <c r="X73" t="e">
        <f t="shared" si="60"/>
        <v>#N/A</v>
      </c>
      <c r="Y73" t="e">
        <f t="shared" si="61"/>
        <v>#N/A</v>
      </c>
      <c r="Z73" t="e">
        <f t="shared" si="62"/>
        <v>#N/A</v>
      </c>
      <c r="AA73">
        <f t="shared" si="63"/>
        <v>4.4136539533085661E-2</v>
      </c>
      <c r="AB73">
        <f t="shared" si="63"/>
        <v>3.4667673337516629E-2</v>
      </c>
    </row>
    <row r="74" spans="1:28" x14ac:dyDescent="0.25">
      <c r="A74" s="18">
        <f t="shared" si="25"/>
        <v>19694</v>
      </c>
      <c r="B74">
        <f>'2-state flows'!B73</f>
        <v>62795</v>
      </c>
      <c r="C74">
        <f>'2-state flows'!C73</f>
        <v>2818</v>
      </c>
      <c r="D74">
        <f>'Composite HWI'!B37*48.35347462</f>
        <v>1450.6042385999999</v>
      </c>
      <c r="E74">
        <f t="shared" si="20"/>
        <v>4.4876184409586753E-2</v>
      </c>
      <c r="F74">
        <f t="shared" si="21"/>
        <v>2.310063283063938E-2</v>
      </c>
      <c r="G74">
        <f>'2-state flows'!G73</f>
        <v>0.66722628973991549</v>
      </c>
      <c r="H74">
        <f t="shared" si="22"/>
        <v>0.5533216242810306</v>
      </c>
      <c r="I74">
        <f>'2-state flows'!H73</f>
        <v>3.7366254660326823E-2</v>
      </c>
      <c r="J74">
        <f t="shared" si="26"/>
        <v>-9.8968890947705182E-2</v>
      </c>
      <c r="K74">
        <v>0.5</v>
      </c>
      <c r="L74">
        <f t="shared" si="27"/>
        <v>0.63453449031658293</v>
      </c>
      <c r="M74">
        <f t="shared" si="24"/>
        <v>1.2247545163610353E-2</v>
      </c>
      <c r="N74">
        <f t="shared" ref="N74:O74" si="70">AVERAGE(G72:G74)</f>
        <v>0.72874144810945829</v>
      </c>
      <c r="O74">
        <f t="shared" si="70"/>
        <v>0.64423228842678881</v>
      </c>
      <c r="P74">
        <f t="shared" si="29"/>
        <v>3.7133159125407142E-2</v>
      </c>
      <c r="Q74">
        <f t="shared" si="30"/>
        <v>2.5379391696872994E-2</v>
      </c>
      <c r="R74">
        <f t="shared" si="31"/>
        <v>1.48667850961709E-2</v>
      </c>
      <c r="U74" s="18">
        <f t="shared" si="65"/>
        <v>25173</v>
      </c>
      <c r="V74">
        <f t="shared" si="58"/>
        <v>3.4047073200128133E-2</v>
      </c>
      <c r="W74">
        <f t="shared" si="59"/>
        <v>3.4047073200128133E-2</v>
      </c>
      <c r="X74" t="e">
        <f t="shared" si="60"/>
        <v>#N/A</v>
      </c>
      <c r="Y74" t="e">
        <f t="shared" si="61"/>
        <v>#N/A</v>
      </c>
      <c r="Z74" t="e">
        <f t="shared" si="62"/>
        <v>#N/A</v>
      </c>
      <c r="AA74">
        <f t="shared" si="63"/>
        <v>4.6810834980371335E-2</v>
      </c>
      <c r="AB74">
        <f t="shared" si="63"/>
        <v>3.7822213780503662E-2</v>
      </c>
    </row>
    <row r="75" spans="1:28" x14ac:dyDescent="0.25">
      <c r="A75" s="18">
        <f t="shared" si="25"/>
        <v>19725</v>
      </c>
      <c r="B75">
        <f>'2-state flows'!B74</f>
        <v>63101</v>
      </c>
      <c r="C75">
        <f>'2-state flows'!C74</f>
        <v>3077</v>
      </c>
      <c r="D75">
        <f>'Composite HWI'!B38*48.35347462</f>
        <v>1402.2507639800001</v>
      </c>
      <c r="E75">
        <f t="shared" si="20"/>
        <v>4.8763094087256938E-2</v>
      </c>
      <c r="F75">
        <f t="shared" si="21"/>
        <v>2.2222322371753221E-2</v>
      </c>
      <c r="G75">
        <f>'2-state flows'!G74</f>
        <v>0.63844728055820399</v>
      </c>
      <c r="H75">
        <f t="shared" si="22"/>
        <v>0.52062229344948263</v>
      </c>
      <c r="I75">
        <f>'2-state flows'!H74</f>
        <v>3.8553067549837838E-2</v>
      </c>
      <c r="J75">
        <f t="shared" si="26"/>
        <v>3.1267654811006927E-2</v>
      </c>
      <c r="K75">
        <v>0.5</v>
      </c>
      <c r="L75">
        <f t="shared" si="27"/>
        <v>0.69706979993859675</v>
      </c>
      <c r="M75">
        <f t="shared" si="24"/>
        <v>1.1067661701426895E-2</v>
      </c>
      <c r="N75">
        <f t="shared" ref="N75:O75" si="71">AVERAGE(G73:G75)</f>
        <v>0.68122792176177605</v>
      </c>
      <c r="O75">
        <f t="shared" si="71"/>
        <v>0.57636934767667458</v>
      </c>
      <c r="P75">
        <f t="shared" si="29"/>
        <v>4.2920983346824752E-2</v>
      </c>
      <c r="Q75">
        <f t="shared" si="30"/>
        <v>2.3557161985604286E-2</v>
      </c>
      <c r="R75">
        <f t="shared" si="31"/>
        <v>1.1447040940157466E-2</v>
      </c>
      <c r="U75" s="18">
        <f t="shared" si="65"/>
        <v>25263</v>
      </c>
      <c r="V75">
        <f t="shared" si="58"/>
        <v>3.389578594646319E-2</v>
      </c>
      <c r="W75">
        <f t="shared" si="59"/>
        <v>3.389578594646319E-2</v>
      </c>
      <c r="X75" t="e">
        <f t="shared" si="60"/>
        <v>#N/A</v>
      </c>
      <c r="Y75" t="e">
        <f t="shared" si="61"/>
        <v>#N/A</v>
      </c>
      <c r="Z75" t="e">
        <f t="shared" si="62"/>
        <v>#N/A</v>
      </c>
      <c r="AA75">
        <f t="shared" si="63"/>
        <v>4.8026319603930619E-2</v>
      </c>
      <c r="AB75">
        <f t="shared" si="63"/>
        <v>4.0938809914474981E-2</v>
      </c>
    </row>
    <row r="76" spans="1:28" x14ac:dyDescent="0.25">
      <c r="A76" s="18">
        <f t="shared" si="25"/>
        <v>19756</v>
      </c>
      <c r="B76">
        <f>'2-state flows'!B75</f>
        <v>63994</v>
      </c>
      <c r="C76">
        <f>'2-state flows'!C75</f>
        <v>3331</v>
      </c>
      <c r="D76">
        <f>'Composite HWI'!B39*48.35347462</f>
        <v>1353.8972893600001</v>
      </c>
      <c r="E76">
        <f t="shared" si="20"/>
        <v>5.2051754852017379E-2</v>
      </c>
      <c r="F76">
        <f t="shared" si="21"/>
        <v>2.1156628580179394E-2</v>
      </c>
      <c r="G76">
        <f>'2-state flows'!G75</f>
        <v>0.57306517842547156</v>
      </c>
      <c r="H76">
        <f t="shared" si="22"/>
        <v>0.49167622613816914</v>
      </c>
      <c r="I76">
        <f>'2-state flows'!H75</f>
        <v>3.7546232939065727E-2</v>
      </c>
      <c r="J76">
        <f t="shared" si="26"/>
        <v>-2.6462618139815163E-2</v>
      </c>
      <c r="K76">
        <v>0.5</v>
      </c>
      <c r="L76">
        <f t="shared" si="27"/>
        <v>0.64414456365896644</v>
      </c>
      <c r="M76">
        <f t="shared" si="24"/>
        <v>1.1109590016635203E-2</v>
      </c>
      <c r="N76">
        <f t="shared" ref="N76:O76" si="72">AVERAGE(G74:G76)</f>
        <v>0.62624624957453034</v>
      </c>
      <c r="O76">
        <f t="shared" si="72"/>
        <v>0.52187338128956073</v>
      </c>
      <c r="P76">
        <f t="shared" si="29"/>
        <v>4.8563677782953694E-2</v>
      </c>
      <c r="Q76">
        <f t="shared" si="30"/>
        <v>2.2159861260857328E-2</v>
      </c>
      <c r="R76">
        <f t="shared" si="31"/>
        <v>1.1474932293890816E-2</v>
      </c>
      <c r="U76" s="18">
        <f t="shared" si="65"/>
        <v>25355</v>
      </c>
      <c r="V76">
        <f t="shared" si="58"/>
        <v>3.4370108702269919E-2</v>
      </c>
      <c r="W76">
        <f t="shared" si="59"/>
        <v>3.4370108702269919E-2</v>
      </c>
      <c r="X76" t="e">
        <f t="shared" si="60"/>
        <v>#N/A</v>
      </c>
      <c r="Y76" t="e">
        <f t="shared" si="61"/>
        <v>#N/A</v>
      </c>
      <c r="Z76" t="e">
        <f t="shared" si="62"/>
        <v>#N/A</v>
      </c>
      <c r="AA76">
        <f t="shared" si="63"/>
        <v>4.7733428236530484E-2</v>
      </c>
      <c r="AB76">
        <f t="shared" si="63"/>
        <v>3.3534383900580007E-2</v>
      </c>
    </row>
    <row r="77" spans="1:28" x14ac:dyDescent="0.25">
      <c r="A77" s="18">
        <f t="shared" si="25"/>
        <v>19784</v>
      </c>
      <c r="B77">
        <f>'2-state flows'!B76</f>
        <v>63793</v>
      </c>
      <c r="C77">
        <f>'2-state flows'!C76</f>
        <v>3607</v>
      </c>
      <c r="D77">
        <f>'Composite HWI'!B40*48.35347462</f>
        <v>1305.54381474</v>
      </c>
      <c r="E77">
        <f t="shared" si="20"/>
        <v>5.6542253852303541E-2</v>
      </c>
      <c r="F77">
        <f t="shared" si="21"/>
        <v>2.0465314607245308E-2</v>
      </c>
      <c r="G77">
        <f>'2-state flows'!G76</f>
        <v>0.57780065049618279</v>
      </c>
      <c r="H77">
        <f t="shared" si="22"/>
        <v>0.46397685961782287</v>
      </c>
      <c r="I77">
        <f>'2-state flows'!H76</f>
        <v>3.7787689495076278E-2</v>
      </c>
      <c r="J77">
        <f t="shared" si="26"/>
        <v>6.4103228675930863E-3</v>
      </c>
      <c r="K77">
        <v>0.5</v>
      </c>
      <c r="L77">
        <f t="shared" si="27"/>
        <v>0.65696520939415259</v>
      </c>
      <c r="M77">
        <f t="shared" si="24"/>
        <v>1.0609674498124479E-2</v>
      </c>
      <c r="N77">
        <f t="shared" ref="N77:O77" si="73">AVERAGE(G75:G77)</f>
        <v>0.5964377031599527</v>
      </c>
      <c r="O77">
        <f t="shared" si="73"/>
        <v>0.49209179306849155</v>
      </c>
      <c r="P77">
        <f t="shared" si="29"/>
        <v>5.2452367597192621E-2</v>
      </c>
      <c r="Q77">
        <f t="shared" si="30"/>
        <v>2.1281421853059309E-2</v>
      </c>
      <c r="R77">
        <f t="shared" si="31"/>
        <v>1.0928975405395525E-2</v>
      </c>
      <c r="U77" s="18">
        <f t="shared" si="65"/>
        <v>25447</v>
      </c>
      <c r="V77">
        <f t="shared" si="58"/>
        <v>3.6031114703918635E-2</v>
      </c>
      <c r="W77">
        <f t="shared" si="59"/>
        <v>3.6031114703918635E-2</v>
      </c>
      <c r="X77" t="e">
        <f t="shared" si="60"/>
        <v>#N/A</v>
      </c>
      <c r="Y77" t="e">
        <f t="shared" si="61"/>
        <v>#N/A</v>
      </c>
      <c r="Z77" t="e">
        <f t="shared" si="62"/>
        <v>#N/A</v>
      </c>
      <c r="AA77">
        <f t="shared" si="63"/>
        <v>4.631985960868882E-2</v>
      </c>
      <c r="AB77">
        <f t="shared" si="63"/>
        <v>3.2905755931518677E-2</v>
      </c>
    </row>
    <row r="78" spans="1:28" x14ac:dyDescent="0.25">
      <c r="A78" s="18">
        <f t="shared" si="25"/>
        <v>19815</v>
      </c>
      <c r="B78">
        <f>'2-state flows'!B77</f>
        <v>63934</v>
      </c>
      <c r="C78">
        <f>'2-state flows'!C77</f>
        <v>3749</v>
      </c>
      <c r="D78">
        <f>'Composite HWI'!B41*48.35347462</f>
        <v>1305.54381474</v>
      </c>
      <c r="E78">
        <f t="shared" si="20"/>
        <v>5.8638596052178811E-2</v>
      </c>
      <c r="F78">
        <f t="shared" si="21"/>
        <v>2.0420180416366878E-2</v>
      </c>
      <c r="G78">
        <f>'2-state flows'!G77</f>
        <v>0.56818803437408272</v>
      </c>
      <c r="H78">
        <f t="shared" si="22"/>
        <v>0.45510506826326758</v>
      </c>
      <c r="I78">
        <f>'2-state flows'!H77</f>
        <v>3.5791586713842041E-2</v>
      </c>
      <c r="J78">
        <f t="shared" si="26"/>
        <v>-5.4270517053867318E-2</v>
      </c>
      <c r="K78">
        <v>0.5</v>
      </c>
      <c r="L78">
        <f t="shared" si="27"/>
        <v>0.54842417528641796</v>
      </c>
      <c r="M78">
        <f t="shared" si="24"/>
        <v>1.1799999306360238E-2</v>
      </c>
      <c r="N78">
        <f t="shared" ref="N78:O78" si="74">AVERAGE(G76:G78)</f>
        <v>0.57301795443191239</v>
      </c>
      <c r="O78">
        <f t="shared" si="74"/>
        <v>0.47025271800641982</v>
      </c>
      <c r="P78">
        <f t="shared" si="29"/>
        <v>5.5744201585499913E-2</v>
      </c>
      <c r="Q78">
        <f t="shared" si="30"/>
        <v>2.0680707867930526E-2</v>
      </c>
      <c r="R78">
        <f t="shared" si="31"/>
        <v>1.1173087940373305E-2</v>
      </c>
      <c r="U78" s="18">
        <f t="shared" si="65"/>
        <v>25538</v>
      </c>
      <c r="V78">
        <f t="shared" si="58"/>
        <v>3.5944610278355917E-2</v>
      </c>
      <c r="W78">
        <f t="shared" si="59"/>
        <v>3.5944610278355917E-2</v>
      </c>
      <c r="X78" t="e">
        <f t="shared" si="60"/>
        <v>#N/A</v>
      </c>
      <c r="Y78" t="e">
        <f t="shared" si="61"/>
        <v>#N/A</v>
      </c>
      <c r="Z78" t="e">
        <f t="shared" si="62"/>
        <v>#N/A</v>
      </c>
      <c r="AA78">
        <f t="shared" si="63"/>
        <v>4.5681537816236011E-2</v>
      </c>
      <c r="AB78">
        <f t="shared" si="63"/>
        <v>3.6599367187461089E-2</v>
      </c>
    </row>
    <row r="79" spans="1:28" x14ac:dyDescent="0.25">
      <c r="A79" s="18">
        <f t="shared" si="25"/>
        <v>19845</v>
      </c>
      <c r="B79">
        <f>'2-state flows'!B78</f>
        <v>63675</v>
      </c>
      <c r="C79">
        <f>'2-state flows'!C78</f>
        <v>3767</v>
      </c>
      <c r="D79">
        <f>'Composite HWI'!B42*48.35347462</f>
        <v>1257.19034012</v>
      </c>
      <c r="E79">
        <f t="shared" si="20"/>
        <v>5.9159795838241068E-2</v>
      </c>
      <c r="F79">
        <f t="shared" si="21"/>
        <v>1.9743860857793481E-2</v>
      </c>
      <c r="G79">
        <f>'2-state flows'!G78</f>
        <v>0.64419269550938363</v>
      </c>
      <c r="H79">
        <f t="shared" si="22"/>
        <v>0.44552940627494525</v>
      </c>
      <c r="I79">
        <f>'2-state flows'!H78</f>
        <v>3.5537986713287166E-2</v>
      </c>
      <c r="J79">
        <f t="shared" si="26"/>
        <v>-7.1106851452951356E-3</v>
      </c>
      <c r="K79">
        <v>0.5</v>
      </c>
      <c r="L79">
        <f t="shared" si="27"/>
        <v>0.53420280499582773</v>
      </c>
      <c r="M79">
        <f t="shared" si="24"/>
        <v>1.1572594911820449E-2</v>
      </c>
      <c r="N79">
        <f t="shared" ref="N79:O79" si="75">AVERAGE(G77:G79)</f>
        <v>0.59672712679321638</v>
      </c>
      <c r="O79">
        <f t="shared" si="75"/>
        <v>0.4548704447186786</v>
      </c>
      <c r="P79">
        <f t="shared" si="29"/>
        <v>5.8113548580907809E-2</v>
      </c>
      <c r="Q79">
        <f t="shared" si="30"/>
        <v>2.020978529380189E-2</v>
      </c>
      <c r="R79">
        <f t="shared" si="31"/>
        <v>1.1327422905435055E-2</v>
      </c>
      <c r="U79" s="18">
        <f t="shared" si="65"/>
        <v>25628</v>
      </c>
      <c r="V79">
        <f t="shared" si="58"/>
        <v>4.1713220600171269E-2</v>
      </c>
      <c r="W79">
        <f t="shared" si="59"/>
        <v>4.1713220600171269E-2</v>
      </c>
      <c r="X79" t="e">
        <f t="shared" si="60"/>
        <v>#N/A</v>
      </c>
      <c r="Y79" t="e">
        <f t="shared" si="61"/>
        <v>#N/A</v>
      </c>
      <c r="Z79" t="e">
        <f t="shared" si="62"/>
        <v>#N/A</v>
      </c>
      <c r="AA79">
        <f t="shared" si="63"/>
        <v>4.097888282214629E-2</v>
      </c>
      <c r="AB79">
        <f t="shared" si="63"/>
        <v>2.274457570064101E-2</v>
      </c>
    </row>
    <row r="80" spans="1:28" x14ac:dyDescent="0.25">
      <c r="A80" s="18">
        <f t="shared" si="25"/>
        <v>19876</v>
      </c>
      <c r="B80">
        <f>'2-state flows'!B79</f>
        <v>63343</v>
      </c>
      <c r="C80">
        <f>'2-state flows'!C79</f>
        <v>3551</v>
      </c>
      <c r="D80">
        <f>'Composite HWI'!B43*48.35347462</f>
        <v>1305.54381474</v>
      </c>
      <c r="E80">
        <f t="shared" si="20"/>
        <v>5.6059864546990197E-2</v>
      </c>
      <c r="F80">
        <f t="shared" si="21"/>
        <v>2.0610703862147358E-2</v>
      </c>
      <c r="G80">
        <f>'2-state flows'!G79</f>
        <v>0.55624215527267451</v>
      </c>
      <c r="H80">
        <f t="shared" si="22"/>
        <v>0.46762105362697598</v>
      </c>
      <c r="I80">
        <f>'2-state flows'!H79</f>
        <v>3.5427791337288739E-2</v>
      </c>
      <c r="J80">
        <f t="shared" si="26"/>
        <v>-3.1055944877209129E-3</v>
      </c>
      <c r="K80">
        <v>0.5</v>
      </c>
      <c r="L80">
        <f t="shared" si="27"/>
        <v>0.52799161602038591</v>
      </c>
      <c r="M80">
        <f t="shared" si="24"/>
        <v>1.2155952041408291E-2</v>
      </c>
      <c r="N80">
        <f t="shared" ref="N80:O80" si="76">AVERAGE(G78:G80)</f>
        <v>0.58954096171871362</v>
      </c>
      <c r="O80">
        <f t="shared" si="76"/>
        <v>0.45608517605506299</v>
      </c>
      <c r="P80">
        <f t="shared" si="29"/>
        <v>5.7952752145803359E-2</v>
      </c>
      <c r="Q80">
        <f t="shared" si="30"/>
        <v>2.0258248378769241E-2</v>
      </c>
      <c r="R80">
        <f t="shared" si="31"/>
        <v>1.1842848753196326E-2</v>
      </c>
      <c r="U80" s="18">
        <f t="shared" si="65"/>
        <v>25720</v>
      </c>
      <c r="V80">
        <f t="shared" si="58"/>
        <v>4.7588600254263286E-2</v>
      </c>
      <c r="W80">
        <f t="shared" si="59"/>
        <v>4.7588600254263286E-2</v>
      </c>
      <c r="X80" t="e">
        <f t="shared" si="60"/>
        <v>#N/A</v>
      </c>
      <c r="Y80" t="e">
        <f t="shared" si="61"/>
        <v>#N/A</v>
      </c>
      <c r="Z80" t="e">
        <f t="shared" si="62"/>
        <v>#N/A</v>
      </c>
      <c r="AA80">
        <f t="shared" si="63"/>
        <v>3.6308253514566326E-2</v>
      </c>
      <c r="AB80">
        <f t="shared" si="63"/>
        <v>1.9101304433557165E-2</v>
      </c>
    </row>
    <row r="81" spans="1:28" x14ac:dyDescent="0.25">
      <c r="A81" s="18">
        <f t="shared" si="25"/>
        <v>19906</v>
      </c>
      <c r="B81">
        <f>'2-state flows'!B80</f>
        <v>63302</v>
      </c>
      <c r="C81">
        <f>'2-state flows'!C80</f>
        <v>3659</v>
      </c>
      <c r="D81">
        <f>'Composite HWI'!B44*48.35347462</f>
        <v>1257.19034012</v>
      </c>
      <c r="E81">
        <f t="shared" si="20"/>
        <v>5.7802281128558342E-2</v>
      </c>
      <c r="F81">
        <f t="shared" si="21"/>
        <v>1.9860199363685192E-2</v>
      </c>
      <c r="G81">
        <f>'2-state flows'!G80</f>
        <v>0.47873251451167775</v>
      </c>
      <c r="H81">
        <f t="shared" si="22"/>
        <v>0.45205677186671506</v>
      </c>
      <c r="I81">
        <f>'2-state flows'!H80</f>
        <v>3.354753349243654E-2</v>
      </c>
      <c r="J81">
        <f t="shared" si="26"/>
        <v>-5.4533234810574482E-2</v>
      </c>
      <c r="K81">
        <v>0.5</v>
      </c>
      <c r="L81">
        <f t="shared" si="27"/>
        <v>0.41892514639923695</v>
      </c>
      <c r="M81">
        <f t="shared" si="24"/>
        <v>1.3063114224892088E-2</v>
      </c>
      <c r="N81">
        <f t="shared" ref="N81:O81" si="77">AVERAGE(G79:G81)</f>
        <v>0.55972245509791196</v>
      </c>
      <c r="O81">
        <f t="shared" si="77"/>
        <v>0.4550690772562121</v>
      </c>
      <c r="P81">
        <f t="shared" si="29"/>
        <v>5.7673980504596538E-2</v>
      </c>
      <c r="Q81">
        <f t="shared" si="30"/>
        <v>2.0071588027875342E-2</v>
      </c>
      <c r="R81">
        <f t="shared" si="31"/>
        <v>1.226388705937361E-2</v>
      </c>
      <c r="U81" s="18">
        <f t="shared" si="65"/>
        <v>25812</v>
      </c>
      <c r="V81">
        <f t="shared" si="58"/>
        <v>5.1809714410144682E-2</v>
      </c>
      <c r="W81">
        <f t="shared" si="59"/>
        <v>5.1809714410144682E-2</v>
      </c>
      <c r="X81" t="e">
        <f t="shared" si="60"/>
        <v>#N/A</v>
      </c>
      <c r="Y81" t="e">
        <f t="shared" si="61"/>
        <v>#N/A</v>
      </c>
      <c r="Z81" t="e">
        <f t="shared" si="62"/>
        <v>#N/A</v>
      </c>
      <c r="AA81">
        <f t="shared" si="63"/>
        <v>3.3242109970062696E-2</v>
      </c>
      <c r="AB81">
        <f t="shared" si="63"/>
        <v>1.5571801905849529E-2</v>
      </c>
    </row>
    <row r="82" spans="1:28" x14ac:dyDescent="0.25">
      <c r="A82" s="18">
        <f t="shared" si="25"/>
        <v>19937</v>
      </c>
      <c r="B82">
        <f>'2-state flows'!B81</f>
        <v>63707</v>
      </c>
      <c r="C82">
        <f>'2-state flows'!C81</f>
        <v>3854</v>
      </c>
      <c r="D82">
        <f>'Composite HWI'!B45*48.35347462</f>
        <v>1257.19034012</v>
      </c>
      <c r="E82">
        <f t="shared" si="20"/>
        <v>6.0495706908189055E-2</v>
      </c>
      <c r="F82">
        <f t="shared" si="21"/>
        <v>1.9733943524573437E-2</v>
      </c>
      <c r="G82">
        <f>'2-state flows'!G81</f>
        <v>0.52187065495153062</v>
      </c>
      <c r="H82">
        <f t="shared" si="22"/>
        <v>0.44047202300066729</v>
      </c>
      <c r="I82">
        <f>'2-state flows'!H81</f>
        <v>3.5194568072560529E-2</v>
      </c>
      <c r="J82">
        <f t="shared" si="26"/>
        <v>4.7928411224534916E-2</v>
      </c>
      <c r="K82">
        <v>0.5</v>
      </c>
      <c r="L82">
        <f t="shared" si="27"/>
        <v>0.51478196884830674</v>
      </c>
      <c r="M82">
        <f t="shared" si="24"/>
        <v>1.1793614085057354E-2</v>
      </c>
      <c r="N82">
        <f t="shared" ref="N82:O82" si="78">AVERAGE(G80:G82)</f>
        <v>0.51894844157862763</v>
      </c>
      <c r="O82">
        <f t="shared" si="78"/>
        <v>0.45338328283145279</v>
      </c>
      <c r="P82">
        <f t="shared" si="29"/>
        <v>5.81192841945792E-2</v>
      </c>
      <c r="Q82">
        <f t="shared" si="30"/>
        <v>2.0068282250135329E-2</v>
      </c>
      <c r="R82">
        <f t="shared" si="31"/>
        <v>1.2337560117119244E-2</v>
      </c>
      <c r="U82" s="18">
        <f t="shared" si="65"/>
        <v>25903</v>
      </c>
      <c r="V82">
        <f t="shared" si="58"/>
        <v>5.8140605712879413E-2</v>
      </c>
      <c r="W82">
        <f t="shared" si="59"/>
        <v>5.8140605712879413E-2</v>
      </c>
      <c r="X82" t="e">
        <f t="shared" si="60"/>
        <v>#N/A</v>
      </c>
      <c r="Y82" t="e">
        <f t="shared" si="61"/>
        <v>#N/A</v>
      </c>
      <c r="Z82" t="e">
        <f t="shared" si="62"/>
        <v>#N/A</v>
      </c>
      <c r="AA82">
        <f t="shared" si="63"/>
        <v>3.0692281648210029E-2</v>
      </c>
      <c r="AB82">
        <f t="shared" si="63"/>
        <v>1.4470071164377237E-2</v>
      </c>
    </row>
    <row r="83" spans="1:28" x14ac:dyDescent="0.25">
      <c r="A83" s="18">
        <f t="shared" si="25"/>
        <v>19968</v>
      </c>
      <c r="B83">
        <f>'2-state flows'!B82</f>
        <v>64209</v>
      </c>
      <c r="C83">
        <f>'2-state flows'!C82</f>
        <v>3927</v>
      </c>
      <c r="D83">
        <f>'Composite HWI'!B46*48.35347462</f>
        <v>1257.19034012</v>
      </c>
      <c r="E83">
        <f t="shared" si="20"/>
        <v>6.1159650516282763E-2</v>
      </c>
      <c r="F83">
        <f t="shared" si="21"/>
        <v>1.9579659239670449E-2</v>
      </c>
      <c r="G83">
        <f>'2-state flows'!G82</f>
        <v>0.61128442247939252</v>
      </c>
      <c r="H83">
        <f t="shared" si="22"/>
        <v>0.43635879473655309</v>
      </c>
      <c r="I83">
        <f>'2-state flows'!H82</f>
        <v>3.3945764869112563E-2</v>
      </c>
      <c r="J83">
        <f t="shared" si="26"/>
        <v>-3.6127654475735224E-2</v>
      </c>
      <c r="K83">
        <v>0.5</v>
      </c>
      <c r="L83">
        <f t="shared" si="27"/>
        <v>0.44252665989683626</v>
      </c>
      <c r="M83">
        <f t="shared" si="24"/>
        <v>1.2578192664273756E-2</v>
      </c>
      <c r="N83">
        <f t="shared" ref="N83:O83" si="79">AVERAGE(G81:G83)</f>
        <v>0.53729586398086693</v>
      </c>
      <c r="O83">
        <f t="shared" si="79"/>
        <v>0.44296252986797846</v>
      </c>
      <c r="P83">
        <f t="shared" si="29"/>
        <v>5.9819212851010051E-2</v>
      </c>
      <c r="Q83">
        <f t="shared" si="30"/>
        <v>1.9724600709309693E-2</v>
      </c>
      <c r="R83">
        <f t="shared" si="31"/>
        <v>1.2478306991407733E-2</v>
      </c>
      <c r="U83" s="18">
        <f t="shared" si="65"/>
        <v>25993</v>
      </c>
      <c r="V83">
        <f t="shared" si="58"/>
        <v>5.926016747747509E-2</v>
      </c>
      <c r="W83" t="e">
        <f t="shared" si="59"/>
        <v>#N/A</v>
      </c>
      <c r="X83" t="e">
        <f t="shared" si="60"/>
        <v>#N/A</v>
      </c>
      <c r="Y83" t="e">
        <f t="shared" si="61"/>
        <v>#N/A</v>
      </c>
      <c r="Z83" t="e">
        <f t="shared" si="62"/>
        <v>#N/A</v>
      </c>
      <c r="AA83">
        <f t="shared" si="63"/>
        <v>2.9856849989009244E-2</v>
      </c>
      <c r="AB83">
        <f t="shared" si="63"/>
        <v>1.6660671741652748E-2</v>
      </c>
    </row>
    <row r="84" spans="1:28" x14ac:dyDescent="0.25">
      <c r="A84" s="18">
        <f t="shared" si="25"/>
        <v>19998</v>
      </c>
      <c r="B84">
        <f>'2-state flows'!B83</f>
        <v>63936</v>
      </c>
      <c r="C84">
        <f>'2-state flows'!C83</f>
        <v>3666</v>
      </c>
      <c r="D84">
        <f>'Composite HWI'!B47*48.35347462</f>
        <v>1257.19034012</v>
      </c>
      <c r="E84">
        <f t="shared" si="20"/>
        <v>5.733858858858859E-2</v>
      </c>
      <c r="F84">
        <f t="shared" si="21"/>
        <v>1.9663262326701701E-2</v>
      </c>
      <c r="G84">
        <f>'2-state flows'!G83</f>
        <v>0.63383917234710363</v>
      </c>
      <c r="H84">
        <f t="shared" si="22"/>
        <v>0.4516249784403415</v>
      </c>
      <c r="I84">
        <f>'2-state flows'!H83</f>
        <v>3.2553383150439298E-2</v>
      </c>
      <c r="J84">
        <f t="shared" si="26"/>
        <v>-4.1882799812954639E-2</v>
      </c>
      <c r="K84">
        <v>0.5</v>
      </c>
      <c r="L84">
        <f t="shared" si="27"/>
        <v>0.35876106027092697</v>
      </c>
      <c r="M84">
        <f t="shared" si="24"/>
        <v>1.3735599661261318E-2</v>
      </c>
      <c r="N84">
        <f t="shared" ref="N84:O84" si="80">AVERAGE(G82:G84)</f>
        <v>0.58899808325934222</v>
      </c>
      <c r="O84">
        <f t="shared" si="80"/>
        <v>0.44281859872585394</v>
      </c>
      <c r="P84">
        <f t="shared" si="29"/>
        <v>5.9664648671020136E-2</v>
      </c>
      <c r="Q84">
        <f t="shared" si="30"/>
        <v>1.9658955030315197E-2</v>
      </c>
      <c r="R84">
        <f t="shared" si="31"/>
        <v>1.2702468803530811E-2</v>
      </c>
      <c r="U84" s="18">
        <f t="shared" si="65"/>
        <v>26085</v>
      </c>
      <c r="V84">
        <f t="shared" si="58"/>
        <v>5.9192682203354365E-2</v>
      </c>
      <c r="W84" t="e">
        <f t="shared" si="59"/>
        <v>#N/A</v>
      </c>
      <c r="X84" t="e">
        <f t="shared" si="60"/>
        <v>#N/A</v>
      </c>
      <c r="Y84" t="e">
        <f t="shared" si="61"/>
        <v>#N/A</v>
      </c>
      <c r="Z84" t="e">
        <f t="shared" si="62"/>
        <v>#N/A</v>
      </c>
      <c r="AA84">
        <f t="shared" si="63"/>
        <v>3.0727785840440103E-2</v>
      </c>
      <c r="AB84">
        <f t="shared" si="63"/>
        <v>1.6805136135287294E-2</v>
      </c>
    </row>
    <row r="85" spans="1:28" x14ac:dyDescent="0.25">
      <c r="A85" s="18">
        <f t="shared" si="25"/>
        <v>20029</v>
      </c>
      <c r="B85">
        <f>'2-state flows'!B84</f>
        <v>63759</v>
      </c>
      <c r="C85">
        <f>'2-state flows'!C84</f>
        <v>3402</v>
      </c>
      <c r="D85">
        <f>'Composite HWI'!B48*48.35347462</f>
        <v>1353.8972893600001</v>
      </c>
      <c r="E85">
        <f t="shared" si="20"/>
        <v>5.3357173104973413E-2</v>
      </c>
      <c r="F85">
        <f t="shared" si="21"/>
        <v>2.1234606712150442E-2</v>
      </c>
      <c r="G85">
        <f>'2-state flows'!G84</f>
        <v>0.64662716492505246</v>
      </c>
      <c r="H85">
        <f t="shared" si="22"/>
        <v>0.48651851357585052</v>
      </c>
      <c r="I85">
        <f>'2-state flows'!H84</f>
        <v>3.1746328373994236E-2</v>
      </c>
      <c r="J85">
        <f t="shared" si="26"/>
        <v>-2.5104223399249156E-2</v>
      </c>
      <c r="K85">
        <v>0.5</v>
      </c>
      <c r="L85">
        <f t="shared" si="27"/>
        <v>0.30855261347242868</v>
      </c>
      <c r="M85">
        <f t="shared" si="24"/>
        <v>1.5597016241392841E-2</v>
      </c>
      <c r="N85">
        <f t="shared" ref="N85:O85" si="81">AVERAGE(G83:G85)</f>
        <v>0.6305835865838495</v>
      </c>
      <c r="O85">
        <f t="shared" si="81"/>
        <v>0.45816742891758172</v>
      </c>
      <c r="P85">
        <f t="shared" si="29"/>
        <v>5.7285137403281589E-2</v>
      </c>
      <c r="Q85">
        <f t="shared" si="30"/>
        <v>2.0159176092840864E-2</v>
      </c>
      <c r="R85">
        <f t="shared" si="31"/>
        <v>1.3970269522309306E-2</v>
      </c>
      <c r="U85" s="18">
        <f t="shared" si="65"/>
        <v>26177</v>
      </c>
      <c r="V85">
        <f t="shared" si="58"/>
        <v>5.9946021230859438E-2</v>
      </c>
      <c r="W85" t="e">
        <f t="shared" si="59"/>
        <v>#N/A</v>
      </c>
      <c r="X85" t="e">
        <f t="shared" si="60"/>
        <v>#N/A</v>
      </c>
      <c r="Y85" t="e">
        <f t="shared" si="61"/>
        <v>#N/A</v>
      </c>
      <c r="Z85" t="e">
        <f t="shared" si="62"/>
        <v>#N/A</v>
      </c>
      <c r="AA85">
        <f t="shared" si="63"/>
        <v>3.1061213501044436E-2</v>
      </c>
      <c r="AB85">
        <f t="shared" si="63"/>
        <v>1.5611992108898354E-2</v>
      </c>
    </row>
    <row r="86" spans="1:28" x14ac:dyDescent="0.25">
      <c r="A86" s="18">
        <f t="shared" si="25"/>
        <v>20059</v>
      </c>
      <c r="B86">
        <f>'2-state flows'!B85</f>
        <v>63312</v>
      </c>
      <c r="C86">
        <f>'2-state flows'!C85</f>
        <v>3196</v>
      </c>
      <c r="D86">
        <f>'Composite HWI'!B49*48.35347462</f>
        <v>1402.2507639800001</v>
      </c>
      <c r="E86">
        <f t="shared" si="20"/>
        <v>5.048016173869093E-2</v>
      </c>
      <c r="F86">
        <f t="shared" si="21"/>
        <v>2.2148262003727572E-2</v>
      </c>
      <c r="G86">
        <f>'2-state flows'!G85</f>
        <v>0.59715456214860718</v>
      </c>
      <c r="H86">
        <f t="shared" si="22"/>
        <v>0.51083791518499844</v>
      </c>
      <c r="I86">
        <f>'2-state flows'!H85</f>
        <v>3.0873410093274569E-2</v>
      </c>
      <c r="J86">
        <f t="shared" si="26"/>
        <v>-2.7881778220154464E-2</v>
      </c>
      <c r="K86">
        <v>0.5</v>
      </c>
      <c r="L86">
        <f t="shared" si="27"/>
        <v>0.25278905703211973</v>
      </c>
      <c r="M86">
        <f t="shared" si="24"/>
        <v>1.720104214032131E-2</v>
      </c>
      <c r="N86">
        <f t="shared" ref="N86:O86" si="82">AVERAGE(G84:G86)</f>
        <v>0.62587363314025446</v>
      </c>
      <c r="O86">
        <f t="shared" si="82"/>
        <v>0.4829938024003968</v>
      </c>
      <c r="P86">
        <f t="shared" si="29"/>
        <v>5.3725307810750973E-2</v>
      </c>
      <c r="Q86">
        <f t="shared" si="30"/>
        <v>2.1015377014193242E-2</v>
      </c>
      <c r="R86">
        <f t="shared" si="31"/>
        <v>1.551121934765849E-2</v>
      </c>
      <c r="U86" s="18">
        <f t="shared" si="65"/>
        <v>26268</v>
      </c>
      <c r="V86">
        <f t="shared" si="58"/>
        <v>5.9651730621898248E-2</v>
      </c>
      <c r="W86" t="e">
        <f t="shared" si="59"/>
        <v>#N/A</v>
      </c>
      <c r="X86" t="e">
        <f t="shared" si="60"/>
        <v>#N/A</v>
      </c>
      <c r="Y86" t="e">
        <f t="shared" si="61"/>
        <v>#N/A</v>
      </c>
      <c r="Z86" t="e">
        <f t="shared" si="62"/>
        <v>#N/A</v>
      </c>
      <c r="AA86">
        <f t="shared" si="63"/>
        <v>3.1548094677898979E-2</v>
      </c>
      <c r="AB86">
        <f t="shared" si="63"/>
        <v>1.5860593408493176E-2</v>
      </c>
    </row>
    <row r="87" spans="1:28" x14ac:dyDescent="0.25">
      <c r="A87" s="18">
        <f t="shared" si="25"/>
        <v>20090</v>
      </c>
      <c r="B87">
        <f>'2-state flows'!B86</f>
        <v>63910</v>
      </c>
      <c r="C87">
        <f>'2-state flows'!C86</f>
        <v>3157</v>
      </c>
      <c r="D87">
        <f>'Composite HWI'!B50*48.35347462</f>
        <v>1450.6042385999999</v>
      </c>
      <c r="E87">
        <f t="shared" si="20"/>
        <v>4.9397590361445781E-2</v>
      </c>
      <c r="F87">
        <f t="shared" si="21"/>
        <v>2.2697609741824439E-2</v>
      </c>
      <c r="G87">
        <f>'2-state flows'!G86</f>
        <v>0.63500378757116771</v>
      </c>
      <c r="H87">
        <f t="shared" si="22"/>
        <v>0.5227702282874378</v>
      </c>
      <c r="I87">
        <f>'2-state flows'!H86</f>
        <v>2.8763361127426692E-2</v>
      </c>
      <c r="J87">
        <f t="shared" si="26"/>
        <v>-7.079290451298835E-2</v>
      </c>
      <c r="K87">
        <v>0.5</v>
      </c>
      <c r="L87">
        <f t="shared" si="27"/>
        <v>0.11120324800614304</v>
      </c>
      <c r="M87">
        <f t="shared" si="24"/>
        <v>2.030884231481515E-2</v>
      </c>
      <c r="N87">
        <f t="shared" ref="N87:O87" si="83">AVERAGE(G85:G87)</f>
        <v>0.62626183821494241</v>
      </c>
      <c r="O87">
        <f t="shared" si="83"/>
        <v>0.50670888568276229</v>
      </c>
      <c r="P87">
        <f t="shared" si="29"/>
        <v>5.1078308401703375E-2</v>
      </c>
      <c r="Q87">
        <f t="shared" si="30"/>
        <v>2.2026826152567486E-2</v>
      </c>
      <c r="R87">
        <f t="shared" si="31"/>
        <v>1.7702300232176435E-2</v>
      </c>
      <c r="U87" s="18">
        <f t="shared" si="65"/>
        <v>26359</v>
      </c>
      <c r="V87">
        <f t="shared" si="58"/>
        <v>5.7940626008260832E-2</v>
      </c>
      <c r="W87" t="e">
        <f t="shared" si="59"/>
        <v>#N/A</v>
      </c>
      <c r="X87" t="e">
        <f t="shared" si="60"/>
        <v>#N/A</v>
      </c>
      <c r="Y87" t="e">
        <f t="shared" si="61"/>
        <v>#N/A</v>
      </c>
      <c r="Z87" t="e">
        <f t="shared" si="62"/>
        <v>#N/A</v>
      </c>
      <c r="AA87">
        <f t="shared" si="63"/>
        <v>3.3838550597019686E-2</v>
      </c>
      <c r="AB87">
        <f t="shared" si="63"/>
        <v>1.924622675955057E-2</v>
      </c>
    </row>
    <row r="88" spans="1:28" x14ac:dyDescent="0.25">
      <c r="A88" s="18">
        <f t="shared" si="25"/>
        <v>20121</v>
      </c>
      <c r="B88">
        <f>'2-state flows'!B87</f>
        <v>63696</v>
      </c>
      <c r="C88">
        <f>'2-state flows'!C87</f>
        <v>2969</v>
      </c>
      <c r="D88">
        <f>'Composite HWI'!B51*48.35347462</f>
        <v>1547.31118784</v>
      </c>
      <c r="E88">
        <f t="shared" si="20"/>
        <v>4.6612032152725448E-2</v>
      </c>
      <c r="F88">
        <f t="shared" si="21"/>
        <v>2.4292124903290632E-2</v>
      </c>
      <c r="G88">
        <f>'2-state flows'!G87</f>
        <v>0.53779431742327255</v>
      </c>
      <c r="H88">
        <f t="shared" si="22"/>
        <v>0.55674637824136197</v>
      </c>
      <c r="I88">
        <f>'2-state flows'!H87</f>
        <v>2.5194972538159468E-2</v>
      </c>
      <c r="J88">
        <f t="shared" si="26"/>
        <v>-0.132457921994446</v>
      </c>
      <c r="K88">
        <v>0.5</v>
      </c>
      <c r="L88">
        <f t="shared" si="27"/>
        <v>-0.15371259598274897</v>
      </c>
      <c r="M88">
        <f t="shared" si="24"/>
        <v>2.8328399454276516E-2</v>
      </c>
      <c r="N88">
        <f t="shared" ref="N88:O88" si="84">AVERAGE(G86:G88)</f>
        <v>0.58998422238101578</v>
      </c>
      <c r="O88">
        <f t="shared" si="84"/>
        <v>0.53011817390459937</v>
      </c>
      <c r="P88">
        <f t="shared" si="29"/>
        <v>4.8829928084287384E-2</v>
      </c>
      <c r="Q88">
        <f t="shared" si="30"/>
        <v>2.3045998882947547E-2</v>
      </c>
      <c r="R88">
        <f t="shared" si="31"/>
        <v>2.1946094636470997E-2</v>
      </c>
      <c r="U88" s="18">
        <f t="shared" si="65"/>
        <v>26451</v>
      </c>
      <c r="V88">
        <f t="shared" si="58"/>
        <v>5.6845172814577884E-2</v>
      </c>
      <c r="W88" t="e">
        <f t="shared" si="59"/>
        <v>#N/A</v>
      </c>
      <c r="X88" t="e">
        <f t="shared" si="60"/>
        <v>#N/A</v>
      </c>
      <c r="Y88" t="e">
        <f t="shared" si="61"/>
        <v>#N/A</v>
      </c>
      <c r="Z88" t="e">
        <f t="shared" si="62"/>
        <v>#N/A</v>
      </c>
      <c r="AA88">
        <f t="shared" si="63"/>
        <v>3.5276306638702841E-2</v>
      </c>
      <c r="AB88">
        <f t="shared" si="63"/>
        <v>1.9560141640732446E-2</v>
      </c>
    </row>
    <row r="89" spans="1:28" x14ac:dyDescent="0.25">
      <c r="A89" s="18">
        <f t="shared" si="25"/>
        <v>20149</v>
      </c>
      <c r="B89">
        <f>'2-state flows'!B88</f>
        <v>63882</v>
      </c>
      <c r="C89">
        <f>'2-state flows'!C88</f>
        <v>2918</v>
      </c>
      <c r="D89">
        <f>'Composite HWI'!B52*48.35347462</f>
        <v>1644.0181370800001</v>
      </c>
      <c r="E89">
        <f t="shared" si="20"/>
        <v>4.5677968754891829E-2</v>
      </c>
      <c r="F89">
        <f t="shared" si="21"/>
        <v>2.5735232727215805E-2</v>
      </c>
      <c r="G89">
        <f>'2-state flows'!G88</f>
        <v>0.51242617286725012</v>
      </c>
      <c r="H89">
        <f t="shared" si="22"/>
        <v>0.5788743747486057</v>
      </c>
      <c r="I89">
        <f>'2-state flows'!H88</f>
        <v>2.7307541466877968E-2</v>
      </c>
      <c r="J89">
        <f t="shared" si="26"/>
        <v>8.0518436090365908E-2</v>
      </c>
      <c r="K89">
        <v>0.5</v>
      </c>
      <c r="L89">
        <f t="shared" si="27"/>
        <v>7.324276197982843E-3</v>
      </c>
      <c r="M89">
        <f t="shared" si="24"/>
        <v>2.5547429376068485E-2</v>
      </c>
      <c r="N89">
        <f t="shared" ref="N89:O89" si="85">AVERAGE(G87:G89)</f>
        <v>0.56174142595389676</v>
      </c>
      <c r="O89">
        <f t="shared" si="85"/>
        <v>0.55279699375913516</v>
      </c>
      <c r="P89">
        <f t="shared" si="29"/>
        <v>4.7229197089687681E-2</v>
      </c>
      <c r="Q89">
        <f t="shared" si="30"/>
        <v>2.4241655790776959E-2</v>
      </c>
      <c r="R89">
        <f t="shared" si="31"/>
        <v>2.4728223715053382E-2</v>
      </c>
      <c r="U89" s="18">
        <f t="shared" si="65"/>
        <v>26543</v>
      </c>
      <c r="V89">
        <f t="shared" si="58"/>
        <v>5.6099657965265927E-2</v>
      </c>
      <c r="W89" t="e">
        <f t="shared" si="59"/>
        <v>#N/A</v>
      </c>
      <c r="X89" t="e">
        <f t="shared" si="60"/>
        <v>#N/A</v>
      </c>
      <c r="Y89" t="e">
        <f t="shared" si="61"/>
        <v>#N/A</v>
      </c>
      <c r="Z89" t="e">
        <f t="shared" si="62"/>
        <v>#N/A</v>
      </c>
      <c r="AA89">
        <f t="shared" si="63"/>
        <v>3.745643339521431E-2</v>
      </c>
      <c r="AB89">
        <f t="shared" si="63"/>
        <v>1.8787408863835398E-2</v>
      </c>
    </row>
    <row r="90" spans="1:28" x14ac:dyDescent="0.25">
      <c r="A90" s="18">
        <f t="shared" si="25"/>
        <v>20180</v>
      </c>
      <c r="B90">
        <f>'2-state flows'!B89</f>
        <v>64564</v>
      </c>
      <c r="C90">
        <f>'2-state flows'!C89</f>
        <v>3049</v>
      </c>
      <c r="D90">
        <f>'Composite HWI'!B53*48.35347462</f>
        <v>1644.0181370800001</v>
      </c>
      <c r="E90">
        <f t="shared" si="20"/>
        <v>4.7224459451087296E-2</v>
      </c>
      <c r="F90">
        <f t="shared" si="21"/>
        <v>2.5463387291369804E-2</v>
      </c>
      <c r="G90">
        <f>'2-state flows'!G89</f>
        <v>0.74187175160351337</v>
      </c>
      <c r="H90">
        <f t="shared" si="22"/>
        <v>0.56630221005412018</v>
      </c>
      <c r="I90">
        <f>'2-state flows'!H89</f>
        <v>2.9726390804482271E-2</v>
      </c>
      <c r="J90">
        <f t="shared" si="26"/>
        <v>8.4872322280804866E-2</v>
      </c>
      <c r="K90">
        <v>0.5</v>
      </c>
      <c r="L90">
        <f t="shared" si="27"/>
        <v>0.17706892075959257</v>
      </c>
      <c r="M90">
        <f t="shared" si="24"/>
        <v>2.1331240902199684E-2</v>
      </c>
      <c r="N90">
        <f t="shared" ref="N90:O90" si="86">AVERAGE(G88:G90)</f>
        <v>0.59736408063134538</v>
      </c>
      <c r="O90">
        <f t="shared" si="86"/>
        <v>0.56730765434802921</v>
      </c>
      <c r="P90">
        <f t="shared" si="29"/>
        <v>4.6504820119568191E-2</v>
      </c>
      <c r="Q90">
        <f t="shared" si="30"/>
        <v>2.5163581640625415E-2</v>
      </c>
      <c r="R90">
        <f t="shared" si="31"/>
        <v>2.506902324418156E-2</v>
      </c>
      <c r="U90" s="18">
        <f t="shared" si="65"/>
        <v>26634</v>
      </c>
      <c r="V90">
        <f t="shared" si="58"/>
        <v>5.3305840723810761E-2</v>
      </c>
      <c r="W90" t="e">
        <f t="shared" si="59"/>
        <v>#N/A</v>
      </c>
      <c r="X90" t="e">
        <f t="shared" si="60"/>
        <v>#N/A</v>
      </c>
      <c r="Y90" t="e">
        <f t="shared" si="61"/>
        <v>#N/A</v>
      </c>
      <c r="Z90" t="e">
        <f t="shared" si="62"/>
        <v>#N/A</v>
      </c>
      <c r="AA90">
        <f t="shared" si="63"/>
        <v>4.135884417354186E-2</v>
      </c>
      <c r="AB90">
        <f t="shared" si="63"/>
        <v>2.6522825584517868E-2</v>
      </c>
    </row>
    <row r="91" spans="1:28" x14ac:dyDescent="0.25">
      <c r="A91" s="18">
        <f t="shared" si="25"/>
        <v>20210</v>
      </c>
      <c r="B91">
        <f>'2-state flows'!B90</f>
        <v>64381</v>
      </c>
      <c r="C91">
        <f>'2-state flows'!C90</f>
        <v>2747</v>
      </c>
      <c r="D91">
        <f>'Composite HWI'!B54*48.35347462</f>
        <v>1740.7250863199999</v>
      </c>
      <c r="E91">
        <f t="shared" si="20"/>
        <v>4.2667867849210173E-2</v>
      </c>
      <c r="F91">
        <f t="shared" si="21"/>
        <v>2.7037869655954394E-2</v>
      </c>
      <c r="G91">
        <f>'2-state flows'!G90</f>
        <v>0.6768984027729561</v>
      </c>
      <c r="H91">
        <f t="shared" si="22"/>
        <v>0.6139166766148958</v>
      </c>
      <c r="I91">
        <f>'2-state flows'!H90</f>
        <v>2.912850318695813E-2</v>
      </c>
      <c r="J91">
        <f t="shared" si="26"/>
        <v>-2.0318044781348965E-2</v>
      </c>
      <c r="K91">
        <v>0.5</v>
      </c>
      <c r="L91">
        <f t="shared" si="27"/>
        <v>0.13643283119689464</v>
      </c>
      <c r="M91">
        <f t="shared" si="24"/>
        <v>2.3589592805712187E-2</v>
      </c>
      <c r="N91">
        <f t="shared" ref="N91:O91" si="87">AVERAGE(G89:G91)</f>
        <v>0.6437321090812399</v>
      </c>
      <c r="O91">
        <f t="shared" si="87"/>
        <v>0.58636442047254056</v>
      </c>
      <c r="P91">
        <f t="shared" si="29"/>
        <v>4.5190098685063101E-2</v>
      </c>
      <c r="Q91">
        <f t="shared" si="30"/>
        <v>2.6078829891513333E-2</v>
      </c>
      <c r="R91">
        <f t="shared" si="31"/>
        <v>2.3489421027993451E-2</v>
      </c>
      <c r="U91" s="18">
        <f t="shared" si="65"/>
        <v>26724</v>
      </c>
      <c r="V91">
        <f t="shared" si="58"/>
        <v>4.9762072623953102E-2</v>
      </c>
      <c r="W91" t="e">
        <f t="shared" si="59"/>
        <v>#N/A</v>
      </c>
      <c r="X91" t="e">
        <f t="shared" si="60"/>
        <v>#N/A</v>
      </c>
      <c r="Y91" t="e">
        <f t="shared" si="61"/>
        <v>#N/A</v>
      </c>
      <c r="Z91" t="e">
        <f t="shared" si="62"/>
        <v>#N/A</v>
      </c>
      <c r="AA91">
        <f t="shared" si="63"/>
        <v>4.4939834584101723E-2</v>
      </c>
      <c r="AB91">
        <f t="shared" si="63"/>
        <v>2.4980296025250277E-2</v>
      </c>
    </row>
    <row r="92" spans="1:28" x14ac:dyDescent="0.25">
      <c r="A92" s="18">
        <f t="shared" si="25"/>
        <v>20241</v>
      </c>
      <c r="B92">
        <f>'2-state flows'!B91</f>
        <v>64482</v>
      </c>
      <c r="C92">
        <f>'2-state flows'!C91</f>
        <v>2701</v>
      </c>
      <c r="D92">
        <f>'Composite HWI'!B55*48.35347462</f>
        <v>1837.43203556</v>
      </c>
      <c r="E92">
        <f t="shared" si="20"/>
        <v>4.1887658571384261E-2</v>
      </c>
      <c r="F92">
        <f t="shared" si="21"/>
        <v>2.849527054930058E-2</v>
      </c>
      <c r="G92">
        <f>'2-state flows'!G91</f>
        <v>0.69351748236014044</v>
      </c>
      <c r="H92">
        <f t="shared" si="22"/>
        <v>0.63608772733288066</v>
      </c>
      <c r="I92">
        <f>'2-state flows'!H91</f>
        <v>2.8751534974312192E-2</v>
      </c>
      <c r="J92">
        <f t="shared" si="26"/>
        <v>-1.3026029520947302E-2</v>
      </c>
      <c r="K92">
        <v>0.5</v>
      </c>
      <c r="L92">
        <f t="shared" si="27"/>
        <v>0.11038077215500004</v>
      </c>
      <c r="M92">
        <f t="shared" si="24"/>
        <v>2.5517317918359681E-2</v>
      </c>
      <c r="N92">
        <f t="shared" ref="N92:O92" si="88">AVERAGE(G90:G92)</f>
        <v>0.70409587891220327</v>
      </c>
      <c r="O92">
        <f t="shared" si="88"/>
        <v>0.60543553800063221</v>
      </c>
      <c r="P92">
        <f t="shared" si="29"/>
        <v>4.3926661957227248E-2</v>
      </c>
      <c r="Q92">
        <f t="shared" si="30"/>
        <v>2.6998842498874926E-2</v>
      </c>
      <c r="R92">
        <f t="shared" si="31"/>
        <v>2.3479383875423851E-2</v>
      </c>
      <c r="U92" s="18">
        <f t="shared" si="65"/>
        <v>26816</v>
      </c>
      <c r="V92">
        <f t="shared" si="58"/>
        <v>4.9155496129294346E-2</v>
      </c>
      <c r="W92" t="e">
        <f t="shared" si="59"/>
        <v>#N/A</v>
      </c>
      <c r="X92" t="e">
        <f t="shared" si="60"/>
        <v>#N/A</v>
      </c>
      <c r="Y92" t="e">
        <f t="shared" si="61"/>
        <v>#N/A</v>
      </c>
      <c r="Z92" t="e">
        <f t="shared" si="62"/>
        <v>#N/A</v>
      </c>
      <c r="AA92">
        <f t="shared" si="63"/>
        <v>4.427928848453646E-2</v>
      </c>
      <c r="AB92">
        <f t="shared" si="63"/>
        <v>2.2532948154348389E-2</v>
      </c>
    </row>
    <row r="93" spans="1:28" x14ac:dyDescent="0.25">
      <c r="A93" s="18">
        <f t="shared" si="25"/>
        <v>20271</v>
      </c>
      <c r="B93">
        <f>'2-state flows'!B92</f>
        <v>65145</v>
      </c>
      <c r="C93">
        <f>'2-state flows'!C92</f>
        <v>2632</v>
      </c>
      <c r="D93">
        <f>'Composite HWI'!B56*48.35347462</f>
        <v>1885.7855101800001</v>
      </c>
      <c r="E93">
        <f t="shared" si="20"/>
        <v>4.0402179752859008E-2</v>
      </c>
      <c r="F93">
        <f t="shared" si="21"/>
        <v>2.8947509558369791E-2</v>
      </c>
      <c r="G93">
        <f>'2-state flows'!G92</f>
        <v>0.67582094675403526</v>
      </c>
      <c r="H93">
        <f t="shared" si="22"/>
        <v>0.65279507797917602</v>
      </c>
      <c r="I93">
        <f>'2-state flows'!H92</f>
        <v>3.1846728489887025E-2</v>
      </c>
      <c r="J93">
        <f t="shared" si="26"/>
        <v>0.10224350434041213</v>
      </c>
      <c r="K93">
        <v>0.5</v>
      </c>
      <c r="L93">
        <f t="shared" si="27"/>
        <v>0.31486778083582428</v>
      </c>
      <c r="M93">
        <f t="shared" si="24"/>
        <v>2.1128363803424033E-2</v>
      </c>
      <c r="N93">
        <f t="shared" ref="N93:O93" si="89">AVERAGE(G91:G93)</f>
        <v>0.68207894396237734</v>
      </c>
      <c r="O93">
        <f t="shared" si="89"/>
        <v>0.63426649397565082</v>
      </c>
      <c r="P93">
        <f t="shared" si="29"/>
        <v>4.165256872448448E-2</v>
      </c>
      <c r="Q93">
        <f t="shared" si="30"/>
        <v>2.8160216587874921E-2</v>
      </c>
      <c r="R93">
        <f t="shared" si="31"/>
        <v>2.3411758175831965E-2</v>
      </c>
      <c r="U93" s="18">
        <f t="shared" si="65"/>
        <v>26908</v>
      </c>
      <c r="V93">
        <f t="shared" si="58"/>
        <v>4.8186980859858265E-2</v>
      </c>
      <c r="W93" t="e">
        <f t="shared" si="59"/>
        <v>#N/A</v>
      </c>
      <c r="X93" t="e">
        <f t="shared" si="60"/>
        <v>#N/A</v>
      </c>
      <c r="Y93" t="e">
        <f t="shared" si="61"/>
        <v>#N/A</v>
      </c>
      <c r="Z93" t="e">
        <f t="shared" si="62"/>
        <v>#N/A</v>
      </c>
      <c r="AA93">
        <f t="shared" si="63"/>
        <v>4.4407670961614985E-2</v>
      </c>
      <c r="AB93">
        <f t="shared" si="63"/>
        <v>2.5285962833594123E-2</v>
      </c>
    </row>
    <row r="94" spans="1:28" x14ac:dyDescent="0.25">
      <c r="A94" s="18">
        <f t="shared" si="25"/>
        <v>20302</v>
      </c>
      <c r="B94">
        <f>'2-state flows'!B93</f>
        <v>65581</v>
      </c>
      <c r="C94">
        <f>'2-state flows'!C93</f>
        <v>2784</v>
      </c>
      <c r="D94">
        <f>'Composite HWI'!B57*48.35347462</f>
        <v>1982.4924594199999</v>
      </c>
      <c r="E94">
        <f t="shared" si="20"/>
        <v>4.2451319741998443E-2</v>
      </c>
      <c r="F94">
        <f t="shared" si="21"/>
        <v>3.0229677184245435E-2</v>
      </c>
      <c r="G94">
        <f>'2-state flows'!G93</f>
        <v>0.7454997169319848</v>
      </c>
      <c r="H94">
        <f t="shared" si="22"/>
        <v>0.65079592222950922</v>
      </c>
      <c r="I94">
        <f>'2-state flows'!H93</f>
        <v>3.0623571671931478E-2</v>
      </c>
      <c r="J94">
        <f t="shared" si="26"/>
        <v>-3.9164632076037341E-2</v>
      </c>
      <c r="K94">
        <v>0.5</v>
      </c>
      <c r="L94">
        <f t="shared" si="27"/>
        <v>0.23653851668374959</v>
      </c>
      <c r="M94">
        <f t="shared" si="24"/>
        <v>2.3861961294472205E-2</v>
      </c>
      <c r="N94">
        <f t="shared" ref="N94:O94" si="90">AVERAGE(G92:G94)</f>
        <v>0.70494604868205357</v>
      </c>
      <c r="O94">
        <f t="shared" si="90"/>
        <v>0.64655957584718859</v>
      </c>
      <c r="P94">
        <f t="shared" si="29"/>
        <v>4.1580386022080577E-2</v>
      </c>
      <c r="Q94">
        <f t="shared" si="30"/>
        <v>2.9224152430638601E-2</v>
      </c>
      <c r="R94">
        <f t="shared" si="31"/>
        <v>2.3502547672085306E-2</v>
      </c>
      <c r="U94" s="18">
        <f t="shared" si="65"/>
        <v>26999</v>
      </c>
      <c r="V94">
        <f t="shared" si="58"/>
        <v>4.7941940045316177E-2</v>
      </c>
      <c r="W94" t="e">
        <f t="shared" si="59"/>
        <v>#N/A</v>
      </c>
      <c r="X94" t="e">
        <f t="shared" si="60"/>
        <v>#N/A</v>
      </c>
      <c r="Y94" t="e">
        <f t="shared" si="61"/>
        <v>#N/A</v>
      </c>
      <c r="Z94" t="e">
        <f t="shared" si="62"/>
        <v>#N/A</v>
      </c>
      <c r="AA94">
        <f t="shared" si="63"/>
        <v>4.324234021490652E-2</v>
      </c>
      <c r="AB94">
        <f t="shared" si="63"/>
        <v>2.260022675791705E-2</v>
      </c>
    </row>
    <row r="95" spans="1:28" x14ac:dyDescent="0.25">
      <c r="A95" s="18">
        <f t="shared" si="25"/>
        <v>20333</v>
      </c>
      <c r="B95">
        <f>'2-state flows'!B94</f>
        <v>65628</v>
      </c>
      <c r="C95">
        <f>'2-state flows'!C94</f>
        <v>2678</v>
      </c>
      <c r="D95">
        <f>'Composite HWI'!B58*48.35347462</f>
        <v>2079.1994086599998</v>
      </c>
      <c r="E95">
        <f t="shared" si="20"/>
        <v>4.0805753641738281E-2</v>
      </c>
      <c r="F95">
        <f t="shared" si="21"/>
        <v>3.1681590306881204E-2</v>
      </c>
      <c r="G95">
        <f>'2-state flows'!G94</f>
        <v>0.64788397991411084</v>
      </c>
      <c r="H95">
        <f t="shared" si="22"/>
        <v>0.67954223091152954</v>
      </c>
      <c r="I95">
        <f>'2-state flows'!H94</f>
        <v>3.0888190471912838E-2</v>
      </c>
      <c r="J95">
        <f t="shared" si="26"/>
        <v>8.6038969838912044E-3</v>
      </c>
      <c r="K95">
        <v>0.5</v>
      </c>
      <c r="L95">
        <f t="shared" si="27"/>
        <v>0.25374631065153197</v>
      </c>
      <c r="M95">
        <f t="shared" si="24"/>
        <v>2.4581385121477742E-2</v>
      </c>
      <c r="N95">
        <f t="shared" ref="N95:O95" si="91">AVERAGE(G93:G95)</f>
        <v>0.68973488120004367</v>
      </c>
      <c r="O95">
        <f t="shared" si="91"/>
        <v>0.66104441037340489</v>
      </c>
      <c r="P95">
        <f t="shared" si="29"/>
        <v>4.121975104553191E-2</v>
      </c>
      <c r="Q95">
        <f t="shared" si="30"/>
        <v>3.0286259016498812E-2</v>
      </c>
      <c r="R95">
        <f t="shared" si="31"/>
        <v>2.3190570073124656E-2</v>
      </c>
      <c r="U95" s="18">
        <f t="shared" si="65"/>
        <v>27089</v>
      </c>
      <c r="V95">
        <f t="shared" si="58"/>
        <v>5.1101947669036328E-2</v>
      </c>
      <c r="W95" t="e">
        <f t="shared" si="59"/>
        <v>#N/A</v>
      </c>
      <c r="X95" t="e">
        <f t="shared" si="60"/>
        <v>#N/A</v>
      </c>
      <c r="Y95" t="e">
        <f t="shared" si="61"/>
        <v>#N/A</v>
      </c>
      <c r="Z95" t="e">
        <f t="shared" si="62"/>
        <v>#N/A</v>
      </c>
      <c r="AA95">
        <f t="shared" si="63"/>
        <v>4.0921595649443809E-2</v>
      </c>
      <c r="AB95">
        <f t="shared" si="63"/>
        <v>2.0173862937831528E-2</v>
      </c>
    </row>
    <row r="96" spans="1:28" x14ac:dyDescent="0.25">
      <c r="A96" s="18">
        <f t="shared" si="25"/>
        <v>20363</v>
      </c>
      <c r="B96">
        <f>'2-state flows'!B95</f>
        <v>65821</v>
      </c>
      <c r="C96">
        <f>'2-state flows'!C95</f>
        <v>2830</v>
      </c>
      <c r="D96">
        <f>'Composite HWI'!B59*48.35347462</f>
        <v>2030.84593404</v>
      </c>
      <c r="E96">
        <f t="shared" si="20"/>
        <v>4.299539660594643E-2</v>
      </c>
      <c r="F96">
        <f t="shared" si="21"/>
        <v>3.0854072925662022E-2</v>
      </c>
      <c r="G96">
        <f>'2-state flows'!G95</f>
        <v>0.70809939931681398</v>
      </c>
      <c r="H96">
        <f t="shared" si="22"/>
        <v>0.65330944606456298</v>
      </c>
      <c r="I96">
        <f>'2-state flows'!H95</f>
        <v>3.0690063319987162E-2</v>
      </c>
      <c r="J96">
        <f t="shared" si="26"/>
        <v>-6.4349936353959719E-3</v>
      </c>
      <c r="K96">
        <v>0.5</v>
      </c>
      <c r="L96">
        <f t="shared" si="27"/>
        <v>0.24087632338074003</v>
      </c>
      <c r="M96">
        <f t="shared" si="24"/>
        <v>2.4249413748667598E-2</v>
      </c>
      <c r="N96">
        <f t="shared" ref="N96:O96" si="92">AVERAGE(G94:G96)</f>
        <v>0.70049436538763654</v>
      </c>
      <c r="O96">
        <f t="shared" si="92"/>
        <v>0.66121586640186725</v>
      </c>
      <c r="P96">
        <f t="shared" si="29"/>
        <v>4.2084156663227713E-2</v>
      </c>
      <c r="Q96">
        <f t="shared" si="30"/>
        <v>3.0921780138929555E-2</v>
      </c>
      <c r="R96">
        <f t="shared" si="31"/>
        <v>2.4230920054872512E-2</v>
      </c>
      <c r="U96" s="18">
        <f t="shared" si="65"/>
        <v>27181</v>
      </c>
      <c r="V96">
        <f t="shared" si="58"/>
        <v>5.1861958632209243E-2</v>
      </c>
      <c r="W96" t="e">
        <f t="shared" si="59"/>
        <v>#N/A</v>
      </c>
      <c r="X96" t="e">
        <f t="shared" si="60"/>
        <v>#N/A</v>
      </c>
      <c r="Y96" t="e">
        <f t="shared" si="61"/>
        <v>#N/A</v>
      </c>
      <c r="Z96" t="e">
        <f t="shared" si="62"/>
        <v>#N/A</v>
      </c>
      <c r="AA96">
        <f t="shared" si="63"/>
        <v>4.1007647104420099E-2</v>
      </c>
      <c r="AB96">
        <f t="shared" si="63"/>
        <v>1.9322390135567021E-2</v>
      </c>
    </row>
    <row r="97" spans="1:28" x14ac:dyDescent="0.25">
      <c r="A97" s="18">
        <f t="shared" si="25"/>
        <v>20394</v>
      </c>
      <c r="B97">
        <f>'2-state flows'!B96</f>
        <v>66037</v>
      </c>
      <c r="C97">
        <f>'2-state flows'!C96</f>
        <v>2780</v>
      </c>
      <c r="D97">
        <f>'Composite HWI'!B60*48.35347462</f>
        <v>2127.5528832800001</v>
      </c>
      <c r="E97">
        <f t="shared" si="20"/>
        <v>4.2097611944818814E-2</v>
      </c>
      <c r="F97">
        <f t="shared" si="21"/>
        <v>3.2217588371367567E-2</v>
      </c>
      <c r="G97">
        <f>'2-state flows'!G96</f>
        <v>0.66968360859483045</v>
      </c>
      <c r="H97">
        <f t="shared" si="22"/>
        <v>0.67467007967664772</v>
      </c>
      <c r="I97">
        <f>'2-state flows'!H96</f>
        <v>2.9013643967958313E-2</v>
      </c>
      <c r="J97">
        <f t="shared" si="26"/>
        <v>-5.6172730843453332E-2</v>
      </c>
      <c r="K97">
        <v>0.5</v>
      </c>
      <c r="L97">
        <f t="shared" si="27"/>
        <v>0.12853086169383338</v>
      </c>
      <c r="M97">
        <f t="shared" si="24"/>
        <v>2.8331709784149024E-2</v>
      </c>
      <c r="N97">
        <f t="shared" ref="N97:O97" si="93">AVERAGE(G95:G97)</f>
        <v>0.67522232927525172</v>
      </c>
      <c r="O97">
        <f t="shared" si="93"/>
        <v>0.66917391888424671</v>
      </c>
      <c r="P97">
        <f t="shared" si="29"/>
        <v>4.1966254064167839E-2</v>
      </c>
      <c r="Q97">
        <f t="shared" si="30"/>
        <v>3.1584417201303595E-2</v>
      </c>
      <c r="R97">
        <f t="shared" si="31"/>
        <v>2.572083621809812E-2</v>
      </c>
      <c r="U97" s="18">
        <f t="shared" si="65"/>
        <v>27273</v>
      </c>
      <c r="V97">
        <f t="shared" si="58"/>
        <v>5.6081354250505644E-2</v>
      </c>
      <c r="W97" t="e">
        <f t="shared" si="59"/>
        <v>#N/A</v>
      </c>
      <c r="X97" t="e">
        <f t="shared" si="60"/>
        <v>#N/A</v>
      </c>
      <c r="Y97" t="e">
        <f t="shared" si="61"/>
        <v>#N/A</v>
      </c>
      <c r="Z97" t="e">
        <f t="shared" si="62"/>
        <v>#N/A</v>
      </c>
      <c r="AA97">
        <f t="shared" si="63"/>
        <v>3.7564983510439652E-2</v>
      </c>
      <c r="AB97">
        <f t="shared" si="63"/>
        <v>1.5472082929749014E-2</v>
      </c>
    </row>
    <row r="98" spans="1:28" x14ac:dyDescent="0.25">
      <c r="A98" s="18">
        <f t="shared" si="25"/>
        <v>20424</v>
      </c>
      <c r="B98">
        <f>'2-state flows'!B97</f>
        <v>66445</v>
      </c>
      <c r="C98">
        <f>'2-state flows'!C97</f>
        <v>2761</v>
      </c>
      <c r="D98">
        <f>'Composite HWI'!B61*48.35347462</f>
        <v>2224.2598325200001</v>
      </c>
      <c r="E98">
        <f t="shared" si="20"/>
        <v>4.1553164271201745E-2</v>
      </c>
      <c r="F98">
        <f t="shared" si="21"/>
        <v>3.3475202536232977E-2</v>
      </c>
      <c r="G98">
        <f>'2-state flows'!G97</f>
        <v>0.73041399071435498</v>
      </c>
      <c r="H98">
        <f t="shared" si="22"/>
        <v>0.69220259436848808</v>
      </c>
      <c r="I98">
        <f>'2-state flows'!H97</f>
        <v>2.9537194264306305E-2</v>
      </c>
      <c r="J98">
        <f t="shared" si="26"/>
        <v>1.7884090696969741E-2</v>
      </c>
      <c r="K98">
        <v>0.5</v>
      </c>
      <c r="L98">
        <f t="shared" si="27"/>
        <v>0.16429904308777285</v>
      </c>
      <c r="M98">
        <f t="shared" si="24"/>
        <v>2.8403315997997787E-2</v>
      </c>
      <c r="N98">
        <f t="shared" ref="N98:O98" si="94">AVERAGE(G96:G98)</f>
        <v>0.7027323328753331</v>
      </c>
      <c r="O98">
        <f t="shared" si="94"/>
        <v>0.67339404003656622</v>
      </c>
      <c r="P98">
        <f t="shared" si="29"/>
        <v>4.2215390940655663E-2</v>
      </c>
      <c r="Q98">
        <f t="shared" si="30"/>
        <v>3.2182287944420858E-2</v>
      </c>
      <c r="R98">
        <f t="shared" si="31"/>
        <v>2.6994813176938137E-2</v>
      </c>
      <c r="U98" s="18">
        <f t="shared" si="65"/>
        <v>27364</v>
      </c>
      <c r="V98">
        <f t="shared" si="58"/>
        <v>6.580285662633388E-2</v>
      </c>
      <c r="W98" t="e">
        <f t="shared" si="59"/>
        <v>#N/A</v>
      </c>
      <c r="X98" t="e">
        <f t="shared" si="60"/>
        <v>#N/A</v>
      </c>
      <c r="Y98" t="e">
        <f t="shared" si="61"/>
        <v>#N/A</v>
      </c>
      <c r="Z98" t="e">
        <f t="shared" si="62"/>
        <v>#N/A</v>
      </c>
      <c r="AA98">
        <f t="shared" si="63"/>
        <v>3.0781630942459604E-2</v>
      </c>
      <c r="AB98">
        <f t="shared" si="63"/>
        <v>1.025265368900284E-2</v>
      </c>
    </row>
    <row r="99" spans="1:28" x14ac:dyDescent="0.25">
      <c r="A99" s="18">
        <f t="shared" si="25"/>
        <v>20455</v>
      </c>
      <c r="B99">
        <f>'2-state flows'!B98</f>
        <v>66419</v>
      </c>
      <c r="C99">
        <f>'2-state flows'!C98</f>
        <v>2666</v>
      </c>
      <c r="D99">
        <f>'Composite HWI'!B62*48.35347462</f>
        <v>2127.5528832800001</v>
      </c>
      <c r="E99">
        <f t="shared" si="20"/>
        <v>4.0139116818982523E-2</v>
      </c>
      <c r="F99">
        <f t="shared" si="21"/>
        <v>3.2032293218506751E-2</v>
      </c>
      <c r="G99">
        <f>'2-state flows'!G98</f>
        <v>0.70522279899537288</v>
      </c>
      <c r="H99">
        <f t="shared" si="22"/>
        <v>0.68894376783389699</v>
      </c>
      <c r="I99">
        <f>'2-state flows'!H98</f>
        <v>2.8162705255953449E-2</v>
      </c>
      <c r="J99">
        <f t="shared" si="26"/>
        <v>-4.7651697691823709E-2</v>
      </c>
      <c r="K99">
        <v>0.5</v>
      </c>
      <c r="L99">
        <f t="shared" si="27"/>
        <v>6.8995647704125432E-2</v>
      </c>
      <c r="M99">
        <f t="shared" si="24"/>
        <v>2.9896724004025797E-2</v>
      </c>
      <c r="N99">
        <f t="shared" ref="N99:O99" si="95">AVERAGE(G97:G99)</f>
        <v>0.70177346610151947</v>
      </c>
      <c r="O99">
        <f t="shared" si="95"/>
        <v>0.685272147293011</v>
      </c>
      <c r="P99">
        <f t="shared" si="29"/>
        <v>4.1263297678334358E-2</v>
      </c>
      <c r="Q99">
        <f t="shared" si="30"/>
        <v>3.257502804203577E-2</v>
      </c>
      <c r="R99">
        <f t="shared" si="31"/>
        <v>2.8877249928724202E-2</v>
      </c>
      <c r="U99" s="18">
        <f t="shared" si="65"/>
        <v>27454</v>
      </c>
      <c r="V99">
        <f t="shared" si="58"/>
        <v>8.2411172777088218E-2</v>
      </c>
      <c r="W99" t="e">
        <f t="shared" si="59"/>
        <v>#N/A</v>
      </c>
      <c r="X99">
        <f t="shared" si="60"/>
        <v>8.2411172777088218E-2</v>
      </c>
      <c r="Y99" t="e">
        <f t="shared" si="61"/>
        <v>#N/A</v>
      </c>
      <c r="Z99" t="e">
        <f t="shared" si="62"/>
        <v>#N/A</v>
      </c>
      <c r="AA99">
        <f t="shared" si="63"/>
        <v>2.5990225240235153E-2</v>
      </c>
      <c r="AB99">
        <f t="shared" si="63"/>
        <v>9.9757169999522815E-3</v>
      </c>
    </row>
    <row r="100" spans="1:28" x14ac:dyDescent="0.25">
      <c r="A100" s="18">
        <f t="shared" si="25"/>
        <v>20486</v>
      </c>
      <c r="B100">
        <f>'2-state flows'!B99</f>
        <v>66124</v>
      </c>
      <c r="C100">
        <f>'2-state flows'!C99</f>
        <v>2606</v>
      </c>
      <c r="D100">
        <f>'Composite HWI'!B63*48.35347462</f>
        <v>2175.9063578999999</v>
      </c>
      <c r="E100">
        <f t="shared" si="20"/>
        <v>3.9410803944105018E-2</v>
      </c>
      <c r="F100">
        <f t="shared" si="21"/>
        <v>3.2906453903272639E-2</v>
      </c>
      <c r="G100">
        <f>'2-state flows'!G99</f>
        <v>0.72511871458363186</v>
      </c>
      <c r="H100">
        <f t="shared" si="22"/>
        <v>0.70470371563124756</v>
      </c>
      <c r="I100">
        <f>'2-state flows'!H99</f>
        <v>3.3298847004021651E-2</v>
      </c>
      <c r="J100">
        <f t="shared" si="26"/>
        <v>0.16752417787953799</v>
      </c>
      <c r="K100">
        <v>0.5</v>
      </c>
      <c r="L100">
        <f t="shared" si="27"/>
        <v>0.40404400346320141</v>
      </c>
      <c r="M100">
        <f t="shared" si="24"/>
        <v>2.1968833774288921E-2</v>
      </c>
      <c r="N100">
        <f t="shared" ref="N100:O100" si="96">AVERAGE(G98:G100)</f>
        <v>0.72025183476445331</v>
      </c>
      <c r="O100">
        <f t="shared" si="96"/>
        <v>0.69528335927787754</v>
      </c>
      <c r="P100">
        <f t="shared" si="29"/>
        <v>4.0367695011429762E-2</v>
      </c>
      <c r="Q100">
        <f t="shared" si="30"/>
        <v>3.2804649886004122E-2</v>
      </c>
      <c r="R100">
        <f t="shared" si="31"/>
        <v>2.6756291258770836E-2</v>
      </c>
      <c r="U100" s="18">
        <f t="shared" si="65"/>
        <v>27546</v>
      </c>
      <c r="V100">
        <f t="shared" si="58"/>
        <v>8.8523342535605856E-2</v>
      </c>
      <c r="W100" t="e">
        <f t="shared" si="59"/>
        <v>#N/A</v>
      </c>
      <c r="X100">
        <f t="shared" si="60"/>
        <v>8.8523342535605856E-2</v>
      </c>
      <c r="Y100" t="e">
        <f t="shared" si="61"/>
        <v>#N/A</v>
      </c>
      <c r="Z100" t="e">
        <f t="shared" si="62"/>
        <v>#N/A</v>
      </c>
      <c r="AA100">
        <f t="shared" si="63"/>
        <v>2.5824874091629247E-2</v>
      </c>
      <c r="AB100">
        <f t="shared" si="63"/>
        <v>1.0582775418280651E-2</v>
      </c>
    </row>
    <row r="101" spans="1:28" x14ac:dyDescent="0.25">
      <c r="A101" s="18">
        <f t="shared" si="25"/>
        <v>20515</v>
      </c>
      <c r="B101">
        <f>'2-state flows'!B100</f>
        <v>66175</v>
      </c>
      <c r="C101">
        <f>'2-state flows'!C100</f>
        <v>2764</v>
      </c>
      <c r="D101">
        <f>'Composite HWI'!B64*48.35347462</f>
        <v>2175.9063578999999</v>
      </c>
      <c r="E101">
        <f t="shared" si="20"/>
        <v>4.1768039289761992E-2</v>
      </c>
      <c r="F101">
        <f t="shared" si="21"/>
        <v>3.2881093432565164E-2</v>
      </c>
      <c r="G101">
        <f>'2-state flows'!G100</f>
        <v>0.75662500057111648</v>
      </c>
      <c r="H101">
        <f t="shared" si="22"/>
        <v>0.684265663646768</v>
      </c>
      <c r="I101">
        <f>'2-state flows'!H100</f>
        <v>3.0383179061617919E-2</v>
      </c>
      <c r="J101">
        <f t="shared" si="26"/>
        <v>-9.1633636950634076E-2</v>
      </c>
      <c r="K101">
        <v>0.5</v>
      </c>
      <c r="L101">
        <f t="shared" si="27"/>
        <v>0.22077672956193325</v>
      </c>
      <c r="M101">
        <f t="shared" si="24"/>
        <v>2.6367207431872163E-2</v>
      </c>
      <c r="N101">
        <f t="shared" ref="N101:O101" si="97">AVERAGE(G99:G101)</f>
        <v>0.72898883805004033</v>
      </c>
      <c r="O101">
        <f t="shared" si="97"/>
        <v>0.69263771570397081</v>
      </c>
      <c r="P101">
        <f t="shared" si="29"/>
        <v>4.0439320017616513E-2</v>
      </c>
      <c r="Q101">
        <f t="shared" si="30"/>
        <v>3.2606613518114849E-2</v>
      </c>
      <c r="R101">
        <f t="shared" si="31"/>
        <v>2.6077588403395625E-2</v>
      </c>
      <c r="U101" s="18">
        <f t="shared" si="65"/>
        <v>27638</v>
      </c>
      <c r="V101">
        <f t="shared" si="58"/>
        <v>8.4913317889794684E-2</v>
      </c>
      <c r="W101" t="e">
        <f t="shared" si="59"/>
        <v>#N/A</v>
      </c>
      <c r="X101">
        <f t="shared" si="60"/>
        <v>8.4913317889794684E-2</v>
      </c>
      <c r="Y101" t="e">
        <f t="shared" si="61"/>
        <v>#N/A</v>
      </c>
      <c r="Z101" t="e">
        <f t="shared" si="62"/>
        <v>#N/A</v>
      </c>
      <c r="AA101">
        <f t="shared" si="63"/>
        <v>2.7225904960465317E-2</v>
      </c>
      <c r="AB101">
        <f t="shared" si="63"/>
        <v>1.1559678516329738E-2</v>
      </c>
    </row>
    <row r="102" spans="1:28" x14ac:dyDescent="0.25">
      <c r="A102" s="18">
        <f t="shared" si="25"/>
        <v>20546</v>
      </c>
      <c r="B102">
        <f>'2-state flows'!B101</f>
        <v>66264</v>
      </c>
      <c r="C102">
        <f>'2-state flows'!C101</f>
        <v>2650</v>
      </c>
      <c r="D102">
        <f>'Composite HWI'!B65*48.35347462</f>
        <v>2175.9063578999999</v>
      </c>
      <c r="E102">
        <f t="shared" si="20"/>
        <v>3.9991548955692381E-2</v>
      </c>
      <c r="F102">
        <f t="shared" si="21"/>
        <v>3.2836930428286851E-2</v>
      </c>
      <c r="G102">
        <f>'2-state flows'!G101</f>
        <v>0.65392646740666394</v>
      </c>
      <c r="H102">
        <f t="shared" si="22"/>
        <v>0.69882885688077234</v>
      </c>
      <c r="I102">
        <f>'2-state flows'!H101</f>
        <v>3.1824069558118964E-2</v>
      </c>
      <c r="J102">
        <f t="shared" si="26"/>
        <v>4.6333772889397107E-2</v>
      </c>
      <c r="K102">
        <v>0.5</v>
      </c>
      <c r="L102">
        <f t="shared" si="27"/>
        <v>0.3134442753407275</v>
      </c>
      <c r="M102">
        <f t="shared" si="24"/>
        <v>2.400133693352146E-2</v>
      </c>
      <c r="N102">
        <f t="shared" ref="N102:O102" si="98">AVERAGE(G100:G102)</f>
        <v>0.71189006085380413</v>
      </c>
      <c r="O102">
        <f t="shared" si="98"/>
        <v>0.6959327453862626</v>
      </c>
      <c r="P102">
        <f t="shared" si="29"/>
        <v>4.0390130729853126E-2</v>
      </c>
      <c r="Q102">
        <f t="shared" si="30"/>
        <v>3.2874825921374883E-2</v>
      </c>
      <c r="R102">
        <f t="shared" si="31"/>
        <v>2.4112459379894185E-2</v>
      </c>
      <c r="U102" s="18">
        <f t="shared" si="65"/>
        <v>27729</v>
      </c>
      <c r="V102">
        <f t="shared" si="58"/>
        <v>8.2831242149937423E-2</v>
      </c>
      <c r="W102" t="e">
        <f t="shared" si="59"/>
        <v>#N/A</v>
      </c>
      <c r="X102">
        <f t="shared" si="60"/>
        <v>8.2831242149937423E-2</v>
      </c>
      <c r="Y102" t="e">
        <f t="shared" si="61"/>
        <v>#N/A</v>
      </c>
      <c r="Z102" t="e">
        <f t="shared" si="62"/>
        <v>#N/A</v>
      </c>
      <c r="AA102">
        <f t="shared" si="63"/>
        <v>2.8370099180030306E-2</v>
      </c>
      <c r="AB102">
        <f t="shared" si="63"/>
        <v>1.3476131101515271E-2</v>
      </c>
    </row>
    <row r="103" spans="1:28" x14ac:dyDescent="0.25">
      <c r="A103" s="18">
        <f t="shared" si="25"/>
        <v>20576</v>
      </c>
      <c r="B103">
        <f>'2-state flows'!B102</f>
        <v>66722</v>
      </c>
      <c r="C103">
        <f>'2-state flows'!C102</f>
        <v>2861</v>
      </c>
      <c r="D103">
        <f>'Composite HWI'!B66*48.35347462</f>
        <v>2175.9063578999999</v>
      </c>
      <c r="E103">
        <f t="shared" si="20"/>
        <v>4.2879410089625612E-2</v>
      </c>
      <c r="F103">
        <f t="shared" si="21"/>
        <v>3.2611527800425644E-2</v>
      </c>
      <c r="G103">
        <f>'2-state flows'!G102</f>
        <v>0.73126399432145539</v>
      </c>
      <c r="H103">
        <f t="shared" si="22"/>
        <v>0.67256589061026362</v>
      </c>
      <c r="I103">
        <f>'2-state flows'!H102</f>
        <v>3.3231337677941473E-2</v>
      </c>
      <c r="J103">
        <f t="shared" si="26"/>
        <v>4.327042886356669E-2</v>
      </c>
      <c r="K103">
        <v>0.5</v>
      </c>
      <c r="L103">
        <f t="shared" si="27"/>
        <v>0.39998513306786088</v>
      </c>
      <c r="M103">
        <f t="shared" si="24"/>
        <v>2.1860485812417098E-2</v>
      </c>
      <c r="N103">
        <f t="shared" ref="N103:O103" si="99">AVERAGE(G101:G103)</f>
        <v>0.71393848743307853</v>
      </c>
      <c r="O103">
        <f t="shared" si="99"/>
        <v>0.68522013704593476</v>
      </c>
      <c r="P103">
        <f t="shared" si="29"/>
        <v>4.154633277836E-2</v>
      </c>
      <c r="Q103">
        <f t="shared" si="30"/>
        <v>3.2776517220425884E-2</v>
      </c>
      <c r="R103">
        <f t="shared" si="31"/>
        <v>2.4076343392603571E-2</v>
      </c>
      <c r="U103" s="18">
        <f t="shared" si="65"/>
        <v>27820</v>
      </c>
      <c r="V103">
        <f t="shared" si="58"/>
        <v>7.7470408200347826E-2</v>
      </c>
      <c r="W103" t="e">
        <f t="shared" si="59"/>
        <v>#N/A</v>
      </c>
      <c r="X103">
        <f t="shared" si="60"/>
        <v>7.7470408200347826E-2</v>
      </c>
      <c r="Y103" t="e">
        <f t="shared" si="61"/>
        <v>#N/A</v>
      </c>
      <c r="Z103" t="e">
        <f t="shared" si="62"/>
        <v>#N/A</v>
      </c>
      <c r="AA103">
        <f t="shared" si="63"/>
        <v>3.0183282243165455E-2</v>
      </c>
      <c r="AB103">
        <f t="shared" si="63"/>
        <v>1.3917087253570741E-2</v>
      </c>
    </row>
    <row r="104" spans="1:28" x14ac:dyDescent="0.25">
      <c r="A104" s="18">
        <f t="shared" si="25"/>
        <v>20607</v>
      </c>
      <c r="B104">
        <f>'2-state flows'!B103</f>
        <v>66702</v>
      </c>
      <c r="C104">
        <f>'2-state flows'!C103</f>
        <v>2882</v>
      </c>
      <c r="D104">
        <f>'Composite HWI'!B67*48.35347462</f>
        <v>2127.5528832800001</v>
      </c>
      <c r="E104">
        <f t="shared" ref="E104:E167" si="100">C104/B104</f>
        <v>4.3207100236874456E-2</v>
      </c>
      <c r="F104">
        <f t="shared" ref="F104:F167" si="101">D104/B104</f>
        <v>3.1896388163473358E-2</v>
      </c>
      <c r="G104">
        <f>'2-state flows'!G103</f>
        <v>0.66441743442153522</v>
      </c>
      <c r="H104">
        <f t="shared" ref="H104:H167" si="102">0.771211801*(F104/E104)^0.5</f>
        <v>0.6626235397685013</v>
      </c>
      <c r="I104">
        <f>'2-state flows'!H103</f>
        <v>3.1526352794215513E-2</v>
      </c>
      <c r="J104">
        <f t="shared" si="26"/>
        <v>-5.266954396399836E-2</v>
      </c>
      <c r="K104">
        <v>0.5</v>
      </c>
      <c r="L104">
        <f t="shared" si="27"/>
        <v>0.29464604513986414</v>
      </c>
      <c r="M104">
        <f t="shared" ref="M104:M167" si="103">F104/EXP(L104)</f>
        <v>2.3756275675048E-2</v>
      </c>
      <c r="N104">
        <f t="shared" ref="N104:O104" si="104">AVERAGE(G102:G104)</f>
        <v>0.68320263204988496</v>
      </c>
      <c r="O104">
        <f t="shared" si="104"/>
        <v>0.67800609575317905</v>
      </c>
      <c r="P104">
        <f t="shared" si="29"/>
        <v>4.2026019760730816E-2</v>
      </c>
      <c r="Q104">
        <f t="shared" si="30"/>
        <v>3.2448282130728617E-2</v>
      </c>
      <c r="R104">
        <f t="shared" si="31"/>
        <v>2.3206032806995517E-2</v>
      </c>
      <c r="U104" s="18">
        <f t="shared" si="65"/>
        <v>27912</v>
      </c>
      <c r="V104">
        <f t="shared" si="58"/>
        <v>7.5501686581322378E-2</v>
      </c>
      <c r="W104" t="e">
        <f t="shared" si="59"/>
        <v>#N/A</v>
      </c>
      <c r="X104">
        <f t="shared" si="60"/>
        <v>7.5501686581322378E-2</v>
      </c>
      <c r="Y104" t="e">
        <f t="shared" si="61"/>
        <v>#N/A</v>
      </c>
      <c r="Z104" t="e">
        <f t="shared" si="62"/>
        <v>#N/A</v>
      </c>
      <c r="AA104">
        <f t="shared" si="63"/>
        <v>3.0948322647561494E-2</v>
      </c>
      <c r="AB104">
        <f t="shared" si="63"/>
        <v>1.3899615101532405E-2</v>
      </c>
    </row>
    <row r="105" spans="1:28" x14ac:dyDescent="0.25">
      <c r="A105" s="18">
        <f t="shared" ref="A105:A168" si="105">DATE(YEAR(A104),MONTH(A104)+1,1)</f>
        <v>20637</v>
      </c>
      <c r="B105">
        <f>'2-state flows'!B104</f>
        <v>66752</v>
      </c>
      <c r="C105">
        <f>'2-state flows'!C104</f>
        <v>2952</v>
      </c>
      <c r="D105">
        <f>'Composite HWI'!B68*48.35347462</f>
        <v>2030.84593404</v>
      </c>
      <c r="E105">
        <f t="shared" si="100"/>
        <v>4.4223394055608822E-2</v>
      </c>
      <c r="F105">
        <f t="shared" si="101"/>
        <v>3.0423746614932884E-2</v>
      </c>
      <c r="G105">
        <f>'2-state flows'!G104</f>
        <v>0.8010704473000404</v>
      </c>
      <c r="H105">
        <f t="shared" si="102"/>
        <v>0.639667047819094</v>
      </c>
      <c r="I105">
        <f>'2-state flows'!H104</f>
        <v>3.1269202150017113E-2</v>
      </c>
      <c r="J105">
        <f t="shared" ref="J105:J168" si="106">LN(I105/I104)</f>
        <v>-8.1901364471286316E-3</v>
      </c>
      <c r="K105">
        <v>0.5</v>
      </c>
      <c r="L105">
        <f t="shared" si="27"/>
        <v>0.27826577224560689</v>
      </c>
      <c r="M105">
        <f t="shared" si="103"/>
        <v>2.3033684082540081E-2</v>
      </c>
      <c r="N105">
        <f t="shared" ref="N105:O105" si="107">AVERAGE(G103:G105)</f>
        <v>0.73225062534767693</v>
      </c>
      <c r="O105">
        <f t="shared" si="107"/>
        <v>0.6582854927326196</v>
      </c>
      <c r="P105">
        <f t="shared" si="29"/>
        <v>4.343663479403629E-2</v>
      </c>
      <c r="Q105">
        <f t="shared" si="30"/>
        <v>3.1643887526277295E-2</v>
      </c>
      <c r="R105">
        <f t="shared" si="31"/>
        <v>2.2883481856668397E-2</v>
      </c>
      <c r="U105" s="18">
        <f t="shared" si="65"/>
        <v>28004</v>
      </c>
      <c r="V105">
        <f t="shared" si="58"/>
        <v>7.7232413024956162E-2</v>
      </c>
      <c r="W105" t="e">
        <f t="shared" si="59"/>
        <v>#N/A</v>
      </c>
      <c r="X105">
        <f t="shared" si="60"/>
        <v>7.7232413024956162E-2</v>
      </c>
      <c r="Y105" t="e">
        <f t="shared" si="61"/>
        <v>#N/A</v>
      </c>
      <c r="Z105" t="e">
        <f t="shared" si="62"/>
        <v>#N/A</v>
      </c>
      <c r="AA105">
        <f t="shared" si="63"/>
        <v>3.0859167719701448E-2</v>
      </c>
      <c r="AB105">
        <f t="shared" si="63"/>
        <v>1.3235297200554066E-2</v>
      </c>
    </row>
    <row r="106" spans="1:28" x14ac:dyDescent="0.25">
      <c r="A106" s="18">
        <f t="shared" si="105"/>
        <v>20668</v>
      </c>
      <c r="B106">
        <f>'2-state flows'!B105</f>
        <v>66673</v>
      </c>
      <c r="C106">
        <f>'2-state flows'!C105</f>
        <v>2701</v>
      </c>
      <c r="D106">
        <f>'Composite HWI'!B69*48.35347462</f>
        <v>2079.1994086599998</v>
      </c>
      <c r="E106">
        <f t="shared" si="100"/>
        <v>4.0511151440613138E-2</v>
      </c>
      <c r="F106">
        <f t="shared" si="101"/>
        <v>3.1185028552187539E-2</v>
      </c>
      <c r="G106">
        <f>'2-state flows'!G105</f>
        <v>0.747543552213773</v>
      </c>
      <c r="H106">
        <f t="shared" si="102"/>
        <v>0.67664277026809061</v>
      </c>
      <c r="I106">
        <f>'2-state flows'!H105</f>
        <v>3.0078172251610556E-2</v>
      </c>
      <c r="J106">
        <f t="shared" si="106"/>
        <v>-3.8833921950688993E-2</v>
      </c>
      <c r="K106">
        <v>0.5</v>
      </c>
      <c r="L106">
        <f t="shared" ref="L106:L169" si="108">L105+J106/(1-K106)</f>
        <v>0.2005979283442289</v>
      </c>
      <c r="M106">
        <f t="shared" si="103"/>
        <v>2.5516880083147751E-2</v>
      </c>
      <c r="N106">
        <f t="shared" ref="N106:O106" si="109">AVERAGE(G104:G106)</f>
        <v>0.73767714464511636</v>
      </c>
      <c r="O106">
        <f t="shared" si="109"/>
        <v>0.65964445261856197</v>
      </c>
      <c r="P106">
        <f t="shared" ref="P106:P169" si="110">AVERAGE(E104:E106)</f>
        <v>4.2647215244365468E-2</v>
      </c>
      <c r="Q106">
        <f t="shared" ref="Q106:Q169" si="111">AVERAGE(F104:F106)</f>
        <v>3.1168387776864592E-2</v>
      </c>
      <c r="R106">
        <f t="shared" ref="R106:R169" si="112">AVERAGE(M104:M106)</f>
        <v>2.4102279946911942E-2</v>
      </c>
      <c r="U106" s="18">
        <f t="shared" si="65"/>
        <v>28095</v>
      </c>
      <c r="V106">
        <f t="shared" si="58"/>
        <v>7.7563124416127588E-2</v>
      </c>
      <c r="W106" t="e">
        <f t="shared" si="59"/>
        <v>#N/A</v>
      </c>
      <c r="X106">
        <f t="shared" si="60"/>
        <v>7.7563124416127588E-2</v>
      </c>
      <c r="Y106" t="e">
        <f t="shared" si="61"/>
        <v>#N/A</v>
      </c>
      <c r="Z106" t="e">
        <f t="shared" si="62"/>
        <v>#N/A</v>
      </c>
      <c r="AA106">
        <f t="shared" si="63"/>
        <v>3.1867878867521959E-2</v>
      </c>
      <c r="AB106">
        <f t="shared" si="63"/>
        <v>1.423398143526663E-2</v>
      </c>
    </row>
    <row r="107" spans="1:28" x14ac:dyDescent="0.25">
      <c r="A107" s="18">
        <f t="shared" si="105"/>
        <v>20699</v>
      </c>
      <c r="B107">
        <f>'2-state flows'!B106</f>
        <v>66714</v>
      </c>
      <c r="C107">
        <f>'2-state flows'!C106</f>
        <v>2635</v>
      </c>
      <c r="D107">
        <f>'Composite HWI'!B70*48.35347462</f>
        <v>2079.1994086599998</v>
      </c>
      <c r="E107">
        <f t="shared" si="100"/>
        <v>3.9496957160416103E-2</v>
      </c>
      <c r="F107">
        <f t="shared" si="101"/>
        <v>3.1165863366909491E-2</v>
      </c>
      <c r="G107">
        <f>'2-state flows'!G106</f>
        <v>0.74414090931541899</v>
      </c>
      <c r="H107">
        <f t="shared" si="102"/>
        <v>0.68506444510210807</v>
      </c>
      <c r="I107">
        <f>'2-state flows'!H106</f>
        <v>2.9165677943727524E-2</v>
      </c>
      <c r="J107">
        <f t="shared" si="106"/>
        <v>-3.0807129274942089E-2</v>
      </c>
      <c r="K107">
        <v>0.5</v>
      </c>
      <c r="L107">
        <f t="shared" si="108"/>
        <v>0.13898366979434473</v>
      </c>
      <c r="M107">
        <f t="shared" si="103"/>
        <v>2.7121850734768794E-2</v>
      </c>
      <c r="N107">
        <f t="shared" ref="N107:O107" si="113">AVERAGE(G105:G107)</f>
        <v>0.76425163627641091</v>
      </c>
      <c r="O107">
        <f t="shared" si="113"/>
        <v>0.66712475439643093</v>
      </c>
      <c r="P107">
        <f t="shared" si="110"/>
        <v>4.1410500885546021E-2</v>
      </c>
      <c r="Q107">
        <f t="shared" si="111"/>
        <v>3.0924879511343303E-2</v>
      </c>
      <c r="R107">
        <f t="shared" si="112"/>
        <v>2.5224138300152205E-2</v>
      </c>
      <c r="U107" s="18">
        <f t="shared" si="65"/>
        <v>28185</v>
      </c>
      <c r="V107">
        <f t="shared" si="58"/>
        <v>7.516025197061553E-2</v>
      </c>
      <c r="W107" t="e">
        <f t="shared" si="59"/>
        <v>#N/A</v>
      </c>
      <c r="X107">
        <f t="shared" si="60"/>
        <v>7.516025197061553E-2</v>
      </c>
      <c r="Y107" t="e">
        <f t="shared" si="61"/>
        <v>#N/A</v>
      </c>
      <c r="Z107" t="e">
        <f t="shared" si="62"/>
        <v>#N/A</v>
      </c>
      <c r="AA107">
        <f t="shared" si="63"/>
        <v>3.3982541312268175E-2</v>
      </c>
      <c r="AB107">
        <f t="shared" si="63"/>
        <v>1.3513853157929169E-2</v>
      </c>
    </row>
    <row r="108" spans="1:28" x14ac:dyDescent="0.25">
      <c r="A108" s="18">
        <f t="shared" si="105"/>
        <v>20729</v>
      </c>
      <c r="B108">
        <f>'2-state flows'!B107</f>
        <v>66546</v>
      </c>
      <c r="C108">
        <f>'2-state flows'!C107</f>
        <v>2571</v>
      </c>
      <c r="D108">
        <f>'Composite HWI'!B71*48.35347462</f>
        <v>2175.9063578999999</v>
      </c>
      <c r="E108">
        <f t="shared" si="100"/>
        <v>3.8634929221891622E-2</v>
      </c>
      <c r="F108">
        <f t="shared" si="101"/>
        <v>3.269777834730863E-2</v>
      </c>
      <c r="G108">
        <f>'2-state flows'!G107</f>
        <v>0.622211429114639</v>
      </c>
      <c r="H108">
        <f t="shared" si="102"/>
        <v>0.70948420072556606</v>
      </c>
      <c r="I108">
        <f>'2-state flows'!H107</f>
        <v>3.117923840609926E-2</v>
      </c>
      <c r="J108">
        <f t="shared" si="106"/>
        <v>6.6759832564211516E-2</v>
      </c>
      <c r="K108">
        <v>0.5</v>
      </c>
      <c r="L108">
        <f t="shared" si="108"/>
        <v>0.27250333492276779</v>
      </c>
      <c r="M108">
        <f t="shared" si="103"/>
        <v>2.4898406370135136E-2</v>
      </c>
      <c r="N108">
        <f t="shared" ref="N108:O108" si="114">AVERAGE(G106:G108)</f>
        <v>0.70463196354794366</v>
      </c>
      <c r="O108">
        <f t="shared" si="114"/>
        <v>0.69039713869858821</v>
      </c>
      <c r="P108">
        <f t="shared" si="110"/>
        <v>3.9547679274306961E-2</v>
      </c>
      <c r="Q108">
        <f t="shared" si="111"/>
        <v>3.1682890088801881E-2</v>
      </c>
      <c r="R108">
        <f t="shared" si="112"/>
        <v>2.5845712396017229E-2</v>
      </c>
      <c r="U108" s="18">
        <f t="shared" si="65"/>
        <v>28277</v>
      </c>
      <c r="V108">
        <f t="shared" si="58"/>
        <v>7.1275650869110793E-2</v>
      </c>
      <c r="W108" t="e">
        <f t="shared" si="59"/>
        <v>#N/A</v>
      </c>
      <c r="X108">
        <f t="shared" si="60"/>
        <v>7.1275650869110793E-2</v>
      </c>
      <c r="Y108" t="e">
        <f t="shared" si="61"/>
        <v>#N/A</v>
      </c>
      <c r="Z108" t="e">
        <f t="shared" si="62"/>
        <v>#N/A</v>
      </c>
      <c r="AA108">
        <f t="shared" si="63"/>
        <v>3.6089512637449327E-2</v>
      </c>
      <c r="AB108">
        <f t="shared" si="63"/>
        <v>1.5688501163003677E-2</v>
      </c>
    </row>
    <row r="109" spans="1:28" x14ac:dyDescent="0.25">
      <c r="A109" s="18">
        <f t="shared" si="105"/>
        <v>20760</v>
      </c>
      <c r="B109">
        <f>'2-state flows'!B108</f>
        <v>66657</v>
      </c>
      <c r="C109">
        <f>'2-state flows'!C108</f>
        <v>2861</v>
      </c>
      <c r="D109">
        <f>'Composite HWI'!B72*48.35347462</f>
        <v>2175.9063578999999</v>
      </c>
      <c r="E109">
        <f t="shared" si="100"/>
        <v>4.2921223577418725E-2</v>
      </c>
      <c r="F109">
        <f t="shared" si="101"/>
        <v>3.2643328651154414E-2</v>
      </c>
      <c r="G109">
        <f>'2-state flows'!G108</f>
        <v>0.75552097196701551</v>
      </c>
      <c r="H109">
        <f t="shared" si="102"/>
        <v>0.67256589061026362</v>
      </c>
      <c r="I109">
        <f>'2-state flows'!H108</f>
        <v>3.2273876217129148E-2</v>
      </c>
      <c r="J109">
        <f t="shared" si="106"/>
        <v>3.4505679524599174E-2</v>
      </c>
      <c r="K109">
        <v>0.5</v>
      </c>
      <c r="L109">
        <f t="shared" si="108"/>
        <v>0.34151469397196615</v>
      </c>
      <c r="M109">
        <f t="shared" si="103"/>
        <v>2.3199385973398452E-2</v>
      </c>
      <c r="N109">
        <f t="shared" ref="N109:O109" si="115">AVERAGE(G107:G109)</f>
        <v>0.70729110346569113</v>
      </c>
      <c r="O109">
        <f t="shared" si="115"/>
        <v>0.68903817881264595</v>
      </c>
      <c r="P109">
        <f t="shared" si="110"/>
        <v>4.0351036653242155E-2</v>
      </c>
      <c r="Q109">
        <f t="shared" si="111"/>
        <v>3.2168990121790843E-2</v>
      </c>
      <c r="R109">
        <f t="shared" si="112"/>
        <v>2.5073214359434128E-2</v>
      </c>
      <c r="U109" s="18">
        <f t="shared" si="65"/>
        <v>28369</v>
      </c>
      <c r="V109">
        <f t="shared" si="58"/>
        <v>6.8871208994462543E-2</v>
      </c>
      <c r="W109" t="e">
        <f t="shared" si="59"/>
        <v>#N/A</v>
      </c>
      <c r="X109">
        <f t="shared" si="60"/>
        <v>6.8871208994462543E-2</v>
      </c>
      <c r="Y109" t="e">
        <f t="shared" si="61"/>
        <v>#N/A</v>
      </c>
      <c r="Z109" t="e">
        <f t="shared" si="62"/>
        <v>#N/A</v>
      </c>
      <c r="AA109">
        <f t="shared" si="63"/>
        <v>3.8002486674213208E-2</v>
      </c>
      <c r="AB109">
        <f t="shared" si="63"/>
        <v>1.6982197956067282E-2</v>
      </c>
    </row>
    <row r="110" spans="1:28" x14ac:dyDescent="0.25">
      <c r="A110" s="18">
        <f t="shared" si="105"/>
        <v>20790</v>
      </c>
      <c r="B110">
        <f>'2-state flows'!B109</f>
        <v>66700</v>
      </c>
      <c r="C110">
        <f>'2-state flows'!C109</f>
        <v>2790</v>
      </c>
      <c r="D110">
        <f>'Composite HWI'!B73*48.35347462</f>
        <v>2079.1994086599998</v>
      </c>
      <c r="E110">
        <f t="shared" si="100"/>
        <v>4.1829085457271362E-2</v>
      </c>
      <c r="F110">
        <f t="shared" si="101"/>
        <v>3.1172404927436278E-2</v>
      </c>
      <c r="G110">
        <f>'2-state flows'!G109</f>
        <v>0.67327427672555884</v>
      </c>
      <c r="H110">
        <f t="shared" si="102"/>
        <v>0.66576297070988033</v>
      </c>
      <c r="I110">
        <f>'2-state flows'!H109</f>
        <v>2.9522587623490505E-2</v>
      </c>
      <c r="J110">
        <f t="shared" si="106"/>
        <v>-8.9102464624522329E-2</v>
      </c>
      <c r="K110">
        <v>0.5</v>
      </c>
      <c r="L110">
        <f t="shared" si="108"/>
        <v>0.1633097647229215</v>
      </c>
      <c r="M110">
        <f t="shared" si="103"/>
        <v>2.6475598071387288E-2</v>
      </c>
      <c r="N110">
        <f t="shared" ref="N110:O110" si="116">AVERAGE(G108:G110)</f>
        <v>0.68366889260240438</v>
      </c>
      <c r="O110">
        <f t="shared" si="116"/>
        <v>0.68260435401523667</v>
      </c>
      <c r="P110">
        <f t="shared" si="110"/>
        <v>4.1128412752193901E-2</v>
      </c>
      <c r="Q110">
        <f t="shared" si="111"/>
        <v>3.2171170641966444E-2</v>
      </c>
      <c r="R110">
        <f t="shared" si="112"/>
        <v>2.4857796804973627E-2</v>
      </c>
      <c r="U110" s="18">
        <f t="shared" si="65"/>
        <v>28460</v>
      </c>
      <c r="V110">
        <f t="shared" si="58"/>
        <v>6.6354343639359339E-2</v>
      </c>
      <c r="W110" t="e">
        <f t="shared" si="59"/>
        <v>#N/A</v>
      </c>
      <c r="X110">
        <f t="shared" si="60"/>
        <v>6.6354343639359339E-2</v>
      </c>
      <c r="Y110" t="e">
        <f t="shared" si="61"/>
        <v>#N/A</v>
      </c>
      <c r="Z110" t="e">
        <f t="shared" si="62"/>
        <v>#N/A</v>
      </c>
      <c r="AA110">
        <f t="shared" si="63"/>
        <v>4.097718692272391E-2</v>
      </c>
      <c r="AB110">
        <f t="shared" si="63"/>
        <v>1.9309622090161942E-2</v>
      </c>
    </row>
    <row r="111" spans="1:28" x14ac:dyDescent="0.25">
      <c r="A111" s="18">
        <f t="shared" si="105"/>
        <v>20821</v>
      </c>
      <c r="B111">
        <f>'2-state flows'!B110</f>
        <v>66428</v>
      </c>
      <c r="C111">
        <f>'2-state flows'!C110</f>
        <v>2796</v>
      </c>
      <c r="D111">
        <f>'Composite HWI'!B74*48.35347462</f>
        <v>2175.9063578999999</v>
      </c>
      <c r="E111">
        <f t="shared" si="100"/>
        <v>4.2090684651050765E-2</v>
      </c>
      <c r="F111">
        <f t="shared" si="101"/>
        <v>3.2755861352140661E-2</v>
      </c>
      <c r="G111">
        <f>'2-state flows'!G110</f>
        <v>0.74376304464045551</v>
      </c>
      <c r="H111">
        <f t="shared" si="102"/>
        <v>0.68033871206006147</v>
      </c>
      <c r="I111">
        <f>'2-state flows'!H110</f>
        <v>2.875571756015852E-2</v>
      </c>
      <c r="J111">
        <f t="shared" si="106"/>
        <v>-2.6319033384261177E-2</v>
      </c>
      <c r="K111">
        <v>0.5</v>
      </c>
      <c r="L111">
        <f t="shared" si="108"/>
        <v>0.11067169795439914</v>
      </c>
      <c r="M111">
        <f t="shared" si="103"/>
        <v>2.9324115165435427E-2</v>
      </c>
      <c r="N111">
        <f t="shared" ref="N111:O111" si="117">AVERAGE(G109:G111)</f>
        <v>0.72418609777767662</v>
      </c>
      <c r="O111">
        <f t="shared" si="117"/>
        <v>0.67288919112673506</v>
      </c>
      <c r="P111">
        <f t="shared" si="110"/>
        <v>4.2280331228580277E-2</v>
      </c>
      <c r="Q111">
        <f t="shared" si="111"/>
        <v>3.2190531643577117E-2</v>
      </c>
      <c r="R111">
        <f t="shared" si="112"/>
        <v>2.633303307007372E-2</v>
      </c>
      <c r="U111" s="18">
        <f t="shared" si="65"/>
        <v>28550</v>
      </c>
      <c r="V111">
        <f t="shared" si="58"/>
        <v>6.3223153475762017E-2</v>
      </c>
      <c r="W111" t="e">
        <f t="shared" si="59"/>
        <v>#N/A</v>
      </c>
      <c r="X111">
        <f t="shared" si="60"/>
        <v>6.3223153475762017E-2</v>
      </c>
      <c r="Y111" t="e">
        <f t="shared" si="61"/>
        <v>#N/A</v>
      </c>
      <c r="Z111" t="e">
        <f t="shared" si="62"/>
        <v>#N/A</v>
      </c>
      <c r="AA111">
        <f t="shared" si="63"/>
        <v>4.279551288050714E-2</v>
      </c>
      <c r="AB111">
        <f t="shared" si="63"/>
        <v>2.0451607316349509E-2</v>
      </c>
    </row>
    <row r="112" spans="1:28" x14ac:dyDescent="0.25">
      <c r="A112" s="18">
        <f t="shared" si="105"/>
        <v>20852</v>
      </c>
      <c r="B112">
        <f>'2-state flows'!B111</f>
        <v>66879</v>
      </c>
      <c r="C112">
        <f>'2-state flows'!C111</f>
        <v>2622</v>
      </c>
      <c r="D112">
        <f>'Composite HWI'!B75*48.35347462</f>
        <v>2079.1994086599998</v>
      </c>
      <c r="E112">
        <f t="shared" si="100"/>
        <v>3.920513165567667E-2</v>
      </c>
      <c r="F112">
        <f t="shared" si="101"/>
        <v>3.1088972751685876E-2</v>
      </c>
      <c r="G112">
        <f>'2-state flows'!G111</f>
        <v>0.72649652932647391</v>
      </c>
      <c r="H112">
        <f t="shared" si="102"/>
        <v>0.68676063621123518</v>
      </c>
      <c r="I112">
        <f>'2-state flows'!H111</f>
        <v>2.7140933408777421E-2</v>
      </c>
      <c r="J112">
        <f t="shared" si="106"/>
        <v>-5.779357294870089E-2</v>
      </c>
      <c r="K112">
        <v>0.5</v>
      </c>
      <c r="L112">
        <f t="shared" si="108"/>
        <v>-4.9154479430026377E-3</v>
      </c>
      <c r="M112">
        <f t="shared" si="103"/>
        <v>3.1242165175091395E-2</v>
      </c>
      <c r="N112">
        <f t="shared" ref="N112:O112" si="118">AVERAGE(G110:G112)</f>
        <v>0.71451128356416271</v>
      </c>
      <c r="O112">
        <f t="shared" si="118"/>
        <v>0.6776207729937257</v>
      </c>
      <c r="P112">
        <f t="shared" si="110"/>
        <v>4.1041633921332935E-2</v>
      </c>
      <c r="Q112">
        <f t="shared" si="111"/>
        <v>3.1672413010420938E-2</v>
      </c>
      <c r="R112">
        <f t="shared" si="112"/>
        <v>2.9013959470638034E-2</v>
      </c>
      <c r="U112" s="18">
        <f t="shared" si="65"/>
        <v>28642</v>
      </c>
      <c r="V112">
        <f t="shared" si="58"/>
        <v>5.9952047181341638E-2</v>
      </c>
      <c r="W112" t="e">
        <f t="shared" si="59"/>
        <v>#N/A</v>
      </c>
      <c r="X112">
        <f t="shared" si="60"/>
        <v>5.9952047181341638E-2</v>
      </c>
      <c r="Y112" t="e">
        <f t="shared" si="61"/>
        <v>#N/A</v>
      </c>
      <c r="Z112" t="e">
        <f t="shared" si="62"/>
        <v>#N/A</v>
      </c>
      <c r="AA112">
        <f t="shared" si="63"/>
        <v>4.5849406797075186E-2</v>
      </c>
      <c r="AB112">
        <f t="shared" si="63"/>
        <v>2.029371129852341E-2</v>
      </c>
    </row>
    <row r="113" spans="1:28" x14ac:dyDescent="0.25">
      <c r="A113" s="18">
        <f t="shared" si="105"/>
        <v>20880</v>
      </c>
      <c r="B113">
        <f>'2-state flows'!B112</f>
        <v>66913</v>
      </c>
      <c r="C113">
        <f>'2-state flows'!C112</f>
        <v>2509</v>
      </c>
      <c r="D113">
        <f>'Composite HWI'!B76*48.35347462</f>
        <v>2030.84593404</v>
      </c>
      <c r="E113">
        <f t="shared" si="100"/>
        <v>3.749645061497766E-2</v>
      </c>
      <c r="F113">
        <f t="shared" si="101"/>
        <v>3.0350543751438433E-2</v>
      </c>
      <c r="G113">
        <f>'2-state flows'!G112</f>
        <v>0.68481214520480171</v>
      </c>
      <c r="H113">
        <f t="shared" si="102"/>
        <v>0.69384398022540517</v>
      </c>
      <c r="I113">
        <f>'2-state flows'!H112</f>
        <v>2.8654807837388836E-2</v>
      </c>
      <c r="J113">
        <f t="shared" si="106"/>
        <v>5.4278195725097358E-2</v>
      </c>
      <c r="K113">
        <v>0.5</v>
      </c>
      <c r="L113">
        <f t="shared" si="108"/>
        <v>0.10364094350719208</v>
      </c>
      <c r="M113">
        <f t="shared" si="103"/>
        <v>2.7362500739238151E-2</v>
      </c>
      <c r="N113">
        <f t="shared" ref="N113:O113" si="119">AVERAGE(G111:G113)</f>
        <v>0.71835723972391052</v>
      </c>
      <c r="O113">
        <f t="shared" si="119"/>
        <v>0.68698110949890057</v>
      </c>
      <c r="P113">
        <f t="shared" si="110"/>
        <v>3.9597422307235036E-2</v>
      </c>
      <c r="Q113">
        <f t="shared" si="111"/>
        <v>3.1398459285088325E-2</v>
      </c>
      <c r="R113">
        <f t="shared" si="112"/>
        <v>2.930959369325499E-2</v>
      </c>
      <c r="U113" s="18">
        <f t="shared" si="65"/>
        <v>28734</v>
      </c>
      <c r="V113">
        <f t="shared" si="58"/>
        <v>6.0169082689846186E-2</v>
      </c>
      <c r="W113" t="e">
        <f t="shared" si="59"/>
        <v>#N/A</v>
      </c>
      <c r="X113">
        <f t="shared" si="60"/>
        <v>6.0169082689846186E-2</v>
      </c>
      <c r="Y113" t="e">
        <f t="shared" si="61"/>
        <v>#N/A</v>
      </c>
      <c r="Z113" t="e">
        <f t="shared" si="62"/>
        <v>#N/A</v>
      </c>
      <c r="AA113">
        <f t="shared" si="63"/>
        <v>4.6041952621136389E-2</v>
      </c>
      <c r="AB113">
        <f t="shared" si="63"/>
        <v>2.0789699813285153E-2</v>
      </c>
    </row>
    <row r="114" spans="1:28" x14ac:dyDescent="0.25">
      <c r="A114" s="18">
        <f t="shared" si="105"/>
        <v>20911</v>
      </c>
      <c r="B114">
        <f>'2-state flows'!B113</f>
        <v>66647</v>
      </c>
      <c r="C114">
        <f>'2-state flows'!C113</f>
        <v>2600</v>
      </c>
      <c r="D114">
        <f>'Composite HWI'!B77*48.35347462</f>
        <v>1934.1389847999999</v>
      </c>
      <c r="E114">
        <f t="shared" si="100"/>
        <v>3.9011508394976517E-2</v>
      </c>
      <c r="F114">
        <f t="shared" si="101"/>
        <v>2.9020645862529445E-2</v>
      </c>
      <c r="G114">
        <f>'2-state flows'!G113</f>
        <v>0.70319751641344674</v>
      </c>
      <c r="H114">
        <f t="shared" si="102"/>
        <v>0.66516720954294561</v>
      </c>
      <c r="I114">
        <f>'2-state flows'!H113</f>
        <v>3.0970847059237194E-2</v>
      </c>
      <c r="J114">
        <f t="shared" si="106"/>
        <v>7.7725102666177381E-2</v>
      </c>
      <c r="K114">
        <v>0.5</v>
      </c>
      <c r="L114">
        <f t="shared" si="108"/>
        <v>0.25909114883954687</v>
      </c>
      <c r="M114">
        <f t="shared" si="103"/>
        <v>2.2396761088475183E-2</v>
      </c>
      <c r="N114">
        <f t="shared" ref="N114:O114" si="120">AVERAGE(G112:G114)</f>
        <v>0.70483539698157427</v>
      </c>
      <c r="O114">
        <f t="shared" si="120"/>
        <v>0.68192394199319528</v>
      </c>
      <c r="P114">
        <f t="shared" si="110"/>
        <v>3.8571030221876947E-2</v>
      </c>
      <c r="Q114">
        <f t="shared" si="111"/>
        <v>3.0153387455217919E-2</v>
      </c>
      <c r="R114">
        <f t="shared" si="112"/>
        <v>2.7000475667601578E-2</v>
      </c>
      <c r="U114" s="18">
        <f t="shared" si="65"/>
        <v>28825</v>
      </c>
      <c r="V114">
        <f t="shared" si="58"/>
        <v>5.8789225574561267E-2</v>
      </c>
      <c r="W114" t="e">
        <f t="shared" si="59"/>
        <v>#N/A</v>
      </c>
      <c r="X114">
        <f t="shared" si="60"/>
        <v>5.8789225574561267E-2</v>
      </c>
      <c r="Y114" t="e">
        <f t="shared" si="61"/>
        <v>#N/A</v>
      </c>
      <c r="Z114" t="e">
        <f t="shared" si="62"/>
        <v>#N/A</v>
      </c>
      <c r="AA114">
        <f t="shared" si="63"/>
        <v>4.797225571027048E-2</v>
      </c>
      <c r="AB114">
        <f t="shared" si="63"/>
        <v>2.2272601709265094E-2</v>
      </c>
    </row>
    <row r="115" spans="1:28" x14ac:dyDescent="0.25">
      <c r="A115" s="18">
        <f t="shared" si="105"/>
        <v>20941</v>
      </c>
      <c r="B115">
        <f>'2-state flows'!B114</f>
        <v>66695</v>
      </c>
      <c r="C115">
        <f>'2-state flows'!C114</f>
        <v>2710</v>
      </c>
      <c r="D115">
        <f>'Composite HWI'!B78*48.35347462</f>
        <v>1934.1389847999999</v>
      </c>
      <c r="E115">
        <f t="shared" si="100"/>
        <v>4.0632731089287055E-2</v>
      </c>
      <c r="F115">
        <f t="shared" si="101"/>
        <v>2.8999759874053524E-2</v>
      </c>
      <c r="G115">
        <f>'2-state flows'!G114</f>
        <v>0.61577621935248972</v>
      </c>
      <c r="H115">
        <f t="shared" si="102"/>
        <v>0.65152766358618763</v>
      </c>
      <c r="I115">
        <f>'2-state flows'!H114</f>
        <v>2.9176545448750049E-2</v>
      </c>
      <c r="J115">
        <f t="shared" si="106"/>
        <v>-5.9681196122082697E-2</v>
      </c>
      <c r="K115">
        <v>0.5</v>
      </c>
      <c r="L115">
        <f t="shared" si="108"/>
        <v>0.13972875659538148</v>
      </c>
      <c r="M115">
        <f t="shared" si="103"/>
        <v>2.5218019364927943E-2</v>
      </c>
      <c r="N115">
        <f t="shared" ref="N115:O115" si="121">AVERAGE(G113:G115)</f>
        <v>0.66792862699024613</v>
      </c>
      <c r="O115">
        <f t="shared" si="121"/>
        <v>0.67017961778484614</v>
      </c>
      <c r="P115">
        <f t="shared" si="110"/>
        <v>3.9046896699747077E-2</v>
      </c>
      <c r="Q115">
        <f t="shared" si="111"/>
        <v>2.9456983162673801E-2</v>
      </c>
      <c r="R115">
        <f t="shared" si="112"/>
        <v>2.4992427064213757E-2</v>
      </c>
      <c r="U115" s="18">
        <f t="shared" si="65"/>
        <v>28915</v>
      </c>
      <c r="V115">
        <f t="shared" si="58"/>
        <v>5.8729477326548103E-2</v>
      </c>
      <c r="W115" t="e">
        <f t="shared" si="59"/>
        <v>#N/A</v>
      </c>
      <c r="X115">
        <f t="shared" si="60"/>
        <v>5.8729477326548103E-2</v>
      </c>
      <c r="Y115" t="e">
        <f t="shared" si="61"/>
        <v>#N/A</v>
      </c>
      <c r="Z115" t="e">
        <f t="shared" si="62"/>
        <v>#N/A</v>
      </c>
      <c r="AA115">
        <f t="shared" si="63"/>
        <v>4.6633299211454392E-2</v>
      </c>
      <c r="AB115">
        <f t="shared" si="63"/>
        <v>2.1684435107217136E-2</v>
      </c>
    </row>
    <row r="116" spans="1:28" x14ac:dyDescent="0.25">
      <c r="A116" s="18">
        <f t="shared" si="105"/>
        <v>20972</v>
      </c>
      <c r="B116">
        <f>'2-state flows'!B115</f>
        <v>67052</v>
      </c>
      <c r="C116">
        <f>'2-state flows'!C115</f>
        <v>2856</v>
      </c>
      <c r="D116">
        <f>'Composite HWI'!B79*48.35347462</f>
        <v>1837.43203556</v>
      </c>
      <c r="E116">
        <f t="shared" si="100"/>
        <v>4.2593807790968205E-2</v>
      </c>
      <c r="F116">
        <f t="shared" si="101"/>
        <v>2.7403090669331265E-2</v>
      </c>
      <c r="G116">
        <f>'2-state flows'!G115</f>
        <v>0.69174760020552206</v>
      </c>
      <c r="H116">
        <f t="shared" si="102"/>
        <v>0.61858617122872417</v>
      </c>
      <c r="I116">
        <f>'2-state flows'!H115</f>
        <v>2.946314987301079E-2</v>
      </c>
      <c r="J116">
        <f t="shared" si="106"/>
        <v>9.7751772027419564E-3</v>
      </c>
      <c r="K116">
        <v>0.5</v>
      </c>
      <c r="L116">
        <f t="shared" si="108"/>
        <v>0.15927911100086539</v>
      </c>
      <c r="M116">
        <f t="shared" si="103"/>
        <v>2.3368213329718578E-2</v>
      </c>
      <c r="N116">
        <f t="shared" ref="N116:O116" si="122">AVERAGE(G114:G116)</f>
        <v>0.67024044532381943</v>
      </c>
      <c r="O116">
        <f t="shared" si="122"/>
        <v>0.64509368145261914</v>
      </c>
      <c r="P116">
        <f t="shared" si="110"/>
        <v>4.0746015758410595E-2</v>
      </c>
      <c r="Q116">
        <f t="shared" si="111"/>
        <v>2.847449880197141E-2</v>
      </c>
      <c r="R116">
        <f t="shared" si="112"/>
        <v>2.3660997927707234E-2</v>
      </c>
      <c r="U116" s="18">
        <f t="shared" si="65"/>
        <v>29007</v>
      </c>
      <c r="V116">
        <f t="shared" si="58"/>
        <v>5.7089934463756577E-2</v>
      </c>
      <c r="W116" t="e">
        <f t="shared" si="59"/>
        <v>#N/A</v>
      </c>
      <c r="X116">
        <f t="shared" si="60"/>
        <v>5.7089934463756577E-2</v>
      </c>
      <c r="Y116" t="e">
        <f t="shared" si="61"/>
        <v>#N/A</v>
      </c>
      <c r="Z116" t="e">
        <f t="shared" si="62"/>
        <v>#N/A</v>
      </c>
      <c r="AA116">
        <f t="shared" si="63"/>
        <v>4.7585303407406965E-2</v>
      </c>
      <c r="AB116">
        <f t="shared" si="63"/>
        <v>2.2114693054807691E-2</v>
      </c>
    </row>
    <row r="117" spans="1:28" x14ac:dyDescent="0.25">
      <c r="A117" s="18">
        <f t="shared" si="105"/>
        <v>21002</v>
      </c>
      <c r="B117">
        <f>'2-state flows'!B116</f>
        <v>67336</v>
      </c>
      <c r="C117">
        <f>'2-state flows'!C116</f>
        <v>2796</v>
      </c>
      <c r="D117">
        <f>'Composite HWI'!B80*48.35347462</f>
        <v>1885.7855101800001</v>
      </c>
      <c r="E117">
        <f t="shared" si="100"/>
        <v>4.1523107995722938E-2</v>
      </c>
      <c r="F117">
        <f t="shared" si="101"/>
        <v>2.8005606364797434E-2</v>
      </c>
      <c r="G117">
        <f>'2-state flows'!G116</f>
        <v>0.72660484675079129</v>
      </c>
      <c r="H117">
        <f t="shared" si="102"/>
        <v>0.63336087241835326</v>
      </c>
      <c r="I117">
        <f>'2-state flows'!H116</f>
        <v>3.0395456151549195E-2</v>
      </c>
      <c r="J117">
        <f t="shared" si="106"/>
        <v>3.1152802889643672E-2</v>
      </c>
      <c r="K117">
        <v>0.5</v>
      </c>
      <c r="L117">
        <f t="shared" si="108"/>
        <v>0.22158471678015274</v>
      </c>
      <c r="M117">
        <f t="shared" si="103"/>
        <v>2.2439437212125237E-2</v>
      </c>
      <c r="N117">
        <f t="shared" ref="N117:O117" si="123">AVERAGE(G115:G117)</f>
        <v>0.67804288876960106</v>
      </c>
      <c r="O117">
        <f t="shared" si="123"/>
        <v>0.63449156907775495</v>
      </c>
      <c r="P117">
        <f t="shared" si="110"/>
        <v>4.1583215625326068E-2</v>
      </c>
      <c r="Q117">
        <f t="shared" si="111"/>
        <v>2.8136152302727407E-2</v>
      </c>
      <c r="R117">
        <f t="shared" si="112"/>
        <v>2.3675223302257253E-2</v>
      </c>
      <c r="U117" s="18">
        <f t="shared" si="65"/>
        <v>29099</v>
      </c>
      <c r="V117">
        <f t="shared" si="58"/>
        <v>5.8631825215225024E-2</v>
      </c>
      <c r="W117" t="e">
        <f t="shared" si="59"/>
        <v>#N/A</v>
      </c>
      <c r="X117">
        <f t="shared" si="60"/>
        <v>5.8631825215225024E-2</v>
      </c>
      <c r="Y117" t="e">
        <f t="shared" si="61"/>
        <v>#N/A</v>
      </c>
      <c r="Z117" t="e">
        <f t="shared" si="62"/>
        <v>#N/A</v>
      </c>
      <c r="AA117">
        <f t="shared" si="63"/>
        <v>4.7183407428058204E-2</v>
      </c>
      <c r="AB117">
        <f t="shared" si="63"/>
        <v>1.9250400442208989E-2</v>
      </c>
    </row>
    <row r="118" spans="1:28" x14ac:dyDescent="0.25">
      <c r="A118" s="18">
        <f t="shared" si="105"/>
        <v>21033</v>
      </c>
      <c r="B118">
        <f>'2-state flows'!B117</f>
        <v>66706</v>
      </c>
      <c r="C118">
        <f>'2-state flows'!C117</f>
        <v>2747</v>
      </c>
      <c r="D118">
        <f>'Composite HWI'!B81*48.35347462</f>
        <v>1789.07856094</v>
      </c>
      <c r="E118">
        <f t="shared" si="100"/>
        <v>4.1180703385002848E-2</v>
      </c>
      <c r="F118">
        <f t="shared" si="101"/>
        <v>2.6820354405001048E-2</v>
      </c>
      <c r="G118">
        <f>'2-state flows'!G117</f>
        <v>0.63275813757248833</v>
      </c>
      <c r="H118">
        <f t="shared" si="102"/>
        <v>0.62238489287304966</v>
      </c>
      <c r="I118">
        <f>'2-state flows'!H117</f>
        <v>3.1370454334635547E-2</v>
      </c>
      <c r="J118">
        <f t="shared" si="106"/>
        <v>3.1573376649390139E-2</v>
      </c>
      <c r="K118">
        <v>0.5</v>
      </c>
      <c r="L118">
        <f t="shared" si="108"/>
        <v>0.28473147007893301</v>
      </c>
      <c r="M118">
        <f t="shared" si="103"/>
        <v>2.0174705603244678E-2</v>
      </c>
      <c r="N118">
        <f t="shared" ref="N118:O118" si="124">AVERAGE(G116:G118)</f>
        <v>0.68370352817626723</v>
      </c>
      <c r="O118">
        <f t="shared" si="124"/>
        <v>0.62477731217337562</v>
      </c>
      <c r="P118">
        <f t="shared" si="110"/>
        <v>4.1765873057231333E-2</v>
      </c>
      <c r="Q118">
        <f t="shared" si="111"/>
        <v>2.7409683813043248E-2</v>
      </c>
      <c r="R118">
        <f t="shared" si="112"/>
        <v>2.1994118715029497E-2</v>
      </c>
      <c r="U118" s="18">
        <f t="shared" si="65"/>
        <v>29190</v>
      </c>
      <c r="V118">
        <f t="shared" si="58"/>
        <v>5.9347783929826058E-2</v>
      </c>
      <c r="W118" t="e">
        <f t="shared" si="59"/>
        <v>#N/A</v>
      </c>
      <c r="X118">
        <f t="shared" si="60"/>
        <v>5.9347783929826058E-2</v>
      </c>
      <c r="Y118" t="e">
        <f t="shared" si="61"/>
        <v>#N/A</v>
      </c>
      <c r="Z118" t="e">
        <f t="shared" si="62"/>
        <v>#N/A</v>
      </c>
      <c r="AA118">
        <f t="shared" si="63"/>
        <v>4.6412971813282404E-2</v>
      </c>
      <c r="AB118">
        <f t="shared" si="63"/>
        <v>1.9614020151791273E-2</v>
      </c>
    </row>
    <row r="119" spans="1:28" x14ac:dyDescent="0.25">
      <c r="A119" s="18">
        <f t="shared" si="105"/>
        <v>21064</v>
      </c>
      <c r="B119">
        <f>'2-state flows'!B118</f>
        <v>67064</v>
      </c>
      <c r="C119">
        <f>'2-state flows'!C118</f>
        <v>2943</v>
      </c>
      <c r="D119">
        <f>'Composite HWI'!B82*48.35347462</f>
        <v>1740.7250863199999</v>
      </c>
      <c r="E119">
        <f t="shared" si="100"/>
        <v>4.3883454610521296E-2</v>
      </c>
      <c r="F119">
        <f t="shared" si="101"/>
        <v>2.5956177477036858E-2</v>
      </c>
      <c r="G119">
        <f>'2-state flows'!G118</f>
        <v>0.59638622649779671</v>
      </c>
      <c r="H119">
        <f t="shared" si="102"/>
        <v>0.59312144877318107</v>
      </c>
      <c r="I119">
        <f>'2-state flows'!H118</f>
        <v>2.8987927124825282E-2</v>
      </c>
      <c r="J119">
        <f t="shared" si="106"/>
        <v>-7.8987067924417925E-2</v>
      </c>
      <c r="K119">
        <v>0.5</v>
      </c>
      <c r="L119">
        <f t="shared" si="108"/>
        <v>0.12675733423009716</v>
      </c>
      <c r="M119">
        <f t="shared" si="103"/>
        <v>2.2866027644939634E-2</v>
      </c>
      <c r="N119">
        <f t="shared" ref="N119:O119" si="125">AVERAGE(G117:G119)</f>
        <v>0.65191640360702552</v>
      </c>
      <c r="O119">
        <f t="shared" si="125"/>
        <v>0.61628907135486133</v>
      </c>
      <c r="P119">
        <f t="shared" si="110"/>
        <v>4.2195755330415696E-2</v>
      </c>
      <c r="Q119">
        <f t="shared" si="111"/>
        <v>2.6927379415611779E-2</v>
      </c>
      <c r="R119">
        <f t="shared" si="112"/>
        <v>2.1826723486769849E-2</v>
      </c>
      <c r="U119" s="18">
        <f t="shared" si="65"/>
        <v>29281</v>
      </c>
      <c r="V119">
        <f t="shared" si="58"/>
        <v>6.2915192707610382E-2</v>
      </c>
      <c r="W119" t="e">
        <f t="shared" si="59"/>
        <v>#N/A</v>
      </c>
      <c r="X119">
        <f t="shared" si="60"/>
        <v>6.2915192707610382E-2</v>
      </c>
      <c r="Y119" t="e">
        <f t="shared" si="61"/>
        <v>#N/A</v>
      </c>
      <c r="Z119" t="e">
        <f t="shared" si="62"/>
        <v>#N/A</v>
      </c>
      <c r="AA119">
        <f t="shared" si="63"/>
        <v>4.295372814360765E-2</v>
      </c>
      <c r="AB119">
        <f t="shared" si="63"/>
        <v>1.7682616262415057E-2</v>
      </c>
    </row>
    <row r="120" spans="1:28" x14ac:dyDescent="0.25">
      <c r="A120" s="18">
        <f t="shared" si="105"/>
        <v>21094</v>
      </c>
      <c r="B120">
        <f>'2-state flows'!B119</f>
        <v>67066</v>
      </c>
      <c r="C120">
        <f>'2-state flows'!C119</f>
        <v>3020</v>
      </c>
      <c r="D120">
        <f>'Composite HWI'!B83*48.35347462</f>
        <v>1644.0181370800001</v>
      </c>
      <c r="E120">
        <f t="shared" si="100"/>
        <v>4.5030268690543641E-2</v>
      </c>
      <c r="F120">
        <f t="shared" si="101"/>
        <v>2.4513436571138879E-2</v>
      </c>
      <c r="G120">
        <f>'2-state flows'!G119</f>
        <v>0.48683319702276945</v>
      </c>
      <c r="H120">
        <f t="shared" si="102"/>
        <v>0.56901471448258278</v>
      </c>
      <c r="I120">
        <f>'2-state flows'!H119</f>
        <v>3.1640130754822041E-2</v>
      </c>
      <c r="J120">
        <f t="shared" si="106"/>
        <v>8.7546838204075314E-2</v>
      </c>
      <c r="K120">
        <v>0.5</v>
      </c>
      <c r="L120">
        <f t="shared" si="108"/>
        <v>0.30185101063824782</v>
      </c>
      <c r="M120">
        <f t="shared" si="103"/>
        <v>1.8126417200454076E-2</v>
      </c>
      <c r="N120">
        <f t="shared" ref="N120:O120" si="126">AVERAGE(G118:G120)</f>
        <v>0.57199252036435155</v>
      </c>
      <c r="O120">
        <f t="shared" si="126"/>
        <v>0.59484035204293784</v>
      </c>
      <c r="P120">
        <f t="shared" si="110"/>
        <v>4.3364808895355926E-2</v>
      </c>
      <c r="Q120">
        <f t="shared" si="111"/>
        <v>2.5763322817725597E-2</v>
      </c>
      <c r="R120">
        <f t="shared" si="112"/>
        <v>2.0389050149546128E-2</v>
      </c>
      <c r="U120" s="18">
        <f t="shared" si="65"/>
        <v>29373</v>
      </c>
      <c r="V120">
        <f t="shared" si="58"/>
        <v>7.31782525520316E-2</v>
      </c>
      <c r="W120" t="e">
        <f t="shared" si="59"/>
        <v>#N/A</v>
      </c>
      <c r="X120">
        <f t="shared" si="60"/>
        <v>7.31782525520316E-2</v>
      </c>
      <c r="Y120" t="e">
        <f t="shared" si="61"/>
        <v>#N/A</v>
      </c>
      <c r="Z120" t="e">
        <f t="shared" si="62"/>
        <v>#N/A</v>
      </c>
      <c r="AA120">
        <f t="shared" si="63"/>
        <v>3.5477855555427651E-2</v>
      </c>
      <c r="AB120">
        <f t="shared" si="63"/>
        <v>1.2363748974944374E-2</v>
      </c>
    </row>
    <row r="121" spans="1:28" x14ac:dyDescent="0.25">
      <c r="A121" s="18">
        <f t="shared" si="105"/>
        <v>21125</v>
      </c>
      <c r="B121">
        <f>'2-state flows'!B120</f>
        <v>67123</v>
      </c>
      <c r="C121">
        <f>'2-state flows'!C120</f>
        <v>3454</v>
      </c>
      <c r="D121">
        <f>'Composite HWI'!B84*48.35347462</f>
        <v>1450.6042385999999</v>
      </c>
      <c r="E121">
        <f t="shared" si="100"/>
        <v>5.1457771553714823E-2</v>
      </c>
      <c r="F121">
        <f t="shared" si="101"/>
        <v>2.1611135357478061E-2</v>
      </c>
      <c r="G121">
        <f>'2-state flows'!G120</f>
        <v>0.60242719004816647</v>
      </c>
      <c r="H121">
        <f t="shared" si="102"/>
        <v>0.49978931938604154</v>
      </c>
      <c r="I121">
        <f>'2-state flows'!H120</f>
        <v>3.3148164582792808E-2</v>
      </c>
      <c r="J121">
        <f t="shared" si="106"/>
        <v>4.6561072593528298E-2</v>
      </c>
      <c r="K121">
        <v>0.5</v>
      </c>
      <c r="L121">
        <f t="shared" si="108"/>
        <v>0.3949731558253044</v>
      </c>
      <c r="M121">
        <f t="shared" si="103"/>
        <v>1.4559381345168931E-2</v>
      </c>
      <c r="N121">
        <f t="shared" ref="N121:O121" si="127">AVERAGE(G119:G121)</f>
        <v>0.56188220452291082</v>
      </c>
      <c r="O121">
        <f t="shared" si="127"/>
        <v>0.55397516088060172</v>
      </c>
      <c r="P121">
        <f t="shared" si="110"/>
        <v>4.6790498284926589E-2</v>
      </c>
      <c r="Q121">
        <f t="shared" si="111"/>
        <v>2.4026916468551266E-2</v>
      </c>
      <c r="R121">
        <f t="shared" si="112"/>
        <v>1.8517275396854212E-2</v>
      </c>
      <c r="U121" s="18">
        <f t="shared" si="65"/>
        <v>29465</v>
      </c>
      <c r="V121">
        <f t="shared" si="58"/>
        <v>7.6751194127610542E-2</v>
      </c>
      <c r="W121" t="e">
        <f t="shared" si="59"/>
        <v>#N/A</v>
      </c>
      <c r="X121">
        <f t="shared" si="60"/>
        <v>7.6751194127610542E-2</v>
      </c>
      <c r="Y121" t="e">
        <f t="shared" si="61"/>
        <v>#N/A</v>
      </c>
      <c r="Z121" t="e">
        <f t="shared" si="62"/>
        <v>#N/A</v>
      </c>
      <c r="AA121">
        <f t="shared" si="63"/>
        <v>3.550970164830259E-2</v>
      </c>
      <c r="AB121">
        <f t="shared" si="63"/>
        <v>1.4669530475481201E-2</v>
      </c>
    </row>
    <row r="122" spans="1:28" x14ac:dyDescent="0.25">
      <c r="A122" s="18">
        <f t="shared" si="105"/>
        <v>21155</v>
      </c>
      <c r="B122">
        <f>'2-state flows'!B121</f>
        <v>67398</v>
      </c>
      <c r="C122">
        <f>'2-state flows'!C121</f>
        <v>3476</v>
      </c>
      <c r="D122">
        <f>'Composite HWI'!B85*48.35347462</f>
        <v>1402.2507639800001</v>
      </c>
      <c r="E122">
        <f t="shared" si="100"/>
        <v>5.157423068933796E-2</v>
      </c>
      <c r="F122">
        <f t="shared" si="101"/>
        <v>2.0805524852072762E-2</v>
      </c>
      <c r="G122">
        <f>'2-state flows'!G121</f>
        <v>0.46931341870412796</v>
      </c>
      <c r="H122">
        <f t="shared" si="102"/>
        <v>0.48983140414258547</v>
      </c>
      <c r="I122">
        <f>'2-state flows'!H121</f>
        <v>3.3462769598037095E-2</v>
      </c>
      <c r="J122">
        <f t="shared" si="106"/>
        <v>9.4461174711805169E-3</v>
      </c>
      <c r="K122">
        <v>0.5</v>
      </c>
      <c r="L122">
        <f t="shared" si="108"/>
        <v>0.41386539076766543</v>
      </c>
      <c r="M122">
        <f t="shared" si="103"/>
        <v>1.3754323053067995E-2</v>
      </c>
      <c r="N122">
        <f t="shared" ref="N122:O122" si="128">AVERAGE(G120:G122)</f>
        <v>0.51952460192502126</v>
      </c>
      <c r="O122">
        <f t="shared" si="128"/>
        <v>0.51954514600373669</v>
      </c>
      <c r="P122">
        <f t="shared" si="110"/>
        <v>4.9354090311198806E-2</v>
      </c>
      <c r="Q122">
        <f t="shared" si="111"/>
        <v>2.2310032260229901E-2</v>
      </c>
      <c r="R122">
        <f t="shared" si="112"/>
        <v>1.5480040532897E-2</v>
      </c>
      <c r="U122" s="18">
        <f t="shared" si="65"/>
        <v>29556</v>
      </c>
      <c r="V122">
        <f t="shared" si="58"/>
        <v>7.3927821432055577E-2</v>
      </c>
      <c r="W122" t="e">
        <f t="shared" si="59"/>
        <v>#N/A</v>
      </c>
      <c r="X122">
        <f t="shared" si="60"/>
        <v>7.3927821432055577E-2</v>
      </c>
      <c r="Y122" t="e">
        <f t="shared" si="61"/>
        <v>#N/A</v>
      </c>
      <c r="Z122" t="e">
        <f t="shared" si="62"/>
        <v>#N/A</v>
      </c>
      <c r="AA122">
        <f t="shared" si="63"/>
        <v>3.6903103964528942E-2</v>
      </c>
      <c r="AB122">
        <f t="shared" si="63"/>
        <v>1.6311732783334379E-2</v>
      </c>
    </row>
    <row r="123" spans="1:28" x14ac:dyDescent="0.25">
      <c r="A123" s="18">
        <f t="shared" si="105"/>
        <v>21186</v>
      </c>
      <c r="B123">
        <f>'2-state flows'!B122</f>
        <v>67095</v>
      </c>
      <c r="C123">
        <f>'2-state flows'!C122</f>
        <v>3875</v>
      </c>
      <c r="D123">
        <f>'Composite HWI'!B86*48.35347462</f>
        <v>1353.8972893600001</v>
      </c>
      <c r="E123">
        <f t="shared" si="100"/>
        <v>5.7753930993367612E-2</v>
      </c>
      <c r="F123">
        <f t="shared" si="101"/>
        <v>2.0178810483046428E-2</v>
      </c>
      <c r="G123">
        <f>'2-state flows'!G122</f>
        <v>0.47077812263671531</v>
      </c>
      <c r="H123">
        <f t="shared" si="102"/>
        <v>0.45585914584762555</v>
      </c>
      <c r="I123">
        <f>'2-state flows'!H122</f>
        <v>3.7491451092082961E-2</v>
      </c>
      <c r="J123">
        <f t="shared" si="106"/>
        <v>0.11367947057393353</v>
      </c>
      <c r="K123">
        <v>0.5</v>
      </c>
      <c r="L123">
        <f t="shared" si="108"/>
        <v>0.64122433191553252</v>
      </c>
      <c r="M123">
        <f t="shared" si="103"/>
        <v>1.0627114809865319E-2</v>
      </c>
      <c r="N123">
        <f t="shared" ref="N123:O123" si="129">AVERAGE(G121:G123)</f>
        <v>0.51417291046300329</v>
      </c>
      <c r="O123">
        <f t="shared" si="129"/>
        <v>0.48182662312541752</v>
      </c>
      <c r="P123">
        <f t="shared" si="110"/>
        <v>5.3595311078806801E-2</v>
      </c>
      <c r="Q123">
        <f t="shared" si="111"/>
        <v>2.0865156897532416E-2</v>
      </c>
      <c r="R123">
        <f t="shared" si="112"/>
        <v>1.2980273069367415E-2</v>
      </c>
      <c r="U123" s="18">
        <f t="shared" si="65"/>
        <v>29646</v>
      </c>
      <c r="V123">
        <f t="shared" si="58"/>
        <v>7.4208009227441085E-2</v>
      </c>
      <c r="W123" t="e">
        <f t="shared" si="59"/>
        <v>#N/A</v>
      </c>
      <c r="X123">
        <f t="shared" si="60"/>
        <v>7.4208009227441085E-2</v>
      </c>
      <c r="Y123" t="e">
        <f t="shared" si="61"/>
        <v>#N/A</v>
      </c>
      <c r="Z123" t="e">
        <f t="shared" si="62"/>
        <v>#N/A</v>
      </c>
      <c r="AA123">
        <f t="shared" si="63"/>
        <v>3.6024385357516009E-2</v>
      </c>
      <c r="AB123">
        <f t="shared" si="63"/>
        <v>1.5077585131170067E-2</v>
      </c>
    </row>
    <row r="124" spans="1:28" x14ac:dyDescent="0.25">
      <c r="A124" s="18">
        <f t="shared" si="105"/>
        <v>21217</v>
      </c>
      <c r="B124">
        <f>'2-state flows'!B123</f>
        <v>67201</v>
      </c>
      <c r="C124">
        <f>'2-state flows'!C123</f>
        <v>4303</v>
      </c>
      <c r="D124">
        <f>'Composite HWI'!B87*48.35347462</f>
        <v>1257.19034012</v>
      </c>
      <c r="E124">
        <f t="shared" si="100"/>
        <v>6.403178524129105E-2</v>
      </c>
      <c r="F124">
        <f t="shared" si="101"/>
        <v>1.8707911193583428E-2</v>
      </c>
      <c r="G124">
        <f>'2-state flows'!G123</f>
        <v>0.51969589667881089</v>
      </c>
      <c r="H124">
        <f t="shared" si="102"/>
        <v>0.41685835569765517</v>
      </c>
      <c r="I124">
        <f>'2-state flows'!H123</f>
        <v>3.9476491655470625E-2</v>
      </c>
      <c r="J124">
        <f t="shared" si="106"/>
        <v>5.159241066419281E-2</v>
      </c>
      <c r="K124">
        <v>0.5</v>
      </c>
      <c r="L124">
        <f t="shared" si="108"/>
        <v>0.7444091532439181</v>
      </c>
      <c r="M124">
        <f t="shared" si="103"/>
        <v>8.8865361540443593E-3</v>
      </c>
      <c r="N124">
        <f t="shared" ref="N124:O124" si="130">AVERAGE(G122:G124)</f>
        <v>0.48659581267321811</v>
      </c>
      <c r="O124">
        <f t="shared" si="130"/>
        <v>0.45418296856262214</v>
      </c>
      <c r="P124">
        <f t="shared" si="110"/>
        <v>5.7786648974665539E-2</v>
      </c>
      <c r="Q124">
        <f t="shared" si="111"/>
        <v>1.9897415509567539E-2</v>
      </c>
      <c r="R124">
        <f t="shared" si="112"/>
        <v>1.1089324672325892E-2</v>
      </c>
      <c r="U124" s="18">
        <f t="shared" si="65"/>
        <v>29738</v>
      </c>
      <c r="V124">
        <f t="shared" si="58"/>
        <v>7.3929441635386881E-2</v>
      </c>
      <c r="W124" t="e">
        <f t="shared" si="59"/>
        <v>#N/A</v>
      </c>
      <c r="X124">
        <f t="shared" si="60"/>
        <v>7.3929441635386881E-2</v>
      </c>
      <c r="Y124" t="e">
        <f t="shared" si="61"/>
        <v>#N/A</v>
      </c>
      <c r="Z124" t="e">
        <f t="shared" si="62"/>
        <v>#N/A</v>
      </c>
      <c r="AA124">
        <f t="shared" si="63"/>
        <v>3.5686777798975673E-2</v>
      </c>
      <c r="AB124">
        <f t="shared" si="63"/>
        <v>1.4276463733224784E-2</v>
      </c>
    </row>
    <row r="125" spans="1:28" x14ac:dyDescent="0.25">
      <c r="A125" s="18">
        <f t="shared" si="105"/>
        <v>21245</v>
      </c>
      <c r="B125">
        <f>'2-state flows'!B124</f>
        <v>67223</v>
      </c>
      <c r="C125">
        <f>'2-state flows'!C124</f>
        <v>4492</v>
      </c>
      <c r="D125">
        <f>'Composite HWI'!B88*48.35347462</f>
        <v>1208.8368654999999</v>
      </c>
      <c r="E125">
        <f t="shared" si="100"/>
        <v>6.6822367344510067E-2</v>
      </c>
      <c r="F125">
        <f t="shared" si="101"/>
        <v>1.798248911086979E-2</v>
      </c>
      <c r="G125">
        <f>'2-state flows'!G124</f>
        <v>0.35966886279131272</v>
      </c>
      <c r="H125">
        <f t="shared" si="102"/>
        <v>0.40007152412021196</v>
      </c>
      <c r="I125">
        <f>'2-state flows'!H124</f>
        <v>3.5868665634917578E-2</v>
      </c>
      <c r="J125">
        <f t="shared" si="106"/>
        <v>-9.5841255951383014E-2</v>
      </c>
      <c r="K125">
        <v>0.5</v>
      </c>
      <c r="L125">
        <f t="shared" si="108"/>
        <v>0.55272664134115201</v>
      </c>
      <c r="M125">
        <f t="shared" si="103"/>
        <v>1.0346743327791312E-2</v>
      </c>
      <c r="N125">
        <f t="shared" ref="N125:O125" si="131">AVERAGE(G123:G125)</f>
        <v>0.45004762736894627</v>
      </c>
      <c r="O125">
        <f t="shared" si="131"/>
        <v>0.42426300855516424</v>
      </c>
      <c r="P125">
        <f t="shared" si="110"/>
        <v>6.286936119305625E-2</v>
      </c>
      <c r="Q125">
        <f t="shared" si="111"/>
        <v>1.8956403595833216E-2</v>
      </c>
      <c r="R125">
        <f t="shared" si="112"/>
        <v>9.9534647639003288E-3</v>
      </c>
      <c r="U125" s="18">
        <f t="shared" si="65"/>
        <v>29830</v>
      </c>
      <c r="V125">
        <f t="shared" si="58"/>
        <v>7.4113576303220213E-2</v>
      </c>
      <c r="W125" t="e">
        <f t="shared" si="59"/>
        <v>#N/A</v>
      </c>
      <c r="X125">
        <f t="shared" si="60"/>
        <v>7.4113576303220213E-2</v>
      </c>
      <c r="Y125" t="e">
        <f t="shared" si="61"/>
        <v>#N/A</v>
      </c>
      <c r="Z125" t="e">
        <f t="shared" si="62"/>
        <v>#N/A</v>
      </c>
      <c r="AA125">
        <f t="shared" si="63"/>
        <v>3.4751800015900634E-2</v>
      </c>
      <c r="AB125">
        <f t="shared" si="63"/>
        <v>1.309726685835068E-2</v>
      </c>
    </row>
    <row r="126" spans="1:28" x14ac:dyDescent="0.25">
      <c r="A126" s="18">
        <f t="shared" si="105"/>
        <v>21276</v>
      </c>
      <c r="B126">
        <f>'2-state flows'!B125</f>
        <v>67647</v>
      </c>
      <c r="C126">
        <f>'2-state flows'!C125</f>
        <v>5016</v>
      </c>
      <c r="D126">
        <f>'Composite HWI'!B89*48.35347462</f>
        <v>1160.4833908800001</v>
      </c>
      <c r="E126">
        <f t="shared" si="100"/>
        <v>7.4149629695330163E-2</v>
      </c>
      <c r="F126">
        <f t="shared" si="101"/>
        <v>1.7154986782562422E-2</v>
      </c>
      <c r="G126">
        <f>'2-state flows'!G125</f>
        <v>0.46016384187179926</v>
      </c>
      <c r="H126">
        <f t="shared" si="102"/>
        <v>0.37094913876674895</v>
      </c>
      <c r="I126">
        <f>'2-state flows'!H125</f>
        <v>3.6954977182405348E-2</v>
      </c>
      <c r="J126">
        <f t="shared" si="106"/>
        <v>2.9836247971891699E-2</v>
      </c>
      <c r="K126">
        <v>0.5</v>
      </c>
      <c r="L126">
        <f t="shared" si="108"/>
        <v>0.61239913728493545</v>
      </c>
      <c r="M126">
        <f t="shared" si="103"/>
        <v>9.2988409982947412E-3</v>
      </c>
      <c r="N126">
        <f t="shared" ref="N126:O126" si="132">AVERAGE(G124:G126)</f>
        <v>0.44650953378064101</v>
      </c>
      <c r="O126">
        <f t="shared" si="132"/>
        <v>0.39595967286153871</v>
      </c>
      <c r="P126">
        <f t="shared" si="110"/>
        <v>6.8334594093710441E-2</v>
      </c>
      <c r="Q126">
        <f t="shared" si="111"/>
        <v>1.7948462362338546E-2</v>
      </c>
      <c r="R126">
        <f t="shared" si="112"/>
        <v>9.5107068267101368E-3</v>
      </c>
      <c r="U126" s="18">
        <f t="shared" si="65"/>
        <v>29921</v>
      </c>
      <c r="V126">
        <f t="shared" si="58"/>
        <v>8.2348861100244544E-2</v>
      </c>
      <c r="W126" t="e">
        <f t="shared" si="59"/>
        <v>#N/A</v>
      </c>
      <c r="X126">
        <f t="shared" si="60"/>
        <v>8.2348861100244544E-2</v>
      </c>
      <c r="Y126" t="e">
        <f t="shared" si="61"/>
        <v>#N/A</v>
      </c>
      <c r="Z126" t="e">
        <f t="shared" si="62"/>
        <v>#N/A</v>
      </c>
      <c r="AA126">
        <f t="shared" si="63"/>
        <v>3.0740281379613127E-2</v>
      </c>
      <c r="AB126">
        <f t="shared" si="63"/>
        <v>9.1215738870932365E-3</v>
      </c>
    </row>
    <row r="127" spans="1:28" x14ac:dyDescent="0.25">
      <c r="A127" s="18">
        <f t="shared" si="105"/>
        <v>21306</v>
      </c>
      <c r="B127">
        <f>'2-state flows'!B126</f>
        <v>67895</v>
      </c>
      <c r="C127">
        <f>'2-state flows'!C126</f>
        <v>5021</v>
      </c>
      <c r="D127">
        <f>'Composite HWI'!B90*48.35347462</f>
        <v>1160.4833908800001</v>
      </c>
      <c r="E127">
        <f t="shared" si="100"/>
        <v>7.3952426540982399E-2</v>
      </c>
      <c r="F127">
        <f t="shared" si="101"/>
        <v>1.7092324779144269E-2</v>
      </c>
      <c r="G127">
        <f>'2-state flows'!G126</f>
        <v>0.45392172902464789</v>
      </c>
      <c r="H127">
        <f t="shared" si="102"/>
        <v>0.37076439392797478</v>
      </c>
      <c r="I127">
        <f>'2-state flows'!H126</f>
        <v>3.470119741278635E-2</v>
      </c>
      <c r="J127">
        <f t="shared" si="106"/>
        <v>-6.2926144863433772E-2</v>
      </c>
      <c r="K127">
        <v>0.5</v>
      </c>
      <c r="L127">
        <f t="shared" si="108"/>
        <v>0.48654684755806787</v>
      </c>
      <c r="M127">
        <f t="shared" si="103"/>
        <v>1.0507430482275809E-2</v>
      </c>
      <c r="N127">
        <f t="shared" ref="N127:O127" si="133">AVERAGE(G125:G127)</f>
        <v>0.42458481122925323</v>
      </c>
      <c r="O127">
        <f t="shared" si="133"/>
        <v>0.38059501893831188</v>
      </c>
      <c r="P127">
        <f t="shared" si="110"/>
        <v>7.1641474526940876E-2</v>
      </c>
      <c r="Q127">
        <f t="shared" si="111"/>
        <v>1.7409933557525493E-2</v>
      </c>
      <c r="R127">
        <f t="shared" si="112"/>
        <v>1.0051004936120621E-2</v>
      </c>
      <c r="U127" s="18">
        <f t="shared" si="65"/>
        <v>30011</v>
      </c>
      <c r="V127">
        <f t="shared" si="58"/>
        <v>8.836918940855816E-2</v>
      </c>
      <c r="W127" t="e">
        <f t="shared" si="59"/>
        <v>#N/A</v>
      </c>
      <c r="X127">
        <f t="shared" si="60"/>
        <v>8.836918940855816E-2</v>
      </c>
      <c r="Y127" t="e">
        <f t="shared" si="61"/>
        <v>#N/A</v>
      </c>
      <c r="Z127" t="e">
        <f t="shared" si="62"/>
        <v>#N/A</v>
      </c>
      <c r="AA127">
        <f t="shared" si="63"/>
        <v>2.844300154651079E-2</v>
      </c>
      <c r="AB127">
        <f t="shared" si="63"/>
        <v>8.8417820221900322E-3</v>
      </c>
    </row>
    <row r="128" spans="1:28" x14ac:dyDescent="0.25">
      <c r="A128" s="18">
        <f t="shared" si="105"/>
        <v>21337</v>
      </c>
      <c r="B128">
        <f>'2-state flows'!B127</f>
        <v>67674</v>
      </c>
      <c r="C128">
        <f>'2-state flows'!C127</f>
        <v>4944</v>
      </c>
      <c r="D128">
        <f>'Composite HWI'!B91*48.35347462</f>
        <v>1208.8368654999999</v>
      </c>
      <c r="E128">
        <f t="shared" si="100"/>
        <v>7.3056121996630904E-2</v>
      </c>
      <c r="F128">
        <f t="shared" si="101"/>
        <v>1.7862648365694359E-2</v>
      </c>
      <c r="G128">
        <f>'2-state flows'!G127</f>
        <v>0.41614082334820762</v>
      </c>
      <c r="H128">
        <f t="shared" si="102"/>
        <v>0.38134519928142707</v>
      </c>
      <c r="I128">
        <f>'2-state flows'!H127</f>
        <v>3.5472195659374858E-2</v>
      </c>
      <c r="J128">
        <f t="shared" si="106"/>
        <v>2.1974974810449896E-2</v>
      </c>
      <c r="K128">
        <v>0.5</v>
      </c>
      <c r="L128">
        <f t="shared" si="108"/>
        <v>0.53049679717896769</v>
      </c>
      <c r="M128">
        <f t="shared" si="103"/>
        <v>1.0508821549722035E-2</v>
      </c>
      <c r="N128">
        <f t="shared" ref="N128:O128" si="134">AVERAGE(G126:G128)</f>
        <v>0.44340879808155159</v>
      </c>
      <c r="O128">
        <f t="shared" si="134"/>
        <v>0.3743529106587169</v>
      </c>
      <c r="P128">
        <f t="shared" si="110"/>
        <v>7.3719392744314494E-2</v>
      </c>
      <c r="Q128">
        <f t="shared" si="111"/>
        <v>1.7369986642467018E-2</v>
      </c>
      <c r="R128">
        <f t="shared" si="112"/>
        <v>1.0105031010097527E-2</v>
      </c>
      <c r="U128" s="18">
        <f t="shared" si="65"/>
        <v>30103</v>
      </c>
      <c r="V128">
        <f t="shared" si="58"/>
        <v>9.4193441866833816E-2</v>
      </c>
      <c r="W128" t="e">
        <f t="shared" si="59"/>
        <v>#N/A</v>
      </c>
      <c r="X128">
        <f t="shared" si="60"/>
        <v>9.4193441866833816E-2</v>
      </c>
      <c r="Y128" t="e">
        <f t="shared" si="61"/>
        <v>#N/A</v>
      </c>
      <c r="Z128" t="e">
        <f t="shared" si="62"/>
        <v>#N/A</v>
      </c>
      <c r="AA128">
        <f t="shared" si="63"/>
        <v>2.5615066280858714E-2</v>
      </c>
      <c r="AB128">
        <f t="shared" si="63"/>
        <v>8.6604210058576839E-3</v>
      </c>
    </row>
    <row r="129" spans="1:28" x14ac:dyDescent="0.25">
      <c r="A129" s="18">
        <f t="shared" si="105"/>
        <v>21367</v>
      </c>
      <c r="B129">
        <f>'2-state flows'!B128</f>
        <v>67824</v>
      </c>
      <c r="C129">
        <f>'2-state flows'!C128</f>
        <v>5079</v>
      </c>
      <c r="D129">
        <f>'Composite HWI'!B92*48.35347462</f>
        <v>1257.19034012</v>
      </c>
      <c r="E129">
        <f t="shared" si="100"/>
        <v>7.4884996461429584E-2</v>
      </c>
      <c r="F129">
        <f t="shared" si="101"/>
        <v>1.8536068944916252E-2</v>
      </c>
      <c r="G129">
        <f>'2-state flows'!G128</f>
        <v>0.4418546290907136</v>
      </c>
      <c r="H129">
        <f t="shared" si="102"/>
        <v>0.38369406162700598</v>
      </c>
      <c r="I129">
        <f>'2-state flows'!H128</f>
        <v>3.4684756405705779E-2</v>
      </c>
      <c r="J129">
        <f t="shared" si="106"/>
        <v>-2.2448874972758638E-2</v>
      </c>
      <c r="K129">
        <v>0.5</v>
      </c>
      <c r="L129">
        <f t="shared" si="108"/>
        <v>0.48559904723345043</v>
      </c>
      <c r="M129">
        <f t="shared" si="103"/>
        <v>1.1405771045891588E-2</v>
      </c>
      <c r="N129">
        <f t="shared" ref="N129:O129" si="135">AVERAGE(G127:G129)</f>
        <v>0.43730572715452309</v>
      </c>
      <c r="O129">
        <f t="shared" si="135"/>
        <v>0.37860121827880261</v>
      </c>
      <c r="P129">
        <f t="shared" si="110"/>
        <v>7.3964514999680972E-2</v>
      </c>
      <c r="Q129">
        <f t="shared" si="111"/>
        <v>1.7830347363251627E-2</v>
      </c>
      <c r="R129">
        <f t="shared" si="112"/>
        <v>1.0807341025963145E-2</v>
      </c>
      <c r="U129" s="18">
        <f t="shared" si="65"/>
        <v>30195</v>
      </c>
      <c r="V129">
        <f t="shared" si="58"/>
        <v>9.9362796907399575E-2</v>
      </c>
      <c r="W129" t="e">
        <f t="shared" si="59"/>
        <v>#N/A</v>
      </c>
      <c r="X129">
        <f t="shared" si="60"/>
        <v>9.9362796907399575E-2</v>
      </c>
      <c r="Y129" t="e">
        <f t="shared" si="61"/>
        <v>#N/A</v>
      </c>
      <c r="Z129" t="e">
        <f t="shared" si="62"/>
        <v>#N/A</v>
      </c>
      <c r="AA129">
        <f t="shared" si="63"/>
        <v>2.245869379976205E-2</v>
      </c>
      <c r="AB129">
        <f t="shared" si="63"/>
        <v>7.2298950498919179E-3</v>
      </c>
    </row>
    <row r="130" spans="1:28" x14ac:dyDescent="0.25">
      <c r="A130" s="18">
        <f t="shared" si="105"/>
        <v>21398</v>
      </c>
      <c r="B130">
        <f>'2-state flows'!B129</f>
        <v>68037</v>
      </c>
      <c r="C130">
        <f>'2-state flows'!C129</f>
        <v>5025</v>
      </c>
      <c r="D130">
        <f>'Composite HWI'!B93*48.35347462</f>
        <v>1305.54381474</v>
      </c>
      <c r="E130">
        <f t="shared" si="100"/>
        <v>7.3856871996119761E-2</v>
      </c>
      <c r="F130">
        <f t="shared" si="101"/>
        <v>1.9188732818025488E-2</v>
      </c>
      <c r="G130">
        <f>'2-state flows'!G129</f>
        <v>0.45283836611564132</v>
      </c>
      <c r="H130">
        <f t="shared" si="102"/>
        <v>0.39309847517970642</v>
      </c>
      <c r="I130">
        <f>'2-state flows'!H129</f>
        <v>3.2026844222964687E-2</v>
      </c>
      <c r="J130">
        <f t="shared" si="106"/>
        <v>-7.9725860665674109E-2</v>
      </c>
      <c r="K130">
        <v>0.5</v>
      </c>
      <c r="L130">
        <f t="shared" si="108"/>
        <v>0.32614732590210221</v>
      </c>
      <c r="M130">
        <f t="shared" si="103"/>
        <v>1.3848486497228514E-2</v>
      </c>
      <c r="N130">
        <f t="shared" ref="N130:O130" si="136">AVERAGE(G128:G130)</f>
        <v>0.43694460618485415</v>
      </c>
      <c r="O130">
        <f t="shared" si="136"/>
        <v>0.38604591202937982</v>
      </c>
      <c r="P130">
        <f t="shared" si="110"/>
        <v>7.3932663484726754E-2</v>
      </c>
      <c r="Q130">
        <f t="shared" si="111"/>
        <v>1.8529150042878698E-2</v>
      </c>
      <c r="R130">
        <f t="shared" si="112"/>
        <v>1.1921026364280713E-2</v>
      </c>
      <c r="U130" s="18">
        <f t="shared" si="65"/>
        <v>30286</v>
      </c>
      <c r="V130">
        <f t="shared" si="58"/>
        <v>0.10669751182909369</v>
      </c>
      <c r="W130" t="e">
        <f t="shared" si="59"/>
        <v>#N/A</v>
      </c>
      <c r="X130">
        <f t="shared" si="60"/>
        <v>0.10669751182909369</v>
      </c>
      <c r="Y130" t="e">
        <f t="shared" si="61"/>
        <v>#N/A</v>
      </c>
      <c r="Z130" t="e">
        <f t="shared" si="62"/>
        <v>#N/A</v>
      </c>
      <c r="AA130">
        <f t="shared" si="63"/>
        <v>2.1788489677271695E-2</v>
      </c>
      <c r="AB130">
        <f t="shared" si="63"/>
        <v>7.3122346193308053E-3</v>
      </c>
    </row>
    <row r="131" spans="1:28" x14ac:dyDescent="0.25">
      <c r="A131" s="18">
        <f t="shared" si="105"/>
        <v>21429</v>
      </c>
      <c r="B131">
        <f>'2-state flows'!B130</f>
        <v>68002</v>
      </c>
      <c r="C131">
        <f>'2-state flows'!C130</f>
        <v>4821</v>
      </c>
      <c r="D131">
        <f>'Composite HWI'!B94*48.35347462</f>
        <v>1402.2507639800001</v>
      </c>
      <c r="E131">
        <f t="shared" si="100"/>
        <v>7.0894973677244788E-2</v>
      </c>
      <c r="F131">
        <f t="shared" si="101"/>
        <v>2.0620728272403754E-2</v>
      </c>
      <c r="G131">
        <f>'2-state flows'!G130</f>
        <v>0.49900336771373649</v>
      </c>
      <c r="H131">
        <f t="shared" si="102"/>
        <v>0.41592779467748492</v>
      </c>
      <c r="I131">
        <f>'2-state flows'!H130</f>
        <v>3.2953631622038439E-2</v>
      </c>
      <c r="J131">
        <f t="shared" si="106"/>
        <v>2.8527037919453119E-2</v>
      </c>
      <c r="K131">
        <v>0.5</v>
      </c>
      <c r="L131">
        <f t="shared" si="108"/>
        <v>0.38320140174100847</v>
      </c>
      <c r="M131">
        <f t="shared" si="103"/>
        <v>1.4056647210468618E-2</v>
      </c>
      <c r="N131">
        <f t="shared" ref="N131:O131" si="137">AVERAGE(G129:G131)</f>
        <v>0.4645654543066971</v>
      </c>
      <c r="O131">
        <f t="shared" si="137"/>
        <v>0.39757344382806575</v>
      </c>
      <c r="P131">
        <f t="shared" si="110"/>
        <v>7.3212280711598035E-2</v>
      </c>
      <c r="Q131">
        <f t="shared" si="111"/>
        <v>1.9448510011781831E-2</v>
      </c>
      <c r="R131">
        <f t="shared" si="112"/>
        <v>1.3103634917862907E-2</v>
      </c>
      <c r="U131" s="18">
        <f t="shared" si="65"/>
        <v>30376</v>
      </c>
      <c r="V131">
        <f t="shared" si="58"/>
        <v>0.10390263537144691</v>
      </c>
      <c r="W131" t="e">
        <f t="shared" si="59"/>
        <v>#N/A</v>
      </c>
      <c r="X131">
        <f t="shared" si="60"/>
        <v>0.10390263537144691</v>
      </c>
      <c r="Y131" t="e">
        <f t="shared" si="61"/>
        <v>#N/A</v>
      </c>
      <c r="Z131" t="e">
        <f t="shared" si="62"/>
        <v>#N/A</v>
      </c>
      <c r="AA131">
        <f t="shared" si="63"/>
        <v>2.3017556780594386E-2</v>
      </c>
      <c r="AB131">
        <f t="shared" si="63"/>
        <v>9.0018422905496828E-3</v>
      </c>
    </row>
    <row r="132" spans="1:28" x14ac:dyDescent="0.25">
      <c r="A132" s="18">
        <f t="shared" si="105"/>
        <v>21459</v>
      </c>
      <c r="B132">
        <f>'2-state flows'!B131</f>
        <v>68045</v>
      </c>
      <c r="C132">
        <f>'2-state flows'!C131</f>
        <v>4570</v>
      </c>
      <c r="D132">
        <f>'Composite HWI'!B95*48.35347462</f>
        <v>1402.2507639800001</v>
      </c>
      <c r="E132">
        <f t="shared" si="100"/>
        <v>6.7161437284150194E-2</v>
      </c>
      <c r="F132">
        <f t="shared" si="101"/>
        <v>2.0607697317657433E-2</v>
      </c>
      <c r="G132">
        <f>'2-state flows'!G131</f>
        <v>0.5423155381284368</v>
      </c>
      <c r="H132">
        <f t="shared" si="102"/>
        <v>0.42719721138508088</v>
      </c>
      <c r="I132">
        <f>'2-state flows'!H131</f>
        <v>3.1137315634964465E-2</v>
      </c>
      <c r="J132">
        <f t="shared" si="106"/>
        <v>-5.6694511447960505E-2</v>
      </c>
      <c r="K132">
        <v>0.5</v>
      </c>
      <c r="L132">
        <f t="shared" si="108"/>
        <v>0.26981237884508746</v>
      </c>
      <c r="M132">
        <f t="shared" si="103"/>
        <v>1.5734445395695029E-2</v>
      </c>
      <c r="N132">
        <f t="shared" ref="N132:O132" si="138">AVERAGE(G130:G132)</f>
        <v>0.49805242398593824</v>
      </c>
      <c r="O132">
        <f t="shared" si="138"/>
        <v>0.41207449374742405</v>
      </c>
      <c r="P132">
        <f t="shared" si="110"/>
        <v>7.0637760985838252E-2</v>
      </c>
      <c r="Q132">
        <f t="shared" si="111"/>
        <v>2.0139052802695557E-2</v>
      </c>
      <c r="R132">
        <f t="shared" si="112"/>
        <v>1.4546526367797387E-2</v>
      </c>
      <c r="U132" s="18">
        <f t="shared" si="65"/>
        <v>30468</v>
      </c>
      <c r="V132">
        <f t="shared" ref="V132:V195" si="139">VLOOKUP($U132,$A$2:$R$788,V$1)</f>
        <v>0.10095395776108283</v>
      </c>
      <c r="W132" t="e">
        <f t="shared" ref="W132:W195" si="140">IF(AND(YEAR($U132)&gt;=1960,YEAR($U132)&lt;=1970),$V132,NA())</f>
        <v>#N/A</v>
      </c>
      <c r="X132">
        <f t="shared" ref="X132:X195" si="141">IF(AND(YEAR($U132)&gt;=1975,YEAR($U132)&lt;=1986),$V132,NA())</f>
        <v>0.10095395776108283</v>
      </c>
      <c r="Y132" t="e">
        <f t="shared" ref="Y132:Y195" si="142">IF(AND(YEAR($U132)&gt;=1990,YEAR($U132)&lt;=2000),$V132,NA())</f>
        <v>#N/A</v>
      </c>
      <c r="Z132" t="e">
        <f t="shared" ref="Z132:Z195" si="143">IF(YEAR($U132)&gt;=2001,$V132,NA())</f>
        <v>#N/A</v>
      </c>
      <c r="AA132">
        <f t="shared" ref="AA132:AB195" si="144">VLOOKUP($U132,$A$2:$R$788,AA$1)</f>
        <v>2.5370970649802576E-2</v>
      </c>
      <c r="AB132">
        <f t="shared" si="144"/>
        <v>9.9699418201170901E-3</v>
      </c>
    </row>
    <row r="133" spans="1:28" x14ac:dyDescent="0.25">
      <c r="A133" s="18">
        <f t="shared" si="105"/>
        <v>21490</v>
      </c>
      <c r="B133">
        <f>'2-state flows'!B132</f>
        <v>67658</v>
      </c>
      <c r="C133">
        <f>'2-state flows'!C132</f>
        <v>4188</v>
      </c>
      <c r="D133">
        <f>'Composite HWI'!B96*48.35347462</f>
        <v>1450.6042385999999</v>
      </c>
      <c r="E133">
        <f t="shared" si="100"/>
        <v>6.1899553637411689E-2</v>
      </c>
      <c r="F133">
        <f t="shared" si="101"/>
        <v>2.1440247104555263E-2</v>
      </c>
      <c r="G133">
        <f>'2-state flows'!G132</f>
        <v>0.51633264115547517</v>
      </c>
      <c r="H133">
        <f t="shared" si="102"/>
        <v>0.45388392418719087</v>
      </c>
      <c r="I133">
        <f>'2-state flows'!H132</f>
        <v>3.4131119735228449E-2</v>
      </c>
      <c r="J133">
        <f t="shared" si="106"/>
        <v>9.1802610753324437E-2</v>
      </c>
      <c r="K133">
        <v>0.5</v>
      </c>
      <c r="L133">
        <f t="shared" si="108"/>
        <v>0.45341760035173634</v>
      </c>
      <c r="M133">
        <f t="shared" si="103"/>
        <v>1.3624263188563935E-2</v>
      </c>
      <c r="N133">
        <f t="shared" ref="N133:O133" si="145">AVERAGE(G131:G133)</f>
        <v>0.51921718233254943</v>
      </c>
      <c r="O133">
        <f t="shared" si="145"/>
        <v>0.43233631008325224</v>
      </c>
      <c r="P133">
        <f t="shared" si="110"/>
        <v>6.6651988199602219E-2</v>
      </c>
      <c r="Q133">
        <f t="shared" si="111"/>
        <v>2.0889557564872152E-2</v>
      </c>
      <c r="R133">
        <f t="shared" si="112"/>
        <v>1.4471785264909193E-2</v>
      </c>
      <c r="U133" s="18">
        <f t="shared" ref="U133:U196" si="146">DATE(YEAR(U132),MONTH(U132)+3,1)</f>
        <v>30560</v>
      </c>
      <c r="V133">
        <f t="shared" si="139"/>
        <v>9.3532381056709579E-2</v>
      </c>
      <c r="W133" t="e">
        <f t="shared" si="140"/>
        <v>#N/A</v>
      </c>
      <c r="X133">
        <f t="shared" si="141"/>
        <v>9.3532381056709579E-2</v>
      </c>
      <c r="Y133" t="e">
        <f t="shared" si="142"/>
        <v>#N/A</v>
      </c>
      <c r="Z133" t="e">
        <f t="shared" si="143"/>
        <v>#N/A</v>
      </c>
      <c r="AA133">
        <f t="shared" si="144"/>
        <v>2.8181462975153556E-2</v>
      </c>
      <c r="AB133">
        <f t="shared" si="144"/>
        <v>1.0589215937183495E-2</v>
      </c>
    </row>
    <row r="134" spans="1:28" x14ac:dyDescent="0.25">
      <c r="A134" s="18">
        <f t="shared" si="105"/>
        <v>21520</v>
      </c>
      <c r="B134">
        <f>'2-state flows'!B133</f>
        <v>67740</v>
      </c>
      <c r="C134">
        <f>'2-state flows'!C133</f>
        <v>4191</v>
      </c>
      <c r="D134">
        <f>'Composite HWI'!B97*48.35347462</f>
        <v>1547.31118784</v>
      </c>
      <c r="E134">
        <f t="shared" si="100"/>
        <v>6.186891054030115E-2</v>
      </c>
      <c r="F134">
        <f t="shared" si="101"/>
        <v>2.284191301801004E-2</v>
      </c>
      <c r="G134">
        <f>'2-state flows'!G133</f>
        <v>0.51905152168508972</v>
      </c>
      <c r="H134">
        <f t="shared" si="102"/>
        <v>0.46860149403158669</v>
      </c>
      <c r="I134">
        <f>'2-state flows'!H133</f>
        <v>3.171378319367759E-2</v>
      </c>
      <c r="J134">
        <f t="shared" si="106"/>
        <v>-7.3458182880340173E-2</v>
      </c>
      <c r="K134">
        <v>0.5</v>
      </c>
      <c r="L134">
        <f t="shared" si="108"/>
        <v>0.30650123459105599</v>
      </c>
      <c r="M134">
        <f t="shared" si="103"/>
        <v>1.6812050215877939E-2</v>
      </c>
      <c r="N134">
        <f t="shared" ref="N134:O134" si="147">AVERAGE(G132:G134)</f>
        <v>0.5258999003230006</v>
      </c>
      <c r="O134">
        <f t="shared" si="147"/>
        <v>0.44989420986795281</v>
      </c>
      <c r="P134">
        <f t="shared" si="110"/>
        <v>6.3643300487287668E-2</v>
      </c>
      <c r="Q134">
        <f t="shared" si="111"/>
        <v>2.1629952480074249E-2</v>
      </c>
      <c r="R134">
        <f t="shared" si="112"/>
        <v>1.539025293337897E-2</v>
      </c>
      <c r="U134" s="18">
        <f t="shared" si="146"/>
        <v>30651</v>
      </c>
      <c r="V134">
        <f t="shared" si="139"/>
        <v>8.534843737371374E-2</v>
      </c>
      <c r="W134" t="e">
        <f t="shared" si="140"/>
        <v>#N/A</v>
      </c>
      <c r="X134">
        <f t="shared" si="141"/>
        <v>8.534843737371374E-2</v>
      </c>
      <c r="Y134" t="e">
        <f t="shared" si="142"/>
        <v>#N/A</v>
      </c>
      <c r="Z134" t="e">
        <f t="shared" si="143"/>
        <v>#N/A</v>
      </c>
      <c r="AA134">
        <f t="shared" si="144"/>
        <v>3.1757590851505965E-2</v>
      </c>
      <c r="AB134">
        <f t="shared" si="144"/>
        <v>1.376976084110996E-2</v>
      </c>
    </row>
    <row r="135" spans="1:28" x14ac:dyDescent="0.25">
      <c r="A135" s="18">
        <f t="shared" si="105"/>
        <v>21551</v>
      </c>
      <c r="B135">
        <f>'2-state flows'!B134</f>
        <v>67936</v>
      </c>
      <c r="C135">
        <f>'2-state flows'!C134</f>
        <v>4068</v>
      </c>
      <c r="D135">
        <f>'Composite HWI'!B98*48.35347462</f>
        <v>1547.31118784</v>
      </c>
      <c r="E135">
        <f t="shared" si="100"/>
        <v>5.9879886952425812E-2</v>
      </c>
      <c r="F135">
        <f t="shared" si="101"/>
        <v>2.2776012538860104E-2</v>
      </c>
      <c r="G135">
        <f>'2-state flows'!G134</f>
        <v>0.52310987898727945</v>
      </c>
      <c r="H135">
        <f t="shared" si="102"/>
        <v>0.47563305293146119</v>
      </c>
      <c r="I135">
        <f>'2-state flows'!H134</f>
        <v>3.1218122101468432E-2</v>
      </c>
      <c r="J135">
        <f t="shared" si="106"/>
        <v>-1.5752624666344091E-2</v>
      </c>
      <c r="K135">
        <v>0.5</v>
      </c>
      <c r="L135">
        <f t="shared" si="108"/>
        <v>0.27499598525836783</v>
      </c>
      <c r="M135">
        <f t="shared" si="103"/>
        <v>1.73000936580073E-2</v>
      </c>
      <c r="N135">
        <f t="shared" ref="N135:O135" si="148">AVERAGE(G133:G135)</f>
        <v>0.51949801394261474</v>
      </c>
      <c r="O135">
        <f t="shared" si="148"/>
        <v>0.46603949038341291</v>
      </c>
      <c r="P135">
        <f t="shared" si="110"/>
        <v>6.1216117043379557E-2</v>
      </c>
      <c r="Q135">
        <f t="shared" si="111"/>
        <v>2.2352724220475139E-2</v>
      </c>
      <c r="R135">
        <f t="shared" si="112"/>
        <v>1.5912135687483061E-2</v>
      </c>
      <c r="U135" s="18">
        <f t="shared" si="146"/>
        <v>30742</v>
      </c>
      <c r="V135">
        <f t="shared" si="139"/>
        <v>7.8645499677583885E-2</v>
      </c>
      <c r="W135" t="e">
        <f t="shared" si="140"/>
        <v>#N/A</v>
      </c>
      <c r="X135">
        <f t="shared" si="141"/>
        <v>7.8645499677583885E-2</v>
      </c>
      <c r="Y135" t="e">
        <f t="shared" si="142"/>
        <v>#N/A</v>
      </c>
      <c r="Z135" t="e">
        <f t="shared" si="143"/>
        <v>#N/A</v>
      </c>
      <c r="AA135">
        <f t="shared" si="144"/>
        <v>3.437989319001708E-2</v>
      </c>
      <c r="AB135">
        <f t="shared" si="144"/>
        <v>1.5338457521058493E-2</v>
      </c>
    </row>
    <row r="136" spans="1:28" x14ac:dyDescent="0.25">
      <c r="A136" s="18">
        <f t="shared" si="105"/>
        <v>21582</v>
      </c>
      <c r="B136">
        <f>'2-state flows'!B135</f>
        <v>67649</v>
      </c>
      <c r="C136">
        <f>'2-state flows'!C135</f>
        <v>3965</v>
      </c>
      <c r="D136">
        <f>'Composite HWI'!B99*48.35347462</f>
        <v>1644.0181370800001</v>
      </c>
      <c r="E136">
        <f t="shared" si="100"/>
        <v>5.8611361587015326E-2</v>
      </c>
      <c r="F136">
        <f t="shared" si="101"/>
        <v>2.4302179442120358E-2</v>
      </c>
      <c r="G136">
        <f>'2-state flows'!G135</f>
        <v>0.52650058991128568</v>
      </c>
      <c r="H136">
        <f t="shared" si="102"/>
        <v>0.49659846507060063</v>
      </c>
      <c r="I136">
        <f>'2-state flows'!H135</f>
        <v>2.9423198678412688E-2</v>
      </c>
      <c r="J136">
        <f t="shared" si="106"/>
        <v>-5.9215328894349571E-2</v>
      </c>
      <c r="K136">
        <v>0.5</v>
      </c>
      <c r="L136">
        <f t="shared" si="108"/>
        <v>0.15656532746966867</v>
      </c>
      <c r="M136">
        <f t="shared" si="103"/>
        <v>2.0780202027468605E-2</v>
      </c>
      <c r="N136">
        <f t="shared" ref="N136:O136" si="149">AVERAGE(G134:G136)</f>
        <v>0.52288733019455158</v>
      </c>
      <c r="O136">
        <f t="shared" si="149"/>
        <v>0.48027767067788285</v>
      </c>
      <c r="P136">
        <f t="shared" si="110"/>
        <v>6.0120053026580765E-2</v>
      </c>
      <c r="Q136">
        <f t="shared" si="111"/>
        <v>2.3306701666330167E-2</v>
      </c>
      <c r="R136">
        <f t="shared" si="112"/>
        <v>1.8297448633784616E-2</v>
      </c>
      <c r="U136" s="18">
        <f t="shared" si="146"/>
        <v>30834</v>
      </c>
      <c r="V136">
        <f t="shared" si="139"/>
        <v>7.4717024652157571E-2</v>
      </c>
      <c r="W136" t="e">
        <f t="shared" si="140"/>
        <v>#N/A</v>
      </c>
      <c r="X136">
        <f t="shared" si="141"/>
        <v>7.4717024652157571E-2</v>
      </c>
      <c r="Y136" t="e">
        <f t="shared" si="142"/>
        <v>#N/A</v>
      </c>
      <c r="Z136" t="e">
        <f t="shared" si="143"/>
        <v>#N/A</v>
      </c>
      <c r="AA136">
        <f t="shared" si="144"/>
        <v>3.6630358125257938E-2</v>
      </c>
      <c r="AB136">
        <f t="shared" si="144"/>
        <v>1.7294444766831465E-2</v>
      </c>
    </row>
    <row r="137" spans="1:28" x14ac:dyDescent="0.25">
      <c r="A137" s="18">
        <f t="shared" si="105"/>
        <v>21610</v>
      </c>
      <c r="B137">
        <f>'2-state flows'!B136</f>
        <v>68068</v>
      </c>
      <c r="C137">
        <f>'2-state flows'!C136</f>
        <v>3801</v>
      </c>
      <c r="D137">
        <f>'Composite HWI'!B100*48.35347462</f>
        <v>1740.7250863199999</v>
      </c>
      <c r="E137">
        <f t="shared" si="100"/>
        <v>5.584121760592349E-2</v>
      </c>
      <c r="F137">
        <f t="shared" si="101"/>
        <v>2.5573325003232061E-2</v>
      </c>
      <c r="G137">
        <f>'2-state flows'!G136</f>
        <v>0.60433964511313654</v>
      </c>
      <c r="H137">
        <f t="shared" si="102"/>
        <v>0.52190303903410618</v>
      </c>
      <c r="I137">
        <f>'2-state flows'!H136</f>
        <v>3.0907908274626174E-2</v>
      </c>
      <c r="J137">
        <f t="shared" si="106"/>
        <v>4.9228648490233125E-2</v>
      </c>
      <c r="K137">
        <v>0.5</v>
      </c>
      <c r="L137">
        <f t="shared" si="108"/>
        <v>0.2550226244501349</v>
      </c>
      <c r="M137">
        <f t="shared" si="103"/>
        <v>1.9816743104737133E-2</v>
      </c>
      <c r="N137">
        <f t="shared" ref="N137:O137" si="150">AVERAGE(G135:G137)</f>
        <v>0.55131670467056726</v>
      </c>
      <c r="O137">
        <f t="shared" si="150"/>
        <v>0.49804485234538931</v>
      </c>
      <c r="P137">
        <f t="shared" si="110"/>
        <v>5.8110822048454878E-2</v>
      </c>
      <c r="Q137">
        <f t="shared" si="111"/>
        <v>2.421717232807084E-2</v>
      </c>
      <c r="R137">
        <f t="shared" si="112"/>
        <v>1.9299012930071014E-2</v>
      </c>
      <c r="U137" s="18">
        <f t="shared" si="146"/>
        <v>30926</v>
      </c>
      <c r="V137">
        <f t="shared" si="139"/>
        <v>7.4442795177973586E-2</v>
      </c>
      <c r="W137" t="e">
        <f t="shared" si="140"/>
        <v>#N/A</v>
      </c>
      <c r="X137">
        <f t="shared" si="141"/>
        <v>7.4442795177973586E-2</v>
      </c>
      <c r="Y137" t="e">
        <f t="shared" si="142"/>
        <v>#N/A</v>
      </c>
      <c r="Z137" t="e">
        <f t="shared" si="143"/>
        <v>#N/A</v>
      </c>
      <c r="AA137">
        <f t="shared" si="144"/>
        <v>3.72368348397367E-2</v>
      </c>
      <c r="AB137">
        <f t="shared" si="144"/>
        <v>1.5626207624753804E-2</v>
      </c>
    </row>
    <row r="138" spans="1:28" x14ac:dyDescent="0.25">
      <c r="A138" s="18">
        <f t="shared" si="105"/>
        <v>21641</v>
      </c>
      <c r="B138">
        <f>'2-state flows'!B137</f>
        <v>68339</v>
      </c>
      <c r="C138">
        <f>'2-state flows'!C137</f>
        <v>3571</v>
      </c>
      <c r="D138">
        <f>'Composite HWI'!B101*48.35347462</f>
        <v>1837.43203556</v>
      </c>
      <c r="E138">
        <f t="shared" si="100"/>
        <v>5.2254203309969417E-2</v>
      </c>
      <c r="F138">
        <f t="shared" si="101"/>
        <v>2.6887019645590367E-2</v>
      </c>
      <c r="G138">
        <f>'2-state flows'!G137</f>
        <v>0.57969848805236612</v>
      </c>
      <c r="H138">
        <f t="shared" si="102"/>
        <v>0.55320281756225509</v>
      </c>
      <c r="I138">
        <f>'2-state flows'!H137</f>
        <v>3.0064555946925867E-2</v>
      </c>
      <c r="J138">
        <f t="shared" si="106"/>
        <v>-2.7665147762083987E-2</v>
      </c>
      <c r="K138">
        <v>0.5</v>
      </c>
      <c r="L138">
        <f t="shared" si="108"/>
        <v>0.19969232892596694</v>
      </c>
      <c r="M138">
        <f t="shared" si="103"/>
        <v>2.2020003718534686E-2</v>
      </c>
      <c r="N138">
        <f t="shared" ref="N138:O138" si="151">AVERAGE(G136:G138)</f>
        <v>0.57017957435892941</v>
      </c>
      <c r="O138">
        <f t="shared" si="151"/>
        <v>0.52390144055565402</v>
      </c>
      <c r="P138">
        <f t="shared" si="110"/>
        <v>5.5568927500969416E-2</v>
      </c>
      <c r="Q138">
        <f t="shared" si="111"/>
        <v>2.5587508030314263E-2</v>
      </c>
      <c r="R138">
        <f t="shared" si="112"/>
        <v>2.0872316283580144E-2</v>
      </c>
      <c r="U138" s="18">
        <f t="shared" si="146"/>
        <v>31017</v>
      </c>
      <c r="V138">
        <f t="shared" si="139"/>
        <v>7.2751508868517792E-2</v>
      </c>
      <c r="W138" t="e">
        <f t="shared" si="140"/>
        <v>#N/A</v>
      </c>
      <c r="X138">
        <f t="shared" si="141"/>
        <v>7.2751508868517792E-2</v>
      </c>
      <c r="Y138" t="e">
        <f t="shared" si="142"/>
        <v>#N/A</v>
      </c>
      <c r="Z138" t="e">
        <f t="shared" si="143"/>
        <v>#N/A</v>
      </c>
      <c r="AA138">
        <f t="shared" si="144"/>
        <v>3.7805165182863032E-2</v>
      </c>
      <c r="AB138">
        <f t="shared" si="144"/>
        <v>1.5601431113618012E-2</v>
      </c>
    </row>
    <row r="139" spans="1:28" x14ac:dyDescent="0.25">
      <c r="A139" s="18">
        <f t="shared" si="105"/>
        <v>21671</v>
      </c>
      <c r="B139">
        <f>'2-state flows'!B138</f>
        <v>68178</v>
      </c>
      <c r="C139">
        <f>'2-state flows'!C138</f>
        <v>3479</v>
      </c>
      <c r="D139">
        <f>'Composite HWI'!B102*48.35347462</f>
        <v>1837.43203556</v>
      </c>
      <c r="E139">
        <f t="shared" si="100"/>
        <v>5.1028190912024408E-2</v>
      </c>
      <c r="F139">
        <f t="shared" si="101"/>
        <v>2.6950512416908681E-2</v>
      </c>
      <c r="G139">
        <f>'2-state flows'!G138</f>
        <v>0.60121356955152294</v>
      </c>
      <c r="H139">
        <f t="shared" si="102"/>
        <v>0.5604696422890918</v>
      </c>
      <c r="I139">
        <f>'2-state flows'!H138</f>
        <v>3.128570208004023E-2</v>
      </c>
      <c r="J139">
        <f t="shared" si="106"/>
        <v>3.9814256010926967E-2</v>
      </c>
      <c r="K139">
        <v>0.5</v>
      </c>
      <c r="L139">
        <f t="shared" si="108"/>
        <v>0.27932084094782089</v>
      </c>
      <c r="M139">
        <f t="shared" si="103"/>
        <v>2.0382597434410694E-2</v>
      </c>
      <c r="N139">
        <f t="shared" ref="N139:O139" si="152">AVERAGE(G137:G139)</f>
        <v>0.5950839009056752</v>
      </c>
      <c r="O139">
        <f t="shared" si="152"/>
        <v>0.54519183296181761</v>
      </c>
      <c r="P139">
        <f t="shared" si="110"/>
        <v>5.3041203942639108E-2</v>
      </c>
      <c r="Q139">
        <f t="shared" si="111"/>
        <v>2.6470285688577039E-2</v>
      </c>
      <c r="R139">
        <f t="shared" si="112"/>
        <v>2.0739781419227502E-2</v>
      </c>
      <c r="U139" s="18">
        <f t="shared" si="146"/>
        <v>31107</v>
      </c>
      <c r="V139">
        <f t="shared" si="139"/>
        <v>7.2720160860142768E-2</v>
      </c>
      <c r="W139" t="e">
        <f t="shared" si="140"/>
        <v>#N/A</v>
      </c>
      <c r="X139">
        <f t="shared" si="141"/>
        <v>7.2720160860142768E-2</v>
      </c>
      <c r="Y139" t="e">
        <f t="shared" si="142"/>
        <v>#N/A</v>
      </c>
      <c r="Z139" t="e">
        <f t="shared" si="143"/>
        <v>#N/A</v>
      </c>
      <c r="AA139">
        <f t="shared" si="144"/>
        <v>3.79888485752388E-2</v>
      </c>
      <c r="AB139">
        <f t="shared" si="144"/>
        <v>1.5567125775694199E-2</v>
      </c>
    </row>
    <row r="140" spans="1:28" x14ac:dyDescent="0.25">
      <c r="A140" s="18">
        <f t="shared" si="105"/>
        <v>21702</v>
      </c>
      <c r="B140">
        <f>'2-state flows'!B139</f>
        <v>68278</v>
      </c>
      <c r="C140">
        <f>'2-state flows'!C139</f>
        <v>3429</v>
      </c>
      <c r="D140">
        <f>'Composite HWI'!B103*48.35347462</f>
        <v>1934.1389847999999</v>
      </c>
      <c r="E140">
        <f t="shared" si="100"/>
        <v>5.0221154691115731E-2</v>
      </c>
      <c r="F140">
        <f t="shared" si="101"/>
        <v>2.8327411242274229E-2</v>
      </c>
      <c r="G140">
        <f>'2-state flows'!G139</f>
        <v>0.5711282890559245</v>
      </c>
      <c r="H140">
        <f t="shared" si="102"/>
        <v>0.57920694851463672</v>
      </c>
      <c r="I140">
        <f>'2-state flows'!H139</f>
        <v>3.2232579775874307E-2</v>
      </c>
      <c r="J140">
        <f t="shared" si="106"/>
        <v>2.9816544687933468E-2</v>
      </c>
      <c r="K140">
        <v>0.5</v>
      </c>
      <c r="L140">
        <f t="shared" si="108"/>
        <v>0.33895393032368781</v>
      </c>
      <c r="M140">
        <f t="shared" si="103"/>
        <v>2.018371317396617E-2</v>
      </c>
      <c r="N140">
        <f t="shared" ref="N140:O140" si="153">AVERAGE(G138:G140)</f>
        <v>0.58401344888660445</v>
      </c>
      <c r="O140">
        <f t="shared" si="153"/>
        <v>0.56429313612199461</v>
      </c>
      <c r="P140">
        <f t="shared" si="110"/>
        <v>5.1167849637703183E-2</v>
      </c>
      <c r="Q140">
        <f t="shared" si="111"/>
        <v>2.7388314434924427E-2</v>
      </c>
      <c r="R140">
        <f t="shared" si="112"/>
        <v>2.0862104775637182E-2</v>
      </c>
      <c r="U140" s="18">
        <f t="shared" si="146"/>
        <v>31199</v>
      </c>
      <c r="V140">
        <f t="shared" si="139"/>
        <v>7.2807604209799301E-2</v>
      </c>
      <c r="W140" t="e">
        <f t="shared" si="140"/>
        <v>#N/A</v>
      </c>
      <c r="X140">
        <f t="shared" si="141"/>
        <v>7.2807604209799301E-2</v>
      </c>
      <c r="Y140" t="e">
        <f t="shared" si="142"/>
        <v>#N/A</v>
      </c>
      <c r="Z140" t="e">
        <f t="shared" si="143"/>
        <v>#N/A</v>
      </c>
      <c r="AA140">
        <f t="shared" si="144"/>
        <v>3.8483762209838672E-2</v>
      </c>
      <c r="AB140">
        <f t="shared" si="144"/>
        <v>1.5560823100395832E-2</v>
      </c>
    </row>
    <row r="141" spans="1:28" x14ac:dyDescent="0.25">
      <c r="A141" s="18">
        <f t="shared" si="105"/>
        <v>21732</v>
      </c>
      <c r="B141">
        <f>'2-state flows'!B140</f>
        <v>68539</v>
      </c>
      <c r="C141">
        <f>'2-state flows'!C140</f>
        <v>3528</v>
      </c>
      <c r="D141">
        <f>'Composite HWI'!B104*48.35347462</f>
        <v>2030.84593404</v>
      </c>
      <c r="E141">
        <f t="shared" si="100"/>
        <v>5.1474343074745764E-2</v>
      </c>
      <c r="F141">
        <f t="shared" si="101"/>
        <v>2.9630515969593953E-2</v>
      </c>
      <c r="G141">
        <f>'2-state flows'!G140</f>
        <v>0.57712937042813095</v>
      </c>
      <c r="H141">
        <f t="shared" si="102"/>
        <v>0.58512393968250831</v>
      </c>
      <c r="I141">
        <f>'2-state flows'!H140</f>
        <v>3.2552183635837104E-2</v>
      </c>
      <c r="J141">
        <f t="shared" si="106"/>
        <v>9.8667166774897737E-3</v>
      </c>
      <c r="K141">
        <v>0.5</v>
      </c>
      <c r="L141">
        <f t="shared" si="108"/>
        <v>0.35868736367866738</v>
      </c>
      <c r="M141">
        <f t="shared" si="103"/>
        <v>2.0699662825413866E-2</v>
      </c>
      <c r="N141">
        <f t="shared" ref="N141:O141" si="154">AVERAGE(G139:G141)</f>
        <v>0.58315707634519276</v>
      </c>
      <c r="O141">
        <f t="shared" si="154"/>
        <v>0.57493351016207894</v>
      </c>
      <c r="P141">
        <f t="shared" si="110"/>
        <v>5.0907896225961972E-2</v>
      </c>
      <c r="Q141">
        <f t="shared" si="111"/>
        <v>2.8302813209592288E-2</v>
      </c>
      <c r="R141">
        <f t="shared" si="112"/>
        <v>2.0421991144596908E-2</v>
      </c>
      <c r="U141" s="18">
        <f t="shared" si="146"/>
        <v>31291</v>
      </c>
      <c r="V141">
        <f t="shared" si="139"/>
        <v>7.2024025870587594E-2</v>
      </c>
      <c r="W141" t="e">
        <f t="shared" si="140"/>
        <v>#N/A</v>
      </c>
      <c r="X141">
        <f t="shared" si="141"/>
        <v>7.2024025870587594E-2</v>
      </c>
      <c r="Y141" t="e">
        <f t="shared" si="142"/>
        <v>#N/A</v>
      </c>
      <c r="Z141" t="e">
        <f t="shared" si="143"/>
        <v>#N/A</v>
      </c>
      <c r="AA141">
        <f t="shared" si="144"/>
        <v>3.8513068504832874E-2</v>
      </c>
      <c r="AB141">
        <f t="shared" si="144"/>
        <v>1.627283141796346E-2</v>
      </c>
    </row>
    <row r="142" spans="1:28" x14ac:dyDescent="0.25">
      <c r="A142" s="18">
        <f t="shared" si="105"/>
        <v>21763</v>
      </c>
      <c r="B142">
        <f>'2-state flows'!B141</f>
        <v>68432</v>
      </c>
      <c r="C142">
        <f>'2-state flows'!C141</f>
        <v>3588</v>
      </c>
      <c r="D142">
        <f>'Composite HWI'!B105*48.35347462</f>
        <v>1934.1389847999999</v>
      </c>
      <c r="E142">
        <f t="shared" si="100"/>
        <v>5.243161094224924E-2</v>
      </c>
      <c r="F142">
        <f t="shared" si="101"/>
        <v>2.8263662976385315E-2</v>
      </c>
      <c r="G142">
        <f>'2-state flows'!G141</f>
        <v>0.50148624292225719</v>
      </c>
      <c r="H142">
        <f t="shared" si="102"/>
        <v>0.56622793117000547</v>
      </c>
      <c r="I142">
        <f>'2-state flows'!H141</f>
        <v>3.1468901372329196E-2</v>
      </c>
      <c r="J142">
        <f t="shared" si="106"/>
        <v>-3.384465184073334E-2</v>
      </c>
      <c r="K142">
        <v>0.5</v>
      </c>
      <c r="L142">
        <f t="shared" si="108"/>
        <v>0.29099805999720069</v>
      </c>
      <c r="M142">
        <f t="shared" si="103"/>
        <v>2.1127572180576898E-2</v>
      </c>
      <c r="N142">
        <f t="shared" ref="N142:O142" si="155">AVERAGE(G140:G142)</f>
        <v>0.54991463413543762</v>
      </c>
      <c r="O142">
        <f t="shared" si="155"/>
        <v>0.57685293978905017</v>
      </c>
      <c r="P142">
        <f t="shared" si="110"/>
        <v>5.1375702902703581E-2</v>
      </c>
      <c r="Q142">
        <f t="shared" si="111"/>
        <v>2.8740530062751166E-2</v>
      </c>
      <c r="R142">
        <f t="shared" si="112"/>
        <v>2.0670316059985646E-2</v>
      </c>
      <c r="U142" s="18">
        <f t="shared" si="146"/>
        <v>31382</v>
      </c>
      <c r="V142">
        <f t="shared" si="139"/>
        <v>7.0458140122747315E-2</v>
      </c>
      <c r="W142" t="e">
        <f t="shared" si="140"/>
        <v>#N/A</v>
      </c>
      <c r="X142">
        <f t="shared" si="141"/>
        <v>7.0458140122747315E-2</v>
      </c>
      <c r="Y142" t="e">
        <f t="shared" si="142"/>
        <v>#N/A</v>
      </c>
      <c r="Z142" t="e">
        <f t="shared" si="143"/>
        <v>#N/A</v>
      </c>
      <c r="AA142">
        <f t="shared" si="144"/>
        <v>3.8141334310233727E-2</v>
      </c>
      <c r="AB142">
        <f t="shared" si="144"/>
        <v>1.6613963642336169E-2</v>
      </c>
    </row>
    <row r="143" spans="1:28" x14ac:dyDescent="0.25">
      <c r="A143" s="18">
        <f t="shared" si="105"/>
        <v>21794</v>
      </c>
      <c r="B143">
        <f>'2-state flows'!B142</f>
        <v>68545</v>
      </c>
      <c r="C143">
        <f>'2-state flows'!C142</f>
        <v>3775</v>
      </c>
      <c r="D143">
        <f>'Composite HWI'!B106*48.35347462</f>
        <v>1982.4924594199999</v>
      </c>
      <c r="E143">
        <f t="shared" si="100"/>
        <v>5.5073309504704938E-2</v>
      </c>
      <c r="F143">
        <f t="shared" si="101"/>
        <v>2.8922495578379167E-2</v>
      </c>
      <c r="G143">
        <f>'2-state flows'!G142</f>
        <v>0.55829216100491441</v>
      </c>
      <c r="H143">
        <f t="shared" si="102"/>
        <v>0.5588830785268587</v>
      </c>
      <c r="I143">
        <f>'2-state flows'!H142</f>
        <v>3.5302786395001881E-2</v>
      </c>
      <c r="J143">
        <f t="shared" si="106"/>
        <v>0.11496209537657333</v>
      </c>
      <c r="K143">
        <v>0.5</v>
      </c>
      <c r="L143">
        <f t="shared" si="108"/>
        <v>0.52092225075034737</v>
      </c>
      <c r="M143">
        <f t="shared" si="103"/>
        <v>1.7179167112077821E-2</v>
      </c>
      <c r="N143">
        <f t="shared" ref="N143:O143" si="156">AVERAGE(G141:G143)</f>
        <v>0.54563592478510081</v>
      </c>
      <c r="O143">
        <f t="shared" si="156"/>
        <v>0.57007831645979079</v>
      </c>
      <c r="P143">
        <f t="shared" si="110"/>
        <v>5.2993087840566645E-2</v>
      </c>
      <c r="Q143">
        <f t="shared" si="111"/>
        <v>2.8938891508119482E-2</v>
      </c>
      <c r="R143">
        <f t="shared" si="112"/>
        <v>1.9668800706022862E-2</v>
      </c>
      <c r="U143" s="18">
        <f t="shared" si="146"/>
        <v>31472</v>
      </c>
      <c r="V143">
        <f t="shared" si="139"/>
        <v>7.006835668273946E-2</v>
      </c>
      <c r="W143" t="e">
        <f t="shared" si="140"/>
        <v>#N/A</v>
      </c>
      <c r="X143">
        <f t="shared" si="141"/>
        <v>7.006835668273946E-2</v>
      </c>
      <c r="Y143" t="e">
        <f t="shared" si="142"/>
        <v>#N/A</v>
      </c>
      <c r="Z143" t="e">
        <f t="shared" si="143"/>
        <v>#N/A</v>
      </c>
      <c r="AA143">
        <f t="shared" si="144"/>
        <v>3.763155144535326E-2</v>
      </c>
      <c r="AB143">
        <f t="shared" si="144"/>
        <v>1.5766309498989165E-2</v>
      </c>
    </row>
    <row r="144" spans="1:28" x14ac:dyDescent="0.25">
      <c r="A144" s="18">
        <f t="shared" si="105"/>
        <v>21824</v>
      </c>
      <c r="B144">
        <f>'2-state flows'!B143</f>
        <v>68821</v>
      </c>
      <c r="C144">
        <f>'2-state flows'!C143</f>
        <v>3910</v>
      </c>
      <c r="D144">
        <f>'Composite HWI'!B107*48.35347462</f>
        <v>1934.1389847999999</v>
      </c>
      <c r="E144">
        <f t="shared" si="100"/>
        <v>5.6814053849842346E-2</v>
      </c>
      <c r="F144">
        <f t="shared" si="101"/>
        <v>2.8103907016753606E-2</v>
      </c>
      <c r="G144">
        <f>'2-state flows'!G143</f>
        <v>0.54905790826980416</v>
      </c>
      <c r="H144">
        <f t="shared" si="102"/>
        <v>0.54241179779476889</v>
      </c>
      <c r="I144">
        <f>'2-state flows'!H143</f>
        <v>3.4964828188217799E-2</v>
      </c>
      <c r="J144">
        <f t="shared" si="106"/>
        <v>-9.6192482048017159E-3</v>
      </c>
      <c r="K144">
        <v>0.5</v>
      </c>
      <c r="L144">
        <f t="shared" si="108"/>
        <v>0.50168375434074397</v>
      </c>
      <c r="M144">
        <f t="shared" si="103"/>
        <v>1.70172043360305E-2</v>
      </c>
      <c r="N144">
        <f t="shared" ref="N144:O144" si="157">AVERAGE(G142:G144)</f>
        <v>0.53627877073232522</v>
      </c>
      <c r="O144">
        <f t="shared" si="157"/>
        <v>0.55584093583054439</v>
      </c>
      <c r="P144">
        <f t="shared" si="110"/>
        <v>5.4772991432265501E-2</v>
      </c>
      <c r="Q144">
        <f t="shared" si="111"/>
        <v>2.8430021857172697E-2</v>
      </c>
      <c r="R144">
        <f t="shared" si="112"/>
        <v>1.8441314542895073E-2</v>
      </c>
      <c r="U144" s="18">
        <f t="shared" si="146"/>
        <v>31564</v>
      </c>
      <c r="V144">
        <f t="shared" si="139"/>
        <v>7.1716397893902703E-2</v>
      </c>
      <c r="W144" t="e">
        <f t="shared" si="140"/>
        <v>#N/A</v>
      </c>
      <c r="X144">
        <f t="shared" si="141"/>
        <v>7.1716397893902703E-2</v>
      </c>
      <c r="Y144" t="e">
        <f t="shared" si="142"/>
        <v>#N/A</v>
      </c>
      <c r="Z144" t="e">
        <f t="shared" si="143"/>
        <v>#N/A</v>
      </c>
      <c r="AA144">
        <f t="shared" si="144"/>
        <v>3.7402446325872418E-2</v>
      </c>
      <c r="AB144">
        <f t="shared" si="144"/>
        <v>1.6040833654568803E-2</v>
      </c>
    </row>
    <row r="145" spans="1:28" x14ac:dyDescent="0.25">
      <c r="A145" s="18">
        <f t="shared" si="105"/>
        <v>21855</v>
      </c>
      <c r="B145">
        <f>'2-state flows'!B144</f>
        <v>68533</v>
      </c>
      <c r="C145">
        <f>'2-state flows'!C144</f>
        <v>4003</v>
      </c>
      <c r="D145">
        <f>'Composite HWI'!B108*48.35347462</f>
        <v>1934.1389847999999</v>
      </c>
      <c r="E145">
        <f t="shared" si="100"/>
        <v>5.8409817168371445E-2</v>
      </c>
      <c r="F145">
        <f t="shared" si="101"/>
        <v>2.8222009612887219E-2</v>
      </c>
      <c r="G145">
        <f>'2-state flows'!G144</f>
        <v>0.69589890212116434</v>
      </c>
      <c r="H145">
        <f t="shared" si="102"/>
        <v>0.53607395884917741</v>
      </c>
      <c r="I145">
        <f>'2-state flows'!H144</f>
        <v>3.5521751050287965E-2</v>
      </c>
      <c r="J145">
        <f t="shared" si="106"/>
        <v>1.5802567173946677E-2</v>
      </c>
      <c r="K145">
        <v>0.5</v>
      </c>
      <c r="L145">
        <f t="shared" si="108"/>
        <v>0.53328888868863733</v>
      </c>
      <c r="M145">
        <f t="shared" si="103"/>
        <v>1.6557071103165882E-2</v>
      </c>
      <c r="N145">
        <f t="shared" ref="N145:O145" si="158">AVERAGE(G143:G145)</f>
        <v>0.60108299046529434</v>
      </c>
      <c r="O145">
        <f t="shared" si="158"/>
        <v>0.54578961172360163</v>
      </c>
      <c r="P145">
        <f t="shared" si="110"/>
        <v>5.6765726840972912E-2</v>
      </c>
      <c r="Q145">
        <f t="shared" si="111"/>
        <v>2.841613740267333E-2</v>
      </c>
      <c r="R145">
        <f t="shared" si="112"/>
        <v>1.6917814183758068E-2</v>
      </c>
      <c r="U145" s="18">
        <f t="shared" si="146"/>
        <v>31656</v>
      </c>
      <c r="V145">
        <f t="shared" si="139"/>
        <v>6.982164658883655E-2</v>
      </c>
      <c r="W145" t="e">
        <f t="shared" si="140"/>
        <v>#N/A</v>
      </c>
      <c r="X145">
        <f t="shared" si="141"/>
        <v>6.982164658883655E-2</v>
      </c>
      <c r="Y145" t="e">
        <f t="shared" si="142"/>
        <v>#N/A</v>
      </c>
      <c r="Z145" t="e">
        <f t="shared" si="143"/>
        <v>#N/A</v>
      </c>
      <c r="AA145">
        <f t="shared" si="144"/>
        <v>3.7627410473405461E-2</v>
      </c>
      <c r="AB145">
        <f t="shared" si="144"/>
        <v>1.7207426014155213E-2</v>
      </c>
    </row>
    <row r="146" spans="1:28" x14ac:dyDescent="0.25">
      <c r="A146" s="18">
        <f t="shared" si="105"/>
        <v>21885</v>
      </c>
      <c r="B146">
        <f>'2-state flows'!B145</f>
        <v>68994</v>
      </c>
      <c r="C146">
        <f>'2-state flows'!C145</f>
        <v>3653</v>
      </c>
      <c r="D146">
        <f>'Composite HWI'!B109*48.35347462</f>
        <v>1934.1389847999999</v>
      </c>
      <c r="E146">
        <f t="shared" si="100"/>
        <v>5.2946633040554254E-2</v>
      </c>
      <c r="F146">
        <f t="shared" si="101"/>
        <v>2.803343746992492E-2</v>
      </c>
      <c r="G146">
        <f>'2-state flows'!G145</f>
        <v>0.61396820362466553</v>
      </c>
      <c r="H146">
        <f t="shared" si="102"/>
        <v>0.56116770518804227</v>
      </c>
      <c r="I146">
        <f>'2-state flows'!H145</f>
        <v>3.3534914014888201E-2</v>
      </c>
      <c r="J146">
        <f t="shared" si="106"/>
        <v>-5.7558108988312325E-2</v>
      </c>
      <c r="K146">
        <v>0.5</v>
      </c>
      <c r="L146">
        <f t="shared" si="108"/>
        <v>0.4181726707120127</v>
      </c>
      <c r="M146">
        <f t="shared" si="103"/>
        <v>1.8452969800568514E-2</v>
      </c>
      <c r="N146">
        <f t="shared" ref="N146:O146" si="159">AVERAGE(G144:G146)</f>
        <v>0.61964167133854475</v>
      </c>
      <c r="O146">
        <f t="shared" si="159"/>
        <v>0.54655115394399623</v>
      </c>
      <c r="P146">
        <f t="shared" si="110"/>
        <v>5.6056834686256017E-2</v>
      </c>
      <c r="Q146">
        <f t="shared" si="111"/>
        <v>2.8119784699855249E-2</v>
      </c>
      <c r="R146">
        <f t="shared" si="112"/>
        <v>1.7342415079921632E-2</v>
      </c>
      <c r="U146" s="18">
        <f t="shared" si="146"/>
        <v>31747</v>
      </c>
      <c r="V146">
        <f t="shared" si="139"/>
        <v>6.8262430987115666E-2</v>
      </c>
      <c r="W146" t="e">
        <f t="shared" si="140"/>
        <v>#N/A</v>
      </c>
      <c r="X146">
        <f t="shared" si="141"/>
        <v>6.8262430987115666E-2</v>
      </c>
      <c r="Y146" t="e">
        <f t="shared" si="142"/>
        <v>#N/A</v>
      </c>
      <c r="Z146" t="e">
        <f t="shared" si="143"/>
        <v>#N/A</v>
      </c>
      <c r="AA146">
        <f t="shared" si="144"/>
        <v>3.8328022194419463E-2</v>
      </c>
      <c r="AB146">
        <f t="shared" si="144"/>
        <v>1.8237052582766866E-2</v>
      </c>
    </row>
    <row r="147" spans="1:28" x14ac:dyDescent="0.25">
      <c r="A147" s="18">
        <f t="shared" si="105"/>
        <v>21916</v>
      </c>
      <c r="B147">
        <f>'2-state flows'!B146</f>
        <v>68962</v>
      </c>
      <c r="C147">
        <f>'2-state flows'!C146</f>
        <v>3615</v>
      </c>
      <c r="D147">
        <f>'Composite HWI'!B110*48.35347462</f>
        <v>1982.4924594199999</v>
      </c>
      <c r="E147">
        <f t="shared" si="100"/>
        <v>5.242017342884487E-2</v>
      </c>
      <c r="F147">
        <f t="shared" si="101"/>
        <v>2.8747606789536265E-2</v>
      </c>
      <c r="G147">
        <f>'2-state flows'!G146</f>
        <v>0.64429115542299187</v>
      </c>
      <c r="H147">
        <f t="shared" si="102"/>
        <v>0.57111726307412192</v>
      </c>
      <c r="I147">
        <f>'2-state flows'!H146</f>
        <v>2.962644197367055E-2</v>
      </c>
      <c r="J147">
        <f t="shared" si="106"/>
        <v>-0.1239198330200354</v>
      </c>
      <c r="K147">
        <v>0.5</v>
      </c>
      <c r="L147">
        <f t="shared" si="108"/>
        <v>0.1703330046719419</v>
      </c>
      <c r="M147">
        <f t="shared" si="103"/>
        <v>2.424526927728346E-2</v>
      </c>
      <c r="N147">
        <f t="shared" ref="N147:O147" si="160">AVERAGE(G145:G147)</f>
        <v>0.65138608705627388</v>
      </c>
      <c r="O147">
        <f t="shared" si="160"/>
        <v>0.5561196423704472</v>
      </c>
      <c r="P147">
        <f t="shared" si="110"/>
        <v>5.4592207879256859E-2</v>
      </c>
      <c r="Q147">
        <f t="shared" si="111"/>
        <v>2.8334351290782805E-2</v>
      </c>
      <c r="R147">
        <f t="shared" si="112"/>
        <v>1.9751770060339287E-2</v>
      </c>
      <c r="U147" s="18">
        <f t="shared" si="146"/>
        <v>31837</v>
      </c>
      <c r="V147">
        <f t="shared" si="139"/>
        <v>6.6116078749383814E-2</v>
      </c>
      <c r="W147" t="e">
        <f t="shared" si="140"/>
        <v>#N/A</v>
      </c>
      <c r="X147" t="e">
        <f t="shared" si="141"/>
        <v>#N/A</v>
      </c>
      <c r="Y147" t="e">
        <f t="shared" si="142"/>
        <v>#N/A</v>
      </c>
      <c r="Z147" t="e">
        <f t="shared" si="143"/>
        <v>#N/A</v>
      </c>
      <c r="AA147">
        <f t="shared" si="144"/>
        <v>3.8574055544933823E-2</v>
      </c>
      <c r="AB147">
        <f t="shared" si="144"/>
        <v>1.9088401547792039E-2</v>
      </c>
    </row>
    <row r="148" spans="1:28" x14ac:dyDescent="0.25">
      <c r="A148" s="18">
        <f t="shared" si="105"/>
        <v>21947</v>
      </c>
      <c r="B148">
        <f>'2-state flows'!B147</f>
        <v>68949</v>
      </c>
      <c r="C148">
        <f>'2-state flows'!C147</f>
        <v>3329</v>
      </c>
      <c r="D148">
        <f>'Composite HWI'!B111*48.35347462</f>
        <v>1982.4924594199999</v>
      </c>
      <c r="E148">
        <f t="shared" si="100"/>
        <v>4.8282063554221238E-2</v>
      </c>
      <c r="F148">
        <f t="shared" si="101"/>
        <v>2.8753027011559268E-2</v>
      </c>
      <c r="G148">
        <f>'2-state flows'!G147</f>
        <v>0.47996597579139827</v>
      </c>
      <c r="H148">
        <f t="shared" si="102"/>
        <v>0.59514465966544672</v>
      </c>
      <c r="I148">
        <f>'2-state flows'!H147</f>
        <v>3.2079919631843569E-2</v>
      </c>
      <c r="J148">
        <f t="shared" si="106"/>
        <v>7.9563005265920181E-2</v>
      </c>
      <c r="K148">
        <v>0.5</v>
      </c>
      <c r="L148">
        <f t="shared" si="108"/>
        <v>0.32945901520378229</v>
      </c>
      <c r="M148">
        <f t="shared" si="103"/>
        <v>2.0682419375090345E-2</v>
      </c>
      <c r="N148">
        <f t="shared" ref="N148:O148" si="161">AVERAGE(G146:G148)</f>
        <v>0.57940844494635191</v>
      </c>
      <c r="O148">
        <f t="shared" si="161"/>
        <v>0.57580987597587019</v>
      </c>
      <c r="P148">
        <f t="shared" si="110"/>
        <v>5.1216290007873456E-2</v>
      </c>
      <c r="Q148">
        <f t="shared" si="111"/>
        <v>2.851135709034015E-2</v>
      </c>
      <c r="R148">
        <f t="shared" si="112"/>
        <v>2.1126886150980771E-2</v>
      </c>
      <c r="U148" s="18">
        <f t="shared" si="146"/>
        <v>31929</v>
      </c>
      <c r="V148">
        <f t="shared" si="139"/>
        <v>6.2715201135627285E-2</v>
      </c>
      <c r="W148" t="e">
        <f t="shared" si="140"/>
        <v>#N/A</v>
      </c>
      <c r="X148" t="e">
        <f t="shared" si="141"/>
        <v>#N/A</v>
      </c>
      <c r="Y148" t="e">
        <f t="shared" si="142"/>
        <v>#N/A</v>
      </c>
      <c r="Z148" t="e">
        <f t="shared" si="143"/>
        <v>#N/A</v>
      </c>
      <c r="AA148">
        <f t="shared" si="144"/>
        <v>3.9868872916319457E-2</v>
      </c>
      <c r="AB148">
        <f t="shared" si="144"/>
        <v>2.0399920713910669E-2</v>
      </c>
    </row>
    <row r="149" spans="1:28" x14ac:dyDescent="0.25">
      <c r="A149" s="18">
        <f t="shared" si="105"/>
        <v>21976</v>
      </c>
      <c r="B149">
        <f>'2-state flows'!B148</f>
        <v>68399</v>
      </c>
      <c r="C149">
        <f>'2-state flows'!C148</f>
        <v>3726</v>
      </c>
      <c r="D149">
        <f>'Composite HWI'!B112*48.35347462</f>
        <v>1885.7855101800001</v>
      </c>
      <c r="E149">
        <f t="shared" si="100"/>
        <v>5.4474480621061715E-2</v>
      </c>
      <c r="F149">
        <f t="shared" si="101"/>
        <v>2.7570366674658987E-2</v>
      </c>
      <c r="G149">
        <f>'2-state flows'!G148</f>
        <v>0.68140745127942259</v>
      </c>
      <c r="H149">
        <f t="shared" si="102"/>
        <v>0.54865379610392184</v>
      </c>
      <c r="I149">
        <f>'2-state flows'!H148</f>
        <v>3.6960260774307759E-2</v>
      </c>
      <c r="J149">
        <f t="shared" si="106"/>
        <v>0.14161302457712116</v>
      </c>
      <c r="K149">
        <v>0.5</v>
      </c>
      <c r="L149">
        <f t="shared" si="108"/>
        <v>0.61268506435802461</v>
      </c>
      <c r="M149">
        <f t="shared" si="103"/>
        <v>1.4940213354502716E-2</v>
      </c>
      <c r="N149">
        <f t="shared" ref="N149:O149" si="162">AVERAGE(G147:G149)</f>
        <v>0.60188819416460426</v>
      </c>
      <c r="O149">
        <f t="shared" si="162"/>
        <v>0.57163857294783016</v>
      </c>
      <c r="P149">
        <f t="shared" si="110"/>
        <v>5.1725572534709274E-2</v>
      </c>
      <c r="Q149">
        <f t="shared" si="111"/>
        <v>2.8357000158584843E-2</v>
      </c>
      <c r="R149">
        <f t="shared" si="112"/>
        <v>1.9955967335625505E-2</v>
      </c>
      <c r="U149" s="18">
        <f t="shared" si="146"/>
        <v>32021</v>
      </c>
      <c r="V149">
        <f t="shared" si="139"/>
        <v>6.0047496203491667E-2</v>
      </c>
      <c r="W149" t="e">
        <f t="shared" si="140"/>
        <v>#N/A</v>
      </c>
      <c r="X149" t="e">
        <f t="shared" si="141"/>
        <v>#N/A</v>
      </c>
      <c r="Y149" t="e">
        <f t="shared" si="142"/>
        <v>#N/A</v>
      </c>
      <c r="Z149" t="e">
        <f t="shared" si="143"/>
        <v>#N/A</v>
      </c>
      <c r="AA149">
        <f t="shared" si="144"/>
        <v>4.1207559197136569E-2</v>
      </c>
      <c r="AB149">
        <f t="shared" si="144"/>
        <v>2.1312203146016759E-2</v>
      </c>
    </row>
    <row r="150" spans="1:28" x14ac:dyDescent="0.25">
      <c r="A150" s="18">
        <f t="shared" si="105"/>
        <v>22007</v>
      </c>
      <c r="B150">
        <f>'2-state flows'!B149</f>
        <v>69579</v>
      </c>
      <c r="C150">
        <f>'2-state flows'!C149</f>
        <v>3620</v>
      </c>
      <c r="D150">
        <f>'Composite HWI'!B113*48.35347462</f>
        <v>1837.43203556</v>
      </c>
      <c r="E150">
        <f t="shared" si="100"/>
        <v>5.2027192112562695E-2</v>
      </c>
      <c r="F150">
        <f t="shared" si="101"/>
        <v>2.6407853455209188E-2</v>
      </c>
      <c r="G150">
        <f>'2-state flows'!G149</f>
        <v>0.6707479922463192</v>
      </c>
      <c r="H150">
        <f t="shared" si="102"/>
        <v>0.54944600907303098</v>
      </c>
      <c r="I150">
        <f>'2-state flows'!H149</f>
        <v>3.5734147407069601E-2</v>
      </c>
      <c r="J150">
        <f t="shared" si="106"/>
        <v>-3.3736560707163528E-2</v>
      </c>
      <c r="K150">
        <v>0.5</v>
      </c>
      <c r="L150">
        <f t="shared" si="108"/>
        <v>0.54521194294369757</v>
      </c>
      <c r="M150">
        <f t="shared" si="103"/>
        <v>1.5309131835313239E-2</v>
      </c>
      <c r="N150">
        <f t="shared" ref="N150:O150" si="163">AVERAGE(G148:G150)</f>
        <v>0.61070713977238</v>
      </c>
      <c r="O150">
        <f t="shared" si="163"/>
        <v>0.56441482161413326</v>
      </c>
      <c r="P150">
        <f t="shared" si="110"/>
        <v>5.1594578762615216E-2</v>
      </c>
      <c r="Q150">
        <f t="shared" si="111"/>
        <v>2.7577082380475817E-2</v>
      </c>
      <c r="R150">
        <f t="shared" si="112"/>
        <v>1.6977254854968767E-2</v>
      </c>
      <c r="U150" s="18">
        <f t="shared" si="146"/>
        <v>32112</v>
      </c>
      <c r="V150">
        <f t="shared" si="139"/>
        <v>5.8594659734383131E-2</v>
      </c>
      <c r="W150" t="e">
        <f t="shared" si="140"/>
        <v>#N/A</v>
      </c>
      <c r="X150" t="e">
        <f t="shared" si="141"/>
        <v>#N/A</v>
      </c>
      <c r="Y150" t="e">
        <f t="shared" si="142"/>
        <v>#N/A</v>
      </c>
      <c r="Z150" t="e">
        <f t="shared" si="143"/>
        <v>#N/A</v>
      </c>
      <c r="AA150">
        <f t="shared" si="144"/>
        <v>4.1567332650771997E-2</v>
      </c>
      <c r="AB150">
        <f t="shared" si="144"/>
        <v>2.2444973751255082E-2</v>
      </c>
    </row>
    <row r="151" spans="1:28" x14ac:dyDescent="0.25">
      <c r="A151" s="18">
        <f t="shared" si="105"/>
        <v>22037</v>
      </c>
      <c r="B151">
        <f>'2-state flows'!B150</f>
        <v>69626</v>
      </c>
      <c r="C151">
        <f>'2-state flows'!C150</f>
        <v>3569</v>
      </c>
      <c r="D151">
        <f>'Composite HWI'!B114*48.35347462</f>
        <v>1837.43203556</v>
      </c>
      <c r="E151">
        <f t="shared" si="100"/>
        <v>5.1259586935914744E-2</v>
      </c>
      <c r="F151">
        <f t="shared" si="101"/>
        <v>2.6390027224887255E-2</v>
      </c>
      <c r="G151">
        <f>'2-state flows'!G150</f>
        <v>0.56523535877908659</v>
      </c>
      <c r="H151">
        <f t="shared" si="102"/>
        <v>0.55335779804367136</v>
      </c>
      <c r="I151">
        <f>'2-state flows'!H150</f>
        <v>3.4504581792847475E-2</v>
      </c>
      <c r="J151">
        <f t="shared" si="106"/>
        <v>-3.5014620814134957E-2</v>
      </c>
      <c r="K151">
        <v>0.5</v>
      </c>
      <c r="L151">
        <f t="shared" si="108"/>
        <v>0.47518270131542767</v>
      </c>
      <c r="M151">
        <f t="shared" si="103"/>
        <v>1.640856543050024E-2</v>
      </c>
      <c r="N151">
        <f t="shared" ref="N151:O151" si="164">AVERAGE(G149:G151)</f>
        <v>0.63913026743494272</v>
      </c>
      <c r="O151">
        <f t="shared" si="164"/>
        <v>0.55048586774020813</v>
      </c>
      <c r="P151">
        <f t="shared" si="110"/>
        <v>5.2587086556513042E-2</v>
      </c>
      <c r="Q151">
        <f t="shared" si="111"/>
        <v>2.6789415784918478E-2</v>
      </c>
      <c r="R151">
        <f t="shared" si="112"/>
        <v>1.5552636873438733E-2</v>
      </c>
      <c r="U151" s="18">
        <f t="shared" si="146"/>
        <v>32203</v>
      </c>
      <c r="V151">
        <f t="shared" si="139"/>
        <v>5.7178533079670191E-2</v>
      </c>
      <c r="W151" t="e">
        <f t="shared" si="140"/>
        <v>#N/A</v>
      </c>
      <c r="X151" t="e">
        <f t="shared" si="141"/>
        <v>#N/A</v>
      </c>
      <c r="Y151" t="e">
        <f t="shared" si="142"/>
        <v>#N/A</v>
      </c>
      <c r="Z151" t="e">
        <f t="shared" si="143"/>
        <v>#N/A</v>
      </c>
      <c r="AA151">
        <f t="shared" si="144"/>
        <v>4.1023145783016669E-2</v>
      </c>
      <c r="AB151">
        <f t="shared" si="144"/>
        <v>2.3412367254903869E-2</v>
      </c>
    </row>
    <row r="152" spans="1:28" x14ac:dyDescent="0.25">
      <c r="A152" s="18">
        <f t="shared" si="105"/>
        <v>22068</v>
      </c>
      <c r="B152">
        <f>'2-state flows'!B151</f>
        <v>69934</v>
      </c>
      <c r="C152">
        <f>'2-state flows'!C151</f>
        <v>3766</v>
      </c>
      <c r="D152">
        <f>'Composite HWI'!B115*48.35347462</f>
        <v>1789.07856094</v>
      </c>
      <c r="E152">
        <f t="shared" si="100"/>
        <v>5.3850773586524438E-2</v>
      </c>
      <c r="F152">
        <f t="shared" si="101"/>
        <v>2.5582385691366144E-2</v>
      </c>
      <c r="G152">
        <f>'2-state flows'!G151</f>
        <v>0.57130089401686046</v>
      </c>
      <c r="H152">
        <f t="shared" si="102"/>
        <v>0.53155500823340696</v>
      </c>
      <c r="I152">
        <f>'2-state flows'!H151</f>
        <v>3.3926156605876161E-2</v>
      </c>
      <c r="J152">
        <f t="shared" si="106"/>
        <v>-1.6905822644345991E-2</v>
      </c>
      <c r="K152">
        <v>0.5</v>
      </c>
      <c r="L152">
        <f t="shared" si="108"/>
        <v>0.44137105602673571</v>
      </c>
      <c r="M152">
        <f t="shared" si="103"/>
        <v>1.6453414099285094E-2</v>
      </c>
      <c r="N152">
        <f t="shared" ref="N152:O152" si="165">AVERAGE(G150:G152)</f>
        <v>0.60242808168075535</v>
      </c>
      <c r="O152">
        <f t="shared" si="165"/>
        <v>0.5447862717833698</v>
      </c>
      <c r="P152">
        <f t="shared" si="110"/>
        <v>5.237918421166729E-2</v>
      </c>
      <c r="Q152">
        <f t="shared" si="111"/>
        <v>2.6126755457154194E-2</v>
      </c>
      <c r="R152">
        <f t="shared" si="112"/>
        <v>1.6057037121699525E-2</v>
      </c>
      <c r="U152" s="18">
        <f t="shared" si="146"/>
        <v>32295</v>
      </c>
      <c r="V152">
        <f t="shared" si="139"/>
        <v>5.4773748389313016E-2</v>
      </c>
      <c r="W152" t="e">
        <f t="shared" si="140"/>
        <v>#N/A</v>
      </c>
      <c r="X152" t="e">
        <f t="shared" si="141"/>
        <v>#N/A</v>
      </c>
      <c r="Y152" t="e">
        <f t="shared" si="142"/>
        <v>#N/A</v>
      </c>
      <c r="Z152" t="e">
        <f t="shared" si="143"/>
        <v>#N/A</v>
      </c>
      <c r="AA152">
        <f t="shared" si="144"/>
        <v>4.1071161758704129E-2</v>
      </c>
      <c r="AB152">
        <f t="shared" si="144"/>
        <v>2.3681608588775705E-2</v>
      </c>
    </row>
    <row r="153" spans="1:28" x14ac:dyDescent="0.25">
      <c r="A153" s="18">
        <f t="shared" si="105"/>
        <v>22098</v>
      </c>
      <c r="B153">
        <f>'2-state flows'!B152</f>
        <v>69745</v>
      </c>
      <c r="C153">
        <f>'2-state flows'!C152</f>
        <v>3836</v>
      </c>
      <c r="D153">
        <f>'Composite HWI'!B116*48.35347462</f>
        <v>1740.7250863199999</v>
      </c>
      <c r="E153">
        <f t="shared" si="100"/>
        <v>5.5000358448634309E-2</v>
      </c>
      <c r="F153">
        <f t="shared" si="101"/>
        <v>2.4958421196071404E-2</v>
      </c>
      <c r="G153">
        <f>'2-state flows'!G152</f>
        <v>0.55597279665692168</v>
      </c>
      <c r="H153">
        <f t="shared" si="102"/>
        <v>0.51951663860777886</v>
      </c>
      <c r="I153">
        <f>'2-state flows'!H152</f>
        <v>3.456841646049582E-2</v>
      </c>
      <c r="J153">
        <f t="shared" si="106"/>
        <v>1.8754147964971025E-2</v>
      </c>
      <c r="K153">
        <v>0.5</v>
      </c>
      <c r="L153">
        <f t="shared" si="108"/>
        <v>0.47887935195667775</v>
      </c>
      <c r="M153">
        <f t="shared" si="103"/>
        <v>1.5461173350646767E-2</v>
      </c>
      <c r="N153">
        <f t="shared" ref="N153:O153" si="166">AVERAGE(G151:G153)</f>
        <v>0.56416968315095628</v>
      </c>
      <c r="O153">
        <f t="shared" si="166"/>
        <v>0.53480981496161906</v>
      </c>
      <c r="P153">
        <f t="shared" si="110"/>
        <v>5.3370239657024497E-2</v>
      </c>
      <c r="Q153">
        <f t="shared" si="111"/>
        <v>2.5643611370774935E-2</v>
      </c>
      <c r="R153">
        <f t="shared" si="112"/>
        <v>1.6107717626810698E-2</v>
      </c>
      <c r="U153" s="18">
        <f t="shared" si="146"/>
        <v>32387</v>
      </c>
      <c r="V153">
        <f t="shared" si="139"/>
        <v>5.4823356505136971E-2</v>
      </c>
      <c r="W153" t="e">
        <f t="shared" si="140"/>
        <v>#N/A</v>
      </c>
      <c r="X153" t="e">
        <f t="shared" si="141"/>
        <v>#N/A</v>
      </c>
      <c r="Y153" t="e">
        <f t="shared" si="142"/>
        <v>#N/A</v>
      </c>
      <c r="Z153" t="e">
        <f t="shared" si="143"/>
        <v>#N/A</v>
      </c>
      <c r="AA153">
        <f t="shared" si="144"/>
        <v>4.0719003885894244E-2</v>
      </c>
      <c r="AB153">
        <f t="shared" si="144"/>
        <v>2.2128905478376596E-2</v>
      </c>
    </row>
    <row r="154" spans="1:28" x14ac:dyDescent="0.25">
      <c r="A154" s="18">
        <f t="shared" si="105"/>
        <v>22129</v>
      </c>
      <c r="B154">
        <f>'2-state flows'!B153</f>
        <v>69841</v>
      </c>
      <c r="C154">
        <f>'2-state flows'!C153</f>
        <v>3946</v>
      </c>
      <c r="D154">
        <f>'Composite HWI'!B117*48.35347462</f>
        <v>1692.3716116999999</v>
      </c>
      <c r="E154">
        <f t="shared" si="100"/>
        <v>5.649976374908721E-2</v>
      </c>
      <c r="F154">
        <f t="shared" si="101"/>
        <v>2.423177806302888E-2</v>
      </c>
      <c r="G154">
        <f>'2-state flows'!G153</f>
        <v>0.58106828032582425</v>
      </c>
      <c r="H154">
        <f t="shared" si="102"/>
        <v>0.50506002034047026</v>
      </c>
      <c r="I154">
        <f>'2-state flows'!H153</f>
        <v>3.3536735760807491E-2</v>
      </c>
      <c r="J154">
        <f t="shared" si="106"/>
        <v>-3.0299018239453059E-2</v>
      </c>
      <c r="K154">
        <v>0.5</v>
      </c>
      <c r="L154">
        <f t="shared" si="108"/>
        <v>0.41828131547777164</v>
      </c>
      <c r="M154">
        <f t="shared" si="103"/>
        <v>1.5948800128802988E-2</v>
      </c>
      <c r="N154">
        <f t="shared" ref="N154:O154" si="167">AVERAGE(G152:G154)</f>
        <v>0.5694473236665355</v>
      </c>
      <c r="O154">
        <f t="shared" si="167"/>
        <v>0.51871055572721869</v>
      </c>
      <c r="P154">
        <f t="shared" si="110"/>
        <v>5.5116965261415324E-2</v>
      </c>
      <c r="Q154">
        <f t="shared" si="111"/>
        <v>2.4924194983488811E-2</v>
      </c>
      <c r="R154">
        <f t="shared" si="112"/>
        <v>1.595446252624495E-2</v>
      </c>
      <c r="U154" s="18">
        <f t="shared" si="146"/>
        <v>32478</v>
      </c>
      <c r="V154">
        <f t="shared" si="139"/>
        <v>5.3401397509897315E-2</v>
      </c>
      <c r="W154" t="e">
        <f t="shared" si="140"/>
        <v>#N/A</v>
      </c>
      <c r="X154" t="e">
        <f t="shared" si="141"/>
        <v>#N/A</v>
      </c>
      <c r="Y154" t="e">
        <f t="shared" si="142"/>
        <v>#N/A</v>
      </c>
      <c r="Z154" t="e">
        <f t="shared" si="143"/>
        <v>#N/A</v>
      </c>
      <c r="AA154">
        <f t="shared" si="144"/>
        <v>4.0792278245142734E-2</v>
      </c>
      <c r="AB154">
        <f t="shared" si="144"/>
        <v>2.3854638022498861E-2</v>
      </c>
    </row>
    <row r="155" spans="1:28" x14ac:dyDescent="0.25">
      <c r="A155" s="18">
        <f t="shared" si="105"/>
        <v>22160</v>
      </c>
      <c r="B155">
        <f>'2-state flows'!B154</f>
        <v>70151</v>
      </c>
      <c r="C155">
        <f>'2-state flows'!C154</f>
        <v>3884</v>
      </c>
      <c r="D155">
        <f>'Composite HWI'!B118*48.35347462</f>
        <v>1644.0181370800001</v>
      </c>
      <c r="E155">
        <f t="shared" si="100"/>
        <v>5.5366281307465327E-2</v>
      </c>
      <c r="F155">
        <f t="shared" si="101"/>
        <v>2.3435419838348705E-2</v>
      </c>
      <c r="G155">
        <f>'2-state flows'!G154</f>
        <v>0.44619055734055912</v>
      </c>
      <c r="H155">
        <f t="shared" si="102"/>
        <v>0.50174997332945315</v>
      </c>
      <c r="I155">
        <f>'2-state flows'!H154</f>
        <v>3.3141992897859893E-2</v>
      </c>
      <c r="J155">
        <f t="shared" si="106"/>
        <v>-1.184028197705958E-2</v>
      </c>
      <c r="K155">
        <v>0.5</v>
      </c>
      <c r="L155">
        <f t="shared" si="108"/>
        <v>0.39460075152365248</v>
      </c>
      <c r="M155">
        <f t="shared" si="103"/>
        <v>1.579427913976263E-2</v>
      </c>
      <c r="N155">
        <f t="shared" ref="N155:O155" si="168">AVERAGE(G153:G155)</f>
        <v>0.52774387810776835</v>
      </c>
      <c r="O155">
        <f t="shared" si="168"/>
        <v>0.50877554409256742</v>
      </c>
      <c r="P155">
        <f t="shared" si="110"/>
        <v>5.5622134501728947E-2</v>
      </c>
      <c r="Q155">
        <f t="shared" si="111"/>
        <v>2.4208539699149666E-2</v>
      </c>
      <c r="R155">
        <f t="shared" si="112"/>
        <v>1.5734750873070791E-2</v>
      </c>
      <c r="U155" s="18">
        <f t="shared" si="146"/>
        <v>32568</v>
      </c>
      <c r="V155">
        <f t="shared" si="139"/>
        <v>5.2050075850670903E-2</v>
      </c>
      <c r="W155" t="e">
        <f t="shared" si="140"/>
        <v>#N/A</v>
      </c>
      <c r="X155" t="e">
        <f t="shared" si="141"/>
        <v>#N/A</v>
      </c>
      <c r="Y155" t="e">
        <f t="shared" si="142"/>
        <v>#N/A</v>
      </c>
      <c r="Z155" t="e">
        <f t="shared" si="143"/>
        <v>#N/A</v>
      </c>
      <c r="AA155">
        <f t="shared" si="144"/>
        <v>4.0016233631691427E-2</v>
      </c>
      <c r="AB155">
        <f t="shared" si="144"/>
        <v>2.1872295494103067E-2</v>
      </c>
    </row>
    <row r="156" spans="1:28" x14ac:dyDescent="0.25">
      <c r="A156" s="18">
        <f t="shared" si="105"/>
        <v>22190</v>
      </c>
      <c r="B156">
        <f>'2-state flows'!B155</f>
        <v>69884</v>
      </c>
      <c r="C156">
        <f>'2-state flows'!C155</f>
        <v>4252</v>
      </c>
      <c r="D156">
        <f>'Composite HWI'!B119*48.35347462</f>
        <v>1547.31118784</v>
      </c>
      <c r="E156">
        <f t="shared" si="100"/>
        <v>6.0843683818899888E-2</v>
      </c>
      <c r="F156">
        <f t="shared" si="101"/>
        <v>2.2141136566882262E-2</v>
      </c>
      <c r="G156">
        <f>'2-state flows'!G155</f>
        <v>0.48727324906551678</v>
      </c>
      <c r="H156">
        <f t="shared" si="102"/>
        <v>0.46522802818756143</v>
      </c>
      <c r="I156">
        <f>'2-state flows'!H155</f>
        <v>3.3092581423210414E-2</v>
      </c>
      <c r="J156">
        <f t="shared" si="106"/>
        <v>-1.4920148373335365E-3</v>
      </c>
      <c r="K156">
        <v>0.5</v>
      </c>
      <c r="L156">
        <f t="shared" si="108"/>
        <v>0.39161672184898538</v>
      </c>
      <c r="M156">
        <f t="shared" si="103"/>
        <v>1.4966592334671625E-2</v>
      </c>
      <c r="N156">
        <f t="shared" ref="N156:O156" si="169">AVERAGE(G154:G156)</f>
        <v>0.5048440289106334</v>
      </c>
      <c r="O156">
        <f t="shared" si="169"/>
        <v>0.49067934061916157</v>
      </c>
      <c r="P156">
        <f t="shared" si="110"/>
        <v>5.7569909625150816E-2</v>
      </c>
      <c r="Q156">
        <f t="shared" si="111"/>
        <v>2.3269444822753282E-2</v>
      </c>
      <c r="R156">
        <f t="shared" si="112"/>
        <v>1.5569890534412415E-2</v>
      </c>
      <c r="U156" s="18">
        <f t="shared" si="146"/>
        <v>32660</v>
      </c>
      <c r="V156">
        <f t="shared" si="139"/>
        <v>5.2339227934424366E-2</v>
      </c>
      <c r="W156" t="e">
        <f t="shared" si="140"/>
        <v>#N/A</v>
      </c>
      <c r="X156" t="e">
        <f t="shared" si="141"/>
        <v>#N/A</v>
      </c>
      <c r="Y156" t="e">
        <f t="shared" si="142"/>
        <v>#N/A</v>
      </c>
      <c r="Z156" t="e">
        <f t="shared" si="143"/>
        <v>#N/A</v>
      </c>
      <c r="AA156">
        <f t="shared" si="144"/>
        <v>3.8706690541945386E-2</v>
      </c>
      <c r="AB156">
        <f t="shared" si="144"/>
        <v>2.0787633709173619E-2</v>
      </c>
    </row>
    <row r="157" spans="1:28" x14ac:dyDescent="0.25">
      <c r="A157" s="18">
        <f t="shared" si="105"/>
        <v>22221</v>
      </c>
      <c r="B157">
        <f>'2-state flows'!B156</f>
        <v>70439</v>
      </c>
      <c r="C157">
        <f>'2-state flows'!C156</f>
        <v>4330</v>
      </c>
      <c r="D157">
        <f>'Composite HWI'!B120*48.35347462</f>
        <v>1547.31118784</v>
      </c>
      <c r="E157">
        <f t="shared" si="100"/>
        <v>6.1471627933389172E-2</v>
      </c>
      <c r="F157">
        <f t="shared" si="101"/>
        <v>2.1966683056829313E-2</v>
      </c>
      <c r="G157">
        <f>'2-state flows'!G156</f>
        <v>0.54329473846269605</v>
      </c>
      <c r="H157">
        <f t="shared" si="102"/>
        <v>0.46101870998347177</v>
      </c>
      <c r="I157">
        <f>'2-state flows'!H156</f>
        <v>4.1317914259892591E-2</v>
      </c>
      <c r="J157">
        <f t="shared" si="106"/>
        <v>0.22198703416404797</v>
      </c>
      <c r="K157">
        <v>0.5</v>
      </c>
      <c r="L157">
        <f t="shared" si="108"/>
        <v>0.83559079017708138</v>
      </c>
      <c r="M157">
        <f t="shared" si="103"/>
        <v>9.5251541899299547E-3</v>
      </c>
      <c r="N157">
        <f t="shared" ref="N157:O157" si="170">AVERAGE(G155:G157)</f>
        <v>0.49225284828959065</v>
      </c>
      <c r="O157">
        <f t="shared" si="170"/>
        <v>0.47599890383349547</v>
      </c>
      <c r="P157">
        <f t="shared" si="110"/>
        <v>5.9227197686584798E-2</v>
      </c>
      <c r="Q157">
        <f t="shared" si="111"/>
        <v>2.2514413154020096E-2</v>
      </c>
      <c r="R157">
        <f t="shared" si="112"/>
        <v>1.3428675221454736E-2</v>
      </c>
      <c r="U157" s="18">
        <f t="shared" si="146"/>
        <v>32752</v>
      </c>
      <c r="V157">
        <f t="shared" si="139"/>
        <v>5.266667138771023E-2</v>
      </c>
      <c r="W157" t="e">
        <f t="shared" si="140"/>
        <v>#N/A</v>
      </c>
      <c r="X157" t="e">
        <f t="shared" si="141"/>
        <v>#N/A</v>
      </c>
      <c r="Y157" t="e">
        <f t="shared" si="142"/>
        <v>#N/A</v>
      </c>
      <c r="Z157" t="e">
        <f t="shared" si="143"/>
        <v>#N/A</v>
      </c>
      <c r="AA157">
        <f t="shared" si="144"/>
        <v>3.7167375354923572E-2</v>
      </c>
      <c r="AB157">
        <f t="shared" si="144"/>
        <v>2.0370639226082468E-2</v>
      </c>
    </row>
    <row r="158" spans="1:28" x14ac:dyDescent="0.25">
      <c r="A158" s="18">
        <f t="shared" si="105"/>
        <v>22251</v>
      </c>
      <c r="B158">
        <f>'2-state flows'!B157</f>
        <v>70395</v>
      </c>
      <c r="C158">
        <f>'2-state flows'!C157</f>
        <v>4617</v>
      </c>
      <c r="D158">
        <f>'Composite HWI'!B121*48.35347462</f>
        <v>1450.6042385999999</v>
      </c>
      <c r="E158">
        <f t="shared" si="100"/>
        <v>6.5587044534412955E-2</v>
      </c>
      <c r="F158">
        <f t="shared" si="101"/>
        <v>2.0606637383336884E-2</v>
      </c>
      <c r="G158">
        <f>'2-state flows'!G157</f>
        <v>0.50477939502504066</v>
      </c>
      <c r="H158">
        <f t="shared" si="102"/>
        <v>0.43228304328851513</v>
      </c>
      <c r="I158">
        <f>'2-state flows'!H157</f>
        <v>3.6493855800488667E-2</v>
      </c>
      <c r="J158">
        <f t="shared" si="106"/>
        <v>-0.12415225305458</v>
      </c>
      <c r="K158">
        <v>0.5</v>
      </c>
      <c r="L158">
        <f t="shared" si="108"/>
        <v>0.58728628406792138</v>
      </c>
      <c r="M158">
        <f t="shared" si="103"/>
        <v>1.145386173884785E-2</v>
      </c>
      <c r="N158">
        <f t="shared" ref="N158:O158" si="171">AVERAGE(G156:G158)</f>
        <v>0.51178246085108448</v>
      </c>
      <c r="O158">
        <f t="shared" si="171"/>
        <v>0.45284326048651607</v>
      </c>
      <c r="P158">
        <f t="shared" si="110"/>
        <v>6.2634118762234001E-2</v>
      </c>
      <c r="Q158">
        <f t="shared" si="111"/>
        <v>2.1571485669016153E-2</v>
      </c>
      <c r="R158">
        <f t="shared" si="112"/>
        <v>1.198186942114981E-2</v>
      </c>
      <c r="U158" s="18">
        <f t="shared" si="146"/>
        <v>32843</v>
      </c>
      <c r="V158">
        <f t="shared" si="139"/>
        <v>5.3628365505683402E-2</v>
      </c>
      <c r="W158" t="e">
        <f t="shared" si="140"/>
        <v>#N/A</v>
      </c>
      <c r="X158" t="e">
        <f t="shared" si="141"/>
        <v>#N/A</v>
      </c>
      <c r="Y158" t="e">
        <f t="shared" si="142"/>
        <v>#N/A</v>
      </c>
      <c r="Z158" t="e">
        <f t="shared" si="143"/>
        <v>#N/A</v>
      </c>
      <c r="AA158">
        <f t="shared" si="144"/>
        <v>3.7171287338327634E-2</v>
      </c>
      <c r="AB158">
        <f t="shared" si="144"/>
        <v>1.9677877148338196E-2</v>
      </c>
    </row>
    <row r="159" spans="1:28" x14ac:dyDescent="0.25">
      <c r="A159" s="18">
        <f t="shared" si="105"/>
        <v>22282</v>
      </c>
      <c r="B159">
        <f>'2-state flows'!B158</f>
        <v>70447</v>
      </c>
      <c r="C159">
        <f>'2-state flows'!C158</f>
        <v>4671</v>
      </c>
      <c r="D159">
        <f>'Composite HWI'!B122*48.35347462</f>
        <v>1450.6042385999999</v>
      </c>
      <c r="E159">
        <f t="shared" si="100"/>
        <v>6.6305165585475612E-2</v>
      </c>
      <c r="F159">
        <f t="shared" si="101"/>
        <v>2.059142672647522E-2</v>
      </c>
      <c r="G159">
        <f>'2-state flows'!G158</f>
        <v>0.51354107491290846</v>
      </c>
      <c r="H159">
        <f t="shared" si="102"/>
        <v>0.42977703351590435</v>
      </c>
      <c r="I159">
        <f>'2-state flows'!H158</f>
        <v>3.9655310931614902E-2</v>
      </c>
      <c r="J159">
        <f t="shared" si="106"/>
        <v>8.3080972237374623E-2</v>
      </c>
      <c r="K159">
        <v>0.5</v>
      </c>
      <c r="L159">
        <f t="shared" si="108"/>
        <v>0.75344822854267068</v>
      </c>
      <c r="M159">
        <f t="shared" si="103"/>
        <v>9.6932191300895931E-3</v>
      </c>
      <c r="N159">
        <f t="shared" ref="N159:O159" si="172">AVERAGE(G157:G159)</f>
        <v>0.52053840280021502</v>
      </c>
      <c r="O159">
        <f t="shared" si="172"/>
        <v>0.44102626226263042</v>
      </c>
      <c r="P159">
        <f t="shared" si="110"/>
        <v>6.4454612684425913E-2</v>
      </c>
      <c r="Q159">
        <f t="shared" si="111"/>
        <v>2.1054915722213807E-2</v>
      </c>
      <c r="R159">
        <f t="shared" si="112"/>
        <v>1.0224078352955799E-2</v>
      </c>
      <c r="U159" s="18">
        <f t="shared" si="146"/>
        <v>32933</v>
      </c>
      <c r="V159">
        <f t="shared" si="139"/>
        <v>5.3004606512745557E-2</v>
      </c>
      <c r="W159" t="e">
        <f t="shared" si="140"/>
        <v>#N/A</v>
      </c>
      <c r="X159" t="e">
        <f t="shared" si="141"/>
        <v>#N/A</v>
      </c>
      <c r="Y159">
        <f t="shared" si="142"/>
        <v>5.3004606512745557E-2</v>
      </c>
      <c r="Z159" t="e">
        <f t="shared" si="143"/>
        <v>#N/A</v>
      </c>
      <c r="AA159">
        <f t="shared" si="144"/>
        <v>3.575129738100994E-2</v>
      </c>
      <c r="AB159">
        <f t="shared" si="144"/>
        <v>1.9266788255982586E-2</v>
      </c>
    </row>
    <row r="160" spans="1:28" x14ac:dyDescent="0.25">
      <c r="A160" s="18">
        <f t="shared" si="105"/>
        <v>22313</v>
      </c>
      <c r="B160">
        <f>'2-state flows'!B159</f>
        <v>70420</v>
      </c>
      <c r="C160">
        <f>'2-state flows'!C159</f>
        <v>4832</v>
      </c>
      <c r="D160">
        <f>'Composite HWI'!B123*48.35347462</f>
        <v>1450.6042385999999</v>
      </c>
      <c r="E160">
        <f t="shared" si="100"/>
        <v>6.8616870207327457E-2</v>
      </c>
      <c r="F160">
        <f t="shared" si="101"/>
        <v>2.0599321763703493E-2</v>
      </c>
      <c r="G160">
        <f>'2-state flows'!G159</f>
        <v>0.47998707322991885</v>
      </c>
      <c r="H160">
        <f t="shared" si="102"/>
        <v>0.42255639109687737</v>
      </c>
      <c r="I160">
        <f>'2-state flows'!H159</f>
        <v>3.5771428664835694E-2</v>
      </c>
      <c r="J160">
        <f t="shared" si="106"/>
        <v>-0.10307539164098434</v>
      </c>
      <c r="K160">
        <v>0.5</v>
      </c>
      <c r="L160">
        <f t="shared" si="108"/>
        <v>0.54729744526070201</v>
      </c>
      <c r="M160">
        <f t="shared" si="103"/>
        <v>1.1916937481104343E-2</v>
      </c>
      <c r="N160">
        <f t="shared" ref="N160:O160" si="173">AVERAGE(G158:G160)</f>
        <v>0.49943584772262267</v>
      </c>
      <c r="O160">
        <f t="shared" si="173"/>
        <v>0.42820548930043234</v>
      </c>
      <c r="P160">
        <f t="shared" si="110"/>
        <v>6.6836360109071999E-2</v>
      </c>
      <c r="Q160">
        <f t="shared" si="111"/>
        <v>2.0599128624505199E-2</v>
      </c>
      <c r="R160">
        <f t="shared" si="112"/>
        <v>1.1021339450013929E-2</v>
      </c>
      <c r="U160" s="18">
        <f t="shared" si="146"/>
        <v>33025</v>
      </c>
      <c r="V160">
        <f t="shared" si="139"/>
        <v>5.337599557468118E-2</v>
      </c>
      <c r="W160" t="e">
        <f t="shared" si="140"/>
        <v>#N/A</v>
      </c>
      <c r="X160" t="e">
        <f t="shared" si="141"/>
        <v>#N/A</v>
      </c>
      <c r="Y160">
        <f t="shared" si="142"/>
        <v>5.337599557468118E-2</v>
      </c>
      <c r="Z160" t="e">
        <f t="shared" si="143"/>
        <v>#N/A</v>
      </c>
      <c r="AA160">
        <f t="shared" si="144"/>
        <v>3.3593761201066878E-2</v>
      </c>
      <c r="AB160">
        <f t="shared" si="144"/>
        <v>1.9450250880585895E-2</v>
      </c>
    </row>
    <row r="161" spans="1:28" x14ac:dyDescent="0.25">
      <c r="A161" s="18">
        <f t="shared" si="105"/>
        <v>22341</v>
      </c>
      <c r="B161">
        <f>'2-state flows'!B160</f>
        <v>70703</v>
      </c>
      <c r="C161">
        <f>'2-state flows'!C160</f>
        <v>4853</v>
      </c>
      <c r="D161">
        <f>'Composite HWI'!B124*48.35347462</f>
        <v>1450.6042385999999</v>
      </c>
      <c r="E161">
        <f t="shared" si="100"/>
        <v>6.863923737323735E-2</v>
      </c>
      <c r="F161">
        <f t="shared" si="101"/>
        <v>2.0516869702841462E-2</v>
      </c>
      <c r="G161">
        <f>'2-state flows'!G160</f>
        <v>0.4277600205176717</v>
      </c>
      <c r="H161">
        <f t="shared" si="102"/>
        <v>0.4216411526221478</v>
      </c>
      <c r="I161">
        <f>'2-state flows'!H160</f>
        <v>3.2282812832765351E-2</v>
      </c>
      <c r="J161">
        <f t="shared" si="106"/>
        <v>-0.10261451461494346</v>
      </c>
      <c r="K161">
        <v>0.5</v>
      </c>
      <c r="L161">
        <f t="shared" si="108"/>
        <v>0.34206841603081506</v>
      </c>
      <c r="M161">
        <f t="shared" si="103"/>
        <v>1.4573124490223971E-2</v>
      </c>
      <c r="N161">
        <f t="shared" ref="N161:O161" si="174">AVERAGE(G159:G161)</f>
        <v>0.47376272288683302</v>
      </c>
      <c r="O161">
        <f t="shared" si="174"/>
        <v>0.42465819241164321</v>
      </c>
      <c r="P161">
        <f t="shared" si="110"/>
        <v>6.7853757722013477E-2</v>
      </c>
      <c r="Q161">
        <f t="shared" si="111"/>
        <v>2.0569206064340057E-2</v>
      </c>
      <c r="R161">
        <f t="shared" si="112"/>
        <v>1.2061093700472635E-2</v>
      </c>
      <c r="U161" s="18">
        <f t="shared" si="146"/>
        <v>33117</v>
      </c>
      <c r="V161">
        <f t="shared" si="139"/>
        <v>5.6877369667566006E-2</v>
      </c>
      <c r="W161" t="e">
        <f t="shared" si="140"/>
        <v>#N/A</v>
      </c>
      <c r="X161" t="e">
        <f t="shared" si="141"/>
        <v>#N/A</v>
      </c>
      <c r="Y161">
        <f t="shared" si="142"/>
        <v>5.6877369667566006E-2</v>
      </c>
      <c r="Z161" t="e">
        <f t="shared" si="143"/>
        <v>#N/A</v>
      </c>
      <c r="AA161">
        <f t="shared" si="144"/>
        <v>3.1756870475333869E-2</v>
      </c>
      <c r="AB161">
        <f t="shared" si="144"/>
        <v>1.7381258989641119E-2</v>
      </c>
    </row>
    <row r="162" spans="1:28" x14ac:dyDescent="0.25">
      <c r="A162" s="18">
        <f t="shared" si="105"/>
        <v>22372</v>
      </c>
      <c r="B162">
        <f>'2-state flows'!B161</f>
        <v>70267</v>
      </c>
      <c r="C162">
        <f>'2-state flows'!C161</f>
        <v>4893</v>
      </c>
      <c r="D162">
        <f>'Composite HWI'!B125*48.35347462</f>
        <v>1450.6042385999999</v>
      </c>
      <c r="E162">
        <f t="shared" si="100"/>
        <v>6.9634394523745147E-2</v>
      </c>
      <c r="F162">
        <f t="shared" si="101"/>
        <v>2.0644174912832481E-2</v>
      </c>
      <c r="G162">
        <f>'2-state flows'!G161</f>
        <v>0.40761333664645394</v>
      </c>
      <c r="H162">
        <f t="shared" si="102"/>
        <v>0.41991416951905014</v>
      </c>
      <c r="I162">
        <f>'2-state flows'!H161</f>
        <v>3.2588395010009021E-2</v>
      </c>
      <c r="J162">
        <f t="shared" si="106"/>
        <v>9.4212655413071483E-3</v>
      </c>
      <c r="K162">
        <v>0.5</v>
      </c>
      <c r="L162">
        <f t="shared" si="108"/>
        <v>0.36091094711342936</v>
      </c>
      <c r="M162">
        <f t="shared" si="103"/>
        <v>1.4389837754453228E-2</v>
      </c>
      <c r="N162">
        <f t="shared" ref="N162:O162" si="175">AVERAGE(G160:G162)</f>
        <v>0.43845347679801483</v>
      </c>
      <c r="O162">
        <f t="shared" si="175"/>
        <v>0.42137057107935849</v>
      </c>
      <c r="P162">
        <f t="shared" si="110"/>
        <v>6.8963500701436656E-2</v>
      </c>
      <c r="Q162">
        <f t="shared" si="111"/>
        <v>2.058678879312581E-2</v>
      </c>
      <c r="R162">
        <f t="shared" si="112"/>
        <v>1.3626633241927181E-2</v>
      </c>
      <c r="U162" s="18">
        <f t="shared" si="146"/>
        <v>33208</v>
      </c>
      <c r="V162">
        <f t="shared" si="139"/>
        <v>6.1140451818954465E-2</v>
      </c>
      <c r="W162" t="e">
        <f t="shared" si="140"/>
        <v>#N/A</v>
      </c>
      <c r="X162" t="e">
        <f t="shared" si="141"/>
        <v>#N/A</v>
      </c>
      <c r="Y162">
        <f t="shared" si="142"/>
        <v>6.1140451818954465E-2</v>
      </c>
      <c r="Z162" t="e">
        <f t="shared" si="143"/>
        <v>#N/A</v>
      </c>
      <c r="AA162">
        <f t="shared" si="144"/>
        <v>2.7743589948219276E-2</v>
      </c>
      <c r="AB162">
        <f t="shared" si="144"/>
        <v>1.418165344485837E-2</v>
      </c>
    </row>
    <row r="163" spans="1:28" x14ac:dyDescent="0.25">
      <c r="A163" s="18">
        <f t="shared" si="105"/>
        <v>22402</v>
      </c>
      <c r="B163">
        <f>'2-state flows'!B162</f>
        <v>70452</v>
      </c>
      <c r="C163">
        <f>'2-state flows'!C162</f>
        <v>5003</v>
      </c>
      <c r="D163">
        <f>'Composite HWI'!B126*48.35347462</f>
        <v>1547.31118784</v>
      </c>
      <c r="E163">
        <f t="shared" si="100"/>
        <v>7.1012888207573954E-2</v>
      </c>
      <c r="F163">
        <f t="shared" si="101"/>
        <v>2.1962629703060239E-2</v>
      </c>
      <c r="G163">
        <f>'2-state flows'!G162</f>
        <v>0.49686529250662853</v>
      </c>
      <c r="H163">
        <f t="shared" si="102"/>
        <v>0.42889131102515266</v>
      </c>
      <c r="I163">
        <f>'2-state flows'!H162</f>
        <v>3.5655592834131299E-2</v>
      </c>
      <c r="J163">
        <f t="shared" si="106"/>
        <v>8.9949772590249236E-2</v>
      </c>
      <c r="K163">
        <v>0.5</v>
      </c>
      <c r="L163">
        <f t="shared" si="108"/>
        <v>0.54081049229392786</v>
      </c>
      <c r="M163">
        <f t="shared" si="103"/>
        <v>1.2788315044756587E-2</v>
      </c>
      <c r="N163">
        <f t="shared" ref="N163:O163" si="176">AVERAGE(G161:G163)</f>
        <v>0.44407954989025139</v>
      </c>
      <c r="O163">
        <f t="shared" si="176"/>
        <v>0.4234822110554502</v>
      </c>
      <c r="P163">
        <f t="shared" si="110"/>
        <v>6.9762173368185479E-2</v>
      </c>
      <c r="Q163">
        <f t="shared" si="111"/>
        <v>2.1041224772911395E-2</v>
      </c>
      <c r="R163">
        <f t="shared" si="112"/>
        <v>1.3917092429811262E-2</v>
      </c>
      <c r="U163" s="18">
        <f t="shared" si="146"/>
        <v>33298</v>
      </c>
      <c r="V163">
        <f t="shared" si="139"/>
        <v>6.5744350270834515E-2</v>
      </c>
      <c r="W163" t="e">
        <f t="shared" si="140"/>
        <v>#N/A</v>
      </c>
      <c r="X163" t="e">
        <f t="shared" si="141"/>
        <v>#N/A</v>
      </c>
      <c r="Y163">
        <f t="shared" si="142"/>
        <v>6.5744350270834515E-2</v>
      </c>
      <c r="Z163" t="e">
        <f t="shared" si="143"/>
        <v>#N/A</v>
      </c>
      <c r="AA163">
        <f t="shared" si="144"/>
        <v>2.4802902571682175E-2</v>
      </c>
      <c r="AB163">
        <f t="shared" si="144"/>
        <v>1.2555934237056204E-2</v>
      </c>
    </row>
    <row r="164" spans="1:28" x14ac:dyDescent="0.25">
      <c r="A164" s="18">
        <f t="shared" si="105"/>
        <v>22433</v>
      </c>
      <c r="B164">
        <f>'2-state flows'!B163</f>
        <v>70878</v>
      </c>
      <c r="C164">
        <f>'2-state flows'!C163</f>
        <v>4885</v>
      </c>
      <c r="D164">
        <f>'Composite HWI'!B127*48.35347462</f>
        <v>1547.31118784</v>
      </c>
      <c r="E164">
        <f t="shared" si="100"/>
        <v>6.8921244956121785E-2</v>
      </c>
      <c r="F164">
        <f t="shared" si="101"/>
        <v>2.1830627103473575E-2</v>
      </c>
      <c r="G164">
        <f>'2-state flows'!G163</f>
        <v>0.44226500763492954</v>
      </c>
      <c r="H164">
        <f t="shared" si="102"/>
        <v>0.43404046022515541</v>
      </c>
      <c r="I164">
        <f>'2-state flows'!H163</f>
        <v>3.3556634365596215E-2</v>
      </c>
      <c r="J164">
        <f t="shared" si="106"/>
        <v>-6.067142680851445E-2</v>
      </c>
      <c r="K164">
        <v>0.5</v>
      </c>
      <c r="L164">
        <f t="shared" si="108"/>
        <v>0.41946763867689896</v>
      </c>
      <c r="M164">
        <f t="shared" si="103"/>
        <v>1.4351382200430664E-2</v>
      </c>
      <c r="N164">
        <f t="shared" ref="N164:O164" si="177">AVERAGE(G162:G164)</f>
        <v>0.44891454559600397</v>
      </c>
      <c r="O164">
        <f t="shared" si="177"/>
        <v>0.42761531358978605</v>
      </c>
      <c r="P164">
        <f t="shared" si="110"/>
        <v>6.9856175895813624E-2</v>
      </c>
      <c r="Q164">
        <f t="shared" si="111"/>
        <v>2.1479143906455434E-2</v>
      </c>
      <c r="R164">
        <f t="shared" si="112"/>
        <v>1.3843178333213491E-2</v>
      </c>
      <c r="U164" s="18">
        <f t="shared" si="146"/>
        <v>33390</v>
      </c>
      <c r="V164">
        <f t="shared" si="139"/>
        <v>6.8242054022026225E-2</v>
      </c>
      <c r="W164" t="e">
        <f t="shared" si="140"/>
        <v>#N/A</v>
      </c>
      <c r="X164" t="e">
        <f t="shared" si="141"/>
        <v>#N/A</v>
      </c>
      <c r="Y164">
        <f t="shared" si="142"/>
        <v>6.8242054022026225E-2</v>
      </c>
      <c r="Z164" t="e">
        <f t="shared" si="143"/>
        <v>#N/A</v>
      </c>
      <c r="AA164">
        <f t="shared" si="144"/>
        <v>2.3981585315284177E-2</v>
      </c>
      <c r="AB164">
        <f t="shared" si="144"/>
        <v>1.2414071451542731E-2</v>
      </c>
    </row>
    <row r="165" spans="1:28" x14ac:dyDescent="0.25">
      <c r="A165" s="18">
        <f t="shared" si="105"/>
        <v>22463</v>
      </c>
      <c r="B165">
        <f>'2-state flows'!B164</f>
        <v>70536</v>
      </c>
      <c r="C165">
        <f>'2-state flows'!C164</f>
        <v>4928</v>
      </c>
      <c r="D165">
        <f>'Composite HWI'!B128*48.35347462</f>
        <v>1595.66466246</v>
      </c>
      <c r="E165">
        <f t="shared" si="100"/>
        <v>6.9865033458092321E-2</v>
      </c>
      <c r="F165">
        <f t="shared" si="101"/>
        <v>2.2621989657196327E-2</v>
      </c>
      <c r="G165">
        <f>'2-state flows'!G164</f>
        <v>0.50267441153528425</v>
      </c>
      <c r="H165">
        <f t="shared" si="102"/>
        <v>0.43884295476188118</v>
      </c>
      <c r="I165">
        <f>'2-state flows'!H164</f>
        <v>3.2914422958766829E-2</v>
      </c>
      <c r="J165">
        <f t="shared" si="106"/>
        <v>-1.9323639978020269E-2</v>
      </c>
      <c r="K165">
        <v>0.5</v>
      </c>
      <c r="L165">
        <f t="shared" si="108"/>
        <v>0.3808203587208584</v>
      </c>
      <c r="M165">
        <f t="shared" si="103"/>
        <v>1.5457619730185996E-2</v>
      </c>
      <c r="N165">
        <f t="shared" ref="N165:O165" si="178">AVERAGE(G163:G165)</f>
        <v>0.48060157055894742</v>
      </c>
      <c r="O165">
        <f t="shared" si="178"/>
        <v>0.43392490867072975</v>
      </c>
      <c r="P165">
        <f t="shared" si="110"/>
        <v>6.993305554059602E-2</v>
      </c>
      <c r="Q165">
        <f t="shared" si="111"/>
        <v>2.2138415487910051E-2</v>
      </c>
      <c r="R165">
        <f t="shared" si="112"/>
        <v>1.4199105658457748E-2</v>
      </c>
      <c r="U165" s="18">
        <f t="shared" si="146"/>
        <v>33482</v>
      </c>
      <c r="V165">
        <f t="shared" si="139"/>
        <v>6.8540875368525267E-2</v>
      </c>
      <c r="W165" t="e">
        <f t="shared" si="140"/>
        <v>#N/A</v>
      </c>
      <c r="X165" t="e">
        <f t="shared" si="141"/>
        <v>#N/A</v>
      </c>
      <c r="Y165">
        <f t="shared" si="142"/>
        <v>6.8540875368525267E-2</v>
      </c>
      <c r="Z165" t="e">
        <f t="shared" si="143"/>
        <v>#N/A</v>
      </c>
      <c r="AA165">
        <f t="shared" si="144"/>
        <v>2.3349866293832098E-2</v>
      </c>
      <c r="AB165">
        <f t="shared" si="144"/>
        <v>1.2385946925632814E-2</v>
      </c>
    </row>
    <row r="166" spans="1:28" x14ac:dyDescent="0.25">
      <c r="A166" s="18">
        <f t="shared" si="105"/>
        <v>22494</v>
      </c>
      <c r="B166">
        <f>'2-state flows'!B165</f>
        <v>70534</v>
      </c>
      <c r="C166">
        <f>'2-state flows'!C165</f>
        <v>4682</v>
      </c>
      <c r="D166">
        <f>'Composite HWI'!B129*48.35347462</f>
        <v>1644.0181370800001</v>
      </c>
      <c r="E166">
        <f t="shared" si="100"/>
        <v>6.6379334788896141E-2</v>
      </c>
      <c r="F166">
        <f t="shared" si="101"/>
        <v>2.3308165382368788E-2</v>
      </c>
      <c r="G166">
        <f>'2-state flows'!G165</f>
        <v>0.50805288017448358</v>
      </c>
      <c r="H166">
        <f t="shared" si="102"/>
        <v>0.45699480590798536</v>
      </c>
      <c r="I166">
        <f>'2-state flows'!H165</f>
        <v>3.6003828904723444E-2</v>
      </c>
      <c r="J166">
        <f t="shared" si="106"/>
        <v>8.9714341753059729E-2</v>
      </c>
      <c r="K166">
        <v>0.5</v>
      </c>
      <c r="L166">
        <f t="shared" si="108"/>
        <v>0.56024904222697791</v>
      </c>
      <c r="M166">
        <f t="shared" si="103"/>
        <v>1.3310520033737784E-2</v>
      </c>
      <c r="N166">
        <f t="shared" ref="N166:O166" si="179">AVERAGE(G164:G166)</f>
        <v>0.48433076644823253</v>
      </c>
      <c r="O166">
        <f t="shared" si="179"/>
        <v>0.44329274029834065</v>
      </c>
      <c r="P166">
        <f t="shared" si="110"/>
        <v>6.8388537734370078E-2</v>
      </c>
      <c r="Q166">
        <f t="shared" si="111"/>
        <v>2.2586927381012895E-2</v>
      </c>
      <c r="R166">
        <f t="shared" si="112"/>
        <v>1.4373173988118148E-2</v>
      </c>
      <c r="U166" s="18">
        <f t="shared" si="146"/>
        <v>33573</v>
      </c>
      <c r="V166">
        <f t="shared" si="139"/>
        <v>7.0974988762214086E-2</v>
      </c>
      <c r="W166" t="e">
        <f t="shared" si="140"/>
        <v>#N/A</v>
      </c>
      <c r="X166" t="e">
        <f t="shared" si="141"/>
        <v>#N/A</v>
      </c>
      <c r="Y166">
        <f t="shared" si="142"/>
        <v>7.0974988762214086E-2</v>
      </c>
      <c r="Z166" t="e">
        <f t="shared" si="143"/>
        <v>#N/A</v>
      </c>
      <c r="AA166">
        <f t="shared" si="144"/>
        <v>2.2776585614267677E-2</v>
      </c>
      <c r="AB166">
        <f t="shared" si="144"/>
        <v>1.2673164416245242E-2</v>
      </c>
    </row>
    <row r="167" spans="1:28" x14ac:dyDescent="0.25">
      <c r="A167" s="18">
        <f t="shared" si="105"/>
        <v>22525</v>
      </c>
      <c r="B167">
        <f>'2-state flows'!B166</f>
        <v>70217</v>
      </c>
      <c r="C167">
        <f>'2-state flows'!C166</f>
        <v>4676</v>
      </c>
      <c r="D167">
        <f>'Composite HWI'!B130*48.35347462</f>
        <v>1692.3716116999999</v>
      </c>
      <c r="E167">
        <f t="shared" si="100"/>
        <v>6.659355996411126E-2</v>
      </c>
      <c r="F167">
        <f t="shared" si="101"/>
        <v>2.4102021044761238E-2</v>
      </c>
      <c r="G167">
        <f>'2-state flows'!G166</f>
        <v>0.52648798862272161</v>
      </c>
      <c r="H167">
        <f t="shared" si="102"/>
        <v>0.4639639969184699</v>
      </c>
      <c r="I167">
        <f>'2-state flows'!H166</f>
        <v>3.5507823507723711E-2</v>
      </c>
      <c r="J167">
        <f t="shared" si="106"/>
        <v>-1.3872238564575069E-2</v>
      </c>
      <c r="K167">
        <v>0.5</v>
      </c>
      <c r="L167">
        <f t="shared" si="108"/>
        <v>0.53250456509782773</v>
      </c>
      <c r="M167">
        <f t="shared" si="103"/>
        <v>1.4151082637707263E-2</v>
      </c>
      <c r="N167">
        <f t="shared" ref="N167:O167" si="180">AVERAGE(G165:G167)</f>
        <v>0.51240509344416318</v>
      </c>
      <c r="O167">
        <f t="shared" si="180"/>
        <v>0.4532672525294455</v>
      </c>
      <c r="P167">
        <f t="shared" si="110"/>
        <v>6.7612642737033241E-2</v>
      </c>
      <c r="Q167">
        <f t="shared" si="111"/>
        <v>2.334405869477545E-2</v>
      </c>
      <c r="R167">
        <f t="shared" si="112"/>
        <v>1.4306407467210347E-2</v>
      </c>
      <c r="U167" s="18">
        <f t="shared" si="146"/>
        <v>33664</v>
      </c>
      <c r="V167">
        <f t="shared" si="139"/>
        <v>7.379999831448035E-2</v>
      </c>
      <c r="W167" t="e">
        <f t="shared" si="140"/>
        <v>#N/A</v>
      </c>
      <c r="X167" t="e">
        <f t="shared" si="141"/>
        <v>#N/A</v>
      </c>
      <c r="Y167">
        <f t="shared" si="142"/>
        <v>7.379999831448035E-2</v>
      </c>
      <c r="Z167" t="e">
        <f t="shared" si="143"/>
        <v>#N/A</v>
      </c>
      <c r="AA167">
        <f t="shared" si="144"/>
        <v>2.3285408407108289E-2</v>
      </c>
      <c r="AB167">
        <f t="shared" si="144"/>
        <v>1.4315929319028904E-2</v>
      </c>
    </row>
    <row r="168" spans="1:28" x14ac:dyDescent="0.25">
      <c r="A168" s="18">
        <f t="shared" si="105"/>
        <v>22555</v>
      </c>
      <c r="B168">
        <f>'2-state flows'!B167</f>
        <v>70492</v>
      </c>
      <c r="C168">
        <f>'2-state flows'!C167</f>
        <v>4573</v>
      </c>
      <c r="D168">
        <f>'Composite HWI'!B131*48.35347462</f>
        <v>1789.07856094</v>
      </c>
      <c r="E168">
        <f t="shared" ref="E168:E231" si="181">C168/B168</f>
        <v>6.4872609657833508E-2</v>
      </c>
      <c r="F168">
        <f t="shared" ref="F168:F231" si="182">D168/B168</f>
        <v>2.5379880850876696E-2</v>
      </c>
      <c r="G168">
        <f>'2-state flows'!G167</f>
        <v>0.54297177789824158</v>
      </c>
      <c r="H168">
        <f t="shared" ref="H168:H231" si="183">0.771211801*(F168/E168)^0.5</f>
        <v>0.48237830985357411</v>
      </c>
      <c r="I168">
        <f>'2-state flows'!H167</f>
        <v>3.2122025937569715E-2</v>
      </c>
      <c r="J168">
        <f t="shared" si="106"/>
        <v>-0.10021109158946306</v>
      </c>
      <c r="K168">
        <v>0.5</v>
      </c>
      <c r="L168">
        <f t="shared" si="108"/>
        <v>0.3320823819189016</v>
      </c>
      <c r="M168">
        <f t="shared" ref="M168:M231" si="184">F168/EXP(L168)</f>
        <v>1.8208242674299567E-2</v>
      </c>
      <c r="N168">
        <f t="shared" ref="N168:O168" si="185">AVERAGE(G166:G168)</f>
        <v>0.52583754889848222</v>
      </c>
      <c r="O168">
        <f t="shared" si="185"/>
        <v>0.46777903756000977</v>
      </c>
      <c r="P168">
        <f t="shared" si="110"/>
        <v>6.5948501470280294E-2</v>
      </c>
      <c r="Q168">
        <f t="shared" si="111"/>
        <v>2.426335575933557E-2</v>
      </c>
      <c r="R168">
        <f t="shared" si="112"/>
        <v>1.5223281781914871E-2</v>
      </c>
      <c r="U168" s="18">
        <f t="shared" si="146"/>
        <v>33756</v>
      </c>
      <c r="V168">
        <f t="shared" si="139"/>
        <v>7.5952565390984758E-2</v>
      </c>
      <c r="W168" t="e">
        <f t="shared" si="140"/>
        <v>#N/A</v>
      </c>
      <c r="X168" t="e">
        <f t="shared" si="141"/>
        <v>#N/A</v>
      </c>
      <c r="Y168">
        <f t="shared" si="142"/>
        <v>7.5952565390984758E-2</v>
      </c>
      <c r="Z168" t="e">
        <f t="shared" si="143"/>
        <v>#N/A</v>
      </c>
      <c r="AA168">
        <f t="shared" si="144"/>
        <v>2.3520974151542019E-2</v>
      </c>
      <c r="AB168">
        <f t="shared" si="144"/>
        <v>1.3651786685877279E-2</v>
      </c>
    </row>
    <row r="169" spans="1:28" x14ac:dyDescent="0.25">
      <c r="A169" s="18">
        <f t="shared" ref="A169:A232" si="186">DATE(YEAR(A168),MONTH(A168)+1,1)</f>
        <v>22586</v>
      </c>
      <c r="B169">
        <f>'2-state flows'!B168</f>
        <v>70376</v>
      </c>
      <c r="C169">
        <f>'2-state flows'!C168</f>
        <v>4295</v>
      </c>
      <c r="D169">
        <f>'Composite HWI'!B132*48.35347462</f>
        <v>1837.43203556</v>
      </c>
      <c r="E169">
        <f t="shared" si="181"/>
        <v>6.1029328180061383E-2</v>
      </c>
      <c r="F169">
        <f t="shared" si="182"/>
        <v>2.6108787591792658E-2</v>
      </c>
      <c r="G169">
        <f>'2-state flows'!G168</f>
        <v>0.56422476316061521</v>
      </c>
      <c r="H169">
        <f t="shared" si="183"/>
        <v>0.50442630286698975</v>
      </c>
      <c r="I169">
        <f>'2-state flows'!H168</f>
        <v>3.4299279492518465E-2</v>
      </c>
      <c r="J169">
        <f t="shared" ref="J169:J232" si="187">LN(I169/I168)</f>
        <v>6.5582386791288139E-2</v>
      </c>
      <c r="K169">
        <v>0.5</v>
      </c>
      <c r="L169">
        <f t="shared" si="108"/>
        <v>0.46324715550147788</v>
      </c>
      <c r="M169">
        <f t="shared" si="184"/>
        <v>1.6428617628946856E-2</v>
      </c>
      <c r="N169">
        <f t="shared" ref="N169:O169" si="188">AVERAGE(G167:G169)</f>
        <v>0.54456150989385954</v>
      </c>
      <c r="O169">
        <f t="shared" si="188"/>
        <v>0.48358953654634457</v>
      </c>
      <c r="P169">
        <f t="shared" si="110"/>
        <v>6.4165165934002052E-2</v>
      </c>
      <c r="Q169">
        <f t="shared" si="111"/>
        <v>2.5196896495810195E-2</v>
      </c>
      <c r="R169">
        <f t="shared" si="112"/>
        <v>1.6262647646984565E-2</v>
      </c>
      <c r="U169" s="18">
        <f t="shared" si="146"/>
        <v>33848</v>
      </c>
      <c r="V169">
        <f t="shared" si="139"/>
        <v>7.6276259824107226E-2</v>
      </c>
      <c r="W169" t="e">
        <f t="shared" si="140"/>
        <v>#N/A</v>
      </c>
      <c r="X169" t="e">
        <f t="shared" si="141"/>
        <v>#N/A</v>
      </c>
      <c r="Y169">
        <f t="shared" si="142"/>
        <v>7.6276259824107226E-2</v>
      </c>
      <c r="Z169" t="e">
        <f t="shared" si="143"/>
        <v>#N/A</v>
      </c>
      <c r="AA169">
        <f t="shared" si="144"/>
        <v>2.3319328411964862E-2</v>
      </c>
      <c r="AB169">
        <f t="shared" si="144"/>
        <v>1.3614279831536855E-2</v>
      </c>
    </row>
    <row r="170" spans="1:28" x14ac:dyDescent="0.25">
      <c r="A170" s="18">
        <f t="shared" si="186"/>
        <v>22616</v>
      </c>
      <c r="B170">
        <f>'2-state flows'!B169</f>
        <v>70077</v>
      </c>
      <c r="C170">
        <f>'2-state flows'!C169</f>
        <v>4177</v>
      </c>
      <c r="D170">
        <f>'Composite HWI'!B133*48.35347462</f>
        <v>1837.43203556</v>
      </c>
      <c r="E170">
        <f t="shared" si="181"/>
        <v>5.960586212309317E-2</v>
      </c>
      <c r="F170">
        <f t="shared" si="182"/>
        <v>2.6220186873867318E-2</v>
      </c>
      <c r="G170">
        <f>'2-state flows'!G169</f>
        <v>0.56249279783165496</v>
      </c>
      <c r="H170">
        <f t="shared" si="183"/>
        <v>0.51150168751383795</v>
      </c>
      <c r="I170">
        <f>'2-state flows'!H169</f>
        <v>3.3719077452916843E-2</v>
      </c>
      <c r="J170">
        <f t="shared" si="187"/>
        <v>-1.706057419039388E-2</v>
      </c>
      <c r="K170">
        <v>0.5</v>
      </c>
      <c r="L170">
        <f t="shared" ref="L170:L233" si="189">L169+J170/(1-K170)</f>
        <v>0.4291260071206901</v>
      </c>
      <c r="M170">
        <f t="shared" si="184"/>
        <v>1.7071383776451361E-2</v>
      </c>
      <c r="N170">
        <f t="shared" ref="N170:O170" si="190">AVERAGE(G168:G170)</f>
        <v>0.55656311296350391</v>
      </c>
      <c r="O170">
        <f t="shared" si="190"/>
        <v>0.49943543341146723</v>
      </c>
      <c r="P170">
        <f t="shared" ref="P170:P233" si="191">AVERAGE(E168:E170)</f>
        <v>6.1835933320329349E-2</v>
      </c>
      <c r="Q170">
        <f t="shared" ref="Q170:Q233" si="192">AVERAGE(F168:F170)</f>
        <v>2.5902951772178894E-2</v>
      </c>
      <c r="R170">
        <f t="shared" ref="R170:R233" si="193">AVERAGE(M168:M170)</f>
        <v>1.723608135989926E-2</v>
      </c>
      <c r="U170" s="18">
        <f t="shared" si="146"/>
        <v>33939</v>
      </c>
      <c r="V170">
        <f t="shared" si="139"/>
        <v>7.4073084685516766E-2</v>
      </c>
      <c r="W170" t="e">
        <f t="shared" si="140"/>
        <v>#N/A</v>
      </c>
      <c r="X170" t="e">
        <f t="shared" si="141"/>
        <v>#N/A</v>
      </c>
      <c r="Y170">
        <f t="shared" si="142"/>
        <v>7.4073084685516766E-2</v>
      </c>
      <c r="Z170" t="e">
        <f t="shared" si="143"/>
        <v>#N/A</v>
      </c>
      <c r="AA170">
        <f t="shared" si="144"/>
        <v>2.423726517907079E-2</v>
      </c>
      <c r="AB170">
        <f t="shared" si="144"/>
        <v>1.5773829948265778E-2</v>
      </c>
    </row>
    <row r="171" spans="1:28" x14ac:dyDescent="0.25">
      <c r="A171" s="18">
        <f t="shared" si="186"/>
        <v>22647</v>
      </c>
      <c r="B171">
        <f>'2-state flows'!B170</f>
        <v>70189</v>
      </c>
      <c r="C171">
        <f>'2-state flows'!C170</f>
        <v>4081</v>
      </c>
      <c r="D171">
        <f>'Composite HWI'!B134*48.35347462</f>
        <v>1934.1389847999999</v>
      </c>
      <c r="E171">
        <f t="shared" si="181"/>
        <v>5.8143013862571057E-2</v>
      </c>
      <c r="F171">
        <f t="shared" si="182"/>
        <v>2.755615530638704E-2</v>
      </c>
      <c r="G171">
        <f>'2-state flows'!G170</f>
        <v>0.54471872589182169</v>
      </c>
      <c r="H171">
        <f t="shared" si="183"/>
        <v>0.53092626251175101</v>
      </c>
      <c r="I171">
        <f>'2-state flows'!H170</f>
        <v>2.9451374485829743E-2</v>
      </c>
      <c r="J171">
        <f t="shared" si="187"/>
        <v>-0.13532319285853386</v>
      </c>
      <c r="K171">
        <v>0.5</v>
      </c>
      <c r="L171">
        <f t="shared" si="189"/>
        <v>0.15847962140362237</v>
      </c>
      <c r="M171">
        <f t="shared" si="184"/>
        <v>2.3517534981730055E-2</v>
      </c>
      <c r="N171">
        <f t="shared" ref="N171:O171" si="194">AVERAGE(G169:G171)</f>
        <v>0.55714542896136399</v>
      </c>
      <c r="O171">
        <f t="shared" si="194"/>
        <v>0.5156180842975262</v>
      </c>
      <c r="P171">
        <f t="shared" si="191"/>
        <v>5.9592734721908541E-2</v>
      </c>
      <c r="Q171">
        <f t="shared" si="192"/>
        <v>2.6628376590682335E-2</v>
      </c>
      <c r="R171">
        <f t="shared" si="193"/>
        <v>1.9005845462376089E-2</v>
      </c>
      <c r="U171" s="18">
        <f t="shared" si="146"/>
        <v>34029</v>
      </c>
      <c r="V171">
        <f t="shared" si="139"/>
        <v>7.1510670899310472E-2</v>
      </c>
      <c r="W171" t="e">
        <f t="shared" si="140"/>
        <v>#N/A</v>
      </c>
      <c r="X171" t="e">
        <f t="shared" si="141"/>
        <v>#N/A</v>
      </c>
      <c r="Y171">
        <f t="shared" si="142"/>
        <v>7.1510670899310472E-2</v>
      </c>
      <c r="Z171" t="e">
        <f t="shared" si="143"/>
        <v>#N/A</v>
      </c>
      <c r="AA171">
        <f t="shared" si="144"/>
        <v>2.4963564564714213E-2</v>
      </c>
      <c r="AB171">
        <f t="shared" si="144"/>
        <v>1.4950162784914478E-2</v>
      </c>
    </row>
    <row r="172" spans="1:28" x14ac:dyDescent="0.25">
      <c r="A172" s="18">
        <f t="shared" si="186"/>
        <v>22678</v>
      </c>
      <c r="B172">
        <f>'2-state flows'!B171</f>
        <v>70409</v>
      </c>
      <c r="C172">
        <f>'2-state flows'!C171</f>
        <v>3871</v>
      </c>
      <c r="D172">
        <f>'Composite HWI'!B135*48.35347462</f>
        <v>1885.7855101800001</v>
      </c>
      <c r="E172">
        <f t="shared" si="181"/>
        <v>5.4978766919001831E-2</v>
      </c>
      <c r="F172">
        <f t="shared" si="182"/>
        <v>2.6783301995199477E-2</v>
      </c>
      <c r="G172">
        <f>'2-state flows'!G171</f>
        <v>0.56505551123124087</v>
      </c>
      <c r="H172">
        <f t="shared" si="183"/>
        <v>0.53827998052588077</v>
      </c>
      <c r="I172">
        <f>'2-state flows'!H171</f>
        <v>3.3872206259934881E-2</v>
      </c>
      <c r="J172">
        <f t="shared" si="187"/>
        <v>0.13985422291410526</v>
      </c>
      <c r="K172">
        <v>0.5</v>
      </c>
      <c r="L172">
        <f t="shared" si="189"/>
        <v>0.4381880672318329</v>
      </c>
      <c r="M172">
        <f t="shared" si="184"/>
        <v>1.7280705087563263E-2</v>
      </c>
      <c r="N172">
        <f t="shared" ref="N172:O172" si="195">AVERAGE(G170:G172)</f>
        <v>0.55742234498490584</v>
      </c>
      <c r="O172">
        <f t="shared" si="195"/>
        <v>0.52690264351715654</v>
      </c>
      <c r="P172">
        <f t="shared" si="191"/>
        <v>5.7575880968222019E-2</v>
      </c>
      <c r="Q172">
        <f t="shared" si="192"/>
        <v>2.6853214725151276E-2</v>
      </c>
      <c r="R172">
        <f t="shared" si="193"/>
        <v>1.9289874615248226E-2</v>
      </c>
      <c r="U172" s="18">
        <f t="shared" si="146"/>
        <v>34121</v>
      </c>
      <c r="V172">
        <f t="shared" si="139"/>
        <v>7.0702377509311132E-2</v>
      </c>
      <c r="W172" t="e">
        <f t="shared" si="140"/>
        <v>#N/A</v>
      </c>
      <c r="X172" t="e">
        <f t="shared" si="141"/>
        <v>#N/A</v>
      </c>
      <c r="Y172">
        <f t="shared" si="142"/>
        <v>7.0702377509311132E-2</v>
      </c>
      <c r="Z172" t="e">
        <f t="shared" si="143"/>
        <v>#N/A</v>
      </c>
      <c r="AA172">
        <f t="shared" si="144"/>
        <v>2.4971211737160933E-2</v>
      </c>
      <c r="AB172">
        <f t="shared" si="144"/>
        <v>1.5857859579257314E-2</v>
      </c>
    </row>
    <row r="173" spans="1:28" x14ac:dyDescent="0.25">
      <c r="A173" s="18">
        <f t="shared" si="186"/>
        <v>22706</v>
      </c>
      <c r="B173">
        <f>'2-state flows'!B172</f>
        <v>70414</v>
      </c>
      <c r="C173">
        <f>'2-state flows'!C172</f>
        <v>3921</v>
      </c>
      <c r="D173">
        <f>'Composite HWI'!B136*48.35347462</f>
        <v>1885.7855101800001</v>
      </c>
      <c r="E173">
        <f t="shared" si="181"/>
        <v>5.5684949015820717E-2</v>
      </c>
      <c r="F173">
        <f t="shared" si="182"/>
        <v>2.6781400150254212E-2</v>
      </c>
      <c r="G173">
        <f>'2-state flows'!G172</f>
        <v>0.54348793622859193</v>
      </c>
      <c r="H173">
        <f t="shared" si="183"/>
        <v>0.53483693649398567</v>
      </c>
      <c r="I173">
        <f>'2-state flows'!H172</f>
        <v>3.1752072171711741E-2</v>
      </c>
      <c r="J173">
        <f t="shared" si="187"/>
        <v>-6.4636815307637027E-2</v>
      </c>
      <c r="K173">
        <v>0.5</v>
      </c>
      <c r="L173">
        <f t="shared" si="189"/>
        <v>0.30891443661655882</v>
      </c>
      <c r="M173">
        <f t="shared" si="184"/>
        <v>1.966407143720033E-2</v>
      </c>
      <c r="N173">
        <f t="shared" ref="N173:O173" si="196">AVERAGE(G171:G173)</f>
        <v>0.55108739111721816</v>
      </c>
      <c r="O173">
        <f t="shared" si="196"/>
        <v>0.53468105984387249</v>
      </c>
      <c r="P173">
        <f t="shared" si="191"/>
        <v>5.6268909932464535E-2</v>
      </c>
      <c r="Q173">
        <f t="shared" si="192"/>
        <v>2.7040285817280241E-2</v>
      </c>
      <c r="R173">
        <f t="shared" si="193"/>
        <v>2.0154103835497882E-2</v>
      </c>
      <c r="U173" s="18">
        <f t="shared" si="146"/>
        <v>34213</v>
      </c>
      <c r="V173">
        <f t="shared" si="139"/>
        <v>6.8009529947637745E-2</v>
      </c>
      <c r="W173" t="e">
        <f t="shared" si="140"/>
        <v>#N/A</v>
      </c>
      <c r="X173" t="e">
        <f t="shared" si="141"/>
        <v>#N/A</v>
      </c>
      <c r="Y173">
        <f t="shared" si="142"/>
        <v>6.8009529947637745E-2</v>
      </c>
      <c r="Z173" t="e">
        <f t="shared" si="143"/>
        <v>#N/A</v>
      </c>
      <c r="AA173">
        <f t="shared" si="144"/>
        <v>2.6151496927778128E-2</v>
      </c>
      <c r="AB173">
        <f t="shared" si="144"/>
        <v>1.7506625993870744E-2</v>
      </c>
    </row>
    <row r="174" spans="1:28" x14ac:dyDescent="0.25">
      <c r="A174" s="18">
        <f t="shared" si="186"/>
        <v>22737</v>
      </c>
      <c r="B174">
        <f>'2-state flows'!B173</f>
        <v>70278</v>
      </c>
      <c r="C174">
        <f>'2-state flows'!C173</f>
        <v>3906</v>
      </c>
      <c r="D174">
        <f>'Composite HWI'!B137*48.35347462</f>
        <v>1885.7855101800001</v>
      </c>
      <c r="E174">
        <f t="shared" si="181"/>
        <v>5.5579270895586098E-2</v>
      </c>
      <c r="F174">
        <f t="shared" si="182"/>
        <v>2.6833226759156493E-2</v>
      </c>
      <c r="G174">
        <f>'2-state flows'!G173</f>
        <v>0.52094664677626856</v>
      </c>
      <c r="H174">
        <f t="shared" si="183"/>
        <v>0.53586290508797563</v>
      </c>
      <c r="I174">
        <f>'2-state flows'!H173</f>
        <v>2.9815203927627057E-2</v>
      </c>
      <c r="J174">
        <f t="shared" si="187"/>
        <v>-6.2939526141975927E-2</v>
      </c>
      <c r="K174">
        <v>0.5</v>
      </c>
      <c r="L174">
        <f t="shared" si="189"/>
        <v>0.18303538433260697</v>
      </c>
      <c r="M174">
        <f t="shared" si="184"/>
        <v>2.2345066081458812E-2</v>
      </c>
      <c r="N174">
        <f t="shared" ref="N174:O174" si="197">AVERAGE(G172:G174)</f>
        <v>0.54316336474536708</v>
      </c>
      <c r="O174">
        <f t="shared" si="197"/>
        <v>0.53632660736928062</v>
      </c>
      <c r="P174">
        <f t="shared" si="191"/>
        <v>5.5414328943469544E-2</v>
      </c>
      <c r="Q174">
        <f t="shared" si="192"/>
        <v>2.6799309634870063E-2</v>
      </c>
      <c r="R174">
        <f t="shared" si="193"/>
        <v>1.9763280868740799E-2</v>
      </c>
      <c r="U174" s="18">
        <f t="shared" si="146"/>
        <v>34304</v>
      </c>
      <c r="V174">
        <f t="shared" si="139"/>
        <v>6.6206963922621667E-2</v>
      </c>
      <c r="W174" t="e">
        <f t="shared" si="140"/>
        <v>#N/A</v>
      </c>
      <c r="X174" t="e">
        <f t="shared" si="141"/>
        <v>#N/A</v>
      </c>
      <c r="Y174">
        <f t="shared" si="142"/>
        <v>6.6206963922621667E-2</v>
      </c>
      <c r="Z174" t="e">
        <f t="shared" si="143"/>
        <v>#N/A</v>
      </c>
      <c r="AA174">
        <f t="shared" si="144"/>
        <v>2.770316745563044E-2</v>
      </c>
      <c r="AB174">
        <f t="shared" si="144"/>
        <v>1.9107131003129763E-2</v>
      </c>
    </row>
    <row r="175" spans="1:28" x14ac:dyDescent="0.25">
      <c r="A175" s="18">
        <f t="shared" si="186"/>
        <v>22767</v>
      </c>
      <c r="B175">
        <f>'2-state flows'!B174</f>
        <v>70551</v>
      </c>
      <c r="C175">
        <f>'2-state flows'!C174</f>
        <v>3863</v>
      </c>
      <c r="D175">
        <f>'Composite HWI'!B138*48.35347462</f>
        <v>1934.1389847999999</v>
      </c>
      <c r="E175">
        <f t="shared" si="181"/>
        <v>5.4754716446258733E-2</v>
      </c>
      <c r="F175">
        <f t="shared" si="182"/>
        <v>2.7414763572451133E-2</v>
      </c>
      <c r="G175">
        <f>'2-state flows'!G174</f>
        <v>0.54229322736789287</v>
      </c>
      <c r="H175">
        <f t="shared" si="183"/>
        <v>0.54570150528854855</v>
      </c>
      <c r="I175">
        <f>'2-state flows'!H174</f>
        <v>3.1038784422472088E-2</v>
      </c>
      <c r="J175">
        <f t="shared" si="187"/>
        <v>4.0219070583214098E-2</v>
      </c>
      <c r="K175">
        <v>0.5</v>
      </c>
      <c r="L175">
        <f t="shared" si="189"/>
        <v>0.26347352549903513</v>
      </c>
      <c r="M175">
        <f t="shared" si="184"/>
        <v>2.1064900233601559E-2</v>
      </c>
      <c r="N175">
        <f t="shared" ref="N175:O175" si="198">AVERAGE(G173:G175)</f>
        <v>0.53557593679091775</v>
      </c>
      <c r="O175">
        <f t="shared" si="198"/>
        <v>0.53880044895683665</v>
      </c>
      <c r="P175">
        <f t="shared" si="191"/>
        <v>5.5339645452555181E-2</v>
      </c>
      <c r="Q175">
        <f t="shared" si="192"/>
        <v>2.7009796827287279E-2</v>
      </c>
      <c r="R175">
        <f t="shared" si="193"/>
        <v>2.1024679250753565E-2</v>
      </c>
      <c r="U175" s="18">
        <f t="shared" si="146"/>
        <v>34394</v>
      </c>
      <c r="V175">
        <f t="shared" si="139"/>
        <v>6.5573565226174593E-2</v>
      </c>
      <c r="W175" t="e">
        <f t="shared" si="140"/>
        <v>#N/A</v>
      </c>
      <c r="X175" t="e">
        <f t="shared" si="141"/>
        <v>#N/A</v>
      </c>
      <c r="Y175">
        <f t="shared" si="142"/>
        <v>6.5573565226174593E-2</v>
      </c>
      <c r="Z175" t="e">
        <f t="shared" si="143"/>
        <v>#N/A</v>
      </c>
      <c r="AA175">
        <f t="shared" si="144"/>
        <v>2.9012493405044082E-2</v>
      </c>
      <c r="AB175">
        <f t="shared" si="144"/>
        <v>1.9580812481372278E-2</v>
      </c>
    </row>
    <row r="176" spans="1:28" x14ac:dyDescent="0.25">
      <c r="A176" s="18">
        <f t="shared" si="186"/>
        <v>22798</v>
      </c>
      <c r="B176">
        <f>'2-state flows'!B175</f>
        <v>70514</v>
      </c>
      <c r="C176">
        <f>'2-state flows'!C175</f>
        <v>3844</v>
      </c>
      <c r="D176">
        <f>'Composite HWI'!B139*48.35347462</f>
        <v>1885.7855101800001</v>
      </c>
      <c r="E176">
        <f t="shared" si="181"/>
        <v>5.4513997220410129E-2</v>
      </c>
      <c r="F176">
        <f t="shared" si="182"/>
        <v>2.6743419890801829E-2</v>
      </c>
      <c r="G176">
        <f>'2-state flows'!G175</f>
        <v>0.54585810283281555</v>
      </c>
      <c r="H176">
        <f t="shared" si="183"/>
        <v>0.54016709395226037</v>
      </c>
      <c r="I176">
        <f>'2-state flows'!H175</f>
        <v>3.0979131321350505E-2</v>
      </c>
      <c r="J176">
        <f t="shared" si="187"/>
        <v>-1.9237382876539997E-3</v>
      </c>
      <c r="K176">
        <v>0.5</v>
      </c>
      <c r="L176">
        <f t="shared" si="189"/>
        <v>0.25962604892372715</v>
      </c>
      <c r="M176">
        <f t="shared" si="184"/>
        <v>2.0628268837804255E-2</v>
      </c>
      <c r="N176">
        <f t="shared" ref="N176:O176" si="199">AVERAGE(G174:G176)</f>
        <v>0.53636599232565896</v>
      </c>
      <c r="O176">
        <f t="shared" si="199"/>
        <v>0.54057716810959489</v>
      </c>
      <c r="P176">
        <f t="shared" si="191"/>
        <v>5.4949328187418323E-2</v>
      </c>
      <c r="Q176">
        <f t="shared" si="192"/>
        <v>2.6997136740803149E-2</v>
      </c>
      <c r="R176">
        <f t="shared" si="193"/>
        <v>2.1346078384288213E-2</v>
      </c>
      <c r="U176" s="18">
        <f t="shared" si="146"/>
        <v>34486</v>
      </c>
      <c r="V176">
        <f t="shared" si="139"/>
        <v>6.1672269203552545E-2</v>
      </c>
      <c r="W176" t="e">
        <f t="shared" si="140"/>
        <v>#N/A</v>
      </c>
      <c r="X176" t="e">
        <f t="shared" si="141"/>
        <v>#N/A</v>
      </c>
      <c r="Y176">
        <f t="shared" si="142"/>
        <v>6.1672269203552545E-2</v>
      </c>
      <c r="Z176" t="e">
        <f t="shared" si="143"/>
        <v>#N/A</v>
      </c>
      <c r="AA176">
        <f t="shared" si="144"/>
        <v>3.0100313173646018E-2</v>
      </c>
      <c r="AB176">
        <f t="shared" si="144"/>
        <v>2.0004475771526458E-2</v>
      </c>
    </row>
    <row r="177" spans="1:28" x14ac:dyDescent="0.25">
      <c r="A177" s="18">
        <f t="shared" si="186"/>
        <v>22828</v>
      </c>
      <c r="B177">
        <f>'2-state flows'!B176</f>
        <v>70302</v>
      </c>
      <c r="C177">
        <f>'2-state flows'!C176</f>
        <v>3819</v>
      </c>
      <c r="D177">
        <f>'Composite HWI'!B140*48.35347462</f>
        <v>1885.7855101800001</v>
      </c>
      <c r="E177">
        <f t="shared" si="181"/>
        <v>5.4322778868311002E-2</v>
      </c>
      <c r="F177">
        <f t="shared" si="182"/>
        <v>2.6824066316463259E-2</v>
      </c>
      <c r="G177">
        <f>'2-state flows'!G176</f>
        <v>0.51493635680349525</v>
      </c>
      <c r="H177">
        <f t="shared" si="183"/>
        <v>0.54193223522936151</v>
      </c>
      <c r="I177">
        <f>'2-state flows'!H176</f>
        <v>3.3370393517765419E-2</v>
      </c>
      <c r="J177">
        <f t="shared" si="187"/>
        <v>7.4355290641531624E-2</v>
      </c>
      <c r="K177">
        <v>0.5</v>
      </c>
      <c r="L177">
        <f t="shared" si="189"/>
        <v>0.4083366302067904</v>
      </c>
      <c r="M177">
        <f t="shared" si="184"/>
        <v>1.7831433934845136E-2</v>
      </c>
      <c r="N177">
        <f t="shared" ref="N177:O177" si="200">AVERAGE(G175:G177)</f>
        <v>0.53436256233473456</v>
      </c>
      <c r="O177">
        <f t="shared" si="200"/>
        <v>0.54260027815672351</v>
      </c>
      <c r="P177">
        <f t="shared" si="191"/>
        <v>5.4530497511659955E-2</v>
      </c>
      <c r="Q177">
        <f t="shared" si="192"/>
        <v>2.6994083259905405E-2</v>
      </c>
      <c r="R177">
        <f t="shared" si="193"/>
        <v>1.9841534335416983E-2</v>
      </c>
      <c r="U177" s="18">
        <f t="shared" si="146"/>
        <v>34578</v>
      </c>
      <c r="V177">
        <f t="shared" si="139"/>
        <v>6.003249586894574E-2</v>
      </c>
      <c r="W177" t="e">
        <f t="shared" si="140"/>
        <v>#N/A</v>
      </c>
      <c r="X177" t="e">
        <f t="shared" si="141"/>
        <v>#N/A</v>
      </c>
      <c r="Y177">
        <f t="shared" si="142"/>
        <v>6.003249586894574E-2</v>
      </c>
      <c r="Z177" t="e">
        <f t="shared" si="143"/>
        <v>#N/A</v>
      </c>
      <c r="AA177">
        <f t="shared" si="144"/>
        <v>3.073321503593535E-2</v>
      </c>
      <c r="AB177">
        <f t="shared" si="144"/>
        <v>2.3911531619101836E-2</v>
      </c>
    </row>
    <row r="178" spans="1:28" x14ac:dyDescent="0.25">
      <c r="A178" s="18">
        <f t="shared" si="186"/>
        <v>22859</v>
      </c>
      <c r="B178">
        <f>'2-state flows'!B177</f>
        <v>70981</v>
      </c>
      <c r="C178">
        <f>'2-state flows'!C177</f>
        <v>4013</v>
      </c>
      <c r="D178">
        <f>'Composite HWI'!B141*48.35347462</f>
        <v>1837.43203556</v>
      </c>
      <c r="E178">
        <f t="shared" si="181"/>
        <v>5.6536256181231599E-2</v>
      </c>
      <c r="F178">
        <f t="shared" si="182"/>
        <v>2.5886251751313732E-2</v>
      </c>
      <c r="G178">
        <f>'2-state flows'!G177</f>
        <v>0.59564200762469133</v>
      </c>
      <c r="H178">
        <f t="shared" si="183"/>
        <v>0.52184884743428051</v>
      </c>
      <c r="I178">
        <f>'2-state flows'!H177</f>
        <v>3.4646602673522299E-2</v>
      </c>
      <c r="J178">
        <f t="shared" si="187"/>
        <v>3.7530588633907146E-2</v>
      </c>
      <c r="K178">
        <v>0.5</v>
      </c>
      <c r="L178">
        <f t="shared" si="189"/>
        <v>0.4833978074746047</v>
      </c>
      <c r="M178">
        <f t="shared" si="184"/>
        <v>1.5963648998550056E-2</v>
      </c>
      <c r="N178">
        <f t="shared" ref="N178:O178" si="201">AVERAGE(G176:G178)</f>
        <v>0.55214548908700067</v>
      </c>
      <c r="O178">
        <f t="shared" si="201"/>
        <v>0.53464939220530072</v>
      </c>
      <c r="P178">
        <f t="shared" si="191"/>
        <v>5.5124344089984241E-2</v>
      </c>
      <c r="Q178">
        <f t="shared" si="192"/>
        <v>2.6484579319526275E-2</v>
      </c>
      <c r="R178">
        <f t="shared" si="193"/>
        <v>1.8141117257066481E-2</v>
      </c>
      <c r="U178" s="18">
        <f t="shared" si="146"/>
        <v>34669</v>
      </c>
      <c r="V178">
        <f t="shared" si="139"/>
        <v>5.621366179690776E-2</v>
      </c>
      <c r="W178" t="e">
        <f t="shared" si="140"/>
        <v>#N/A</v>
      </c>
      <c r="X178" t="e">
        <f t="shared" si="141"/>
        <v>#N/A</v>
      </c>
      <c r="Y178">
        <f t="shared" si="142"/>
        <v>5.621366179690776E-2</v>
      </c>
      <c r="Z178" t="e">
        <f t="shared" si="143"/>
        <v>#N/A</v>
      </c>
      <c r="AA178">
        <f t="shared" si="144"/>
        <v>3.2391494470196708E-2</v>
      </c>
      <c r="AB178">
        <f t="shared" si="144"/>
        <v>2.3084862083249672E-2</v>
      </c>
    </row>
    <row r="179" spans="1:28" x14ac:dyDescent="0.25">
      <c r="A179" s="18">
        <f t="shared" si="186"/>
        <v>22890</v>
      </c>
      <c r="B179">
        <f>'2-state flows'!B178</f>
        <v>71153</v>
      </c>
      <c r="C179">
        <f>'2-state flows'!C178</f>
        <v>3961</v>
      </c>
      <c r="D179">
        <f>'Composite HWI'!B142*48.35347462</f>
        <v>1837.43203556</v>
      </c>
      <c r="E179">
        <f t="shared" si="181"/>
        <v>5.5668770115104071E-2</v>
      </c>
      <c r="F179">
        <f t="shared" si="182"/>
        <v>2.582367624077692E-2</v>
      </c>
      <c r="G179">
        <f>'2-state flows'!G178</f>
        <v>0.60315279608555772</v>
      </c>
      <c r="H179">
        <f t="shared" si="183"/>
        <v>0.52526309372443725</v>
      </c>
      <c r="I179">
        <f>'2-state flows'!H178</f>
        <v>3.2378834715742218E-2</v>
      </c>
      <c r="J179">
        <f t="shared" si="187"/>
        <v>-6.7694714065079611E-2</v>
      </c>
      <c r="K179">
        <v>0.5</v>
      </c>
      <c r="L179">
        <f t="shared" si="189"/>
        <v>0.34800837934444551</v>
      </c>
      <c r="M179">
        <f t="shared" si="184"/>
        <v>1.8233915984433923E-2</v>
      </c>
      <c r="N179">
        <f t="shared" ref="N179:O179" si="202">AVERAGE(G177:G179)</f>
        <v>0.57124372017124803</v>
      </c>
      <c r="O179">
        <f t="shared" si="202"/>
        <v>0.52968139212935972</v>
      </c>
      <c r="P179">
        <f t="shared" si="191"/>
        <v>5.550926838821555E-2</v>
      </c>
      <c r="Q179">
        <f t="shared" si="192"/>
        <v>2.6177998102851305E-2</v>
      </c>
      <c r="R179">
        <f t="shared" si="193"/>
        <v>1.7342999639276369E-2</v>
      </c>
      <c r="U179" s="18">
        <f t="shared" si="146"/>
        <v>34759</v>
      </c>
      <c r="V179">
        <f t="shared" si="139"/>
        <v>5.4799934049540387E-2</v>
      </c>
      <c r="W179" t="e">
        <f t="shared" si="140"/>
        <v>#N/A</v>
      </c>
      <c r="X179" t="e">
        <f t="shared" si="141"/>
        <v>#N/A</v>
      </c>
      <c r="Y179">
        <f t="shared" si="142"/>
        <v>5.4799934049540387E-2</v>
      </c>
      <c r="Z179" t="e">
        <f t="shared" si="143"/>
        <v>#N/A</v>
      </c>
      <c r="AA179">
        <f t="shared" si="144"/>
        <v>3.1682418695305414E-2</v>
      </c>
      <c r="AB179">
        <f t="shared" si="144"/>
        <v>2.3834225081828055E-2</v>
      </c>
    </row>
    <row r="180" spans="1:28" x14ac:dyDescent="0.25">
      <c r="A180" s="18">
        <f t="shared" si="186"/>
        <v>22920</v>
      </c>
      <c r="B180">
        <f>'2-state flows'!B179</f>
        <v>70917</v>
      </c>
      <c r="C180">
        <f>'2-state flows'!C179</f>
        <v>3803</v>
      </c>
      <c r="D180">
        <f>'Composite HWI'!B143*48.35347462</f>
        <v>1789.07856094</v>
      </c>
      <c r="E180">
        <f t="shared" si="181"/>
        <v>5.362606991271486E-2</v>
      </c>
      <c r="F180">
        <f t="shared" si="182"/>
        <v>2.5227781222273926E-2</v>
      </c>
      <c r="G180">
        <f>'2-state flows'!G179</f>
        <v>0.55371683919177583</v>
      </c>
      <c r="H180">
        <f t="shared" si="183"/>
        <v>0.52896289587574685</v>
      </c>
      <c r="I180">
        <f>'2-state flows'!H179</f>
        <v>3.573444702816414E-2</v>
      </c>
      <c r="J180">
        <f t="shared" si="187"/>
        <v>9.8610166492144116E-2</v>
      </c>
      <c r="K180">
        <v>0.5</v>
      </c>
      <c r="L180">
        <f t="shared" si="189"/>
        <v>0.54522871232873371</v>
      </c>
      <c r="M180">
        <f t="shared" si="184"/>
        <v>1.462477640442685E-2</v>
      </c>
      <c r="N180">
        <f t="shared" ref="N180:O180" si="203">AVERAGE(G178:G180)</f>
        <v>0.58417054763400822</v>
      </c>
      <c r="O180">
        <f t="shared" si="203"/>
        <v>0.52535827901148824</v>
      </c>
      <c r="P180">
        <f t="shared" si="191"/>
        <v>5.5277032069683506E-2</v>
      </c>
      <c r="Q180">
        <f t="shared" si="192"/>
        <v>2.5645903071454857E-2</v>
      </c>
      <c r="R180">
        <f t="shared" si="193"/>
        <v>1.627411379580361E-2</v>
      </c>
      <c r="U180" s="18">
        <f t="shared" si="146"/>
        <v>34851</v>
      </c>
      <c r="V180">
        <f t="shared" si="139"/>
        <v>5.6765778342929722E-2</v>
      </c>
      <c r="W180" t="e">
        <f t="shared" si="140"/>
        <v>#N/A</v>
      </c>
      <c r="X180" t="e">
        <f t="shared" si="141"/>
        <v>#N/A</v>
      </c>
      <c r="Y180">
        <f t="shared" si="142"/>
        <v>5.6765778342929722E-2</v>
      </c>
      <c r="Z180" t="e">
        <f t="shared" si="143"/>
        <v>#N/A</v>
      </c>
      <c r="AA180">
        <f t="shared" si="144"/>
        <v>3.042697041133037E-2</v>
      </c>
      <c r="AB180">
        <f t="shared" si="144"/>
        <v>2.2085795237976543E-2</v>
      </c>
    </row>
    <row r="181" spans="1:28" x14ac:dyDescent="0.25">
      <c r="A181" s="18">
        <f t="shared" si="186"/>
        <v>22951</v>
      </c>
      <c r="B181">
        <f>'2-state flows'!B180</f>
        <v>70871</v>
      </c>
      <c r="C181">
        <f>'2-state flows'!C180</f>
        <v>4024</v>
      </c>
      <c r="D181">
        <f>'Composite HWI'!B144*48.35347462</f>
        <v>1789.07856094</v>
      </c>
      <c r="E181">
        <f t="shared" si="181"/>
        <v>5.677921858023733E-2</v>
      </c>
      <c r="F181">
        <f t="shared" si="182"/>
        <v>2.5244155732810317E-2</v>
      </c>
      <c r="G181">
        <f>'2-state flows'!G180</f>
        <v>0.61524776825679073</v>
      </c>
      <c r="H181">
        <f t="shared" si="183"/>
        <v>0.5142323403504776</v>
      </c>
      <c r="I181">
        <f>'2-state flows'!H180</f>
        <v>3.4655978529916857E-2</v>
      </c>
      <c r="J181">
        <f t="shared" si="187"/>
        <v>-3.064487501742269E-2</v>
      </c>
      <c r="K181">
        <v>0.5</v>
      </c>
      <c r="L181">
        <f t="shared" si="189"/>
        <v>0.48393896229388833</v>
      </c>
      <c r="M181">
        <f t="shared" si="184"/>
        <v>1.5559256121580069E-2</v>
      </c>
      <c r="N181">
        <f t="shared" ref="N181:O181" si="204">AVERAGE(G179:G181)</f>
        <v>0.59070580117804139</v>
      </c>
      <c r="O181">
        <f t="shared" si="204"/>
        <v>0.52281944331688723</v>
      </c>
      <c r="P181">
        <f t="shared" si="191"/>
        <v>5.5358019536018759E-2</v>
      </c>
      <c r="Q181">
        <f t="shared" si="192"/>
        <v>2.5431871065287052E-2</v>
      </c>
      <c r="R181">
        <f t="shared" si="193"/>
        <v>1.6139316170146949E-2</v>
      </c>
      <c r="U181" s="18">
        <f t="shared" si="146"/>
        <v>34943</v>
      </c>
      <c r="V181">
        <f t="shared" si="139"/>
        <v>5.6606150226606672E-2</v>
      </c>
      <c r="W181" t="e">
        <f t="shared" si="140"/>
        <v>#N/A</v>
      </c>
      <c r="X181" t="e">
        <f t="shared" si="141"/>
        <v>#N/A</v>
      </c>
      <c r="Y181">
        <f t="shared" si="142"/>
        <v>5.6606150226606672E-2</v>
      </c>
      <c r="Z181" t="e">
        <f t="shared" si="143"/>
        <v>#N/A</v>
      </c>
      <c r="AA181">
        <f t="shared" si="144"/>
        <v>3.1333849808270607E-2</v>
      </c>
      <c r="AB181">
        <f t="shared" si="144"/>
        <v>2.0298766494134406E-2</v>
      </c>
    </row>
    <row r="182" spans="1:28" x14ac:dyDescent="0.25">
      <c r="A182" s="18">
        <f t="shared" si="186"/>
        <v>22981</v>
      </c>
      <c r="B182">
        <f>'2-state flows'!B181</f>
        <v>70854</v>
      </c>
      <c r="C182">
        <f>'2-state flows'!C181</f>
        <v>3907</v>
      </c>
      <c r="D182">
        <f>'Composite HWI'!B145*48.35347462</f>
        <v>1789.07856094</v>
      </c>
      <c r="E182">
        <f t="shared" si="181"/>
        <v>5.5141558698168065E-2</v>
      </c>
      <c r="F182">
        <f t="shared" si="182"/>
        <v>2.5250212563016908E-2</v>
      </c>
      <c r="G182">
        <f>'2-state flows'!G181</f>
        <v>0.51091094435816731</v>
      </c>
      <c r="H182">
        <f t="shared" si="183"/>
        <v>0.5218752088066021</v>
      </c>
      <c r="I182">
        <f>'2-state flows'!H181</f>
        <v>3.3050735011336263E-2</v>
      </c>
      <c r="J182">
        <f t="shared" si="187"/>
        <v>-4.7426445873267761E-2</v>
      </c>
      <c r="K182">
        <v>0.5</v>
      </c>
      <c r="L182">
        <f t="shared" si="189"/>
        <v>0.38908607054735278</v>
      </c>
      <c r="M182">
        <f t="shared" si="184"/>
        <v>1.7111461522850729E-2</v>
      </c>
      <c r="N182">
        <f t="shared" ref="N182:O182" si="205">AVERAGE(G180:G182)</f>
        <v>0.55995851726891122</v>
      </c>
      <c r="O182">
        <f t="shared" si="205"/>
        <v>0.52169014834427552</v>
      </c>
      <c r="P182">
        <f t="shared" si="191"/>
        <v>5.5182282397040087E-2</v>
      </c>
      <c r="Q182">
        <f t="shared" si="192"/>
        <v>2.5240716506033715E-2</v>
      </c>
      <c r="R182">
        <f t="shared" si="193"/>
        <v>1.576516468295255E-2</v>
      </c>
      <c r="U182" s="18">
        <f t="shared" si="146"/>
        <v>35034</v>
      </c>
      <c r="V182">
        <f t="shared" si="139"/>
        <v>5.5743581263231791E-2</v>
      </c>
      <c r="W182" t="e">
        <f t="shared" si="140"/>
        <v>#N/A</v>
      </c>
      <c r="X182" t="e">
        <f t="shared" si="141"/>
        <v>#N/A</v>
      </c>
      <c r="Y182">
        <f t="shared" si="142"/>
        <v>5.5743581263231791E-2</v>
      </c>
      <c r="Z182" t="e">
        <f t="shared" si="143"/>
        <v>#N/A</v>
      </c>
      <c r="AA182">
        <f t="shared" si="144"/>
        <v>3.1904613372628308E-2</v>
      </c>
      <c r="AB182">
        <f t="shared" si="144"/>
        <v>2.1871585818465749E-2</v>
      </c>
    </row>
    <row r="183" spans="1:28" x14ac:dyDescent="0.25">
      <c r="A183" s="18">
        <f t="shared" si="186"/>
        <v>23012</v>
      </c>
      <c r="B183">
        <f>'2-state flows'!B182</f>
        <v>71146</v>
      </c>
      <c r="C183">
        <f>'2-state flows'!C182</f>
        <v>4074</v>
      </c>
      <c r="D183">
        <f>'Composite HWI'!B146*48.35347462</f>
        <v>1837.43203556</v>
      </c>
      <c r="E183">
        <f t="shared" si="181"/>
        <v>5.7262530570938636E-2</v>
      </c>
      <c r="F183">
        <f t="shared" si="182"/>
        <v>2.5826217012340821E-2</v>
      </c>
      <c r="G183">
        <f>'2-state flows'!G182</f>
        <v>0.53752483012123065</v>
      </c>
      <c r="H183">
        <f t="shared" si="183"/>
        <v>0.51792729143826532</v>
      </c>
      <c r="I183">
        <f>'2-state flows'!H182</f>
        <v>3.5862397284766812E-2</v>
      </c>
      <c r="J183">
        <f t="shared" si="187"/>
        <v>8.1645511737857099E-2</v>
      </c>
      <c r="K183">
        <v>0.5</v>
      </c>
      <c r="L183">
        <f t="shared" si="189"/>
        <v>0.55237709402306701</v>
      </c>
      <c r="M183">
        <f t="shared" si="184"/>
        <v>1.4865053347296542E-2</v>
      </c>
      <c r="N183">
        <f t="shared" ref="N183:O183" si="206">AVERAGE(G181:G183)</f>
        <v>0.55456118091206286</v>
      </c>
      <c r="O183">
        <f t="shared" si="206"/>
        <v>0.51801161353178171</v>
      </c>
      <c r="P183">
        <f t="shared" si="191"/>
        <v>5.639443594978135E-2</v>
      </c>
      <c r="Q183">
        <f t="shared" si="192"/>
        <v>2.544019510272268E-2</v>
      </c>
      <c r="R183">
        <f t="shared" si="193"/>
        <v>1.5845256997242447E-2</v>
      </c>
      <c r="U183" s="18">
        <f t="shared" si="146"/>
        <v>35125</v>
      </c>
      <c r="V183">
        <f t="shared" si="139"/>
        <v>5.5479800333740163E-2</v>
      </c>
      <c r="W183" t="e">
        <f t="shared" si="140"/>
        <v>#N/A</v>
      </c>
      <c r="X183" t="e">
        <f t="shared" si="141"/>
        <v>#N/A</v>
      </c>
      <c r="Y183">
        <f t="shared" si="142"/>
        <v>5.5479800333740163E-2</v>
      </c>
      <c r="Z183" t="e">
        <f t="shared" si="143"/>
        <v>#N/A</v>
      </c>
      <c r="AA183">
        <f t="shared" si="144"/>
        <v>3.1324768232706898E-2</v>
      </c>
      <c r="AB183">
        <f t="shared" si="144"/>
        <v>2.3999952931019919E-2</v>
      </c>
    </row>
    <row r="184" spans="1:28" x14ac:dyDescent="0.25">
      <c r="A184" s="18">
        <f t="shared" si="186"/>
        <v>23043</v>
      </c>
      <c r="B184">
        <f>'2-state flows'!B183</f>
        <v>71262</v>
      </c>
      <c r="C184">
        <f>'2-state flows'!C183</f>
        <v>4238</v>
      </c>
      <c r="D184">
        <f>'Composite HWI'!B147*48.35347462</f>
        <v>1837.43203556</v>
      </c>
      <c r="E184">
        <f t="shared" si="181"/>
        <v>5.9470685638909941E-2</v>
      </c>
      <c r="F184">
        <f t="shared" si="182"/>
        <v>2.5784177199068229E-2</v>
      </c>
      <c r="G184">
        <f>'2-state flows'!G183</f>
        <v>0.58077965276283894</v>
      </c>
      <c r="H184">
        <f t="shared" si="183"/>
        <v>0.5078071742985466</v>
      </c>
      <c r="I184">
        <f>'2-state flows'!H183</f>
        <v>3.3408640872866491E-2</v>
      </c>
      <c r="J184">
        <f t="shared" si="187"/>
        <v>-7.0874741871264899E-2</v>
      </c>
      <c r="K184">
        <v>0.5</v>
      </c>
      <c r="L184">
        <f t="shared" si="189"/>
        <v>0.41062761028053718</v>
      </c>
      <c r="M184">
        <f t="shared" si="184"/>
        <v>1.7100939553561026E-2</v>
      </c>
      <c r="N184">
        <f t="shared" ref="N184:O184" si="207">AVERAGE(G182:G184)</f>
        <v>0.5430718090807457</v>
      </c>
      <c r="O184">
        <f t="shared" si="207"/>
        <v>0.51586989151447138</v>
      </c>
      <c r="P184">
        <f t="shared" si="191"/>
        <v>5.729159163600555E-2</v>
      </c>
      <c r="Q184">
        <f t="shared" si="192"/>
        <v>2.5620202258141985E-2</v>
      </c>
      <c r="R184">
        <f t="shared" si="193"/>
        <v>1.6359151474569431E-2</v>
      </c>
      <c r="U184" s="18">
        <f t="shared" si="146"/>
        <v>35217</v>
      </c>
      <c r="V184">
        <f t="shared" si="139"/>
        <v>5.4727414281718338E-2</v>
      </c>
      <c r="W184" t="e">
        <f t="shared" si="140"/>
        <v>#N/A</v>
      </c>
      <c r="X184" t="e">
        <f t="shared" si="141"/>
        <v>#N/A</v>
      </c>
      <c r="Y184">
        <f t="shared" si="142"/>
        <v>5.4727414281718338E-2</v>
      </c>
      <c r="Z184" t="e">
        <f t="shared" si="143"/>
        <v>#N/A</v>
      </c>
      <c r="AA184">
        <f t="shared" si="144"/>
        <v>3.1035927118944703E-2</v>
      </c>
      <c r="AB184">
        <f t="shared" si="144"/>
        <v>2.268429680315431E-2</v>
      </c>
    </row>
    <row r="185" spans="1:28" x14ac:dyDescent="0.25">
      <c r="A185" s="18">
        <f t="shared" si="186"/>
        <v>23071</v>
      </c>
      <c r="B185">
        <f>'2-state flows'!B184</f>
        <v>71423</v>
      </c>
      <c r="C185">
        <f>'2-state flows'!C184</f>
        <v>4072</v>
      </c>
      <c r="D185">
        <f>'Composite HWI'!B148*48.35347462</f>
        <v>1837.43203556</v>
      </c>
      <c r="E185">
        <f t="shared" si="181"/>
        <v>5.7012446970863724E-2</v>
      </c>
      <c r="F185">
        <f t="shared" si="182"/>
        <v>2.572605513014015E-2</v>
      </c>
      <c r="G185">
        <f>'2-state flows'!G184</f>
        <v>0.55483841619834484</v>
      </c>
      <c r="H185">
        <f t="shared" si="183"/>
        <v>0.51805446818454992</v>
      </c>
      <c r="I185">
        <f>'2-state flows'!H184</f>
        <v>3.3211333482582449E-2</v>
      </c>
      <c r="J185">
        <f t="shared" si="187"/>
        <v>-5.9233876654911722E-3</v>
      </c>
      <c r="K185">
        <v>0.5</v>
      </c>
      <c r="L185">
        <f t="shared" si="189"/>
        <v>0.39878083494955485</v>
      </c>
      <c r="M185">
        <f t="shared" si="184"/>
        <v>1.7265727404212863E-2</v>
      </c>
      <c r="N185">
        <f t="shared" ref="N185:O185" si="208">AVERAGE(G183:G185)</f>
        <v>0.5577142996941381</v>
      </c>
      <c r="O185">
        <f t="shared" si="208"/>
        <v>0.51459631130712058</v>
      </c>
      <c r="P185">
        <f t="shared" si="191"/>
        <v>5.7915221060237436E-2</v>
      </c>
      <c r="Q185">
        <f t="shared" si="192"/>
        <v>2.5778816447183064E-2</v>
      </c>
      <c r="R185">
        <f t="shared" si="193"/>
        <v>1.6410573435023477E-2</v>
      </c>
      <c r="U185" s="18">
        <f t="shared" si="146"/>
        <v>35309</v>
      </c>
      <c r="V185">
        <f t="shared" si="139"/>
        <v>5.2619380637179462E-2</v>
      </c>
      <c r="W185" t="e">
        <f t="shared" si="140"/>
        <v>#N/A</v>
      </c>
      <c r="X185" t="e">
        <f t="shared" si="141"/>
        <v>#N/A</v>
      </c>
      <c r="Y185">
        <f t="shared" si="142"/>
        <v>5.2619380637179462E-2</v>
      </c>
      <c r="Z185" t="e">
        <f t="shared" si="143"/>
        <v>#N/A</v>
      </c>
      <c r="AA185">
        <f t="shared" si="144"/>
        <v>3.112590107726591E-2</v>
      </c>
      <c r="AB185">
        <f t="shared" si="144"/>
        <v>2.6262115487557913E-2</v>
      </c>
    </row>
    <row r="186" spans="1:28" x14ac:dyDescent="0.25">
      <c r="A186" s="18">
        <f t="shared" si="186"/>
        <v>23102</v>
      </c>
      <c r="B186">
        <f>'2-state flows'!B185</f>
        <v>71697</v>
      </c>
      <c r="C186">
        <f>'2-state flows'!C185</f>
        <v>4055</v>
      </c>
      <c r="D186">
        <f>'Composite HWI'!B149*48.35347462</f>
        <v>1837.43203556</v>
      </c>
      <c r="E186">
        <f t="shared" si="181"/>
        <v>5.6557457076307237E-2</v>
      </c>
      <c r="F186">
        <f t="shared" si="182"/>
        <v>2.5627739452975716E-2</v>
      </c>
      <c r="G186">
        <f>'2-state flows'!G185</f>
        <v>0.54681277069848977</v>
      </c>
      <c r="H186">
        <f t="shared" si="183"/>
        <v>0.51913926655901999</v>
      </c>
      <c r="I186">
        <f>'2-state flows'!H185</f>
        <v>3.5940505577053902E-2</v>
      </c>
      <c r="J186">
        <f t="shared" si="187"/>
        <v>7.8973760882665042E-2</v>
      </c>
      <c r="K186">
        <v>0.5</v>
      </c>
      <c r="L186">
        <f t="shared" si="189"/>
        <v>0.55672835671488496</v>
      </c>
      <c r="M186">
        <f t="shared" si="184"/>
        <v>1.4686768413390616E-2</v>
      </c>
      <c r="N186">
        <f t="shared" ref="N186:O186" si="209">AVERAGE(G184:G186)</f>
        <v>0.56081027988655785</v>
      </c>
      <c r="O186">
        <f t="shared" si="209"/>
        <v>0.51500030301403876</v>
      </c>
      <c r="P186">
        <f t="shared" si="191"/>
        <v>5.768019656202697E-2</v>
      </c>
      <c r="Q186">
        <f t="shared" si="192"/>
        <v>2.5712657260728033E-2</v>
      </c>
      <c r="R186">
        <f t="shared" si="193"/>
        <v>1.6351145123721503E-2</v>
      </c>
      <c r="U186" s="18">
        <f t="shared" si="146"/>
        <v>35400</v>
      </c>
      <c r="V186">
        <f t="shared" si="139"/>
        <v>5.3130063489889502E-2</v>
      </c>
      <c r="W186" t="e">
        <f t="shared" si="140"/>
        <v>#N/A</v>
      </c>
      <c r="X186" t="e">
        <f t="shared" si="141"/>
        <v>#N/A</v>
      </c>
      <c r="Y186">
        <f t="shared" si="142"/>
        <v>5.3130063489889502E-2</v>
      </c>
      <c r="Z186" t="e">
        <f t="shared" si="143"/>
        <v>#N/A</v>
      </c>
      <c r="AA186">
        <f t="shared" si="144"/>
        <v>3.2100611502429773E-2</v>
      </c>
      <c r="AB186">
        <f t="shared" si="144"/>
        <v>2.1895228915203711E-2</v>
      </c>
    </row>
    <row r="187" spans="1:28" x14ac:dyDescent="0.25">
      <c r="A187" s="18">
        <f t="shared" si="186"/>
        <v>23132</v>
      </c>
      <c r="B187">
        <f>'2-state flows'!B186</f>
        <v>71832</v>
      </c>
      <c r="C187">
        <f>'2-state flows'!C186</f>
        <v>4217</v>
      </c>
      <c r="D187">
        <f>'Composite HWI'!B150*48.35347462</f>
        <v>1789.07856094</v>
      </c>
      <c r="E187">
        <f t="shared" si="181"/>
        <v>5.8706426105356944E-2</v>
      </c>
      <c r="F187">
        <f t="shared" si="182"/>
        <v>2.4906428345862569E-2</v>
      </c>
      <c r="G187">
        <f>'2-state flows'!G186</f>
        <v>0.62464450903695257</v>
      </c>
      <c r="H187">
        <f t="shared" si="183"/>
        <v>0.50232705742551054</v>
      </c>
      <c r="I187">
        <f>'2-state flows'!H186</f>
        <v>3.4111633460858042E-2</v>
      </c>
      <c r="J187">
        <f t="shared" si="187"/>
        <v>-5.2226465190448136E-2</v>
      </c>
      <c r="K187">
        <v>0.5</v>
      </c>
      <c r="L187">
        <f t="shared" si="189"/>
        <v>0.45227542633398871</v>
      </c>
      <c r="M187">
        <f t="shared" si="184"/>
        <v>1.5844944814734883E-2</v>
      </c>
      <c r="N187">
        <f t="shared" ref="N187:O187" si="210">AVERAGE(G185:G187)</f>
        <v>0.57543189864459576</v>
      </c>
      <c r="O187">
        <f t="shared" si="210"/>
        <v>0.51317359738969348</v>
      </c>
      <c r="P187">
        <f t="shared" si="191"/>
        <v>5.7425443384175968E-2</v>
      </c>
      <c r="Q187">
        <f t="shared" si="192"/>
        <v>2.5420074309659479E-2</v>
      </c>
      <c r="R187">
        <f t="shared" si="193"/>
        <v>1.5932480210779455E-2</v>
      </c>
      <c r="U187" s="18">
        <f t="shared" si="146"/>
        <v>35490</v>
      </c>
      <c r="V187">
        <f t="shared" si="139"/>
        <v>5.226919847700201E-2</v>
      </c>
      <c r="W187" t="e">
        <f t="shared" si="140"/>
        <v>#N/A</v>
      </c>
      <c r="X187" t="e">
        <f t="shared" si="141"/>
        <v>#N/A</v>
      </c>
      <c r="Y187">
        <f t="shared" si="142"/>
        <v>5.226919847700201E-2</v>
      </c>
      <c r="Z187" t="e">
        <f t="shared" si="143"/>
        <v>#N/A</v>
      </c>
      <c r="AA187">
        <f t="shared" si="144"/>
        <v>3.3000589929384642E-2</v>
      </c>
      <c r="AB187">
        <f t="shared" si="144"/>
        <v>2.7611044706214633E-2</v>
      </c>
    </row>
    <row r="188" spans="1:28" x14ac:dyDescent="0.25">
      <c r="A188" s="18">
        <f t="shared" si="186"/>
        <v>23163</v>
      </c>
      <c r="B188">
        <f>'2-state flows'!B187</f>
        <v>71626</v>
      </c>
      <c r="C188">
        <f>'2-state flows'!C187</f>
        <v>3977</v>
      </c>
      <c r="D188">
        <f>'Composite HWI'!B151*48.35347462</f>
        <v>1789.07856094</v>
      </c>
      <c r="E188">
        <f t="shared" si="181"/>
        <v>5.5524530198531256E-2</v>
      </c>
      <c r="F188">
        <f t="shared" si="182"/>
        <v>2.497806049395471E-2</v>
      </c>
      <c r="G188">
        <f>'2-state flows'!G187</f>
        <v>0.5227139641103743</v>
      </c>
      <c r="H188">
        <f t="shared" si="183"/>
        <v>0.51726200241421894</v>
      </c>
      <c r="I188">
        <f>'2-state flows'!H187</f>
        <v>3.215498389470775E-2</v>
      </c>
      <c r="J188">
        <f t="shared" si="187"/>
        <v>-5.9071024596115761E-2</v>
      </c>
      <c r="K188">
        <v>0.5</v>
      </c>
      <c r="L188">
        <f t="shared" si="189"/>
        <v>0.33413337714175717</v>
      </c>
      <c r="M188">
        <f t="shared" si="184"/>
        <v>1.7883249313643736E-2</v>
      </c>
      <c r="N188">
        <f t="shared" ref="N188:O188" si="211">AVERAGE(G186:G188)</f>
        <v>0.56472374794860558</v>
      </c>
      <c r="O188">
        <f t="shared" si="211"/>
        <v>0.51290944213291645</v>
      </c>
      <c r="P188">
        <f t="shared" si="191"/>
        <v>5.6929471126731808E-2</v>
      </c>
      <c r="Q188">
        <f t="shared" si="192"/>
        <v>2.5170742764264332E-2</v>
      </c>
      <c r="R188">
        <f t="shared" si="193"/>
        <v>1.6138320847256412E-2</v>
      </c>
      <c r="U188" s="18">
        <f t="shared" si="146"/>
        <v>35582</v>
      </c>
      <c r="V188">
        <f t="shared" si="139"/>
        <v>4.9779022951932088E-2</v>
      </c>
      <c r="W188" t="e">
        <f t="shared" si="140"/>
        <v>#N/A</v>
      </c>
      <c r="X188" t="e">
        <f t="shared" si="141"/>
        <v>#N/A</v>
      </c>
      <c r="Y188">
        <f t="shared" si="142"/>
        <v>4.9779022951932088E-2</v>
      </c>
      <c r="Z188" t="e">
        <f t="shared" si="143"/>
        <v>#N/A</v>
      </c>
      <c r="AA188">
        <f t="shared" si="144"/>
        <v>3.2526668105215921E-2</v>
      </c>
      <c r="AB188">
        <f t="shared" si="144"/>
        <v>2.7868036354765525E-2</v>
      </c>
    </row>
    <row r="189" spans="1:28" x14ac:dyDescent="0.25">
      <c r="A189" s="18">
        <f t="shared" si="186"/>
        <v>23193</v>
      </c>
      <c r="B189">
        <f>'2-state flows'!B188</f>
        <v>71956</v>
      </c>
      <c r="C189">
        <f>'2-state flows'!C188</f>
        <v>4051</v>
      </c>
      <c r="D189">
        <f>'Composite HWI'!B152*48.35347462</f>
        <v>1837.43203556</v>
      </c>
      <c r="E189">
        <f t="shared" si="181"/>
        <v>5.6298293401523154E-2</v>
      </c>
      <c r="F189">
        <f t="shared" si="182"/>
        <v>2.5535494407137697E-2</v>
      </c>
      <c r="G189">
        <f>'2-state flows'!G188</f>
        <v>0.61005196167622899</v>
      </c>
      <c r="H189">
        <f t="shared" si="183"/>
        <v>0.51939550510698151</v>
      </c>
      <c r="I189">
        <f>'2-state flows'!H188</f>
        <v>3.2939871424262218E-2</v>
      </c>
      <c r="J189">
        <f t="shared" si="187"/>
        <v>2.411636268805201E-2</v>
      </c>
      <c r="K189">
        <v>0.5</v>
      </c>
      <c r="L189">
        <f t="shared" si="189"/>
        <v>0.38236610251786118</v>
      </c>
      <c r="M189">
        <f t="shared" si="184"/>
        <v>1.7421469402560827E-2</v>
      </c>
      <c r="N189">
        <f t="shared" ref="N189:O189" si="212">AVERAGE(G187:G189)</f>
        <v>0.58580347827451862</v>
      </c>
      <c r="O189">
        <f t="shared" si="212"/>
        <v>0.51299485498223696</v>
      </c>
      <c r="P189">
        <f t="shared" si="191"/>
        <v>5.6843083235137121E-2</v>
      </c>
      <c r="Q189">
        <f t="shared" si="192"/>
        <v>2.5139994415651661E-2</v>
      </c>
      <c r="R189">
        <f t="shared" si="193"/>
        <v>1.7049887843646482E-2</v>
      </c>
      <c r="U189" s="18">
        <f t="shared" si="146"/>
        <v>35674</v>
      </c>
      <c r="V189">
        <f t="shared" si="139"/>
        <v>4.8610236045905697E-2</v>
      </c>
      <c r="W189" t="e">
        <f t="shared" si="140"/>
        <v>#N/A</v>
      </c>
      <c r="X189" t="e">
        <f t="shared" si="141"/>
        <v>#N/A</v>
      </c>
      <c r="Y189">
        <f t="shared" si="142"/>
        <v>4.8610236045905697E-2</v>
      </c>
      <c r="Z189" t="e">
        <f t="shared" si="143"/>
        <v>#N/A</v>
      </c>
      <c r="AA189">
        <f t="shared" si="144"/>
        <v>3.348364207078084E-2</v>
      </c>
      <c r="AB189">
        <f t="shared" si="144"/>
        <v>2.7718970735437779E-2</v>
      </c>
    </row>
    <row r="190" spans="1:28" x14ac:dyDescent="0.25">
      <c r="A190" s="18">
        <f t="shared" si="186"/>
        <v>23224</v>
      </c>
      <c r="B190">
        <f>'2-state flows'!B189</f>
        <v>71786</v>
      </c>
      <c r="C190">
        <f>'2-state flows'!C189</f>
        <v>3878</v>
      </c>
      <c r="D190">
        <f>'Composite HWI'!B153*48.35347462</f>
        <v>1837.43203556</v>
      </c>
      <c r="E190">
        <f t="shared" si="181"/>
        <v>5.4021675535619762E-2</v>
      </c>
      <c r="F190">
        <f t="shared" si="182"/>
        <v>2.5595966282562058E-2</v>
      </c>
      <c r="G190">
        <f>'2-state flows'!G189</f>
        <v>0.53907017912653143</v>
      </c>
      <c r="H190">
        <f t="shared" si="183"/>
        <v>0.53085438134674279</v>
      </c>
      <c r="I190">
        <f>'2-state flows'!H189</f>
        <v>3.2311678176570428E-2</v>
      </c>
      <c r="J190">
        <f t="shared" si="187"/>
        <v>-1.9255103072328236E-2</v>
      </c>
      <c r="K190">
        <v>0.5</v>
      </c>
      <c r="L190">
        <f t="shared" si="189"/>
        <v>0.34385589637320468</v>
      </c>
      <c r="M190">
        <f t="shared" si="184"/>
        <v>1.8148335991701035E-2</v>
      </c>
      <c r="N190">
        <f t="shared" ref="N190:O190" si="213">AVERAGE(G188:G190)</f>
        <v>0.55727870163771165</v>
      </c>
      <c r="O190">
        <f t="shared" si="213"/>
        <v>0.52250396295598112</v>
      </c>
      <c r="P190">
        <f t="shared" si="191"/>
        <v>5.5281499711891391E-2</v>
      </c>
      <c r="Q190">
        <f t="shared" si="192"/>
        <v>2.536984039455149E-2</v>
      </c>
      <c r="R190">
        <f t="shared" si="193"/>
        <v>1.78176849026352E-2</v>
      </c>
      <c r="U190" s="18">
        <f t="shared" si="146"/>
        <v>35765</v>
      </c>
      <c r="V190">
        <f t="shared" si="139"/>
        <v>4.6836528612886508E-2</v>
      </c>
      <c r="W190" t="e">
        <f t="shared" si="140"/>
        <v>#N/A</v>
      </c>
      <c r="X190" t="e">
        <f t="shared" si="141"/>
        <v>#N/A</v>
      </c>
      <c r="Y190">
        <f t="shared" si="142"/>
        <v>4.6836528612886508E-2</v>
      </c>
      <c r="Z190" t="e">
        <f t="shared" si="143"/>
        <v>#N/A</v>
      </c>
      <c r="AA190">
        <f t="shared" si="144"/>
        <v>3.4626191907227287E-2</v>
      </c>
      <c r="AB190">
        <f t="shared" si="144"/>
        <v>2.8117333540189058E-2</v>
      </c>
    </row>
    <row r="191" spans="1:28" x14ac:dyDescent="0.25">
      <c r="A191" s="18">
        <f t="shared" si="186"/>
        <v>23255</v>
      </c>
      <c r="B191">
        <f>'2-state flows'!B190</f>
        <v>72131</v>
      </c>
      <c r="C191">
        <f>'2-state flows'!C190</f>
        <v>3957</v>
      </c>
      <c r="D191">
        <f>'Composite HWI'!B154*48.35347462</f>
        <v>1837.43203556</v>
      </c>
      <c r="E191">
        <f t="shared" si="181"/>
        <v>5.4858521301520843E-2</v>
      </c>
      <c r="F191">
        <f t="shared" si="182"/>
        <v>2.5473541688871636E-2</v>
      </c>
      <c r="G191">
        <f>'2-state flows'!G190</f>
        <v>0.5650004894261087</v>
      </c>
      <c r="H191">
        <f t="shared" si="183"/>
        <v>0.52552851218186292</v>
      </c>
      <c r="I191">
        <f>'2-state flows'!H190</f>
        <v>3.337889041773219E-2</v>
      </c>
      <c r="J191">
        <f t="shared" si="187"/>
        <v>3.249495841236235E-2</v>
      </c>
      <c r="K191">
        <v>0.5</v>
      </c>
      <c r="L191">
        <f t="shared" si="189"/>
        <v>0.4088458131979294</v>
      </c>
      <c r="M191">
        <f t="shared" si="184"/>
        <v>1.6925045709069487E-2</v>
      </c>
      <c r="N191">
        <f t="shared" ref="N191:O191" si="214">AVERAGE(G189:G191)</f>
        <v>0.57137421007628963</v>
      </c>
      <c r="O191">
        <f t="shared" si="214"/>
        <v>0.52525946621186237</v>
      </c>
      <c r="P191">
        <f t="shared" si="191"/>
        <v>5.5059496746221258E-2</v>
      </c>
      <c r="Q191">
        <f t="shared" si="192"/>
        <v>2.5535000792857133E-2</v>
      </c>
      <c r="R191">
        <f t="shared" si="193"/>
        <v>1.7498283701110451E-2</v>
      </c>
      <c r="U191" s="18">
        <f t="shared" si="146"/>
        <v>35855</v>
      </c>
      <c r="V191">
        <f t="shared" si="139"/>
        <v>4.6412147307383446E-2</v>
      </c>
      <c r="W191" t="e">
        <f t="shared" si="140"/>
        <v>#N/A</v>
      </c>
      <c r="X191" t="e">
        <f t="shared" si="141"/>
        <v>#N/A</v>
      </c>
      <c r="Y191">
        <f t="shared" si="142"/>
        <v>4.6412147307383446E-2</v>
      </c>
      <c r="Z191" t="e">
        <f t="shared" si="143"/>
        <v>#N/A</v>
      </c>
      <c r="AA191">
        <f t="shared" si="144"/>
        <v>3.556906307809677E-2</v>
      </c>
      <c r="AB191">
        <f t="shared" si="144"/>
        <v>2.432709245317519E-2</v>
      </c>
    </row>
    <row r="192" spans="1:28" x14ac:dyDescent="0.25">
      <c r="A192" s="18">
        <f t="shared" si="186"/>
        <v>23285</v>
      </c>
      <c r="B192">
        <f>'2-state flows'!B191</f>
        <v>72281</v>
      </c>
      <c r="C192">
        <f>'2-state flows'!C191</f>
        <v>3987</v>
      </c>
      <c r="D192">
        <f>'Composite HWI'!B155*48.35347462</f>
        <v>1885.7855101800001</v>
      </c>
      <c r="E192">
        <f t="shared" si="181"/>
        <v>5.5159723855508366E-2</v>
      </c>
      <c r="F192">
        <f t="shared" si="182"/>
        <v>2.6089643338913407E-2</v>
      </c>
      <c r="G192">
        <f>'2-state flows'!G191</f>
        <v>0.55361426954672488</v>
      </c>
      <c r="H192">
        <f t="shared" si="183"/>
        <v>0.53039167141770882</v>
      </c>
      <c r="I192">
        <f>'2-state flows'!H191</f>
        <v>3.5497746876113206E-2</v>
      </c>
      <c r="J192">
        <f t="shared" si="187"/>
        <v>6.1545549438206712E-2</v>
      </c>
      <c r="K192">
        <v>0.5</v>
      </c>
      <c r="L192">
        <f t="shared" si="189"/>
        <v>0.53193691207434279</v>
      </c>
      <c r="M192">
        <f t="shared" si="184"/>
        <v>1.5326778335641642E-2</v>
      </c>
      <c r="N192">
        <f t="shared" ref="N192:O192" si="215">AVERAGE(G190:G192)</f>
        <v>0.55256164603312163</v>
      </c>
      <c r="O192">
        <f t="shared" si="215"/>
        <v>0.52892485498210484</v>
      </c>
      <c r="P192">
        <f t="shared" si="191"/>
        <v>5.4679973564216326E-2</v>
      </c>
      <c r="Q192">
        <f t="shared" si="192"/>
        <v>2.5719717103449034E-2</v>
      </c>
      <c r="R192">
        <f t="shared" si="193"/>
        <v>1.680005334547072E-2</v>
      </c>
      <c r="U192" s="18">
        <f t="shared" si="146"/>
        <v>35947</v>
      </c>
      <c r="V192">
        <f t="shared" si="139"/>
        <v>4.4176555814854607E-2</v>
      </c>
      <c r="W192" t="e">
        <f t="shared" si="140"/>
        <v>#N/A</v>
      </c>
      <c r="X192" t="e">
        <f t="shared" si="141"/>
        <v>#N/A</v>
      </c>
      <c r="Y192">
        <f t="shared" si="142"/>
        <v>4.4176555814854607E-2</v>
      </c>
      <c r="Z192" t="e">
        <f t="shared" si="143"/>
        <v>#N/A</v>
      </c>
      <c r="AA192">
        <f t="shared" si="144"/>
        <v>3.5631173749262994E-2</v>
      </c>
      <c r="AB192">
        <f t="shared" si="144"/>
        <v>2.7139155740873777E-2</v>
      </c>
    </row>
    <row r="193" spans="1:28" x14ac:dyDescent="0.25">
      <c r="A193" s="18">
        <f t="shared" si="186"/>
        <v>23316</v>
      </c>
      <c r="B193">
        <f>'2-state flows'!B192</f>
        <v>72418</v>
      </c>
      <c r="C193">
        <f>'2-state flows'!C192</f>
        <v>4151</v>
      </c>
      <c r="D193">
        <f>'Composite HWI'!B156*48.35347462</f>
        <v>1837.43203556</v>
      </c>
      <c r="E193">
        <f t="shared" si="181"/>
        <v>5.7320003314093183E-2</v>
      </c>
      <c r="F193">
        <f t="shared" si="182"/>
        <v>2.537258741694054E-2</v>
      </c>
      <c r="G193">
        <f>'2-state flows'!G192</f>
        <v>0.63443746652657707</v>
      </c>
      <c r="H193">
        <f t="shared" si="183"/>
        <v>0.51310109537098803</v>
      </c>
      <c r="I193">
        <f>'2-state flows'!H192</f>
        <v>3.5040514988127568E-2</v>
      </c>
      <c r="J193">
        <f t="shared" si="187"/>
        <v>-1.2964263078724515E-2</v>
      </c>
      <c r="K193">
        <v>0.5</v>
      </c>
      <c r="L193">
        <f t="shared" si="189"/>
        <v>0.50600838591689379</v>
      </c>
      <c r="M193">
        <f t="shared" si="184"/>
        <v>1.5297064844409616E-2</v>
      </c>
      <c r="N193">
        <f t="shared" ref="N193:O193" si="216">AVERAGE(G191:G193)</f>
        <v>0.58435074183313684</v>
      </c>
      <c r="O193">
        <f t="shared" si="216"/>
        <v>0.52300709299018655</v>
      </c>
      <c r="P193">
        <f t="shared" si="191"/>
        <v>5.5779416157040795E-2</v>
      </c>
      <c r="Q193">
        <f t="shared" si="192"/>
        <v>2.5645257481575191E-2</v>
      </c>
      <c r="R193">
        <f t="shared" si="193"/>
        <v>1.5849629629706916E-2</v>
      </c>
      <c r="U193" s="18">
        <f t="shared" si="146"/>
        <v>36039</v>
      </c>
      <c r="V193">
        <f t="shared" si="139"/>
        <v>4.5321319594782687E-2</v>
      </c>
      <c r="W193" t="e">
        <f t="shared" si="140"/>
        <v>#N/A</v>
      </c>
      <c r="X193" t="e">
        <f t="shared" si="141"/>
        <v>#N/A</v>
      </c>
      <c r="Y193">
        <f t="shared" si="142"/>
        <v>4.5321319594782687E-2</v>
      </c>
      <c r="Z193" t="e">
        <f t="shared" si="143"/>
        <v>#N/A</v>
      </c>
      <c r="AA193">
        <f t="shared" si="144"/>
        <v>3.5103823524998579E-2</v>
      </c>
      <c r="AB193">
        <f t="shared" si="144"/>
        <v>2.4523679465482617E-2</v>
      </c>
    </row>
    <row r="194" spans="1:28" x14ac:dyDescent="0.25">
      <c r="A194" s="18">
        <f t="shared" si="186"/>
        <v>23346</v>
      </c>
      <c r="B194">
        <f>'2-state flows'!B193</f>
        <v>72188</v>
      </c>
      <c r="C194">
        <f>'2-state flows'!C193</f>
        <v>3975</v>
      </c>
      <c r="D194">
        <f>'Composite HWI'!B157*48.35347462</f>
        <v>1934.1389847999999</v>
      </c>
      <c r="E194">
        <f t="shared" si="181"/>
        <v>5.5064553665429158E-2</v>
      </c>
      <c r="F194">
        <f t="shared" si="182"/>
        <v>2.6793081742117801E-2</v>
      </c>
      <c r="G194">
        <f>'2-state flows'!G193</f>
        <v>0.58071737171795923</v>
      </c>
      <c r="H194">
        <f t="shared" si="183"/>
        <v>0.5379587048501232</v>
      </c>
      <c r="I194">
        <f>'2-state flows'!H193</f>
        <v>3.4900502740207631E-2</v>
      </c>
      <c r="J194">
        <f t="shared" si="187"/>
        <v>-4.0037288417774739E-3</v>
      </c>
      <c r="K194">
        <v>0.5</v>
      </c>
      <c r="L194">
        <f t="shared" si="189"/>
        <v>0.49800092823333886</v>
      </c>
      <c r="M194">
        <f t="shared" si="184"/>
        <v>1.6283344604450137E-2</v>
      </c>
      <c r="N194">
        <f t="shared" ref="N194:O194" si="217">AVERAGE(G192:G194)</f>
        <v>0.5895897025970871</v>
      </c>
      <c r="O194">
        <f t="shared" si="217"/>
        <v>0.52715049054627328</v>
      </c>
      <c r="P194">
        <f t="shared" si="191"/>
        <v>5.5848093611676898E-2</v>
      </c>
      <c r="Q194">
        <f t="shared" si="192"/>
        <v>2.608510416599058E-2</v>
      </c>
      <c r="R194">
        <f t="shared" si="193"/>
        <v>1.5635729261500465E-2</v>
      </c>
      <c r="U194" s="18">
        <f t="shared" si="146"/>
        <v>36130</v>
      </c>
      <c r="V194">
        <f t="shared" si="139"/>
        <v>4.4335624785740248E-2</v>
      </c>
      <c r="W194" t="e">
        <f t="shared" si="140"/>
        <v>#N/A</v>
      </c>
      <c r="X194" t="e">
        <f t="shared" si="141"/>
        <v>#N/A</v>
      </c>
      <c r="Y194">
        <f t="shared" si="142"/>
        <v>4.4335624785740248E-2</v>
      </c>
      <c r="Z194" t="e">
        <f t="shared" si="143"/>
        <v>#N/A</v>
      </c>
      <c r="AA194">
        <f t="shared" si="144"/>
        <v>3.4819854587705285E-2</v>
      </c>
      <c r="AB194">
        <f t="shared" si="144"/>
        <v>2.7898040875670559E-2</v>
      </c>
    </row>
    <row r="195" spans="1:28" x14ac:dyDescent="0.25">
      <c r="A195" s="18">
        <f t="shared" si="186"/>
        <v>23377</v>
      </c>
      <c r="B195">
        <f>'2-state flows'!B194</f>
        <v>72356</v>
      </c>
      <c r="C195">
        <f>'2-state flows'!C194</f>
        <v>4029</v>
      </c>
      <c r="D195">
        <f>'Composite HWI'!B158*48.35347462</f>
        <v>1934.1389847999999</v>
      </c>
      <c r="E195">
        <f t="shared" si="181"/>
        <v>5.5683011775111944E-2</v>
      </c>
      <c r="F195">
        <f t="shared" si="182"/>
        <v>2.6730872143291503E-2</v>
      </c>
      <c r="G195">
        <f>'2-state flows'!G194</f>
        <v>0.59421082982087425</v>
      </c>
      <c r="H195">
        <f t="shared" si="183"/>
        <v>0.5343414592365715</v>
      </c>
      <c r="I195">
        <f>'2-state flows'!H194</f>
        <v>3.3127299393994294E-2</v>
      </c>
      <c r="J195">
        <f t="shared" si="187"/>
        <v>-5.2143536703187908E-2</v>
      </c>
      <c r="K195">
        <v>0.5</v>
      </c>
      <c r="L195">
        <f t="shared" si="189"/>
        <v>0.39371385482696303</v>
      </c>
      <c r="M195">
        <f t="shared" si="184"/>
        <v>1.8031230868230469E-2</v>
      </c>
      <c r="N195">
        <f t="shared" ref="N195:O195" si="218">AVERAGE(G193:G195)</f>
        <v>0.60312188935513689</v>
      </c>
      <c r="O195">
        <f t="shared" si="218"/>
        <v>0.52846708648589413</v>
      </c>
      <c r="P195">
        <f t="shared" si="191"/>
        <v>5.6022522918211436E-2</v>
      </c>
      <c r="Q195">
        <f t="shared" si="192"/>
        <v>2.6298847100783281E-2</v>
      </c>
      <c r="R195">
        <f t="shared" si="193"/>
        <v>1.6537213439030075E-2</v>
      </c>
      <c r="U195" s="18">
        <f t="shared" si="146"/>
        <v>36220</v>
      </c>
      <c r="V195">
        <f t="shared" si="139"/>
        <v>4.2883878200448845E-2</v>
      </c>
      <c r="W195" t="e">
        <f t="shared" si="140"/>
        <v>#N/A</v>
      </c>
      <c r="X195" t="e">
        <f t="shared" si="141"/>
        <v>#N/A</v>
      </c>
      <c r="Y195">
        <f t="shared" si="142"/>
        <v>4.2883878200448845E-2</v>
      </c>
      <c r="Z195" t="e">
        <f t="shared" si="143"/>
        <v>#N/A</v>
      </c>
      <c r="AA195">
        <f t="shared" si="144"/>
        <v>3.6872138476996774E-2</v>
      </c>
      <c r="AB195">
        <f t="shared" si="144"/>
        <v>2.7410939692659082E-2</v>
      </c>
    </row>
    <row r="196" spans="1:28" x14ac:dyDescent="0.25">
      <c r="A196" s="18">
        <f t="shared" si="186"/>
        <v>23408</v>
      </c>
      <c r="B196">
        <f>'2-state flows'!B195</f>
        <v>72683</v>
      </c>
      <c r="C196">
        <f>'2-state flows'!C195</f>
        <v>3932</v>
      </c>
      <c r="D196">
        <f>'Composite HWI'!B159*48.35347462</f>
        <v>1934.1389847999999</v>
      </c>
      <c r="E196">
        <f t="shared" si="181"/>
        <v>5.4097932116175723E-2</v>
      </c>
      <c r="F196">
        <f t="shared" si="182"/>
        <v>2.6610610249989678E-2</v>
      </c>
      <c r="G196">
        <f>'2-state flows'!G195</f>
        <v>0.59580447973069806</v>
      </c>
      <c r="H196">
        <f t="shared" si="183"/>
        <v>0.54089224055576468</v>
      </c>
      <c r="I196">
        <f>'2-state flows'!H195</f>
        <v>3.4428112903373359E-2</v>
      </c>
      <c r="J196">
        <f t="shared" si="187"/>
        <v>3.8515768622391505E-2</v>
      </c>
      <c r="K196">
        <v>0.5</v>
      </c>
      <c r="L196">
        <f t="shared" si="189"/>
        <v>0.47074539207174604</v>
      </c>
      <c r="M196">
        <f t="shared" si="184"/>
        <v>1.6619299254661737E-2</v>
      </c>
      <c r="N196">
        <f t="shared" ref="N196:O196" si="219">AVERAGE(G194:G196)</f>
        <v>0.59024422708984392</v>
      </c>
      <c r="O196">
        <f t="shared" si="219"/>
        <v>0.53773080154748643</v>
      </c>
      <c r="P196">
        <f t="shared" si="191"/>
        <v>5.4948499185572271E-2</v>
      </c>
      <c r="Q196">
        <f t="shared" si="192"/>
        <v>2.6711521378466326E-2</v>
      </c>
      <c r="R196">
        <f t="shared" si="193"/>
        <v>1.6977958242447449E-2</v>
      </c>
      <c r="U196" s="18">
        <f t="shared" si="146"/>
        <v>36312</v>
      </c>
      <c r="V196">
        <f t="shared" ref="V196:V254" si="220">VLOOKUP($U196,$A$2:$R$788,V$1)</f>
        <v>4.2528203954871023E-2</v>
      </c>
      <c r="W196" t="e">
        <f t="shared" ref="W196:W254" si="221">IF(AND(YEAR($U196)&gt;=1960,YEAR($U196)&lt;=1970),$V196,NA())</f>
        <v>#N/A</v>
      </c>
      <c r="X196" t="e">
        <f t="shared" ref="X196:X254" si="222">IF(AND(YEAR($U196)&gt;=1975,YEAR($U196)&lt;=1986),$V196,NA())</f>
        <v>#N/A</v>
      </c>
      <c r="Y196">
        <f t="shared" ref="Y196:Y254" si="223">IF(AND(YEAR($U196)&gt;=1990,YEAR($U196)&lt;=2000),$V196,NA())</f>
        <v>4.2528203954871023E-2</v>
      </c>
      <c r="Z196" t="e">
        <f t="shared" ref="Z196:Z254" si="224">IF(YEAR($U196)&gt;=2001,$V196,NA())</f>
        <v>#N/A</v>
      </c>
      <c r="AA196">
        <f t="shared" ref="AA196:AB254" si="225">VLOOKUP($U196,$A$2:$R$788,AA$1)</f>
        <v>3.5650908117641954E-2</v>
      </c>
      <c r="AB196">
        <f t="shared" si="225"/>
        <v>2.7736604736822087E-2</v>
      </c>
    </row>
    <row r="197" spans="1:28" x14ac:dyDescent="0.25">
      <c r="A197" s="18">
        <f t="shared" si="186"/>
        <v>23437</v>
      </c>
      <c r="B197">
        <f>'2-state flows'!B196</f>
        <v>72713</v>
      </c>
      <c r="C197">
        <f>'2-state flows'!C196</f>
        <v>3950</v>
      </c>
      <c r="D197">
        <f>'Composite HWI'!B160*48.35347462</f>
        <v>1934.1389847999999</v>
      </c>
      <c r="E197">
        <f t="shared" si="181"/>
        <v>5.4323160920330613E-2</v>
      </c>
      <c r="F197">
        <f t="shared" si="182"/>
        <v>2.6599631218626654E-2</v>
      </c>
      <c r="G197">
        <f>'2-state flows'!G196</f>
        <v>0.60778272862743754</v>
      </c>
      <c r="H197">
        <f t="shared" si="183"/>
        <v>0.53965842063313529</v>
      </c>
      <c r="I197">
        <f>'2-state flows'!H196</f>
        <v>3.4282635782766455E-2</v>
      </c>
      <c r="J197">
        <f t="shared" si="187"/>
        <v>-4.2344856013415821E-3</v>
      </c>
      <c r="K197">
        <v>0.5</v>
      </c>
      <c r="L197">
        <f t="shared" si="189"/>
        <v>0.4622764208690629</v>
      </c>
      <c r="M197">
        <f t="shared" si="184"/>
        <v>1.6753730181171732E-2</v>
      </c>
      <c r="N197">
        <f t="shared" ref="N197:O197" si="226">AVERAGE(G195:G197)</f>
        <v>0.59926601272633662</v>
      </c>
      <c r="O197">
        <f t="shared" si="226"/>
        <v>0.53829737347515716</v>
      </c>
      <c r="P197">
        <f t="shared" si="191"/>
        <v>5.4701368270539431E-2</v>
      </c>
      <c r="Q197">
        <f t="shared" si="192"/>
        <v>2.6647037870635947E-2</v>
      </c>
      <c r="R197">
        <f t="shared" si="193"/>
        <v>1.7134753434687979E-2</v>
      </c>
      <c r="U197" s="18">
        <f t="shared" ref="U197:U219" si="227">DATE(YEAR(U196),MONTH(U196)+3,1)</f>
        <v>36404</v>
      </c>
      <c r="V197">
        <f t="shared" si="220"/>
        <v>4.2481238276263433E-2</v>
      </c>
      <c r="W197" t="e">
        <f t="shared" si="221"/>
        <v>#N/A</v>
      </c>
      <c r="X197" t="e">
        <f t="shared" si="222"/>
        <v>#N/A</v>
      </c>
      <c r="Y197">
        <f t="shared" si="223"/>
        <v>4.2481238276263433E-2</v>
      </c>
      <c r="Z197" t="e">
        <f t="shared" si="224"/>
        <v>#N/A</v>
      </c>
      <c r="AA197">
        <f t="shared" si="225"/>
        <v>3.5073224517707412E-2</v>
      </c>
      <c r="AB197">
        <f t="shared" si="225"/>
        <v>2.6500633036771009E-2</v>
      </c>
    </row>
    <row r="198" spans="1:28" x14ac:dyDescent="0.25">
      <c r="A198" s="18">
        <f t="shared" si="186"/>
        <v>23468</v>
      </c>
      <c r="B198">
        <f>'2-state flows'!B197</f>
        <v>73274</v>
      </c>
      <c r="C198">
        <f>'2-state flows'!C197</f>
        <v>3918</v>
      </c>
      <c r="D198">
        <f>'Composite HWI'!B161*48.35347462</f>
        <v>2030.84593404</v>
      </c>
      <c r="E198">
        <f t="shared" si="181"/>
        <v>5.3470535251248737E-2</v>
      </c>
      <c r="F198">
        <f t="shared" si="182"/>
        <v>2.7715778230204439E-2</v>
      </c>
      <c r="G198">
        <f>'2-state flows'!G197</f>
        <v>0.6317721572435141</v>
      </c>
      <c r="H198">
        <f t="shared" si="183"/>
        <v>0.55523896953184793</v>
      </c>
      <c r="I198">
        <f>'2-state flows'!H197</f>
        <v>3.265036420390266E-2</v>
      </c>
      <c r="J198">
        <f t="shared" si="187"/>
        <v>-4.8782970135526196E-2</v>
      </c>
      <c r="K198">
        <v>0.5</v>
      </c>
      <c r="L198">
        <f t="shared" si="189"/>
        <v>0.36471048059801048</v>
      </c>
      <c r="M198">
        <f t="shared" si="184"/>
        <v>1.9245771641654502E-2</v>
      </c>
      <c r="N198">
        <f t="shared" ref="N198:O198" si="228">AVERAGE(G196:G198)</f>
        <v>0.61178645520054997</v>
      </c>
      <c r="O198">
        <f t="shared" si="228"/>
        <v>0.54526321024024937</v>
      </c>
      <c r="P198">
        <f t="shared" si="191"/>
        <v>5.3963876095918357E-2</v>
      </c>
      <c r="Q198">
        <f t="shared" si="192"/>
        <v>2.6975339899606921E-2</v>
      </c>
      <c r="R198">
        <f t="shared" si="193"/>
        <v>1.7539600359162657E-2</v>
      </c>
      <c r="U198" s="18">
        <f t="shared" si="227"/>
        <v>36495</v>
      </c>
      <c r="V198">
        <f t="shared" si="220"/>
        <v>4.0829305064578651E-2</v>
      </c>
      <c r="W198" t="e">
        <f t="shared" si="221"/>
        <v>#N/A</v>
      </c>
      <c r="X198" t="e">
        <f t="shared" si="222"/>
        <v>#N/A</v>
      </c>
      <c r="Y198">
        <f t="shared" si="223"/>
        <v>4.0829305064578651E-2</v>
      </c>
      <c r="Z198" t="e">
        <f t="shared" si="224"/>
        <v>#N/A</v>
      </c>
      <c r="AA198">
        <f t="shared" si="225"/>
        <v>3.5727373782735529E-2</v>
      </c>
      <c r="AB198">
        <f t="shared" si="225"/>
        <v>2.6360217358285937E-2</v>
      </c>
    </row>
    <row r="199" spans="1:28" x14ac:dyDescent="0.25">
      <c r="A199" s="18">
        <f t="shared" si="186"/>
        <v>23498</v>
      </c>
      <c r="B199">
        <f>'2-state flows'!B198</f>
        <v>73395</v>
      </c>
      <c r="C199">
        <f>'2-state flows'!C198</f>
        <v>3764</v>
      </c>
      <c r="D199">
        <f>'Composite HWI'!B162*48.35347462</f>
        <v>2030.84593404</v>
      </c>
      <c r="E199">
        <f t="shared" si="181"/>
        <v>5.128414742148648E-2</v>
      </c>
      <c r="F199">
        <f t="shared" si="182"/>
        <v>2.7670085619456365E-2</v>
      </c>
      <c r="G199">
        <f>'2-state flows'!G198</f>
        <v>0.58592866834903212</v>
      </c>
      <c r="H199">
        <f t="shared" si="183"/>
        <v>0.56648360869554937</v>
      </c>
      <c r="I199">
        <f>'2-state flows'!H198</f>
        <v>3.2636093286713665E-2</v>
      </c>
      <c r="J199">
        <f t="shared" si="187"/>
        <v>-4.3717848891833218E-4</v>
      </c>
      <c r="K199">
        <v>0.5</v>
      </c>
      <c r="L199">
        <f t="shared" si="189"/>
        <v>0.36383612362017381</v>
      </c>
      <c r="M199">
        <f t="shared" si="184"/>
        <v>1.9230850078621894E-2</v>
      </c>
      <c r="N199">
        <f t="shared" ref="N199:O199" si="229">AVERAGE(G197:G199)</f>
        <v>0.60849451807332799</v>
      </c>
      <c r="O199">
        <f t="shared" si="229"/>
        <v>0.55379366628684423</v>
      </c>
      <c r="P199">
        <f t="shared" si="191"/>
        <v>5.3025947864355279E-2</v>
      </c>
      <c r="Q199">
        <f t="shared" si="192"/>
        <v>2.7328498356095816E-2</v>
      </c>
      <c r="R199">
        <f t="shared" si="193"/>
        <v>1.8410117300482708E-2</v>
      </c>
      <c r="U199" s="18">
        <f t="shared" si="227"/>
        <v>36586</v>
      </c>
      <c r="V199">
        <f t="shared" si="220"/>
        <v>4.0497811053418348E-2</v>
      </c>
      <c r="W199" t="e">
        <f t="shared" si="221"/>
        <v>#N/A</v>
      </c>
      <c r="X199" t="e">
        <f t="shared" si="222"/>
        <v>#N/A</v>
      </c>
      <c r="Y199">
        <f t="shared" si="223"/>
        <v>4.0497811053418348E-2</v>
      </c>
      <c r="Z199" t="e">
        <f t="shared" si="224"/>
        <v>#N/A</v>
      </c>
      <c r="AA199">
        <f t="shared" si="225"/>
        <v>3.7456125316798594E-2</v>
      </c>
      <c r="AB199">
        <f t="shared" si="225"/>
        <v>2.6941908299105477E-2</v>
      </c>
    </row>
    <row r="200" spans="1:28" x14ac:dyDescent="0.25">
      <c r="A200" s="18">
        <f t="shared" si="186"/>
        <v>23529</v>
      </c>
      <c r="B200">
        <f>'2-state flows'!B199</f>
        <v>73032</v>
      </c>
      <c r="C200">
        <f>'2-state flows'!C199</f>
        <v>3814</v>
      </c>
      <c r="D200">
        <f>'Composite HWI'!B163*48.35347462</f>
        <v>2079.1994086599998</v>
      </c>
      <c r="E200">
        <f t="shared" si="181"/>
        <v>5.2223682769197068E-2</v>
      </c>
      <c r="F200">
        <f t="shared" si="182"/>
        <v>2.8469703810110634E-2</v>
      </c>
      <c r="G200">
        <f>'2-state flows'!G199</f>
        <v>0.58631946698643589</v>
      </c>
      <c r="H200">
        <f t="shared" si="183"/>
        <v>0.56941826484653557</v>
      </c>
      <c r="I200">
        <f>'2-state flows'!H199</f>
        <v>2.8323115573383625E-2</v>
      </c>
      <c r="J200">
        <f t="shared" si="187"/>
        <v>-0.14174055600262561</v>
      </c>
      <c r="K200">
        <v>0.5</v>
      </c>
      <c r="L200">
        <f t="shared" si="189"/>
        <v>8.0355011614922589E-2</v>
      </c>
      <c r="M200">
        <f t="shared" si="184"/>
        <v>2.6271520613201198E-2</v>
      </c>
      <c r="N200">
        <f t="shared" ref="N200:O200" si="230">AVERAGE(G198:G200)</f>
        <v>0.60134009752632733</v>
      </c>
      <c r="O200">
        <f t="shared" si="230"/>
        <v>0.56371361435797762</v>
      </c>
      <c r="P200">
        <f t="shared" si="191"/>
        <v>5.2326121813977423E-2</v>
      </c>
      <c r="Q200">
        <f t="shared" si="192"/>
        <v>2.7951855886590479E-2</v>
      </c>
      <c r="R200">
        <f t="shared" si="193"/>
        <v>2.1582714111159196E-2</v>
      </c>
      <c r="U200" s="18">
        <f t="shared" si="227"/>
        <v>36678</v>
      </c>
      <c r="V200">
        <f t="shared" si="220"/>
        <v>3.9488387046744948E-2</v>
      </c>
      <c r="W200" t="e">
        <f t="shared" si="221"/>
        <v>#N/A</v>
      </c>
      <c r="X200" t="e">
        <f t="shared" si="222"/>
        <v>#N/A</v>
      </c>
      <c r="Y200">
        <f t="shared" si="223"/>
        <v>3.9488387046744948E-2</v>
      </c>
      <c r="Z200" t="e">
        <f t="shared" si="224"/>
        <v>#N/A</v>
      </c>
      <c r="AA200">
        <f t="shared" si="225"/>
        <v>3.5600914573932725E-2</v>
      </c>
      <c r="AB200">
        <f t="shared" si="225"/>
        <v>2.9024181373026665E-2</v>
      </c>
    </row>
    <row r="201" spans="1:28" x14ac:dyDescent="0.25">
      <c r="A201" s="18">
        <f t="shared" si="186"/>
        <v>23559</v>
      </c>
      <c r="B201">
        <f>'2-state flows'!B200</f>
        <v>73007</v>
      </c>
      <c r="C201">
        <f>'2-state flows'!C200</f>
        <v>3608</v>
      </c>
      <c r="D201">
        <f>'Composite HWI'!B164*48.35347462</f>
        <v>2175.9063578999999</v>
      </c>
      <c r="E201">
        <f t="shared" si="181"/>
        <v>4.9419918637938827E-2</v>
      </c>
      <c r="F201">
        <f t="shared" si="182"/>
        <v>2.9804078484254933E-2</v>
      </c>
      <c r="G201">
        <f>'2-state flows'!G200</f>
        <v>0.61071946323797355</v>
      </c>
      <c r="H201">
        <f t="shared" si="183"/>
        <v>0.59890853554913215</v>
      </c>
      <c r="I201">
        <f>'2-state flows'!H200</f>
        <v>3.2669140462400076E-2</v>
      </c>
      <c r="J201">
        <f t="shared" si="187"/>
        <v>0.14275263961706483</v>
      </c>
      <c r="K201">
        <v>0.5</v>
      </c>
      <c r="L201">
        <f t="shared" si="189"/>
        <v>0.36586029084905225</v>
      </c>
      <c r="M201">
        <f t="shared" si="184"/>
        <v>2.0672099796080711E-2</v>
      </c>
      <c r="N201">
        <f t="shared" ref="N201:O201" si="231">AVERAGE(G199:G201)</f>
        <v>0.59432253285781378</v>
      </c>
      <c r="O201">
        <f t="shared" si="231"/>
        <v>0.57827013636373903</v>
      </c>
      <c r="P201">
        <f t="shared" si="191"/>
        <v>5.0975916276207456E-2</v>
      </c>
      <c r="Q201">
        <f t="shared" si="192"/>
        <v>2.8647955971273981E-2</v>
      </c>
      <c r="R201">
        <f t="shared" si="193"/>
        <v>2.2058156829301265E-2</v>
      </c>
      <c r="U201" s="18">
        <f t="shared" si="227"/>
        <v>36770</v>
      </c>
      <c r="V201">
        <f t="shared" si="220"/>
        <v>4.0310366735264752E-2</v>
      </c>
      <c r="W201" t="e">
        <f t="shared" si="221"/>
        <v>#N/A</v>
      </c>
      <c r="X201" t="e">
        <f t="shared" si="222"/>
        <v>#N/A</v>
      </c>
      <c r="Y201">
        <f t="shared" si="223"/>
        <v>4.0310366735264752E-2</v>
      </c>
      <c r="Z201" t="e">
        <f t="shared" si="224"/>
        <v>#N/A</v>
      </c>
      <c r="AA201">
        <f t="shared" si="225"/>
        <v>3.4087080697058958E-2</v>
      </c>
      <c r="AB201">
        <f t="shared" si="225"/>
        <v>2.7072383957003177E-2</v>
      </c>
    </row>
    <row r="202" spans="1:28" x14ac:dyDescent="0.25">
      <c r="A202" s="18">
        <f t="shared" si="186"/>
        <v>23590</v>
      </c>
      <c r="B202">
        <f>'2-state flows'!B201</f>
        <v>73118</v>
      </c>
      <c r="C202">
        <f>'2-state flows'!C201</f>
        <v>3655</v>
      </c>
      <c r="D202">
        <f>'Composite HWI'!B165*48.35347462</f>
        <v>2127.5528832800001</v>
      </c>
      <c r="E202">
        <f t="shared" si="181"/>
        <v>4.9987691129407257E-2</v>
      </c>
      <c r="F202">
        <f t="shared" si="182"/>
        <v>2.9097525688339398E-2</v>
      </c>
      <c r="G202">
        <f>'2-state flows'!G201</f>
        <v>0.59845900736894453</v>
      </c>
      <c r="H202">
        <f t="shared" si="183"/>
        <v>0.588396604388014</v>
      </c>
      <c r="I202">
        <f>'2-state flows'!H201</f>
        <v>3.259622972107571E-2</v>
      </c>
      <c r="J202">
        <f t="shared" si="187"/>
        <v>-2.2342866193966727E-3</v>
      </c>
      <c r="K202">
        <v>0.5</v>
      </c>
      <c r="L202">
        <f t="shared" si="189"/>
        <v>0.3613917176102589</v>
      </c>
      <c r="M202">
        <f t="shared" si="184"/>
        <v>2.0272421692013015E-2</v>
      </c>
      <c r="N202">
        <f t="shared" ref="N202:O202" si="232">AVERAGE(G200:G202)</f>
        <v>0.5984993125311181</v>
      </c>
      <c r="O202">
        <f t="shared" si="232"/>
        <v>0.58557446826122728</v>
      </c>
      <c r="P202">
        <f t="shared" si="191"/>
        <v>5.0543764178847712E-2</v>
      </c>
      <c r="Q202">
        <f t="shared" si="192"/>
        <v>2.9123769327568324E-2</v>
      </c>
      <c r="R202">
        <f t="shared" si="193"/>
        <v>2.2405347367098306E-2</v>
      </c>
      <c r="U202" s="18">
        <f t="shared" si="227"/>
        <v>36861</v>
      </c>
      <c r="V202">
        <f t="shared" si="220"/>
        <v>3.9192102663532478E-2</v>
      </c>
      <c r="W202" t="e">
        <f t="shared" si="221"/>
        <v>#N/A</v>
      </c>
      <c r="X202" t="e">
        <f t="shared" si="222"/>
        <v>#N/A</v>
      </c>
      <c r="Y202">
        <f t="shared" si="223"/>
        <v>3.9192102663532478E-2</v>
      </c>
      <c r="Z202" t="e">
        <f t="shared" si="224"/>
        <v>#N/A</v>
      </c>
      <c r="AA202">
        <f t="shared" si="225"/>
        <v>3.3549352751256221E-2</v>
      </c>
      <c r="AB202">
        <f t="shared" si="225"/>
        <v>2.8021959462342386E-2</v>
      </c>
    </row>
    <row r="203" spans="1:28" x14ac:dyDescent="0.25">
      <c r="A203" s="18">
        <f t="shared" si="186"/>
        <v>23621</v>
      </c>
      <c r="B203">
        <f>'2-state flows'!B202</f>
        <v>73290</v>
      </c>
      <c r="C203">
        <f>'2-state flows'!C202</f>
        <v>3712</v>
      </c>
      <c r="D203">
        <f>'Composite HWI'!B166*48.35347462</f>
        <v>2175.9063578999999</v>
      </c>
      <c r="E203">
        <f t="shared" si="181"/>
        <v>5.0648110246964112E-2</v>
      </c>
      <c r="F203">
        <f t="shared" si="182"/>
        <v>2.9688993831354892E-2</v>
      </c>
      <c r="G203">
        <f>'2-state flows'!G202</f>
        <v>0.63252255874351049</v>
      </c>
      <c r="H203">
        <f t="shared" si="183"/>
        <v>0.59045904978062369</v>
      </c>
      <c r="I203">
        <f>'2-state flows'!H202</f>
        <v>3.4020869686307624E-2</v>
      </c>
      <c r="J203">
        <f t="shared" si="187"/>
        <v>4.2777521655749891E-2</v>
      </c>
      <c r="K203">
        <v>0.5</v>
      </c>
      <c r="L203">
        <f t="shared" si="189"/>
        <v>0.44694676092175867</v>
      </c>
      <c r="M203">
        <f t="shared" si="184"/>
        <v>1.8988426047041245E-2</v>
      </c>
      <c r="N203">
        <f t="shared" ref="N203:O203" si="233">AVERAGE(G201:G203)</f>
        <v>0.61390034311680941</v>
      </c>
      <c r="O203">
        <f t="shared" si="233"/>
        <v>0.59258806323925661</v>
      </c>
      <c r="P203">
        <f t="shared" si="191"/>
        <v>5.0018573338103396E-2</v>
      </c>
      <c r="Q203">
        <f t="shared" si="192"/>
        <v>2.9530199334649742E-2</v>
      </c>
      <c r="R203">
        <f t="shared" si="193"/>
        <v>1.9977649178378326E-2</v>
      </c>
      <c r="U203" s="18">
        <f t="shared" si="227"/>
        <v>36951</v>
      </c>
      <c r="V203">
        <f t="shared" si="220"/>
        <v>4.2308539689381273E-2</v>
      </c>
      <c r="W203" t="e">
        <f t="shared" si="221"/>
        <v>#N/A</v>
      </c>
      <c r="X203" t="e">
        <f t="shared" si="222"/>
        <v>#N/A</v>
      </c>
      <c r="Y203" t="e">
        <f t="shared" si="223"/>
        <v>#N/A</v>
      </c>
      <c r="Z203">
        <f t="shared" si="224"/>
        <v>4.2308539689381273E-2</v>
      </c>
      <c r="AA203">
        <f t="shared" si="225"/>
        <v>3.1753556667142219E-2</v>
      </c>
      <c r="AB203">
        <f t="shared" si="225"/>
        <v>2.0622253562617387E-2</v>
      </c>
    </row>
    <row r="204" spans="1:28" x14ac:dyDescent="0.25">
      <c r="A204" s="18">
        <f t="shared" si="186"/>
        <v>23651</v>
      </c>
      <c r="B204">
        <f>'2-state flows'!B203</f>
        <v>73308</v>
      </c>
      <c r="C204">
        <f>'2-state flows'!C203</f>
        <v>3726</v>
      </c>
      <c r="D204">
        <f>'Composite HWI'!B167*48.35347462</f>
        <v>2175.9063578999999</v>
      </c>
      <c r="E204">
        <f t="shared" si="181"/>
        <v>5.0826649206089376E-2</v>
      </c>
      <c r="F204">
        <f t="shared" si="182"/>
        <v>2.9681704014568669E-2</v>
      </c>
      <c r="G204">
        <f>'2-state flows'!G203</f>
        <v>0.64494507874206763</v>
      </c>
      <c r="H204">
        <f t="shared" si="183"/>
        <v>0.58934871613232509</v>
      </c>
      <c r="I204">
        <f>'2-state flows'!H203</f>
        <v>3.107555308372717E-2</v>
      </c>
      <c r="J204">
        <f t="shared" si="187"/>
        <v>-9.0552715023964836E-2</v>
      </c>
      <c r="K204">
        <v>0.5</v>
      </c>
      <c r="L204">
        <f t="shared" si="189"/>
        <v>0.265841330873829</v>
      </c>
      <c r="M204">
        <f t="shared" si="184"/>
        <v>2.2752829212802386E-2</v>
      </c>
      <c r="N204">
        <f t="shared" ref="N204:O204" si="234">AVERAGE(G202:G204)</f>
        <v>0.62530888161817422</v>
      </c>
      <c r="O204">
        <f t="shared" si="234"/>
        <v>0.58940145676698752</v>
      </c>
      <c r="P204">
        <f t="shared" si="191"/>
        <v>5.0487483527486915E-2</v>
      </c>
      <c r="Q204">
        <f t="shared" si="192"/>
        <v>2.9489407844754317E-2</v>
      </c>
      <c r="R204">
        <f t="shared" si="193"/>
        <v>2.0671225650618883E-2</v>
      </c>
      <c r="U204" s="18">
        <f t="shared" si="227"/>
        <v>37043</v>
      </c>
      <c r="V204">
        <f t="shared" si="220"/>
        <v>4.4116981175416299E-2</v>
      </c>
      <c r="W204" t="e">
        <f t="shared" si="221"/>
        <v>#N/A</v>
      </c>
      <c r="X204" t="e">
        <f t="shared" si="222"/>
        <v>#N/A</v>
      </c>
      <c r="Y204" t="e">
        <f t="shared" si="223"/>
        <v>#N/A</v>
      </c>
      <c r="Z204">
        <f t="shared" si="224"/>
        <v>4.4116981175416299E-2</v>
      </c>
      <c r="AA204">
        <f t="shared" si="225"/>
        <v>2.7350540184414216E-2</v>
      </c>
      <c r="AB204">
        <f t="shared" si="225"/>
        <v>2.0556618501242661E-2</v>
      </c>
    </row>
    <row r="205" spans="1:28" x14ac:dyDescent="0.25">
      <c r="A205" s="18">
        <f t="shared" si="186"/>
        <v>23682</v>
      </c>
      <c r="B205">
        <f>'2-state flows'!B204</f>
        <v>73286</v>
      </c>
      <c r="C205">
        <f>'2-state flows'!C204</f>
        <v>3551</v>
      </c>
      <c r="D205">
        <f>'Composite HWI'!B168*48.35347462</f>
        <v>2272.61330714</v>
      </c>
      <c r="E205">
        <f t="shared" si="181"/>
        <v>4.8454002128646673E-2</v>
      </c>
      <c r="F205">
        <f t="shared" si="182"/>
        <v>3.1010197133695384E-2</v>
      </c>
      <c r="G205">
        <f>'2-state flows'!G204</f>
        <v>0.58463758734052218</v>
      </c>
      <c r="H205">
        <f t="shared" si="183"/>
        <v>0.61696581754086843</v>
      </c>
      <c r="I205">
        <f>'2-state flows'!H204</f>
        <v>3.1691549171539428E-2</v>
      </c>
      <c r="J205">
        <f t="shared" si="187"/>
        <v>1.962862210541691E-2</v>
      </c>
      <c r="K205">
        <v>0.5</v>
      </c>
      <c r="L205">
        <f t="shared" si="189"/>
        <v>0.30509857508466282</v>
      </c>
      <c r="M205">
        <f t="shared" si="184"/>
        <v>2.2856087999878982E-2</v>
      </c>
      <c r="N205">
        <f t="shared" ref="N205:O205" si="235">AVERAGE(G203:G205)</f>
        <v>0.62070174160870017</v>
      </c>
      <c r="O205">
        <f t="shared" si="235"/>
        <v>0.59892452781793903</v>
      </c>
      <c r="P205">
        <f t="shared" si="191"/>
        <v>4.997625386056672E-2</v>
      </c>
      <c r="Q205">
        <f t="shared" si="192"/>
        <v>3.0126964993206315E-2</v>
      </c>
      <c r="R205">
        <f t="shared" si="193"/>
        <v>2.1532447753240869E-2</v>
      </c>
      <c r="U205" s="18">
        <f t="shared" si="227"/>
        <v>37135</v>
      </c>
      <c r="V205">
        <f t="shared" si="220"/>
        <v>4.819118183536044E-2</v>
      </c>
      <c r="W205" t="e">
        <f t="shared" si="221"/>
        <v>#N/A</v>
      </c>
      <c r="X205" t="e">
        <f t="shared" si="222"/>
        <v>#N/A</v>
      </c>
      <c r="Y205" t="e">
        <f t="shared" si="223"/>
        <v>#N/A</v>
      </c>
      <c r="Z205">
        <f t="shared" si="224"/>
        <v>4.819118183536044E-2</v>
      </c>
      <c r="AA205">
        <f t="shared" si="225"/>
        <v>2.5116550834361279E-2</v>
      </c>
      <c r="AB205">
        <f t="shared" si="225"/>
        <v>1.6708517289549404E-2</v>
      </c>
    </row>
    <row r="206" spans="1:28" x14ac:dyDescent="0.25">
      <c r="A206" s="18">
        <f t="shared" si="186"/>
        <v>23712</v>
      </c>
      <c r="B206">
        <f>'2-state flows'!B205</f>
        <v>73465</v>
      </c>
      <c r="C206">
        <f>'2-state flows'!C205</f>
        <v>3651</v>
      </c>
      <c r="D206">
        <f>'Composite HWI'!B169*48.35347462</f>
        <v>2272.61330714</v>
      </c>
      <c r="E206">
        <f t="shared" si="181"/>
        <v>4.9697134689988431E-2</v>
      </c>
      <c r="F206">
        <f t="shared" si="182"/>
        <v>3.0934639721500033E-2</v>
      </c>
      <c r="G206">
        <f>'2-state flows'!G205</f>
        <v>0.62922511890968646</v>
      </c>
      <c r="H206">
        <f t="shared" si="183"/>
        <v>0.60845788383710042</v>
      </c>
      <c r="I206">
        <f>'2-state flows'!H205</f>
        <v>3.1359837518867874E-2</v>
      </c>
      <c r="J206">
        <f t="shared" si="187"/>
        <v>-1.0522043383597727E-2</v>
      </c>
      <c r="K206">
        <v>0.5</v>
      </c>
      <c r="L206">
        <f t="shared" si="189"/>
        <v>0.28405448831746738</v>
      </c>
      <c r="M206">
        <f t="shared" si="184"/>
        <v>2.3285296137172975E-2</v>
      </c>
      <c r="N206">
        <f t="shared" ref="N206:O206" si="236">AVERAGE(G204:G206)</f>
        <v>0.61960259499742543</v>
      </c>
      <c r="O206">
        <f t="shared" si="236"/>
        <v>0.60492413917009802</v>
      </c>
      <c r="P206">
        <f t="shared" si="191"/>
        <v>4.9659262008241493E-2</v>
      </c>
      <c r="Q206">
        <f t="shared" si="192"/>
        <v>3.0542180289921363E-2</v>
      </c>
      <c r="R206">
        <f t="shared" si="193"/>
        <v>2.2964737783284783E-2</v>
      </c>
      <c r="U206" s="18">
        <f t="shared" si="227"/>
        <v>37226</v>
      </c>
      <c r="V206">
        <f t="shared" si="220"/>
        <v>5.5369531575682425E-2</v>
      </c>
      <c r="W206" t="e">
        <f t="shared" si="221"/>
        <v>#N/A</v>
      </c>
      <c r="X206" t="e">
        <f t="shared" si="222"/>
        <v>#N/A</v>
      </c>
      <c r="Y206" t="e">
        <f t="shared" si="223"/>
        <v>#N/A</v>
      </c>
      <c r="Z206">
        <f t="shared" si="224"/>
        <v>5.5369531575682425E-2</v>
      </c>
      <c r="AA206">
        <f t="shared" si="225"/>
        <v>2.1513712106880731E-2</v>
      </c>
      <c r="AB206">
        <f t="shared" si="225"/>
        <v>1.3871607723453347E-2</v>
      </c>
    </row>
    <row r="207" spans="1:28" x14ac:dyDescent="0.25">
      <c r="A207" s="18">
        <f t="shared" si="186"/>
        <v>23743</v>
      </c>
      <c r="B207">
        <f>'2-state flows'!B206</f>
        <v>73569</v>
      </c>
      <c r="C207">
        <f>'2-state flows'!C206</f>
        <v>3572</v>
      </c>
      <c r="D207">
        <f>'Composite HWI'!B170*48.35347462</f>
        <v>2272.61330714</v>
      </c>
      <c r="E207">
        <f t="shared" si="181"/>
        <v>4.8553059033016627E-2</v>
      </c>
      <c r="F207">
        <f t="shared" si="182"/>
        <v>3.089090931153067E-2</v>
      </c>
      <c r="G207">
        <f>'2-state flows'!G206</f>
        <v>0.58649969944457292</v>
      </c>
      <c r="H207">
        <f t="shared" si="183"/>
        <v>0.61514955479739231</v>
      </c>
      <c r="I207">
        <f>'2-state flows'!H206</f>
        <v>3.2957618825041113E-2</v>
      </c>
      <c r="J207">
        <f t="shared" si="187"/>
        <v>4.9694443735396061E-2</v>
      </c>
      <c r="K207">
        <v>0.5</v>
      </c>
      <c r="L207">
        <f t="shared" si="189"/>
        <v>0.38344337578825949</v>
      </c>
      <c r="M207">
        <f t="shared" si="184"/>
        <v>2.1052484207918297E-2</v>
      </c>
      <c r="N207">
        <f t="shared" ref="N207:O207" si="237">AVERAGE(G205:G207)</f>
        <v>0.60012080189826056</v>
      </c>
      <c r="O207">
        <f t="shared" si="237"/>
        <v>0.61352441872512031</v>
      </c>
      <c r="P207">
        <f t="shared" si="191"/>
        <v>4.8901398617217241E-2</v>
      </c>
      <c r="Q207">
        <f t="shared" si="192"/>
        <v>3.0945248722242028E-2</v>
      </c>
      <c r="R207">
        <f t="shared" si="193"/>
        <v>2.2397956114990087E-2</v>
      </c>
      <c r="U207" s="18">
        <f t="shared" si="227"/>
        <v>37316</v>
      </c>
      <c r="V207">
        <f t="shared" si="220"/>
        <v>5.7043804125865773E-2</v>
      </c>
      <c r="W207" t="e">
        <f t="shared" si="221"/>
        <v>#N/A</v>
      </c>
      <c r="X207" t="e">
        <f t="shared" si="222"/>
        <v>#N/A</v>
      </c>
      <c r="Y207" t="e">
        <f t="shared" si="223"/>
        <v>#N/A</v>
      </c>
      <c r="Z207">
        <f t="shared" si="224"/>
        <v>5.7043804125865773E-2</v>
      </c>
      <c r="AA207">
        <f t="shared" si="225"/>
        <v>2.2302063022705876E-2</v>
      </c>
      <c r="AB207">
        <f t="shared" si="225"/>
        <v>1.5399982488055972E-2</v>
      </c>
    </row>
    <row r="208" spans="1:28" x14ac:dyDescent="0.25">
      <c r="A208" s="18">
        <f t="shared" si="186"/>
        <v>23774</v>
      </c>
      <c r="B208">
        <f>'2-state flows'!B207</f>
        <v>73857</v>
      </c>
      <c r="C208">
        <f>'2-state flows'!C207</f>
        <v>3730</v>
      </c>
      <c r="D208">
        <f>'Composite HWI'!B171*48.35347462</f>
        <v>2369.32025638</v>
      </c>
      <c r="E208">
        <f t="shared" si="181"/>
        <v>5.0502999038682862E-2</v>
      </c>
      <c r="F208">
        <f t="shared" si="182"/>
        <v>3.2079833412946644E-2</v>
      </c>
      <c r="G208">
        <f>'2-state flows'!G207</f>
        <v>0.72418697168573942</v>
      </c>
      <c r="H208">
        <f t="shared" si="183"/>
        <v>0.61465459731765537</v>
      </c>
      <c r="I208">
        <f>'2-state flows'!H207</f>
        <v>3.4043543822883333E-2</v>
      </c>
      <c r="J208">
        <f t="shared" si="187"/>
        <v>3.2417947845990044E-2</v>
      </c>
      <c r="K208">
        <v>0.5</v>
      </c>
      <c r="L208">
        <f t="shared" si="189"/>
        <v>0.44827927148023961</v>
      </c>
      <c r="M208">
        <f t="shared" si="184"/>
        <v>2.0490232693763107E-2</v>
      </c>
      <c r="N208">
        <f t="shared" ref="N208:O208" si="238">AVERAGE(G206:G208)</f>
        <v>0.64663726334666627</v>
      </c>
      <c r="O208">
        <f t="shared" si="238"/>
        <v>0.61275401198404933</v>
      </c>
      <c r="P208">
        <f t="shared" si="191"/>
        <v>4.9584397587229302E-2</v>
      </c>
      <c r="Q208">
        <f t="shared" si="192"/>
        <v>3.1301794148659114E-2</v>
      </c>
      <c r="R208">
        <f t="shared" si="193"/>
        <v>2.1609337679618128E-2</v>
      </c>
      <c r="U208" s="18">
        <f t="shared" si="227"/>
        <v>37408</v>
      </c>
      <c r="V208">
        <f t="shared" si="220"/>
        <v>5.8441518378437779E-2</v>
      </c>
      <c r="W208" t="e">
        <f t="shared" si="221"/>
        <v>#N/A</v>
      </c>
      <c r="X208" t="e">
        <f t="shared" si="222"/>
        <v>#N/A</v>
      </c>
      <c r="Y208" t="e">
        <f t="shared" si="223"/>
        <v>#N/A</v>
      </c>
      <c r="Z208">
        <f t="shared" si="224"/>
        <v>5.8441518378437779E-2</v>
      </c>
      <c r="AA208">
        <f t="shared" si="225"/>
        <v>2.243697825548327E-2</v>
      </c>
      <c r="AB208">
        <f t="shared" si="225"/>
        <v>1.7951010771547874E-2</v>
      </c>
    </row>
    <row r="209" spans="1:28" x14ac:dyDescent="0.25">
      <c r="A209" s="18">
        <f t="shared" si="186"/>
        <v>23802</v>
      </c>
      <c r="B209">
        <f>'2-state flows'!B208</f>
        <v>73949</v>
      </c>
      <c r="C209">
        <f>'2-state flows'!C208</f>
        <v>3510</v>
      </c>
      <c r="D209">
        <f>'Composite HWI'!B172*48.35347462</f>
        <v>2417.6737309999999</v>
      </c>
      <c r="E209">
        <f t="shared" si="181"/>
        <v>4.7465144897158855E-2</v>
      </c>
      <c r="F209">
        <f t="shared" si="182"/>
        <v>3.2693798847854602E-2</v>
      </c>
      <c r="G209">
        <f>'2-state flows'!G208</f>
        <v>0.641512064258282</v>
      </c>
      <c r="H209">
        <f t="shared" si="183"/>
        <v>0.64005744580955315</v>
      </c>
      <c r="I209">
        <f>'2-state flows'!H208</f>
        <v>3.3626331011441066E-2</v>
      </c>
      <c r="J209">
        <f t="shared" si="187"/>
        <v>-1.2330984769665694E-2</v>
      </c>
      <c r="K209">
        <v>0.5</v>
      </c>
      <c r="L209">
        <f t="shared" si="189"/>
        <v>0.42361730194090824</v>
      </c>
      <c r="M209">
        <f t="shared" si="184"/>
        <v>2.1403792378984723E-2</v>
      </c>
      <c r="N209">
        <f t="shared" ref="N209:O209" si="239">AVERAGE(G207:G209)</f>
        <v>0.65073291179619808</v>
      </c>
      <c r="O209">
        <f t="shared" si="239"/>
        <v>0.62328719930820031</v>
      </c>
      <c r="P209">
        <f t="shared" si="191"/>
        <v>4.8840400989619448E-2</v>
      </c>
      <c r="Q209">
        <f t="shared" si="192"/>
        <v>3.1888180524110639E-2</v>
      </c>
      <c r="R209">
        <f t="shared" si="193"/>
        <v>2.0982169760222043E-2</v>
      </c>
      <c r="U209" s="18">
        <f t="shared" si="227"/>
        <v>37500</v>
      </c>
      <c r="V209">
        <f t="shared" si="220"/>
        <v>5.7297947970107364E-2</v>
      </c>
      <c r="W209" t="e">
        <f t="shared" si="221"/>
        <v>#N/A</v>
      </c>
      <c r="X209" t="e">
        <f t="shared" si="222"/>
        <v>#N/A</v>
      </c>
      <c r="Y209" t="e">
        <f t="shared" si="223"/>
        <v>#N/A</v>
      </c>
      <c r="Z209">
        <f t="shared" si="224"/>
        <v>5.7297947970107364E-2</v>
      </c>
      <c r="AA209">
        <f t="shared" si="225"/>
        <v>2.1289841687425037E-2</v>
      </c>
      <c r="AB209">
        <f t="shared" si="225"/>
        <v>1.7011776448872064E-2</v>
      </c>
    </row>
    <row r="210" spans="1:28" x14ac:dyDescent="0.25">
      <c r="A210" s="18">
        <f t="shared" si="186"/>
        <v>23833</v>
      </c>
      <c r="B210">
        <f>'2-state flows'!B209</f>
        <v>74228</v>
      </c>
      <c r="C210">
        <f>'2-state flows'!C209</f>
        <v>3595</v>
      </c>
      <c r="D210">
        <f>'Composite HWI'!B173*48.35347462</f>
        <v>2466.0272056200001</v>
      </c>
      <c r="E210">
        <f t="shared" si="181"/>
        <v>4.84318585978337E-2</v>
      </c>
      <c r="F210">
        <f t="shared" si="182"/>
        <v>3.3222331271487847E-2</v>
      </c>
      <c r="G210">
        <f>'2-state flows'!G209</f>
        <v>0.71309446365902218</v>
      </c>
      <c r="H210">
        <f t="shared" si="183"/>
        <v>0.63873858352245072</v>
      </c>
      <c r="I210">
        <f>'2-state flows'!H209</f>
        <v>3.3019606791673567E-2</v>
      </c>
      <c r="J210">
        <f t="shared" si="187"/>
        <v>-1.8207890887624905E-2</v>
      </c>
      <c r="K210">
        <v>0.5</v>
      </c>
      <c r="L210">
        <f t="shared" si="189"/>
        <v>0.38720152016565845</v>
      </c>
      <c r="M210">
        <f t="shared" si="184"/>
        <v>2.255644328293948E-2</v>
      </c>
      <c r="N210">
        <f t="shared" ref="N210:O210" si="240">AVERAGE(G208:G210)</f>
        <v>0.69293116653434783</v>
      </c>
      <c r="O210">
        <f t="shared" si="240"/>
        <v>0.63115020888321982</v>
      </c>
      <c r="P210">
        <f t="shared" si="191"/>
        <v>4.8800000844558468E-2</v>
      </c>
      <c r="Q210">
        <f t="shared" si="192"/>
        <v>3.26653211774297E-2</v>
      </c>
      <c r="R210">
        <f t="shared" si="193"/>
        <v>2.1483489451895769E-2</v>
      </c>
      <c r="U210" s="18">
        <f t="shared" si="227"/>
        <v>37591</v>
      </c>
      <c r="V210">
        <f t="shared" si="220"/>
        <v>5.8488989877289406E-2</v>
      </c>
      <c r="W210" t="e">
        <f t="shared" si="221"/>
        <v>#N/A</v>
      </c>
      <c r="X210" t="e">
        <f t="shared" si="222"/>
        <v>#N/A</v>
      </c>
      <c r="Y210" t="e">
        <f t="shared" si="223"/>
        <v>#N/A</v>
      </c>
      <c r="Z210">
        <f t="shared" si="224"/>
        <v>5.8488989877289406E-2</v>
      </c>
      <c r="AA210">
        <f t="shared" si="225"/>
        <v>2.0314394497549699E-2</v>
      </c>
      <c r="AB210">
        <f t="shared" si="225"/>
        <v>1.5765940002959725E-2</v>
      </c>
    </row>
    <row r="211" spans="1:28" x14ac:dyDescent="0.25">
      <c r="A211" s="18">
        <f t="shared" si="186"/>
        <v>23863</v>
      </c>
      <c r="B211">
        <f>'2-state flows'!B210</f>
        <v>74466</v>
      </c>
      <c r="C211">
        <f>'2-state flows'!C210</f>
        <v>3432</v>
      </c>
      <c r="D211">
        <f>'Composite HWI'!B174*48.35347462</f>
        <v>2562.7341548600002</v>
      </c>
      <c r="E211">
        <f t="shared" si="181"/>
        <v>4.6088147610990247E-2</v>
      </c>
      <c r="F211">
        <f t="shared" si="182"/>
        <v>3.4414822266000594E-2</v>
      </c>
      <c r="G211">
        <f>'2-state flows'!G210</f>
        <v>0.68444390543164368</v>
      </c>
      <c r="H211">
        <f t="shared" si="183"/>
        <v>0.66642580519922379</v>
      </c>
      <c r="I211">
        <f>'2-state flows'!H210</f>
        <v>3.2181460674203979E-2</v>
      </c>
      <c r="J211">
        <f t="shared" si="187"/>
        <v>-2.571099895429358E-2</v>
      </c>
      <c r="K211">
        <v>0.5</v>
      </c>
      <c r="L211">
        <f t="shared" si="189"/>
        <v>0.33577952225707131</v>
      </c>
      <c r="M211">
        <f t="shared" si="184"/>
        <v>2.459905011904406E-2</v>
      </c>
      <c r="N211">
        <f t="shared" ref="N211:O211" si="241">AVERAGE(G209:G211)</f>
        <v>0.67968347778298266</v>
      </c>
      <c r="O211">
        <f t="shared" si="241"/>
        <v>0.64840727817707589</v>
      </c>
      <c r="P211">
        <f t="shared" si="191"/>
        <v>4.732838370199427E-2</v>
      </c>
      <c r="Q211">
        <f t="shared" si="192"/>
        <v>3.3443650795114348E-2</v>
      </c>
      <c r="R211">
        <f t="shared" si="193"/>
        <v>2.2853095260322753E-2</v>
      </c>
      <c r="U211" s="18">
        <f t="shared" si="227"/>
        <v>37681</v>
      </c>
      <c r="V211">
        <f t="shared" si="220"/>
        <v>5.8727135704808198E-2</v>
      </c>
      <c r="W211" t="e">
        <f t="shared" si="221"/>
        <v>#N/A</v>
      </c>
      <c r="X211" t="e">
        <f t="shared" si="222"/>
        <v>#N/A</v>
      </c>
      <c r="Y211" t="e">
        <f t="shared" si="223"/>
        <v>#N/A</v>
      </c>
      <c r="Z211">
        <f t="shared" si="224"/>
        <v>5.8727135704808198E-2</v>
      </c>
      <c r="AA211">
        <f t="shared" si="225"/>
        <v>2.1097128734017534E-2</v>
      </c>
      <c r="AB211">
        <f t="shared" si="225"/>
        <v>1.7888489907214828E-2</v>
      </c>
    </row>
    <row r="212" spans="1:28" x14ac:dyDescent="0.25">
      <c r="A212" s="18">
        <f t="shared" si="186"/>
        <v>23894</v>
      </c>
      <c r="B212">
        <f>'2-state flows'!B211</f>
        <v>74412</v>
      </c>
      <c r="C212">
        <f>'2-state flows'!C211</f>
        <v>3387</v>
      </c>
      <c r="D212">
        <f>'Composite HWI'!B175*48.35347462</f>
        <v>2562.7341548600002</v>
      </c>
      <c r="E212">
        <f t="shared" si="181"/>
        <v>4.5516852120625707E-2</v>
      </c>
      <c r="F212">
        <f t="shared" si="182"/>
        <v>3.4439796737891742E-2</v>
      </c>
      <c r="G212">
        <f>'2-state flows'!G211</f>
        <v>0.72098912264013137</v>
      </c>
      <c r="H212">
        <f t="shared" si="183"/>
        <v>0.67083829527876604</v>
      </c>
      <c r="I212">
        <f>'2-state flows'!H211</f>
        <v>3.2658230025728631E-2</v>
      </c>
      <c r="J212">
        <f t="shared" si="187"/>
        <v>1.4706360847890012E-2</v>
      </c>
      <c r="K212">
        <v>0.5</v>
      </c>
      <c r="L212">
        <f t="shared" si="189"/>
        <v>0.36519224395285133</v>
      </c>
      <c r="M212">
        <f t="shared" si="184"/>
        <v>2.3903395827326354E-2</v>
      </c>
      <c r="N212">
        <f t="shared" ref="N212:O212" si="242">AVERAGE(G210:G212)</f>
        <v>0.70617583057693245</v>
      </c>
      <c r="O212">
        <f t="shared" si="242"/>
        <v>0.65866756133348014</v>
      </c>
      <c r="P212">
        <f t="shared" si="191"/>
        <v>4.6678952776483214E-2</v>
      </c>
      <c r="Q212">
        <f t="shared" si="192"/>
        <v>3.4025650091793397E-2</v>
      </c>
      <c r="R212">
        <f t="shared" si="193"/>
        <v>2.3686296409769964E-2</v>
      </c>
      <c r="U212" s="18">
        <f t="shared" si="227"/>
        <v>37773</v>
      </c>
      <c r="V212">
        <f t="shared" si="220"/>
        <v>6.1505201232700445E-2</v>
      </c>
      <c r="W212" t="e">
        <f t="shared" si="221"/>
        <v>#N/A</v>
      </c>
      <c r="X212" t="e">
        <f t="shared" si="222"/>
        <v>#N/A</v>
      </c>
      <c r="Y212" t="e">
        <f t="shared" si="223"/>
        <v>#N/A</v>
      </c>
      <c r="Z212">
        <f t="shared" si="224"/>
        <v>6.1505201232700445E-2</v>
      </c>
      <c r="AA212">
        <f t="shared" si="225"/>
        <v>1.9830395104373025E-2</v>
      </c>
      <c r="AB212">
        <f t="shared" si="225"/>
        <v>1.634343108285807E-2</v>
      </c>
    </row>
    <row r="213" spans="1:28" x14ac:dyDescent="0.25">
      <c r="A213" s="18">
        <f t="shared" si="186"/>
        <v>23924</v>
      </c>
      <c r="B213">
        <f>'2-state flows'!B212</f>
        <v>74761</v>
      </c>
      <c r="C213">
        <f>'2-state flows'!C212</f>
        <v>3301</v>
      </c>
      <c r="D213">
        <f>'Composite HWI'!B176*48.35347462</f>
        <v>2562.7341548600002</v>
      </c>
      <c r="E213">
        <f t="shared" si="181"/>
        <v>4.4154037532938298E-2</v>
      </c>
      <c r="F213">
        <f t="shared" si="182"/>
        <v>3.4279024556386352E-2</v>
      </c>
      <c r="G213">
        <f>'2-state flows'!G212</f>
        <v>0.69891964076310209</v>
      </c>
      <c r="H213">
        <f t="shared" si="183"/>
        <v>0.67952068713329905</v>
      </c>
      <c r="I213">
        <f>'2-state flows'!H212</f>
        <v>3.1358826466132729E-2</v>
      </c>
      <c r="J213">
        <f t="shared" si="187"/>
        <v>-4.0601118706479894E-2</v>
      </c>
      <c r="K213">
        <v>0.5</v>
      </c>
      <c r="L213">
        <f t="shared" si="189"/>
        <v>0.28399000653989154</v>
      </c>
      <c r="M213">
        <f t="shared" si="184"/>
        <v>2.5804364172707719E-2</v>
      </c>
      <c r="N213">
        <f t="shared" ref="N213:O213" si="243">AVERAGE(G211:G213)</f>
        <v>0.70145088961162572</v>
      </c>
      <c r="O213">
        <f t="shared" si="243"/>
        <v>0.67226159587042955</v>
      </c>
      <c r="P213">
        <f t="shared" si="191"/>
        <v>4.525301242151808E-2</v>
      </c>
      <c r="Q213">
        <f t="shared" si="192"/>
        <v>3.4377881186759558E-2</v>
      </c>
      <c r="R213">
        <f t="shared" si="193"/>
        <v>2.4768936706359379E-2</v>
      </c>
      <c r="U213" s="18">
        <f t="shared" si="227"/>
        <v>37865</v>
      </c>
      <c r="V213">
        <f t="shared" si="220"/>
        <v>6.1047638953544314E-2</v>
      </c>
      <c r="W213" t="e">
        <f t="shared" si="221"/>
        <v>#N/A</v>
      </c>
      <c r="X213" t="e">
        <f t="shared" si="222"/>
        <v>#N/A</v>
      </c>
      <c r="Y213" t="e">
        <f t="shared" si="223"/>
        <v>#N/A</v>
      </c>
      <c r="Z213">
        <f t="shared" si="224"/>
        <v>6.1047638953544314E-2</v>
      </c>
      <c r="AA213">
        <f t="shared" si="225"/>
        <v>2.0640377348156515E-2</v>
      </c>
      <c r="AB213">
        <f t="shared" si="225"/>
        <v>1.8520542526387924E-2</v>
      </c>
    </row>
    <row r="214" spans="1:28" x14ac:dyDescent="0.25">
      <c r="A214" s="18">
        <f t="shared" si="186"/>
        <v>23955</v>
      </c>
      <c r="B214">
        <f>'2-state flows'!B213</f>
        <v>74616</v>
      </c>
      <c r="C214">
        <f>'2-state flows'!C213</f>
        <v>3254</v>
      </c>
      <c r="D214">
        <f>'Composite HWI'!B177*48.35347462</f>
        <v>2659.4411040999998</v>
      </c>
      <c r="E214">
        <f t="shared" si="181"/>
        <v>4.3609949608663025E-2</v>
      </c>
      <c r="F214">
        <f t="shared" si="182"/>
        <v>3.5641700226492976E-2</v>
      </c>
      <c r="G214">
        <f>'2-state flows'!G213</f>
        <v>0.71678012124226698</v>
      </c>
      <c r="H214">
        <f t="shared" si="183"/>
        <v>0.69720433799175607</v>
      </c>
      <c r="I214">
        <f>'2-state flows'!H213</f>
        <v>3.1927612969271969E-2</v>
      </c>
      <c r="J214">
        <f t="shared" si="187"/>
        <v>1.7975472266797403E-2</v>
      </c>
      <c r="K214">
        <v>0.5</v>
      </c>
      <c r="L214">
        <f t="shared" si="189"/>
        <v>0.31994095107348636</v>
      </c>
      <c r="M214">
        <f t="shared" si="184"/>
        <v>2.5882714600526723E-2</v>
      </c>
      <c r="N214">
        <f t="shared" ref="N214:O214" si="244">AVERAGE(G212:G214)</f>
        <v>0.71222962821516678</v>
      </c>
      <c r="O214">
        <f t="shared" si="244"/>
        <v>0.68252110680127365</v>
      </c>
      <c r="P214">
        <f t="shared" si="191"/>
        <v>4.4426946420742346E-2</v>
      </c>
      <c r="Q214">
        <f t="shared" si="192"/>
        <v>3.478684050692369E-2</v>
      </c>
      <c r="R214">
        <f t="shared" si="193"/>
        <v>2.5196824866853599E-2</v>
      </c>
      <c r="U214" s="18">
        <f t="shared" si="227"/>
        <v>37956</v>
      </c>
      <c r="V214">
        <f t="shared" si="220"/>
        <v>5.8179736193044729E-2</v>
      </c>
      <c r="W214" t="e">
        <f t="shared" si="221"/>
        <v>#N/A</v>
      </c>
      <c r="X214" t="e">
        <f t="shared" si="222"/>
        <v>#N/A</v>
      </c>
      <c r="Y214" t="e">
        <f t="shared" si="223"/>
        <v>#N/A</v>
      </c>
      <c r="Z214">
        <f t="shared" si="224"/>
        <v>5.8179736193044729E-2</v>
      </c>
      <c r="AA214">
        <f t="shared" si="225"/>
        <v>2.144238055868054E-2</v>
      </c>
      <c r="AB214">
        <f t="shared" si="225"/>
        <v>2.0902732247139202E-2</v>
      </c>
    </row>
    <row r="215" spans="1:28" x14ac:dyDescent="0.25">
      <c r="A215" s="18">
        <f t="shared" si="186"/>
        <v>23986</v>
      </c>
      <c r="B215">
        <f>'2-state flows'!B214</f>
        <v>74502</v>
      </c>
      <c r="C215">
        <f>'2-state flows'!C214</f>
        <v>3216</v>
      </c>
      <c r="D215">
        <f>'Composite HWI'!B178*48.35347462</f>
        <v>2756.1480533399999</v>
      </c>
      <c r="E215">
        <f t="shared" si="181"/>
        <v>4.3166626399291294E-2</v>
      </c>
      <c r="F215">
        <f t="shared" si="182"/>
        <v>3.699428274865104E-2</v>
      </c>
      <c r="G215">
        <f>'2-state flows'!G214</f>
        <v>0.69190417232034829</v>
      </c>
      <c r="H215">
        <f t="shared" si="183"/>
        <v>0.71394855340344654</v>
      </c>
      <c r="I215">
        <f>'2-state flows'!H214</f>
        <v>2.9776972732522059E-2</v>
      </c>
      <c r="J215">
        <f t="shared" si="187"/>
        <v>-6.9735877980933184E-2</v>
      </c>
      <c r="K215">
        <v>0.5</v>
      </c>
      <c r="L215">
        <f t="shared" si="189"/>
        <v>0.18046919511161999</v>
      </c>
      <c r="M215">
        <f t="shared" si="184"/>
        <v>3.0885727539907194E-2</v>
      </c>
      <c r="N215">
        <f t="shared" ref="N215:O215" si="245">AVERAGE(G213:G215)</f>
        <v>0.70253464477523908</v>
      </c>
      <c r="O215">
        <f t="shared" si="245"/>
        <v>0.69689119284283396</v>
      </c>
      <c r="P215">
        <f t="shared" si="191"/>
        <v>4.364353784696421E-2</v>
      </c>
      <c r="Q215">
        <f t="shared" si="192"/>
        <v>3.5638335843843461E-2</v>
      </c>
      <c r="R215">
        <f t="shared" si="193"/>
        <v>2.7524268771047213E-2</v>
      </c>
      <c r="U215" s="18">
        <f t="shared" si="227"/>
        <v>38047</v>
      </c>
      <c r="V215">
        <f t="shared" si="220"/>
        <v>5.6817327212168534E-2</v>
      </c>
      <c r="W215" t="e">
        <f t="shared" si="221"/>
        <v>#N/A</v>
      </c>
      <c r="X215" t="e">
        <f t="shared" si="222"/>
        <v>#N/A</v>
      </c>
      <c r="Y215" t="e">
        <f t="shared" si="223"/>
        <v>#N/A</v>
      </c>
      <c r="Z215">
        <f t="shared" si="224"/>
        <v>5.6817327212168534E-2</v>
      </c>
      <c r="AA215">
        <f t="shared" si="225"/>
        <v>2.2931241739788954E-2</v>
      </c>
      <c r="AB215">
        <f t="shared" si="225"/>
        <v>2.2923126314202912E-2</v>
      </c>
    </row>
    <row r="216" spans="1:28" x14ac:dyDescent="0.25">
      <c r="A216" s="18">
        <f t="shared" si="186"/>
        <v>24016</v>
      </c>
      <c r="B216">
        <f>'2-state flows'!B215</f>
        <v>74838</v>
      </c>
      <c r="C216">
        <f>'2-state flows'!C215</f>
        <v>3143</v>
      </c>
      <c r="D216">
        <f>'Composite HWI'!B179*48.35347462</f>
        <v>2852.85500258</v>
      </c>
      <c r="E216">
        <f t="shared" si="181"/>
        <v>4.1997381009647505E-2</v>
      </c>
      <c r="F216">
        <f t="shared" si="182"/>
        <v>3.812040677971084E-2</v>
      </c>
      <c r="G216">
        <f>'2-state flows'!G215</f>
        <v>0.71209748267429274</v>
      </c>
      <c r="H216">
        <f t="shared" si="183"/>
        <v>0.73475292811240989</v>
      </c>
      <c r="I216">
        <f>'2-state flows'!H215</f>
        <v>2.9834337396004704E-2</v>
      </c>
      <c r="J216">
        <f t="shared" si="187"/>
        <v>1.9246240710485488E-3</v>
      </c>
      <c r="K216">
        <v>0.5</v>
      </c>
      <c r="L216">
        <f t="shared" si="189"/>
        <v>0.1843184432537171</v>
      </c>
      <c r="M216">
        <f t="shared" si="184"/>
        <v>3.1703633840521946E-2</v>
      </c>
      <c r="N216">
        <f t="shared" ref="N216:O216" si="246">AVERAGE(G214:G216)</f>
        <v>0.70692725874563589</v>
      </c>
      <c r="O216">
        <f t="shared" si="246"/>
        <v>0.71530193983587076</v>
      </c>
      <c r="P216">
        <f t="shared" si="191"/>
        <v>4.2924652339200613E-2</v>
      </c>
      <c r="Q216">
        <f t="shared" si="192"/>
        <v>3.6918796584951619E-2</v>
      </c>
      <c r="R216">
        <f t="shared" si="193"/>
        <v>2.9490691993651952E-2</v>
      </c>
      <c r="U216" s="18">
        <f t="shared" si="227"/>
        <v>38139</v>
      </c>
      <c r="V216">
        <f t="shared" si="220"/>
        <v>5.5888588671877661E-2</v>
      </c>
      <c r="W216" t="e">
        <f t="shared" si="221"/>
        <v>#N/A</v>
      </c>
      <c r="X216" t="e">
        <f t="shared" si="222"/>
        <v>#N/A</v>
      </c>
      <c r="Y216" t="e">
        <f t="shared" si="223"/>
        <v>#N/A</v>
      </c>
      <c r="Z216">
        <f t="shared" si="224"/>
        <v>5.5888588671877661E-2</v>
      </c>
      <c r="AA216">
        <f t="shared" si="225"/>
        <v>2.3267514815243352E-2</v>
      </c>
      <c r="AB216">
        <f t="shared" si="225"/>
        <v>2.060324070396433E-2</v>
      </c>
    </row>
    <row r="217" spans="1:28" x14ac:dyDescent="0.25">
      <c r="A217" s="18">
        <f t="shared" si="186"/>
        <v>24047</v>
      </c>
      <c r="B217">
        <f>'2-state flows'!B216</f>
        <v>74797</v>
      </c>
      <c r="C217">
        <f>'2-state flows'!C216</f>
        <v>3073</v>
      </c>
      <c r="D217">
        <f>'Composite HWI'!B180*48.35347462</f>
        <v>3046.2689010600002</v>
      </c>
      <c r="E217">
        <f t="shared" si="181"/>
        <v>4.1084535476021769E-2</v>
      </c>
      <c r="F217">
        <f t="shared" si="182"/>
        <v>4.0727153509632741E-2</v>
      </c>
      <c r="G217">
        <f>'2-state flows'!G216</f>
        <v>0.65578054691153964</v>
      </c>
      <c r="H217">
        <f t="shared" si="183"/>
        <v>0.76785020538281334</v>
      </c>
      <c r="I217">
        <f>'2-state flows'!H216</f>
        <v>2.7288615886118646E-2</v>
      </c>
      <c r="J217">
        <f t="shared" si="187"/>
        <v>-8.9190377064810505E-2</v>
      </c>
      <c r="K217">
        <v>0.5</v>
      </c>
      <c r="L217">
        <f t="shared" si="189"/>
        <v>5.9376891240960905E-3</v>
      </c>
      <c r="M217">
        <f t="shared" si="184"/>
        <v>4.0486044855679228E-2</v>
      </c>
      <c r="N217">
        <f t="shared" ref="N217:O217" si="247">AVERAGE(G215:G217)</f>
        <v>0.6865940673020603</v>
      </c>
      <c r="O217">
        <f t="shared" si="247"/>
        <v>0.73885056229955648</v>
      </c>
      <c r="P217">
        <f t="shared" si="191"/>
        <v>4.2082847628320187E-2</v>
      </c>
      <c r="Q217">
        <f t="shared" si="192"/>
        <v>3.8613947679331538E-2</v>
      </c>
      <c r="R217">
        <f t="shared" si="193"/>
        <v>3.4358468745369457E-2</v>
      </c>
      <c r="U217" s="18">
        <f t="shared" si="227"/>
        <v>38231</v>
      </c>
      <c r="V217">
        <f t="shared" si="220"/>
        <v>5.433565778484143E-2</v>
      </c>
      <c r="W217" t="e">
        <f t="shared" si="221"/>
        <v>#N/A</v>
      </c>
      <c r="X217" t="e">
        <f t="shared" si="222"/>
        <v>#N/A</v>
      </c>
      <c r="Y217" t="e">
        <f t="shared" si="223"/>
        <v>#N/A</v>
      </c>
      <c r="Z217">
        <f t="shared" si="224"/>
        <v>5.433565778484143E-2</v>
      </c>
      <c r="AA217">
        <f t="shared" si="225"/>
        <v>2.2984408273743821E-2</v>
      </c>
      <c r="AB217">
        <f t="shared" si="225"/>
        <v>2.0592444280423328E-2</v>
      </c>
    </row>
    <row r="218" spans="1:28" x14ac:dyDescent="0.25">
      <c r="A218" s="18">
        <f t="shared" si="186"/>
        <v>24077</v>
      </c>
      <c r="B218">
        <f>'2-state flows'!B217</f>
        <v>75093</v>
      </c>
      <c r="C218">
        <f>'2-state flows'!C217</f>
        <v>3031</v>
      </c>
      <c r="D218">
        <f>'Composite HWI'!B181*48.35347462</f>
        <v>3094.62237568</v>
      </c>
      <c r="E218">
        <f t="shared" si="181"/>
        <v>4.0363282862583727E-2</v>
      </c>
      <c r="F218">
        <f t="shared" si="182"/>
        <v>4.1210530617767305E-2</v>
      </c>
      <c r="G218">
        <f>'2-state flows'!G217</f>
        <v>0.7270373556066354</v>
      </c>
      <c r="H218">
        <f t="shared" si="183"/>
        <v>0.77926384850396657</v>
      </c>
      <c r="I218">
        <f>'2-state flows'!H217</f>
        <v>2.9729218014134359E-2</v>
      </c>
      <c r="J218">
        <f t="shared" si="187"/>
        <v>8.5660719028711321E-2</v>
      </c>
      <c r="K218">
        <v>0.5</v>
      </c>
      <c r="L218">
        <f t="shared" si="189"/>
        <v>0.17725912718151873</v>
      </c>
      <c r="M218">
        <f t="shared" si="184"/>
        <v>3.4516404163569464E-2</v>
      </c>
      <c r="N218">
        <f t="shared" ref="N218:O218" si="248">AVERAGE(G216:G218)</f>
        <v>0.69830512839748915</v>
      </c>
      <c r="O218">
        <f t="shared" si="248"/>
        <v>0.76062232733306334</v>
      </c>
      <c r="P218">
        <f t="shared" si="191"/>
        <v>4.1148399782750998E-2</v>
      </c>
      <c r="Q218">
        <f t="shared" si="192"/>
        <v>4.0019363635703631E-2</v>
      </c>
      <c r="R218">
        <f t="shared" si="193"/>
        <v>3.5568694286590215E-2</v>
      </c>
      <c r="U218" s="18">
        <f t="shared" si="227"/>
        <v>38322</v>
      </c>
      <c r="V218">
        <f t="shared" si="220"/>
        <v>5.3888414073925119E-2</v>
      </c>
      <c r="W218" t="e">
        <f t="shared" si="221"/>
        <v>#N/A</v>
      </c>
      <c r="X218" t="e">
        <f t="shared" si="222"/>
        <v>#N/A</v>
      </c>
      <c r="Y218" t="e">
        <f t="shared" si="223"/>
        <v>#N/A</v>
      </c>
      <c r="Z218">
        <f t="shared" si="224"/>
        <v>5.3888414073925119E-2</v>
      </c>
      <c r="AA218">
        <f t="shared" si="225"/>
        <v>2.3991930660153395E-2</v>
      </c>
      <c r="AB218">
        <f t="shared" si="225"/>
        <v>2.2112930414003088E-2</v>
      </c>
    </row>
    <row r="219" spans="1:28" x14ac:dyDescent="0.25">
      <c r="A219" s="18">
        <f t="shared" si="186"/>
        <v>24108</v>
      </c>
      <c r="B219">
        <f>'2-state flows'!B218</f>
        <v>75186</v>
      </c>
      <c r="C219">
        <f>'2-state flows'!C218</f>
        <v>2988</v>
      </c>
      <c r="D219">
        <f>'Composite HWI'!B182*48.35347462</f>
        <v>3142.9758502999998</v>
      </c>
      <c r="E219">
        <f t="shared" si="181"/>
        <v>3.9741441225760114E-2</v>
      </c>
      <c r="F219">
        <f t="shared" si="182"/>
        <v>4.1802674039049824E-2</v>
      </c>
      <c r="G219">
        <f>'2-state flows'!G218</f>
        <v>0.82076760164084317</v>
      </c>
      <c r="H219">
        <f t="shared" si="183"/>
        <v>0.79095885401962784</v>
      </c>
      <c r="I219">
        <f>'2-state flows'!H218</f>
        <v>3.0512217323821235E-2</v>
      </c>
      <c r="J219">
        <f t="shared" si="187"/>
        <v>2.5996837659302975E-2</v>
      </c>
      <c r="K219">
        <v>0.5</v>
      </c>
      <c r="L219">
        <f t="shared" si="189"/>
        <v>0.2292528025001247</v>
      </c>
      <c r="M219">
        <f t="shared" si="184"/>
        <v>3.3238455613180194E-2</v>
      </c>
      <c r="N219">
        <f t="shared" ref="N219:O219" si="249">AVERAGE(G217:G219)</f>
        <v>0.73452850138633929</v>
      </c>
      <c r="O219">
        <f t="shared" si="249"/>
        <v>0.77935763596880259</v>
      </c>
      <c r="P219">
        <f t="shared" si="191"/>
        <v>4.0396419854788534E-2</v>
      </c>
      <c r="Q219">
        <f t="shared" si="192"/>
        <v>4.1246786055483292E-2</v>
      </c>
      <c r="R219">
        <f t="shared" si="193"/>
        <v>3.6080301544142962E-2</v>
      </c>
      <c r="U219" s="18">
        <f t="shared" si="227"/>
        <v>38412</v>
      </c>
      <c r="V219">
        <f t="shared" si="220"/>
        <v>5.2836734825335831E-2</v>
      </c>
      <c r="W219" t="e">
        <f t="shared" si="221"/>
        <v>#N/A</v>
      </c>
      <c r="X219" t="e">
        <f t="shared" si="222"/>
        <v>#N/A</v>
      </c>
      <c r="Y219" t="e">
        <f t="shared" si="223"/>
        <v>#N/A</v>
      </c>
      <c r="Z219">
        <f t="shared" si="224"/>
        <v>5.2836734825335831E-2</v>
      </c>
      <c r="AA219">
        <f t="shared" si="225"/>
        <v>2.7331840124369077E-2</v>
      </c>
      <c r="AB219">
        <f t="shared" si="225"/>
        <v>2.6431585898683291E-2</v>
      </c>
    </row>
    <row r="220" spans="1:28" x14ac:dyDescent="0.25">
      <c r="A220" s="18">
        <f t="shared" si="186"/>
        <v>24139</v>
      </c>
      <c r="B220">
        <f>'2-state flows'!B219</f>
        <v>74954</v>
      </c>
      <c r="C220">
        <f>'2-state flows'!C219</f>
        <v>2820</v>
      </c>
      <c r="D220">
        <f>'Composite HWI'!B183*48.35347462</f>
        <v>3191.3293249200001</v>
      </c>
      <c r="E220">
        <f t="shared" si="181"/>
        <v>3.7623075486298264E-2</v>
      </c>
      <c r="F220">
        <f t="shared" si="182"/>
        <v>4.2577171664220724E-2</v>
      </c>
      <c r="G220">
        <f>'2-state flows'!G219</f>
        <v>0.726315325528752</v>
      </c>
      <c r="H220">
        <f t="shared" si="183"/>
        <v>0.82041751553650311</v>
      </c>
      <c r="I220">
        <f>'2-state flows'!H219</f>
        <v>2.9718270284646294E-2</v>
      </c>
      <c r="J220">
        <f t="shared" si="187"/>
        <v>-2.6365153627735699E-2</v>
      </c>
      <c r="K220">
        <v>0.5</v>
      </c>
      <c r="L220">
        <f t="shared" si="189"/>
        <v>0.1765224952446533</v>
      </c>
      <c r="M220">
        <f t="shared" si="184"/>
        <v>3.5687330504570187E-2</v>
      </c>
      <c r="N220">
        <f t="shared" ref="N220:O220" si="250">AVERAGE(G218:G220)</f>
        <v>0.75804009425874364</v>
      </c>
      <c r="O220">
        <f t="shared" si="250"/>
        <v>0.79688007268669914</v>
      </c>
      <c r="P220">
        <f t="shared" si="191"/>
        <v>3.9242599858214038E-2</v>
      </c>
      <c r="Q220">
        <f t="shared" si="192"/>
        <v>4.1863458773679287E-2</v>
      </c>
      <c r="R220">
        <f t="shared" si="193"/>
        <v>3.4480730093773282E-2</v>
      </c>
      <c r="U220" s="18">
        <f>DATE(YEAR(U219),MONTH(U219)+3,1)</f>
        <v>38504</v>
      </c>
      <c r="V220">
        <f t="shared" si="220"/>
        <v>5.1063611769703199E-2</v>
      </c>
      <c r="W220" t="e">
        <f t="shared" si="221"/>
        <v>#N/A</v>
      </c>
      <c r="X220" t="e">
        <f t="shared" si="222"/>
        <v>#N/A</v>
      </c>
      <c r="Y220" t="e">
        <f t="shared" si="223"/>
        <v>#N/A</v>
      </c>
      <c r="Z220">
        <f t="shared" si="224"/>
        <v>5.1063611769703199E-2</v>
      </c>
      <c r="AA220">
        <f t="shared" si="225"/>
        <v>2.7414958486086407E-2</v>
      </c>
      <c r="AB220">
        <f t="shared" si="225"/>
        <v>2.5652507126326246E-2</v>
      </c>
    </row>
    <row r="221" spans="1:28" x14ac:dyDescent="0.25">
      <c r="A221" s="18">
        <f t="shared" si="186"/>
        <v>24167</v>
      </c>
      <c r="B221">
        <f>'2-state flows'!B220</f>
        <v>75075</v>
      </c>
      <c r="C221">
        <f>'2-state flows'!C220</f>
        <v>2887</v>
      </c>
      <c r="D221">
        <f>'Composite HWI'!B184*48.35347462</f>
        <v>3384.7432233999998</v>
      </c>
      <c r="E221">
        <f t="shared" si="181"/>
        <v>3.8454878454878452E-2</v>
      </c>
      <c r="F221">
        <f t="shared" si="182"/>
        <v>4.508482482051282E-2</v>
      </c>
      <c r="G221">
        <f>'2-state flows'!G220</f>
        <v>0.82514577850131454</v>
      </c>
      <c r="H221">
        <f t="shared" si="183"/>
        <v>0.83505126494681259</v>
      </c>
      <c r="I221">
        <f>'2-state flows'!H220</f>
        <v>3.1782975737023891E-2</v>
      </c>
      <c r="J221">
        <f t="shared" si="187"/>
        <v>6.7168774477449025E-2</v>
      </c>
      <c r="K221">
        <v>0.5</v>
      </c>
      <c r="L221">
        <f t="shared" si="189"/>
        <v>0.31086004419955138</v>
      </c>
      <c r="M221">
        <f t="shared" si="184"/>
        <v>3.3038900399317443E-2</v>
      </c>
      <c r="N221">
        <f t="shared" ref="N221:O221" si="251">AVERAGE(G219:G221)</f>
        <v>0.79074290189030327</v>
      </c>
      <c r="O221">
        <f t="shared" si="251"/>
        <v>0.81547587816764777</v>
      </c>
      <c r="P221">
        <f t="shared" si="191"/>
        <v>3.8606465055645613E-2</v>
      </c>
      <c r="Q221">
        <f t="shared" si="192"/>
        <v>4.3154890174594451E-2</v>
      </c>
      <c r="R221">
        <f t="shared" si="193"/>
        <v>3.3988228839022611E-2</v>
      </c>
      <c r="U221" s="18">
        <f t="shared" ref="U221:U254" si="252">DATE(YEAR(U220),MONTH(U220)+3,1)</f>
        <v>38596</v>
      </c>
      <c r="V221">
        <f t="shared" si="220"/>
        <v>4.9656233811252781E-2</v>
      </c>
      <c r="W221" t="e">
        <f t="shared" si="221"/>
        <v>#N/A</v>
      </c>
      <c r="X221" t="e">
        <f t="shared" si="222"/>
        <v>#N/A</v>
      </c>
      <c r="Y221" t="e">
        <f t="shared" si="223"/>
        <v>#N/A</v>
      </c>
      <c r="Z221">
        <f t="shared" si="224"/>
        <v>4.9656233811252781E-2</v>
      </c>
      <c r="AA221">
        <f t="shared" si="225"/>
        <v>2.9021819771408344E-2</v>
      </c>
      <c r="AB221">
        <f t="shared" si="225"/>
        <v>2.6898699630107343E-2</v>
      </c>
    </row>
    <row r="222" spans="1:28" x14ac:dyDescent="0.25">
      <c r="A222" s="18">
        <f t="shared" si="186"/>
        <v>24198</v>
      </c>
      <c r="B222">
        <f>'2-state flows'!B221</f>
        <v>75338</v>
      </c>
      <c r="C222">
        <f>'2-state flows'!C221</f>
        <v>2828</v>
      </c>
      <c r="D222">
        <f>'Composite HWI'!B185*48.35347462</f>
        <v>3239.6827995399999</v>
      </c>
      <c r="E222">
        <f t="shared" si="181"/>
        <v>3.7537497677135045E-2</v>
      </c>
      <c r="F222">
        <f t="shared" si="182"/>
        <v>4.3001975092781863E-2</v>
      </c>
      <c r="G222">
        <f>'2-state flows'!G221</f>
        <v>0.76269587429914876</v>
      </c>
      <c r="H222">
        <f t="shared" si="183"/>
        <v>0.82543942682278015</v>
      </c>
      <c r="I222">
        <f>'2-state flows'!H221</f>
        <v>3.2185197902385589E-2</v>
      </c>
      <c r="J222">
        <f t="shared" si="187"/>
        <v>1.257586213561214E-2</v>
      </c>
      <c r="K222">
        <v>0.5</v>
      </c>
      <c r="L222">
        <f t="shared" si="189"/>
        <v>0.33601176847077563</v>
      </c>
      <c r="M222">
        <f t="shared" si="184"/>
        <v>3.0729843351637091E-2</v>
      </c>
      <c r="N222">
        <f t="shared" ref="N222:O222" si="253">AVERAGE(G220:G222)</f>
        <v>0.7713856594430718</v>
      </c>
      <c r="O222">
        <f t="shared" si="253"/>
        <v>0.82696940243536521</v>
      </c>
      <c r="P222">
        <f t="shared" si="191"/>
        <v>3.7871817206103921E-2</v>
      </c>
      <c r="Q222">
        <f t="shared" si="192"/>
        <v>4.355465719250514E-2</v>
      </c>
      <c r="R222">
        <f t="shared" si="193"/>
        <v>3.315202475184157E-2</v>
      </c>
      <c r="U222" s="18">
        <f t="shared" si="252"/>
        <v>38687</v>
      </c>
      <c r="V222">
        <f t="shared" si="220"/>
        <v>4.9540483610839202E-2</v>
      </c>
      <c r="W222" t="e">
        <f t="shared" si="221"/>
        <v>#N/A</v>
      </c>
      <c r="X222" t="e">
        <f t="shared" si="222"/>
        <v>#N/A</v>
      </c>
      <c r="Y222" t="e">
        <f t="shared" si="223"/>
        <v>#N/A</v>
      </c>
      <c r="Z222">
        <f t="shared" si="224"/>
        <v>4.9540483610839202E-2</v>
      </c>
      <c r="AA222">
        <f t="shared" si="225"/>
        <v>3.0063981645036496E-2</v>
      </c>
      <c r="AB222">
        <f t="shared" si="225"/>
        <v>2.836553403467959E-2</v>
      </c>
    </row>
    <row r="223" spans="1:28" x14ac:dyDescent="0.25">
      <c r="A223" s="18">
        <f t="shared" si="186"/>
        <v>24228</v>
      </c>
      <c r="B223">
        <f>'2-state flows'!B222</f>
        <v>75447</v>
      </c>
      <c r="C223">
        <f>'2-state flows'!C222</f>
        <v>2950</v>
      </c>
      <c r="D223">
        <f>'Composite HWI'!B186*48.35347462</f>
        <v>3288.0362741600002</v>
      </c>
      <c r="E223">
        <f t="shared" si="181"/>
        <v>3.9100295571725847E-2</v>
      </c>
      <c r="F223">
        <f t="shared" si="182"/>
        <v>4.358074243058041E-2</v>
      </c>
      <c r="G223">
        <f>'2-state flows'!G222</f>
        <v>0.87886432635503819</v>
      </c>
      <c r="H223">
        <f t="shared" si="183"/>
        <v>0.81419973845552396</v>
      </c>
      <c r="I223">
        <f>'2-state flows'!H222</f>
        <v>3.4121399457426593E-2</v>
      </c>
      <c r="J223">
        <f t="shared" si="187"/>
        <v>5.8418083146538569E-2</v>
      </c>
      <c r="K223">
        <v>0.5</v>
      </c>
      <c r="L223">
        <f t="shared" si="189"/>
        <v>0.45284793476385277</v>
      </c>
      <c r="M223">
        <f t="shared" si="184"/>
        <v>2.7709281538106419E-2</v>
      </c>
      <c r="N223">
        <f t="shared" ref="N223:O223" si="254">AVERAGE(G221:G223)</f>
        <v>0.82223532638516728</v>
      </c>
      <c r="O223">
        <f t="shared" si="254"/>
        <v>0.8248968100750389</v>
      </c>
      <c r="P223">
        <f t="shared" si="191"/>
        <v>3.8364223901246448E-2</v>
      </c>
      <c r="Q223">
        <f t="shared" si="192"/>
        <v>4.3889180781291698E-2</v>
      </c>
      <c r="R223">
        <f t="shared" si="193"/>
        <v>3.0492675096353655E-2</v>
      </c>
      <c r="U223" s="18">
        <f t="shared" si="252"/>
        <v>38777</v>
      </c>
      <c r="V223">
        <f t="shared" si="220"/>
        <v>4.7202763953106075E-2</v>
      </c>
      <c r="W223" t="e">
        <f t="shared" si="221"/>
        <v>#N/A</v>
      </c>
      <c r="X223" t="e">
        <f t="shared" si="222"/>
        <v>#N/A</v>
      </c>
      <c r="Y223" t="e">
        <f t="shared" si="223"/>
        <v>#N/A</v>
      </c>
      <c r="Z223">
        <f t="shared" si="224"/>
        <v>4.7202763953106075E-2</v>
      </c>
      <c r="AA223">
        <f t="shared" si="225"/>
        <v>3.0924235056143893E-2</v>
      </c>
      <c r="AB223">
        <f t="shared" si="225"/>
        <v>2.9702450510575167E-2</v>
      </c>
    </row>
    <row r="224" spans="1:28" x14ac:dyDescent="0.25">
      <c r="A224" s="18">
        <f t="shared" si="186"/>
        <v>24259</v>
      </c>
      <c r="B224">
        <f>'2-state flows'!B223</f>
        <v>75647</v>
      </c>
      <c r="C224">
        <f>'2-state flows'!C223</f>
        <v>2872</v>
      </c>
      <c r="D224">
        <f>'Composite HWI'!B187*48.35347462</f>
        <v>3336.38974878</v>
      </c>
      <c r="E224">
        <f t="shared" si="181"/>
        <v>3.7965814903433051E-2</v>
      </c>
      <c r="F224">
        <f t="shared" si="182"/>
        <v>4.4104719933110367E-2</v>
      </c>
      <c r="G224">
        <f>'2-state flows'!G223</f>
        <v>0.84312829215047891</v>
      </c>
      <c r="H224">
        <f t="shared" si="183"/>
        <v>0.83122737548124825</v>
      </c>
      <c r="I224">
        <f>'2-state flows'!H223</f>
        <v>3.335582656437458E-2</v>
      </c>
      <c r="J224">
        <f t="shared" si="187"/>
        <v>-2.2692270855286783E-2</v>
      </c>
      <c r="K224">
        <v>0.5</v>
      </c>
      <c r="L224">
        <f t="shared" si="189"/>
        <v>0.40746339305327922</v>
      </c>
      <c r="M224">
        <f t="shared" si="184"/>
        <v>2.9344449423236253E-2</v>
      </c>
      <c r="N224">
        <f t="shared" ref="N224:O224" si="255">AVERAGE(G222:G224)</f>
        <v>0.82822949760155529</v>
      </c>
      <c r="O224">
        <f t="shared" si="255"/>
        <v>0.82362218025318423</v>
      </c>
      <c r="P224">
        <f t="shared" si="191"/>
        <v>3.8201202717431312E-2</v>
      </c>
      <c r="Q224">
        <f t="shared" si="192"/>
        <v>4.3562479152157552E-2</v>
      </c>
      <c r="R224">
        <f t="shared" si="193"/>
        <v>2.9261191437659918E-2</v>
      </c>
      <c r="U224" s="18">
        <f t="shared" si="252"/>
        <v>38869</v>
      </c>
      <c r="V224">
        <f t="shared" si="220"/>
        <v>4.6549785693897082E-2</v>
      </c>
      <c r="W224" t="e">
        <f t="shared" si="221"/>
        <v>#N/A</v>
      </c>
      <c r="X224" t="e">
        <f t="shared" si="222"/>
        <v>#N/A</v>
      </c>
      <c r="Y224" t="e">
        <f t="shared" si="223"/>
        <v>#N/A</v>
      </c>
      <c r="Z224">
        <f t="shared" si="224"/>
        <v>4.6549785693897082E-2</v>
      </c>
      <c r="AA224">
        <f t="shared" si="225"/>
        <v>2.9755645419076923E-2</v>
      </c>
      <c r="AB224">
        <f t="shared" si="225"/>
        <v>2.7994086277281411E-2</v>
      </c>
    </row>
    <row r="225" spans="1:28" x14ac:dyDescent="0.25">
      <c r="A225" s="18">
        <f t="shared" si="186"/>
        <v>24289</v>
      </c>
      <c r="B225">
        <f>'2-state flows'!B224</f>
        <v>75736</v>
      </c>
      <c r="C225">
        <f>'2-state flows'!C224</f>
        <v>2876</v>
      </c>
      <c r="D225">
        <f>'Composite HWI'!B188*48.35347462</f>
        <v>3336.38974878</v>
      </c>
      <c r="E225">
        <f t="shared" si="181"/>
        <v>3.7974014999471853E-2</v>
      </c>
      <c r="F225">
        <f t="shared" si="182"/>
        <v>4.4052890947237772E-2</v>
      </c>
      <c r="G225">
        <f>'2-state flows'!G224</f>
        <v>0.81110408390345712</v>
      </c>
      <c r="H225">
        <f t="shared" si="183"/>
        <v>0.83064913028049647</v>
      </c>
      <c r="I225">
        <f>'2-state flows'!H224</f>
        <v>3.2504328780570829E-2</v>
      </c>
      <c r="J225">
        <f t="shared" si="187"/>
        <v>-2.5859192963549344E-2</v>
      </c>
      <c r="K225">
        <v>0.5</v>
      </c>
      <c r="L225">
        <f t="shared" si="189"/>
        <v>0.35574500712618051</v>
      </c>
      <c r="M225">
        <f t="shared" si="184"/>
        <v>3.0865713484353199E-2</v>
      </c>
      <c r="N225">
        <f t="shared" ref="N225:O225" si="256">AVERAGE(G223:G225)</f>
        <v>0.84436556746965807</v>
      </c>
      <c r="O225">
        <f t="shared" si="256"/>
        <v>0.82535874807242282</v>
      </c>
      <c r="P225">
        <f t="shared" si="191"/>
        <v>3.8346708491543584E-2</v>
      </c>
      <c r="Q225">
        <f t="shared" si="192"/>
        <v>4.3912784436976181E-2</v>
      </c>
      <c r="R225">
        <f t="shared" si="193"/>
        <v>2.9306481481898624E-2</v>
      </c>
      <c r="U225" s="18">
        <f t="shared" si="252"/>
        <v>38961</v>
      </c>
      <c r="V225">
        <f t="shared" si="220"/>
        <v>4.6427768338602293E-2</v>
      </c>
      <c r="W225" t="e">
        <f t="shared" si="221"/>
        <v>#N/A</v>
      </c>
      <c r="X225" t="e">
        <f t="shared" si="222"/>
        <v>#N/A</v>
      </c>
      <c r="Y225" t="e">
        <f t="shared" si="223"/>
        <v>#N/A</v>
      </c>
      <c r="Z225">
        <f t="shared" si="224"/>
        <v>4.6427768338602293E-2</v>
      </c>
      <c r="AA225">
        <f t="shared" si="225"/>
        <v>2.8412496980150349E-2</v>
      </c>
      <c r="AB225">
        <f t="shared" si="225"/>
        <v>2.7163024913197085E-2</v>
      </c>
    </row>
    <row r="226" spans="1:28" x14ac:dyDescent="0.25">
      <c r="A226" s="18">
        <f t="shared" si="186"/>
        <v>24320</v>
      </c>
      <c r="B226">
        <f>'2-state flows'!B225</f>
        <v>76046</v>
      </c>
      <c r="C226">
        <f>'2-state flows'!C225</f>
        <v>2900</v>
      </c>
      <c r="D226">
        <f>'Composite HWI'!B189*48.35347462</f>
        <v>3288.0362741600002</v>
      </c>
      <c r="E226">
        <f t="shared" si="181"/>
        <v>3.8134813139415615E-2</v>
      </c>
      <c r="F226">
        <f t="shared" si="182"/>
        <v>4.3237465141624812E-2</v>
      </c>
      <c r="G226">
        <f>'2-state flows'!G225</f>
        <v>0.84718292446385424</v>
      </c>
      <c r="H226">
        <f t="shared" si="183"/>
        <v>0.8211887056007493</v>
      </c>
      <c r="I226">
        <f>'2-state flows'!H225</f>
        <v>3.1492335457529413E-2</v>
      </c>
      <c r="J226">
        <f t="shared" si="187"/>
        <v>-3.1629076298418567E-2</v>
      </c>
      <c r="K226">
        <v>0.5</v>
      </c>
      <c r="L226">
        <f t="shared" si="189"/>
        <v>0.29248685452934337</v>
      </c>
      <c r="M226">
        <f t="shared" si="184"/>
        <v>3.2272662625664597E-2</v>
      </c>
      <c r="N226">
        <f t="shared" ref="N226:O226" si="257">AVERAGE(G224:G226)</f>
        <v>0.83380510017259668</v>
      </c>
      <c r="O226">
        <f t="shared" si="257"/>
        <v>0.82768840378749797</v>
      </c>
      <c r="P226">
        <f t="shared" si="191"/>
        <v>3.8024881014106837E-2</v>
      </c>
      <c r="Q226">
        <f t="shared" si="192"/>
        <v>4.3798358673990984E-2</v>
      </c>
      <c r="R226">
        <f t="shared" si="193"/>
        <v>3.0827608511084681E-2</v>
      </c>
      <c r="U226" s="18">
        <f t="shared" si="252"/>
        <v>39052</v>
      </c>
      <c r="V226">
        <f t="shared" si="220"/>
        <v>4.453612082638455E-2</v>
      </c>
      <c r="W226" t="e">
        <f t="shared" si="221"/>
        <v>#N/A</v>
      </c>
      <c r="X226" t="e">
        <f t="shared" si="222"/>
        <v>#N/A</v>
      </c>
      <c r="Y226" t="e">
        <f t="shared" si="223"/>
        <v>#N/A</v>
      </c>
      <c r="Z226">
        <f t="shared" si="224"/>
        <v>4.453612082638455E-2</v>
      </c>
      <c r="AA226">
        <f t="shared" si="225"/>
        <v>2.9074899009355882E-2</v>
      </c>
      <c r="AB226">
        <f t="shared" si="225"/>
        <v>3.1012736176924155E-2</v>
      </c>
    </row>
    <row r="227" spans="1:28" x14ac:dyDescent="0.25">
      <c r="A227" s="18">
        <f t="shared" si="186"/>
        <v>24351</v>
      </c>
      <c r="B227">
        <f>'2-state flows'!B226</f>
        <v>76056</v>
      </c>
      <c r="C227">
        <f>'2-state flows'!C226</f>
        <v>2798</v>
      </c>
      <c r="D227">
        <f>'Composite HWI'!B190*48.35347462</f>
        <v>3239.6827995399999</v>
      </c>
      <c r="E227">
        <f t="shared" si="181"/>
        <v>3.678868202377196E-2</v>
      </c>
      <c r="F227">
        <f t="shared" si="182"/>
        <v>4.2596018716998002E-2</v>
      </c>
      <c r="G227">
        <f>'2-state flows'!G226</f>
        <v>0.80017694663517902</v>
      </c>
      <c r="H227">
        <f t="shared" si="183"/>
        <v>0.82985278617208214</v>
      </c>
      <c r="I227">
        <f>'2-state flows'!H226</f>
        <v>3.0561782968669675E-2</v>
      </c>
      <c r="J227">
        <f t="shared" si="187"/>
        <v>-2.9993891604122126E-2</v>
      </c>
      <c r="K227">
        <v>0.5</v>
      </c>
      <c r="L227">
        <f t="shared" si="189"/>
        <v>0.23249907132109912</v>
      </c>
      <c r="M227">
        <f t="shared" si="184"/>
        <v>3.3759495309043881E-2</v>
      </c>
      <c r="N227">
        <f t="shared" ref="N227:O227" si="258">AVERAGE(G225:G227)</f>
        <v>0.8194879850008302</v>
      </c>
      <c r="O227">
        <f t="shared" si="258"/>
        <v>0.8272302073511093</v>
      </c>
      <c r="P227">
        <f t="shared" si="191"/>
        <v>3.7632503387553147E-2</v>
      </c>
      <c r="Q227">
        <f t="shared" si="192"/>
        <v>4.3295458268620191E-2</v>
      </c>
      <c r="R227">
        <f t="shared" si="193"/>
        <v>3.2299290473020555E-2</v>
      </c>
      <c r="U227" s="18">
        <f t="shared" si="252"/>
        <v>39142</v>
      </c>
      <c r="V227">
        <f t="shared" si="220"/>
        <v>4.5241472154514774E-2</v>
      </c>
      <c r="W227" t="e">
        <f t="shared" si="221"/>
        <v>#N/A</v>
      </c>
      <c r="X227" t="e">
        <f t="shared" si="222"/>
        <v>#N/A</v>
      </c>
      <c r="Y227" t="e">
        <f t="shared" si="223"/>
        <v>#N/A</v>
      </c>
      <c r="Z227">
        <f t="shared" si="224"/>
        <v>4.5241472154514774E-2</v>
      </c>
      <c r="AA227">
        <f t="shared" si="225"/>
        <v>3.0590929373751508E-2</v>
      </c>
      <c r="AB227">
        <f t="shared" si="225"/>
        <v>3.5901690697816853E-2</v>
      </c>
    </row>
    <row r="228" spans="1:28" x14ac:dyDescent="0.25">
      <c r="A228" s="18">
        <f t="shared" si="186"/>
        <v>24381</v>
      </c>
      <c r="B228">
        <f>'2-state flows'!B227</f>
        <v>76199</v>
      </c>
      <c r="C228">
        <f>'2-state flows'!C227</f>
        <v>2798</v>
      </c>
      <c r="D228">
        <f>'Composite HWI'!B191*48.35347462</f>
        <v>3239.6827995399999</v>
      </c>
      <c r="E228">
        <f t="shared" si="181"/>
        <v>3.6719641990052364E-2</v>
      </c>
      <c r="F228">
        <f t="shared" si="182"/>
        <v>4.2516080257483692E-2</v>
      </c>
      <c r="G228">
        <f>'2-state flows'!G227</f>
        <v>0.78910088403597245</v>
      </c>
      <c r="H228">
        <f t="shared" si="183"/>
        <v>0.82985278617208214</v>
      </c>
      <c r="I228">
        <f>'2-state flows'!H227</f>
        <v>2.9521356483348523E-2</v>
      </c>
      <c r="J228">
        <f t="shared" si="187"/>
        <v>-3.4636355802565147E-2</v>
      </c>
      <c r="K228">
        <v>0.5</v>
      </c>
      <c r="L228">
        <f t="shared" si="189"/>
        <v>0.16322635971596883</v>
      </c>
      <c r="M228">
        <f t="shared" si="184"/>
        <v>3.6113111673719819E-2</v>
      </c>
      <c r="N228">
        <f t="shared" ref="N228:O228" si="259">AVERAGE(G226:G228)</f>
        <v>0.81215358504500179</v>
      </c>
      <c r="O228">
        <f t="shared" si="259"/>
        <v>0.82696475931497115</v>
      </c>
      <c r="P228">
        <f t="shared" si="191"/>
        <v>3.7214379051079986E-2</v>
      </c>
      <c r="Q228">
        <f t="shared" si="192"/>
        <v>4.2783188038702173E-2</v>
      </c>
      <c r="R228">
        <f t="shared" si="193"/>
        <v>3.4048423202809437E-2</v>
      </c>
      <c r="U228" s="18">
        <f t="shared" si="252"/>
        <v>39234</v>
      </c>
      <c r="V228">
        <f t="shared" si="220"/>
        <v>4.4952384965042079E-2</v>
      </c>
      <c r="W228" t="e">
        <f t="shared" si="221"/>
        <v>#N/A</v>
      </c>
      <c r="X228" t="e">
        <f t="shared" si="222"/>
        <v>#N/A</v>
      </c>
      <c r="Y228" t="e">
        <f t="shared" si="223"/>
        <v>#N/A</v>
      </c>
      <c r="Z228">
        <f t="shared" si="224"/>
        <v>4.4952384965042079E-2</v>
      </c>
      <c r="AA228">
        <f t="shared" si="225"/>
        <v>3.0310623768016149E-2</v>
      </c>
      <c r="AB228">
        <f t="shared" si="225"/>
        <v>3.4141245200630034E-2</v>
      </c>
    </row>
    <row r="229" spans="1:28" x14ac:dyDescent="0.25">
      <c r="A229" s="18">
        <f t="shared" si="186"/>
        <v>24412</v>
      </c>
      <c r="B229">
        <f>'2-state flows'!B228</f>
        <v>76610</v>
      </c>
      <c r="C229">
        <f>'2-state flows'!C228</f>
        <v>2770</v>
      </c>
      <c r="D229">
        <f>'Composite HWI'!B192*48.35347462</f>
        <v>3239.6827995399999</v>
      </c>
      <c r="E229">
        <f t="shared" si="181"/>
        <v>3.6157159639733719E-2</v>
      </c>
      <c r="F229">
        <f t="shared" si="182"/>
        <v>4.2287988507244481E-2</v>
      </c>
      <c r="G229">
        <f>'2-state flows'!G228</f>
        <v>0.73366837796558482</v>
      </c>
      <c r="H229">
        <f t="shared" si="183"/>
        <v>0.83403644214673978</v>
      </c>
      <c r="I229">
        <f>'2-state flows'!H228</f>
        <v>3.0272765170528383E-2</v>
      </c>
      <c r="J229">
        <f t="shared" si="187"/>
        <v>2.5134519051119443E-2</v>
      </c>
      <c r="K229">
        <v>0.5</v>
      </c>
      <c r="L229">
        <f t="shared" si="189"/>
        <v>0.2134953978182077</v>
      </c>
      <c r="M229">
        <f t="shared" si="184"/>
        <v>3.4158371267821466E-2</v>
      </c>
      <c r="N229">
        <f t="shared" ref="N229:O229" si="260">AVERAGE(G227:G229)</f>
        <v>0.7743154028789121</v>
      </c>
      <c r="O229">
        <f t="shared" si="260"/>
        <v>0.83124733816363472</v>
      </c>
      <c r="P229">
        <f t="shared" si="191"/>
        <v>3.6555161217852676E-2</v>
      </c>
      <c r="Q229">
        <f t="shared" si="192"/>
        <v>4.2466695827242051E-2</v>
      </c>
      <c r="R229">
        <f t="shared" si="193"/>
        <v>3.4676992750195056E-2</v>
      </c>
      <c r="U229" s="18">
        <f t="shared" si="252"/>
        <v>39326</v>
      </c>
      <c r="V229">
        <f t="shared" si="220"/>
        <v>4.6570242960462443E-2</v>
      </c>
      <c r="W229" t="e">
        <f t="shared" si="221"/>
        <v>#N/A</v>
      </c>
      <c r="X229" t="e">
        <f t="shared" si="222"/>
        <v>#N/A</v>
      </c>
      <c r="Y229" t="e">
        <f t="shared" si="223"/>
        <v>#N/A</v>
      </c>
      <c r="Z229">
        <f t="shared" si="224"/>
        <v>4.6570242960462443E-2</v>
      </c>
      <c r="AA229">
        <f t="shared" si="225"/>
        <v>2.762357880705649E-2</v>
      </c>
      <c r="AB229">
        <f t="shared" si="225"/>
        <v>2.9338219807055647E-2</v>
      </c>
    </row>
    <row r="230" spans="1:28" x14ac:dyDescent="0.25">
      <c r="A230" s="18">
        <f t="shared" si="186"/>
        <v>24442</v>
      </c>
      <c r="B230">
        <f>'2-state flows'!B229</f>
        <v>76641</v>
      </c>
      <c r="C230">
        <f>'2-state flows'!C229</f>
        <v>2912</v>
      </c>
      <c r="D230">
        <f>'Composite HWI'!B193*48.35347462</f>
        <v>3191.3293249200001</v>
      </c>
      <c r="E230">
        <f t="shared" si="181"/>
        <v>3.7995328870969847E-2</v>
      </c>
      <c r="F230">
        <f t="shared" si="182"/>
        <v>4.1639975012330216E-2</v>
      </c>
      <c r="G230">
        <f>'2-state flows'!G229</f>
        <v>0.76135543058647892</v>
      </c>
      <c r="H230">
        <f t="shared" si="183"/>
        <v>0.80735361204855804</v>
      </c>
      <c r="I230">
        <f>'2-state flows'!H229</f>
        <v>3.1170348486215579E-2</v>
      </c>
      <c r="J230">
        <f t="shared" si="187"/>
        <v>2.921880483630198E-2</v>
      </c>
      <c r="K230">
        <v>0.5</v>
      </c>
      <c r="L230">
        <f t="shared" si="189"/>
        <v>0.27193300749081167</v>
      </c>
      <c r="M230">
        <f t="shared" si="184"/>
        <v>3.1725717709062407E-2</v>
      </c>
      <c r="N230">
        <f t="shared" ref="N230:O230" si="261">AVERAGE(G228:G230)</f>
        <v>0.7613748975293454</v>
      </c>
      <c r="O230">
        <f t="shared" si="261"/>
        <v>0.82374761345579328</v>
      </c>
      <c r="P230">
        <f t="shared" si="191"/>
        <v>3.6957376833585305E-2</v>
      </c>
      <c r="Q230">
        <f t="shared" si="192"/>
        <v>4.2148014592352796E-2</v>
      </c>
      <c r="R230">
        <f t="shared" si="193"/>
        <v>3.3999066883534566E-2</v>
      </c>
      <c r="U230" s="18">
        <f t="shared" si="252"/>
        <v>39417</v>
      </c>
      <c r="V230">
        <f t="shared" si="220"/>
        <v>4.7992287474356188E-2</v>
      </c>
      <c r="W230" t="e">
        <f t="shared" si="221"/>
        <v>#N/A</v>
      </c>
      <c r="X230" t="e">
        <f t="shared" si="222"/>
        <v>#N/A</v>
      </c>
      <c r="Y230" t="e">
        <f t="shared" si="223"/>
        <v>#N/A</v>
      </c>
      <c r="Z230">
        <f t="shared" si="224"/>
        <v>4.7992287474356188E-2</v>
      </c>
      <c r="AA230">
        <f t="shared" si="225"/>
        <v>2.6829124926321783E-2</v>
      </c>
      <c r="AB230">
        <f t="shared" si="225"/>
        <v>2.801960296622925E-2</v>
      </c>
    </row>
    <row r="231" spans="1:28" x14ac:dyDescent="0.25">
      <c r="A231" s="18">
        <f t="shared" si="186"/>
        <v>24473</v>
      </c>
      <c r="B231">
        <f>'2-state flows'!B230</f>
        <v>76639</v>
      </c>
      <c r="C231">
        <f>'2-state flows'!C230</f>
        <v>2968</v>
      </c>
      <c r="D231">
        <f>'Composite HWI'!B194*48.35347462</f>
        <v>3239.6827995399999</v>
      </c>
      <c r="E231">
        <f t="shared" si="181"/>
        <v>3.8727018880726521E-2</v>
      </c>
      <c r="F231">
        <f t="shared" si="182"/>
        <v>4.2271986841425385E-2</v>
      </c>
      <c r="G231">
        <f>'2-state flows'!G230</f>
        <v>0.81101445156995633</v>
      </c>
      <c r="H231">
        <f t="shared" si="183"/>
        <v>0.80573636180980734</v>
      </c>
      <c r="I231">
        <f>'2-state flows'!H230</f>
        <v>3.1608936610379161E-2</v>
      </c>
      <c r="J231">
        <f t="shared" si="187"/>
        <v>1.3972610840332425E-2</v>
      </c>
      <c r="K231">
        <v>0.5</v>
      </c>
      <c r="L231">
        <f t="shared" si="189"/>
        <v>0.29987822917147655</v>
      </c>
      <c r="M231">
        <f t="shared" si="184"/>
        <v>3.1319671666716953E-2</v>
      </c>
      <c r="N231">
        <f t="shared" ref="N231:O231" si="262">AVERAGE(G229:G231)</f>
        <v>0.76867942004067336</v>
      </c>
      <c r="O231">
        <f t="shared" si="262"/>
        <v>0.81570880533503509</v>
      </c>
      <c r="P231">
        <f t="shared" si="191"/>
        <v>3.7626502463810031E-2</v>
      </c>
      <c r="Q231">
        <f t="shared" si="192"/>
        <v>4.2066650120333358E-2</v>
      </c>
      <c r="R231">
        <f t="shared" si="193"/>
        <v>3.2401253547866944E-2</v>
      </c>
      <c r="U231" s="18">
        <f t="shared" si="252"/>
        <v>39508</v>
      </c>
      <c r="V231">
        <f t="shared" si="220"/>
        <v>4.9832172810359232E-2</v>
      </c>
      <c r="W231" t="e">
        <f t="shared" si="221"/>
        <v>#N/A</v>
      </c>
      <c r="X231" t="e">
        <f t="shared" si="222"/>
        <v>#N/A</v>
      </c>
      <c r="Y231" t="e">
        <f t="shared" si="223"/>
        <v>#N/A</v>
      </c>
      <c r="Z231">
        <f t="shared" si="224"/>
        <v>4.9832172810359232E-2</v>
      </c>
      <c r="AA231">
        <f t="shared" si="225"/>
        <v>2.6131191174550344E-2</v>
      </c>
      <c r="AB231">
        <f t="shared" si="225"/>
        <v>2.6710885346498431E-2</v>
      </c>
    </row>
    <row r="232" spans="1:28" x14ac:dyDescent="0.25">
      <c r="A232" s="18">
        <f t="shared" si="186"/>
        <v>24504</v>
      </c>
      <c r="B232">
        <f>'2-state flows'!B231</f>
        <v>76521</v>
      </c>
      <c r="C232">
        <f>'2-state flows'!C231</f>
        <v>2915</v>
      </c>
      <c r="D232">
        <f>'Composite HWI'!B195*48.35347462</f>
        <v>3191.3293249200001</v>
      </c>
      <c r="E232">
        <f t="shared" ref="E232:E295" si="263">C232/B232</f>
        <v>3.8094117954548423E-2</v>
      </c>
      <c r="F232">
        <f t="shared" ref="F232:F295" si="264">D232/B232</f>
        <v>4.1705274694789664E-2</v>
      </c>
      <c r="G232">
        <f>'2-state flows'!G231</f>
        <v>0.80520052165974754</v>
      </c>
      <c r="H232">
        <f t="shared" ref="H232:H295" si="265">0.771211801*(F232/E232)^0.5</f>
        <v>0.80693805727518475</v>
      </c>
      <c r="I232">
        <f>'2-state flows'!H231</f>
        <v>3.1366807213382565E-2</v>
      </c>
      <c r="J232">
        <f t="shared" si="187"/>
        <v>-7.6896460573415426E-3</v>
      </c>
      <c r="K232">
        <v>0.5</v>
      </c>
      <c r="L232">
        <f t="shared" si="189"/>
        <v>0.28449893705679347</v>
      </c>
      <c r="M232">
        <f t="shared" ref="M232:M295" si="266">F232/EXP(L232)</f>
        <v>3.1378679806073076E-2</v>
      </c>
      <c r="N232">
        <f t="shared" ref="N232:O232" si="267">AVERAGE(G230:G232)</f>
        <v>0.79252346793872752</v>
      </c>
      <c r="O232">
        <f t="shared" si="267"/>
        <v>0.80667601037785008</v>
      </c>
      <c r="P232">
        <f t="shared" si="191"/>
        <v>3.8272155235414933E-2</v>
      </c>
      <c r="Q232">
        <f t="shared" si="192"/>
        <v>4.1872412182848422E-2</v>
      </c>
      <c r="R232">
        <f t="shared" si="193"/>
        <v>3.1474689727284143E-2</v>
      </c>
      <c r="U232" s="18">
        <f t="shared" si="252"/>
        <v>39600</v>
      </c>
      <c r="V232">
        <f t="shared" si="220"/>
        <v>5.3213408334431313E-2</v>
      </c>
      <c r="W232" t="e">
        <f t="shared" si="221"/>
        <v>#N/A</v>
      </c>
      <c r="X232" t="e">
        <f t="shared" si="222"/>
        <v>#N/A</v>
      </c>
      <c r="Y232" t="e">
        <f t="shared" si="223"/>
        <v>#N/A</v>
      </c>
      <c r="Z232">
        <f t="shared" si="224"/>
        <v>5.3213408334431313E-2</v>
      </c>
      <c r="AA232">
        <f t="shared" si="225"/>
        <v>2.4196969615720682E-2</v>
      </c>
      <c r="AB232">
        <f t="shared" si="225"/>
        <v>2.1127548557659599E-2</v>
      </c>
    </row>
    <row r="233" spans="1:28" x14ac:dyDescent="0.25">
      <c r="A233" s="18">
        <f t="shared" ref="A233:A296" si="268">DATE(YEAR(A232),MONTH(A232)+1,1)</f>
        <v>24532</v>
      </c>
      <c r="B233">
        <f>'2-state flows'!B232</f>
        <v>76328</v>
      </c>
      <c r="C233">
        <f>'2-state flows'!C232</f>
        <v>2889</v>
      </c>
      <c r="D233">
        <f>'Composite HWI'!B196*48.35347462</f>
        <v>3094.62237568</v>
      </c>
      <c r="E233">
        <f t="shared" si="263"/>
        <v>3.7849806099989516E-2</v>
      </c>
      <c r="F233">
        <f t="shared" si="264"/>
        <v>4.0543737235090659E-2</v>
      </c>
      <c r="G233">
        <f>'2-state flows'!G232</f>
        <v>0.76228840899398309</v>
      </c>
      <c r="H233">
        <f t="shared" si="265"/>
        <v>0.79818530188178149</v>
      </c>
      <c r="I233">
        <f>'2-state flows'!H232</f>
        <v>3.0105789886662578E-2</v>
      </c>
      <c r="J233">
        <f t="shared" ref="J233:J296" si="269">LN(I233/I232)</f>
        <v>-4.1032730384303141E-2</v>
      </c>
      <c r="K233">
        <v>0.5</v>
      </c>
      <c r="L233">
        <f t="shared" si="189"/>
        <v>0.2024334762881872</v>
      </c>
      <c r="M233">
        <f t="shared" si="266"/>
        <v>3.3113724928533254E-2</v>
      </c>
      <c r="N233">
        <f t="shared" ref="N233:O233" si="270">AVERAGE(G231:G233)</f>
        <v>0.79283446074122887</v>
      </c>
      <c r="O233">
        <f t="shared" si="270"/>
        <v>0.8036199069889246</v>
      </c>
      <c r="P233">
        <f t="shared" si="191"/>
        <v>3.8223647645088156E-2</v>
      </c>
      <c r="Q233">
        <f t="shared" si="192"/>
        <v>4.1506999590435238E-2</v>
      </c>
      <c r="R233">
        <f t="shared" si="193"/>
        <v>3.1937358800441094E-2</v>
      </c>
      <c r="U233" s="18">
        <f t="shared" si="252"/>
        <v>39692</v>
      </c>
      <c r="V233">
        <f t="shared" si="220"/>
        <v>6.0103319389037922E-2</v>
      </c>
      <c r="W233" t="e">
        <f t="shared" si="221"/>
        <v>#N/A</v>
      </c>
      <c r="X233" t="e">
        <f t="shared" si="222"/>
        <v>#N/A</v>
      </c>
      <c r="Y233" t="e">
        <f t="shared" si="223"/>
        <v>#N/A</v>
      </c>
      <c r="Z233">
        <f t="shared" si="224"/>
        <v>6.0103319389037922E-2</v>
      </c>
      <c r="AA233">
        <f t="shared" si="225"/>
        <v>2.4489504807638212E-2</v>
      </c>
      <c r="AB233">
        <f t="shared" si="225"/>
        <v>1.9931951992678418E-2</v>
      </c>
    </row>
    <row r="234" spans="1:28" x14ac:dyDescent="0.25">
      <c r="A234" s="18">
        <f t="shared" si="268"/>
        <v>24563</v>
      </c>
      <c r="B234">
        <f>'2-state flows'!B233</f>
        <v>76777</v>
      </c>
      <c r="C234">
        <f>'2-state flows'!C233</f>
        <v>2895</v>
      </c>
      <c r="D234">
        <f>'Composite HWI'!B197*48.35347462</f>
        <v>3142.9758502999998</v>
      </c>
      <c r="E234">
        <f t="shared" si="263"/>
        <v>3.7706604842596088E-2</v>
      </c>
      <c r="F234">
        <f t="shared" si="264"/>
        <v>4.0936424323690684E-2</v>
      </c>
      <c r="G234">
        <f>'2-state flows'!G233</f>
        <v>0.76436309853484308</v>
      </c>
      <c r="H234">
        <f t="shared" si="265"/>
        <v>0.80356295001017286</v>
      </c>
      <c r="I234">
        <f>'2-state flows'!H233</f>
        <v>3.0617984339861466E-2</v>
      </c>
      <c r="J234">
        <f t="shared" si="269"/>
        <v>1.687005154579372E-2</v>
      </c>
      <c r="K234">
        <v>0.5</v>
      </c>
      <c r="L234">
        <f t="shared" ref="L234:L297" si="271">L233+J234/(1-K234)</f>
        <v>0.23617357937977462</v>
      </c>
      <c r="M234">
        <f t="shared" si="266"/>
        <v>3.2325185318141103E-2</v>
      </c>
      <c r="N234">
        <f t="shared" ref="N234:O234" si="272">AVERAGE(G232:G234)</f>
        <v>0.77728400972952461</v>
      </c>
      <c r="O234">
        <f t="shared" si="272"/>
        <v>0.80289543638904648</v>
      </c>
      <c r="P234">
        <f t="shared" ref="P234:P297" si="273">AVERAGE(E232:E234)</f>
        <v>3.7883509632378014E-2</v>
      </c>
      <c r="Q234">
        <f t="shared" ref="Q234:Q297" si="274">AVERAGE(F232:F234)</f>
        <v>4.1061812084523669E-2</v>
      </c>
      <c r="R234">
        <f t="shared" ref="R234:R297" si="275">AVERAGE(M232:M234)</f>
        <v>3.2272530017582478E-2</v>
      </c>
      <c r="U234" s="18">
        <f t="shared" si="252"/>
        <v>39783</v>
      </c>
      <c r="V234">
        <f t="shared" si="220"/>
        <v>6.8722242537079495E-2</v>
      </c>
      <c r="W234" t="e">
        <f t="shared" si="221"/>
        <v>#N/A</v>
      </c>
      <c r="X234" t="e">
        <f t="shared" si="222"/>
        <v>#N/A</v>
      </c>
      <c r="Y234" t="e">
        <f t="shared" si="223"/>
        <v>#N/A</v>
      </c>
      <c r="Z234">
        <f t="shared" si="224"/>
        <v>6.8722242537079495E-2</v>
      </c>
      <c r="AA234">
        <f t="shared" si="225"/>
        <v>2.2864241414920442E-2</v>
      </c>
      <c r="AB234">
        <f t="shared" si="225"/>
        <v>1.6116548722791946E-2</v>
      </c>
    </row>
    <row r="235" spans="1:28" x14ac:dyDescent="0.25">
      <c r="A235" s="18">
        <f t="shared" si="268"/>
        <v>24593</v>
      </c>
      <c r="B235">
        <f>'2-state flows'!B234</f>
        <v>76773</v>
      </c>
      <c r="C235">
        <f>'2-state flows'!C234</f>
        <v>2929</v>
      </c>
      <c r="D235">
        <f>'Composite HWI'!B198*48.35347462</f>
        <v>3094.62237568</v>
      </c>
      <c r="E235">
        <f t="shared" si="263"/>
        <v>3.815143344665442E-2</v>
      </c>
      <c r="F235">
        <f t="shared" si="264"/>
        <v>4.030873322235682E-2</v>
      </c>
      <c r="G235">
        <f>'2-state flows'!G234</f>
        <v>0.8215704401634345</v>
      </c>
      <c r="H235">
        <f t="shared" si="265"/>
        <v>0.79271634194987672</v>
      </c>
      <c r="I235">
        <f>'2-state flows'!H234</f>
        <v>3.3856798702339347E-2</v>
      </c>
      <c r="J235">
        <f t="shared" si="269"/>
        <v>0.10055226727695722</v>
      </c>
      <c r="K235">
        <v>0.5</v>
      </c>
      <c r="L235">
        <f t="shared" si="271"/>
        <v>0.43727811393368909</v>
      </c>
      <c r="M235">
        <f t="shared" si="266"/>
        <v>2.603104949361229E-2</v>
      </c>
      <c r="N235">
        <f t="shared" ref="N235:O235" si="276">AVERAGE(G233:G235)</f>
        <v>0.78274064923075359</v>
      </c>
      <c r="O235">
        <f t="shared" si="276"/>
        <v>0.79815486461394369</v>
      </c>
      <c r="P235">
        <f t="shared" si="273"/>
        <v>3.7902614796413346E-2</v>
      </c>
      <c r="Q235">
        <f t="shared" si="274"/>
        <v>4.0596298260379388E-2</v>
      </c>
      <c r="R235">
        <f t="shared" si="275"/>
        <v>3.0489986580095552E-2</v>
      </c>
      <c r="U235" s="18">
        <f t="shared" si="252"/>
        <v>39873</v>
      </c>
      <c r="V235">
        <f t="shared" si="220"/>
        <v>8.29147624416154E-2</v>
      </c>
      <c r="W235" t="e">
        <f t="shared" si="221"/>
        <v>#N/A</v>
      </c>
      <c r="X235" t="e">
        <f t="shared" si="222"/>
        <v>#N/A</v>
      </c>
      <c r="Y235" t="e">
        <f t="shared" si="223"/>
        <v>#N/A</v>
      </c>
      <c r="Z235">
        <f t="shared" si="224"/>
        <v>8.29147624416154E-2</v>
      </c>
      <c r="AA235">
        <f t="shared" si="225"/>
        <v>1.8127345081284763E-2</v>
      </c>
      <c r="AB235">
        <f t="shared" si="225"/>
        <v>1.2784961884046665E-2</v>
      </c>
    </row>
    <row r="236" spans="1:28" x14ac:dyDescent="0.25">
      <c r="A236" s="18">
        <f t="shared" si="268"/>
        <v>24624</v>
      </c>
      <c r="B236">
        <f>'2-state flows'!B235</f>
        <v>77270</v>
      </c>
      <c r="C236">
        <f>'2-state flows'!C235</f>
        <v>2992</v>
      </c>
      <c r="D236">
        <f>'Composite HWI'!B199*48.35347462</f>
        <v>3094.62237568</v>
      </c>
      <c r="E236">
        <f t="shared" si="263"/>
        <v>3.8721366636469523E-2</v>
      </c>
      <c r="F236">
        <f t="shared" si="264"/>
        <v>4.0049467784133555E-2</v>
      </c>
      <c r="G236">
        <f>'2-state flows'!G235</f>
        <v>0.8320405163258533</v>
      </c>
      <c r="H236">
        <f t="shared" si="265"/>
        <v>0.78432616376907915</v>
      </c>
      <c r="I236">
        <f>'2-state flows'!H235</f>
        <v>3.255017072929222E-2</v>
      </c>
      <c r="J236">
        <f t="shared" si="269"/>
        <v>-3.9357213337978002E-2</v>
      </c>
      <c r="K236">
        <v>0.5</v>
      </c>
      <c r="L236">
        <f t="shared" si="271"/>
        <v>0.35856368725773308</v>
      </c>
      <c r="M236">
        <f t="shared" si="266"/>
        <v>2.7981727206814262E-2</v>
      </c>
      <c r="N236">
        <f t="shared" ref="N236:O236" si="277">AVERAGE(G234:G236)</f>
        <v>0.80599135167471037</v>
      </c>
      <c r="O236">
        <f t="shared" si="277"/>
        <v>0.79353515190970958</v>
      </c>
      <c r="P236">
        <f t="shared" si="273"/>
        <v>3.819313497524001E-2</v>
      </c>
      <c r="Q236">
        <f t="shared" si="274"/>
        <v>4.0431541776727017E-2</v>
      </c>
      <c r="R236">
        <f t="shared" si="275"/>
        <v>2.8779320672855883E-2</v>
      </c>
      <c r="U236" s="18">
        <f t="shared" si="252"/>
        <v>39965</v>
      </c>
      <c r="V236">
        <f t="shared" si="220"/>
        <v>9.2734099947234264E-2</v>
      </c>
      <c r="W236" t="e">
        <f t="shared" si="221"/>
        <v>#N/A</v>
      </c>
      <c r="X236" t="e">
        <f t="shared" si="222"/>
        <v>#N/A</v>
      </c>
      <c r="Y236" t="e">
        <f t="shared" si="223"/>
        <v>#N/A</v>
      </c>
      <c r="Z236">
        <f t="shared" si="224"/>
        <v>9.2734099947234264E-2</v>
      </c>
      <c r="AA236">
        <f t="shared" si="225"/>
        <v>1.6627113295859811E-2</v>
      </c>
      <c r="AB236">
        <f t="shared" si="225"/>
        <v>1.3703075040202446E-2</v>
      </c>
    </row>
    <row r="237" spans="1:28" x14ac:dyDescent="0.25">
      <c r="A237" s="18">
        <f t="shared" si="268"/>
        <v>24654</v>
      </c>
      <c r="B237">
        <f>'2-state flows'!B236</f>
        <v>77464</v>
      </c>
      <c r="C237">
        <f>'2-state flows'!C236</f>
        <v>2944</v>
      </c>
      <c r="D237">
        <f>'Composite HWI'!B200*48.35347462</f>
        <v>3046.2689010600002</v>
      </c>
      <c r="E237">
        <f t="shared" si="263"/>
        <v>3.800475059382423E-2</v>
      </c>
      <c r="F237">
        <f t="shared" si="264"/>
        <v>3.9324962576938967E-2</v>
      </c>
      <c r="G237">
        <f>'2-state flows'!G236</f>
        <v>0.7796646084162917</v>
      </c>
      <c r="H237">
        <f t="shared" si="265"/>
        <v>0.78449265555888659</v>
      </c>
      <c r="I237">
        <f>'2-state flows'!H236</f>
        <v>3.0821148693001673E-2</v>
      </c>
      <c r="J237">
        <f t="shared" si="269"/>
        <v>-5.4581513557583658E-2</v>
      </c>
      <c r="K237">
        <v>0.5</v>
      </c>
      <c r="L237">
        <f t="shared" si="271"/>
        <v>0.24940066014256576</v>
      </c>
      <c r="M237">
        <f t="shared" si="266"/>
        <v>3.064467272014252E-2</v>
      </c>
      <c r="N237">
        <f t="shared" ref="N237:O237" si="278">AVERAGE(G235:G237)</f>
        <v>0.81109185496852643</v>
      </c>
      <c r="O237">
        <f t="shared" si="278"/>
        <v>0.78717838709261423</v>
      </c>
      <c r="P237">
        <f t="shared" si="273"/>
        <v>3.829251689231606E-2</v>
      </c>
      <c r="Q237">
        <f t="shared" si="274"/>
        <v>3.9894387861143112E-2</v>
      </c>
      <c r="R237">
        <f t="shared" si="275"/>
        <v>2.8219149806856358E-2</v>
      </c>
      <c r="U237" s="18">
        <f t="shared" si="252"/>
        <v>40057</v>
      </c>
      <c r="V237">
        <f t="shared" si="220"/>
        <v>9.6044355183087918E-2</v>
      </c>
      <c r="W237" t="e">
        <f t="shared" si="221"/>
        <v>#N/A</v>
      </c>
      <c r="X237" t="e">
        <f t="shared" si="222"/>
        <v>#N/A</v>
      </c>
      <c r="Y237" t="e">
        <f t="shared" si="223"/>
        <v>#N/A</v>
      </c>
      <c r="Z237">
        <f t="shared" si="224"/>
        <v>9.6044355183087918E-2</v>
      </c>
      <c r="AA237">
        <f t="shared" si="225"/>
        <v>1.6917024796850682E-2</v>
      </c>
      <c r="AB237">
        <f t="shared" si="225"/>
        <v>1.5804470712310312E-2</v>
      </c>
    </row>
    <row r="238" spans="1:28" x14ac:dyDescent="0.25">
      <c r="A238" s="18">
        <f t="shared" si="268"/>
        <v>24685</v>
      </c>
      <c r="B238">
        <f>'2-state flows'!B237</f>
        <v>77712</v>
      </c>
      <c r="C238">
        <f>'2-state flows'!C237</f>
        <v>2945</v>
      </c>
      <c r="D238">
        <f>'Composite HWI'!B201*48.35347462</f>
        <v>3142.9758502999998</v>
      </c>
      <c r="E238">
        <f t="shared" si="263"/>
        <v>3.7896335186329011E-2</v>
      </c>
      <c r="F238">
        <f t="shared" si="264"/>
        <v>4.0443893482345068E-2</v>
      </c>
      <c r="G238">
        <f>'2-state flows'!G237</f>
        <v>0.82469170523904445</v>
      </c>
      <c r="H238">
        <f t="shared" si="265"/>
        <v>0.79671233096994309</v>
      </c>
      <c r="I238">
        <f>'2-state flows'!H237</f>
        <v>3.2742751006041085E-2</v>
      </c>
      <c r="J238">
        <f t="shared" si="269"/>
        <v>6.0480494031436863E-2</v>
      </c>
      <c r="K238">
        <v>0.5</v>
      </c>
      <c r="L238">
        <f t="shared" si="271"/>
        <v>0.37036164820543949</v>
      </c>
      <c r="M238">
        <f t="shared" si="266"/>
        <v>2.7925884520448613E-2</v>
      </c>
      <c r="N238">
        <f t="shared" ref="N238:O238" si="279">AVERAGE(G236:G238)</f>
        <v>0.81213227666039645</v>
      </c>
      <c r="O238">
        <f t="shared" si="279"/>
        <v>0.78851038343263635</v>
      </c>
      <c r="P238">
        <f t="shared" si="273"/>
        <v>3.8207484138874252E-2</v>
      </c>
      <c r="Q238">
        <f t="shared" si="274"/>
        <v>3.9939441281139194E-2</v>
      </c>
      <c r="R238">
        <f t="shared" si="275"/>
        <v>2.8850761482468467E-2</v>
      </c>
      <c r="U238" s="18">
        <f t="shared" si="252"/>
        <v>40148</v>
      </c>
      <c r="V238">
        <f t="shared" si="220"/>
        <v>9.9172149866182766E-2</v>
      </c>
      <c r="W238" t="e">
        <f t="shared" si="221"/>
        <v>#N/A</v>
      </c>
      <c r="X238" t="e">
        <f t="shared" si="222"/>
        <v>#N/A</v>
      </c>
      <c r="Y238" t="e">
        <f t="shared" si="223"/>
        <v>#N/A</v>
      </c>
      <c r="Z238">
        <f t="shared" si="224"/>
        <v>9.9172149866182766E-2</v>
      </c>
      <c r="AA238">
        <f t="shared" si="225"/>
        <v>1.7740067838892568E-2</v>
      </c>
      <c r="AB238">
        <f t="shared" si="225"/>
        <v>1.7583589696394866E-2</v>
      </c>
    </row>
    <row r="239" spans="1:28" x14ac:dyDescent="0.25">
      <c r="A239" s="18">
        <f t="shared" si="268"/>
        <v>24716</v>
      </c>
      <c r="B239">
        <f>'2-state flows'!B238</f>
        <v>77812</v>
      </c>
      <c r="C239">
        <f>'2-state flows'!C238</f>
        <v>2958</v>
      </c>
      <c r="D239">
        <f>'Composite HWI'!B202*48.35347462</f>
        <v>3094.62237568</v>
      </c>
      <c r="E239">
        <f t="shared" si="263"/>
        <v>3.8014702102503468E-2</v>
      </c>
      <c r="F239">
        <f t="shared" si="264"/>
        <v>3.9770502951729812E-2</v>
      </c>
      <c r="G239">
        <f>'2-state flows'!G238</f>
        <v>0.73879826058621767</v>
      </c>
      <c r="H239">
        <f t="shared" si="265"/>
        <v>0.78882090637585511</v>
      </c>
      <c r="I239">
        <f>'2-state flows'!H238</f>
        <v>3.2741336756697118E-2</v>
      </c>
      <c r="J239">
        <f t="shared" si="269"/>
        <v>-4.3193679335088838E-5</v>
      </c>
      <c r="K239">
        <v>0.5</v>
      </c>
      <c r="L239">
        <f t="shared" si="271"/>
        <v>0.37027526084676932</v>
      </c>
      <c r="M239">
        <f t="shared" si="266"/>
        <v>2.7463291126181445E-2</v>
      </c>
      <c r="N239">
        <f t="shared" ref="N239:O239" si="280">AVERAGE(G237:G239)</f>
        <v>0.78105152474718453</v>
      </c>
      <c r="O239">
        <f t="shared" si="280"/>
        <v>0.79000863096822826</v>
      </c>
      <c r="P239">
        <f t="shared" si="273"/>
        <v>3.7971929294218908E-2</v>
      </c>
      <c r="Q239">
        <f t="shared" si="274"/>
        <v>3.9846453003671282E-2</v>
      </c>
      <c r="R239">
        <f t="shared" si="275"/>
        <v>2.8677949455590861E-2</v>
      </c>
      <c r="U239" s="18">
        <f t="shared" si="252"/>
        <v>40238</v>
      </c>
      <c r="V239">
        <f t="shared" si="220"/>
        <v>9.8208896640545176E-2</v>
      </c>
      <c r="W239" t="e">
        <f t="shared" si="221"/>
        <v>#N/A</v>
      </c>
      <c r="X239" t="e">
        <f t="shared" si="222"/>
        <v>#N/A</v>
      </c>
      <c r="Y239" t="e">
        <f t="shared" si="223"/>
        <v>#N/A</v>
      </c>
      <c r="Z239">
        <f t="shared" si="224"/>
        <v>9.8208896640545176E-2</v>
      </c>
      <c r="AA239">
        <f t="shared" si="225"/>
        <v>1.8933722575545181E-2</v>
      </c>
      <c r="AB239">
        <f t="shared" si="225"/>
        <v>2.1437946725772528E-2</v>
      </c>
    </row>
    <row r="240" spans="1:28" x14ac:dyDescent="0.25">
      <c r="A240" s="18">
        <f t="shared" si="268"/>
        <v>24746</v>
      </c>
      <c r="B240">
        <f>'2-state flows'!B239</f>
        <v>78194</v>
      </c>
      <c r="C240">
        <f>'2-state flows'!C239</f>
        <v>3143</v>
      </c>
      <c r="D240">
        <f>'Composite HWI'!B203*48.35347462</f>
        <v>3191.3293249200001</v>
      </c>
      <c r="E240">
        <f t="shared" si="263"/>
        <v>4.0194899864439727E-2</v>
      </c>
      <c r="F240">
        <f t="shared" si="264"/>
        <v>4.0812969344450979E-2</v>
      </c>
      <c r="G240">
        <f>'2-state flows'!G239</f>
        <v>0.81875585704771925</v>
      </c>
      <c r="H240">
        <f t="shared" si="265"/>
        <v>0.77711857082783342</v>
      </c>
      <c r="I240">
        <f>'2-state flows'!H239</f>
        <v>3.2763970935596583E-2</v>
      </c>
      <c r="J240">
        <f t="shared" si="269"/>
        <v>6.9106399458707265E-4</v>
      </c>
      <c r="K240">
        <v>0.5</v>
      </c>
      <c r="L240">
        <f t="shared" si="271"/>
        <v>0.37165738883594346</v>
      </c>
      <c r="M240">
        <f t="shared" si="266"/>
        <v>2.814423444490256E-2</v>
      </c>
      <c r="N240">
        <f t="shared" ref="N240:O240" si="281">AVERAGE(G238:G240)</f>
        <v>0.79408194095766049</v>
      </c>
      <c r="O240">
        <f t="shared" si="281"/>
        <v>0.78755060272454391</v>
      </c>
      <c r="P240">
        <f t="shared" si="273"/>
        <v>3.8701979051090733E-2</v>
      </c>
      <c r="Q240">
        <f t="shared" si="274"/>
        <v>4.0342455259508615E-2</v>
      </c>
      <c r="R240">
        <f t="shared" si="275"/>
        <v>2.7844470030510871E-2</v>
      </c>
      <c r="U240" s="18">
        <f t="shared" si="252"/>
        <v>40330</v>
      </c>
      <c r="V240">
        <f t="shared" si="220"/>
        <v>9.6493242940541957E-2</v>
      </c>
      <c r="W240" t="e">
        <f t="shared" si="221"/>
        <v>#N/A</v>
      </c>
      <c r="X240" t="e">
        <f t="shared" si="222"/>
        <v>#N/A</v>
      </c>
      <c r="Y240" t="e">
        <f t="shared" si="223"/>
        <v>#N/A</v>
      </c>
      <c r="Z240">
        <f t="shared" si="224"/>
        <v>9.6493242940541957E-2</v>
      </c>
      <c r="AA240">
        <f t="shared" si="225"/>
        <v>1.9408540657373605E-2</v>
      </c>
      <c r="AB240">
        <f t="shared" si="225"/>
        <v>2.0892478673845392E-2</v>
      </c>
    </row>
    <row r="241" spans="1:28" x14ac:dyDescent="0.25">
      <c r="A241" s="18">
        <f t="shared" si="268"/>
        <v>24777</v>
      </c>
      <c r="B241">
        <f>'2-state flows'!B240</f>
        <v>78191</v>
      </c>
      <c r="C241">
        <f>'2-state flows'!C240</f>
        <v>3066</v>
      </c>
      <c r="D241">
        <f>'Composite HWI'!B204*48.35347462</f>
        <v>3142.9758502999998</v>
      </c>
      <c r="E241">
        <f t="shared" si="263"/>
        <v>3.9211673977823533E-2</v>
      </c>
      <c r="F241">
        <f t="shared" si="264"/>
        <v>4.0196133190520643E-2</v>
      </c>
      <c r="G241">
        <f>'2-state flows'!G240</f>
        <v>0.78247399183722399</v>
      </c>
      <c r="H241">
        <f t="shared" si="265"/>
        <v>0.78083291692001988</v>
      </c>
      <c r="I241">
        <f>'2-state flows'!H240</f>
        <v>3.1000647515970377E-2</v>
      </c>
      <c r="J241">
        <f t="shared" si="269"/>
        <v>-5.5321372690522924E-2</v>
      </c>
      <c r="K241">
        <v>0.5</v>
      </c>
      <c r="L241">
        <f t="shared" si="271"/>
        <v>0.26101464345489761</v>
      </c>
      <c r="M241">
        <f t="shared" si="266"/>
        <v>3.0961861047029055E-2</v>
      </c>
      <c r="N241">
        <f t="shared" ref="N241:O241" si="282">AVERAGE(G239:G241)</f>
        <v>0.78000936982372027</v>
      </c>
      <c r="O241">
        <f t="shared" si="282"/>
        <v>0.78225746470790281</v>
      </c>
      <c r="P241">
        <f t="shared" si="273"/>
        <v>3.9140425314922241E-2</v>
      </c>
      <c r="Q241">
        <f t="shared" si="274"/>
        <v>4.0259868495567147E-2</v>
      </c>
      <c r="R241">
        <f t="shared" si="275"/>
        <v>2.8856462206037686E-2</v>
      </c>
      <c r="U241" s="18">
        <f t="shared" si="252"/>
        <v>40422</v>
      </c>
      <c r="V241">
        <f t="shared" si="220"/>
        <v>9.4838358720919905E-2</v>
      </c>
      <c r="W241" t="e">
        <f t="shared" si="221"/>
        <v>#N/A</v>
      </c>
      <c r="X241" t="e">
        <f t="shared" si="222"/>
        <v>#N/A</v>
      </c>
      <c r="Y241" t="e">
        <f t="shared" si="223"/>
        <v>#N/A</v>
      </c>
      <c r="Z241">
        <f t="shared" si="224"/>
        <v>9.4838358720919905E-2</v>
      </c>
      <c r="AA241">
        <f t="shared" si="225"/>
        <v>1.9871166843896837E-2</v>
      </c>
      <c r="AB241">
        <f t="shared" si="225"/>
        <v>2.2496674199920349E-2</v>
      </c>
    </row>
    <row r="242" spans="1:28" x14ac:dyDescent="0.25">
      <c r="A242" s="18">
        <f t="shared" si="268"/>
        <v>24807</v>
      </c>
      <c r="B242">
        <f>'2-state flows'!B241</f>
        <v>78491</v>
      </c>
      <c r="C242">
        <f>'2-state flows'!C241</f>
        <v>3018</v>
      </c>
      <c r="D242">
        <f>'Composite HWI'!B205*48.35347462</f>
        <v>3191.3293249200001</v>
      </c>
      <c r="E242">
        <f t="shared" si="263"/>
        <v>3.8450268183613405E-2</v>
      </c>
      <c r="F242">
        <f t="shared" si="264"/>
        <v>4.0658538239033773E-2</v>
      </c>
      <c r="G242">
        <f>'2-state flows'!G241</f>
        <v>0.75393748873248778</v>
      </c>
      <c r="H242">
        <f t="shared" si="265"/>
        <v>0.79304870488590784</v>
      </c>
      <c r="I242">
        <f>'2-state flows'!H241</f>
        <v>2.7475152454631866E-2</v>
      </c>
      <c r="J242">
        <f t="shared" si="269"/>
        <v>-0.12072604275545702</v>
      </c>
      <c r="K242">
        <v>0.5</v>
      </c>
      <c r="L242">
        <f t="shared" si="271"/>
        <v>1.9562557943983566E-2</v>
      </c>
      <c r="M242">
        <f t="shared" si="266"/>
        <v>3.9870882627163304E-2</v>
      </c>
      <c r="N242">
        <f t="shared" ref="N242:O242" si="283">AVERAGE(G240:G242)</f>
        <v>0.78505577920581038</v>
      </c>
      <c r="O242">
        <f t="shared" si="283"/>
        <v>0.78366673087792049</v>
      </c>
      <c r="P242">
        <f t="shared" si="273"/>
        <v>3.9285614008625562E-2</v>
      </c>
      <c r="Q242">
        <f t="shared" si="274"/>
        <v>4.0555880258001796E-2</v>
      </c>
      <c r="R242">
        <f t="shared" si="275"/>
        <v>3.299232603969831E-2</v>
      </c>
      <c r="U242" s="18">
        <f t="shared" si="252"/>
        <v>40513</v>
      </c>
      <c r="V242">
        <f t="shared" si="220"/>
        <v>9.5414185581296981E-2</v>
      </c>
      <c r="W242" t="e">
        <f t="shared" si="221"/>
        <v>#N/A</v>
      </c>
      <c r="X242" t="e">
        <f t="shared" si="222"/>
        <v>#N/A</v>
      </c>
      <c r="Y242" t="e">
        <f t="shared" si="223"/>
        <v>#N/A</v>
      </c>
      <c r="Z242">
        <f t="shared" si="224"/>
        <v>9.5414185581296981E-2</v>
      </c>
      <c r="AA242">
        <f t="shared" si="225"/>
        <v>2.0314982654172854E-2</v>
      </c>
      <c r="AB242">
        <f t="shared" si="225"/>
        <v>2.2045553138300662E-2</v>
      </c>
    </row>
    <row r="243" spans="1:28" x14ac:dyDescent="0.25">
      <c r="A243" s="18">
        <f t="shared" si="268"/>
        <v>24838</v>
      </c>
      <c r="B243">
        <f>'2-state flows'!B242</f>
        <v>77578</v>
      </c>
      <c r="C243">
        <f>'2-state flows'!C242</f>
        <v>2878</v>
      </c>
      <c r="D243">
        <f>'Composite HWI'!B206*48.35347462</f>
        <v>3239.6827995399999</v>
      </c>
      <c r="E243">
        <f t="shared" si="263"/>
        <v>3.7098146381706151E-2</v>
      </c>
      <c r="F243">
        <f t="shared" si="264"/>
        <v>4.1760328953311505E-2</v>
      </c>
      <c r="G243">
        <f>'2-state flows'!G242</f>
        <v>0.80167849660067081</v>
      </c>
      <c r="H243">
        <f t="shared" si="265"/>
        <v>0.81823775867018289</v>
      </c>
      <c r="I243">
        <f>'2-state flows'!H242</f>
        <v>3.3315228750671139E-2</v>
      </c>
      <c r="J243">
        <f t="shared" si="269"/>
        <v>0.19273256316403106</v>
      </c>
      <c r="K243">
        <v>0.5</v>
      </c>
      <c r="L243">
        <f t="shared" si="271"/>
        <v>0.40502768427204572</v>
      </c>
      <c r="M243">
        <f t="shared" si="266"/>
        <v>2.7852399941590011E-2</v>
      </c>
      <c r="N243">
        <f t="shared" ref="N243:O243" si="284">AVERAGE(G241:G243)</f>
        <v>0.77936332572346079</v>
      </c>
      <c r="O243">
        <f t="shared" si="284"/>
        <v>0.7973731268253702</v>
      </c>
      <c r="P243">
        <f t="shared" si="273"/>
        <v>3.8253362847714363E-2</v>
      </c>
      <c r="Q243">
        <f t="shared" si="274"/>
        <v>4.0871666794288636E-2</v>
      </c>
      <c r="R243">
        <f t="shared" si="275"/>
        <v>3.2895047871927457E-2</v>
      </c>
      <c r="U243" s="18">
        <f t="shared" si="252"/>
        <v>40603</v>
      </c>
      <c r="V243">
        <f t="shared" si="220"/>
        <v>9.0255961025534404E-2</v>
      </c>
      <c r="W243" t="e">
        <f t="shared" si="221"/>
        <v>#N/A</v>
      </c>
      <c r="X243" t="e">
        <f t="shared" si="222"/>
        <v>#N/A</v>
      </c>
      <c r="Y243" t="e">
        <f t="shared" si="223"/>
        <v>#N/A</v>
      </c>
      <c r="Z243">
        <f t="shared" si="224"/>
        <v>9.0255961025534404E-2</v>
      </c>
      <c r="AA243">
        <f t="shared" si="225"/>
        <v>2.1377017662760803E-2</v>
      </c>
      <c r="AB243">
        <f t="shared" si="225"/>
        <v>2.7978491570312236E-2</v>
      </c>
    </row>
    <row r="244" spans="1:28" x14ac:dyDescent="0.25">
      <c r="A244" s="18">
        <f t="shared" si="268"/>
        <v>24869</v>
      </c>
      <c r="B244">
        <f>'2-state flows'!B243</f>
        <v>78230</v>
      </c>
      <c r="C244">
        <f>'2-state flows'!C243</f>
        <v>3001</v>
      </c>
      <c r="D244">
        <f>'Composite HWI'!B207*48.35347462</f>
        <v>3191.3293249200001</v>
      </c>
      <c r="E244">
        <f t="shared" si="263"/>
        <v>3.8361242490093317E-2</v>
      </c>
      <c r="F244">
        <f t="shared" si="264"/>
        <v>4.0794187970343856E-2</v>
      </c>
      <c r="G244">
        <f>'2-state flows'!G243</f>
        <v>0.89518872894421053</v>
      </c>
      <c r="H244">
        <f t="shared" si="265"/>
        <v>0.79529175536555485</v>
      </c>
      <c r="I244">
        <f>'2-state flows'!H243</f>
        <v>3.3180314431564405E-2</v>
      </c>
      <c r="J244">
        <f t="shared" si="269"/>
        <v>-4.0578510311169219E-3</v>
      </c>
      <c r="K244">
        <v>0.5</v>
      </c>
      <c r="L244">
        <f t="shared" si="271"/>
        <v>0.39691198220981189</v>
      </c>
      <c r="M244">
        <f t="shared" si="266"/>
        <v>2.7429734818913049E-2</v>
      </c>
      <c r="N244">
        <f t="shared" ref="N244:O244" si="285">AVERAGE(G242:G244)</f>
        <v>0.816934904759123</v>
      </c>
      <c r="O244">
        <f t="shared" si="285"/>
        <v>0.80219273964054849</v>
      </c>
      <c r="P244">
        <f t="shared" si="273"/>
        <v>3.7969885685137622E-2</v>
      </c>
      <c r="Q244">
        <f t="shared" si="274"/>
        <v>4.1071018387563045E-2</v>
      </c>
      <c r="R244">
        <f t="shared" si="275"/>
        <v>3.1717672462555455E-2</v>
      </c>
      <c r="U244" s="18">
        <f t="shared" si="252"/>
        <v>40695</v>
      </c>
      <c r="V244">
        <f t="shared" si="220"/>
        <v>9.0588965067584612E-2</v>
      </c>
      <c r="W244" t="e">
        <f t="shared" si="221"/>
        <v>#N/A</v>
      </c>
      <c r="X244" t="e">
        <f t="shared" si="222"/>
        <v>#N/A</v>
      </c>
      <c r="Y244" t="e">
        <f t="shared" si="223"/>
        <v>#N/A</v>
      </c>
      <c r="Z244">
        <f t="shared" si="224"/>
        <v>9.0588965067584612E-2</v>
      </c>
      <c r="AA244">
        <f t="shared" si="225"/>
        <v>2.272523585086474E-2</v>
      </c>
      <c r="AB244">
        <f t="shared" si="225"/>
        <v>2.4565143965016661E-2</v>
      </c>
    </row>
    <row r="245" spans="1:28" x14ac:dyDescent="0.25">
      <c r="A245" s="18">
        <f t="shared" si="268"/>
        <v>24898</v>
      </c>
      <c r="B245">
        <f>'2-state flows'!B244</f>
        <v>78256</v>
      </c>
      <c r="C245">
        <f>'2-state flows'!C244</f>
        <v>2877</v>
      </c>
      <c r="D245">
        <f>'Composite HWI'!B208*48.35347462</f>
        <v>3239.6827995399999</v>
      </c>
      <c r="E245">
        <f t="shared" si="263"/>
        <v>3.6763954201594763E-2</v>
      </c>
      <c r="F245">
        <f t="shared" si="264"/>
        <v>4.139852279109589E-2</v>
      </c>
      <c r="G245">
        <f>'2-state flows'!G244</f>
        <v>0.81537176499414132</v>
      </c>
      <c r="H245">
        <f t="shared" si="265"/>
        <v>0.81837994961029015</v>
      </c>
      <c r="I245">
        <f>'2-state flows'!H244</f>
        <v>2.7821524132208533E-2</v>
      </c>
      <c r="J245">
        <f t="shared" si="269"/>
        <v>-0.17614679077621181</v>
      </c>
      <c r="K245">
        <v>0.5</v>
      </c>
      <c r="L245">
        <f t="shared" si="271"/>
        <v>4.4618400657388257E-2</v>
      </c>
      <c r="M245">
        <f t="shared" si="266"/>
        <v>3.959198893456034E-2</v>
      </c>
      <c r="N245">
        <f t="shared" ref="N245:O245" si="286">AVERAGE(G243:G245)</f>
        <v>0.83741299684634096</v>
      </c>
      <c r="O245">
        <f t="shared" si="286"/>
        <v>0.81063648788200926</v>
      </c>
      <c r="P245">
        <f t="shared" si="273"/>
        <v>3.7407781024464744E-2</v>
      </c>
      <c r="Q245">
        <f t="shared" si="274"/>
        <v>4.1317679904917089E-2</v>
      </c>
      <c r="R245">
        <f t="shared" si="275"/>
        <v>3.1624707898354469E-2</v>
      </c>
      <c r="U245" s="18">
        <f t="shared" si="252"/>
        <v>40787</v>
      </c>
      <c r="V245">
        <f t="shared" si="220"/>
        <v>9.0139661798912141E-2</v>
      </c>
      <c r="W245" t="e">
        <f t="shared" si="221"/>
        <v>#N/A</v>
      </c>
      <c r="X245" t="e">
        <f t="shared" si="222"/>
        <v>#N/A</v>
      </c>
      <c r="Y245" t="e">
        <f t="shared" si="223"/>
        <v>#N/A</v>
      </c>
      <c r="Z245">
        <f t="shared" si="224"/>
        <v>9.0139661798912141E-2</v>
      </c>
      <c r="AA245">
        <f t="shared" si="225"/>
        <v>2.2218801758090267E-2</v>
      </c>
      <c r="AB245">
        <f t="shared" si="225"/>
        <v>2.5269222941790098E-2</v>
      </c>
    </row>
    <row r="246" spans="1:28" x14ac:dyDescent="0.25">
      <c r="A246" s="18">
        <f t="shared" si="268"/>
        <v>24929</v>
      </c>
      <c r="B246">
        <f>'2-state flows'!B245</f>
        <v>78270</v>
      </c>
      <c r="C246">
        <f>'2-state flows'!C245</f>
        <v>2709</v>
      </c>
      <c r="D246">
        <f>'Composite HWI'!B209*48.35347462</f>
        <v>3336.38974878</v>
      </c>
      <c r="E246">
        <f t="shared" si="263"/>
        <v>3.4610962054426986E-2</v>
      </c>
      <c r="F246">
        <f t="shared" si="264"/>
        <v>4.262667367803756E-2</v>
      </c>
      <c r="G246">
        <f>'2-state flows'!G245</f>
        <v>0.83701499343161956</v>
      </c>
      <c r="H246">
        <f t="shared" si="265"/>
        <v>0.85586950592815558</v>
      </c>
      <c r="I246">
        <f>'2-state flows'!H245</f>
        <v>3.0622182629948105E-2</v>
      </c>
      <c r="J246">
        <f t="shared" si="269"/>
        <v>9.5914698396029355E-2</v>
      </c>
      <c r="K246">
        <v>0.5</v>
      </c>
      <c r="L246">
        <f t="shared" si="271"/>
        <v>0.23644779744944697</v>
      </c>
      <c r="M246">
        <f t="shared" si="266"/>
        <v>3.3650651014896539E-2</v>
      </c>
      <c r="N246">
        <f t="shared" ref="N246:O246" si="287">AVERAGE(G244:G246)</f>
        <v>0.84919182912332369</v>
      </c>
      <c r="O246">
        <f t="shared" si="287"/>
        <v>0.82318040363466682</v>
      </c>
      <c r="P246">
        <f t="shared" si="273"/>
        <v>3.6578719582038351E-2</v>
      </c>
      <c r="Q246">
        <f t="shared" si="274"/>
        <v>4.1606461479825767E-2</v>
      </c>
      <c r="R246">
        <f t="shared" si="275"/>
        <v>3.3557458256123308E-2</v>
      </c>
      <c r="U246" s="18">
        <f t="shared" si="252"/>
        <v>40878</v>
      </c>
      <c r="V246">
        <f t="shared" si="220"/>
        <v>8.6721799590019952E-2</v>
      </c>
      <c r="W246" t="e">
        <f t="shared" si="221"/>
        <v>#N/A</v>
      </c>
      <c r="X246" t="e">
        <f t="shared" si="222"/>
        <v>#N/A</v>
      </c>
      <c r="Y246" t="e">
        <f t="shared" si="223"/>
        <v>#N/A</v>
      </c>
      <c r="Z246">
        <f t="shared" si="224"/>
        <v>8.6721799590019952E-2</v>
      </c>
      <c r="AA246">
        <f t="shared" si="225"/>
        <v>2.2989516556233418E-2</v>
      </c>
      <c r="AB246">
        <f t="shared" si="225"/>
        <v>2.9203661753687594E-2</v>
      </c>
    </row>
    <row r="247" spans="1:28" x14ac:dyDescent="0.25">
      <c r="A247" s="18">
        <f t="shared" si="268"/>
        <v>24959</v>
      </c>
      <c r="B247">
        <f>'2-state flows'!B246</f>
        <v>78847</v>
      </c>
      <c r="C247">
        <f>'2-state flows'!C246</f>
        <v>2740</v>
      </c>
      <c r="D247">
        <f>'Composite HWI'!B210*48.35347462</f>
        <v>3336.38974878</v>
      </c>
      <c r="E247">
        <f t="shared" si="263"/>
        <v>3.4750846576280643E-2</v>
      </c>
      <c r="F247">
        <f t="shared" si="264"/>
        <v>4.2314732948368357E-2</v>
      </c>
      <c r="G247">
        <f>'2-state flows'!G246</f>
        <v>0.83990433540372911</v>
      </c>
      <c r="H247">
        <f t="shared" si="265"/>
        <v>0.85101413603851106</v>
      </c>
      <c r="I247">
        <f>'2-state flows'!H246</f>
        <v>3.4140301247853125E-2</v>
      </c>
      <c r="J247">
        <f t="shared" si="269"/>
        <v>0.10875387234841846</v>
      </c>
      <c r="K247">
        <v>0.5</v>
      </c>
      <c r="L247">
        <f t="shared" si="271"/>
        <v>0.45395554214628386</v>
      </c>
      <c r="M247">
        <f t="shared" si="266"/>
        <v>2.6874551015720661E-2</v>
      </c>
      <c r="N247">
        <f t="shared" ref="N247:O247" si="288">AVERAGE(G245:G247)</f>
        <v>0.83076369794316329</v>
      </c>
      <c r="O247">
        <f t="shared" si="288"/>
        <v>0.8417545305256523</v>
      </c>
      <c r="P247">
        <f t="shared" si="273"/>
        <v>3.5375254277434126E-2</v>
      </c>
      <c r="Q247">
        <f t="shared" si="274"/>
        <v>4.2113309805833936E-2</v>
      </c>
      <c r="R247">
        <f t="shared" si="275"/>
        <v>3.3372396988392512E-2</v>
      </c>
      <c r="U247" s="18">
        <f t="shared" si="252"/>
        <v>40969</v>
      </c>
      <c r="V247">
        <f t="shared" si="220"/>
        <v>8.2433736872039767E-2</v>
      </c>
      <c r="W247" t="e">
        <f t="shared" si="221"/>
        <v>#N/A</v>
      </c>
      <c r="X247" t="e">
        <f t="shared" si="222"/>
        <v>#N/A</v>
      </c>
      <c r="Y247" t="e">
        <f t="shared" si="223"/>
        <v>#N/A</v>
      </c>
      <c r="Z247">
        <f t="shared" si="224"/>
        <v>8.2433736872039767E-2</v>
      </c>
      <c r="AA247">
        <f t="shared" si="225"/>
        <v>2.3946860340468792E-2</v>
      </c>
      <c r="AB247">
        <f t="shared" si="225"/>
        <v>3.0586170674325622E-2</v>
      </c>
    </row>
    <row r="248" spans="1:28" x14ac:dyDescent="0.25">
      <c r="A248" s="18">
        <f t="shared" si="268"/>
        <v>24990</v>
      </c>
      <c r="B248">
        <f>'2-state flows'!B247</f>
        <v>79120</v>
      </c>
      <c r="C248">
        <f>'2-state flows'!C247</f>
        <v>2938</v>
      </c>
      <c r="D248">
        <f>'Composite HWI'!B211*48.35347462</f>
        <v>3336.38974878</v>
      </c>
      <c r="E248">
        <f t="shared" si="263"/>
        <v>3.7133468149646104E-2</v>
      </c>
      <c r="F248">
        <f t="shared" si="264"/>
        <v>4.2168727866279072E-2</v>
      </c>
      <c r="G248">
        <f>'2-state flows'!G247</f>
        <v>0.86584871871618663</v>
      </c>
      <c r="H248">
        <f t="shared" si="265"/>
        <v>0.82183788947044289</v>
      </c>
      <c r="I248">
        <f>'2-state flows'!H247</f>
        <v>3.2297866304542927E-2</v>
      </c>
      <c r="J248">
        <f t="shared" si="269"/>
        <v>-5.547737186088534E-2</v>
      </c>
      <c r="K248">
        <v>0.5</v>
      </c>
      <c r="L248">
        <f t="shared" si="271"/>
        <v>0.3430007984245132</v>
      </c>
      <c r="M248">
        <f t="shared" si="266"/>
        <v>2.9924516734318167E-2</v>
      </c>
      <c r="N248">
        <f t="shared" ref="N248:O248" si="289">AVERAGE(G246:G248)</f>
        <v>0.8475893491838451</v>
      </c>
      <c r="O248">
        <f t="shared" si="289"/>
        <v>0.84290717714570318</v>
      </c>
      <c r="P248">
        <f t="shared" si="273"/>
        <v>3.549842559345124E-2</v>
      </c>
      <c r="Q248">
        <f t="shared" si="274"/>
        <v>4.2370044830894994E-2</v>
      </c>
      <c r="R248">
        <f t="shared" si="275"/>
        <v>3.0149906254978459E-2</v>
      </c>
      <c r="U248" s="18">
        <f t="shared" si="252"/>
        <v>41061</v>
      </c>
      <c r="V248">
        <f t="shared" si="220"/>
        <v>8.1605294052441171E-2</v>
      </c>
      <c r="W248" t="e">
        <f t="shared" si="221"/>
        <v>#N/A</v>
      </c>
      <c r="X248" t="e">
        <f t="shared" si="222"/>
        <v>#N/A</v>
      </c>
      <c r="Y248" t="e">
        <f t="shared" si="223"/>
        <v>#N/A</v>
      </c>
      <c r="Z248">
        <f t="shared" si="224"/>
        <v>8.1605294052441171E-2</v>
      </c>
      <c r="AA248">
        <f t="shared" si="225"/>
        <v>2.4544398974742015E-2</v>
      </c>
      <c r="AB248">
        <f t="shared" si="225"/>
        <v>2.8524700826137003E-2</v>
      </c>
    </row>
    <row r="249" spans="1:28" x14ac:dyDescent="0.25">
      <c r="A249" s="18">
        <f t="shared" si="268"/>
        <v>25020</v>
      </c>
      <c r="B249">
        <f>'2-state flows'!B248</f>
        <v>78970</v>
      </c>
      <c r="C249">
        <f>'2-state flows'!C248</f>
        <v>2883</v>
      </c>
      <c r="D249">
        <f>'Composite HWI'!B212*48.35347462</f>
        <v>3433.0966980200001</v>
      </c>
      <c r="E249">
        <f t="shared" si="263"/>
        <v>3.6507534506774728E-2</v>
      </c>
      <c r="F249">
        <f t="shared" si="264"/>
        <v>4.3473429125237432E-2</v>
      </c>
      <c r="G249">
        <f>'2-state flows'!G248</f>
        <v>0.94282774289995919</v>
      </c>
      <c r="H249">
        <f t="shared" si="265"/>
        <v>0.84157797951853108</v>
      </c>
      <c r="I249">
        <f>'2-state flows'!H248</f>
        <v>3.3357226082907261E-2</v>
      </c>
      <c r="J249">
        <f t="shared" si="269"/>
        <v>3.2273253677563528E-2</v>
      </c>
      <c r="K249">
        <v>0.5</v>
      </c>
      <c r="L249">
        <f t="shared" si="271"/>
        <v>0.40754730577964027</v>
      </c>
      <c r="M249">
        <f t="shared" si="266"/>
        <v>2.8922002018344928E-2</v>
      </c>
      <c r="N249">
        <f t="shared" ref="N249:O249" si="290">AVERAGE(G247:G249)</f>
        <v>0.88286026567329168</v>
      </c>
      <c r="O249">
        <f t="shared" si="290"/>
        <v>0.83814333500916172</v>
      </c>
      <c r="P249">
        <f t="shared" si="273"/>
        <v>3.6130616410900492E-2</v>
      </c>
      <c r="Q249">
        <f t="shared" si="274"/>
        <v>4.2652296646628285E-2</v>
      </c>
      <c r="R249">
        <f t="shared" si="275"/>
        <v>2.8573689922794587E-2</v>
      </c>
      <c r="U249" s="18">
        <f t="shared" si="252"/>
        <v>41153</v>
      </c>
      <c r="V249">
        <f t="shared" si="220"/>
        <v>8.0289336618338772E-2</v>
      </c>
      <c r="W249" t="e">
        <f t="shared" si="221"/>
        <v>#N/A</v>
      </c>
      <c r="X249" t="e">
        <f t="shared" si="222"/>
        <v>#N/A</v>
      </c>
      <c r="Y249" t="e">
        <f t="shared" si="223"/>
        <v>#N/A</v>
      </c>
      <c r="Z249">
        <f t="shared" si="224"/>
        <v>8.0289336618338772E-2</v>
      </c>
      <c r="AA249">
        <f t="shared" si="225"/>
        <v>2.4608305572996588E-2</v>
      </c>
      <c r="AB249">
        <f t="shared" si="225"/>
        <v>2.8763884710919837E-2</v>
      </c>
    </row>
    <row r="250" spans="1:28" x14ac:dyDescent="0.25">
      <c r="A250" s="18">
        <f t="shared" si="268"/>
        <v>25051</v>
      </c>
      <c r="B250">
        <f>'2-state flows'!B249</f>
        <v>78811</v>
      </c>
      <c r="C250">
        <f>'2-state flows'!C249</f>
        <v>2768</v>
      </c>
      <c r="D250">
        <f>'Composite HWI'!B213*48.35347462</f>
        <v>3481.4501726399999</v>
      </c>
      <c r="E250">
        <f t="shared" si="263"/>
        <v>3.5122000735937874E-2</v>
      </c>
      <c r="F250">
        <f t="shared" si="264"/>
        <v>4.4174673239014854E-2</v>
      </c>
      <c r="G250">
        <f>'2-state flows'!G249</f>
        <v>0.87662547548172365</v>
      </c>
      <c r="H250">
        <f t="shared" si="265"/>
        <v>0.86490959589879091</v>
      </c>
      <c r="I250">
        <f>'2-state flows'!H249</f>
        <v>3.0269348364970441E-2</v>
      </c>
      <c r="J250">
        <f t="shared" si="269"/>
        <v>-9.713882766027726E-2</v>
      </c>
      <c r="K250">
        <v>0.5</v>
      </c>
      <c r="L250">
        <f t="shared" si="271"/>
        <v>0.21326965045908575</v>
      </c>
      <c r="M250">
        <f t="shared" si="266"/>
        <v>3.569040805505995E-2</v>
      </c>
      <c r="N250">
        <f t="shared" ref="N250:O250" si="291">AVERAGE(G248:G250)</f>
        <v>0.89510064569928982</v>
      </c>
      <c r="O250">
        <f t="shared" si="291"/>
        <v>0.84277515496258826</v>
      </c>
      <c r="P250">
        <f t="shared" si="273"/>
        <v>3.6254334464119568E-2</v>
      </c>
      <c r="Q250">
        <f t="shared" si="274"/>
        <v>4.3272276743510453E-2</v>
      </c>
      <c r="R250">
        <f t="shared" si="275"/>
        <v>3.1512308935907681E-2</v>
      </c>
      <c r="U250" s="18">
        <f t="shared" si="252"/>
        <v>41244</v>
      </c>
      <c r="V250">
        <f t="shared" si="220"/>
        <v>7.8249059903687537E-2</v>
      </c>
      <c r="W250" t="e">
        <f t="shared" si="221"/>
        <v>#N/A</v>
      </c>
      <c r="X250" t="e">
        <f t="shared" si="222"/>
        <v>#N/A</v>
      </c>
      <c r="Y250" t="e">
        <f t="shared" si="223"/>
        <v>#N/A</v>
      </c>
      <c r="Z250">
        <f t="shared" si="224"/>
        <v>7.8249059903687537E-2</v>
      </c>
      <c r="AA250">
        <f t="shared" si="225"/>
        <v>2.4786826636126275E-2</v>
      </c>
      <c r="AB250">
        <f t="shared" si="225"/>
        <v>2.9374662850651944E-2</v>
      </c>
    </row>
    <row r="251" spans="1:28" x14ac:dyDescent="0.25">
      <c r="A251" s="18">
        <f t="shared" si="268"/>
        <v>25082</v>
      </c>
      <c r="B251">
        <f>'2-state flows'!B250</f>
        <v>78858</v>
      </c>
      <c r="C251">
        <f>'2-state flows'!C250</f>
        <v>2686</v>
      </c>
      <c r="D251">
        <f>'Composite HWI'!B214*48.35347462</f>
        <v>3529.8036472600002</v>
      </c>
      <c r="E251">
        <f t="shared" si="263"/>
        <v>3.4061223972203201E-2</v>
      </c>
      <c r="F251">
        <f t="shared" si="264"/>
        <v>4.4761516235004697E-2</v>
      </c>
      <c r="G251">
        <f>'2-state flows'!G250</f>
        <v>0.82084517911713917</v>
      </c>
      <c r="H251">
        <f t="shared" si="265"/>
        <v>0.88408889625093712</v>
      </c>
      <c r="I251">
        <f>'2-state flows'!H250</f>
        <v>2.9003352252910508E-2</v>
      </c>
      <c r="J251">
        <f t="shared" si="269"/>
        <v>-4.2724177147201114E-2</v>
      </c>
      <c r="K251">
        <v>0.5</v>
      </c>
      <c r="L251">
        <f t="shared" si="271"/>
        <v>0.12782129616468352</v>
      </c>
      <c r="M251">
        <f t="shared" si="266"/>
        <v>3.9390609939144998E-2</v>
      </c>
      <c r="N251">
        <f t="shared" ref="N251:O251" si="292">AVERAGE(G249:G251)</f>
        <v>0.88009946583294063</v>
      </c>
      <c r="O251">
        <f t="shared" si="292"/>
        <v>0.86352549055608641</v>
      </c>
      <c r="P251">
        <f t="shared" si="273"/>
        <v>3.5230253071638601E-2</v>
      </c>
      <c r="Q251">
        <f t="shared" si="274"/>
        <v>4.4136539533085661E-2</v>
      </c>
      <c r="R251">
        <f t="shared" si="275"/>
        <v>3.4667673337516629E-2</v>
      </c>
      <c r="U251" s="18">
        <f t="shared" si="252"/>
        <v>41334</v>
      </c>
      <c r="V251">
        <f t="shared" si="220"/>
        <v>7.7444141746910902E-2</v>
      </c>
      <c r="W251" t="e">
        <f t="shared" si="221"/>
        <v>#N/A</v>
      </c>
      <c r="X251" t="e">
        <f t="shared" si="222"/>
        <v>#N/A</v>
      </c>
      <c r="Y251" t="e">
        <f t="shared" si="223"/>
        <v>#N/A</v>
      </c>
      <c r="Z251">
        <f t="shared" si="224"/>
        <v>7.7444141746910902E-2</v>
      </c>
      <c r="AA251">
        <f t="shared" si="225"/>
        <v>2.5395384882996586E-2</v>
      </c>
      <c r="AB251">
        <f t="shared" si="225"/>
        <v>3.3381793118724849E-2</v>
      </c>
    </row>
    <row r="252" spans="1:28" x14ac:dyDescent="0.25">
      <c r="A252" s="18">
        <f t="shared" si="268"/>
        <v>25112</v>
      </c>
      <c r="B252">
        <f>'2-state flows'!B251</f>
        <v>78913</v>
      </c>
      <c r="C252">
        <f>'2-state flows'!C251</f>
        <v>2689</v>
      </c>
      <c r="D252">
        <f>'Composite HWI'!B215*48.35347462</f>
        <v>3723.2175457399999</v>
      </c>
      <c r="E252">
        <f t="shared" si="263"/>
        <v>3.4075500868044555E-2</v>
      </c>
      <c r="F252">
        <f t="shared" si="264"/>
        <v>4.7181295169870616E-2</v>
      </c>
      <c r="G252">
        <f>'2-state flows'!G251</f>
        <v>0.87405657018622307</v>
      </c>
      <c r="H252">
        <f t="shared" si="265"/>
        <v>0.90748085519382993</v>
      </c>
      <c r="I252">
        <f>'2-state flows'!H251</f>
        <v>3.1353127475939289E-2</v>
      </c>
      <c r="J252">
        <f t="shared" si="269"/>
        <v>7.790260386745175E-2</v>
      </c>
      <c r="K252">
        <v>0.5</v>
      </c>
      <c r="L252">
        <f t="shared" si="271"/>
        <v>0.28362650389958699</v>
      </c>
      <c r="M252">
        <f t="shared" si="266"/>
        <v>3.5529773011703208E-2</v>
      </c>
      <c r="N252">
        <f t="shared" ref="N252:O252" si="293">AVERAGE(G250:G252)</f>
        <v>0.85717574159502863</v>
      </c>
      <c r="O252">
        <f t="shared" si="293"/>
        <v>0.88549311578118595</v>
      </c>
      <c r="P252">
        <f t="shared" si="273"/>
        <v>3.4419575192061874E-2</v>
      </c>
      <c r="Q252">
        <f t="shared" si="274"/>
        <v>4.5372494881296722E-2</v>
      </c>
      <c r="R252">
        <f t="shared" si="275"/>
        <v>3.687026366863605E-2</v>
      </c>
      <c r="U252" s="18">
        <f t="shared" si="252"/>
        <v>41426</v>
      </c>
      <c r="V252">
        <f t="shared" si="220"/>
        <v>7.5409267283785414E-2</v>
      </c>
      <c r="W252" t="e">
        <f t="shared" si="221"/>
        <v>#N/A</v>
      </c>
      <c r="X252" t="e">
        <f t="shared" si="222"/>
        <v>#N/A</v>
      </c>
      <c r="Y252" t="e">
        <f t="shared" si="223"/>
        <v>#N/A</v>
      </c>
      <c r="Z252">
        <f t="shared" si="224"/>
        <v>7.5409267283785414E-2</v>
      </c>
      <c r="AA252">
        <f t="shared" si="225"/>
        <v>2.4936755060442781E-2</v>
      </c>
      <c r="AB252">
        <f t="shared" si="225"/>
        <v>2.9862476310952304E-2</v>
      </c>
    </row>
    <row r="253" spans="1:28" x14ac:dyDescent="0.25">
      <c r="A253" s="18">
        <f t="shared" si="268"/>
        <v>25143</v>
      </c>
      <c r="B253">
        <f>'2-state flows'!B252</f>
        <v>79209</v>
      </c>
      <c r="C253">
        <f>'2-state flows'!C252</f>
        <v>2715</v>
      </c>
      <c r="D253">
        <f>'Composite HWI'!B216*48.35347462</f>
        <v>3723.2175457399999</v>
      </c>
      <c r="E253">
        <f t="shared" si="263"/>
        <v>3.4276407983941222E-2</v>
      </c>
      <c r="F253">
        <f t="shared" si="264"/>
        <v>4.7004981072100389E-2</v>
      </c>
      <c r="G253">
        <f>'2-state flows'!G252</f>
        <v>0.85209757423509547</v>
      </c>
      <c r="H253">
        <f t="shared" si="265"/>
        <v>0.90312518998225211</v>
      </c>
      <c r="I253">
        <f>'2-state flows'!H252</f>
        <v>2.9653301841507135E-2</v>
      </c>
      <c r="J253">
        <f t="shared" si="269"/>
        <v>-5.5740542267231394E-2</v>
      </c>
      <c r="K253">
        <v>0.5</v>
      </c>
      <c r="L253">
        <f t="shared" si="271"/>
        <v>0.1721454193651242</v>
      </c>
      <c r="M253">
        <f t="shared" si="266"/>
        <v>3.9571460222840436E-2</v>
      </c>
      <c r="N253">
        <f t="shared" ref="N253:O253" si="294">AVERAGE(G251:G253)</f>
        <v>0.84899977451281927</v>
      </c>
      <c r="O253">
        <f t="shared" si="294"/>
        <v>0.89823164714233972</v>
      </c>
      <c r="P253">
        <f t="shared" si="273"/>
        <v>3.4137710941396331E-2</v>
      </c>
      <c r="Q253">
        <f t="shared" si="274"/>
        <v>4.6315930825658568E-2</v>
      </c>
      <c r="R253">
        <f t="shared" si="275"/>
        <v>3.8163947724562886E-2</v>
      </c>
      <c r="U253" s="18">
        <f t="shared" si="252"/>
        <v>41518</v>
      </c>
      <c r="V253">
        <f t="shared" si="220"/>
        <v>7.5409267283785414E-2</v>
      </c>
      <c r="W253" t="e">
        <f t="shared" si="221"/>
        <v>#N/A</v>
      </c>
      <c r="X253" t="e">
        <f t="shared" si="222"/>
        <v>#N/A</v>
      </c>
      <c r="Y253" t="e">
        <f t="shared" si="223"/>
        <v>#N/A</v>
      </c>
      <c r="Z253">
        <f t="shared" si="224"/>
        <v>7.5409267283785414E-2</v>
      </c>
      <c r="AA253">
        <f t="shared" si="225"/>
        <v>2.4936755060442781E-2</v>
      </c>
      <c r="AB253">
        <f t="shared" si="225"/>
        <v>2.9862476310952304E-2</v>
      </c>
    </row>
    <row r="254" spans="1:28" x14ac:dyDescent="0.25">
      <c r="A254" s="18">
        <f t="shared" si="268"/>
        <v>25173</v>
      </c>
      <c r="B254">
        <f>'2-state flows'!B253</f>
        <v>79463</v>
      </c>
      <c r="C254">
        <f>'2-state flows'!C253</f>
        <v>2685</v>
      </c>
      <c r="D254">
        <f>'Composite HWI'!B217*48.35347462</f>
        <v>3674.8640711200001</v>
      </c>
      <c r="E254">
        <f t="shared" si="263"/>
        <v>3.3789310748398624E-2</v>
      </c>
      <c r="F254">
        <f t="shared" si="264"/>
        <v>4.6246228699143001E-2</v>
      </c>
      <c r="G254">
        <f>'2-state flows'!G253</f>
        <v>0.83581837865158193</v>
      </c>
      <c r="H254">
        <f t="shared" si="265"/>
        <v>0.90224017461208783</v>
      </c>
      <c r="I254">
        <f>'2-state flows'!H253</f>
        <v>2.9871732088845818E-2</v>
      </c>
      <c r="J254">
        <f t="shared" si="269"/>
        <v>7.3391382870895095E-3</v>
      </c>
      <c r="K254">
        <v>0.5</v>
      </c>
      <c r="L254">
        <f t="shared" si="271"/>
        <v>0.18682369593930323</v>
      </c>
      <c r="M254">
        <f t="shared" si="266"/>
        <v>3.8365408106967328E-2</v>
      </c>
      <c r="N254">
        <f t="shared" ref="N254:O254" si="295">AVERAGE(G252:G254)</f>
        <v>0.85399084102430012</v>
      </c>
      <c r="O254">
        <f t="shared" si="295"/>
        <v>0.90428207326272325</v>
      </c>
      <c r="P254">
        <f t="shared" si="273"/>
        <v>3.4047073200128133E-2</v>
      </c>
      <c r="Q254">
        <f t="shared" si="274"/>
        <v>4.6810834980371335E-2</v>
      </c>
      <c r="R254">
        <f t="shared" si="275"/>
        <v>3.7822213780503662E-2</v>
      </c>
      <c r="U254" s="18">
        <f t="shared" si="252"/>
        <v>41609</v>
      </c>
      <c r="V254">
        <f t="shared" si="220"/>
        <v>7.5409267283785414E-2</v>
      </c>
      <c r="W254" t="e">
        <f t="shared" si="221"/>
        <v>#N/A</v>
      </c>
      <c r="X254" t="e">
        <f t="shared" si="222"/>
        <v>#N/A</v>
      </c>
      <c r="Y254" t="e">
        <f t="shared" si="223"/>
        <v>#N/A</v>
      </c>
      <c r="Z254">
        <f t="shared" si="224"/>
        <v>7.5409267283785414E-2</v>
      </c>
      <c r="AA254">
        <f t="shared" si="225"/>
        <v>2.4936755060442781E-2</v>
      </c>
      <c r="AB254">
        <f t="shared" si="225"/>
        <v>2.9862476310952304E-2</v>
      </c>
    </row>
    <row r="255" spans="1:28" x14ac:dyDescent="0.25">
      <c r="A255" s="18">
        <f t="shared" si="268"/>
        <v>25204</v>
      </c>
      <c r="B255">
        <f>'2-state flows'!B254</f>
        <v>79523</v>
      </c>
      <c r="C255">
        <f>'2-state flows'!C254</f>
        <v>2718</v>
      </c>
      <c r="D255">
        <f>'Composite HWI'!B218*48.35347462</f>
        <v>3819.92449498</v>
      </c>
      <c r="E255">
        <f t="shared" si="263"/>
        <v>3.417879104158545E-2</v>
      </c>
      <c r="F255">
        <f t="shared" si="264"/>
        <v>4.8035467663191778E-2</v>
      </c>
      <c r="G255">
        <f>'2-state flows'!G254</f>
        <v>0.77675276441474206</v>
      </c>
      <c r="H255">
        <f t="shared" si="265"/>
        <v>0.91427391596589813</v>
      </c>
      <c r="I255">
        <f>'2-state flows'!H254</f>
        <v>2.6995383064914745E-2</v>
      </c>
      <c r="J255">
        <f t="shared" si="269"/>
        <v>-0.10124676433433029</v>
      </c>
      <c r="K255">
        <v>0.5</v>
      </c>
      <c r="L255">
        <f t="shared" si="271"/>
        <v>-1.5669832729357347E-2</v>
      </c>
      <c r="M255">
        <f t="shared" si="266"/>
        <v>4.8794103733587113E-2</v>
      </c>
      <c r="N255">
        <f t="shared" ref="N255:O255" si="296">AVERAGE(G253:G255)</f>
        <v>0.82155623910047326</v>
      </c>
      <c r="O255">
        <f t="shared" si="296"/>
        <v>0.90654642685341269</v>
      </c>
      <c r="P255">
        <f t="shared" si="273"/>
        <v>3.4081503257975099E-2</v>
      </c>
      <c r="Q255">
        <f t="shared" si="274"/>
        <v>4.7095559144811727E-2</v>
      </c>
      <c r="R255">
        <f t="shared" si="275"/>
        <v>4.2243657354464954E-2</v>
      </c>
    </row>
    <row r="256" spans="1:28" x14ac:dyDescent="0.25">
      <c r="A256" s="18">
        <f t="shared" si="268"/>
        <v>25235</v>
      </c>
      <c r="B256">
        <f>'2-state flows'!B255</f>
        <v>80019</v>
      </c>
      <c r="C256">
        <f>'2-state flows'!C255</f>
        <v>2692</v>
      </c>
      <c r="D256">
        <f>'Composite HWI'!B219*48.35347462</f>
        <v>3819.92449498</v>
      </c>
      <c r="E256">
        <f t="shared" si="263"/>
        <v>3.3642010022619628E-2</v>
      </c>
      <c r="F256">
        <f t="shared" si="264"/>
        <v>4.7737718479111207E-2</v>
      </c>
      <c r="G256">
        <f>'2-state flows'!G255</f>
        <v>0.88682570341425149</v>
      </c>
      <c r="H256">
        <f t="shared" si="265"/>
        <v>0.91867844800344678</v>
      </c>
      <c r="I256">
        <f>'2-state flows'!H255</f>
        <v>3.126852465765774E-2</v>
      </c>
      <c r="J256">
        <f t="shared" si="269"/>
        <v>0.14694613581061328</v>
      </c>
      <c r="K256">
        <v>0.5</v>
      </c>
      <c r="L256">
        <f t="shared" si="271"/>
        <v>0.27822243889186921</v>
      </c>
      <c r="M256">
        <f t="shared" si="266"/>
        <v>3.6143581838043295E-2</v>
      </c>
      <c r="N256">
        <f t="shared" ref="N256:O256" si="297">AVERAGE(G254:G256)</f>
        <v>0.83313228216019175</v>
      </c>
      <c r="O256">
        <f t="shared" si="297"/>
        <v>0.91173084619381095</v>
      </c>
      <c r="P256">
        <f t="shared" si="273"/>
        <v>3.3870037270867903E-2</v>
      </c>
      <c r="Q256">
        <f t="shared" si="274"/>
        <v>4.7339804947148657E-2</v>
      </c>
      <c r="R256">
        <f t="shared" si="275"/>
        <v>4.1101031226199243E-2</v>
      </c>
    </row>
    <row r="257" spans="1:18" x14ac:dyDescent="0.25">
      <c r="A257" s="18">
        <f t="shared" si="268"/>
        <v>25263</v>
      </c>
      <c r="B257">
        <f>'2-state flows'!B256</f>
        <v>80079</v>
      </c>
      <c r="C257">
        <f>'2-state flows'!C256</f>
        <v>2712</v>
      </c>
      <c r="D257">
        <f>'Composite HWI'!B220*48.35347462</f>
        <v>3868.2779695999998</v>
      </c>
      <c r="E257">
        <f t="shared" si="263"/>
        <v>3.3866556775184506E-2</v>
      </c>
      <c r="F257">
        <f t="shared" si="264"/>
        <v>4.8305772669488878E-2</v>
      </c>
      <c r="G257">
        <f>'2-state flows'!G256</f>
        <v>0.85099199092734557</v>
      </c>
      <c r="H257">
        <f t="shared" si="265"/>
        <v>0.92105944645466986</v>
      </c>
      <c r="I257">
        <f>'2-state flows'!H256</f>
        <v>3.0725141103623971E-2</v>
      </c>
      <c r="J257">
        <f t="shared" si="269"/>
        <v>-1.7530741686429367E-2</v>
      </c>
      <c r="K257">
        <v>0.5</v>
      </c>
      <c r="L257">
        <f t="shared" si="271"/>
        <v>0.24316095551901046</v>
      </c>
      <c r="M257">
        <f t="shared" si="266"/>
        <v>3.7878744171794522E-2</v>
      </c>
      <c r="N257">
        <f t="shared" ref="N257:O257" si="298">AVERAGE(G255:G257)</f>
        <v>0.83819015291877974</v>
      </c>
      <c r="O257">
        <f t="shared" si="298"/>
        <v>0.91800393680800496</v>
      </c>
      <c r="P257">
        <f t="shared" si="273"/>
        <v>3.389578594646319E-2</v>
      </c>
      <c r="Q257">
        <f t="shared" si="274"/>
        <v>4.8026319603930619E-2</v>
      </c>
      <c r="R257">
        <f t="shared" si="275"/>
        <v>4.0938809914474981E-2</v>
      </c>
    </row>
    <row r="258" spans="1:18" x14ac:dyDescent="0.25">
      <c r="A258" s="18">
        <f t="shared" si="268"/>
        <v>25294</v>
      </c>
      <c r="B258">
        <f>'2-state flows'!B257</f>
        <v>80281</v>
      </c>
      <c r="C258">
        <f>'2-state flows'!C257</f>
        <v>2758</v>
      </c>
      <c r="D258">
        <f>'Composite HWI'!B221*48.35347462</f>
        <v>3868.2779695999998</v>
      </c>
      <c r="E258">
        <f t="shared" si="263"/>
        <v>3.4354330414419355E-2</v>
      </c>
      <c r="F258">
        <f t="shared" si="264"/>
        <v>4.8184227520833074E-2</v>
      </c>
      <c r="G258">
        <f>'2-state flows'!G257</f>
        <v>0.95247038845165732</v>
      </c>
      <c r="H258">
        <f t="shared" si="265"/>
        <v>0.91334608754263158</v>
      </c>
      <c r="I258">
        <f>'2-state flows'!H257</f>
        <v>3.2972883606037097E-2</v>
      </c>
      <c r="J258">
        <f t="shared" si="269"/>
        <v>7.0604266859686932E-2</v>
      </c>
      <c r="K258">
        <v>0.5</v>
      </c>
      <c r="L258">
        <f t="shared" si="271"/>
        <v>0.38436948923838432</v>
      </c>
      <c r="M258">
        <f t="shared" si="266"/>
        <v>3.2807667339025876E-2</v>
      </c>
      <c r="N258">
        <f t="shared" ref="N258:O258" si="299">AVERAGE(G256:G258)</f>
        <v>0.89676269426441813</v>
      </c>
      <c r="O258">
        <f t="shared" si="299"/>
        <v>0.91769466066691618</v>
      </c>
      <c r="P258">
        <f t="shared" si="273"/>
        <v>3.3954299070741163E-2</v>
      </c>
      <c r="Q258">
        <f t="shared" si="274"/>
        <v>4.8075906223144386E-2</v>
      </c>
      <c r="R258">
        <f t="shared" si="275"/>
        <v>3.5609997782954567E-2</v>
      </c>
    </row>
    <row r="259" spans="1:18" x14ac:dyDescent="0.25">
      <c r="A259" s="18">
        <f t="shared" si="268"/>
        <v>25324</v>
      </c>
      <c r="B259">
        <f>'2-state flows'!B258</f>
        <v>80125</v>
      </c>
      <c r="C259">
        <f>'2-state flows'!C258</f>
        <v>2713</v>
      </c>
      <c r="D259">
        <f>'Composite HWI'!B222*48.35347462</f>
        <v>3868.2779695999998</v>
      </c>
      <c r="E259">
        <f t="shared" si="263"/>
        <v>3.3859594383775352E-2</v>
      </c>
      <c r="F259">
        <f t="shared" si="264"/>
        <v>4.8278040182215286E-2</v>
      </c>
      <c r="G259">
        <f>'2-state flows'!G258</f>
        <v>0.8565554714030954</v>
      </c>
      <c r="H259">
        <f t="shared" si="265"/>
        <v>0.92088968155663697</v>
      </c>
      <c r="I259">
        <f>'2-state flows'!H258</f>
        <v>3.2027162172162955E-2</v>
      </c>
      <c r="J259">
        <f t="shared" si="269"/>
        <v>-2.9101154133045985E-2</v>
      </c>
      <c r="K259">
        <v>0.5</v>
      </c>
      <c r="L259">
        <f t="shared" si="271"/>
        <v>0.32616718097229236</v>
      </c>
      <c r="M259">
        <f t="shared" si="266"/>
        <v>3.4841514517358466E-2</v>
      </c>
      <c r="N259">
        <f t="shared" ref="N259:O259" si="300">AVERAGE(G257:G259)</f>
        <v>0.8866726169273661</v>
      </c>
      <c r="O259">
        <f t="shared" si="300"/>
        <v>0.91843173851797955</v>
      </c>
      <c r="P259">
        <f t="shared" si="273"/>
        <v>3.4026827191126409E-2</v>
      </c>
      <c r="Q259">
        <f t="shared" si="274"/>
        <v>4.825601345751241E-2</v>
      </c>
      <c r="R259">
        <f t="shared" si="275"/>
        <v>3.5175975342726283E-2</v>
      </c>
    </row>
    <row r="260" spans="1:18" x14ac:dyDescent="0.25">
      <c r="A260" s="18">
        <f t="shared" si="268"/>
        <v>25355</v>
      </c>
      <c r="B260">
        <f>'2-state flows'!B259</f>
        <v>80696</v>
      </c>
      <c r="C260">
        <f>'2-state flows'!C259</f>
        <v>2816</v>
      </c>
      <c r="D260">
        <f>'Composite HWI'!B223*48.35347462</f>
        <v>3771.5710203600001</v>
      </c>
      <c r="E260">
        <f t="shared" si="263"/>
        <v>3.4896401308615051E-2</v>
      </c>
      <c r="F260">
        <f t="shared" si="264"/>
        <v>4.6738017006543078E-2</v>
      </c>
      <c r="G260">
        <f>'2-state flows'!G259</f>
        <v>0.86810951931188962</v>
      </c>
      <c r="H260">
        <f t="shared" si="265"/>
        <v>0.8925210882132143</v>
      </c>
      <c r="I260">
        <f>'2-state flows'!H259</f>
        <v>3.2402120038415243E-2</v>
      </c>
      <c r="J260">
        <f t="shared" si="269"/>
        <v>1.1639493304392838E-2</v>
      </c>
      <c r="K260">
        <v>0.5</v>
      </c>
      <c r="L260">
        <f t="shared" si="271"/>
        <v>0.34944616758107805</v>
      </c>
      <c r="M260">
        <f t="shared" si="266"/>
        <v>3.2953969845355688E-2</v>
      </c>
      <c r="N260">
        <f t="shared" ref="N260:O260" si="301">AVERAGE(G258:G260)</f>
        <v>0.89237845972221408</v>
      </c>
      <c r="O260">
        <f t="shared" si="301"/>
        <v>0.90891895243749421</v>
      </c>
      <c r="P260">
        <f t="shared" si="273"/>
        <v>3.4370108702269919E-2</v>
      </c>
      <c r="Q260">
        <f t="shared" si="274"/>
        <v>4.7733428236530484E-2</v>
      </c>
      <c r="R260">
        <f t="shared" si="275"/>
        <v>3.3534383900580007E-2</v>
      </c>
    </row>
    <row r="261" spans="1:18" x14ac:dyDescent="0.25">
      <c r="A261" s="18">
        <f t="shared" si="268"/>
        <v>25385</v>
      </c>
      <c r="B261">
        <f>'2-state flows'!B260</f>
        <v>80827</v>
      </c>
      <c r="C261">
        <f>'2-state flows'!C260</f>
        <v>2868</v>
      </c>
      <c r="D261">
        <f>'Composite HWI'!B224*48.35347462</f>
        <v>3723.2175457399999</v>
      </c>
      <c r="E261">
        <f t="shared" si="263"/>
        <v>3.5483192497556507E-2</v>
      </c>
      <c r="F261">
        <f t="shared" si="264"/>
        <v>4.60640323869499E-2</v>
      </c>
      <c r="G261">
        <f>'2-state flows'!G260</f>
        <v>0.85558407223823951</v>
      </c>
      <c r="H261">
        <f t="shared" si="265"/>
        <v>0.87870540796191776</v>
      </c>
      <c r="I261">
        <f>'2-state flows'!H260</f>
        <v>3.1243574408911224E-2</v>
      </c>
      <c r="J261">
        <f t="shared" si="269"/>
        <v>-3.6410117816938432E-2</v>
      </c>
      <c r="K261">
        <v>0.5</v>
      </c>
      <c r="L261">
        <f t="shared" si="271"/>
        <v>0.2766259319472012</v>
      </c>
      <c r="M261">
        <f t="shared" si="266"/>
        <v>3.4932111449214966E-2</v>
      </c>
      <c r="N261">
        <f t="shared" ref="N261:O261" si="302">AVERAGE(G259:G261)</f>
        <v>0.86008302098440803</v>
      </c>
      <c r="O261">
        <f t="shared" si="302"/>
        <v>0.89737205924392294</v>
      </c>
      <c r="P261">
        <f t="shared" si="273"/>
        <v>3.4746396063315636E-2</v>
      </c>
      <c r="Q261">
        <f t="shared" si="274"/>
        <v>4.7026696525236084E-2</v>
      </c>
      <c r="R261">
        <f t="shared" si="275"/>
        <v>3.4242531937309702E-2</v>
      </c>
    </row>
    <row r="262" spans="1:18" x14ac:dyDescent="0.25">
      <c r="A262" s="18">
        <f t="shared" si="268"/>
        <v>25416</v>
      </c>
      <c r="B262">
        <f>'2-state flows'!B261</f>
        <v>81106</v>
      </c>
      <c r="C262">
        <f>'2-state flows'!C261</f>
        <v>2856</v>
      </c>
      <c r="D262">
        <f>'Composite HWI'!B225*48.35347462</f>
        <v>3674.8640711200001</v>
      </c>
      <c r="E262">
        <f t="shared" si="263"/>
        <v>3.5213177816684336E-2</v>
      </c>
      <c r="F262">
        <f t="shared" si="264"/>
        <v>4.530939845535472E-2</v>
      </c>
      <c r="G262">
        <f>'2-state flows'!G261</f>
        <v>0.75154214704911104</v>
      </c>
      <c r="H262">
        <f t="shared" si="265"/>
        <v>0.87481295284810734</v>
      </c>
      <c r="I262">
        <f>'2-state flows'!H261</f>
        <v>3.0820098681856291E-2</v>
      </c>
      <c r="J262">
        <f t="shared" si="269"/>
        <v>-1.3646704361026628E-2</v>
      </c>
      <c r="K262">
        <v>0.5</v>
      </c>
      <c r="L262">
        <f t="shared" si="271"/>
        <v>0.24933252322514793</v>
      </c>
      <c r="M262">
        <f t="shared" si="266"/>
        <v>3.5310556109512496E-2</v>
      </c>
      <c r="N262">
        <f t="shared" ref="N262:O262" si="303">AVERAGE(G260:G262)</f>
        <v>0.82507857953308006</v>
      </c>
      <c r="O262">
        <f t="shared" si="303"/>
        <v>0.88201314967441313</v>
      </c>
      <c r="P262">
        <f t="shared" si="273"/>
        <v>3.5197590540951972E-2</v>
      </c>
      <c r="Q262">
        <f t="shared" si="274"/>
        <v>4.603714928294924E-2</v>
      </c>
      <c r="R262">
        <f t="shared" si="275"/>
        <v>3.4398879134694388E-2</v>
      </c>
    </row>
    <row r="263" spans="1:18" x14ac:dyDescent="0.25">
      <c r="A263" s="18">
        <f t="shared" si="268"/>
        <v>25447</v>
      </c>
      <c r="B263">
        <f>'2-state flows'!B262</f>
        <v>81290</v>
      </c>
      <c r="C263">
        <f>'2-state flows'!C262</f>
        <v>3040</v>
      </c>
      <c r="D263">
        <f>'Composite HWI'!B226*48.35347462</f>
        <v>3868.2779695999998</v>
      </c>
      <c r="E263">
        <f t="shared" si="263"/>
        <v>3.7396973797515068E-2</v>
      </c>
      <c r="F263">
        <f t="shared" si="264"/>
        <v>4.7586147983761838E-2</v>
      </c>
      <c r="G263">
        <f>'2-state flows'!G262</f>
        <v>0.9007865453381898</v>
      </c>
      <c r="H263">
        <f t="shared" si="265"/>
        <v>0.86995284328224365</v>
      </c>
      <c r="I263">
        <f>'2-state flows'!H262</f>
        <v>3.5172530350354829E-2</v>
      </c>
      <c r="J263">
        <f t="shared" si="269"/>
        <v>0.13209835840491332</v>
      </c>
      <c r="K263">
        <v>0.5</v>
      </c>
      <c r="L263">
        <f t="shared" si="271"/>
        <v>0.51352924003497458</v>
      </c>
      <c r="M263">
        <f t="shared" si="266"/>
        <v>2.8474600235828575E-2</v>
      </c>
      <c r="N263">
        <f t="shared" ref="N263:O263" si="304">AVERAGE(G261:G263)</f>
        <v>0.83597092154184682</v>
      </c>
      <c r="O263">
        <f t="shared" si="304"/>
        <v>0.87449040136408962</v>
      </c>
      <c r="P263">
        <f t="shared" si="273"/>
        <v>3.6031114703918635E-2</v>
      </c>
      <c r="Q263">
        <f t="shared" si="274"/>
        <v>4.631985960868882E-2</v>
      </c>
      <c r="R263">
        <f t="shared" si="275"/>
        <v>3.2905755931518677E-2</v>
      </c>
    </row>
    <row r="264" spans="1:18" x14ac:dyDescent="0.25">
      <c r="A264" s="18">
        <f t="shared" si="268"/>
        <v>25477</v>
      </c>
      <c r="B264">
        <f>'2-state flows'!B263</f>
        <v>81494</v>
      </c>
      <c r="C264">
        <f>'2-state flows'!C263</f>
        <v>3049</v>
      </c>
      <c r="D264">
        <f>'Composite HWI'!B227*48.35347462</f>
        <v>3819.92449498</v>
      </c>
      <c r="E264">
        <f t="shared" si="263"/>
        <v>3.7413797334773111E-2</v>
      </c>
      <c r="F264">
        <f t="shared" si="264"/>
        <v>4.6873690026014186E-2</v>
      </c>
      <c r="G264">
        <f>'2-state flows'!G263</f>
        <v>0.87108348308351946</v>
      </c>
      <c r="H264">
        <f t="shared" si="265"/>
        <v>0.86322168878912542</v>
      </c>
      <c r="I264">
        <f>'2-state flows'!H263</f>
        <v>3.01240104912644E-2</v>
      </c>
      <c r="J264">
        <f t="shared" si="269"/>
        <v>-0.15494284566064431</v>
      </c>
      <c r="K264">
        <v>0.5</v>
      </c>
      <c r="L264">
        <f t="shared" si="271"/>
        <v>0.20364354871368595</v>
      </c>
      <c r="M264">
        <f t="shared" si="266"/>
        <v>3.8237357741380533E-2</v>
      </c>
      <c r="N264">
        <f t="shared" ref="N264:O264" si="305">AVERAGE(G262:G264)</f>
        <v>0.84113739182360681</v>
      </c>
      <c r="O264">
        <f t="shared" si="305"/>
        <v>0.86932916163982554</v>
      </c>
      <c r="P264">
        <f t="shared" si="273"/>
        <v>3.6674649649657505E-2</v>
      </c>
      <c r="Q264">
        <f t="shared" si="274"/>
        <v>4.658974548837691E-2</v>
      </c>
      <c r="R264">
        <f t="shared" si="275"/>
        <v>3.400750469557387E-2</v>
      </c>
    </row>
    <row r="265" spans="1:18" x14ac:dyDescent="0.25">
      <c r="A265" s="18">
        <f t="shared" si="268"/>
        <v>25508</v>
      </c>
      <c r="B265">
        <f>'2-state flows'!B264</f>
        <v>81397</v>
      </c>
      <c r="C265">
        <f>'2-state flows'!C264</f>
        <v>2856</v>
      </c>
      <c r="D265">
        <f>'Composite HWI'!B228*48.35347462</f>
        <v>3723.2175457399999</v>
      </c>
      <c r="E265">
        <f t="shared" si="263"/>
        <v>3.5087288229295917E-2</v>
      </c>
      <c r="F265">
        <f t="shared" si="264"/>
        <v>4.5741459092349841E-2</v>
      </c>
      <c r="G265">
        <f>'2-state flows'!G264</f>
        <v>0.78782730678887558</v>
      </c>
      <c r="H265">
        <f t="shared" si="265"/>
        <v>0.88054949269321781</v>
      </c>
      <c r="I265">
        <f>'2-state flows'!H264</f>
        <v>2.9169645719384397E-2</v>
      </c>
      <c r="J265">
        <f t="shared" si="269"/>
        <v>-3.2193906078391114E-2</v>
      </c>
      <c r="K265">
        <v>0.5</v>
      </c>
      <c r="L265">
        <f t="shared" si="271"/>
        <v>0.13925573655690371</v>
      </c>
      <c r="M265">
        <f t="shared" si="266"/>
        <v>3.979532134483621E-2</v>
      </c>
      <c r="N265">
        <f t="shared" ref="N265:O265" si="306">AVERAGE(G263:G265)</f>
        <v>0.85323244507019502</v>
      </c>
      <c r="O265">
        <f t="shared" si="306"/>
        <v>0.87124134158819577</v>
      </c>
      <c r="P265">
        <f t="shared" si="273"/>
        <v>3.6632686453861363E-2</v>
      </c>
      <c r="Q265">
        <f t="shared" si="274"/>
        <v>4.673376570070862E-2</v>
      </c>
      <c r="R265">
        <f t="shared" si="275"/>
        <v>3.5502426440681772E-2</v>
      </c>
    </row>
    <row r="266" spans="1:18" x14ac:dyDescent="0.25">
      <c r="A266" s="18">
        <f t="shared" si="268"/>
        <v>25538</v>
      </c>
      <c r="B266">
        <f>'2-state flows'!B265</f>
        <v>81624</v>
      </c>
      <c r="C266">
        <f>'2-state flows'!C265</f>
        <v>2884</v>
      </c>
      <c r="D266">
        <f>'Composite HWI'!B229*48.35347462</f>
        <v>3626.5105964999998</v>
      </c>
      <c r="E266">
        <f t="shared" si="263"/>
        <v>3.5332745270998729E-2</v>
      </c>
      <c r="F266">
        <f t="shared" si="264"/>
        <v>4.4429464330344011E-2</v>
      </c>
      <c r="G266">
        <f>'2-state flows'!G265</f>
        <v>0.72199195206783273</v>
      </c>
      <c r="H266">
        <f t="shared" si="265"/>
        <v>0.86480962368601977</v>
      </c>
      <c r="I266">
        <f>'2-state flows'!H265</f>
        <v>3.2177357533263146E-2</v>
      </c>
      <c r="J266">
        <f t="shared" si="269"/>
        <v>9.8134384575050262E-2</v>
      </c>
      <c r="K266">
        <v>0.5</v>
      </c>
      <c r="L266">
        <f t="shared" si="271"/>
        <v>0.33552450570700421</v>
      </c>
      <c r="M266">
        <f t="shared" si="266"/>
        <v>3.176542247616651E-2</v>
      </c>
      <c r="N266">
        <f t="shared" ref="N266:O266" si="307">AVERAGE(G264:G266)</f>
        <v>0.79363424731340926</v>
      </c>
      <c r="O266">
        <f t="shared" si="307"/>
        <v>0.869526935056121</v>
      </c>
      <c r="P266">
        <f t="shared" si="273"/>
        <v>3.5944610278355917E-2</v>
      </c>
      <c r="Q266">
        <f t="shared" si="274"/>
        <v>4.5681537816236011E-2</v>
      </c>
      <c r="R266">
        <f t="shared" si="275"/>
        <v>3.6599367187461089E-2</v>
      </c>
    </row>
    <row r="267" spans="1:18" x14ac:dyDescent="0.25">
      <c r="A267" s="18">
        <f t="shared" si="268"/>
        <v>25569</v>
      </c>
      <c r="B267">
        <f>'2-state flows'!B266</f>
        <v>81981</v>
      </c>
      <c r="C267">
        <f>'2-state flows'!C266</f>
        <v>3201</v>
      </c>
      <c r="D267">
        <f>'Composite HWI'!B230*48.35347462</f>
        <v>3433.0966980200001</v>
      </c>
      <c r="E267">
        <f t="shared" si="263"/>
        <v>3.904563252460936E-2</v>
      </c>
      <c r="F267">
        <f t="shared" si="264"/>
        <v>4.1876736048840589E-2</v>
      </c>
      <c r="G267">
        <f>'2-state flows'!G266</f>
        <v>0.75600015021688849</v>
      </c>
      <c r="H267">
        <f t="shared" si="265"/>
        <v>0.79868190927553595</v>
      </c>
      <c r="I267">
        <f>'2-state flows'!H266</f>
        <v>3.5347574511429877E-2</v>
      </c>
      <c r="J267">
        <f t="shared" si="269"/>
        <v>9.3966753445509588E-2</v>
      </c>
      <c r="K267">
        <v>0.5</v>
      </c>
      <c r="L267">
        <f t="shared" si="271"/>
        <v>0.52345801259802338</v>
      </c>
      <c r="M267">
        <f t="shared" si="266"/>
        <v>2.4810636058821119E-2</v>
      </c>
      <c r="N267">
        <f t="shared" ref="N267:O267" si="308">AVERAGE(G265:G267)</f>
        <v>0.75527313635786564</v>
      </c>
      <c r="O267">
        <f t="shared" si="308"/>
        <v>0.84801367521825777</v>
      </c>
      <c r="P267">
        <f t="shared" si="273"/>
        <v>3.6488555341634671E-2</v>
      </c>
      <c r="Q267">
        <f t="shared" si="274"/>
        <v>4.4015886490511476E-2</v>
      </c>
      <c r="R267">
        <f t="shared" si="275"/>
        <v>3.2123793293274611E-2</v>
      </c>
    </row>
    <row r="268" spans="1:18" x14ac:dyDescent="0.25">
      <c r="A268" s="18">
        <f t="shared" si="268"/>
        <v>25600</v>
      </c>
      <c r="B268">
        <f>'2-state flows'!B267</f>
        <v>82151</v>
      </c>
      <c r="C268">
        <f>'2-state flows'!C267</f>
        <v>3453</v>
      </c>
      <c r="D268">
        <f>'Composite HWI'!B231*48.35347462</f>
        <v>3433.0966980200001</v>
      </c>
      <c r="E268">
        <f t="shared" si="263"/>
        <v>4.2032355053499046E-2</v>
      </c>
      <c r="F268">
        <f t="shared" si="264"/>
        <v>4.1790078002945798E-2</v>
      </c>
      <c r="G268">
        <f>'2-state flows'!G267</f>
        <v>0.7342346799634295</v>
      </c>
      <c r="H268">
        <f t="shared" si="265"/>
        <v>0.76898593299540718</v>
      </c>
      <c r="I268">
        <f>'2-state flows'!H267</f>
        <v>3.5531530715241351E-2</v>
      </c>
      <c r="J268">
        <f t="shared" si="269"/>
        <v>5.1907149859939166E-3</v>
      </c>
      <c r="K268">
        <v>0.5</v>
      </c>
      <c r="L268">
        <f t="shared" si="271"/>
        <v>0.53383944257001126</v>
      </c>
      <c r="M268">
        <f t="shared" si="266"/>
        <v>2.4503586643141454E-2</v>
      </c>
      <c r="N268">
        <f t="shared" ref="N268:O268" si="309">AVERAGE(G266:G268)</f>
        <v>0.73740892741605013</v>
      </c>
      <c r="O268">
        <f t="shared" si="309"/>
        <v>0.81082582198565445</v>
      </c>
      <c r="P268">
        <f t="shared" si="273"/>
        <v>3.8803577616369045E-2</v>
      </c>
      <c r="Q268">
        <f t="shared" si="274"/>
        <v>4.2698759460710133E-2</v>
      </c>
      <c r="R268">
        <f t="shared" si="275"/>
        <v>2.7026548392709696E-2</v>
      </c>
    </row>
    <row r="269" spans="1:18" x14ac:dyDescent="0.25">
      <c r="A269" s="18">
        <f t="shared" si="268"/>
        <v>25628</v>
      </c>
      <c r="B269">
        <f>'2-state flows'!B268</f>
        <v>82498</v>
      </c>
      <c r="C269">
        <f>'2-state flows'!C268</f>
        <v>3635</v>
      </c>
      <c r="D269">
        <f>'Composite HWI'!B232*48.35347462</f>
        <v>3239.6827995399999</v>
      </c>
      <c r="E269">
        <f t="shared" si="263"/>
        <v>4.4061674222405395E-2</v>
      </c>
      <c r="F269">
        <f t="shared" si="264"/>
        <v>3.9269834414652476E-2</v>
      </c>
      <c r="G269">
        <f>'2-state flows'!G268</f>
        <v>0.78499705427237942</v>
      </c>
      <c r="H269">
        <f t="shared" si="265"/>
        <v>0.7280692749957105</v>
      </c>
      <c r="I269">
        <f>'2-state flows'!H268</f>
        <v>3.9198262105141726E-2</v>
      </c>
      <c r="J269">
        <f t="shared" si="269"/>
        <v>9.8211920324619256E-2</v>
      </c>
      <c r="K269">
        <v>0.5</v>
      </c>
      <c r="L269">
        <f t="shared" si="271"/>
        <v>0.73026328321924971</v>
      </c>
      <c r="M269">
        <f t="shared" si="266"/>
        <v>1.8919504399960461E-2</v>
      </c>
      <c r="N269">
        <f t="shared" ref="N269:O269" si="310">AVERAGE(G267:G269)</f>
        <v>0.75841062815089921</v>
      </c>
      <c r="O269">
        <f t="shared" si="310"/>
        <v>0.76524570575555118</v>
      </c>
      <c r="P269">
        <f t="shared" si="273"/>
        <v>4.1713220600171269E-2</v>
      </c>
      <c r="Q269">
        <f t="shared" si="274"/>
        <v>4.097888282214629E-2</v>
      </c>
      <c r="R269">
        <f t="shared" si="275"/>
        <v>2.274457570064101E-2</v>
      </c>
    </row>
    <row r="270" spans="1:18" x14ac:dyDescent="0.25">
      <c r="A270" s="18">
        <f t="shared" si="268"/>
        <v>25659</v>
      </c>
      <c r="B270">
        <f>'2-state flows'!B269</f>
        <v>82727</v>
      </c>
      <c r="C270">
        <f>'2-state flows'!C269</f>
        <v>3797</v>
      </c>
      <c r="D270">
        <f>'Composite HWI'!B233*48.35347462</f>
        <v>3142.9758502999998</v>
      </c>
      <c r="E270">
        <f t="shared" si="263"/>
        <v>4.5897953509736848E-2</v>
      </c>
      <c r="F270">
        <f t="shared" si="264"/>
        <v>3.7992141021673698E-2</v>
      </c>
      <c r="G270">
        <f>'2-state flows'!G269</f>
        <v>0.74088443597193088</v>
      </c>
      <c r="H270">
        <f t="shared" si="265"/>
        <v>0.70165542907555378</v>
      </c>
      <c r="I270">
        <f>'2-state flows'!H269</f>
        <v>3.7865781263933286E-2</v>
      </c>
      <c r="J270">
        <f t="shared" si="269"/>
        <v>-3.4584576529989225E-2</v>
      </c>
      <c r="K270">
        <v>0.5</v>
      </c>
      <c r="L270">
        <f t="shared" si="271"/>
        <v>0.66109413015927121</v>
      </c>
      <c r="M270">
        <f t="shared" si="266"/>
        <v>1.9614815880690067E-2</v>
      </c>
      <c r="N270">
        <f t="shared" ref="N270:O270" si="311">AVERAGE(G268:G270)</f>
        <v>0.75337205673591334</v>
      </c>
      <c r="O270">
        <f t="shared" si="311"/>
        <v>0.73290354568889049</v>
      </c>
      <c r="P270">
        <f t="shared" si="273"/>
        <v>4.3997327595213763E-2</v>
      </c>
      <c r="Q270">
        <f t="shared" si="274"/>
        <v>3.9684017813090659E-2</v>
      </c>
      <c r="R270">
        <f t="shared" si="275"/>
        <v>2.1012635641263992E-2</v>
      </c>
    </row>
    <row r="271" spans="1:18" x14ac:dyDescent="0.25">
      <c r="A271" s="18">
        <f t="shared" si="268"/>
        <v>25689</v>
      </c>
      <c r="B271">
        <f>'2-state flows'!B270</f>
        <v>82483</v>
      </c>
      <c r="C271">
        <f>'2-state flows'!C270</f>
        <v>3919</v>
      </c>
      <c r="D271">
        <f>'Composite HWI'!B234*48.35347462</f>
        <v>2949.5619518200001</v>
      </c>
      <c r="E271">
        <f t="shared" si="263"/>
        <v>4.7512820823684881E-2</v>
      </c>
      <c r="F271">
        <f t="shared" si="264"/>
        <v>3.5759634734672599E-2</v>
      </c>
      <c r="G271">
        <f>'2-state flows'!G270</f>
        <v>0.68729549104691123</v>
      </c>
      <c r="H271">
        <f t="shared" si="265"/>
        <v>0.66905958364438356</v>
      </c>
      <c r="I271">
        <f>'2-state flows'!H270</f>
        <v>3.7003530775718427E-2</v>
      </c>
      <c r="J271">
        <f t="shared" si="269"/>
        <v>-2.3034500768951222E-2</v>
      </c>
      <c r="K271">
        <v>0.5</v>
      </c>
      <c r="L271">
        <f t="shared" si="271"/>
        <v>0.61502512862136882</v>
      </c>
      <c r="M271">
        <f t="shared" si="266"/>
        <v>1.9332635130315454E-2</v>
      </c>
      <c r="N271">
        <f t="shared" ref="N271:O271" si="312">AVERAGE(G269:G271)</f>
        <v>0.7377256604304071</v>
      </c>
      <c r="O271">
        <f t="shared" si="312"/>
        <v>0.69959476257188269</v>
      </c>
      <c r="P271">
        <f t="shared" si="273"/>
        <v>4.5824149518609046E-2</v>
      </c>
      <c r="Q271">
        <f t="shared" si="274"/>
        <v>3.7673870056999591E-2</v>
      </c>
      <c r="R271">
        <f t="shared" si="275"/>
        <v>1.9288985136988662E-2</v>
      </c>
    </row>
    <row r="272" spans="1:18" x14ac:dyDescent="0.25">
      <c r="A272" s="18">
        <f t="shared" si="268"/>
        <v>25720</v>
      </c>
      <c r="B272">
        <f>'2-state flows'!B271</f>
        <v>82484</v>
      </c>
      <c r="C272">
        <f>'2-state flows'!C271</f>
        <v>4071</v>
      </c>
      <c r="D272">
        <f>'Composite HWI'!B235*48.35347462</f>
        <v>2901.2084771999998</v>
      </c>
      <c r="E272">
        <f t="shared" si="263"/>
        <v>4.9355026429368121E-2</v>
      </c>
      <c r="F272">
        <f t="shared" si="264"/>
        <v>3.5172984787352694E-2</v>
      </c>
      <c r="G272">
        <f>'2-state flows'!G271</f>
        <v>0.68946935368535667</v>
      </c>
      <c r="H272">
        <f t="shared" si="265"/>
        <v>0.65104736299485899</v>
      </c>
      <c r="I272">
        <f>'2-state flows'!H271</f>
        <v>3.7661904199450216E-2</v>
      </c>
      <c r="J272">
        <f t="shared" si="269"/>
        <v>1.7635750405452608E-2</v>
      </c>
      <c r="K272">
        <v>0.5</v>
      </c>
      <c r="L272">
        <f t="shared" si="271"/>
        <v>0.65029662943227406</v>
      </c>
      <c r="M272">
        <f t="shared" si="266"/>
        <v>1.8356462289665972E-2</v>
      </c>
      <c r="N272">
        <f t="shared" ref="N272:O272" si="313">AVERAGE(G270:G272)</f>
        <v>0.70588309356806622</v>
      </c>
      <c r="O272">
        <f t="shared" si="313"/>
        <v>0.67392079190493204</v>
      </c>
      <c r="P272">
        <f t="shared" si="273"/>
        <v>4.7588600254263286E-2</v>
      </c>
      <c r="Q272">
        <f t="shared" si="274"/>
        <v>3.6308253514566326E-2</v>
      </c>
      <c r="R272">
        <f t="shared" si="275"/>
        <v>1.9101304433557165E-2</v>
      </c>
    </row>
    <row r="273" spans="1:18" x14ac:dyDescent="0.25">
      <c r="A273" s="18">
        <f t="shared" si="268"/>
        <v>25750</v>
      </c>
      <c r="B273">
        <f>'2-state flows'!B272</f>
        <v>82901</v>
      </c>
      <c r="C273">
        <f>'2-state flows'!C272</f>
        <v>4175</v>
      </c>
      <c r="D273">
        <f>'Composite HWI'!B236*48.35347462</f>
        <v>2804.5015279600002</v>
      </c>
      <c r="E273">
        <f t="shared" si="263"/>
        <v>5.0361274291021822E-2</v>
      </c>
      <c r="F273">
        <f t="shared" si="264"/>
        <v>3.3829525915972068E-2</v>
      </c>
      <c r="G273">
        <f>'2-state flows'!G272</f>
        <v>0.69963524849548331</v>
      </c>
      <c r="H273">
        <f t="shared" si="265"/>
        <v>0.63208177307232893</v>
      </c>
      <c r="I273">
        <f>'2-state flows'!H272</f>
        <v>3.8558027181088375E-2</v>
      </c>
      <c r="J273">
        <f t="shared" si="269"/>
        <v>2.3515221249697304E-2</v>
      </c>
      <c r="K273">
        <v>0.5</v>
      </c>
      <c r="L273">
        <f t="shared" si="271"/>
        <v>0.69732707193166865</v>
      </c>
      <c r="M273">
        <f t="shared" si="266"/>
        <v>1.6844208643652131E-2</v>
      </c>
      <c r="N273">
        <f t="shared" ref="N273:O273" si="314">AVERAGE(G271:G273)</f>
        <v>0.69213336440925044</v>
      </c>
      <c r="O273">
        <f t="shared" si="314"/>
        <v>0.6507295732371905</v>
      </c>
      <c r="P273">
        <f t="shared" si="273"/>
        <v>4.9076373848024941E-2</v>
      </c>
      <c r="Q273">
        <f t="shared" si="274"/>
        <v>3.4920715145999121E-2</v>
      </c>
      <c r="R273">
        <f t="shared" si="275"/>
        <v>1.8177768687877852E-2</v>
      </c>
    </row>
    <row r="274" spans="1:18" x14ac:dyDescent="0.25">
      <c r="A274" s="18">
        <f t="shared" si="268"/>
        <v>25781</v>
      </c>
      <c r="B274">
        <f>'2-state flows'!B273</f>
        <v>82880</v>
      </c>
      <c r="C274">
        <f>'2-state flows'!C273</f>
        <v>4256</v>
      </c>
      <c r="D274">
        <f>'Composite HWI'!B237*48.35347462</f>
        <v>2756.1480533399999</v>
      </c>
      <c r="E274">
        <f t="shared" si="263"/>
        <v>5.1351351351351354E-2</v>
      </c>
      <c r="F274">
        <f t="shared" si="264"/>
        <v>3.3254682110762546E-2</v>
      </c>
      <c r="G274">
        <f>'2-state flows'!G273</f>
        <v>0.6503722071270529</v>
      </c>
      <c r="H274">
        <f t="shared" si="265"/>
        <v>0.62061765837613503</v>
      </c>
      <c r="I274">
        <f>'2-state flows'!H273</f>
        <v>3.8725404593461542E-2</v>
      </c>
      <c r="J274">
        <f t="shared" si="269"/>
        <v>4.3315279931620838E-3</v>
      </c>
      <c r="K274">
        <v>0.5</v>
      </c>
      <c r="L274">
        <f t="shared" si="271"/>
        <v>0.70599012791799287</v>
      </c>
      <c r="M274">
        <f t="shared" si="266"/>
        <v>1.6415162405528445E-2</v>
      </c>
      <c r="N274">
        <f t="shared" ref="N274:O274" si="315">AVERAGE(G272:G274)</f>
        <v>0.67982560310263096</v>
      </c>
      <c r="O274">
        <f t="shared" si="315"/>
        <v>0.63458226481444102</v>
      </c>
      <c r="P274">
        <f t="shared" si="273"/>
        <v>5.035588402391377E-2</v>
      </c>
      <c r="Q274">
        <f t="shared" si="274"/>
        <v>3.40857309380291E-2</v>
      </c>
      <c r="R274">
        <f t="shared" si="275"/>
        <v>1.7205277779615516E-2</v>
      </c>
    </row>
    <row r="275" spans="1:18" x14ac:dyDescent="0.25">
      <c r="A275" s="18">
        <f t="shared" si="268"/>
        <v>25812</v>
      </c>
      <c r="B275">
        <f>'2-state flows'!B274</f>
        <v>82954</v>
      </c>
      <c r="C275">
        <f>'2-state flows'!C274</f>
        <v>4456</v>
      </c>
      <c r="D275">
        <f>'Composite HWI'!B238*48.35347462</f>
        <v>2707.7945787200001</v>
      </c>
      <c r="E275">
        <f t="shared" si="263"/>
        <v>5.3716517588060855E-2</v>
      </c>
      <c r="F275">
        <f t="shared" si="264"/>
        <v>3.264212188345348E-2</v>
      </c>
      <c r="G275">
        <f>'2-state flows'!G274</f>
        <v>0.70352399372617358</v>
      </c>
      <c r="H275">
        <f t="shared" si="265"/>
        <v>0.60118610258342497</v>
      </c>
      <c r="I275">
        <f>'2-state flows'!H274</f>
        <v>4.2376276903358504E-2</v>
      </c>
      <c r="J275">
        <f t="shared" si="269"/>
        <v>9.0092864548703994E-2</v>
      </c>
      <c r="K275">
        <v>0.5</v>
      </c>
      <c r="L275">
        <f t="shared" si="271"/>
        <v>0.8861758570154008</v>
      </c>
      <c r="M275">
        <f t="shared" si="266"/>
        <v>1.3456034668368014E-2</v>
      </c>
      <c r="N275">
        <f t="shared" ref="N275:O275" si="316">AVERAGE(G273:G275)</f>
        <v>0.68451048311623663</v>
      </c>
      <c r="O275">
        <f t="shared" si="316"/>
        <v>0.61796184467729631</v>
      </c>
      <c r="P275">
        <f t="shared" si="273"/>
        <v>5.1809714410144682E-2</v>
      </c>
      <c r="Q275">
        <f t="shared" si="274"/>
        <v>3.3242109970062696E-2</v>
      </c>
      <c r="R275">
        <f t="shared" si="275"/>
        <v>1.5571801905849529E-2</v>
      </c>
    </row>
    <row r="276" spans="1:18" x14ac:dyDescent="0.25">
      <c r="A276" s="18">
        <f t="shared" si="268"/>
        <v>25842</v>
      </c>
      <c r="B276">
        <f>'2-state flows'!B275</f>
        <v>83276</v>
      </c>
      <c r="C276">
        <f>'2-state flows'!C275</f>
        <v>4591</v>
      </c>
      <c r="D276">
        <f>'Composite HWI'!B239*48.35347462</f>
        <v>2562.7341548600002</v>
      </c>
      <c r="E276">
        <f t="shared" si="263"/>
        <v>5.5129929391421299E-2</v>
      </c>
      <c r="F276">
        <f t="shared" si="264"/>
        <v>3.0773982358182433E-2</v>
      </c>
      <c r="G276">
        <f>'2-state flows'!G275</f>
        <v>0.58409060677561397</v>
      </c>
      <c r="H276">
        <f t="shared" si="265"/>
        <v>0.57619806911090699</v>
      </c>
      <c r="I276">
        <f>'2-state flows'!H275</f>
        <v>3.9323034808273039E-2</v>
      </c>
      <c r="J276">
        <f t="shared" si="269"/>
        <v>-7.4778224052608935E-2</v>
      </c>
      <c r="K276">
        <v>0.5</v>
      </c>
      <c r="L276">
        <f t="shared" si="271"/>
        <v>0.73661940891018296</v>
      </c>
      <c r="M276">
        <f t="shared" si="266"/>
        <v>1.4732415402171944E-2</v>
      </c>
      <c r="N276">
        <f t="shared" ref="N276:O276" si="317">AVERAGE(G274:G276)</f>
        <v>0.64599560254294686</v>
      </c>
      <c r="O276">
        <f t="shared" si="317"/>
        <v>0.59933394335682233</v>
      </c>
      <c r="P276">
        <f t="shared" si="273"/>
        <v>5.3399266110277836E-2</v>
      </c>
      <c r="Q276">
        <f t="shared" si="274"/>
        <v>3.2223595450799482E-2</v>
      </c>
      <c r="R276">
        <f t="shared" si="275"/>
        <v>1.4867870825356136E-2</v>
      </c>
    </row>
    <row r="277" spans="1:18" x14ac:dyDescent="0.25">
      <c r="A277" s="18">
        <f t="shared" si="268"/>
        <v>25873</v>
      </c>
      <c r="B277">
        <f>'2-state flows'!B276</f>
        <v>83548</v>
      </c>
      <c r="C277">
        <f>'2-state flows'!C276</f>
        <v>4898</v>
      </c>
      <c r="D277">
        <f>'Composite HWI'!B240*48.35347462</f>
        <v>2562.7341548600002</v>
      </c>
      <c r="E277">
        <f t="shared" si="263"/>
        <v>5.8624982046248865E-2</v>
      </c>
      <c r="F277">
        <f t="shared" si="264"/>
        <v>3.0673794164552116E-2</v>
      </c>
      <c r="G277">
        <f>'2-state flows'!G276</f>
        <v>0.59298594789781178</v>
      </c>
      <c r="H277">
        <f t="shared" si="265"/>
        <v>0.55784822375249654</v>
      </c>
      <c r="I277">
        <f>'2-state flows'!H276</f>
        <v>3.9983256560000367E-2</v>
      </c>
      <c r="J277">
        <f t="shared" si="269"/>
        <v>1.6650305875777299E-2</v>
      </c>
      <c r="K277">
        <v>0.5</v>
      </c>
      <c r="L277">
        <f t="shared" si="271"/>
        <v>0.76992002066173759</v>
      </c>
      <c r="M277">
        <f t="shared" si="266"/>
        <v>1.4203503494260271E-2</v>
      </c>
      <c r="N277">
        <f t="shared" ref="N277:O277" si="318">AVERAGE(G275:G277)</f>
        <v>0.62686684946653315</v>
      </c>
      <c r="O277">
        <f t="shared" si="318"/>
        <v>0.57841079848227617</v>
      </c>
      <c r="P277">
        <f t="shared" si="273"/>
        <v>5.5823809675243669E-2</v>
      </c>
      <c r="Q277">
        <f t="shared" si="274"/>
        <v>3.1363299468729337E-2</v>
      </c>
      <c r="R277">
        <f t="shared" si="275"/>
        <v>1.4130651188266743E-2</v>
      </c>
    </row>
    <row r="278" spans="1:18" x14ac:dyDescent="0.25">
      <c r="A278" s="18">
        <f t="shared" si="268"/>
        <v>25903</v>
      </c>
      <c r="B278">
        <f>'2-state flows'!B277</f>
        <v>83670</v>
      </c>
      <c r="C278">
        <f>'2-state flows'!C277</f>
        <v>5076</v>
      </c>
      <c r="D278">
        <f>'Composite HWI'!B241*48.35347462</f>
        <v>2562.7341548600002</v>
      </c>
      <c r="E278">
        <f t="shared" si="263"/>
        <v>6.0666905700968089E-2</v>
      </c>
      <c r="F278">
        <f t="shared" si="264"/>
        <v>3.0629068421895545E-2</v>
      </c>
      <c r="G278">
        <f>'2-state flows'!G277</f>
        <v>0.63721533074270587</v>
      </c>
      <c r="H278">
        <f t="shared" si="265"/>
        <v>0.54797991196493845</v>
      </c>
      <c r="I278">
        <f>'2-state flows'!H277</f>
        <v>3.9578592494493872E-2</v>
      </c>
      <c r="J278">
        <f t="shared" si="269"/>
        <v>-1.017240196871139E-2</v>
      </c>
      <c r="K278">
        <v>0.5</v>
      </c>
      <c r="L278">
        <f t="shared" si="271"/>
        <v>0.74957521672431482</v>
      </c>
      <c r="M278">
        <f t="shared" si="266"/>
        <v>1.4474294596699499E-2</v>
      </c>
      <c r="N278">
        <f t="shared" ref="N278:O278" si="319">AVERAGE(G276:G278)</f>
        <v>0.60476396180537728</v>
      </c>
      <c r="O278">
        <f t="shared" si="319"/>
        <v>0.56067540160944729</v>
      </c>
      <c r="P278">
        <f t="shared" si="273"/>
        <v>5.8140605712879413E-2</v>
      </c>
      <c r="Q278">
        <f t="shared" si="274"/>
        <v>3.0692281648210029E-2</v>
      </c>
      <c r="R278">
        <f t="shared" si="275"/>
        <v>1.4470071164377237E-2</v>
      </c>
    </row>
    <row r="279" spans="1:18" x14ac:dyDescent="0.25">
      <c r="A279" s="18">
        <f t="shared" si="268"/>
        <v>25934</v>
      </c>
      <c r="B279">
        <f>'2-state flows'!B278</f>
        <v>83850</v>
      </c>
      <c r="C279">
        <f>'2-state flows'!C278</f>
        <v>4986</v>
      </c>
      <c r="D279">
        <f>'Composite HWI'!B242*48.35347462</f>
        <v>2466.0272056200001</v>
      </c>
      <c r="E279">
        <f t="shared" si="263"/>
        <v>5.9463327370304117E-2</v>
      </c>
      <c r="F279">
        <f t="shared" si="264"/>
        <v>2.9409984563148479E-2</v>
      </c>
      <c r="G279">
        <f>'2-state flows'!G278</f>
        <v>0.6041655569861587</v>
      </c>
      <c r="H279">
        <f t="shared" si="265"/>
        <v>0.54237100114939552</v>
      </c>
      <c r="I279">
        <f>'2-state flows'!H278</f>
        <v>3.6771511664984352E-2</v>
      </c>
      <c r="J279">
        <f t="shared" si="269"/>
        <v>-7.3564972677990323E-2</v>
      </c>
      <c r="K279">
        <v>0.5</v>
      </c>
      <c r="L279">
        <f t="shared" si="271"/>
        <v>0.60244527136833415</v>
      </c>
      <c r="M279">
        <f t="shared" si="266"/>
        <v>1.6101121956684315E-2</v>
      </c>
      <c r="N279">
        <f t="shared" ref="N279:O279" si="320">AVERAGE(G277:G279)</f>
        <v>0.61145561187555886</v>
      </c>
      <c r="O279">
        <f t="shared" si="320"/>
        <v>0.54939971228894346</v>
      </c>
      <c r="P279">
        <f t="shared" si="273"/>
        <v>5.9585071705840355E-2</v>
      </c>
      <c r="Q279">
        <f t="shared" si="274"/>
        <v>3.0237615716532048E-2</v>
      </c>
      <c r="R279">
        <f t="shared" si="275"/>
        <v>1.4926306682548027E-2</v>
      </c>
    </row>
    <row r="280" spans="1:18" x14ac:dyDescent="0.25">
      <c r="A280" s="18">
        <f t="shared" si="268"/>
        <v>25965</v>
      </c>
      <c r="B280">
        <f>'2-state flows'!B279</f>
        <v>83603</v>
      </c>
      <c r="C280">
        <f>'2-state flows'!C279</f>
        <v>4903</v>
      </c>
      <c r="D280">
        <f>'Composite HWI'!B243*48.35347462</f>
        <v>2514.3806802399999</v>
      </c>
      <c r="E280">
        <f t="shared" si="263"/>
        <v>5.8646220829396072E-2</v>
      </c>
      <c r="F280">
        <f t="shared" si="264"/>
        <v>3.007524467112424E-2</v>
      </c>
      <c r="G280">
        <f>'2-state flows'!G279</f>
        <v>0.54498743000023342</v>
      </c>
      <c r="H280">
        <f t="shared" si="265"/>
        <v>0.55227862556239371</v>
      </c>
      <c r="I280">
        <f>'2-state flows'!H279</f>
        <v>3.5359496818333239E-2</v>
      </c>
      <c r="J280">
        <f t="shared" si="269"/>
        <v>-3.9156398418234109E-2</v>
      </c>
      <c r="K280">
        <v>0.5</v>
      </c>
      <c r="L280">
        <f t="shared" si="271"/>
        <v>0.52413247453186596</v>
      </c>
      <c r="M280">
        <f t="shared" si="266"/>
        <v>1.7806613311701878E-2</v>
      </c>
      <c r="N280">
        <f t="shared" ref="N280:O280" si="321">AVERAGE(G278:G280)</f>
        <v>0.59545610590969933</v>
      </c>
      <c r="O280">
        <f t="shared" si="321"/>
        <v>0.54754317955890919</v>
      </c>
      <c r="P280">
        <f t="shared" si="273"/>
        <v>5.9592151300222766E-2</v>
      </c>
      <c r="Q280">
        <f t="shared" si="274"/>
        <v>3.0038099218722757E-2</v>
      </c>
      <c r="R280">
        <f t="shared" si="275"/>
        <v>1.6127343288361896E-2</v>
      </c>
    </row>
    <row r="281" spans="1:18" x14ac:dyDescent="0.25">
      <c r="A281" s="18">
        <f t="shared" si="268"/>
        <v>25993</v>
      </c>
      <c r="B281">
        <f>'2-state flows'!B280</f>
        <v>83575</v>
      </c>
      <c r="C281">
        <f>'2-state flows'!C280</f>
        <v>4987</v>
      </c>
      <c r="D281">
        <f>'Composite HWI'!B244*48.35347462</f>
        <v>2514.3806802399999</v>
      </c>
      <c r="E281">
        <f t="shared" si="263"/>
        <v>5.9670954232725094E-2</v>
      </c>
      <c r="F281">
        <f t="shared" si="264"/>
        <v>3.0085320732755008E-2</v>
      </c>
      <c r="G281">
        <f>'2-state flows'!G280</f>
        <v>0.59414330040351526</v>
      </c>
      <c r="H281">
        <f t="shared" si="265"/>
        <v>0.54760763908548349</v>
      </c>
      <c r="I281">
        <f>'2-state flows'!H280</f>
        <v>3.7222343649769216E-2</v>
      </c>
      <c r="J281">
        <f t="shared" si="269"/>
        <v>5.134220929869697E-2</v>
      </c>
      <c r="K281">
        <v>0.5</v>
      </c>
      <c r="L281">
        <f t="shared" si="271"/>
        <v>0.62681689312925992</v>
      </c>
      <c r="M281">
        <f t="shared" si="266"/>
        <v>1.6074279956572048E-2</v>
      </c>
      <c r="N281">
        <f t="shared" ref="N281:O281" si="322">AVERAGE(G279:G281)</f>
        <v>0.5810987624633025</v>
      </c>
      <c r="O281">
        <f t="shared" si="322"/>
        <v>0.54741908859909083</v>
      </c>
      <c r="P281">
        <f t="shared" si="273"/>
        <v>5.926016747747509E-2</v>
      </c>
      <c r="Q281">
        <f t="shared" si="274"/>
        <v>2.9856849989009244E-2</v>
      </c>
      <c r="R281">
        <f t="shared" si="275"/>
        <v>1.6660671741652748E-2</v>
      </c>
    </row>
    <row r="282" spans="1:18" x14ac:dyDescent="0.25">
      <c r="A282" s="18">
        <f t="shared" si="268"/>
        <v>26024</v>
      </c>
      <c r="B282">
        <f>'2-state flows'!B281</f>
        <v>83946</v>
      </c>
      <c r="C282">
        <f>'2-state flows'!C281</f>
        <v>4959</v>
      </c>
      <c r="D282">
        <f>'Composite HWI'!B245*48.35347462</f>
        <v>2514.3806802399999</v>
      </c>
      <c r="E282">
        <f t="shared" si="263"/>
        <v>5.9073690229433207E-2</v>
      </c>
      <c r="F282">
        <f t="shared" si="264"/>
        <v>2.9952358423748601E-2</v>
      </c>
      <c r="G282">
        <f>'2-state flows'!G281</f>
        <v>0.58344040670220798</v>
      </c>
      <c r="H282">
        <f t="shared" si="265"/>
        <v>0.54915144137276317</v>
      </c>
      <c r="I282">
        <f>'2-state flows'!H281</f>
        <v>3.7258589934049978E-2</v>
      </c>
      <c r="J282">
        <f t="shared" si="269"/>
        <v>9.7330378119854326E-4</v>
      </c>
      <c r="K282">
        <v>0.5</v>
      </c>
      <c r="L282">
        <f t="shared" si="271"/>
        <v>0.62876350069165698</v>
      </c>
      <c r="M282">
        <f t="shared" si="266"/>
        <v>1.597211782485327E-2</v>
      </c>
      <c r="N282">
        <f t="shared" ref="N282:O282" si="323">AVERAGE(G280:G282)</f>
        <v>0.57419037903531889</v>
      </c>
      <c r="O282">
        <f t="shared" si="323"/>
        <v>0.54967923534021346</v>
      </c>
      <c r="P282">
        <f t="shared" si="273"/>
        <v>5.9130288430518124E-2</v>
      </c>
      <c r="Q282">
        <f t="shared" si="274"/>
        <v>3.0037641275875951E-2</v>
      </c>
      <c r="R282">
        <f t="shared" si="275"/>
        <v>1.6617670364375732E-2</v>
      </c>
    </row>
    <row r="283" spans="1:18" x14ac:dyDescent="0.25">
      <c r="A283" s="18">
        <f t="shared" si="268"/>
        <v>26054</v>
      </c>
      <c r="B283">
        <f>'2-state flows'!B282</f>
        <v>84135</v>
      </c>
      <c r="C283">
        <f>'2-state flows'!C282</f>
        <v>4996</v>
      </c>
      <c r="D283">
        <f>'Composite HWI'!B246*48.35347462</f>
        <v>2562.7341548600002</v>
      </c>
      <c r="E283">
        <f t="shared" si="263"/>
        <v>5.9380757116538896E-2</v>
      </c>
      <c r="F283">
        <f t="shared" si="264"/>
        <v>3.0459786710168184E-2</v>
      </c>
      <c r="G283">
        <f>'2-state flows'!G282</f>
        <v>0.59015134807450631</v>
      </c>
      <c r="H283">
        <f t="shared" si="265"/>
        <v>0.55234983692087658</v>
      </c>
      <c r="I283">
        <f>'2-state flows'!H282</f>
        <v>3.6456651907585028E-2</v>
      </c>
      <c r="J283">
        <f t="shared" si="269"/>
        <v>-2.1758584657419502E-2</v>
      </c>
      <c r="K283">
        <v>0.5</v>
      </c>
      <c r="L283">
        <f t="shared" si="271"/>
        <v>0.58524633137681803</v>
      </c>
      <c r="M283">
        <f t="shared" si="266"/>
        <v>1.6965146163213377E-2</v>
      </c>
      <c r="N283">
        <f t="shared" ref="N283:O283" si="324">AVERAGE(G281:G283)</f>
        <v>0.58924501839340981</v>
      </c>
      <c r="O283">
        <f t="shared" si="324"/>
        <v>0.54970297245970778</v>
      </c>
      <c r="P283">
        <f t="shared" si="273"/>
        <v>5.9375133859565728E-2</v>
      </c>
      <c r="Q283">
        <f t="shared" si="274"/>
        <v>3.0165821955557264E-2</v>
      </c>
      <c r="R283">
        <f t="shared" si="275"/>
        <v>1.6337181314879563E-2</v>
      </c>
    </row>
    <row r="284" spans="1:18" x14ac:dyDescent="0.25">
      <c r="A284" s="18">
        <f t="shared" si="268"/>
        <v>26085</v>
      </c>
      <c r="B284">
        <f>'2-state flows'!B283</f>
        <v>83706</v>
      </c>
      <c r="C284">
        <f>'2-state flows'!C283</f>
        <v>4949</v>
      </c>
      <c r="D284">
        <f>'Composite HWI'!B247*48.35347462</f>
        <v>2659.4411040999998</v>
      </c>
      <c r="E284">
        <f t="shared" si="263"/>
        <v>5.9123599264090984E-2</v>
      </c>
      <c r="F284">
        <f t="shared" si="264"/>
        <v>3.1771212387403533E-2</v>
      </c>
      <c r="G284">
        <f>'2-state flows'!G283</f>
        <v>0.56067717137134476</v>
      </c>
      <c r="H284">
        <f t="shared" si="265"/>
        <v>0.56534053819951302</v>
      </c>
      <c r="I284">
        <f>'2-state flows'!H283</f>
        <v>3.6682707899473581E-2</v>
      </c>
      <c r="J284">
        <f t="shared" si="269"/>
        <v>6.1815337818106764E-3</v>
      </c>
      <c r="K284">
        <v>0.5</v>
      </c>
      <c r="L284">
        <f t="shared" si="271"/>
        <v>0.59760939894043941</v>
      </c>
      <c r="M284">
        <f t="shared" si="266"/>
        <v>1.747814441779523E-2</v>
      </c>
      <c r="N284">
        <f t="shared" ref="N284:O284" si="325">AVERAGE(G282:G284)</f>
        <v>0.57808964204935298</v>
      </c>
      <c r="O284">
        <f t="shared" si="325"/>
        <v>0.55561393883105092</v>
      </c>
      <c r="P284">
        <f t="shared" si="273"/>
        <v>5.9192682203354365E-2</v>
      </c>
      <c r="Q284">
        <f t="shared" si="274"/>
        <v>3.0727785840440103E-2</v>
      </c>
      <c r="R284">
        <f t="shared" si="275"/>
        <v>1.6805136135287294E-2</v>
      </c>
    </row>
    <row r="285" spans="1:18" x14ac:dyDescent="0.25">
      <c r="A285" s="18">
        <f t="shared" si="268"/>
        <v>26115</v>
      </c>
      <c r="B285">
        <f>'2-state flows'!B284</f>
        <v>84340</v>
      </c>
      <c r="C285">
        <f>'2-state flows'!C284</f>
        <v>5035</v>
      </c>
      <c r="D285">
        <f>'Composite HWI'!B248*48.35347462</f>
        <v>2611.08762948</v>
      </c>
      <c r="E285">
        <f t="shared" si="263"/>
        <v>5.9698838036518855E-2</v>
      </c>
      <c r="F285">
        <f t="shared" si="264"/>
        <v>3.0959066036044581E-2</v>
      </c>
      <c r="G285">
        <f>'2-state flows'!G284</f>
        <v>0.58786611195070304</v>
      </c>
      <c r="H285">
        <f t="shared" si="265"/>
        <v>0.55537285979361584</v>
      </c>
      <c r="I285">
        <f>'2-state flows'!H284</f>
        <v>3.9003301352367729E-2</v>
      </c>
      <c r="J285">
        <f t="shared" si="269"/>
        <v>6.1340822986021781E-2</v>
      </c>
      <c r="K285">
        <v>0.5</v>
      </c>
      <c r="L285">
        <f t="shared" si="271"/>
        <v>0.72029104491248297</v>
      </c>
      <c r="M285">
        <f t="shared" si="266"/>
        <v>1.5065010002821741E-2</v>
      </c>
      <c r="N285">
        <f t="shared" ref="N285:O285" si="326">AVERAGE(G283:G285)</f>
        <v>0.57956487713218463</v>
      </c>
      <c r="O285">
        <f t="shared" si="326"/>
        <v>0.55768774497133511</v>
      </c>
      <c r="P285">
        <f t="shared" si="273"/>
        <v>5.9401064805716247E-2</v>
      </c>
      <c r="Q285">
        <f t="shared" si="274"/>
        <v>3.1063355044538766E-2</v>
      </c>
      <c r="R285">
        <f t="shared" si="275"/>
        <v>1.6502766861276781E-2</v>
      </c>
    </row>
    <row r="286" spans="1:18" x14ac:dyDescent="0.25">
      <c r="A286" s="18">
        <f t="shared" si="268"/>
        <v>26146</v>
      </c>
      <c r="B286">
        <f>'2-state flows'!B285</f>
        <v>84673</v>
      </c>
      <c r="C286">
        <f>'2-state flows'!C285</f>
        <v>5134</v>
      </c>
      <c r="D286">
        <f>'Composite HWI'!B249*48.35347462</f>
        <v>2659.4411040999998</v>
      </c>
      <c r="E286">
        <f t="shared" si="263"/>
        <v>6.0633259716792835E-2</v>
      </c>
      <c r="F286">
        <f t="shared" si="264"/>
        <v>3.140837225679969E-2</v>
      </c>
      <c r="G286">
        <f>'2-state flows'!G285</f>
        <v>0.62756226512829993</v>
      </c>
      <c r="H286">
        <f t="shared" si="265"/>
        <v>0.55506126709703929</v>
      </c>
      <c r="I286">
        <f>'2-state flows'!H285</f>
        <v>3.8922614043406883E-2</v>
      </c>
      <c r="J286">
        <f t="shared" si="269"/>
        <v>-2.0708730179625737E-3</v>
      </c>
      <c r="K286">
        <v>0.5</v>
      </c>
      <c r="L286">
        <f t="shared" si="271"/>
        <v>0.71614929887655787</v>
      </c>
      <c r="M286">
        <f t="shared" si="266"/>
        <v>1.534707943147013E-2</v>
      </c>
      <c r="N286">
        <f t="shared" ref="N286:O286" si="327">AVERAGE(G284:G286)</f>
        <v>0.59203518281678258</v>
      </c>
      <c r="O286">
        <f t="shared" si="327"/>
        <v>0.55859155503005609</v>
      </c>
      <c r="P286">
        <f t="shared" si="273"/>
        <v>5.9818565672467565E-2</v>
      </c>
      <c r="Q286">
        <f t="shared" si="274"/>
        <v>3.1379550226749264E-2</v>
      </c>
      <c r="R286">
        <f t="shared" si="275"/>
        <v>1.5963411284029033E-2</v>
      </c>
    </row>
    <row r="287" spans="1:18" x14ac:dyDescent="0.25">
      <c r="A287" s="18">
        <f t="shared" si="268"/>
        <v>26177</v>
      </c>
      <c r="B287">
        <f>'2-state flows'!B286</f>
        <v>84731</v>
      </c>
      <c r="C287">
        <f>'2-state flows'!C286</f>
        <v>5042</v>
      </c>
      <c r="D287">
        <f>'Composite HWI'!B250*48.35347462</f>
        <v>2611.08762948</v>
      </c>
      <c r="E287">
        <f t="shared" si="263"/>
        <v>5.9505965939266617E-2</v>
      </c>
      <c r="F287">
        <f t="shared" si="264"/>
        <v>3.0816202210289034E-2</v>
      </c>
      <c r="G287">
        <f>'2-state flows'!G286</f>
        <v>0.61276888705718446</v>
      </c>
      <c r="H287">
        <f t="shared" si="265"/>
        <v>0.55498720327981443</v>
      </c>
      <c r="I287">
        <f>'2-state flows'!H286</f>
        <v>3.7268656772573745E-2</v>
      </c>
      <c r="J287">
        <f t="shared" si="269"/>
        <v>-4.3422747194188968E-2</v>
      </c>
      <c r="K287">
        <v>0.5</v>
      </c>
      <c r="L287">
        <f t="shared" si="271"/>
        <v>0.62930380448817991</v>
      </c>
      <c r="M287">
        <f t="shared" si="266"/>
        <v>1.6423886892403195E-2</v>
      </c>
      <c r="N287">
        <f t="shared" ref="N287:O287" si="328">AVERAGE(G285:G287)</f>
        <v>0.60939908804539578</v>
      </c>
      <c r="O287">
        <f t="shared" si="328"/>
        <v>0.55514044339015645</v>
      </c>
      <c r="P287">
        <f t="shared" si="273"/>
        <v>5.9946021230859438E-2</v>
      </c>
      <c r="Q287">
        <f t="shared" si="274"/>
        <v>3.1061213501044436E-2</v>
      </c>
      <c r="R287">
        <f t="shared" si="275"/>
        <v>1.5611992108898354E-2</v>
      </c>
    </row>
    <row r="288" spans="1:18" x14ac:dyDescent="0.25">
      <c r="A288" s="18">
        <f t="shared" si="268"/>
        <v>26207</v>
      </c>
      <c r="B288">
        <f>'2-state flows'!B287</f>
        <v>84872</v>
      </c>
      <c r="C288">
        <f>'2-state flows'!C287</f>
        <v>4954</v>
      </c>
      <c r="D288">
        <f>'Composite HWI'!B251*48.35347462</f>
        <v>2659.4411040999998</v>
      </c>
      <c r="E288">
        <f t="shared" si="263"/>
        <v>5.8370251673107741E-2</v>
      </c>
      <c r="F288">
        <f t="shared" si="264"/>
        <v>3.1334728816335186E-2</v>
      </c>
      <c r="G288">
        <f>'2-state flows'!G287</f>
        <v>0.55042320781853182</v>
      </c>
      <c r="H288">
        <f t="shared" si="265"/>
        <v>0.5650551711942029</v>
      </c>
      <c r="I288">
        <f>'2-state flows'!H287</f>
        <v>3.7545743855352497E-2</v>
      </c>
      <c r="J288">
        <f t="shared" si="269"/>
        <v>7.4073533278848601E-3</v>
      </c>
      <c r="K288">
        <v>0.5</v>
      </c>
      <c r="L288">
        <f t="shared" si="271"/>
        <v>0.64411851114394958</v>
      </c>
      <c r="M288">
        <f t="shared" si="266"/>
        <v>1.6454656682552835E-2</v>
      </c>
      <c r="N288">
        <f t="shared" ref="N288:O288" si="329">AVERAGE(G286:G288)</f>
        <v>0.59691812000133881</v>
      </c>
      <c r="O288">
        <f t="shared" si="329"/>
        <v>0.55836788052368558</v>
      </c>
      <c r="P288">
        <f t="shared" si="273"/>
        <v>5.9503159109722398E-2</v>
      </c>
      <c r="Q288">
        <f t="shared" si="274"/>
        <v>3.1186434427807969E-2</v>
      </c>
      <c r="R288">
        <f t="shared" si="275"/>
        <v>1.6075207668808721E-2</v>
      </c>
    </row>
    <row r="289" spans="1:18" x14ac:dyDescent="0.25">
      <c r="A289" s="18">
        <f t="shared" si="268"/>
        <v>26238</v>
      </c>
      <c r="B289">
        <f>'2-state flows'!B288</f>
        <v>85458</v>
      </c>
      <c r="C289">
        <f>'2-state flows'!C288</f>
        <v>5161</v>
      </c>
      <c r="D289">
        <f>'Composite HWI'!B252*48.35347462</f>
        <v>2707.7945787200001</v>
      </c>
      <c r="E289">
        <f t="shared" si="263"/>
        <v>6.0392239462660022E-2</v>
      </c>
      <c r="F289">
        <f t="shared" si="264"/>
        <v>3.1685676925741299E-2</v>
      </c>
      <c r="G289">
        <f>'2-state flows'!G288</f>
        <v>0.59944121789810145</v>
      </c>
      <c r="H289">
        <f t="shared" si="265"/>
        <v>0.55861757366543996</v>
      </c>
      <c r="I289">
        <f>'2-state flows'!H288</f>
        <v>3.8410499243106383E-2</v>
      </c>
      <c r="J289">
        <f t="shared" si="269"/>
        <v>2.2770814287601391E-2</v>
      </c>
      <c r="K289">
        <v>0.5</v>
      </c>
      <c r="L289">
        <f t="shared" si="271"/>
        <v>0.68966013971915241</v>
      </c>
      <c r="M289">
        <f t="shared" si="266"/>
        <v>1.5898179519811217E-2</v>
      </c>
      <c r="N289">
        <f t="shared" ref="N289:O289" si="330">AVERAGE(G287:G289)</f>
        <v>0.58754443759127251</v>
      </c>
      <c r="O289">
        <f t="shared" si="330"/>
        <v>0.55955331604648573</v>
      </c>
      <c r="P289">
        <f t="shared" si="273"/>
        <v>5.9422819025011453E-2</v>
      </c>
      <c r="Q289">
        <f t="shared" si="274"/>
        <v>3.1278869317455174E-2</v>
      </c>
      <c r="R289">
        <f t="shared" si="275"/>
        <v>1.6258907698255748E-2</v>
      </c>
    </row>
    <row r="290" spans="1:18" x14ac:dyDescent="0.25">
      <c r="A290" s="18">
        <f t="shared" si="268"/>
        <v>26268</v>
      </c>
      <c r="B290">
        <f>'2-state flows'!B289</f>
        <v>85625</v>
      </c>
      <c r="C290">
        <f>'2-state flows'!C289</f>
        <v>5154</v>
      </c>
      <c r="D290">
        <f>'Composite HWI'!B253*48.35347462</f>
        <v>2707.7945787200001</v>
      </c>
      <c r="E290">
        <f t="shared" si="263"/>
        <v>6.0192700729927009E-2</v>
      </c>
      <c r="F290">
        <f t="shared" si="264"/>
        <v>3.1623878291620437E-2</v>
      </c>
      <c r="G290">
        <f>'2-state flows'!G289</f>
        <v>0.64837490786921281</v>
      </c>
      <c r="H290">
        <f t="shared" si="265"/>
        <v>0.55899679331980801</v>
      </c>
      <c r="I290">
        <f>'2-state flows'!H289</f>
        <v>3.9207109464727066E-2</v>
      </c>
      <c r="J290">
        <f t="shared" si="269"/>
        <v>2.0527254236994318E-2</v>
      </c>
      <c r="K290">
        <v>0.5</v>
      </c>
      <c r="L290">
        <f t="shared" si="271"/>
        <v>0.73071464819314103</v>
      </c>
      <c r="M290">
        <f t="shared" si="266"/>
        <v>1.5228944023115478E-2</v>
      </c>
      <c r="N290">
        <f t="shared" ref="N290:O290" si="331">AVERAGE(G288:G290)</f>
        <v>0.59941311119528207</v>
      </c>
      <c r="O290">
        <f t="shared" si="331"/>
        <v>0.56088984605981695</v>
      </c>
      <c r="P290">
        <f t="shared" si="273"/>
        <v>5.9651730621898248E-2</v>
      </c>
      <c r="Q290">
        <f t="shared" si="274"/>
        <v>3.1548094677898979E-2</v>
      </c>
      <c r="R290">
        <f t="shared" si="275"/>
        <v>1.5860593408493176E-2</v>
      </c>
    </row>
    <row r="291" spans="1:18" x14ac:dyDescent="0.25">
      <c r="A291" s="18">
        <f t="shared" si="268"/>
        <v>26299</v>
      </c>
      <c r="B291">
        <f>'2-state flows'!B290</f>
        <v>85978</v>
      </c>
      <c r="C291">
        <f>'2-state flows'!C290</f>
        <v>5019</v>
      </c>
      <c r="D291">
        <f>'Composite HWI'!B254*48.35347462</f>
        <v>2852.85500258</v>
      </c>
      <c r="E291">
        <f t="shared" si="263"/>
        <v>5.8375398357719419E-2</v>
      </c>
      <c r="F291">
        <f t="shared" si="264"/>
        <v>3.3181220807415854E-2</v>
      </c>
      <c r="G291">
        <f>'2-state flows'!G290</f>
        <v>0.57755822177856098</v>
      </c>
      <c r="H291">
        <f t="shared" si="265"/>
        <v>0.58144001676669987</v>
      </c>
      <c r="I291">
        <f>'2-state flows'!H290</f>
        <v>3.4302593197699814E-2</v>
      </c>
      <c r="J291">
        <f t="shared" si="269"/>
        <v>-0.13363713950249201</v>
      </c>
      <c r="K291">
        <v>0.5</v>
      </c>
      <c r="L291">
        <f t="shared" si="271"/>
        <v>0.46344036918815701</v>
      </c>
      <c r="M291">
        <f t="shared" si="266"/>
        <v>2.0874821261350082E-2</v>
      </c>
      <c r="N291">
        <f t="shared" ref="N291:O291" si="332">AVERAGE(G289:G291)</f>
        <v>0.60845811584862508</v>
      </c>
      <c r="O291">
        <f t="shared" si="332"/>
        <v>0.56635146125064928</v>
      </c>
      <c r="P291">
        <f t="shared" si="273"/>
        <v>5.9653446183435488E-2</v>
      </c>
      <c r="Q291">
        <f t="shared" si="274"/>
        <v>3.2163592008259197E-2</v>
      </c>
      <c r="R291">
        <f t="shared" si="275"/>
        <v>1.7333981601425592E-2</v>
      </c>
    </row>
    <row r="292" spans="1:18" x14ac:dyDescent="0.25">
      <c r="A292" s="18">
        <f t="shared" si="268"/>
        <v>26330</v>
      </c>
      <c r="B292">
        <f>'2-state flows'!B291</f>
        <v>86036</v>
      </c>
      <c r="C292">
        <f>'2-state flows'!C291</f>
        <v>4928</v>
      </c>
      <c r="D292">
        <f>'Composite HWI'!B255*48.35347462</f>
        <v>2901.2084771999998</v>
      </c>
      <c r="E292">
        <f t="shared" si="263"/>
        <v>5.727834859826119E-2</v>
      </c>
      <c r="F292">
        <f t="shared" si="264"/>
        <v>3.3720866581431024E-2</v>
      </c>
      <c r="G292">
        <f>'2-state flows'!G291</f>
        <v>0.5888017903572742</v>
      </c>
      <c r="H292">
        <f t="shared" si="265"/>
        <v>0.59173571948684611</v>
      </c>
      <c r="I292">
        <f>'2-state flows'!H291</f>
        <v>3.7599753647603103E-2</v>
      </c>
      <c r="J292">
        <f t="shared" si="269"/>
        <v>9.1776543703355071E-2</v>
      </c>
      <c r="K292">
        <v>0.5</v>
      </c>
      <c r="L292">
        <f t="shared" si="271"/>
        <v>0.64699345659486718</v>
      </c>
      <c r="M292">
        <f t="shared" si="266"/>
        <v>1.7656842327553792E-2</v>
      </c>
      <c r="N292">
        <f t="shared" ref="N292:O292" si="333">AVERAGE(G290:G292)</f>
        <v>0.60491164000168263</v>
      </c>
      <c r="O292">
        <f t="shared" si="333"/>
        <v>0.577390843191118</v>
      </c>
      <c r="P292">
        <f t="shared" si="273"/>
        <v>5.8615482561969211E-2</v>
      </c>
      <c r="Q292">
        <f t="shared" si="274"/>
        <v>3.2841988560155772E-2</v>
      </c>
      <c r="R292">
        <f t="shared" si="275"/>
        <v>1.7920202537339783E-2</v>
      </c>
    </row>
    <row r="293" spans="1:18" x14ac:dyDescent="0.25">
      <c r="A293" s="18">
        <f t="shared" si="268"/>
        <v>26359</v>
      </c>
      <c r="B293">
        <f>'2-state flows'!B292</f>
        <v>86611</v>
      </c>
      <c r="C293">
        <f>'2-state flows'!C292</f>
        <v>5038</v>
      </c>
      <c r="D293">
        <f>'Composite HWI'!B256*48.35347462</f>
        <v>2997.9154264399999</v>
      </c>
      <c r="E293">
        <f t="shared" si="263"/>
        <v>5.8168131068801886E-2</v>
      </c>
      <c r="F293">
        <f t="shared" si="264"/>
        <v>3.4613564402212187E-2</v>
      </c>
      <c r="G293">
        <f>'2-state flows'!G292</f>
        <v>0.61270756873355003</v>
      </c>
      <c r="H293">
        <f t="shared" si="265"/>
        <v>0.59491411523561621</v>
      </c>
      <c r="I293">
        <f>'2-state flows'!H292</f>
        <v>3.652459092503739E-2</v>
      </c>
      <c r="J293">
        <f t="shared" si="269"/>
        <v>-2.9011740736975062E-2</v>
      </c>
      <c r="K293">
        <v>0.5</v>
      </c>
      <c r="L293">
        <f t="shared" si="271"/>
        <v>0.58896997512091709</v>
      </c>
      <c r="M293">
        <f t="shared" si="266"/>
        <v>1.9207016689747832E-2</v>
      </c>
      <c r="N293">
        <f t="shared" ref="N293:O293" si="334">AVERAGE(G291:G293)</f>
        <v>0.59302252695646163</v>
      </c>
      <c r="O293">
        <f t="shared" si="334"/>
        <v>0.5893632838297207</v>
      </c>
      <c r="P293">
        <f t="shared" si="273"/>
        <v>5.7940626008260832E-2</v>
      </c>
      <c r="Q293">
        <f t="shared" si="274"/>
        <v>3.3838550597019686E-2</v>
      </c>
      <c r="R293">
        <f t="shared" si="275"/>
        <v>1.924622675955057E-2</v>
      </c>
    </row>
    <row r="294" spans="1:18" x14ac:dyDescent="0.25">
      <c r="A294" s="18">
        <f t="shared" si="268"/>
        <v>26390</v>
      </c>
      <c r="B294">
        <f>'2-state flows'!B293</f>
        <v>86614</v>
      </c>
      <c r="C294">
        <f>'2-state flows'!C293</f>
        <v>4959</v>
      </c>
      <c r="D294">
        <f>'Composite HWI'!B257*48.35347462</f>
        <v>2997.9154264399999</v>
      </c>
      <c r="E294">
        <f t="shared" si="263"/>
        <v>5.7254023598956288E-2</v>
      </c>
      <c r="F294">
        <f t="shared" si="264"/>
        <v>3.4612365511811023E-2</v>
      </c>
      <c r="G294">
        <f>'2-state flows'!G293</f>
        <v>0.59690249831012843</v>
      </c>
      <c r="H294">
        <f t="shared" si="265"/>
        <v>0.59963407022101278</v>
      </c>
      <c r="I294">
        <f>'2-state flows'!H293</f>
        <v>3.5639115692207693E-2</v>
      </c>
      <c r="J294">
        <f t="shared" si="269"/>
        <v>-2.4541967644798386E-2</v>
      </c>
      <c r="K294">
        <v>0.5</v>
      </c>
      <c r="L294">
        <f t="shared" si="271"/>
        <v>0.53988603983132033</v>
      </c>
      <c r="M294">
        <f t="shared" si="266"/>
        <v>2.0172594253796534E-2</v>
      </c>
      <c r="N294">
        <f t="shared" ref="N294:O294" si="335">AVERAGE(G292:G294)</f>
        <v>0.59947061913365085</v>
      </c>
      <c r="O294">
        <f t="shared" si="335"/>
        <v>0.59542796831449174</v>
      </c>
      <c r="P294">
        <f t="shared" si="273"/>
        <v>5.7566834422006462E-2</v>
      </c>
      <c r="Q294">
        <f t="shared" si="274"/>
        <v>3.4315598831818082E-2</v>
      </c>
      <c r="R294">
        <f t="shared" si="275"/>
        <v>1.9012151090366053E-2</v>
      </c>
    </row>
    <row r="295" spans="1:18" x14ac:dyDescent="0.25">
      <c r="A295" s="18">
        <f t="shared" si="268"/>
        <v>26420</v>
      </c>
      <c r="B295">
        <f>'2-state flows'!B294</f>
        <v>86809</v>
      </c>
      <c r="C295">
        <f>'2-state flows'!C294</f>
        <v>4922</v>
      </c>
      <c r="D295">
        <f>'Composite HWI'!B258*48.35347462</f>
        <v>3094.62237568</v>
      </c>
      <c r="E295">
        <f t="shared" si="263"/>
        <v>5.6699190176133812E-2</v>
      </c>
      <c r="F295">
        <f t="shared" si="264"/>
        <v>3.5648635229987673E-2</v>
      </c>
      <c r="G295">
        <f>'2-state flows'!G294</f>
        <v>0.62142202997942431</v>
      </c>
      <c r="H295">
        <f t="shared" si="265"/>
        <v>0.61151440588425887</v>
      </c>
      <c r="I295">
        <f>'2-state flows'!H294</f>
        <v>3.7368623989349897E-2</v>
      </c>
      <c r="J295">
        <f t="shared" si="269"/>
        <v>4.738763148792511E-2</v>
      </c>
      <c r="K295">
        <v>0.5</v>
      </c>
      <c r="L295">
        <f t="shared" si="271"/>
        <v>0.63466130280717059</v>
      </c>
      <c r="M295">
        <f t="shared" si="266"/>
        <v>1.8897876492356754E-2</v>
      </c>
      <c r="N295">
        <f t="shared" ref="N295:O295" si="336">AVERAGE(G293:G295)</f>
        <v>0.61034403234103429</v>
      </c>
      <c r="O295">
        <f t="shared" si="336"/>
        <v>0.60202086378029585</v>
      </c>
      <c r="P295">
        <f t="shared" si="273"/>
        <v>5.7373781614630665E-2</v>
      </c>
      <c r="Q295">
        <f t="shared" si="274"/>
        <v>3.4958188381336963E-2</v>
      </c>
      <c r="R295">
        <f t="shared" si="275"/>
        <v>1.9425829145300371E-2</v>
      </c>
    </row>
    <row r="296" spans="1:18" x14ac:dyDescent="0.25">
      <c r="A296" s="18">
        <f t="shared" si="268"/>
        <v>26451</v>
      </c>
      <c r="B296">
        <f>'2-state flows'!B295</f>
        <v>87006</v>
      </c>
      <c r="C296">
        <f>'2-state flows'!C295</f>
        <v>4923</v>
      </c>
      <c r="D296">
        <f>'Composite HWI'!B259*48.35347462</f>
        <v>3094.62237568</v>
      </c>
      <c r="E296">
        <f t="shared" ref="E296:E359" si="337">C296/B296</f>
        <v>5.6582304668643543E-2</v>
      </c>
      <c r="F296">
        <f t="shared" ref="F296:F359" si="338">D296/B296</f>
        <v>3.556791917430982E-2</v>
      </c>
      <c r="G296">
        <f>'2-state flows'!G295</f>
        <v>0.61371404315825562</v>
      </c>
      <c r="H296">
        <f t="shared" ref="H296:H359" si="339">0.771211801*(F296/E296)^0.5</f>
        <v>0.61145229482768859</v>
      </c>
      <c r="I296">
        <f>'2-state flows'!H295</f>
        <v>3.6642331148371024E-2</v>
      </c>
      <c r="J296">
        <f t="shared" si="269"/>
        <v>-1.9627260727957035E-2</v>
      </c>
      <c r="K296">
        <v>0.5</v>
      </c>
      <c r="L296">
        <f t="shared" si="271"/>
        <v>0.59540678135125646</v>
      </c>
      <c r="M296">
        <f t="shared" ref="M296:M359" si="340">F296/EXP(L296)</f>
        <v>1.9609954176044053E-2</v>
      </c>
      <c r="N296">
        <f t="shared" ref="N296:O296" si="341">AVERAGE(G294:G296)</f>
        <v>0.61067952381593615</v>
      </c>
      <c r="O296">
        <f t="shared" si="341"/>
        <v>0.60753359031098675</v>
      </c>
      <c r="P296">
        <f t="shared" si="273"/>
        <v>5.6845172814577884E-2</v>
      </c>
      <c r="Q296">
        <f t="shared" si="274"/>
        <v>3.5276306638702841E-2</v>
      </c>
      <c r="R296">
        <f t="shared" si="275"/>
        <v>1.9560141640732446E-2</v>
      </c>
    </row>
    <row r="297" spans="1:18" x14ac:dyDescent="0.25">
      <c r="A297" s="18">
        <f t="shared" ref="A297:A360" si="342">DATE(YEAR(A296),MONTH(A296)+1,1)</f>
        <v>26481</v>
      </c>
      <c r="B297">
        <f>'2-state flows'!B296</f>
        <v>87143</v>
      </c>
      <c r="C297">
        <f>'2-state flows'!C296</f>
        <v>4913</v>
      </c>
      <c r="D297">
        <f>'Composite HWI'!B260*48.35347462</f>
        <v>3191.3293249200001</v>
      </c>
      <c r="E297">
        <f t="shared" si="337"/>
        <v>5.6378596100662128E-2</v>
      </c>
      <c r="F297">
        <f t="shared" si="338"/>
        <v>3.6621751889652644E-2</v>
      </c>
      <c r="G297">
        <f>'2-state flows'!G296</f>
        <v>0.61581681727649551</v>
      </c>
      <c r="H297">
        <f t="shared" si="339"/>
        <v>0.62156434778344782</v>
      </c>
      <c r="I297">
        <f>'2-state flows'!H296</f>
        <v>3.7223824422820947E-2</v>
      </c>
      <c r="J297">
        <f t="shared" ref="J297:J360" si="343">LN(I297/I296)</f>
        <v>1.5744836930531872E-2</v>
      </c>
      <c r="K297">
        <v>0.5</v>
      </c>
      <c r="L297">
        <f t="shared" si="271"/>
        <v>0.62689645521232018</v>
      </c>
      <c r="M297">
        <f t="shared" si="340"/>
        <v>1.9565071743479656E-2</v>
      </c>
      <c r="N297">
        <f t="shared" ref="N297:O297" si="344">AVERAGE(G295:G297)</f>
        <v>0.61698429680472511</v>
      </c>
      <c r="O297">
        <f t="shared" si="344"/>
        <v>0.61484368283179847</v>
      </c>
      <c r="P297">
        <f t="shared" si="273"/>
        <v>5.6553363648479828E-2</v>
      </c>
      <c r="Q297">
        <f t="shared" si="274"/>
        <v>3.5946102097983379E-2</v>
      </c>
      <c r="R297">
        <f t="shared" si="275"/>
        <v>1.9357634137293488E-2</v>
      </c>
    </row>
    <row r="298" spans="1:18" x14ac:dyDescent="0.25">
      <c r="A298" s="18">
        <f t="shared" si="342"/>
        <v>26512</v>
      </c>
      <c r="B298">
        <f>'2-state flows'!B297</f>
        <v>87517</v>
      </c>
      <c r="C298">
        <f>'2-state flows'!C297</f>
        <v>4939</v>
      </c>
      <c r="D298">
        <f>'Composite HWI'!B261*48.35347462</f>
        <v>3288.0362741600002</v>
      </c>
      <c r="E298">
        <f t="shared" si="337"/>
        <v>5.6434749820034963E-2</v>
      </c>
      <c r="F298">
        <f t="shared" si="338"/>
        <v>3.7570258054549402E-2</v>
      </c>
      <c r="G298">
        <f>'2-state flows'!G297</f>
        <v>0.68247343105130653</v>
      </c>
      <c r="H298">
        <f t="shared" si="339"/>
        <v>0.629248883221455</v>
      </c>
      <c r="I298">
        <f>'2-state flows'!H297</f>
        <v>3.9288713799033433E-2</v>
      </c>
      <c r="J298">
        <f t="shared" si="343"/>
        <v>5.3988299187111698E-2</v>
      </c>
      <c r="K298">
        <v>0.5</v>
      </c>
      <c r="L298">
        <f t="shared" ref="L298:L361" si="345">L297+J298/(1-K298)</f>
        <v>0.73487305358654353</v>
      </c>
      <c r="M298">
        <f t="shared" si="340"/>
        <v>1.8017430935316023E-2</v>
      </c>
      <c r="N298">
        <f t="shared" ref="N298:O298" si="346">AVERAGE(G296:G298)</f>
        <v>0.63733476382868581</v>
      </c>
      <c r="O298">
        <f t="shared" si="346"/>
        <v>0.62075517527753055</v>
      </c>
      <c r="P298">
        <f t="shared" ref="P298:P361" si="347">AVERAGE(E296:E298)</f>
        <v>5.6465216863113545E-2</v>
      </c>
      <c r="Q298">
        <f t="shared" ref="Q298:Q361" si="348">AVERAGE(F296:F298)</f>
        <v>3.6586643039503951E-2</v>
      </c>
      <c r="R298">
        <f t="shared" ref="R298:R361" si="349">AVERAGE(M296:M298)</f>
        <v>1.9064152284946578E-2</v>
      </c>
    </row>
    <row r="299" spans="1:18" x14ac:dyDescent="0.25">
      <c r="A299" s="18">
        <f t="shared" si="342"/>
        <v>26543</v>
      </c>
      <c r="B299">
        <f>'2-state flows'!B298</f>
        <v>87392</v>
      </c>
      <c r="C299">
        <f>'2-state flows'!C298</f>
        <v>4849</v>
      </c>
      <c r="D299">
        <f>'Composite HWI'!B262*48.35347462</f>
        <v>3336.38974878</v>
      </c>
      <c r="E299">
        <f t="shared" si="337"/>
        <v>5.5485627975100697E-2</v>
      </c>
      <c r="F299">
        <f t="shared" si="338"/>
        <v>3.8177290241440863E-2</v>
      </c>
      <c r="G299">
        <f>'2-state flows'!G298</f>
        <v>0.65292755344424858</v>
      </c>
      <c r="H299">
        <f t="shared" si="339"/>
        <v>0.63971415941006204</v>
      </c>
      <c r="I299">
        <f>'2-state flows'!H298</f>
        <v>3.8792708555746847E-2</v>
      </c>
      <c r="J299">
        <f t="shared" si="343"/>
        <v>-1.2704991796397105E-2</v>
      </c>
      <c r="K299">
        <v>0.5</v>
      </c>
      <c r="L299">
        <f t="shared" si="345"/>
        <v>0.70946306999374931</v>
      </c>
      <c r="M299">
        <f t="shared" si="340"/>
        <v>1.8779723912710516E-2</v>
      </c>
      <c r="N299">
        <f t="shared" ref="N299:O299" si="350">AVERAGE(G297:G299)</f>
        <v>0.65040593392401691</v>
      </c>
      <c r="O299">
        <f t="shared" si="350"/>
        <v>0.63017579680498825</v>
      </c>
      <c r="P299">
        <f t="shared" si="347"/>
        <v>5.6099657965265927E-2</v>
      </c>
      <c r="Q299">
        <f t="shared" si="348"/>
        <v>3.745643339521431E-2</v>
      </c>
      <c r="R299">
        <f t="shared" si="349"/>
        <v>1.8787408863835398E-2</v>
      </c>
    </row>
    <row r="300" spans="1:18" x14ac:dyDescent="0.25">
      <c r="A300" s="18">
        <f t="shared" si="342"/>
        <v>26573</v>
      </c>
      <c r="B300">
        <f>'2-state flows'!B299</f>
        <v>87491</v>
      </c>
      <c r="C300">
        <f>'2-state flows'!C299</f>
        <v>4875</v>
      </c>
      <c r="D300">
        <f>'Composite HWI'!B263*48.35347462</f>
        <v>3481.4501726399999</v>
      </c>
      <c r="E300">
        <f t="shared" si="337"/>
        <v>5.5720016916025648E-2</v>
      </c>
      <c r="F300">
        <f t="shared" si="338"/>
        <v>3.9792094874215631E-2</v>
      </c>
      <c r="G300">
        <f>'2-state flows'!G299</f>
        <v>0.70407850525077653</v>
      </c>
      <c r="H300">
        <f t="shared" si="339"/>
        <v>0.6517281028044617</v>
      </c>
      <c r="I300">
        <f>'2-state flows'!H299</f>
        <v>3.6867756679686524E-2</v>
      </c>
      <c r="J300">
        <f t="shared" si="343"/>
        <v>-5.0894938808550498E-2</v>
      </c>
      <c r="K300">
        <v>0.5</v>
      </c>
      <c r="L300">
        <f t="shared" si="345"/>
        <v>0.6076731923766483</v>
      </c>
      <c r="M300">
        <f t="shared" si="340"/>
        <v>2.167143597516771E-2</v>
      </c>
      <c r="N300">
        <f t="shared" ref="N300:O300" si="351">AVERAGE(G298:G300)</f>
        <v>0.67982649658211047</v>
      </c>
      <c r="O300">
        <f t="shared" si="351"/>
        <v>0.64023038181199288</v>
      </c>
      <c r="P300">
        <f t="shared" si="347"/>
        <v>5.5880131570387105E-2</v>
      </c>
      <c r="Q300">
        <f t="shared" si="348"/>
        <v>3.8513214390068627E-2</v>
      </c>
      <c r="R300">
        <f t="shared" si="349"/>
        <v>1.9489530274398082E-2</v>
      </c>
    </row>
    <row r="301" spans="1:18" x14ac:dyDescent="0.25">
      <c r="A301" s="18">
        <f t="shared" si="342"/>
        <v>26604</v>
      </c>
      <c r="B301">
        <f>'2-state flows'!B300</f>
        <v>87592</v>
      </c>
      <c r="C301">
        <f>'2-state flows'!C300</f>
        <v>4602</v>
      </c>
      <c r="D301">
        <f>'Composite HWI'!B264*48.35347462</f>
        <v>3529.8036472600002</v>
      </c>
      <c r="E301">
        <f t="shared" si="337"/>
        <v>5.2539044661612931E-2</v>
      </c>
      <c r="F301">
        <f t="shared" si="338"/>
        <v>4.029824238811764E-2</v>
      </c>
      <c r="G301">
        <f>'2-state flows'!G300</f>
        <v>0.59432691058272902</v>
      </c>
      <c r="H301">
        <f t="shared" si="339"/>
        <v>0.67542266967083719</v>
      </c>
      <c r="I301">
        <f>'2-state flows'!H300</f>
        <v>3.200023553739393E-2</v>
      </c>
      <c r="J301">
        <f t="shared" si="343"/>
        <v>-0.14159410302362771</v>
      </c>
      <c r="K301">
        <v>0.5</v>
      </c>
      <c r="L301">
        <f t="shared" si="345"/>
        <v>0.32448498632939288</v>
      </c>
      <c r="M301">
        <f t="shared" si="340"/>
        <v>2.9131581729196533E-2</v>
      </c>
      <c r="N301">
        <f t="shared" ref="N301:O301" si="352">AVERAGE(G299:G301)</f>
        <v>0.6504443230925846</v>
      </c>
      <c r="O301">
        <f t="shared" si="352"/>
        <v>0.65562164396178702</v>
      </c>
      <c r="P301">
        <f t="shared" si="347"/>
        <v>5.4581563184246423E-2</v>
      </c>
      <c r="Q301">
        <f t="shared" si="348"/>
        <v>3.942254250125804E-2</v>
      </c>
      <c r="R301">
        <f t="shared" si="349"/>
        <v>2.3194247205691586E-2</v>
      </c>
    </row>
    <row r="302" spans="1:18" x14ac:dyDescent="0.25">
      <c r="A302" s="18">
        <f t="shared" si="342"/>
        <v>26634</v>
      </c>
      <c r="B302">
        <f>'2-state flows'!B301</f>
        <v>87943</v>
      </c>
      <c r="C302">
        <f>'2-state flows'!C301</f>
        <v>4543</v>
      </c>
      <c r="D302">
        <f>'Composite HWI'!B265*48.35347462</f>
        <v>3868.2779695999998</v>
      </c>
      <c r="E302">
        <f t="shared" si="337"/>
        <v>5.1658460593793705E-2</v>
      </c>
      <c r="F302">
        <f t="shared" si="338"/>
        <v>4.3986195258292303E-2</v>
      </c>
      <c r="G302">
        <f>'2-state flows'!G301</f>
        <v>0.68459918330590785</v>
      </c>
      <c r="H302">
        <f t="shared" si="339"/>
        <v>0.71164128508749447</v>
      </c>
      <c r="I302">
        <f>'2-state flows'!H301</f>
        <v>3.3644548130379301E-2</v>
      </c>
      <c r="J302">
        <f t="shared" si="343"/>
        <v>5.0107762720571596E-2</v>
      </c>
      <c r="K302">
        <v>0.5</v>
      </c>
      <c r="L302">
        <f t="shared" si="345"/>
        <v>0.42470051177053608</v>
      </c>
      <c r="M302">
        <f t="shared" si="340"/>
        <v>2.8765459049189368E-2</v>
      </c>
      <c r="N302">
        <f t="shared" ref="N302:O302" si="353">AVERAGE(G300:G302)</f>
        <v>0.66100153304647113</v>
      </c>
      <c r="O302">
        <f t="shared" si="353"/>
        <v>0.67959735252093123</v>
      </c>
      <c r="P302">
        <f t="shared" si="347"/>
        <v>5.3305840723810761E-2</v>
      </c>
      <c r="Q302">
        <f t="shared" si="348"/>
        <v>4.135884417354186E-2</v>
      </c>
      <c r="R302">
        <f t="shared" si="349"/>
        <v>2.6522825584517868E-2</v>
      </c>
    </row>
    <row r="303" spans="1:18" x14ac:dyDescent="0.25">
      <c r="A303" s="18">
        <f t="shared" si="342"/>
        <v>26665</v>
      </c>
      <c r="B303">
        <f>'2-state flows'!B302</f>
        <v>87487</v>
      </c>
      <c r="C303">
        <f>'2-state flows'!C302</f>
        <v>4326</v>
      </c>
      <c r="D303">
        <f>'Composite HWI'!B266*48.35347462</f>
        <v>3964.9849188399999</v>
      </c>
      <c r="E303">
        <f t="shared" si="337"/>
        <v>4.9447346462903059E-2</v>
      </c>
      <c r="F303">
        <f t="shared" si="338"/>
        <v>4.5320846741115819E-2</v>
      </c>
      <c r="G303">
        <f>'2-state flows'!G302</f>
        <v>0.67937285809511594</v>
      </c>
      <c r="H303">
        <f t="shared" si="339"/>
        <v>0.73833112829188463</v>
      </c>
      <c r="I303">
        <f>'2-state flows'!H302</f>
        <v>3.7463207240596721E-2</v>
      </c>
      <c r="J303">
        <f t="shared" si="343"/>
        <v>0.10750828505568662</v>
      </c>
      <c r="K303">
        <v>0.5</v>
      </c>
      <c r="L303">
        <f t="shared" si="345"/>
        <v>0.63971708188190934</v>
      </c>
      <c r="M303">
        <f t="shared" si="340"/>
        <v>2.3904101084516214E-2</v>
      </c>
      <c r="N303">
        <f t="shared" ref="N303:O303" si="354">AVERAGE(G301:G303)</f>
        <v>0.65276631732791757</v>
      </c>
      <c r="O303">
        <f t="shared" si="354"/>
        <v>0.70846502768340536</v>
      </c>
      <c r="P303">
        <f t="shared" si="347"/>
        <v>5.1214950572769896E-2</v>
      </c>
      <c r="Q303">
        <f t="shared" si="348"/>
        <v>4.3201761462508592E-2</v>
      </c>
      <c r="R303">
        <f t="shared" si="349"/>
        <v>2.7267047287634041E-2</v>
      </c>
    </row>
    <row r="304" spans="1:18" x14ac:dyDescent="0.25">
      <c r="A304" s="18">
        <f t="shared" si="342"/>
        <v>26696</v>
      </c>
      <c r="B304">
        <f>'2-state flows'!B303</f>
        <v>88364</v>
      </c>
      <c r="C304">
        <f>'2-state flows'!C303</f>
        <v>4452</v>
      </c>
      <c r="D304">
        <f>'Composite HWI'!B267*48.35347462</f>
        <v>3964.9849188399999</v>
      </c>
      <c r="E304">
        <f t="shared" si="337"/>
        <v>5.0382508713955908E-2</v>
      </c>
      <c r="F304">
        <f t="shared" si="338"/>
        <v>4.4871043850889504E-2</v>
      </c>
      <c r="G304">
        <f>'2-state flows'!G303</f>
        <v>0.67887396768582808</v>
      </c>
      <c r="H304">
        <f t="shared" si="339"/>
        <v>0.72780805619035027</v>
      </c>
      <c r="I304">
        <f>'2-state flows'!H303</f>
        <v>3.5051010885885997E-2</v>
      </c>
      <c r="J304">
        <f t="shared" si="343"/>
        <v>-6.6554856775661239E-2</v>
      </c>
      <c r="K304">
        <v>0.5</v>
      </c>
      <c r="L304">
        <f t="shared" si="345"/>
        <v>0.50660736833058684</v>
      </c>
      <c r="M304">
        <f t="shared" si="340"/>
        <v>2.7036432688737382E-2</v>
      </c>
      <c r="N304">
        <f t="shared" ref="N304:O304" si="355">AVERAGE(G302:G304)</f>
        <v>0.6809486696956174</v>
      </c>
      <c r="O304">
        <f t="shared" si="355"/>
        <v>0.72592682318990975</v>
      </c>
      <c r="P304">
        <f t="shared" si="347"/>
        <v>5.0496105256884222E-2</v>
      </c>
      <c r="Q304">
        <f t="shared" si="348"/>
        <v>4.4726028616765869E-2</v>
      </c>
      <c r="R304">
        <f t="shared" si="349"/>
        <v>2.6568664274147655E-2</v>
      </c>
    </row>
    <row r="305" spans="1:18" x14ac:dyDescent="0.25">
      <c r="A305" s="18">
        <f t="shared" si="342"/>
        <v>26724</v>
      </c>
      <c r="B305">
        <f>'2-state flows'!B304</f>
        <v>88846</v>
      </c>
      <c r="C305">
        <f>'2-state flows'!C304</f>
        <v>4394</v>
      </c>
      <c r="D305">
        <f>'Composite HWI'!B268*48.35347462</f>
        <v>3964.9849188399999</v>
      </c>
      <c r="E305">
        <f t="shared" si="337"/>
        <v>4.9456362695000339E-2</v>
      </c>
      <c r="F305">
        <f t="shared" si="338"/>
        <v>4.4627613160299846E-2</v>
      </c>
      <c r="G305">
        <f>'2-state flows'!G304</f>
        <v>0.69223726238979422</v>
      </c>
      <c r="H305">
        <f t="shared" si="339"/>
        <v>0.73259577564574951</v>
      </c>
      <c r="I305">
        <f>'2-state flows'!H304</f>
        <v>3.7100960992089441E-2</v>
      </c>
      <c r="J305">
        <f t="shared" si="343"/>
        <v>5.6838417712860904E-2</v>
      </c>
      <c r="K305">
        <v>0.5</v>
      </c>
      <c r="L305">
        <f t="shared" si="345"/>
        <v>0.62028420375630866</v>
      </c>
      <c r="M305">
        <f t="shared" si="340"/>
        <v>2.4000354302497244E-2</v>
      </c>
      <c r="N305">
        <f t="shared" ref="N305:O305" si="356">AVERAGE(G303:G305)</f>
        <v>0.68349469605691271</v>
      </c>
      <c r="O305">
        <f t="shared" si="356"/>
        <v>0.73291165337599473</v>
      </c>
      <c r="P305">
        <f t="shared" si="347"/>
        <v>4.9762072623953102E-2</v>
      </c>
      <c r="Q305">
        <f t="shared" si="348"/>
        <v>4.4939834584101723E-2</v>
      </c>
      <c r="R305">
        <f t="shared" si="349"/>
        <v>2.4980296025250277E-2</v>
      </c>
    </row>
    <row r="306" spans="1:18" x14ac:dyDescent="0.25">
      <c r="A306" s="18">
        <f t="shared" si="342"/>
        <v>26755</v>
      </c>
      <c r="B306">
        <f>'2-state flows'!B305</f>
        <v>89018</v>
      </c>
      <c r="C306">
        <f>'2-state flows'!C305</f>
        <v>4459</v>
      </c>
      <c r="D306">
        <f>'Composite HWI'!B269*48.35347462</f>
        <v>3916.63144422</v>
      </c>
      <c r="E306">
        <f t="shared" si="337"/>
        <v>5.00909928329102E-2</v>
      </c>
      <c r="F306">
        <f t="shared" si="338"/>
        <v>4.3998196367251566E-2</v>
      </c>
      <c r="G306">
        <f>'2-state flows'!G305</f>
        <v>0.75013411193355595</v>
      </c>
      <c r="H306">
        <f t="shared" si="339"/>
        <v>0.7227885821800053</v>
      </c>
      <c r="I306">
        <f>'2-state flows'!H305</f>
        <v>3.7335031374489319E-2</v>
      </c>
      <c r="J306">
        <f t="shared" si="343"/>
        <v>6.289192808247075E-3</v>
      </c>
      <c r="K306">
        <v>0.5</v>
      </c>
      <c r="L306">
        <f t="shared" si="345"/>
        <v>0.63286258937280282</v>
      </c>
      <c r="M306">
        <f t="shared" si="340"/>
        <v>2.33660952810631E-2</v>
      </c>
      <c r="N306">
        <f t="shared" ref="N306:O306" si="357">AVERAGE(G304:G306)</f>
        <v>0.70708178066972616</v>
      </c>
      <c r="O306">
        <f t="shared" si="357"/>
        <v>0.72773080467203499</v>
      </c>
      <c r="P306">
        <f t="shared" si="347"/>
        <v>4.997662141395548E-2</v>
      </c>
      <c r="Q306">
        <f t="shared" si="348"/>
        <v>4.449895112614697E-2</v>
      </c>
      <c r="R306">
        <f t="shared" si="349"/>
        <v>2.4800960757432572E-2</v>
      </c>
    </row>
    <row r="307" spans="1:18" x14ac:dyDescent="0.25">
      <c r="A307" s="18">
        <f t="shared" si="342"/>
        <v>26785</v>
      </c>
      <c r="B307">
        <f>'2-state flows'!B306</f>
        <v>88977</v>
      </c>
      <c r="C307">
        <f>'2-state flows'!C306</f>
        <v>4329</v>
      </c>
      <c r="D307">
        <f>'Composite HWI'!B270*48.35347462</f>
        <v>3964.9849188399999</v>
      </c>
      <c r="E307">
        <f t="shared" si="337"/>
        <v>4.8653022691257292E-2</v>
      </c>
      <c r="F307">
        <f t="shared" si="338"/>
        <v>4.4561908345302714E-2</v>
      </c>
      <c r="G307">
        <f>'2-state flows'!G306</f>
        <v>0.75189668463213599</v>
      </c>
      <c r="H307">
        <f t="shared" si="339"/>
        <v>0.73807525196179802</v>
      </c>
      <c r="I307">
        <f>'2-state flows'!H306</f>
        <v>3.9034122820725832E-2</v>
      </c>
      <c r="J307">
        <f t="shared" si="343"/>
        <v>4.450414287242916E-2</v>
      </c>
      <c r="K307">
        <v>0.5</v>
      </c>
      <c r="L307">
        <f t="shared" si="345"/>
        <v>0.72187087511766113</v>
      </c>
      <c r="M307">
        <f t="shared" si="340"/>
        <v>2.1650066932300843E-2</v>
      </c>
      <c r="N307">
        <f t="shared" ref="N307:O307" si="358">AVERAGE(G305:G307)</f>
        <v>0.73142268631849527</v>
      </c>
      <c r="O307">
        <f t="shared" si="358"/>
        <v>0.73115320326251754</v>
      </c>
      <c r="P307">
        <f t="shared" si="347"/>
        <v>4.9400126073055939E-2</v>
      </c>
      <c r="Q307">
        <f t="shared" si="348"/>
        <v>4.4395905957618047E-2</v>
      </c>
      <c r="R307">
        <f t="shared" si="349"/>
        <v>2.3005505505287061E-2</v>
      </c>
    </row>
    <row r="308" spans="1:18" x14ac:dyDescent="0.25">
      <c r="A308" s="18">
        <f t="shared" si="342"/>
        <v>26816</v>
      </c>
      <c r="B308">
        <f>'2-state flows'!B307</f>
        <v>89548</v>
      </c>
      <c r="C308">
        <f>'2-state flows'!C307</f>
        <v>4363</v>
      </c>
      <c r="D308">
        <f>'Composite HWI'!B271*48.35347462</f>
        <v>3964.9849188399999</v>
      </c>
      <c r="E308">
        <f t="shared" si="337"/>
        <v>4.8722472863715546E-2</v>
      </c>
      <c r="F308">
        <f t="shared" si="338"/>
        <v>4.4277760741055078E-2</v>
      </c>
      <c r="G308">
        <f>'2-state flows'!G307</f>
        <v>0.76315559651510445</v>
      </c>
      <c r="H308">
        <f t="shared" si="339"/>
        <v>0.7351937897534272</v>
      </c>
      <c r="I308">
        <f>'2-state flows'!H307</f>
        <v>3.809756494982381E-2</v>
      </c>
      <c r="J308">
        <f t="shared" si="343"/>
        <v>-2.4285839698255981E-2</v>
      </c>
      <c r="K308">
        <v>0.5</v>
      </c>
      <c r="L308">
        <f t="shared" si="345"/>
        <v>0.67329919572114916</v>
      </c>
      <c r="M308">
        <f t="shared" si="340"/>
        <v>2.2582682249681223E-2</v>
      </c>
      <c r="N308">
        <f t="shared" ref="N308:O308" si="359">AVERAGE(G306:G308)</f>
        <v>0.75506213102693209</v>
      </c>
      <c r="O308">
        <f t="shared" si="359"/>
        <v>0.73201920796507691</v>
      </c>
      <c r="P308">
        <f t="shared" si="347"/>
        <v>4.9155496129294346E-2</v>
      </c>
      <c r="Q308">
        <f t="shared" si="348"/>
        <v>4.427928848453646E-2</v>
      </c>
      <c r="R308">
        <f t="shared" si="349"/>
        <v>2.2532948154348389E-2</v>
      </c>
    </row>
    <row r="309" spans="1:18" x14ac:dyDescent="0.25">
      <c r="A309" s="18">
        <f t="shared" si="342"/>
        <v>26846</v>
      </c>
      <c r="B309">
        <f>'2-state flows'!B308</f>
        <v>89604</v>
      </c>
      <c r="C309">
        <f>'2-state flows'!C308</f>
        <v>4305</v>
      </c>
      <c r="D309">
        <f>'Composite HWI'!B272*48.35347462</f>
        <v>4061.6918680799999</v>
      </c>
      <c r="E309">
        <f t="shared" si="337"/>
        <v>4.8044730145975628E-2</v>
      </c>
      <c r="F309">
        <f t="shared" si="338"/>
        <v>4.5329358824159637E-2</v>
      </c>
      <c r="G309">
        <f>'2-state flows'!G308</f>
        <v>0.75915794248104795</v>
      </c>
      <c r="H309">
        <f t="shared" si="339"/>
        <v>0.74910134235531201</v>
      </c>
      <c r="I309">
        <f>'2-state flows'!H308</f>
        <v>3.8314341236746451E-2</v>
      </c>
      <c r="J309">
        <f t="shared" si="343"/>
        <v>5.6739029112234897E-3</v>
      </c>
      <c r="K309">
        <v>0.5</v>
      </c>
      <c r="L309">
        <f t="shared" si="345"/>
        <v>0.68464700154359615</v>
      </c>
      <c r="M309">
        <f t="shared" si="340"/>
        <v>2.2858154365371627E-2</v>
      </c>
      <c r="N309">
        <f t="shared" ref="N309:O309" si="360">AVERAGE(G307:G309)</f>
        <v>0.75807007454276276</v>
      </c>
      <c r="O309">
        <f t="shared" si="360"/>
        <v>0.74079012802351241</v>
      </c>
      <c r="P309">
        <f t="shared" si="347"/>
        <v>4.8473408566982824E-2</v>
      </c>
      <c r="Q309">
        <f t="shared" si="348"/>
        <v>4.4723009303505812E-2</v>
      </c>
      <c r="R309">
        <f t="shared" si="349"/>
        <v>2.2363634515784565E-2</v>
      </c>
    </row>
    <row r="310" spans="1:18" x14ac:dyDescent="0.25">
      <c r="A310" s="18">
        <f t="shared" si="342"/>
        <v>26877</v>
      </c>
      <c r="B310">
        <f>'2-state flows'!B309</f>
        <v>89509</v>
      </c>
      <c r="C310">
        <f>'2-state flows'!C309</f>
        <v>4305</v>
      </c>
      <c r="D310">
        <f>'Composite HWI'!B273*48.35347462</f>
        <v>3964.9849188399999</v>
      </c>
      <c r="E310">
        <f t="shared" si="337"/>
        <v>4.8095722217877529E-2</v>
      </c>
      <c r="F310">
        <f t="shared" si="338"/>
        <v>4.4297053020813548E-2</v>
      </c>
      <c r="G310">
        <f>'2-state flows'!G309</f>
        <v>0.69943870777942563</v>
      </c>
      <c r="H310">
        <f t="shared" si="339"/>
        <v>0.74012974515508245</v>
      </c>
      <c r="I310">
        <f>'2-state flows'!H309</f>
        <v>3.6085673648107053E-2</v>
      </c>
      <c r="J310">
        <f t="shared" si="343"/>
        <v>-5.9928336203991045E-2</v>
      </c>
      <c r="K310">
        <v>0.5</v>
      </c>
      <c r="L310">
        <f t="shared" si="345"/>
        <v>0.564790329135614</v>
      </c>
      <c r="M310">
        <f t="shared" si="340"/>
        <v>2.5181958925446637E-2</v>
      </c>
      <c r="N310">
        <f t="shared" ref="N310:O310" si="361">AVERAGE(G308:G310)</f>
        <v>0.74058408225852601</v>
      </c>
      <c r="O310">
        <f t="shared" si="361"/>
        <v>0.74147495908794048</v>
      </c>
      <c r="P310">
        <f t="shared" si="347"/>
        <v>4.8287641742522903E-2</v>
      </c>
      <c r="Q310">
        <f t="shared" si="348"/>
        <v>4.4634724195342756E-2</v>
      </c>
      <c r="R310">
        <f t="shared" si="349"/>
        <v>2.3540931846833164E-2</v>
      </c>
    </row>
    <row r="311" spans="1:18" x14ac:dyDescent="0.25">
      <c r="A311" s="18">
        <f t="shared" si="342"/>
        <v>26908</v>
      </c>
      <c r="B311">
        <f>'2-state flows'!B310</f>
        <v>89838</v>
      </c>
      <c r="C311">
        <f>'2-state flows'!C310</f>
        <v>4350</v>
      </c>
      <c r="D311">
        <f>'Composite HWI'!B274*48.35347462</f>
        <v>3916.63144422</v>
      </c>
      <c r="E311">
        <f t="shared" si="337"/>
        <v>4.8420490215721632E-2</v>
      </c>
      <c r="F311">
        <f t="shared" si="338"/>
        <v>4.3596601039871771E-2</v>
      </c>
      <c r="G311">
        <f>'2-state flows'!G310</f>
        <v>0.73732729768909522</v>
      </c>
      <c r="H311">
        <f t="shared" si="339"/>
        <v>0.73178818125369971</v>
      </c>
      <c r="I311">
        <f>'2-state flows'!H310</f>
        <v>3.4060990597342466E-2</v>
      </c>
      <c r="J311">
        <f t="shared" si="343"/>
        <v>-5.7743176016254026E-2</v>
      </c>
      <c r="K311">
        <v>0.5</v>
      </c>
      <c r="L311">
        <f t="shared" si="345"/>
        <v>0.44930397710310593</v>
      </c>
      <c r="M311">
        <f t="shared" si="340"/>
        <v>2.7817775209964112E-2</v>
      </c>
      <c r="N311">
        <f t="shared" ref="N311:O311" si="362">AVERAGE(G309:G311)</f>
        <v>0.7319746493165229</v>
      </c>
      <c r="O311">
        <f t="shared" si="362"/>
        <v>0.74033975625469806</v>
      </c>
      <c r="P311">
        <f t="shared" si="347"/>
        <v>4.8186980859858265E-2</v>
      </c>
      <c r="Q311">
        <f t="shared" si="348"/>
        <v>4.4407670961614985E-2</v>
      </c>
      <c r="R311">
        <f t="shared" si="349"/>
        <v>2.5285962833594123E-2</v>
      </c>
    </row>
    <row r="312" spans="1:18" x14ac:dyDescent="0.25">
      <c r="A312" s="18">
        <f t="shared" si="342"/>
        <v>26938</v>
      </c>
      <c r="B312">
        <f>'2-state flows'!B311</f>
        <v>90131</v>
      </c>
      <c r="C312">
        <f>'2-state flows'!C311</f>
        <v>4144</v>
      </c>
      <c r="D312">
        <f>'Composite HWI'!B275*48.35347462</f>
        <v>3964.9849188399999</v>
      </c>
      <c r="E312">
        <f t="shared" si="337"/>
        <v>4.5977521607438065E-2</v>
      </c>
      <c r="F312">
        <f t="shared" si="338"/>
        <v>4.3991356124307948E-2</v>
      </c>
      <c r="G312">
        <f>'2-state flows'!G311</f>
        <v>0.67592187427806594</v>
      </c>
      <c r="H312">
        <f t="shared" si="339"/>
        <v>0.75437026761648063</v>
      </c>
      <c r="I312">
        <f>'2-state flows'!H311</f>
        <v>3.6672770053615987E-2</v>
      </c>
      <c r="J312">
        <f t="shared" si="343"/>
        <v>7.3881760576696556E-2</v>
      </c>
      <c r="K312">
        <v>0.5</v>
      </c>
      <c r="L312">
        <f t="shared" si="345"/>
        <v>0.59706749825649907</v>
      </c>
      <c r="M312">
        <f t="shared" si="340"/>
        <v>2.4213871335784735E-2</v>
      </c>
      <c r="N312">
        <f t="shared" ref="N312:O312" si="363">AVERAGE(G310:G312)</f>
        <v>0.7042292932488623</v>
      </c>
      <c r="O312">
        <f t="shared" si="363"/>
        <v>0.7420960646750876</v>
      </c>
      <c r="P312">
        <f t="shared" si="347"/>
        <v>4.7497911347012402E-2</v>
      </c>
      <c r="Q312">
        <f t="shared" si="348"/>
        <v>4.3961670061664425E-2</v>
      </c>
      <c r="R312">
        <f t="shared" si="349"/>
        <v>2.5737868490398493E-2</v>
      </c>
    </row>
    <row r="313" spans="1:18" x14ac:dyDescent="0.25">
      <c r="A313" s="18">
        <f t="shared" si="342"/>
        <v>26969</v>
      </c>
      <c r="B313">
        <f>'2-state flows'!B312</f>
        <v>90716</v>
      </c>
      <c r="C313">
        <f>'2-state flows'!C312</f>
        <v>4396</v>
      </c>
      <c r="D313">
        <f>'Composite HWI'!B276*48.35347462</f>
        <v>3964.9849188399999</v>
      </c>
      <c r="E313">
        <f t="shared" si="337"/>
        <v>4.8458926760439169E-2</v>
      </c>
      <c r="F313">
        <f t="shared" si="338"/>
        <v>4.3707669196613605E-2</v>
      </c>
      <c r="G313">
        <f>'2-state flows'!G312</f>
        <v>0.71197666913435564</v>
      </c>
      <c r="H313">
        <f t="shared" si="339"/>
        <v>0.73242910614623258</v>
      </c>
      <c r="I313">
        <f>'2-state flows'!H312</f>
        <v>3.7789967522926245E-2</v>
      </c>
      <c r="J313">
        <f t="shared" si="343"/>
        <v>3.0009138672074762E-2</v>
      </c>
      <c r="K313">
        <v>0.5</v>
      </c>
      <c r="L313">
        <f t="shared" si="345"/>
        <v>0.65708577560064862</v>
      </c>
      <c r="M313">
        <f t="shared" si="340"/>
        <v>2.265629657083643E-2</v>
      </c>
      <c r="N313">
        <f t="shared" ref="N313:O313" si="364">AVERAGE(G311:G313)</f>
        <v>0.70840861370050556</v>
      </c>
      <c r="O313">
        <f t="shared" si="364"/>
        <v>0.73952918500547093</v>
      </c>
      <c r="P313">
        <f t="shared" si="347"/>
        <v>4.7618979527866291E-2</v>
      </c>
      <c r="Q313">
        <f t="shared" si="348"/>
        <v>4.376520878693111E-2</v>
      </c>
      <c r="R313">
        <f t="shared" si="349"/>
        <v>2.4895981038861759E-2</v>
      </c>
    </row>
    <row r="314" spans="1:18" x14ac:dyDescent="0.25">
      <c r="A314" s="18">
        <f t="shared" si="342"/>
        <v>26999</v>
      </c>
      <c r="B314">
        <f>'2-state flows'!B313</f>
        <v>90890</v>
      </c>
      <c r="C314">
        <f>'2-state flows'!C313</f>
        <v>4489</v>
      </c>
      <c r="D314">
        <f>'Composite HWI'!B277*48.35347462</f>
        <v>3819.92449498</v>
      </c>
      <c r="E314">
        <f t="shared" si="337"/>
        <v>4.9389371768071295E-2</v>
      </c>
      <c r="F314">
        <f t="shared" si="338"/>
        <v>4.2027995323797994E-2</v>
      </c>
      <c r="G314">
        <f>'2-state flows'!G313</f>
        <v>0.69336997213934515</v>
      </c>
      <c r="H314">
        <f t="shared" si="339"/>
        <v>0.71142029955301034</v>
      </c>
      <c r="I314">
        <f>'2-state flows'!H313</f>
        <v>3.8554188215720799E-2</v>
      </c>
      <c r="J314">
        <f t="shared" si="343"/>
        <v>2.0021079884376167E-2</v>
      </c>
      <c r="K314">
        <v>0.5</v>
      </c>
      <c r="L314">
        <f t="shared" si="345"/>
        <v>0.69712793536940099</v>
      </c>
      <c r="M314">
        <f t="shared" si="340"/>
        <v>2.0930512367129988E-2</v>
      </c>
      <c r="N314">
        <f t="shared" ref="N314:O314" si="365">AVERAGE(G312:G314)</f>
        <v>0.69375617185058891</v>
      </c>
      <c r="O314">
        <f t="shared" si="365"/>
        <v>0.73273989110524118</v>
      </c>
      <c r="P314">
        <f t="shared" si="347"/>
        <v>4.7941940045316177E-2</v>
      </c>
      <c r="Q314">
        <f t="shared" si="348"/>
        <v>4.324234021490652E-2</v>
      </c>
      <c r="R314">
        <f t="shared" si="349"/>
        <v>2.260022675791705E-2</v>
      </c>
    </row>
    <row r="315" spans="1:18" x14ac:dyDescent="0.25">
      <c r="A315" s="18">
        <f t="shared" si="342"/>
        <v>27030</v>
      </c>
      <c r="B315">
        <f>'2-state flows'!B314</f>
        <v>91199</v>
      </c>
      <c r="C315">
        <f>'2-state flows'!C314</f>
        <v>4644</v>
      </c>
      <c r="D315">
        <f>'Composite HWI'!B278*48.35347462</f>
        <v>3771.5710203600001</v>
      </c>
      <c r="E315">
        <f t="shared" si="337"/>
        <v>5.0921610982576561E-2</v>
      </c>
      <c r="F315">
        <f t="shared" si="338"/>
        <v>4.135539885700501E-2</v>
      </c>
      <c r="G315">
        <f>'2-state flows'!G314</f>
        <v>0.7031018180546007</v>
      </c>
      <c r="H315">
        <f t="shared" si="339"/>
        <v>0.69500624341461736</v>
      </c>
      <c r="I315">
        <f>'2-state flows'!H314</f>
        <v>3.9147948487326181E-2</v>
      </c>
      <c r="J315">
        <f t="shared" si="343"/>
        <v>1.5283281882175613E-2</v>
      </c>
      <c r="K315">
        <v>0.5</v>
      </c>
      <c r="L315">
        <f t="shared" si="345"/>
        <v>0.72769449913375217</v>
      </c>
      <c r="M315">
        <f t="shared" si="340"/>
        <v>1.9975539073034902E-2</v>
      </c>
      <c r="N315">
        <f t="shared" ref="N315:O315" si="366">AVERAGE(G313:G315)</f>
        <v>0.70281615310943391</v>
      </c>
      <c r="O315">
        <f t="shared" si="366"/>
        <v>0.71295188303795332</v>
      </c>
      <c r="P315">
        <f t="shared" si="347"/>
        <v>4.9589969837029006E-2</v>
      </c>
      <c r="Q315">
        <f t="shared" si="348"/>
        <v>4.2363687792472203E-2</v>
      </c>
      <c r="R315">
        <f t="shared" si="349"/>
        <v>2.1187449337000439E-2</v>
      </c>
    </row>
    <row r="316" spans="1:18" x14ac:dyDescent="0.25">
      <c r="A316" s="18">
        <f t="shared" si="342"/>
        <v>27061</v>
      </c>
      <c r="B316">
        <f>'2-state flows'!B315</f>
        <v>91485</v>
      </c>
      <c r="C316">
        <f>'2-state flows'!C315</f>
        <v>4731</v>
      </c>
      <c r="D316">
        <f>'Composite HWI'!B279*48.35347462</f>
        <v>3723.2175457399999</v>
      </c>
      <c r="E316">
        <f t="shared" si="337"/>
        <v>5.1713395638629284E-2</v>
      </c>
      <c r="F316">
        <f t="shared" si="338"/>
        <v>4.0697573872656718E-2</v>
      </c>
      <c r="G316">
        <f>'2-state flows'!G315</f>
        <v>0.75617905173672062</v>
      </c>
      <c r="H316">
        <f t="shared" si="339"/>
        <v>0.68415798284859297</v>
      </c>
      <c r="I316">
        <f>'2-state flows'!H315</f>
        <v>3.9615712785524018E-2</v>
      </c>
      <c r="J316">
        <f t="shared" si="343"/>
        <v>1.1877807355941903E-2</v>
      </c>
      <c r="K316">
        <v>0.5</v>
      </c>
      <c r="L316">
        <f t="shared" si="345"/>
        <v>0.75145011384563598</v>
      </c>
      <c r="M316">
        <f t="shared" si="340"/>
        <v>1.9196315639000969E-2</v>
      </c>
      <c r="N316">
        <f t="shared" ref="N316:O316" si="367">AVERAGE(G314:G316)</f>
        <v>0.71755028064355553</v>
      </c>
      <c r="O316">
        <f t="shared" si="367"/>
        <v>0.69686150860540685</v>
      </c>
      <c r="P316">
        <f t="shared" si="347"/>
        <v>5.0674792796425706E-2</v>
      </c>
      <c r="Q316">
        <f t="shared" si="348"/>
        <v>4.1360322684486577E-2</v>
      </c>
      <c r="R316">
        <f t="shared" si="349"/>
        <v>2.0034122359721952E-2</v>
      </c>
    </row>
    <row r="317" spans="1:18" x14ac:dyDescent="0.25">
      <c r="A317" s="18">
        <f t="shared" si="342"/>
        <v>27089</v>
      </c>
      <c r="B317">
        <f>'2-state flows'!B316</f>
        <v>91453</v>
      </c>
      <c r="C317">
        <f>'2-state flows'!C316</f>
        <v>4634</v>
      </c>
      <c r="D317">
        <f>'Composite HWI'!B280*48.35347462</f>
        <v>3723.2175457399999</v>
      </c>
      <c r="E317">
        <f t="shared" si="337"/>
        <v>5.067083638590314E-2</v>
      </c>
      <c r="F317">
        <f t="shared" si="338"/>
        <v>4.0711814218669699E-2</v>
      </c>
      <c r="G317">
        <f>'2-state flows'!G316</f>
        <v>0.70880648270793345</v>
      </c>
      <c r="H317">
        <f t="shared" si="339"/>
        <v>0.69128137828681613</v>
      </c>
      <c r="I317">
        <f>'2-state flows'!H316</f>
        <v>3.7571293590583629E-2</v>
      </c>
      <c r="J317">
        <f t="shared" si="343"/>
        <v>-5.2985536604384945E-2</v>
      </c>
      <c r="K317">
        <v>0.5</v>
      </c>
      <c r="L317">
        <f t="shared" si="345"/>
        <v>0.64547904063686612</v>
      </c>
      <c r="M317">
        <f t="shared" si="340"/>
        <v>2.1349734101458719E-2</v>
      </c>
      <c r="N317">
        <f t="shared" ref="N317:O317" si="368">AVERAGE(G315:G317)</f>
        <v>0.72269578416641822</v>
      </c>
      <c r="O317">
        <f t="shared" si="368"/>
        <v>0.69014853485000882</v>
      </c>
      <c r="P317">
        <f t="shared" si="347"/>
        <v>5.1101947669036328E-2</v>
      </c>
      <c r="Q317">
        <f t="shared" si="348"/>
        <v>4.0921595649443809E-2</v>
      </c>
      <c r="R317">
        <f t="shared" si="349"/>
        <v>2.0173862937831528E-2</v>
      </c>
    </row>
    <row r="318" spans="1:18" x14ac:dyDescent="0.25">
      <c r="A318" s="18">
        <f t="shared" si="342"/>
        <v>27120</v>
      </c>
      <c r="B318">
        <f>'2-state flows'!B317</f>
        <v>91287</v>
      </c>
      <c r="C318">
        <f>'2-state flows'!C317</f>
        <v>4618</v>
      </c>
      <c r="D318">
        <f>'Composite HWI'!B281*48.35347462</f>
        <v>3819.92449498</v>
      </c>
      <c r="E318">
        <f t="shared" si="337"/>
        <v>5.0587706902406694E-2</v>
      </c>
      <c r="F318">
        <f t="shared" si="338"/>
        <v>4.1845218869937667E-2</v>
      </c>
      <c r="G318">
        <f>'2-state flows'!G317</f>
        <v>0.71992077890085882</v>
      </c>
      <c r="H318">
        <f t="shared" si="339"/>
        <v>0.70141345332409932</v>
      </c>
      <c r="I318">
        <f>'2-state flows'!H317</f>
        <v>3.9792618623377102E-2</v>
      </c>
      <c r="J318">
        <f t="shared" si="343"/>
        <v>5.7441142896111838E-2</v>
      </c>
      <c r="K318">
        <v>0.5</v>
      </c>
      <c r="L318">
        <f t="shared" si="345"/>
        <v>0.76036132642908982</v>
      </c>
      <c r="M318">
        <f t="shared" si="340"/>
        <v>1.9562534258539151E-2</v>
      </c>
      <c r="N318">
        <f t="shared" ref="N318:O318" si="369">AVERAGE(G316:G318)</f>
        <v>0.72830210444850429</v>
      </c>
      <c r="O318">
        <f t="shared" si="369"/>
        <v>0.69228427148650284</v>
      </c>
      <c r="P318">
        <f t="shared" si="347"/>
        <v>5.0990646308979704E-2</v>
      </c>
      <c r="Q318">
        <f t="shared" si="348"/>
        <v>4.1084868987088026E-2</v>
      </c>
      <c r="R318">
        <f t="shared" si="349"/>
        <v>2.0036194666332944E-2</v>
      </c>
    </row>
    <row r="319" spans="1:18" x14ac:dyDescent="0.25">
      <c r="A319" s="18">
        <f t="shared" si="342"/>
        <v>27150</v>
      </c>
      <c r="B319">
        <f>'2-state flows'!B318</f>
        <v>91596</v>
      </c>
      <c r="C319">
        <f>'2-state flows'!C318</f>
        <v>4705</v>
      </c>
      <c r="D319">
        <f>'Composite HWI'!B282*48.35347462</f>
        <v>3771.5710203600001</v>
      </c>
      <c r="E319">
        <f t="shared" si="337"/>
        <v>5.1366871915804184E-2</v>
      </c>
      <c r="F319">
        <f t="shared" si="338"/>
        <v>4.1176154202803621E-2</v>
      </c>
      <c r="G319">
        <f>'2-state flows'!G318</f>
        <v>0.66073451568488573</v>
      </c>
      <c r="H319">
        <f t="shared" si="339"/>
        <v>0.6904861911079776</v>
      </c>
      <c r="I319">
        <f>'2-state flows'!H318</f>
        <v>3.9330382945702715E-2</v>
      </c>
      <c r="J319">
        <f t="shared" si="343"/>
        <v>-1.1684110236886881E-2</v>
      </c>
      <c r="K319">
        <v>0.5</v>
      </c>
      <c r="L319">
        <f t="shared" si="345"/>
        <v>0.73699310595531609</v>
      </c>
      <c r="M319">
        <f t="shared" si="340"/>
        <v>1.9704877646304422E-2</v>
      </c>
      <c r="N319">
        <f t="shared" ref="N319:O319" si="370">AVERAGE(G317:G319)</f>
        <v>0.69648725909789266</v>
      </c>
      <c r="O319">
        <f t="shared" si="370"/>
        <v>0.69439367423963105</v>
      </c>
      <c r="P319">
        <f t="shared" si="347"/>
        <v>5.0875138401371339E-2</v>
      </c>
      <c r="Q319">
        <f t="shared" si="348"/>
        <v>4.1244395763803669E-2</v>
      </c>
      <c r="R319">
        <f t="shared" si="349"/>
        <v>2.0205715335434096E-2</v>
      </c>
    </row>
    <row r="320" spans="1:18" x14ac:dyDescent="0.25">
      <c r="A320" s="18">
        <f t="shared" si="342"/>
        <v>27181</v>
      </c>
      <c r="B320">
        <f>'2-state flows'!B319</f>
        <v>91868</v>
      </c>
      <c r="C320">
        <f>'2-state flows'!C319</f>
        <v>4927</v>
      </c>
      <c r="D320">
        <f>'Composite HWI'!B283*48.35347462</f>
        <v>3674.8640711200001</v>
      </c>
      <c r="E320">
        <f t="shared" si="337"/>
        <v>5.3631297078416858E-2</v>
      </c>
      <c r="F320">
        <f t="shared" si="338"/>
        <v>4.0001568240519009E-2</v>
      </c>
      <c r="G320">
        <f>'2-state flows'!G319</f>
        <v>0.66374800294468117</v>
      </c>
      <c r="H320">
        <f t="shared" si="339"/>
        <v>0.66604416076034045</v>
      </c>
      <c r="I320">
        <f>'2-state flows'!H319</f>
        <v>3.9793548259271193E-2</v>
      </c>
      <c r="J320">
        <f t="shared" si="343"/>
        <v>1.1707471982540657E-2</v>
      </c>
      <c r="K320">
        <v>0.5</v>
      </c>
      <c r="L320">
        <f t="shared" si="345"/>
        <v>0.76040804992039734</v>
      </c>
      <c r="M320">
        <f t="shared" si="340"/>
        <v>1.869975850185749E-2</v>
      </c>
      <c r="N320">
        <f t="shared" ref="N320:O320" si="371">AVERAGE(G318:G320)</f>
        <v>0.68146776584347535</v>
      </c>
      <c r="O320">
        <f t="shared" si="371"/>
        <v>0.68598126839747253</v>
      </c>
      <c r="P320">
        <f t="shared" si="347"/>
        <v>5.1861958632209243E-2</v>
      </c>
      <c r="Q320">
        <f t="shared" si="348"/>
        <v>4.1007647104420099E-2</v>
      </c>
      <c r="R320">
        <f t="shared" si="349"/>
        <v>1.9322390135567021E-2</v>
      </c>
    </row>
    <row r="321" spans="1:18" x14ac:dyDescent="0.25">
      <c r="A321" s="18">
        <f t="shared" si="342"/>
        <v>27211</v>
      </c>
      <c r="B321">
        <f>'2-state flows'!B320</f>
        <v>92212</v>
      </c>
      <c r="C321">
        <f>'2-state flows'!C320</f>
        <v>5063</v>
      </c>
      <c r="D321">
        <f>'Composite HWI'!B284*48.35347462</f>
        <v>3578.15712188</v>
      </c>
      <c r="E321">
        <f t="shared" si="337"/>
        <v>5.490608597579491E-2</v>
      </c>
      <c r="F321">
        <f t="shared" si="338"/>
        <v>3.8803595214071923E-2</v>
      </c>
      <c r="G321">
        <f>'2-state flows'!G320</f>
        <v>0.74108840634487738</v>
      </c>
      <c r="H321">
        <f t="shared" si="339"/>
        <v>0.64833490888354506</v>
      </c>
      <c r="I321">
        <f>'2-state flows'!H320</f>
        <v>4.237562910554514E-2</v>
      </c>
      <c r="J321">
        <f t="shared" si="343"/>
        <v>6.2868616627269183E-2</v>
      </c>
      <c r="K321">
        <v>0.5</v>
      </c>
      <c r="L321">
        <f t="shared" si="345"/>
        <v>0.88614528317493568</v>
      </c>
      <c r="M321">
        <f t="shared" si="340"/>
        <v>1.5996462744316257E-2</v>
      </c>
      <c r="N321">
        <f t="shared" ref="N321:O321" si="372">AVERAGE(G319:G321)</f>
        <v>0.68852364165814806</v>
      </c>
      <c r="O321">
        <f t="shared" si="372"/>
        <v>0.66828842025062107</v>
      </c>
      <c r="P321">
        <f t="shared" si="347"/>
        <v>5.3301418323338651E-2</v>
      </c>
      <c r="Q321">
        <f t="shared" si="348"/>
        <v>3.9993772552464855E-2</v>
      </c>
      <c r="R321">
        <f t="shared" si="349"/>
        <v>1.8133699630826058E-2</v>
      </c>
    </row>
    <row r="322" spans="1:18" x14ac:dyDescent="0.25">
      <c r="A322" s="18">
        <f t="shared" si="342"/>
        <v>27242</v>
      </c>
      <c r="B322">
        <f>'2-state flows'!B321</f>
        <v>92059</v>
      </c>
      <c r="C322">
        <f>'2-state flows'!C321</f>
        <v>5022</v>
      </c>
      <c r="D322">
        <f>'Composite HWI'!B285*48.35347462</f>
        <v>3481.4501726399999</v>
      </c>
      <c r="E322">
        <f t="shared" si="337"/>
        <v>5.4551972104845803E-2</v>
      </c>
      <c r="F322">
        <f t="shared" si="338"/>
        <v>3.7817597113155695E-2</v>
      </c>
      <c r="G322">
        <f>'2-state flows'!G321</f>
        <v>0.61540469932271591</v>
      </c>
      <c r="H322">
        <f t="shared" si="339"/>
        <v>0.64211882778338014</v>
      </c>
      <c r="I322">
        <f>'2-state flows'!H321</f>
        <v>4.2014512693092781E-2</v>
      </c>
      <c r="J322">
        <f t="shared" si="343"/>
        <v>-8.558312829172814E-3</v>
      </c>
      <c r="K322">
        <v>0.5</v>
      </c>
      <c r="L322">
        <f t="shared" si="345"/>
        <v>0.86902865751659009</v>
      </c>
      <c r="M322">
        <f t="shared" si="340"/>
        <v>1.5859138074766004E-2</v>
      </c>
      <c r="N322">
        <f t="shared" ref="N322:O322" si="373">AVERAGE(G320:G322)</f>
        <v>0.67341370287075819</v>
      </c>
      <c r="O322">
        <f t="shared" si="373"/>
        <v>0.65216596580908848</v>
      </c>
      <c r="P322">
        <f t="shared" si="347"/>
        <v>5.4363118386352521E-2</v>
      </c>
      <c r="Q322">
        <f t="shared" si="348"/>
        <v>3.8874253522582204E-2</v>
      </c>
      <c r="R322">
        <f t="shared" si="349"/>
        <v>1.6851786440313252E-2</v>
      </c>
    </row>
    <row r="323" spans="1:18" x14ac:dyDescent="0.25">
      <c r="A323" s="18">
        <f t="shared" si="342"/>
        <v>27273</v>
      </c>
      <c r="B323">
        <f>'2-state flows'!B322</f>
        <v>92488</v>
      </c>
      <c r="C323">
        <f>'2-state flows'!C322</f>
        <v>5437</v>
      </c>
      <c r="D323">
        <f>'Composite HWI'!B286*48.35347462</f>
        <v>3336.38974878</v>
      </c>
      <c r="E323">
        <f t="shared" si="337"/>
        <v>5.8786004670876219E-2</v>
      </c>
      <c r="F323">
        <f t="shared" si="338"/>
        <v>3.6073758204091338E-2</v>
      </c>
      <c r="G323">
        <f>'2-state flows'!G322</f>
        <v>0.66360802098262539</v>
      </c>
      <c r="H323">
        <f t="shared" si="339"/>
        <v>0.60413276334571442</v>
      </c>
      <c r="I323">
        <f>'2-state flows'!H322</f>
        <v>4.282501259289466E-2</v>
      </c>
      <c r="J323">
        <f t="shared" si="343"/>
        <v>1.9107239355093807E-2</v>
      </c>
      <c r="K323">
        <v>0.5</v>
      </c>
      <c r="L323">
        <f t="shared" si="345"/>
        <v>0.90724313622677766</v>
      </c>
      <c r="M323">
        <f t="shared" si="340"/>
        <v>1.4560647970164783E-2</v>
      </c>
      <c r="N323">
        <f t="shared" ref="N323:O323" si="374">AVERAGE(G321:G323)</f>
        <v>0.6733670422167396</v>
      </c>
      <c r="O323">
        <f t="shared" si="374"/>
        <v>0.6315288333375465</v>
      </c>
      <c r="P323">
        <f t="shared" si="347"/>
        <v>5.6081354250505644E-2</v>
      </c>
      <c r="Q323">
        <f t="shared" si="348"/>
        <v>3.7564983510439652E-2</v>
      </c>
      <c r="R323">
        <f t="shared" si="349"/>
        <v>1.5472082929749014E-2</v>
      </c>
    </row>
    <row r="324" spans="1:18" x14ac:dyDescent="0.25">
      <c r="A324" s="18">
        <f t="shared" si="342"/>
        <v>27303</v>
      </c>
      <c r="B324">
        <f>'2-state flows'!B323</f>
        <v>92518</v>
      </c>
      <c r="C324">
        <f>'2-state flows'!C323</f>
        <v>5523</v>
      </c>
      <c r="D324">
        <f>'Composite HWI'!B287*48.35347462</f>
        <v>3094.62237568</v>
      </c>
      <c r="E324">
        <f t="shared" si="337"/>
        <v>5.96964914935472E-2</v>
      </c>
      <c r="F324">
        <f t="shared" si="338"/>
        <v>3.3448868065457535E-2</v>
      </c>
      <c r="G324">
        <f>'2-state flows'!G323</f>
        <v>0.58139755875652077</v>
      </c>
      <c r="H324">
        <f t="shared" si="339"/>
        <v>0.57728460452715813</v>
      </c>
      <c r="I324">
        <f>'2-state flows'!H323</f>
        <v>4.6461177405079761E-2</v>
      </c>
      <c r="J324">
        <f t="shared" si="343"/>
        <v>8.1494731095472575E-2</v>
      </c>
      <c r="K324">
        <v>0.5</v>
      </c>
      <c r="L324">
        <f t="shared" si="345"/>
        <v>1.0702325984177228</v>
      </c>
      <c r="M324">
        <f t="shared" si="340"/>
        <v>1.1470578295789737E-2</v>
      </c>
      <c r="N324">
        <f t="shared" ref="N324:O324" si="375">AVERAGE(G322:G324)</f>
        <v>0.62013675968728743</v>
      </c>
      <c r="O324">
        <f t="shared" si="375"/>
        <v>0.6078453985520843</v>
      </c>
      <c r="P324">
        <f t="shared" si="347"/>
        <v>5.7678156089756405E-2</v>
      </c>
      <c r="Q324">
        <f t="shared" si="348"/>
        <v>3.578007446090152E-2</v>
      </c>
      <c r="R324">
        <f t="shared" si="349"/>
        <v>1.3963454780240173E-2</v>
      </c>
    </row>
    <row r="325" spans="1:18" x14ac:dyDescent="0.25">
      <c r="A325" s="18">
        <f t="shared" si="342"/>
        <v>27334</v>
      </c>
      <c r="B325">
        <f>'2-state flows'!B324</f>
        <v>92766</v>
      </c>
      <c r="C325">
        <f>'2-state flows'!C324</f>
        <v>6140</v>
      </c>
      <c r="D325">
        <f>'Composite HWI'!B288*48.35347462</f>
        <v>2852.85500258</v>
      </c>
      <c r="E325">
        <f t="shared" si="337"/>
        <v>6.6188043033007779E-2</v>
      </c>
      <c r="F325">
        <f t="shared" si="338"/>
        <v>3.0753239361188366E-2</v>
      </c>
      <c r="G325">
        <f>'2-state flows'!G324</f>
        <v>0.55892384497275593</v>
      </c>
      <c r="H325">
        <f t="shared" si="339"/>
        <v>0.52568953366731053</v>
      </c>
      <c r="I325">
        <f>'2-state flows'!H324</f>
        <v>4.7251631700915876E-2</v>
      </c>
      <c r="J325">
        <f t="shared" si="343"/>
        <v>1.6870117335843305E-2</v>
      </c>
      <c r="K325">
        <v>0.5</v>
      </c>
      <c r="L325">
        <f t="shared" si="345"/>
        <v>1.1039728330894094</v>
      </c>
      <c r="M325">
        <f t="shared" si="340"/>
        <v>1.0196275440301104E-2</v>
      </c>
      <c r="N325">
        <f t="shared" ref="N325:O325" si="376">AVERAGE(G323:G325)</f>
        <v>0.60130980823730074</v>
      </c>
      <c r="O325">
        <f t="shared" si="376"/>
        <v>0.56903563384672762</v>
      </c>
      <c r="P325">
        <f t="shared" si="347"/>
        <v>6.1556846399143737E-2</v>
      </c>
      <c r="Q325">
        <f t="shared" si="348"/>
        <v>3.3425288543579075E-2</v>
      </c>
      <c r="R325">
        <f t="shared" si="349"/>
        <v>1.2075833902085208E-2</v>
      </c>
    </row>
    <row r="326" spans="1:18" x14ac:dyDescent="0.25">
      <c r="A326" s="18">
        <f t="shared" si="342"/>
        <v>27364</v>
      </c>
      <c r="B326">
        <f>'2-state flows'!B325</f>
        <v>92780</v>
      </c>
      <c r="C326">
        <f>'2-state flows'!C325</f>
        <v>6636</v>
      </c>
      <c r="D326">
        <f>'Composite HWI'!B289*48.35347462</f>
        <v>2611.08762948</v>
      </c>
      <c r="E326">
        <f t="shared" si="337"/>
        <v>7.1524035352446655E-2</v>
      </c>
      <c r="F326">
        <f t="shared" si="338"/>
        <v>2.8142785400732916E-2</v>
      </c>
      <c r="G326">
        <f>'2-state flows'!G325</f>
        <v>0.45552189689278932</v>
      </c>
      <c r="H326">
        <f t="shared" si="339"/>
        <v>0.48376138770670313</v>
      </c>
      <c r="I326">
        <f>'2-state flows'!H325</f>
        <v>4.7870427112601456E-2</v>
      </c>
      <c r="J326">
        <f t="shared" si="343"/>
        <v>1.3010739012285825E-2</v>
      </c>
      <c r="K326">
        <v>0.5</v>
      </c>
      <c r="L326">
        <f t="shared" si="345"/>
        <v>1.129994311113981</v>
      </c>
      <c r="M326">
        <f t="shared" si="340"/>
        <v>9.0911073309176745E-3</v>
      </c>
      <c r="N326">
        <f t="shared" ref="N326:O326" si="377">AVERAGE(G324:G326)</f>
        <v>0.53194776687402212</v>
      </c>
      <c r="O326">
        <f t="shared" si="377"/>
        <v>0.52891184196705721</v>
      </c>
      <c r="P326">
        <f t="shared" si="347"/>
        <v>6.580285662633388E-2</v>
      </c>
      <c r="Q326">
        <f t="shared" si="348"/>
        <v>3.0781630942459604E-2</v>
      </c>
      <c r="R326">
        <f t="shared" si="349"/>
        <v>1.025265368900284E-2</v>
      </c>
    </row>
    <row r="327" spans="1:18" x14ac:dyDescent="0.25">
      <c r="A327" s="18">
        <f t="shared" si="342"/>
        <v>27395</v>
      </c>
      <c r="B327">
        <f>'2-state flows'!B326</f>
        <v>93128</v>
      </c>
      <c r="C327">
        <f>'2-state flows'!C326</f>
        <v>7501</v>
      </c>
      <c r="D327">
        <f>'Composite HWI'!B290*48.35347462</f>
        <v>2466.0272056200001</v>
      </c>
      <c r="E327">
        <f t="shared" si="337"/>
        <v>8.0545056266643753E-2</v>
      </c>
      <c r="F327">
        <f t="shared" si="338"/>
        <v>2.6479976007430635E-2</v>
      </c>
      <c r="G327">
        <f>'2-state flows'!G326</f>
        <v>0.49486690031158104</v>
      </c>
      <c r="H327">
        <f t="shared" si="339"/>
        <v>0.44219417311279657</v>
      </c>
      <c r="I327">
        <f>'2-state flows'!H326</f>
        <v>4.363774976178305E-2</v>
      </c>
      <c r="J327">
        <f t="shared" si="343"/>
        <v>-9.257532973523995E-2</v>
      </c>
      <c r="K327">
        <v>0.5</v>
      </c>
      <c r="L327">
        <f t="shared" si="345"/>
        <v>0.94484365164350104</v>
      </c>
      <c r="M327">
        <f t="shared" si="340"/>
        <v>1.029383501043395E-2</v>
      </c>
      <c r="N327">
        <f t="shared" ref="N327:O327" si="378">AVERAGE(G325:G327)</f>
        <v>0.50310421405904215</v>
      </c>
      <c r="O327">
        <f t="shared" si="378"/>
        <v>0.48388169816227006</v>
      </c>
      <c r="P327">
        <f t="shared" si="347"/>
        <v>7.2752378217366062E-2</v>
      </c>
      <c r="Q327">
        <f t="shared" si="348"/>
        <v>2.8458666923117309E-2</v>
      </c>
      <c r="R327">
        <f t="shared" si="349"/>
        <v>9.8604059272175762E-3</v>
      </c>
    </row>
    <row r="328" spans="1:18" x14ac:dyDescent="0.25">
      <c r="A328" s="18">
        <f t="shared" si="342"/>
        <v>27426</v>
      </c>
      <c r="B328">
        <f>'2-state flows'!B327</f>
        <v>92776</v>
      </c>
      <c r="C328">
        <f>'2-state flows'!C327</f>
        <v>7520</v>
      </c>
      <c r="D328">
        <f>'Composite HWI'!B291*48.35347462</f>
        <v>2417.6737309999999</v>
      </c>
      <c r="E328">
        <f t="shared" si="337"/>
        <v>8.1055445373803575E-2</v>
      </c>
      <c r="F328">
        <f t="shared" si="338"/>
        <v>2.6059258116323186E-2</v>
      </c>
      <c r="G328">
        <f>'2-state flows'!G327</f>
        <v>0.45208011305683093</v>
      </c>
      <c r="H328">
        <f t="shared" si="339"/>
        <v>0.4372840050576815</v>
      </c>
      <c r="I328">
        <f>'2-state flows'!H327</f>
        <v>4.6698400694899105E-2</v>
      </c>
      <c r="J328">
        <f t="shared" si="343"/>
        <v>6.7787321753275953E-2</v>
      </c>
      <c r="K328">
        <v>0.5</v>
      </c>
      <c r="L328">
        <f t="shared" si="345"/>
        <v>1.0804182951500529</v>
      </c>
      <c r="M328">
        <f t="shared" si="340"/>
        <v>8.8459064841540491E-3</v>
      </c>
      <c r="N328">
        <f t="shared" ref="N328:O328" si="379">AVERAGE(G326:G328)</f>
        <v>0.46748963675373378</v>
      </c>
      <c r="O328">
        <f t="shared" si="379"/>
        <v>0.45441318862572705</v>
      </c>
      <c r="P328">
        <f t="shared" si="347"/>
        <v>7.7708178997631328E-2</v>
      </c>
      <c r="Q328">
        <f t="shared" si="348"/>
        <v>2.6894006508162246E-2</v>
      </c>
      <c r="R328">
        <f t="shared" si="349"/>
        <v>9.4102829418352251E-3</v>
      </c>
    </row>
    <row r="329" spans="1:18" x14ac:dyDescent="0.25">
      <c r="A329" s="18">
        <f t="shared" si="342"/>
        <v>27454</v>
      </c>
      <c r="B329">
        <f>'2-state flows'!B328</f>
        <v>93165</v>
      </c>
      <c r="C329">
        <f>'2-state flows'!C328</f>
        <v>7978</v>
      </c>
      <c r="D329">
        <f>'Composite HWI'!B292*48.35347462</f>
        <v>2369.32025638</v>
      </c>
      <c r="E329">
        <f t="shared" si="337"/>
        <v>8.5633016690817368E-2</v>
      </c>
      <c r="F329">
        <f t="shared" si="338"/>
        <v>2.5431441596951647E-2</v>
      </c>
      <c r="G329">
        <f>'2-state flows'!G328</f>
        <v>0.4099247744298451</v>
      </c>
      <c r="H329">
        <f t="shared" si="339"/>
        <v>0.42027981672475151</v>
      </c>
      <c r="I329">
        <f>'2-state flows'!H328</f>
        <v>4.1775250451782368E-2</v>
      </c>
      <c r="J329">
        <f t="shared" si="343"/>
        <v>-0.11140584800792853</v>
      </c>
      <c r="K329">
        <v>0.5</v>
      </c>
      <c r="L329">
        <f t="shared" si="345"/>
        <v>0.8576065991341959</v>
      </c>
      <c r="M329">
        <f t="shared" si="340"/>
        <v>1.0787409505268847E-2</v>
      </c>
      <c r="N329">
        <f t="shared" ref="N329:O329" si="380">AVERAGE(G327:G329)</f>
        <v>0.45229059593275234</v>
      </c>
      <c r="O329">
        <f t="shared" si="380"/>
        <v>0.43325266496507653</v>
      </c>
      <c r="P329">
        <f t="shared" si="347"/>
        <v>8.2411172777088218E-2</v>
      </c>
      <c r="Q329">
        <f t="shared" si="348"/>
        <v>2.5990225240235153E-2</v>
      </c>
      <c r="R329">
        <f t="shared" si="349"/>
        <v>9.9757169999522815E-3</v>
      </c>
    </row>
    <row r="330" spans="1:18" x14ac:dyDescent="0.25">
      <c r="A330" s="18">
        <f t="shared" si="342"/>
        <v>27485</v>
      </c>
      <c r="B330">
        <f>'2-state flows'!B329</f>
        <v>93399</v>
      </c>
      <c r="C330">
        <f>'2-state flows'!C329</f>
        <v>8210</v>
      </c>
      <c r="D330">
        <f>'Composite HWI'!B293*48.35347462</f>
        <v>2369.32025638</v>
      </c>
      <c r="E330">
        <f t="shared" si="337"/>
        <v>8.7902440068951482E-2</v>
      </c>
      <c r="F330">
        <f t="shared" si="338"/>
        <v>2.536772616816026E-2</v>
      </c>
      <c r="G330">
        <f>'2-state flows'!G329</f>
        <v>0.42229287115962283</v>
      </c>
      <c r="H330">
        <f t="shared" si="339"/>
        <v>0.41429908260311993</v>
      </c>
      <c r="I330">
        <f>'2-state flows'!H329</f>
        <v>4.3973266842739611E-2</v>
      </c>
      <c r="J330">
        <f t="shared" si="343"/>
        <v>5.1277807797229902E-2</v>
      </c>
      <c r="K330">
        <v>0.5</v>
      </c>
      <c r="L330">
        <f t="shared" si="345"/>
        <v>0.96016221472865571</v>
      </c>
      <c r="M330">
        <f t="shared" si="340"/>
        <v>9.7115463995093576E-3</v>
      </c>
      <c r="N330">
        <f t="shared" ref="N330:O330" si="381">AVERAGE(G328:G330)</f>
        <v>0.42809925288209966</v>
      </c>
      <c r="O330">
        <f t="shared" si="381"/>
        <v>0.42395430146185098</v>
      </c>
      <c r="P330">
        <f t="shared" si="347"/>
        <v>8.4863634044524142E-2</v>
      </c>
      <c r="Q330">
        <f t="shared" si="348"/>
        <v>2.5619475293811696E-2</v>
      </c>
      <c r="R330">
        <f t="shared" si="349"/>
        <v>9.7816207963107513E-3</v>
      </c>
    </row>
    <row r="331" spans="1:18" x14ac:dyDescent="0.25">
      <c r="A331" s="18">
        <f t="shared" si="342"/>
        <v>27515</v>
      </c>
      <c r="B331">
        <f>'2-state flows'!B330</f>
        <v>93884</v>
      </c>
      <c r="C331">
        <f>'2-state flows'!C330</f>
        <v>8433</v>
      </c>
      <c r="D331">
        <f>'Composite HWI'!B294*48.35347462</f>
        <v>2369.32025638</v>
      </c>
      <c r="E331">
        <f t="shared" si="337"/>
        <v>8.9823612117080648E-2</v>
      </c>
      <c r="F331">
        <f t="shared" si="338"/>
        <v>2.5236677776617953E-2</v>
      </c>
      <c r="G331">
        <f>'2-state flows'!G330</f>
        <v>0.45542992135280785</v>
      </c>
      <c r="H331">
        <f t="shared" si="339"/>
        <v>0.40878457516219752</v>
      </c>
      <c r="I331">
        <f>'2-state flows'!H330</f>
        <v>4.178204257561751E-2</v>
      </c>
      <c r="J331">
        <f t="shared" si="343"/>
        <v>-5.1115233745246944E-2</v>
      </c>
      <c r="K331">
        <v>0.5</v>
      </c>
      <c r="L331">
        <f t="shared" si="345"/>
        <v>0.85793174723816179</v>
      </c>
      <c r="M331">
        <f t="shared" si="340"/>
        <v>1.0701315271026883E-2</v>
      </c>
      <c r="N331">
        <f t="shared" ref="N331:O331" si="382">AVERAGE(G329:G331)</f>
        <v>0.42921585564742526</v>
      </c>
      <c r="O331">
        <f t="shared" si="382"/>
        <v>0.41445449149668967</v>
      </c>
      <c r="P331">
        <f t="shared" si="347"/>
        <v>8.7786356292283152E-2</v>
      </c>
      <c r="Q331">
        <f t="shared" si="348"/>
        <v>2.5345281847243287E-2</v>
      </c>
      <c r="R331">
        <f t="shared" si="349"/>
        <v>1.0400090391935029E-2</v>
      </c>
    </row>
    <row r="332" spans="1:18" x14ac:dyDescent="0.25">
      <c r="A332" s="18">
        <f t="shared" si="342"/>
        <v>27546</v>
      </c>
      <c r="B332">
        <f>'2-state flows'!B331</f>
        <v>93575</v>
      </c>
      <c r="C332">
        <f>'2-state flows'!C331</f>
        <v>8220</v>
      </c>
      <c r="D332">
        <f>'Composite HWI'!B295*48.35347462</f>
        <v>2514.3806802399999</v>
      </c>
      <c r="E332">
        <f t="shared" si="337"/>
        <v>8.7843975420785467E-2</v>
      </c>
      <c r="F332">
        <f t="shared" si="338"/>
        <v>2.6870218330109538E-2</v>
      </c>
      <c r="G332">
        <f>'2-state flows'!G331</f>
        <v>0.44929496721982803</v>
      </c>
      <c r="H332">
        <f t="shared" si="339"/>
        <v>0.4265336245606976</v>
      </c>
      <c r="I332">
        <f>'2-state flows'!H331</f>
        <v>4.1889781095523597E-2</v>
      </c>
      <c r="J332">
        <f t="shared" si="343"/>
        <v>2.5752654770128925E-3</v>
      </c>
      <c r="K332">
        <v>0.5</v>
      </c>
      <c r="L332">
        <f t="shared" si="345"/>
        <v>0.86308227819218752</v>
      </c>
      <c r="M332">
        <f t="shared" si="340"/>
        <v>1.1335464584305711E-2</v>
      </c>
      <c r="N332">
        <f t="shared" ref="N332:O332" si="383">AVERAGE(G330:G332)</f>
        <v>0.44233925324408624</v>
      </c>
      <c r="O332">
        <f t="shared" si="383"/>
        <v>0.41653909410867168</v>
      </c>
      <c r="P332">
        <f t="shared" si="347"/>
        <v>8.8523342535605856E-2</v>
      </c>
      <c r="Q332">
        <f t="shared" si="348"/>
        <v>2.5824874091629247E-2</v>
      </c>
      <c r="R332">
        <f t="shared" si="349"/>
        <v>1.0582775418280651E-2</v>
      </c>
    </row>
    <row r="333" spans="1:18" x14ac:dyDescent="0.25">
      <c r="A333" s="18">
        <f t="shared" si="342"/>
        <v>27576</v>
      </c>
      <c r="B333">
        <f>'2-state flows'!B332</f>
        <v>94021</v>
      </c>
      <c r="C333">
        <f>'2-state flows'!C332</f>
        <v>8127</v>
      </c>
      <c r="D333">
        <f>'Composite HWI'!B296*48.35347462</f>
        <v>2562.7341548600002</v>
      </c>
      <c r="E333">
        <f t="shared" si="337"/>
        <v>8.6438136161070406E-2</v>
      </c>
      <c r="F333">
        <f t="shared" si="338"/>
        <v>2.7257039968304954E-2</v>
      </c>
      <c r="G333">
        <f>'2-state flows'!G332</f>
        <v>0.46203741271965126</v>
      </c>
      <c r="H333">
        <f t="shared" si="339"/>
        <v>0.4330722089070424</v>
      </c>
      <c r="I333">
        <f>'2-state flows'!H332</f>
        <v>4.076855124953406E-2</v>
      </c>
      <c r="J333">
        <f t="shared" si="343"/>
        <v>-2.7130927766127324E-2</v>
      </c>
      <c r="K333">
        <v>0.5</v>
      </c>
      <c r="L333">
        <f t="shared" si="345"/>
        <v>0.80882042265993292</v>
      </c>
      <c r="M333">
        <f t="shared" si="340"/>
        <v>1.213982551197465E-2</v>
      </c>
      <c r="N333">
        <f t="shared" ref="N333:O333" si="384">AVERAGE(G331:G333)</f>
        <v>0.45558743376409572</v>
      </c>
      <c r="O333">
        <f t="shared" si="384"/>
        <v>0.42279680287664584</v>
      </c>
      <c r="P333">
        <f t="shared" si="347"/>
        <v>8.8035241232978831E-2</v>
      </c>
      <c r="Q333">
        <f t="shared" si="348"/>
        <v>2.6454645358344148E-2</v>
      </c>
      <c r="R333">
        <f t="shared" si="349"/>
        <v>1.1392201789102415E-2</v>
      </c>
    </row>
    <row r="334" spans="1:18" x14ac:dyDescent="0.25">
      <c r="A334" s="18">
        <f t="shared" si="342"/>
        <v>27607</v>
      </c>
      <c r="B334">
        <f>'2-state flows'!B333</f>
        <v>94162</v>
      </c>
      <c r="C334">
        <f>'2-state flows'!C333</f>
        <v>7928</v>
      </c>
      <c r="D334">
        <f>'Composite HWI'!B297*48.35347462</f>
        <v>2514.3806802399999</v>
      </c>
      <c r="E334">
        <f t="shared" si="337"/>
        <v>8.4195322954057905E-2</v>
      </c>
      <c r="F334">
        <f t="shared" si="338"/>
        <v>2.6702711074955927E-2</v>
      </c>
      <c r="G334">
        <f>'2-state flows'!G333</f>
        <v>0.4520031432221146</v>
      </c>
      <c r="H334">
        <f t="shared" si="339"/>
        <v>0.43431753246463117</v>
      </c>
      <c r="I334">
        <f>'2-state flows'!H333</f>
        <v>4.1481852890381248E-2</v>
      </c>
      <c r="J334">
        <f t="shared" si="343"/>
        <v>1.7345070370664677E-2</v>
      </c>
      <c r="K334">
        <v>0.5</v>
      </c>
      <c r="L334">
        <f t="shared" si="345"/>
        <v>0.84351056340126229</v>
      </c>
      <c r="M334">
        <f t="shared" si="340"/>
        <v>1.1487443108944163E-2</v>
      </c>
      <c r="N334">
        <f t="shared" ref="N334:O334" si="385">AVERAGE(G332:G334)</f>
        <v>0.45444517438719795</v>
      </c>
      <c r="O334">
        <f t="shared" si="385"/>
        <v>0.43130778864412372</v>
      </c>
      <c r="P334">
        <f t="shared" si="347"/>
        <v>8.6159144845304583E-2</v>
      </c>
      <c r="Q334">
        <f t="shared" si="348"/>
        <v>2.6943323124456808E-2</v>
      </c>
      <c r="R334">
        <f t="shared" si="349"/>
        <v>1.1654244401741509E-2</v>
      </c>
    </row>
    <row r="335" spans="1:18" x14ac:dyDescent="0.25">
      <c r="A335" s="18">
        <f t="shared" si="342"/>
        <v>27638</v>
      </c>
      <c r="B335">
        <f>'2-state flows'!B334</f>
        <v>94202</v>
      </c>
      <c r="C335">
        <f>'2-state flows'!C334</f>
        <v>7923</v>
      </c>
      <c r="D335">
        <f>'Composite HWI'!B298*48.35347462</f>
        <v>2611.08762948</v>
      </c>
      <c r="E335">
        <f t="shared" si="337"/>
        <v>8.4106494554255742E-2</v>
      </c>
      <c r="F335">
        <f t="shared" si="338"/>
        <v>2.7717963838135073E-2</v>
      </c>
      <c r="G335">
        <f>'2-state flows'!G334</f>
        <v>0.47341724909765992</v>
      </c>
      <c r="H335">
        <f t="shared" si="339"/>
        <v>0.4427306226093683</v>
      </c>
      <c r="I335">
        <f>'2-state flows'!H334</f>
        <v>4.3088061766738121E-2</v>
      </c>
      <c r="J335">
        <f t="shared" si="343"/>
        <v>3.7989917718174289E-2</v>
      </c>
      <c r="K335">
        <v>0.5</v>
      </c>
      <c r="L335">
        <f t="shared" si="345"/>
        <v>0.91949039883761086</v>
      </c>
      <c r="M335">
        <f t="shared" si="340"/>
        <v>1.1051766928070403E-2</v>
      </c>
      <c r="N335">
        <f t="shared" ref="N335:O335" si="386">AVERAGE(G333:G335)</f>
        <v>0.46248593501314189</v>
      </c>
      <c r="O335">
        <f t="shared" si="386"/>
        <v>0.43670678799368062</v>
      </c>
      <c r="P335">
        <f t="shared" si="347"/>
        <v>8.4913317889794684E-2</v>
      </c>
      <c r="Q335">
        <f t="shared" si="348"/>
        <v>2.7225904960465317E-2</v>
      </c>
      <c r="R335">
        <f t="shared" si="349"/>
        <v>1.1559678516329738E-2</v>
      </c>
    </row>
    <row r="336" spans="1:18" x14ac:dyDescent="0.25">
      <c r="A336" s="18">
        <f t="shared" si="342"/>
        <v>27668</v>
      </c>
      <c r="B336">
        <f>'2-state flows'!B335</f>
        <v>94267</v>
      </c>
      <c r="C336">
        <f>'2-state flows'!C335</f>
        <v>7897</v>
      </c>
      <c r="D336">
        <f>'Composite HWI'!B299*48.35347462</f>
        <v>2611.08762948</v>
      </c>
      <c r="E336">
        <f t="shared" si="337"/>
        <v>8.3772688215388205E-2</v>
      </c>
      <c r="F336">
        <f t="shared" si="338"/>
        <v>2.7698851448332926E-2</v>
      </c>
      <c r="G336">
        <f>'2-state flows'!G335</f>
        <v>0.44195939066330259</v>
      </c>
      <c r="H336">
        <f t="shared" si="339"/>
        <v>0.44345884453428835</v>
      </c>
      <c r="I336">
        <f>'2-state flows'!H335</f>
        <v>3.8907160734622644E-2</v>
      </c>
      <c r="J336">
        <f t="shared" si="343"/>
        <v>-0.10206765530509893</v>
      </c>
      <c r="K336">
        <v>0.5</v>
      </c>
      <c r="L336">
        <f t="shared" si="345"/>
        <v>0.71535508822741301</v>
      </c>
      <c r="M336">
        <f t="shared" si="340"/>
        <v>1.3545249021832441E-2</v>
      </c>
      <c r="N336">
        <f t="shared" ref="N336:O336" si="387">AVERAGE(G334:G336)</f>
        <v>0.45579326099435907</v>
      </c>
      <c r="O336">
        <f t="shared" si="387"/>
        <v>0.44016899986942931</v>
      </c>
      <c r="P336">
        <f t="shared" si="347"/>
        <v>8.4024835241233942E-2</v>
      </c>
      <c r="Q336">
        <f t="shared" si="348"/>
        <v>2.7373175453807977E-2</v>
      </c>
      <c r="R336">
        <f t="shared" si="349"/>
        <v>1.202815301961567E-2</v>
      </c>
    </row>
    <row r="337" spans="1:18" x14ac:dyDescent="0.25">
      <c r="A337" s="18">
        <f t="shared" si="342"/>
        <v>27699</v>
      </c>
      <c r="B337">
        <f>'2-state flows'!B336</f>
        <v>94250</v>
      </c>
      <c r="C337">
        <f>'2-state flows'!C336</f>
        <v>7794</v>
      </c>
      <c r="D337">
        <f>'Composite HWI'!B300*48.35347462</f>
        <v>2707.7945787200001</v>
      </c>
      <c r="E337">
        <f t="shared" si="337"/>
        <v>8.2694960212201588E-2</v>
      </c>
      <c r="F337">
        <f t="shared" si="338"/>
        <v>2.8729915954588861E-2</v>
      </c>
      <c r="G337">
        <f>'2-state flows'!G336</f>
        <v>0.44752279007652884</v>
      </c>
      <c r="H337">
        <f t="shared" si="339"/>
        <v>0.45457057829398045</v>
      </c>
      <c r="I337">
        <f>'2-state flows'!H336</f>
        <v>3.9613552350886171E-2</v>
      </c>
      <c r="J337">
        <f t="shared" si="343"/>
        <v>1.7992976530511209E-2</v>
      </c>
      <c r="K337">
        <v>0.5</v>
      </c>
      <c r="L337">
        <f t="shared" si="345"/>
        <v>0.75134104128843537</v>
      </c>
      <c r="M337">
        <f t="shared" si="340"/>
        <v>1.3552864217387193E-2</v>
      </c>
      <c r="N337">
        <f t="shared" ref="N337:O337" si="388">AVERAGE(G335:G337)</f>
        <v>0.45429980994583047</v>
      </c>
      <c r="O337">
        <f t="shared" si="388"/>
        <v>0.44692001514587903</v>
      </c>
      <c r="P337">
        <f t="shared" si="347"/>
        <v>8.3524714327281854E-2</v>
      </c>
      <c r="Q337">
        <f t="shared" si="348"/>
        <v>2.804891041368562E-2</v>
      </c>
      <c r="R337">
        <f t="shared" si="349"/>
        <v>1.2716626722430013E-2</v>
      </c>
    </row>
    <row r="338" spans="1:18" x14ac:dyDescent="0.25">
      <c r="A338" s="18">
        <f t="shared" si="342"/>
        <v>27729</v>
      </c>
      <c r="B338">
        <f>'2-state flows'!B337</f>
        <v>94409</v>
      </c>
      <c r="C338">
        <f>'2-state flows'!C337</f>
        <v>7744</v>
      </c>
      <c r="D338">
        <f>'Composite HWI'!B301*48.35347462</f>
        <v>2707.7945787200001</v>
      </c>
      <c r="E338">
        <f t="shared" si="337"/>
        <v>8.2026078022222462E-2</v>
      </c>
      <c r="F338">
        <f t="shared" si="338"/>
        <v>2.8681530137169127E-2</v>
      </c>
      <c r="G338">
        <f>'2-state flows'!G337</f>
        <v>0.48143232506935829</v>
      </c>
      <c r="H338">
        <f t="shared" si="339"/>
        <v>0.45603570998019582</v>
      </c>
      <c r="I338">
        <f>'2-state flows'!H337</f>
        <v>3.9909260163880848E-2</v>
      </c>
      <c r="J338">
        <f t="shared" si="343"/>
        <v>7.4370904804923685E-3</v>
      </c>
      <c r="K338">
        <v>0.5</v>
      </c>
      <c r="L338">
        <f t="shared" si="345"/>
        <v>0.76621522224942007</v>
      </c>
      <c r="M338">
        <f t="shared" si="340"/>
        <v>1.333028006532618E-2</v>
      </c>
      <c r="N338">
        <f t="shared" ref="N338:O338" si="389">AVERAGE(G336:G338)</f>
        <v>0.45697150193639652</v>
      </c>
      <c r="O338">
        <f t="shared" si="389"/>
        <v>0.45135504426948819</v>
      </c>
      <c r="P338">
        <f t="shared" si="347"/>
        <v>8.2831242149937423E-2</v>
      </c>
      <c r="Q338">
        <f t="shared" si="348"/>
        <v>2.8370099180030306E-2</v>
      </c>
      <c r="R338">
        <f t="shared" si="349"/>
        <v>1.3476131101515271E-2</v>
      </c>
    </row>
    <row r="339" spans="1:18" x14ac:dyDescent="0.25">
      <c r="A339" s="18">
        <f t="shared" si="342"/>
        <v>27760</v>
      </c>
      <c r="B339">
        <f>'2-state flows'!B338</f>
        <v>94934</v>
      </c>
      <c r="C339">
        <f>'2-state flows'!C338</f>
        <v>7534</v>
      </c>
      <c r="D339">
        <f>'Composite HWI'!B302*48.35347462</f>
        <v>2756.1480533399999</v>
      </c>
      <c r="E339">
        <f t="shared" si="337"/>
        <v>7.9360397750015799E-2</v>
      </c>
      <c r="F339">
        <f t="shared" si="338"/>
        <v>2.903225454884446E-2</v>
      </c>
      <c r="G339">
        <f>'2-state flows'!G338</f>
        <v>0.50936664081602778</v>
      </c>
      <c r="H339">
        <f t="shared" si="339"/>
        <v>0.46645755342745077</v>
      </c>
      <c r="I339">
        <f>'2-state flows'!H338</f>
        <v>4.0813833726361742E-2</v>
      </c>
      <c r="J339">
        <f t="shared" si="343"/>
        <v>2.2412704586032176E-2</v>
      </c>
      <c r="K339">
        <v>0.5</v>
      </c>
      <c r="L339">
        <f t="shared" si="345"/>
        <v>0.81104063142148441</v>
      </c>
      <c r="M339">
        <f t="shared" si="340"/>
        <v>1.2901799610430855E-2</v>
      </c>
      <c r="N339">
        <f t="shared" ref="N339:O339" si="390">AVERAGE(G337:G339)</f>
        <v>0.47944058532063832</v>
      </c>
      <c r="O339">
        <f t="shared" si="390"/>
        <v>0.45902128056720909</v>
      </c>
      <c r="P339">
        <f t="shared" si="347"/>
        <v>8.1360478661479954E-2</v>
      </c>
      <c r="Q339">
        <f t="shared" si="348"/>
        <v>2.8814566880200815E-2</v>
      </c>
      <c r="R339">
        <f t="shared" si="349"/>
        <v>1.3261647964381409E-2</v>
      </c>
    </row>
    <row r="340" spans="1:18" x14ac:dyDescent="0.25">
      <c r="A340" s="18">
        <f t="shared" si="342"/>
        <v>27791</v>
      </c>
      <c r="B340">
        <f>'2-state flows'!B339</f>
        <v>94998</v>
      </c>
      <c r="C340">
        <f>'2-state flows'!C339</f>
        <v>7326</v>
      </c>
      <c r="D340">
        <f>'Composite HWI'!B303*48.35347462</f>
        <v>2901.2084771999998</v>
      </c>
      <c r="E340">
        <f t="shared" si="337"/>
        <v>7.7117412998168378E-2</v>
      </c>
      <c r="F340">
        <f t="shared" si="338"/>
        <v>3.0539679542727214E-2</v>
      </c>
      <c r="G340">
        <f>'2-state flows'!G339</f>
        <v>0.46493867274344847</v>
      </c>
      <c r="H340">
        <f t="shared" si="339"/>
        <v>0.48532166425099649</v>
      </c>
      <c r="I340">
        <f>'2-state flows'!H339</f>
        <v>3.7457966483005985E-2</v>
      </c>
      <c r="J340">
        <f t="shared" si="343"/>
        <v>-8.5801675343652434E-2</v>
      </c>
      <c r="K340">
        <v>0.5</v>
      </c>
      <c r="L340">
        <f t="shared" si="345"/>
        <v>0.63943728073417949</v>
      </c>
      <c r="M340">
        <f t="shared" si="340"/>
        <v>1.611240586624002E-2</v>
      </c>
      <c r="N340">
        <f t="shared" ref="N340:O340" si="391">AVERAGE(G338:G340)</f>
        <v>0.48524587954294485</v>
      </c>
      <c r="O340">
        <f t="shared" si="391"/>
        <v>0.46927164255288106</v>
      </c>
      <c r="P340">
        <f t="shared" si="347"/>
        <v>7.9501296256802204E-2</v>
      </c>
      <c r="Q340">
        <f t="shared" si="348"/>
        <v>2.9417821409580266E-2</v>
      </c>
      <c r="R340">
        <f t="shared" si="349"/>
        <v>1.411482851399902E-2</v>
      </c>
    </row>
    <row r="341" spans="1:18" x14ac:dyDescent="0.25">
      <c r="A341" s="18">
        <f t="shared" si="342"/>
        <v>27820</v>
      </c>
      <c r="B341">
        <f>'2-state flows'!B340</f>
        <v>95215</v>
      </c>
      <c r="C341">
        <f>'2-state flows'!C340</f>
        <v>7230</v>
      </c>
      <c r="D341">
        <f>'Composite HWI'!B304*48.35347462</f>
        <v>2949.5619518200001</v>
      </c>
      <c r="E341">
        <f t="shared" si="337"/>
        <v>7.5933413852859316E-2</v>
      </c>
      <c r="F341">
        <f t="shared" si="338"/>
        <v>3.0977912637924699E-2</v>
      </c>
      <c r="G341">
        <f>'2-state flows'!G340</f>
        <v>0.49845433196344391</v>
      </c>
      <c r="H341">
        <f t="shared" si="339"/>
        <v>0.49258737765259109</v>
      </c>
      <c r="I341">
        <f>'2-state flows'!H340</f>
        <v>4.2431041973203451E-2</v>
      </c>
      <c r="J341">
        <f t="shared" si="343"/>
        <v>0.12466080585825239</v>
      </c>
      <c r="K341">
        <v>0.5</v>
      </c>
      <c r="L341">
        <f t="shared" si="345"/>
        <v>0.88875889245068429</v>
      </c>
      <c r="M341">
        <f t="shared" si="340"/>
        <v>1.2737056284041344E-2</v>
      </c>
      <c r="N341">
        <f t="shared" ref="N341:O341" si="392">AVERAGE(G339:G341)</f>
        <v>0.4909198818409734</v>
      </c>
      <c r="O341">
        <f t="shared" si="392"/>
        <v>0.48145553177701278</v>
      </c>
      <c r="P341">
        <f t="shared" si="347"/>
        <v>7.7470408200347826E-2</v>
      </c>
      <c r="Q341">
        <f t="shared" si="348"/>
        <v>3.0183282243165455E-2</v>
      </c>
      <c r="R341">
        <f t="shared" si="349"/>
        <v>1.3917087253570741E-2</v>
      </c>
    </row>
    <row r="342" spans="1:18" x14ac:dyDescent="0.25">
      <c r="A342" s="18">
        <f t="shared" si="342"/>
        <v>27851</v>
      </c>
      <c r="B342">
        <f>'2-state flows'!B341</f>
        <v>95746</v>
      </c>
      <c r="C342">
        <f>'2-state flows'!C341</f>
        <v>7330</v>
      </c>
      <c r="D342">
        <f>'Composite HWI'!B305*48.35347462</f>
        <v>2901.2084771999998</v>
      </c>
      <c r="E342">
        <f t="shared" si="337"/>
        <v>7.6556722996260942E-2</v>
      </c>
      <c r="F342">
        <f t="shared" si="338"/>
        <v>3.0301093280137026E-2</v>
      </c>
      <c r="G342">
        <f>'2-state flows'!G341</f>
        <v>0.54317594942727232</v>
      </c>
      <c r="H342">
        <f t="shared" si="339"/>
        <v>0.48518922553540433</v>
      </c>
      <c r="I342">
        <f>'2-state flows'!H341</f>
        <v>4.0894813131558322E-2</v>
      </c>
      <c r="J342">
        <f t="shared" si="343"/>
        <v>-3.6876979669515662E-2</v>
      </c>
      <c r="K342">
        <v>0.5</v>
      </c>
      <c r="L342">
        <f t="shared" si="345"/>
        <v>0.81500493311165301</v>
      </c>
      <c r="M342">
        <f t="shared" si="340"/>
        <v>1.341238938285585E-2</v>
      </c>
      <c r="N342">
        <f t="shared" ref="N342:O342" si="393">AVERAGE(G340:G342)</f>
        <v>0.50218965137805494</v>
      </c>
      <c r="O342">
        <f t="shared" si="393"/>
        <v>0.48769942247966397</v>
      </c>
      <c r="P342">
        <f t="shared" si="347"/>
        <v>7.6535849949096221E-2</v>
      </c>
      <c r="Q342">
        <f t="shared" si="348"/>
        <v>3.0606228486929649E-2</v>
      </c>
      <c r="R342">
        <f t="shared" si="349"/>
        <v>1.4087283844379071E-2</v>
      </c>
    </row>
    <row r="343" spans="1:18" x14ac:dyDescent="0.25">
      <c r="A343" s="18">
        <f t="shared" si="342"/>
        <v>27881</v>
      </c>
      <c r="B343">
        <f>'2-state flows'!B342</f>
        <v>95847</v>
      </c>
      <c r="C343">
        <f>'2-state flows'!C342</f>
        <v>7053</v>
      </c>
      <c r="D343">
        <f>'Composite HWI'!B306*48.35347462</f>
        <v>2997.9154264399999</v>
      </c>
      <c r="E343">
        <f t="shared" si="337"/>
        <v>7.3586027731697395E-2</v>
      </c>
      <c r="F343">
        <f t="shared" si="338"/>
        <v>3.1278135220090354E-2</v>
      </c>
      <c r="G343">
        <f>'2-state flows'!G342</f>
        <v>0.44162797465894232</v>
      </c>
      <c r="H343">
        <f t="shared" si="339"/>
        <v>0.50280132443792691</v>
      </c>
      <c r="I343">
        <f>'2-state flows'!H342</f>
        <v>3.8894391684556037E-2</v>
      </c>
      <c r="J343">
        <f t="shared" si="343"/>
        <v>-5.0153169110321486E-2</v>
      </c>
      <c r="K343">
        <v>0.5</v>
      </c>
      <c r="L343">
        <f t="shared" si="345"/>
        <v>0.71469859489101006</v>
      </c>
      <c r="M343">
        <f t="shared" si="340"/>
        <v>1.530562952115078E-2</v>
      </c>
      <c r="N343">
        <f t="shared" ref="N343:O343" si="394">AVERAGE(G341:G343)</f>
        <v>0.49441941868321954</v>
      </c>
      <c r="O343">
        <f t="shared" si="394"/>
        <v>0.49352597587530744</v>
      </c>
      <c r="P343">
        <f t="shared" si="347"/>
        <v>7.5358721526939218E-2</v>
      </c>
      <c r="Q343">
        <f t="shared" si="348"/>
        <v>3.0852380379384026E-2</v>
      </c>
      <c r="R343">
        <f t="shared" si="349"/>
        <v>1.3818358396015992E-2</v>
      </c>
    </row>
    <row r="344" spans="1:18" x14ac:dyDescent="0.25">
      <c r="A344" s="18">
        <f t="shared" si="342"/>
        <v>27912</v>
      </c>
      <c r="B344">
        <f>'2-state flows'!B343</f>
        <v>95885</v>
      </c>
      <c r="C344">
        <f>'2-state flows'!C343</f>
        <v>7322</v>
      </c>
      <c r="D344">
        <f>'Composite HWI'!B307*48.35347462</f>
        <v>2997.9154264399999</v>
      </c>
      <c r="E344">
        <f t="shared" si="337"/>
        <v>7.6362309016008767E-2</v>
      </c>
      <c r="F344">
        <f t="shared" si="338"/>
        <v>3.1265739442457106E-2</v>
      </c>
      <c r="G344">
        <f>'2-state flows'!G343</f>
        <v>0.48126593754615493</v>
      </c>
      <c r="H344">
        <f t="shared" si="339"/>
        <v>0.49347879166542025</v>
      </c>
      <c r="I344">
        <f>'2-state flows'!H343</f>
        <v>4.2225552095189842E-2</v>
      </c>
      <c r="J344">
        <f t="shared" si="343"/>
        <v>8.2175470089883365E-2</v>
      </c>
      <c r="K344">
        <v>0.5</v>
      </c>
      <c r="L344">
        <f t="shared" si="345"/>
        <v>0.87904953507077677</v>
      </c>
      <c r="M344">
        <f t="shared" si="340"/>
        <v>1.2980826400590582E-2</v>
      </c>
      <c r="N344">
        <f t="shared" ref="N344:O344" si="395">AVERAGE(G342:G344)</f>
        <v>0.48868995387745651</v>
      </c>
      <c r="O344">
        <f t="shared" si="395"/>
        <v>0.49382311387958383</v>
      </c>
      <c r="P344">
        <f t="shared" si="347"/>
        <v>7.5501686581322378E-2</v>
      </c>
      <c r="Q344">
        <f t="shared" si="348"/>
        <v>3.0948322647561494E-2</v>
      </c>
      <c r="R344">
        <f t="shared" si="349"/>
        <v>1.3899615101532405E-2</v>
      </c>
    </row>
    <row r="345" spans="1:18" x14ac:dyDescent="0.25">
      <c r="A345" s="18">
        <f t="shared" si="342"/>
        <v>27942</v>
      </c>
      <c r="B345">
        <f>'2-state flows'!B344</f>
        <v>96583</v>
      </c>
      <c r="C345">
        <f>'2-state flows'!C344</f>
        <v>7490</v>
      </c>
      <c r="D345">
        <f>'Composite HWI'!B308*48.35347462</f>
        <v>2997.9154264399999</v>
      </c>
      <c r="E345">
        <f t="shared" si="337"/>
        <v>7.7549879378358513E-2</v>
      </c>
      <c r="F345">
        <f t="shared" si="338"/>
        <v>3.1039783672488948E-2</v>
      </c>
      <c r="G345">
        <f>'2-state flows'!G344</f>
        <v>0.48209242656473966</v>
      </c>
      <c r="H345">
        <f t="shared" si="339"/>
        <v>0.48791306338709811</v>
      </c>
      <c r="I345">
        <f>'2-state flows'!H344</f>
        <v>4.0932844863011249E-2</v>
      </c>
      <c r="J345">
        <f t="shared" si="343"/>
        <v>-3.1092744027217515E-2</v>
      </c>
      <c r="K345">
        <v>0.5</v>
      </c>
      <c r="L345">
        <f t="shared" si="345"/>
        <v>0.81686404701634174</v>
      </c>
      <c r="M345">
        <f t="shared" si="340"/>
        <v>1.3713841879836529E-2</v>
      </c>
      <c r="N345">
        <f t="shared" ref="N345:O345" si="396">AVERAGE(G343:G345)</f>
        <v>0.46832877958994562</v>
      </c>
      <c r="O345">
        <f t="shared" si="396"/>
        <v>0.49473105983014842</v>
      </c>
      <c r="P345">
        <f t="shared" si="347"/>
        <v>7.583273870868823E-2</v>
      </c>
      <c r="Q345">
        <f t="shared" si="348"/>
        <v>3.1194552778345468E-2</v>
      </c>
      <c r="R345">
        <f t="shared" si="349"/>
        <v>1.4000099267192631E-2</v>
      </c>
    </row>
    <row r="346" spans="1:18" x14ac:dyDescent="0.25">
      <c r="A346" s="18">
        <f t="shared" si="342"/>
        <v>27973</v>
      </c>
      <c r="B346">
        <f>'2-state flows'!B345</f>
        <v>96741</v>
      </c>
      <c r="C346">
        <f>'2-state flows'!C345</f>
        <v>7518</v>
      </c>
      <c r="D346">
        <f>'Composite HWI'!B309*48.35347462</f>
        <v>2997.9154264399999</v>
      </c>
      <c r="E346">
        <f t="shared" si="337"/>
        <v>7.7712655440816195E-2</v>
      </c>
      <c r="F346">
        <f t="shared" si="338"/>
        <v>3.0989088663958404E-2</v>
      </c>
      <c r="G346">
        <f>'2-state flows'!G345</f>
        <v>0.5199117365165089</v>
      </c>
      <c r="H346">
        <f t="shared" si="339"/>
        <v>0.48700362538604386</v>
      </c>
      <c r="I346">
        <f>'2-state flows'!H345</f>
        <v>4.178664470383657E-2</v>
      </c>
      <c r="J346">
        <f t="shared" si="343"/>
        <v>2.0643990125634174E-2</v>
      </c>
      <c r="K346">
        <v>0.5</v>
      </c>
      <c r="L346">
        <f t="shared" si="345"/>
        <v>0.85815202726761008</v>
      </c>
      <c r="M346">
        <f t="shared" si="340"/>
        <v>1.3137662912230428E-2</v>
      </c>
      <c r="N346">
        <f t="shared" ref="N346:O346" si="397">AVERAGE(G344:G346)</f>
        <v>0.49442336687580113</v>
      </c>
      <c r="O346">
        <f t="shared" si="397"/>
        <v>0.48946516014618741</v>
      </c>
      <c r="P346">
        <f t="shared" si="347"/>
        <v>7.7208281278394478E-2</v>
      </c>
      <c r="Q346">
        <f t="shared" si="348"/>
        <v>3.1098203926301485E-2</v>
      </c>
      <c r="R346">
        <f t="shared" si="349"/>
        <v>1.3277443730885847E-2</v>
      </c>
    </row>
    <row r="347" spans="1:18" x14ac:dyDescent="0.25">
      <c r="A347" s="18">
        <f t="shared" si="342"/>
        <v>28004</v>
      </c>
      <c r="B347">
        <f>'2-state flows'!B346</f>
        <v>96553</v>
      </c>
      <c r="C347">
        <f>'2-state flows'!C346</f>
        <v>7380</v>
      </c>
      <c r="D347">
        <f>'Composite HWI'!B310*48.35347462</f>
        <v>2949.5619518200001</v>
      </c>
      <c r="E347">
        <f t="shared" si="337"/>
        <v>7.6434704255693764E-2</v>
      </c>
      <c r="F347">
        <f t="shared" si="338"/>
        <v>3.0548630822656988E-2</v>
      </c>
      <c r="G347">
        <f>'2-state flows'!G346</f>
        <v>0.49803514310162178</v>
      </c>
      <c r="H347">
        <f t="shared" si="339"/>
        <v>0.48755570969598466</v>
      </c>
      <c r="I347">
        <f>'2-state flows'!H346</f>
        <v>4.1943276005491824E-2</v>
      </c>
      <c r="J347">
        <f t="shared" si="343"/>
        <v>3.7413503568334266E-3</v>
      </c>
      <c r="K347">
        <v>0.5</v>
      </c>
      <c r="L347">
        <f t="shared" si="345"/>
        <v>0.86563472798127694</v>
      </c>
      <c r="M347">
        <f t="shared" si="340"/>
        <v>1.2854386809595244E-2</v>
      </c>
      <c r="N347">
        <f t="shared" ref="N347:O347" si="398">AVERAGE(G345:G347)</f>
        <v>0.50001310206095673</v>
      </c>
      <c r="O347">
        <f t="shared" si="398"/>
        <v>0.48749079948970886</v>
      </c>
      <c r="P347">
        <f t="shared" si="347"/>
        <v>7.7232413024956162E-2</v>
      </c>
      <c r="Q347">
        <f t="shared" si="348"/>
        <v>3.0859167719701448E-2</v>
      </c>
      <c r="R347">
        <f t="shared" si="349"/>
        <v>1.3235297200554066E-2</v>
      </c>
    </row>
    <row r="348" spans="1:18" x14ac:dyDescent="0.25">
      <c r="A348" s="18">
        <f t="shared" si="342"/>
        <v>28034</v>
      </c>
      <c r="B348">
        <f>'2-state flows'!B347</f>
        <v>96704</v>
      </c>
      <c r="C348">
        <f>'2-state flows'!C347</f>
        <v>7430</v>
      </c>
      <c r="D348">
        <f>'Composite HWI'!B311*48.35347462</f>
        <v>2997.9154264399999</v>
      </c>
      <c r="E348">
        <f t="shared" si="337"/>
        <v>7.6832395764394434E-2</v>
      </c>
      <c r="F348">
        <f t="shared" si="338"/>
        <v>3.1000945425628722E-2</v>
      </c>
      <c r="G348">
        <f>'2-state flows'!G347</f>
        <v>0.43816072271747519</v>
      </c>
      <c r="H348">
        <f t="shared" si="339"/>
        <v>0.48987914145297512</v>
      </c>
      <c r="I348">
        <f>'2-state flows'!H347</f>
        <v>3.9143217913937739E-2</v>
      </c>
      <c r="J348">
        <f t="shared" si="343"/>
        <v>-6.9090960072426114E-2</v>
      </c>
      <c r="K348">
        <v>0.5</v>
      </c>
      <c r="L348">
        <f t="shared" si="345"/>
        <v>0.72745280783642474</v>
      </c>
      <c r="M348">
        <f t="shared" si="340"/>
        <v>1.4977736928080701E-2</v>
      </c>
      <c r="N348">
        <f t="shared" ref="N348:O348" si="399">AVERAGE(G346:G348)</f>
        <v>0.48536920077853524</v>
      </c>
      <c r="O348">
        <f t="shared" si="399"/>
        <v>0.48814615884500118</v>
      </c>
      <c r="P348">
        <f t="shared" si="347"/>
        <v>7.6993251820301464E-2</v>
      </c>
      <c r="Q348">
        <f t="shared" si="348"/>
        <v>3.0846221637414701E-2</v>
      </c>
      <c r="R348">
        <f t="shared" si="349"/>
        <v>1.3656595549968792E-2</v>
      </c>
    </row>
    <row r="349" spans="1:18" x14ac:dyDescent="0.25">
      <c r="A349" s="18">
        <f t="shared" si="342"/>
        <v>28065</v>
      </c>
      <c r="B349">
        <f>'2-state flows'!B348</f>
        <v>97254</v>
      </c>
      <c r="C349">
        <f>'2-state flows'!C348</f>
        <v>7620</v>
      </c>
      <c r="D349">
        <f>'Composite HWI'!B312*48.35347462</f>
        <v>3094.62237568</v>
      </c>
      <c r="E349">
        <f t="shared" si="337"/>
        <v>7.835153309889567E-2</v>
      </c>
      <c r="F349">
        <f t="shared" si="338"/>
        <v>3.1820000983815579E-2</v>
      </c>
      <c r="G349">
        <f>'2-state flows'!G348</f>
        <v>0.49951623832847847</v>
      </c>
      <c r="H349">
        <f t="shared" si="339"/>
        <v>0.49147339320608058</v>
      </c>
      <c r="I349">
        <f>'2-state flows'!H348</f>
        <v>4.1381733001949472E-2</v>
      </c>
      <c r="J349">
        <f t="shared" si="343"/>
        <v>5.5612377553175107E-2</v>
      </c>
      <c r="K349">
        <v>0.5</v>
      </c>
      <c r="L349">
        <f t="shared" si="345"/>
        <v>0.83867756294277496</v>
      </c>
      <c r="M349">
        <f t="shared" si="340"/>
        <v>1.3755207654041549E-2</v>
      </c>
      <c r="N349">
        <f t="shared" ref="N349:O349" si="400">AVERAGE(G347:G349)</f>
        <v>0.47857070138252517</v>
      </c>
      <c r="O349">
        <f t="shared" si="400"/>
        <v>0.48963608145168008</v>
      </c>
      <c r="P349">
        <f t="shared" si="347"/>
        <v>7.7206211039661285E-2</v>
      </c>
      <c r="Q349">
        <f t="shared" si="348"/>
        <v>3.1123192410700429E-2</v>
      </c>
      <c r="R349">
        <f t="shared" si="349"/>
        <v>1.3862443797239166E-2</v>
      </c>
    </row>
    <row r="350" spans="1:18" x14ac:dyDescent="0.25">
      <c r="A350" s="18">
        <f t="shared" si="342"/>
        <v>28095</v>
      </c>
      <c r="B350">
        <f>'2-state flows'!B349</f>
        <v>97348</v>
      </c>
      <c r="C350">
        <f>'2-state flows'!C349</f>
        <v>7545</v>
      </c>
      <c r="D350">
        <f>'Composite HWI'!B313*48.35347462</f>
        <v>3191.3293249200001</v>
      </c>
      <c r="E350">
        <f t="shared" si="337"/>
        <v>7.7505444385092659E-2</v>
      </c>
      <c r="F350">
        <f t="shared" si="338"/>
        <v>3.2782690193121584E-2</v>
      </c>
      <c r="G350">
        <f>'2-state flows'!G349</f>
        <v>0.54246744222411569</v>
      </c>
      <c r="H350">
        <f t="shared" si="339"/>
        <v>0.50156804057723448</v>
      </c>
      <c r="I350">
        <f>'2-state flows'!H349</f>
        <v>4.1680392096467594E-2</v>
      </c>
      <c r="J350">
        <f t="shared" si="343"/>
        <v>7.1912530828586495E-3</v>
      </c>
      <c r="K350">
        <v>0.5</v>
      </c>
      <c r="L350">
        <f t="shared" si="345"/>
        <v>0.8530600691084923</v>
      </c>
      <c r="M350">
        <f t="shared" si="340"/>
        <v>1.3968999723677645E-2</v>
      </c>
      <c r="N350">
        <f t="shared" ref="N350:O350" si="401">AVERAGE(G348:G350)</f>
        <v>0.49338146775668984</v>
      </c>
      <c r="O350">
        <f t="shared" si="401"/>
        <v>0.49430685841209671</v>
      </c>
      <c r="P350">
        <f t="shared" si="347"/>
        <v>7.7563124416127588E-2</v>
      </c>
      <c r="Q350">
        <f t="shared" si="348"/>
        <v>3.1867878867521959E-2</v>
      </c>
      <c r="R350">
        <f t="shared" si="349"/>
        <v>1.423398143526663E-2</v>
      </c>
    </row>
    <row r="351" spans="1:18" x14ac:dyDescent="0.25">
      <c r="A351" s="18">
        <f t="shared" si="342"/>
        <v>28126</v>
      </c>
      <c r="B351">
        <f>'2-state flows'!B350</f>
        <v>97208</v>
      </c>
      <c r="C351">
        <f>'2-state flows'!C350</f>
        <v>7280</v>
      </c>
      <c r="D351">
        <f>'Composite HWI'!B314*48.35347462</f>
        <v>3288.0362741600002</v>
      </c>
      <c r="E351">
        <f t="shared" si="337"/>
        <v>7.4890955476915474E-2</v>
      </c>
      <c r="F351">
        <f t="shared" si="338"/>
        <v>3.3824749754752699E-2</v>
      </c>
      <c r="G351">
        <f>'2-state flows'!G350</f>
        <v>0.49718284736220425</v>
      </c>
      <c r="H351">
        <f t="shared" si="339"/>
        <v>0.51829411407139747</v>
      </c>
      <c r="I351">
        <f>'2-state flows'!H350</f>
        <v>4.2594313432866515E-2</v>
      </c>
      <c r="J351">
        <f t="shared" si="343"/>
        <v>2.1689952167932455E-2</v>
      </c>
      <c r="K351">
        <v>0.5</v>
      </c>
      <c r="L351">
        <f t="shared" si="345"/>
        <v>0.89643997344435722</v>
      </c>
      <c r="M351">
        <f t="shared" si="340"/>
        <v>1.3801162149532933E-2</v>
      </c>
      <c r="N351">
        <f t="shared" ref="N351:O351" si="402">AVERAGE(G349:G351)</f>
        <v>0.51305550930493282</v>
      </c>
      <c r="O351">
        <f t="shared" si="402"/>
        <v>0.50377851595157086</v>
      </c>
      <c r="P351">
        <f t="shared" si="347"/>
        <v>7.6915977653634601E-2</v>
      </c>
      <c r="Q351">
        <f t="shared" si="348"/>
        <v>3.2809146977229954E-2</v>
      </c>
      <c r="R351">
        <f t="shared" si="349"/>
        <v>1.3841789842417374E-2</v>
      </c>
    </row>
    <row r="352" spans="1:18" x14ac:dyDescent="0.25">
      <c r="A352" s="18">
        <f t="shared" si="342"/>
        <v>28157</v>
      </c>
      <c r="B352">
        <f>'2-state flows'!B351</f>
        <v>97785</v>
      </c>
      <c r="C352">
        <f>'2-state flows'!C351</f>
        <v>7443</v>
      </c>
      <c r="D352">
        <f>'Composite HWI'!B315*48.35347462</f>
        <v>3288.0362741600002</v>
      </c>
      <c r="E352">
        <f t="shared" si="337"/>
        <v>7.6115968706856885E-2</v>
      </c>
      <c r="F352">
        <f t="shared" si="338"/>
        <v>3.3625160036406407E-2</v>
      </c>
      <c r="G352">
        <f>'2-state flows'!G351</f>
        <v>0.54540844541080902</v>
      </c>
      <c r="H352">
        <f t="shared" si="339"/>
        <v>0.51258743601890355</v>
      </c>
      <c r="I352">
        <f>'2-state flows'!H351</f>
        <v>4.2943109469736257E-2</v>
      </c>
      <c r="J352">
        <f t="shared" si="343"/>
        <v>8.1554472480461649E-3</v>
      </c>
      <c r="K352">
        <v>0.5</v>
      </c>
      <c r="L352">
        <f t="shared" si="345"/>
        <v>0.91275086794044957</v>
      </c>
      <c r="M352">
        <f t="shared" si="340"/>
        <v>1.3497759779527992E-2</v>
      </c>
      <c r="N352">
        <f t="shared" ref="N352:O352" si="403">AVERAGE(G350:G352)</f>
        <v>0.52835291166570963</v>
      </c>
      <c r="O352">
        <f t="shared" si="403"/>
        <v>0.51081653022251183</v>
      </c>
      <c r="P352">
        <f t="shared" si="347"/>
        <v>7.6170789522955015E-2</v>
      </c>
      <c r="Q352">
        <f t="shared" si="348"/>
        <v>3.3410866661426897E-2</v>
      </c>
      <c r="R352">
        <f t="shared" si="349"/>
        <v>1.375597388424619E-2</v>
      </c>
    </row>
    <row r="353" spans="1:18" x14ac:dyDescent="0.25">
      <c r="A353" s="18">
        <f t="shared" si="342"/>
        <v>28185</v>
      </c>
      <c r="B353">
        <f>'2-state flows'!B352</f>
        <v>98115</v>
      </c>
      <c r="C353">
        <f>'2-state flows'!C352</f>
        <v>7307</v>
      </c>
      <c r="D353">
        <f>'Composite HWI'!B316*48.35347462</f>
        <v>3384.7432233999998</v>
      </c>
      <c r="E353">
        <f t="shared" si="337"/>
        <v>7.4473831728074202E-2</v>
      </c>
      <c r="F353">
        <f t="shared" si="338"/>
        <v>3.4497714145645411E-2</v>
      </c>
      <c r="G353">
        <f>'2-state flows'!G352</f>
        <v>0.59159849165085587</v>
      </c>
      <c r="H353">
        <f t="shared" si="339"/>
        <v>0.52488840182737206</v>
      </c>
      <c r="I353">
        <f>'2-state flows'!H352</f>
        <v>4.3913703862703976E-2</v>
      </c>
      <c r="J353">
        <f t="shared" si="343"/>
        <v>2.2350228128967906E-2</v>
      </c>
      <c r="K353">
        <v>0.5</v>
      </c>
      <c r="L353">
        <f t="shared" si="345"/>
        <v>0.95745132419838541</v>
      </c>
      <c r="M353">
        <f t="shared" si="340"/>
        <v>1.3242637544726581E-2</v>
      </c>
      <c r="N353">
        <f t="shared" ref="N353:O353" si="404">AVERAGE(G351:G353)</f>
        <v>0.54472992814128973</v>
      </c>
      <c r="O353">
        <f t="shared" si="404"/>
        <v>0.51858998397255773</v>
      </c>
      <c r="P353">
        <f t="shared" si="347"/>
        <v>7.516025197061553E-2</v>
      </c>
      <c r="Q353">
        <f t="shared" si="348"/>
        <v>3.3982541312268175E-2</v>
      </c>
      <c r="R353">
        <f t="shared" si="349"/>
        <v>1.3513853157929169E-2</v>
      </c>
    </row>
    <row r="354" spans="1:18" x14ac:dyDescent="0.25">
      <c r="A354" s="18">
        <f t="shared" si="342"/>
        <v>28216</v>
      </c>
      <c r="B354">
        <f>'2-state flows'!B353</f>
        <v>98330</v>
      </c>
      <c r="C354">
        <f>'2-state flows'!C353</f>
        <v>7059</v>
      </c>
      <c r="D354">
        <f>'Composite HWI'!B317*48.35347462</f>
        <v>3481.4501726399999</v>
      </c>
      <c r="E354">
        <f t="shared" si="337"/>
        <v>7.1788874199125399E-2</v>
      </c>
      <c r="F354">
        <f t="shared" si="338"/>
        <v>3.5405778222719411E-2</v>
      </c>
      <c r="G354">
        <f>'2-state flows'!G353</f>
        <v>0.52950973814283475</v>
      </c>
      <c r="H354">
        <f t="shared" si="339"/>
        <v>0.54160437946633633</v>
      </c>
      <c r="I354">
        <f>'2-state flows'!H353</f>
        <v>3.8827116970444234E-2</v>
      </c>
      <c r="J354">
        <f t="shared" si="343"/>
        <v>-0.12310753874121307</v>
      </c>
      <c r="K354">
        <v>0.5</v>
      </c>
      <c r="L354">
        <f t="shared" si="345"/>
        <v>0.71123624671595931</v>
      </c>
      <c r="M354">
        <f t="shared" si="340"/>
        <v>1.7385539313220833E-2</v>
      </c>
      <c r="N354">
        <f t="shared" ref="N354:O354" si="405">AVERAGE(G352:G354)</f>
        <v>0.55550555840149984</v>
      </c>
      <c r="O354">
        <f t="shared" si="405"/>
        <v>0.52636007243753735</v>
      </c>
      <c r="P354">
        <f t="shared" si="347"/>
        <v>7.4126224878018829E-2</v>
      </c>
      <c r="Q354">
        <f t="shared" si="348"/>
        <v>3.4509550801590412E-2</v>
      </c>
      <c r="R354">
        <f t="shared" si="349"/>
        <v>1.4708645545825136E-2</v>
      </c>
    </row>
    <row r="355" spans="1:18" x14ac:dyDescent="0.25">
      <c r="A355" s="18">
        <f t="shared" si="342"/>
        <v>28246</v>
      </c>
      <c r="B355">
        <f>'2-state flows'!B354</f>
        <v>98665</v>
      </c>
      <c r="C355">
        <f>'2-state flows'!C354</f>
        <v>6911</v>
      </c>
      <c r="D355">
        <f>'Composite HWI'!B318*48.35347462</f>
        <v>3578.15712188</v>
      </c>
      <c r="E355">
        <f t="shared" si="337"/>
        <v>7.0045102113211369E-2</v>
      </c>
      <c r="F355">
        <f t="shared" si="338"/>
        <v>3.6265718561597327E-2</v>
      </c>
      <c r="G355">
        <f>'2-state flows'!G354</f>
        <v>0.54782048432295016</v>
      </c>
      <c r="H355">
        <f t="shared" si="339"/>
        <v>0.55492325309639989</v>
      </c>
      <c r="I355">
        <f>'2-state flows'!H354</f>
        <v>4.4483191666677649E-2</v>
      </c>
      <c r="J355">
        <f t="shared" si="343"/>
        <v>0.13599250895474219</v>
      </c>
      <c r="K355">
        <v>0.5</v>
      </c>
      <c r="L355">
        <f t="shared" si="345"/>
        <v>0.98322126462544368</v>
      </c>
      <c r="M355">
        <f t="shared" si="340"/>
        <v>1.356715282877948E-2</v>
      </c>
      <c r="N355">
        <f t="shared" ref="N355:O355" si="406">AVERAGE(G353:G355)</f>
        <v>0.5563095713722136</v>
      </c>
      <c r="O355">
        <f t="shared" si="406"/>
        <v>0.54047201146336943</v>
      </c>
      <c r="P355">
        <f t="shared" si="347"/>
        <v>7.2102602680136976E-2</v>
      </c>
      <c r="Q355">
        <f t="shared" si="348"/>
        <v>3.5389736976654047E-2</v>
      </c>
      <c r="R355">
        <f t="shared" si="349"/>
        <v>1.4731776562242298E-2</v>
      </c>
    </row>
    <row r="356" spans="1:18" x14ac:dyDescent="0.25">
      <c r="A356" s="18">
        <f t="shared" si="342"/>
        <v>28277</v>
      </c>
      <c r="B356">
        <f>'2-state flows'!B355</f>
        <v>99093</v>
      </c>
      <c r="C356">
        <f>'2-state flows'!C355</f>
        <v>7134</v>
      </c>
      <c r="D356">
        <f>'Composite HWI'!B319*48.35347462</f>
        <v>3626.5105964999998</v>
      </c>
      <c r="E356">
        <f t="shared" si="337"/>
        <v>7.1992976294995611E-2</v>
      </c>
      <c r="F356">
        <f t="shared" si="338"/>
        <v>3.6597041128031242E-2</v>
      </c>
      <c r="G356">
        <f>'2-state flows'!G355</f>
        <v>0.58610599223760074</v>
      </c>
      <c r="H356">
        <f t="shared" si="339"/>
        <v>0.5498593183708067</v>
      </c>
      <c r="I356">
        <f>'2-state flows'!H355</f>
        <v>4.1004307463576209E-2</v>
      </c>
      <c r="J356">
        <f t="shared" si="343"/>
        <v>-8.1434281191115426E-2</v>
      </c>
      <c r="K356">
        <v>0.5</v>
      </c>
      <c r="L356">
        <f t="shared" si="345"/>
        <v>0.82035270224321288</v>
      </c>
      <c r="M356">
        <f t="shared" si="340"/>
        <v>1.6112811347010723E-2</v>
      </c>
      <c r="N356">
        <f t="shared" ref="N356:O356" si="407">AVERAGE(G354:G356)</f>
        <v>0.55447873823446192</v>
      </c>
      <c r="O356">
        <f t="shared" si="407"/>
        <v>0.54879565031118094</v>
      </c>
      <c r="P356">
        <f t="shared" si="347"/>
        <v>7.1275650869110793E-2</v>
      </c>
      <c r="Q356">
        <f t="shared" si="348"/>
        <v>3.6089512637449327E-2</v>
      </c>
      <c r="R356">
        <f t="shared" si="349"/>
        <v>1.5688501163003677E-2</v>
      </c>
    </row>
    <row r="357" spans="1:18" x14ac:dyDescent="0.25">
      <c r="A357" s="18">
        <f t="shared" si="342"/>
        <v>28307</v>
      </c>
      <c r="B357">
        <f>'2-state flows'!B356</f>
        <v>98913</v>
      </c>
      <c r="C357">
        <f>'2-state flows'!C356</f>
        <v>6829</v>
      </c>
      <c r="D357">
        <f>'Composite HWI'!B320*48.35347462</f>
        <v>3723.2175457399999</v>
      </c>
      <c r="E357">
        <f t="shared" si="337"/>
        <v>6.904046990789886E-2</v>
      </c>
      <c r="F357">
        <f t="shared" si="338"/>
        <v>3.7641336788288696E-2</v>
      </c>
      <c r="G357">
        <f>'2-state flows'!G356</f>
        <v>0.52766004376974207</v>
      </c>
      <c r="H357">
        <f t="shared" si="339"/>
        <v>0.56944832049219185</v>
      </c>
      <c r="I357">
        <f>'2-state flows'!H356</f>
        <v>4.0498139420418418E-2</v>
      </c>
      <c r="J357">
        <f t="shared" si="343"/>
        <v>-1.2421088452481747E-2</v>
      </c>
      <c r="K357">
        <v>0.5</v>
      </c>
      <c r="L357">
        <f t="shared" si="345"/>
        <v>0.7955105253382494</v>
      </c>
      <c r="M357">
        <f t="shared" si="340"/>
        <v>1.6989445594125581E-2</v>
      </c>
      <c r="N357">
        <f t="shared" ref="N357:O357" si="408">AVERAGE(G355:G357)</f>
        <v>0.55386217344343092</v>
      </c>
      <c r="O357">
        <f t="shared" si="408"/>
        <v>0.55807696398646611</v>
      </c>
      <c r="P357">
        <f t="shared" si="347"/>
        <v>7.0359516105368614E-2</v>
      </c>
      <c r="Q357">
        <f t="shared" si="348"/>
        <v>3.6834698825972421E-2</v>
      </c>
      <c r="R357">
        <f t="shared" si="349"/>
        <v>1.5556469923305262E-2</v>
      </c>
    </row>
    <row r="358" spans="1:18" x14ac:dyDescent="0.25">
      <c r="A358" s="18">
        <f t="shared" si="342"/>
        <v>28338</v>
      </c>
      <c r="B358">
        <f>'2-state flows'!B357</f>
        <v>99366</v>
      </c>
      <c r="C358">
        <f>'2-state flows'!C357</f>
        <v>6925</v>
      </c>
      <c r="D358">
        <f>'Composite HWI'!B321*48.35347462</f>
        <v>3819.92449498</v>
      </c>
      <c r="E358">
        <f t="shared" si="337"/>
        <v>6.9691846305577357E-2</v>
      </c>
      <c r="F358">
        <f t="shared" si="338"/>
        <v>3.8442973401163379E-2</v>
      </c>
      <c r="G358">
        <f>'2-state flows'!G357</f>
        <v>0.58240047448235421</v>
      </c>
      <c r="H358">
        <f t="shared" si="339"/>
        <v>0.57278438109007801</v>
      </c>
      <c r="I358">
        <f>'2-state flows'!H357</f>
        <v>4.1099490149689825E-2</v>
      </c>
      <c r="J358">
        <f t="shared" si="343"/>
        <v>1.4739683487582851E-2</v>
      </c>
      <c r="K358">
        <v>0.5</v>
      </c>
      <c r="L358">
        <f t="shared" si="345"/>
        <v>0.82498989231341513</v>
      </c>
      <c r="M358">
        <f t="shared" si="340"/>
        <v>1.6847226444413201E-2</v>
      </c>
      <c r="N358">
        <f t="shared" ref="N358:O358" si="409">AVERAGE(G356:G358)</f>
        <v>0.56538883682989904</v>
      </c>
      <c r="O358">
        <f t="shared" si="409"/>
        <v>0.56403067331769219</v>
      </c>
      <c r="P358">
        <f t="shared" si="347"/>
        <v>7.0241764169490614E-2</v>
      </c>
      <c r="Q358">
        <f t="shared" si="348"/>
        <v>3.7560450439161099E-2</v>
      </c>
      <c r="R358">
        <f t="shared" si="349"/>
        <v>1.6649827795183168E-2</v>
      </c>
    </row>
    <row r="359" spans="1:18" x14ac:dyDescent="0.25">
      <c r="A359" s="18">
        <f t="shared" si="342"/>
        <v>28369</v>
      </c>
      <c r="B359">
        <f>'2-state flows'!B358</f>
        <v>99453</v>
      </c>
      <c r="C359">
        <f>'2-state flows'!C358</f>
        <v>6751</v>
      </c>
      <c r="D359">
        <f>'Composite HWI'!B322*48.35347462</f>
        <v>3771.5710203600001</v>
      </c>
      <c r="E359">
        <f t="shared" si="337"/>
        <v>6.7881310769911413E-2</v>
      </c>
      <c r="F359">
        <f t="shared" si="338"/>
        <v>3.7923149833187536E-2</v>
      </c>
      <c r="G359">
        <f>'2-state flows'!G358</f>
        <v>0.55385548842455146</v>
      </c>
      <c r="H359">
        <f t="shared" si="339"/>
        <v>0.5764355509221798</v>
      </c>
      <c r="I359">
        <f>'2-state flows'!H358</f>
        <v>4.0506091901839181E-2</v>
      </c>
      <c r="J359">
        <f t="shared" si="343"/>
        <v>-1.4543336177905253E-2</v>
      </c>
      <c r="K359">
        <v>0.5</v>
      </c>
      <c r="L359">
        <f t="shared" si="345"/>
        <v>0.7959032199576046</v>
      </c>
      <c r="M359">
        <f t="shared" si="340"/>
        <v>1.7109921829663057E-2</v>
      </c>
      <c r="N359">
        <f t="shared" ref="N359:O359" si="410">AVERAGE(G357:G359)</f>
        <v>0.55463866889221591</v>
      </c>
      <c r="O359">
        <f t="shared" si="410"/>
        <v>0.57288941750148326</v>
      </c>
      <c r="P359">
        <f t="shared" si="347"/>
        <v>6.8871208994462543E-2</v>
      </c>
      <c r="Q359">
        <f t="shared" si="348"/>
        <v>3.8002486674213208E-2</v>
      </c>
      <c r="R359">
        <f t="shared" si="349"/>
        <v>1.6982197956067282E-2</v>
      </c>
    </row>
    <row r="360" spans="1:18" x14ac:dyDescent="0.25">
      <c r="A360" s="18">
        <f t="shared" si="342"/>
        <v>28399</v>
      </c>
      <c r="B360">
        <f>'2-state flows'!B359</f>
        <v>99815</v>
      </c>
      <c r="C360">
        <f>'2-state flows'!C359</f>
        <v>6763</v>
      </c>
      <c r="D360">
        <f>'Composite HWI'!B323*48.35347462</f>
        <v>3964.9849188399999</v>
      </c>
      <c r="E360">
        <f t="shared" ref="E360:E423" si="411">C360/B360</f>
        <v>6.7755347392676454E-2</v>
      </c>
      <c r="F360">
        <f t="shared" ref="F360:F423" si="412">D360/B360</f>
        <v>3.9723337362520664E-2</v>
      </c>
      <c r="G360">
        <f>'2-state flows'!G359</f>
        <v>0.5528003845903865</v>
      </c>
      <c r="H360">
        <f t="shared" ref="H360:H423" si="413">0.771211801*(F360/E360)^0.5</f>
        <v>0.59050658182417926</v>
      </c>
      <c r="I360">
        <f>'2-state flows'!H359</f>
        <v>4.0918457310073493E-2</v>
      </c>
      <c r="J360">
        <f t="shared" si="343"/>
        <v>1.0128860097622122E-2</v>
      </c>
      <c r="K360">
        <v>0.5</v>
      </c>
      <c r="L360">
        <f t="shared" si="345"/>
        <v>0.8161609401528489</v>
      </c>
      <c r="M360">
        <f t="shared" ref="M360:M423" si="414">F360/EXP(L360)</f>
        <v>1.756271023525514E-2</v>
      </c>
      <c r="N360">
        <f t="shared" ref="N360:O360" si="415">AVERAGE(G358:G360)</f>
        <v>0.56301878249909743</v>
      </c>
      <c r="O360">
        <f t="shared" si="415"/>
        <v>0.57990883794547898</v>
      </c>
      <c r="P360">
        <f t="shared" si="347"/>
        <v>6.8442834822721746E-2</v>
      </c>
      <c r="Q360">
        <f t="shared" si="348"/>
        <v>3.8696486865623859E-2</v>
      </c>
      <c r="R360">
        <f t="shared" si="349"/>
        <v>1.7173286169777133E-2</v>
      </c>
    </row>
    <row r="361" spans="1:18" x14ac:dyDescent="0.25">
      <c r="A361" s="18">
        <f t="shared" ref="A361:A424" si="416">DATE(YEAR(A360),MONTH(A360)+1,1)</f>
        <v>28430</v>
      </c>
      <c r="B361">
        <f>'2-state flows'!B360</f>
        <v>100576</v>
      </c>
      <c r="C361">
        <f>'2-state flows'!C360</f>
        <v>6815</v>
      </c>
      <c r="D361">
        <f>'Composite HWI'!B324*48.35347462</f>
        <v>4110.0453427000002</v>
      </c>
      <c r="E361">
        <f t="shared" si="411"/>
        <v>6.7759704104358887E-2</v>
      </c>
      <c r="F361">
        <f t="shared" si="412"/>
        <v>4.0865070620227491E-2</v>
      </c>
      <c r="G361">
        <f>'2-state flows'!G360</f>
        <v>0.62248292598125177</v>
      </c>
      <c r="H361">
        <f t="shared" si="413"/>
        <v>0.5989134178031017</v>
      </c>
      <c r="I361">
        <f>'2-state flows'!H360</f>
        <v>3.8990684273956439E-2</v>
      </c>
      <c r="J361">
        <f t="shared" ref="J361:J424" si="417">LN(I361/I360)</f>
        <v>-4.825848740136017E-2</v>
      </c>
      <c r="K361">
        <v>0.5</v>
      </c>
      <c r="L361">
        <f t="shared" si="345"/>
        <v>0.71964396535012853</v>
      </c>
      <c r="M361">
        <f t="shared" si="414"/>
        <v>1.9898248519295895E-2</v>
      </c>
      <c r="N361">
        <f t="shared" ref="N361:O361" si="418">AVERAGE(G359:G361)</f>
        <v>0.57637959966539665</v>
      </c>
      <c r="O361">
        <f t="shared" si="418"/>
        <v>0.58861851684982025</v>
      </c>
      <c r="P361">
        <f t="shared" si="347"/>
        <v>6.7798787422315585E-2</v>
      </c>
      <c r="Q361">
        <f t="shared" si="348"/>
        <v>3.9503852605311897E-2</v>
      </c>
      <c r="R361">
        <f t="shared" si="349"/>
        <v>1.8190293528071364E-2</v>
      </c>
    </row>
    <row r="362" spans="1:18" x14ac:dyDescent="0.25">
      <c r="A362" s="18">
        <f t="shared" si="416"/>
        <v>28460</v>
      </c>
      <c r="B362">
        <f>'2-state flows'!B361</f>
        <v>100491</v>
      </c>
      <c r="C362">
        <f>'2-state flows'!C361</f>
        <v>6386</v>
      </c>
      <c r="D362">
        <f>'Composite HWI'!B325*48.35347462</f>
        <v>4255.1057665600001</v>
      </c>
      <c r="E362">
        <f t="shared" si="411"/>
        <v>6.3547979421042677E-2</v>
      </c>
      <c r="F362">
        <f t="shared" si="412"/>
        <v>4.2343152785423568E-2</v>
      </c>
      <c r="G362">
        <f>'2-state flows'!G361</f>
        <v>0.55527975895397541</v>
      </c>
      <c r="H362">
        <f t="shared" si="413"/>
        <v>0.62952704014656313</v>
      </c>
      <c r="I362">
        <f>'2-state flows'!H361</f>
        <v>3.9133350098913312E-2</v>
      </c>
      <c r="J362">
        <f t="shared" si="417"/>
        <v>3.6522943212044692E-3</v>
      </c>
      <c r="K362">
        <v>0.5</v>
      </c>
      <c r="L362">
        <f t="shared" ref="L362:L425" si="419">L361+J362/(1-K362)</f>
        <v>0.72694855399253744</v>
      </c>
      <c r="M362">
        <f t="shared" si="414"/>
        <v>2.0467907515934792E-2</v>
      </c>
      <c r="N362">
        <f t="shared" ref="N362:O362" si="420">AVERAGE(G360:G362)</f>
        <v>0.57685435650853789</v>
      </c>
      <c r="O362">
        <f t="shared" si="420"/>
        <v>0.60631567992461466</v>
      </c>
      <c r="P362">
        <f t="shared" ref="P362:P425" si="421">AVERAGE(E360:E362)</f>
        <v>6.6354343639359339E-2</v>
      </c>
      <c r="Q362">
        <f t="shared" ref="Q362:Q425" si="422">AVERAGE(F360:F362)</f>
        <v>4.097718692272391E-2</v>
      </c>
      <c r="R362">
        <f t="shared" ref="R362:R425" si="423">AVERAGE(M360:M362)</f>
        <v>1.9309622090161942E-2</v>
      </c>
    </row>
    <row r="363" spans="1:18" x14ac:dyDescent="0.25">
      <c r="A363" s="18">
        <f t="shared" si="416"/>
        <v>28491</v>
      </c>
      <c r="B363">
        <f>'2-state flows'!B362</f>
        <v>100873</v>
      </c>
      <c r="C363">
        <f>'2-state flows'!C362</f>
        <v>6489</v>
      </c>
      <c r="D363">
        <f>'Composite HWI'!B326*48.35347462</f>
        <v>4255.1057665600001</v>
      </c>
      <c r="E363">
        <f t="shared" si="411"/>
        <v>6.4328412954903685E-2</v>
      </c>
      <c r="F363">
        <f t="shared" si="412"/>
        <v>4.2182801805835064E-2</v>
      </c>
      <c r="G363">
        <f>'2-state flows'!G362</f>
        <v>0.60203470590657182</v>
      </c>
      <c r="H363">
        <f t="shared" si="413"/>
        <v>0.62451080849102214</v>
      </c>
      <c r="I363">
        <f>'2-state flows'!H362</f>
        <v>3.893652829707922E-2</v>
      </c>
      <c r="J363">
        <f t="shared" si="417"/>
        <v>-5.0422063637098761E-3</v>
      </c>
      <c r="K363">
        <v>0.5</v>
      </c>
      <c r="L363">
        <f t="shared" si="419"/>
        <v>0.71686414126511766</v>
      </c>
      <c r="M363">
        <f t="shared" si="414"/>
        <v>2.0597062253318862E-2</v>
      </c>
      <c r="N363">
        <f t="shared" ref="N363:O363" si="424">AVERAGE(G361:G363)</f>
        <v>0.59326579694726633</v>
      </c>
      <c r="O363">
        <f t="shared" si="424"/>
        <v>0.61765042214689558</v>
      </c>
      <c r="P363">
        <f t="shared" si="421"/>
        <v>6.5212032160101754E-2</v>
      </c>
      <c r="Q363">
        <f t="shared" si="422"/>
        <v>4.179700840382871E-2</v>
      </c>
      <c r="R363">
        <f t="shared" si="423"/>
        <v>2.0321072762849848E-2</v>
      </c>
    </row>
    <row r="364" spans="1:18" x14ac:dyDescent="0.25">
      <c r="A364" s="18">
        <f t="shared" si="416"/>
        <v>28522</v>
      </c>
      <c r="B364">
        <f>'2-state flows'!B363</f>
        <v>100837</v>
      </c>
      <c r="C364">
        <f>'2-state flows'!C363</f>
        <v>6318</v>
      </c>
      <c r="D364">
        <f>'Composite HWI'!B327*48.35347462</f>
        <v>4303.4592411800004</v>
      </c>
      <c r="E364">
        <f t="shared" si="411"/>
        <v>6.2655572855201958E-2</v>
      </c>
      <c r="F364">
        <f t="shared" si="412"/>
        <v>4.2677382718446608E-2</v>
      </c>
      <c r="G364">
        <f>'2-state flows'!G363</f>
        <v>0.6004015110864791</v>
      </c>
      <c r="H364">
        <f t="shared" si="413"/>
        <v>0.6364916384222199</v>
      </c>
      <c r="I364">
        <f>'2-state flows'!H363</f>
        <v>4.0405316599914788E-2</v>
      </c>
      <c r="J364">
        <f t="shared" si="417"/>
        <v>3.7028534532445971E-2</v>
      </c>
      <c r="K364">
        <v>0.5</v>
      </c>
      <c r="L364">
        <f t="shared" si="419"/>
        <v>0.79092121033000962</v>
      </c>
      <c r="M364">
        <f t="shared" si="414"/>
        <v>1.9351073400868654E-2</v>
      </c>
      <c r="N364">
        <f t="shared" ref="N364:O364" si="425">AVERAGE(G362:G364)</f>
        <v>0.58590532531567552</v>
      </c>
      <c r="O364">
        <f t="shared" si="425"/>
        <v>0.63017649568660172</v>
      </c>
      <c r="P364">
        <f t="shared" si="421"/>
        <v>6.3510655077049435E-2</v>
      </c>
      <c r="Q364">
        <f t="shared" si="422"/>
        <v>4.2401112436568411E-2</v>
      </c>
      <c r="R364">
        <f t="shared" si="423"/>
        <v>2.0138681056707436E-2</v>
      </c>
    </row>
    <row r="365" spans="1:18" x14ac:dyDescent="0.25">
      <c r="A365" s="18">
        <f t="shared" si="416"/>
        <v>28550</v>
      </c>
      <c r="B365">
        <f>'2-state flows'!B364</f>
        <v>101092</v>
      </c>
      <c r="C365">
        <f>'2-state flows'!C364</f>
        <v>6337</v>
      </c>
      <c r="D365">
        <f>'Composite HWI'!B328*48.35347462</f>
        <v>4400.16619042</v>
      </c>
      <c r="E365">
        <f t="shared" si="411"/>
        <v>6.2685474617180395E-2</v>
      </c>
      <c r="F365">
        <f t="shared" si="412"/>
        <v>4.3526354117239742E-2</v>
      </c>
      <c r="G365">
        <f>'2-state flows'!G364</f>
        <v>0.61384520916353147</v>
      </c>
      <c r="H365">
        <f t="shared" si="413"/>
        <v>0.64263792662180097</v>
      </c>
      <c r="I365">
        <f>'2-state flows'!H364</f>
        <v>3.8796592084824451E-2</v>
      </c>
      <c r="J365">
        <f t="shared" si="417"/>
        <v>-4.0628965410159756E-2</v>
      </c>
      <c r="K365">
        <v>0.5</v>
      </c>
      <c r="L365">
        <f t="shared" si="419"/>
        <v>0.7096632795096901</v>
      </c>
      <c r="M365">
        <f t="shared" si="414"/>
        <v>2.1406686294861005E-2</v>
      </c>
      <c r="N365">
        <f t="shared" ref="N365:O365" si="426">AVERAGE(G363:G365)</f>
        <v>0.60542714205219417</v>
      </c>
      <c r="O365">
        <f t="shared" si="426"/>
        <v>0.63454679117834767</v>
      </c>
      <c r="P365">
        <f t="shared" si="421"/>
        <v>6.3223153475762017E-2</v>
      </c>
      <c r="Q365">
        <f t="shared" si="422"/>
        <v>4.279551288050714E-2</v>
      </c>
      <c r="R365">
        <f t="shared" si="423"/>
        <v>2.0451607316349509E-2</v>
      </c>
    </row>
    <row r="366" spans="1:18" x14ac:dyDescent="0.25">
      <c r="A366" s="18">
        <f t="shared" si="416"/>
        <v>28581</v>
      </c>
      <c r="B366">
        <f>'2-state flows'!B365</f>
        <v>101574</v>
      </c>
      <c r="C366">
        <f>'2-state flows'!C365</f>
        <v>6180</v>
      </c>
      <c r="D366">
        <f>'Composite HWI'!B329*48.35347462</f>
        <v>4690.2870381399998</v>
      </c>
      <c r="E366">
        <f t="shared" si="411"/>
        <v>6.0842341544095929E-2</v>
      </c>
      <c r="F366">
        <f t="shared" si="412"/>
        <v>4.6176059209443357E-2</v>
      </c>
      <c r="G366">
        <f>'2-state flows'!G365</f>
        <v>0.64051174517550291</v>
      </c>
      <c r="H366">
        <f t="shared" si="413"/>
        <v>0.67186054787473048</v>
      </c>
      <c r="I366">
        <f>'2-state flows'!H365</f>
        <v>4.0728720585879861E-2</v>
      </c>
      <c r="J366">
        <f t="shared" si="417"/>
        <v>4.8601099178106982E-2</v>
      </c>
      <c r="K366">
        <v>0.5</v>
      </c>
      <c r="L366">
        <f t="shared" si="419"/>
        <v>0.80686547786590412</v>
      </c>
      <c r="M366">
        <f t="shared" si="414"/>
        <v>2.0606282128107656E-2</v>
      </c>
      <c r="N366">
        <f t="shared" ref="N366:O366" si="427">AVERAGE(G364:G366)</f>
        <v>0.61825282180850449</v>
      </c>
      <c r="O366">
        <f t="shared" si="427"/>
        <v>0.65033003763958375</v>
      </c>
      <c r="P366">
        <f t="shared" si="421"/>
        <v>6.2061129672159425E-2</v>
      </c>
      <c r="Q366">
        <f t="shared" si="422"/>
        <v>4.4126598681709907E-2</v>
      </c>
      <c r="R366">
        <f t="shared" si="423"/>
        <v>2.045468060794577E-2</v>
      </c>
    </row>
    <row r="367" spans="1:18" x14ac:dyDescent="0.25">
      <c r="A367" s="18">
        <f t="shared" si="416"/>
        <v>28611</v>
      </c>
      <c r="B367">
        <f>'2-state flows'!B366</f>
        <v>101896</v>
      </c>
      <c r="C367">
        <f>'2-state flows'!C366</f>
        <v>6127</v>
      </c>
      <c r="D367">
        <f>'Composite HWI'!B330*48.35347462</f>
        <v>4641.9335635200005</v>
      </c>
      <c r="E367">
        <f t="shared" si="411"/>
        <v>6.0129936405747035E-2</v>
      </c>
      <c r="F367">
        <f t="shared" si="412"/>
        <v>4.555560143204837E-2</v>
      </c>
      <c r="G367">
        <f>'2-state flows'!G366</f>
        <v>0.63713190393927943</v>
      </c>
      <c r="H367">
        <f t="shared" si="413"/>
        <v>0.67127301115784688</v>
      </c>
      <c r="I367">
        <f>'2-state flows'!H366</f>
        <v>3.9339190847270875E-2</v>
      </c>
      <c r="J367">
        <f t="shared" si="417"/>
        <v>-3.4712264528488322E-2</v>
      </c>
      <c r="K367">
        <v>0.5</v>
      </c>
      <c r="L367">
        <f t="shared" si="419"/>
        <v>0.73744094880892752</v>
      </c>
      <c r="M367">
        <f t="shared" si="414"/>
        <v>2.1790904121616952E-2</v>
      </c>
      <c r="N367">
        <f t="shared" ref="N367:O367" si="428">AVERAGE(G365:G367)</f>
        <v>0.63049628609277131</v>
      </c>
      <c r="O367">
        <f t="shared" si="428"/>
        <v>0.66192382855145937</v>
      </c>
      <c r="P367">
        <f t="shared" si="421"/>
        <v>6.1219250855674451E-2</v>
      </c>
      <c r="Q367">
        <f t="shared" si="422"/>
        <v>4.5086004919577156E-2</v>
      </c>
      <c r="R367">
        <f t="shared" si="423"/>
        <v>2.1267957514861869E-2</v>
      </c>
    </row>
    <row r="368" spans="1:18" x14ac:dyDescent="0.25">
      <c r="A368" s="18">
        <f t="shared" si="416"/>
        <v>28642</v>
      </c>
      <c r="B368">
        <f>'2-state flows'!B367</f>
        <v>102371</v>
      </c>
      <c r="C368">
        <f>'2-state flows'!C367</f>
        <v>6028</v>
      </c>
      <c r="D368">
        <f>'Composite HWI'!B331*48.35347462</f>
        <v>4690.2870381399998</v>
      </c>
      <c r="E368">
        <f t="shared" si="411"/>
        <v>5.8883863594181948E-2</v>
      </c>
      <c r="F368">
        <f t="shared" si="412"/>
        <v>4.581655974973381E-2</v>
      </c>
      <c r="G368">
        <f>'2-state flows'!G367</f>
        <v>0.62084195096001094</v>
      </c>
      <c r="H368">
        <f t="shared" si="413"/>
        <v>0.68027851574848908</v>
      </c>
      <c r="I368">
        <f>'2-state flows'!H367</f>
        <v>4.2835715805167499E-2</v>
      </c>
      <c r="J368">
        <f t="shared" si="417"/>
        <v>8.5150991474883711E-2</v>
      </c>
      <c r="K368">
        <v>0.5</v>
      </c>
      <c r="L368">
        <f t="shared" si="419"/>
        <v>0.90774293175869492</v>
      </c>
      <c r="M368">
        <f t="shared" si="414"/>
        <v>1.8483947645845628E-2</v>
      </c>
      <c r="N368">
        <f t="shared" ref="N368:O368" si="429">AVERAGE(G366:G368)</f>
        <v>0.63282853335826439</v>
      </c>
      <c r="O368">
        <f t="shared" si="429"/>
        <v>0.67447069159368889</v>
      </c>
      <c r="P368">
        <f t="shared" si="421"/>
        <v>5.9952047181341638E-2</v>
      </c>
      <c r="Q368">
        <f t="shared" si="422"/>
        <v>4.5849406797075186E-2</v>
      </c>
      <c r="R368">
        <f t="shared" si="423"/>
        <v>2.029371129852341E-2</v>
      </c>
    </row>
    <row r="369" spans="1:18" x14ac:dyDescent="0.25">
      <c r="A369" s="18">
        <f t="shared" si="416"/>
        <v>28672</v>
      </c>
      <c r="B369">
        <f>'2-state flows'!B368</f>
        <v>102399</v>
      </c>
      <c r="C369">
        <f>'2-state flows'!C368</f>
        <v>6309</v>
      </c>
      <c r="D369">
        <f>'Composite HWI'!B332*48.35347462</f>
        <v>4641.9335635200005</v>
      </c>
      <c r="E369">
        <f t="shared" si="411"/>
        <v>6.1611929804001993E-2</v>
      </c>
      <c r="F369">
        <f t="shared" si="412"/>
        <v>4.5331825149854982E-2</v>
      </c>
      <c r="G369">
        <f>'2-state flows'!G368</f>
        <v>0.67197490063388965</v>
      </c>
      <c r="H369">
        <f t="shared" si="413"/>
        <v>0.66151982340959092</v>
      </c>
      <c r="I369">
        <f>'2-state flows'!H368</f>
        <v>4.0787433232084433E-2</v>
      </c>
      <c r="J369">
        <f t="shared" si="417"/>
        <v>-4.8998211082791211E-2</v>
      </c>
      <c r="K369">
        <v>0.5</v>
      </c>
      <c r="L369">
        <f t="shared" si="419"/>
        <v>0.80974650959311245</v>
      </c>
      <c r="M369">
        <f t="shared" si="414"/>
        <v>2.0171340667850278E-2</v>
      </c>
      <c r="N369">
        <f t="shared" ref="N369:O369" si="430">AVERAGE(G367:G369)</f>
        <v>0.64331625184439334</v>
      </c>
      <c r="O369">
        <f t="shared" si="430"/>
        <v>0.67102378343864233</v>
      </c>
      <c r="P369">
        <f t="shared" si="421"/>
        <v>6.0208576601310321E-2</v>
      </c>
      <c r="Q369">
        <f t="shared" si="422"/>
        <v>4.5567995443879052E-2</v>
      </c>
      <c r="R369">
        <f t="shared" si="423"/>
        <v>2.0148730811770953E-2</v>
      </c>
    </row>
    <row r="370" spans="1:18" x14ac:dyDescent="0.25">
      <c r="A370" s="18">
        <f t="shared" si="416"/>
        <v>28703</v>
      </c>
      <c r="B370">
        <f>'2-state flows'!B369</f>
        <v>102511</v>
      </c>
      <c r="C370">
        <f>'2-state flows'!C369</f>
        <v>6080</v>
      </c>
      <c r="D370">
        <f>'Composite HWI'!B333*48.35347462</f>
        <v>4738.6405127600001</v>
      </c>
      <c r="E370">
        <f t="shared" si="411"/>
        <v>5.9310708119128676E-2</v>
      </c>
      <c r="F370">
        <f t="shared" si="412"/>
        <v>4.62256783443728E-2</v>
      </c>
      <c r="G370">
        <f>'2-state flows'!G369</f>
        <v>0.64686642799593908</v>
      </c>
      <c r="H370">
        <f t="shared" si="413"/>
        <v>0.68084579317941141</v>
      </c>
      <c r="I370">
        <f>'2-state flows'!H369</f>
        <v>4.1430631206888585E-2</v>
      </c>
      <c r="J370">
        <f t="shared" si="417"/>
        <v>1.5646466528176615E-2</v>
      </c>
      <c r="K370">
        <v>0.5</v>
      </c>
      <c r="L370">
        <f t="shared" si="419"/>
        <v>0.84103944264946573</v>
      </c>
      <c r="M370">
        <f t="shared" si="414"/>
        <v>1.9935379337163928E-2</v>
      </c>
      <c r="N370">
        <f t="shared" ref="N370:O370" si="431">AVERAGE(G368:G370)</f>
        <v>0.64656109319661315</v>
      </c>
      <c r="O370">
        <f t="shared" si="431"/>
        <v>0.67421471077916395</v>
      </c>
      <c r="P370">
        <f t="shared" si="421"/>
        <v>5.9935500505770872E-2</v>
      </c>
      <c r="Q370">
        <f t="shared" si="422"/>
        <v>4.5791354414653866E-2</v>
      </c>
      <c r="R370">
        <f t="shared" si="423"/>
        <v>1.9530222550286611E-2</v>
      </c>
    </row>
    <row r="371" spans="1:18" x14ac:dyDescent="0.25">
      <c r="A371" s="18">
        <f t="shared" si="416"/>
        <v>28734</v>
      </c>
      <c r="B371">
        <f>'2-state flows'!B370</f>
        <v>102795</v>
      </c>
      <c r="C371">
        <f>'2-state flows'!C370</f>
        <v>6125</v>
      </c>
      <c r="D371">
        <f>'Composite HWI'!B334*48.35347462</f>
        <v>4786.9939873800004</v>
      </c>
      <c r="E371">
        <f t="shared" si="411"/>
        <v>5.9584610146407896E-2</v>
      </c>
      <c r="F371">
        <f t="shared" si="412"/>
        <v>4.6568354369181386E-2</v>
      </c>
      <c r="G371">
        <f>'2-state flows'!G370</f>
        <v>0.66149032319731016</v>
      </c>
      <c r="H371">
        <f t="shared" si="413"/>
        <v>0.68179225109791797</v>
      </c>
      <c r="I371">
        <f>'2-state flows'!H370</f>
        <v>3.9350640962541303E-2</v>
      </c>
      <c r="J371">
        <f t="shared" si="417"/>
        <v>-5.1508227989667831E-2</v>
      </c>
      <c r="K371">
        <v>0.5</v>
      </c>
      <c r="L371">
        <f t="shared" si="419"/>
        <v>0.73802298667013011</v>
      </c>
      <c r="M371">
        <f t="shared" si="414"/>
        <v>2.2262379434841249E-2</v>
      </c>
      <c r="N371">
        <f t="shared" ref="N371:O371" si="432">AVERAGE(G369:G371)</f>
        <v>0.66011055060904622</v>
      </c>
      <c r="O371">
        <f t="shared" si="432"/>
        <v>0.6747192892289734</v>
      </c>
      <c r="P371">
        <f t="shared" si="421"/>
        <v>6.0169082689846186E-2</v>
      </c>
      <c r="Q371">
        <f t="shared" si="422"/>
        <v>4.6041952621136389E-2</v>
      </c>
      <c r="R371">
        <f t="shared" si="423"/>
        <v>2.0789699813285153E-2</v>
      </c>
    </row>
    <row r="372" spans="1:18" x14ac:dyDescent="0.25">
      <c r="A372" s="18">
        <f t="shared" si="416"/>
        <v>28764</v>
      </c>
      <c r="B372">
        <f>'2-state flows'!B371</f>
        <v>103080</v>
      </c>
      <c r="C372">
        <f>'2-state flows'!C371</f>
        <v>5947</v>
      </c>
      <c r="D372">
        <f>'Composite HWI'!B335*48.35347462</f>
        <v>4980.4078858599996</v>
      </c>
      <c r="E372">
        <f t="shared" si="411"/>
        <v>5.7693053938688399E-2</v>
      </c>
      <c r="F372">
        <f t="shared" si="412"/>
        <v>4.8315947670353118E-2</v>
      </c>
      <c r="G372">
        <f>'2-state flows'!G371</f>
        <v>0.62789426862023934</v>
      </c>
      <c r="H372">
        <f t="shared" si="413"/>
        <v>0.70576018337327839</v>
      </c>
      <c r="I372">
        <f>'2-state flows'!H371</f>
        <v>4.0277963914089596E-2</v>
      </c>
      <c r="J372">
        <f t="shared" si="417"/>
        <v>2.3292254776593191E-2</v>
      </c>
      <c r="K372">
        <v>0.5</v>
      </c>
      <c r="L372">
        <f t="shared" si="419"/>
        <v>0.78460749622331649</v>
      </c>
      <c r="M372">
        <f t="shared" si="414"/>
        <v>2.2046507282251344E-2</v>
      </c>
      <c r="N372">
        <f t="shared" ref="N372:O372" si="433">AVERAGE(G370:G372)</f>
        <v>0.64541700660449619</v>
      </c>
      <c r="O372">
        <f t="shared" si="433"/>
        <v>0.68946607588353592</v>
      </c>
      <c r="P372">
        <f t="shared" si="421"/>
        <v>5.8862790734741655E-2</v>
      </c>
      <c r="Q372">
        <f t="shared" si="422"/>
        <v>4.7036660127969109E-2</v>
      </c>
      <c r="R372">
        <f t="shared" si="423"/>
        <v>2.1414755351418843E-2</v>
      </c>
    </row>
    <row r="373" spans="1:18" x14ac:dyDescent="0.25">
      <c r="A373" s="18">
        <f t="shared" si="416"/>
        <v>28795</v>
      </c>
      <c r="B373">
        <f>'2-state flows'!B372</f>
        <v>103562</v>
      </c>
      <c r="C373">
        <f>'2-state flows'!C372</f>
        <v>6077</v>
      </c>
      <c r="D373">
        <f>'Composite HWI'!B336*48.35347462</f>
        <v>4932.0544112400003</v>
      </c>
      <c r="E373">
        <f t="shared" si="411"/>
        <v>5.8679824646105716E-2</v>
      </c>
      <c r="F373">
        <f t="shared" si="412"/>
        <v>4.7624171136517256E-2</v>
      </c>
      <c r="G373">
        <f>'2-state flows'!G372</f>
        <v>0.62585615681157214</v>
      </c>
      <c r="H373">
        <f t="shared" si="413"/>
        <v>0.69477307224606488</v>
      </c>
      <c r="I373">
        <f>'2-state flows'!H372</f>
        <v>4.1137026059777669E-2</v>
      </c>
      <c r="J373">
        <f t="shared" si="417"/>
        <v>2.1104075059414189E-2</v>
      </c>
      <c r="K373">
        <v>0.5</v>
      </c>
      <c r="L373">
        <f t="shared" si="419"/>
        <v>0.82681564634214488</v>
      </c>
      <c r="M373">
        <f t="shared" si="414"/>
        <v>2.0832719069917939E-2</v>
      </c>
      <c r="N373">
        <f t="shared" ref="N373:O373" si="434">AVERAGE(G371:G373)</f>
        <v>0.63841358287637384</v>
      </c>
      <c r="O373">
        <f t="shared" si="434"/>
        <v>0.69410850223908704</v>
      </c>
      <c r="P373">
        <f t="shared" si="421"/>
        <v>5.8652496243734004E-2</v>
      </c>
      <c r="Q373">
        <f t="shared" si="422"/>
        <v>4.7502824392017251E-2</v>
      </c>
      <c r="R373">
        <f t="shared" si="423"/>
        <v>2.1713868595670177E-2</v>
      </c>
    </row>
    <row r="374" spans="1:18" x14ac:dyDescent="0.25">
      <c r="A374" s="18">
        <f t="shared" si="416"/>
        <v>28825</v>
      </c>
      <c r="B374">
        <f>'2-state flows'!B373</f>
        <v>103809</v>
      </c>
      <c r="C374">
        <f>'2-state flows'!C373</f>
        <v>6228</v>
      </c>
      <c r="D374">
        <f>'Composite HWI'!B337*48.35347462</f>
        <v>4980.4078858599996</v>
      </c>
      <c r="E374">
        <f t="shared" si="411"/>
        <v>5.9994798138889693E-2</v>
      </c>
      <c r="F374">
        <f t="shared" si="412"/>
        <v>4.7976648323941079E-2</v>
      </c>
      <c r="G374">
        <f>'2-state flows'!G373</f>
        <v>0.62969306220349919</v>
      </c>
      <c r="H374">
        <f t="shared" si="413"/>
        <v>0.68965489103946531</v>
      </c>
      <c r="I374">
        <f>'2-state flows'!H373</f>
        <v>3.8517485370396627E-2</v>
      </c>
      <c r="J374">
        <f t="shared" si="417"/>
        <v>-6.5796289665906921E-2</v>
      </c>
      <c r="K374">
        <v>0.5</v>
      </c>
      <c r="L374">
        <f t="shared" si="419"/>
        <v>0.69522306701033099</v>
      </c>
      <c r="M374">
        <f t="shared" si="414"/>
        <v>2.3938578775625989E-2</v>
      </c>
      <c r="N374">
        <f t="shared" ref="N374:O374" si="435">AVERAGE(G372:G374)</f>
        <v>0.62781449587843685</v>
      </c>
      <c r="O374">
        <f t="shared" si="435"/>
        <v>0.6967293822196029</v>
      </c>
      <c r="P374">
        <f t="shared" si="421"/>
        <v>5.8789225574561267E-2</v>
      </c>
      <c r="Q374">
        <f t="shared" si="422"/>
        <v>4.797225571027048E-2</v>
      </c>
      <c r="R374">
        <f t="shared" si="423"/>
        <v>2.2272601709265094E-2</v>
      </c>
    </row>
    <row r="375" spans="1:18" x14ac:dyDescent="0.25">
      <c r="A375" s="18">
        <f t="shared" si="416"/>
        <v>28856</v>
      </c>
      <c r="B375">
        <f>'2-state flows'!B374</f>
        <v>104057</v>
      </c>
      <c r="C375">
        <f>'2-state flows'!C374</f>
        <v>6109</v>
      </c>
      <c r="D375">
        <f>'Composite HWI'!B338*48.35347462</f>
        <v>4932.0544112400003</v>
      </c>
      <c r="E375">
        <f t="shared" si="411"/>
        <v>5.8708208001383856E-2</v>
      </c>
      <c r="F375">
        <f t="shared" si="412"/>
        <v>4.7397622564940373E-2</v>
      </c>
      <c r="G375">
        <f>'2-state flows'!G374</f>
        <v>0.62375061471868676</v>
      </c>
      <c r="H375">
        <f t="shared" si="413"/>
        <v>0.69295101220760758</v>
      </c>
      <c r="I375">
        <f>'2-state flows'!H374</f>
        <v>3.9797212785704722E-2</v>
      </c>
      <c r="J375">
        <f t="shared" si="417"/>
        <v>3.2684575671542884E-2</v>
      </c>
      <c r="K375">
        <v>0.5</v>
      </c>
      <c r="L375">
        <f t="shared" si="419"/>
        <v>0.76059221835341673</v>
      </c>
      <c r="M375">
        <f t="shared" si="414"/>
        <v>2.2153153404105411E-2</v>
      </c>
      <c r="N375">
        <f t="shared" ref="N375:O375" si="436">AVERAGE(G373:G375)</f>
        <v>0.62643327791125269</v>
      </c>
      <c r="O375">
        <f t="shared" si="436"/>
        <v>0.69245965849771263</v>
      </c>
      <c r="P375">
        <f t="shared" si="421"/>
        <v>5.9127610262126422E-2</v>
      </c>
      <c r="Q375">
        <f t="shared" si="422"/>
        <v>4.7666147341799574E-2</v>
      </c>
      <c r="R375">
        <f t="shared" si="423"/>
        <v>2.230815041654978E-2</v>
      </c>
    </row>
    <row r="376" spans="1:18" x14ac:dyDescent="0.25">
      <c r="A376" s="18">
        <f t="shared" si="416"/>
        <v>28887</v>
      </c>
      <c r="B376">
        <f>'2-state flows'!B375</f>
        <v>104502</v>
      </c>
      <c r="C376">
        <f>'2-state flows'!C375</f>
        <v>6173</v>
      </c>
      <c r="D376">
        <f>'Composite HWI'!B339*48.35347462</f>
        <v>4835.3474619999997</v>
      </c>
      <c r="E376">
        <f t="shared" si="411"/>
        <v>5.9070639796367536E-2</v>
      </c>
      <c r="F376">
        <f t="shared" si="412"/>
        <v>4.6270382021396717E-2</v>
      </c>
      <c r="G376">
        <f>'2-state flows'!G375</f>
        <v>0.63661894886348536</v>
      </c>
      <c r="H376">
        <f t="shared" si="413"/>
        <v>0.68255770211991973</v>
      </c>
      <c r="I376">
        <f>'2-state flows'!H375</f>
        <v>3.9070978114801862E-2</v>
      </c>
      <c r="J376">
        <f t="shared" si="417"/>
        <v>-1.8416935642378538E-2</v>
      </c>
      <c r="K376">
        <v>0.5</v>
      </c>
      <c r="L376">
        <f t="shared" si="419"/>
        <v>0.7237583470686596</v>
      </c>
      <c r="M376">
        <f t="shared" si="414"/>
        <v>2.2437725406449741E-2</v>
      </c>
      <c r="N376">
        <f t="shared" ref="N376:O376" si="437">AVERAGE(G374:G376)</f>
        <v>0.63002087526189043</v>
      </c>
      <c r="O376">
        <f t="shared" si="437"/>
        <v>0.68838786845566424</v>
      </c>
      <c r="P376">
        <f t="shared" si="421"/>
        <v>5.9257881978880357E-2</v>
      </c>
      <c r="Q376">
        <f t="shared" si="422"/>
        <v>4.7214884303426054E-2</v>
      </c>
      <c r="R376">
        <f t="shared" si="423"/>
        <v>2.284315252872705E-2</v>
      </c>
    </row>
    <row r="377" spans="1:18" x14ac:dyDescent="0.25">
      <c r="A377" s="18">
        <f t="shared" si="416"/>
        <v>28915</v>
      </c>
      <c r="B377">
        <f>'2-state flows'!B376</f>
        <v>104589</v>
      </c>
      <c r="C377">
        <f>'2-state flows'!C376</f>
        <v>6109</v>
      </c>
      <c r="D377">
        <f>'Composite HWI'!B340*48.35347462</f>
        <v>4835.3474619999997</v>
      </c>
      <c r="E377">
        <f t="shared" si="411"/>
        <v>5.8409584181892932E-2</v>
      </c>
      <c r="F377">
        <f t="shared" si="412"/>
        <v>4.6231893048026079E-2</v>
      </c>
      <c r="G377">
        <f>'2-state flows'!G376</f>
        <v>0.6684106513233613</v>
      </c>
      <c r="H377">
        <f t="shared" si="413"/>
        <v>0.68612374214056204</v>
      </c>
      <c r="I377">
        <f>'2-state flows'!H376</f>
        <v>4.0896338561669333E-2</v>
      </c>
      <c r="J377">
        <f t="shared" si="417"/>
        <v>4.56605936360404E-2</v>
      </c>
      <c r="K377">
        <v>0.5</v>
      </c>
      <c r="L377">
        <f t="shared" si="419"/>
        <v>0.81507953434074043</v>
      </c>
      <c r="M377">
        <f t="shared" si="414"/>
        <v>2.0462426511096258E-2</v>
      </c>
      <c r="N377">
        <f t="shared" ref="N377:O377" si="438">AVERAGE(G375:G377)</f>
        <v>0.64292673830184455</v>
      </c>
      <c r="O377">
        <f t="shared" si="438"/>
        <v>0.68721081882269652</v>
      </c>
      <c r="P377">
        <f t="shared" si="421"/>
        <v>5.8729477326548103E-2</v>
      </c>
      <c r="Q377">
        <f t="shared" si="422"/>
        <v>4.6633299211454392E-2</v>
      </c>
      <c r="R377">
        <f t="shared" si="423"/>
        <v>2.1684435107217136E-2</v>
      </c>
    </row>
    <row r="378" spans="1:18" x14ac:dyDescent="0.25">
      <c r="A378" s="18">
        <f t="shared" si="416"/>
        <v>28946</v>
      </c>
      <c r="B378">
        <f>'2-state flows'!B377</f>
        <v>104172</v>
      </c>
      <c r="C378">
        <f>'2-state flows'!C377</f>
        <v>6069</v>
      </c>
      <c r="D378">
        <f>'Composite HWI'!B341*48.35347462</f>
        <v>5028.7613604799999</v>
      </c>
      <c r="E378">
        <f t="shared" si="411"/>
        <v>5.8259417117843569E-2</v>
      </c>
      <c r="F378">
        <f t="shared" si="412"/>
        <v>4.8273637450370541E-2</v>
      </c>
      <c r="G378">
        <f>'2-state flows'!G377</f>
        <v>0.68249396172160359</v>
      </c>
      <c r="H378">
        <f t="shared" si="413"/>
        <v>0.70201373795562283</v>
      </c>
      <c r="I378">
        <f>'2-state flows'!H377</f>
        <v>3.8944821363234489E-2</v>
      </c>
      <c r="J378">
        <f t="shared" si="417"/>
        <v>-4.889472985906762E-2</v>
      </c>
      <c r="K378">
        <v>0.5</v>
      </c>
      <c r="L378">
        <f t="shared" si="419"/>
        <v>0.71729007462260519</v>
      </c>
      <c r="M378">
        <f t="shared" si="414"/>
        <v>2.3561064223673222E-2</v>
      </c>
      <c r="N378">
        <f t="shared" ref="N378:O378" si="439">AVERAGE(G376:G378)</f>
        <v>0.66250785396948342</v>
      </c>
      <c r="O378">
        <f t="shared" si="439"/>
        <v>0.6902317274053682</v>
      </c>
      <c r="P378">
        <f t="shared" si="421"/>
        <v>5.8579880365368014E-2</v>
      </c>
      <c r="Q378">
        <f t="shared" si="422"/>
        <v>4.6925304173264439E-2</v>
      </c>
      <c r="R378">
        <f t="shared" si="423"/>
        <v>2.215373871373974E-2</v>
      </c>
    </row>
    <row r="379" spans="1:18" x14ac:dyDescent="0.25">
      <c r="A379" s="18">
        <f t="shared" si="416"/>
        <v>28976</v>
      </c>
      <c r="B379">
        <f>'2-state flows'!B378</f>
        <v>104171</v>
      </c>
      <c r="C379">
        <f>'2-state flows'!C378</f>
        <v>5840</v>
      </c>
      <c r="D379">
        <f>'Composite HWI'!B342*48.35347462</f>
        <v>4980.4078858599996</v>
      </c>
      <c r="E379">
        <f t="shared" si="411"/>
        <v>5.6061667834618079E-2</v>
      </c>
      <c r="F379">
        <f t="shared" si="412"/>
        <v>4.7809926811300647E-2</v>
      </c>
      <c r="G379">
        <f>'2-state flows'!G378</f>
        <v>0.66212648690248854</v>
      </c>
      <c r="H379">
        <f t="shared" si="413"/>
        <v>0.7121962768267831</v>
      </c>
      <c r="I379">
        <f>'2-state flows'!H378</f>
        <v>4.1009632885254277E-2</v>
      </c>
      <c r="J379">
        <f t="shared" si="417"/>
        <v>5.166118006628196E-2</v>
      </c>
      <c r="K379">
        <v>0.5</v>
      </c>
      <c r="L379">
        <f t="shared" si="419"/>
        <v>0.8206124347551691</v>
      </c>
      <c r="M379">
        <f t="shared" si="414"/>
        <v>2.10441130736937E-2</v>
      </c>
      <c r="N379">
        <f t="shared" ref="N379:O379" si="440">AVERAGE(G377:G379)</f>
        <v>0.67101036664915126</v>
      </c>
      <c r="O379">
        <f t="shared" si="440"/>
        <v>0.70011125230765592</v>
      </c>
      <c r="P379">
        <f t="shared" si="421"/>
        <v>5.7576889711451529E-2</v>
      </c>
      <c r="Q379">
        <f t="shared" si="422"/>
        <v>4.7438485769899091E-2</v>
      </c>
      <c r="R379">
        <f t="shared" si="423"/>
        <v>2.1689201269487729E-2</v>
      </c>
    </row>
    <row r="380" spans="1:18" x14ac:dyDescent="0.25">
      <c r="A380" s="18">
        <f t="shared" si="416"/>
        <v>29007</v>
      </c>
      <c r="B380">
        <f>'2-state flows'!B379</f>
        <v>104638</v>
      </c>
      <c r="C380">
        <f>'2-state flows'!C379</f>
        <v>5959</v>
      </c>
      <c r="D380">
        <f>'Composite HWI'!B343*48.35347462</f>
        <v>4883.70093662</v>
      </c>
      <c r="E380">
        <f t="shared" si="411"/>
        <v>5.6948718438808082E-2</v>
      </c>
      <c r="F380">
        <f t="shared" si="412"/>
        <v>4.6672345960549706E-2</v>
      </c>
      <c r="G380">
        <f>'2-state flows'!G379</f>
        <v>0.65156695703834644</v>
      </c>
      <c r="H380">
        <f t="shared" si="413"/>
        <v>0.69817051584261547</v>
      </c>
      <c r="I380">
        <f>'2-state flows'!H379</f>
        <v>3.9866046584855354E-2</v>
      </c>
      <c r="J380">
        <f t="shared" si="417"/>
        <v>-2.8281988693215424E-2</v>
      </c>
      <c r="K380">
        <v>0.5</v>
      </c>
      <c r="L380">
        <f t="shared" si="419"/>
        <v>0.76404845736873828</v>
      </c>
      <c r="M380">
        <f t="shared" si="414"/>
        <v>2.1738901867056154E-2</v>
      </c>
      <c r="N380">
        <f t="shared" ref="N380:O380" si="441">AVERAGE(G378:G380)</f>
        <v>0.66539580188747949</v>
      </c>
      <c r="O380">
        <f t="shared" si="441"/>
        <v>0.70412684354167376</v>
      </c>
      <c r="P380">
        <f t="shared" si="421"/>
        <v>5.7089934463756577E-2</v>
      </c>
      <c r="Q380">
        <f t="shared" si="422"/>
        <v>4.7585303407406965E-2</v>
      </c>
      <c r="R380">
        <f t="shared" si="423"/>
        <v>2.2114693054807691E-2</v>
      </c>
    </row>
    <row r="381" spans="1:18" x14ac:dyDescent="0.25">
      <c r="A381" s="18">
        <f t="shared" si="416"/>
        <v>29037</v>
      </c>
      <c r="B381">
        <f>'2-state flows'!B380</f>
        <v>105002</v>
      </c>
      <c r="C381">
        <f>'2-state flows'!C380</f>
        <v>5996</v>
      </c>
      <c r="D381">
        <f>'Composite HWI'!B344*48.35347462</f>
        <v>4883.70093662</v>
      </c>
      <c r="E381">
        <f t="shared" si="411"/>
        <v>5.7103674215729226E-2</v>
      </c>
      <c r="F381">
        <f t="shared" si="412"/>
        <v>4.6510551576350929E-2</v>
      </c>
      <c r="G381">
        <f>'2-state flows'!G380</f>
        <v>0.68451212192306476</v>
      </c>
      <c r="H381">
        <f t="shared" si="413"/>
        <v>0.69601305387656098</v>
      </c>
      <c r="I381">
        <f>'2-state flows'!H380</f>
        <v>4.6067644033728594E-2</v>
      </c>
      <c r="J381">
        <f t="shared" si="417"/>
        <v>0.14458583996621707</v>
      </c>
      <c r="K381">
        <v>0.5</v>
      </c>
      <c r="L381">
        <f t="shared" si="419"/>
        <v>1.0532201373011725</v>
      </c>
      <c r="M381">
        <f t="shared" si="414"/>
        <v>1.6223471718857584E-2</v>
      </c>
      <c r="N381">
        <f t="shared" ref="N381:O381" si="442">AVERAGE(G379:G381)</f>
        <v>0.66606852195463329</v>
      </c>
      <c r="O381">
        <f t="shared" si="442"/>
        <v>0.70212661551531985</v>
      </c>
      <c r="P381">
        <f t="shared" si="421"/>
        <v>5.6704686829718465E-2</v>
      </c>
      <c r="Q381">
        <f t="shared" si="422"/>
        <v>4.6997608116067097E-2</v>
      </c>
      <c r="R381">
        <f t="shared" si="423"/>
        <v>1.9668828886535813E-2</v>
      </c>
    </row>
    <row r="382" spans="1:18" x14ac:dyDescent="0.25">
      <c r="A382" s="18">
        <f t="shared" si="416"/>
        <v>29068</v>
      </c>
      <c r="B382">
        <f>'2-state flows'!B381</f>
        <v>105096</v>
      </c>
      <c r="C382">
        <f>'2-state flows'!C381</f>
        <v>6320</v>
      </c>
      <c r="D382">
        <f>'Composite HWI'!B345*48.35347462</f>
        <v>4932.0544112400003</v>
      </c>
      <c r="E382">
        <f t="shared" si="411"/>
        <v>6.0135495166324125E-2</v>
      </c>
      <c r="F382">
        <f t="shared" si="412"/>
        <v>4.6929040222653574E-2</v>
      </c>
      <c r="G382">
        <f>'2-state flows'!G381</f>
        <v>0.66691207190559965</v>
      </c>
      <c r="H382">
        <f t="shared" si="413"/>
        <v>0.68128536052662869</v>
      </c>
      <c r="I382">
        <f>'2-state flows'!H381</f>
        <v>4.0834809440549229E-2</v>
      </c>
      <c r="J382">
        <f t="shared" si="417"/>
        <v>-0.12057594857432452</v>
      </c>
      <c r="K382">
        <v>0.5</v>
      </c>
      <c r="L382">
        <f t="shared" si="419"/>
        <v>0.81206824015252344</v>
      </c>
      <c r="M382">
        <f t="shared" si="414"/>
        <v>2.083362854618551E-2</v>
      </c>
      <c r="N382">
        <f t="shared" ref="N382:O382" si="443">AVERAGE(G380:G382)</f>
        <v>0.66766371695567039</v>
      </c>
      <c r="O382">
        <f t="shared" si="443"/>
        <v>0.69182297674860171</v>
      </c>
      <c r="P382">
        <f t="shared" si="421"/>
        <v>5.8062629273620485E-2</v>
      </c>
      <c r="Q382">
        <f t="shared" si="422"/>
        <v>4.6703979253184737E-2</v>
      </c>
      <c r="R382">
        <f t="shared" si="423"/>
        <v>1.9598667377366416E-2</v>
      </c>
    </row>
    <row r="383" spans="1:18" x14ac:dyDescent="0.25">
      <c r="A383" s="18">
        <f t="shared" si="416"/>
        <v>29099</v>
      </c>
      <c r="B383">
        <f>'2-state flows'!B382</f>
        <v>105530</v>
      </c>
      <c r="C383">
        <f>'2-state flows'!C382</f>
        <v>6190</v>
      </c>
      <c r="D383">
        <f>'Composite HWI'!B346*48.35347462</f>
        <v>5077.1148351000002</v>
      </c>
      <c r="E383">
        <f t="shared" si="411"/>
        <v>5.865630626362172E-2</v>
      </c>
      <c r="F383">
        <f t="shared" si="412"/>
        <v>4.8110630485170093E-2</v>
      </c>
      <c r="G383">
        <f>'2-state flows'!G382</f>
        <v>0.64212856040240829</v>
      </c>
      <c r="H383">
        <f t="shared" si="413"/>
        <v>0.69845243409187707</v>
      </c>
      <c r="I383">
        <f>'2-state flows'!H382</f>
        <v>4.1484837835094115E-2</v>
      </c>
      <c r="J383">
        <f t="shared" si="417"/>
        <v>1.5793116879859705E-2</v>
      </c>
      <c r="K383">
        <v>0.5</v>
      </c>
      <c r="L383">
        <f t="shared" si="419"/>
        <v>0.8436544739122428</v>
      </c>
      <c r="M383">
        <f t="shared" si="414"/>
        <v>2.0694101061583876E-2</v>
      </c>
      <c r="N383">
        <f t="shared" ref="N383:O383" si="444">AVERAGE(G381:G383)</f>
        <v>0.66451758474369094</v>
      </c>
      <c r="O383">
        <f t="shared" si="444"/>
        <v>0.69191694949835558</v>
      </c>
      <c r="P383">
        <f t="shared" si="421"/>
        <v>5.8631825215225024E-2</v>
      </c>
      <c r="Q383">
        <f t="shared" si="422"/>
        <v>4.7183407428058204E-2</v>
      </c>
      <c r="R383">
        <f t="shared" si="423"/>
        <v>1.9250400442208989E-2</v>
      </c>
    </row>
    <row r="384" spans="1:18" x14ac:dyDescent="0.25">
      <c r="A384" s="18">
        <f t="shared" si="416"/>
        <v>29129</v>
      </c>
      <c r="B384">
        <f>'2-state flows'!B383</f>
        <v>105700</v>
      </c>
      <c r="C384">
        <f>'2-state flows'!C383</f>
        <v>6296</v>
      </c>
      <c r="D384">
        <f>'Composite HWI'!B347*48.35347462</f>
        <v>5125.4683097200004</v>
      </c>
      <c r="E384">
        <f t="shared" si="411"/>
        <v>5.9564806054872278E-2</v>
      </c>
      <c r="F384">
        <f t="shared" si="412"/>
        <v>4.8490712485525077E-2</v>
      </c>
      <c r="G384">
        <f>'2-state flows'!G383</f>
        <v>0.67426682111083414</v>
      </c>
      <c r="H384">
        <f t="shared" si="413"/>
        <v>0.69583790557833725</v>
      </c>
      <c r="I384">
        <f>'2-state flows'!H383</f>
        <v>4.1889235195622349E-2</v>
      </c>
      <c r="J384">
        <f t="shared" si="417"/>
        <v>9.7008702394938504E-3</v>
      </c>
      <c r="K384">
        <v>0.5</v>
      </c>
      <c r="L384">
        <f t="shared" si="419"/>
        <v>0.86305621439123048</v>
      </c>
      <c r="M384">
        <f t="shared" si="414"/>
        <v>2.0456814821296739E-2</v>
      </c>
      <c r="N384">
        <f t="shared" ref="N384:O384" si="445">AVERAGE(G382:G384)</f>
        <v>0.66110248447294728</v>
      </c>
      <c r="O384">
        <f t="shared" si="445"/>
        <v>0.69185856673228097</v>
      </c>
      <c r="P384">
        <f t="shared" si="421"/>
        <v>5.9452202494939377E-2</v>
      </c>
      <c r="Q384">
        <f t="shared" si="422"/>
        <v>4.7843461064449581E-2</v>
      </c>
      <c r="R384">
        <f t="shared" si="423"/>
        <v>2.0661514809688711E-2</v>
      </c>
    </row>
    <row r="385" spans="1:18" x14ac:dyDescent="0.25">
      <c r="A385" s="18">
        <f t="shared" si="416"/>
        <v>29160</v>
      </c>
      <c r="B385">
        <f>'2-state flows'!B384</f>
        <v>105812</v>
      </c>
      <c r="C385">
        <f>'2-state flows'!C384</f>
        <v>6238</v>
      </c>
      <c r="D385">
        <f>'Composite HWI'!B348*48.35347462</f>
        <v>4835.3474619999997</v>
      </c>
      <c r="E385">
        <f t="shared" si="411"/>
        <v>5.8953615846973881E-2</v>
      </c>
      <c r="F385">
        <f t="shared" si="412"/>
        <v>4.5697533947000338E-2</v>
      </c>
      <c r="G385">
        <f>'2-state flows'!G384</f>
        <v>0.63310738166259817</v>
      </c>
      <c r="H385">
        <f t="shared" si="413"/>
        <v>0.67899226200419183</v>
      </c>
      <c r="I385">
        <f>'2-state flows'!H384</f>
        <v>4.0863180449838242E-2</v>
      </c>
      <c r="J385">
        <f t="shared" si="417"/>
        <v>-2.4799453252179197E-2</v>
      </c>
      <c r="K385">
        <v>0.5</v>
      </c>
      <c r="L385">
        <f t="shared" si="419"/>
        <v>0.81345730788687209</v>
      </c>
      <c r="M385">
        <f t="shared" si="414"/>
        <v>2.0258754614836085E-2</v>
      </c>
      <c r="N385">
        <f t="shared" ref="N385:O385" si="446">AVERAGE(G383:G385)</f>
        <v>0.64983425439194686</v>
      </c>
      <c r="O385">
        <f t="shared" si="446"/>
        <v>0.69109420055813542</v>
      </c>
      <c r="P385">
        <f t="shared" si="421"/>
        <v>5.9058242721822619E-2</v>
      </c>
      <c r="Q385">
        <f t="shared" si="422"/>
        <v>4.7432958972565165E-2</v>
      </c>
      <c r="R385">
        <f t="shared" si="423"/>
        <v>2.0469890165905568E-2</v>
      </c>
    </row>
    <row r="386" spans="1:18" x14ac:dyDescent="0.25">
      <c r="A386" s="18">
        <f t="shared" si="416"/>
        <v>29190</v>
      </c>
      <c r="B386">
        <f>'2-state flows'!B385</f>
        <v>106258</v>
      </c>
      <c r="C386">
        <f>'2-state flows'!C385</f>
        <v>6325</v>
      </c>
      <c r="D386">
        <f>'Composite HWI'!B349*48.35347462</f>
        <v>4786.9939873800004</v>
      </c>
      <c r="E386">
        <f t="shared" si="411"/>
        <v>5.9524929887631993E-2</v>
      </c>
      <c r="F386">
        <f t="shared" si="412"/>
        <v>4.5050669007321804E-2</v>
      </c>
      <c r="G386">
        <f>'2-state flows'!G385</f>
        <v>0.60093197569528856</v>
      </c>
      <c r="H386">
        <f t="shared" si="413"/>
        <v>0.6709263404667003</v>
      </c>
      <c r="I386">
        <f>'2-state flows'!H385</f>
        <v>4.2892949154111161E-2</v>
      </c>
      <c r="J386">
        <f t="shared" si="417"/>
        <v>4.8478032949183625E-2</v>
      </c>
      <c r="K386">
        <v>0.5</v>
      </c>
      <c r="L386">
        <f t="shared" si="419"/>
        <v>0.91041337378523934</v>
      </c>
      <c r="M386">
        <f t="shared" si="414"/>
        <v>1.8126491019240996E-2</v>
      </c>
      <c r="N386">
        <f t="shared" ref="N386:O386" si="447">AVERAGE(G384:G386)</f>
        <v>0.63610205948957355</v>
      </c>
      <c r="O386">
        <f t="shared" si="447"/>
        <v>0.68191883601640979</v>
      </c>
      <c r="P386">
        <f t="shared" si="421"/>
        <v>5.9347783929826058E-2</v>
      </c>
      <c r="Q386">
        <f t="shared" si="422"/>
        <v>4.6412971813282404E-2</v>
      </c>
      <c r="R386">
        <f t="shared" si="423"/>
        <v>1.9614020151791273E-2</v>
      </c>
    </row>
    <row r="387" spans="1:18" x14ac:dyDescent="0.25">
      <c r="A387" s="18">
        <f t="shared" si="416"/>
        <v>29221</v>
      </c>
      <c r="B387">
        <f>'2-state flows'!B386</f>
        <v>106562</v>
      </c>
      <c r="C387">
        <f>'2-state flows'!C386</f>
        <v>6683</v>
      </c>
      <c r="D387">
        <f>'Composite HWI'!B350*48.35347462</f>
        <v>4690.2870381399998</v>
      </c>
      <c r="E387">
        <f t="shared" si="411"/>
        <v>6.2714663763818249E-2</v>
      </c>
      <c r="F387">
        <f t="shared" si="412"/>
        <v>4.4014630338582231E-2</v>
      </c>
      <c r="G387">
        <f>'2-state flows'!G386</f>
        <v>0.62756177381117018</v>
      </c>
      <c r="H387">
        <f t="shared" si="413"/>
        <v>0.64608200756143364</v>
      </c>
      <c r="I387">
        <f>'2-state flows'!H386</f>
        <v>4.2251763363193202E-2</v>
      </c>
      <c r="J387">
        <f t="shared" si="417"/>
        <v>-1.5061367704938185E-2</v>
      </c>
      <c r="K387">
        <v>0.5</v>
      </c>
      <c r="L387">
        <f t="shared" si="419"/>
        <v>0.88029063837536292</v>
      </c>
      <c r="M387">
        <f t="shared" si="414"/>
        <v>1.8251211255117347E-2</v>
      </c>
      <c r="N387">
        <f t="shared" ref="N387:O387" si="448">AVERAGE(G385:G387)</f>
        <v>0.62053371038968563</v>
      </c>
      <c r="O387">
        <f t="shared" si="448"/>
        <v>0.66533353667744188</v>
      </c>
      <c r="P387">
        <f t="shared" si="421"/>
        <v>6.0397736499474698E-2</v>
      </c>
      <c r="Q387">
        <f t="shared" si="422"/>
        <v>4.4920944430968134E-2</v>
      </c>
      <c r="R387">
        <f t="shared" si="423"/>
        <v>1.8878818963064811E-2</v>
      </c>
    </row>
    <row r="388" spans="1:18" x14ac:dyDescent="0.25">
      <c r="A388" s="18">
        <f t="shared" si="416"/>
        <v>29252</v>
      </c>
      <c r="B388">
        <f>'2-state flows'!B387</f>
        <v>106697</v>
      </c>
      <c r="C388">
        <f>'2-state flows'!C387</f>
        <v>6702</v>
      </c>
      <c r="D388">
        <f>'Composite HWI'!B351*48.35347462</f>
        <v>4545.2266142799999</v>
      </c>
      <c r="E388">
        <f t="shared" si="411"/>
        <v>6.2813387442945914E-2</v>
      </c>
      <c r="F388">
        <f t="shared" si="412"/>
        <v>4.2599385308677844E-2</v>
      </c>
      <c r="G388">
        <f>'2-state flows'!G387</f>
        <v>0.6126225285760718</v>
      </c>
      <c r="H388">
        <f t="shared" si="413"/>
        <v>0.63511040117907303</v>
      </c>
      <c r="I388">
        <f>'2-state flows'!H387</f>
        <v>4.1427887991527503E-2</v>
      </c>
      <c r="J388">
        <f t="shared" si="417"/>
        <v>-1.9691812306282235E-2</v>
      </c>
      <c r="K388">
        <v>0.5</v>
      </c>
      <c r="L388">
        <f t="shared" si="419"/>
        <v>0.84090701376279842</v>
      </c>
      <c r="M388">
        <f t="shared" si="414"/>
        <v>1.83739299618518E-2</v>
      </c>
      <c r="N388">
        <f t="shared" ref="N388:O388" si="449">AVERAGE(G386:G388)</f>
        <v>0.61370542602751021</v>
      </c>
      <c r="O388">
        <f t="shared" si="449"/>
        <v>0.65070624973573565</v>
      </c>
      <c r="P388">
        <f t="shared" si="421"/>
        <v>6.168432703146539E-2</v>
      </c>
      <c r="Q388">
        <f t="shared" si="422"/>
        <v>4.3888228218193964E-2</v>
      </c>
      <c r="R388">
        <f t="shared" si="423"/>
        <v>1.8250544078736716E-2</v>
      </c>
    </row>
    <row r="389" spans="1:18" x14ac:dyDescent="0.25">
      <c r="A389" s="18">
        <f t="shared" si="416"/>
        <v>29281</v>
      </c>
      <c r="B389">
        <f>'2-state flows'!B388</f>
        <v>106442</v>
      </c>
      <c r="C389">
        <f>'2-state flows'!C388</f>
        <v>6729</v>
      </c>
      <c r="D389">
        <f>'Composite HWI'!B352*48.35347462</f>
        <v>4496.8731396599997</v>
      </c>
      <c r="E389">
        <f t="shared" si="411"/>
        <v>6.3217526916066968E-2</v>
      </c>
      <c r="F389">
        <f t="shared" si="412"/>
        <v>4.2247168783562876E-2</v>
      </c>
      <c r="G389">
        <f>'2-state flows'!G388</f>
        <v>0.52414020448382914</v>
      </c>
      <c r="H389">
        <f t="shared" si="413"/>
        <v>0.63045445842082448</v>
      </c>
      <c r="I389">
        <f>'2-state flows'!H388</f>
        <v>4.3638376050598386E-2</v>
      </c>
      <c r="J389">
        <f t="shared" si="417"/>
        <v>5.1982670833484165E-2</v>
      </c>
      <c r="K389">
        <v>0.5</v>
      </c>
      <c r="L389">
        <f t="shared" si="419"/>
        <v>0.94487235542976677</v>
      </c>
      <c r="M389">
        <f t="shared" si="414"/>
        <v>1.6422707570276016E-2</v>
      </c>
      <c r="N389">
        <f t="shared" ref="N389:O389" si="450">AVERAGE(G387:G389)</f>
        <v>0.58810816895702367</v>
      </c>
      <c r="O389">
        <f t="shared" si="450"/>
        <v>0.63721562238711038</v>
      </c>
      <c r="P389">
        <f t="shared" si="421"/>
        <v>6.2915192707610382E-2</v>
      </c>
      <c r="Q389">
        <f t="shared" si="422"/>
        <v>4.295372814360765E-2</v>
      </c>
      <c r="R389">
        <f t="shared" si="423"/>
        <v>1.7682616262415057E-2</v>
      </c>
    </row>
    <row r="390" spans="1:18" x14ac:dyDescent="0.25">
      <c r="A390" s="18">
        <f t="shared" si="416"/>
        <v>29312</v>
      </c>
      <c r="B390">
        <f>'2-state flows'!B389</f>
        <v>106591</v>
      </c>
      <c r="C390">
        <f>'2-state flows'!C389</f>
        <v>7358</v>
      </c>
      <c r="D390">
        <f>'Composite HWI'!B353*48.35347462</f>
        <v>3964.9849188399999</v>
      </c>
      <c r="E390">
        <f t="shared" si="411"/>
        <v>6.9030218311114444E-2</v>
      </c>
      <c r="F390">
        <f t="shared" si="412"/>
        <v>3.7198121031231532E-2</v>
      </c>
      <c r="G390">
        <f>'2-state flows'!G389</f>
        <v>0.55358616362439605</v>
      </c>
      <c r="H390">
        <f t="shared" si="413"/>
        <v>0.56612788206043929</v>
      </c>
      <c r="I390">
        <f>'2-state flows'!H389</f>
        <v>4.944819733395802E-2</v>
      </c>
      <c r="J390">
        <f t="shared" si="417"/>
        <v>0.12498865521952003</v>
      </c>
      <c r="K390">
        <v>0.5</v>
      </c>
      <c r="L390">
        <f t="shared" si="419"/>
        <v>1.1948496658688068</v>
      </c>
      <c r="M390">
        <f t="shared" si="414"/>
        <v>1.1261711216618278E-2</v>
      </c>
      <c r="N390">
        <f t="shared" ref="N390:O390" si="451">AVERAGE(G388:G390)</f>
        <v>0.56344963222809896</v>
      </c>
      <c r="O390">
        <f t="shared" si="451"/>
        <v>0.61056424722011216</v>
      </c>
      <c r="P390">
        <f t="shared" si="421"/>
        <v>6.50203775567091E-2</v>
      </c>
      <c r="Q390">
        <f t="shared" si="422"/>
        <v>4.0681558374490751E-2</v>
      </c>
      <c r="R390">
        <f t="shared" si="423"/>
        <v>1.5352782916248699E-2</v>
      </c>
    </row>
    <row r="391" spans="1:18" x14ac:dyDescent="0.25">
      <c r="A391" s="18">
        <f t="shared" si="416"/>
        <v>29342</v>
      </c>
      <c r="B391">
        <f>'2-state flows'!B390</f>
        <v>106929</v>
      </c>
      <c r="C391">
        <f>'2-state flows'!C390</f>
        <v>7984</v>
      </c>
      <c r="D391">
        <f>'Composite HWI'!B354*48.35347462</f>
        <v>3674.8640711200001</v>
      </c>
      <c r="E391">
        <f t="shared" si="411"/>
        <v>7.4666367402669062E-2</v>
      </c>
      <c r="F391">
        <f t="shared" si="412"/>
        <v>3.4367328518175609E-2</v>
      </c>
      <c r="G391">
        <f>'2-state flows'!G390</f>
        <v>0.53222019890171357</v>
      </c>
      <c r="H391">
        <f t="shared" si="413"/>
        <v>0.52321964544236887</v>
      </c>
      <c r="I391">
        <f>'2-state flows'!H390</f>
        <v>4.4461657318517742E-2</v>
      </c>
      <c r="J391">
        <f t="shared" si="417"/>
        <v>-0.10629841862477808</v>
      </c>
      <c r="K391">
        <v>0.5</v>
      </c>
      <c r="L391">
        <f t="shared" si="419"/>
        <v>0.98225282861925067</v>
      </c>
      <c r="M391">
        <f t="shared" si="414"/>
        <v>1.28694145631018E-2</v>
      </c>
      <c r="N391">
        <f t="shared" ref="N391:O391" si="452">AVERAGE(G389:G391)</f>
        <v>0.53664885566997966</v>
      </c>
      <c r="O391">
        <f t="shared" si="452"/>
        <v>0.57326732864121099</v>
      </c>
      <c r="P391">
        <f t="shared" si="421"/>
        <v>6.8971370876616825E-2</v>
      </c>
      <c r="Q391">
        <f t="shared" si="422"/>
        <v>3.7937539444323341E-2</v>
      </c>
      <c r="R391">
        <f t="shared" si="423"/>
        <v>1.35179444499987E-2</v>
      </c>
    </row>
    <row r="392" spans="1:18" x14ac:dyDescent="0.25">
      <c r="A392" s="18">
        <f t="shared" si="416"/>
        <v>29373</v>
      </c>
      <c r="B392">
        <f>'2-state flows'!B391</f>
        <v>106780</v>
      </c>
      <c r="C392">
        <f>'2-state flows'!C391</f>
        <v>8098</v>
      </c>
      <c r="D392">
        <f>'Composite HWI'!B355*48.35347462</f>
        <v>3723.2175457399999</v>
      </c>
      <c r="E392">
        <f t="shared" si="411"/>
        <v>7.5838171942311294E-2</v>
      </c>
      <c r="F392">
        <f t="shared" si="412"/>
        <v>3.4868117116875819E-2</v>
      </c>
      <c r="G392">
        <f>'2-state flows'!G391</f>
        <v>0.50136202459264301</v>
      </c>
      <c r="H392">
        <f t="shared" si="413"/>
        <v>0.52293051647459377</v>
      </c>
      <c r="I392">
        <f>'2-state flows'!H391</f>
        <v>4.4627429531772303E-2</v>
      </c>
      <c r="J392">
        <f t="shared" si="417"/>
        <v>3.7214974457093573E-3</v>
      </c>
      <c r="K392">
        <v>0.5</v>
      </c>
      <c r="L392">
        <f t="shared" si="419"/>
        <v>0.98969582351066943</v>
      </c>
      <c r="M392">
        <f t="shared" si="414"/>
        <v>1.2960121145113048E-2</v>
      </c>
      <c r="N392">
        <f t="shared" ref="N392:O392" si="453">AVERAGE(G390:G392)</f>
        <v>0.52905612903958421</v>
      </c>
      <c r="O392">
        <f t="shared" si="453"/>
        <v>0.53742601465913398</v>
      </c>
      <c r="P392">
        <f t="shared" si="421"/>
        <v>7.31782525520316E-2</v>
      </c>
      <c r="Q392">
        <f t="shared" si="422"/>
        <v>3.5477855555427651E-2</v>
      </c>
      <c r="R392">
        <f t="shared" si="423"/>
        <v>1.2363748974944374E-2</v>
      </c>
    </row>
    <row r="393" spans="1:18" x14ac:dyDescent="0.25">
      <c r="A393" s="18">
        <f t="shared" si="416"/>
        <v>29403</v>
      </c>
      <c r="B393">
        <f>'2-state flows'!B392</f>
        <v>107159</v>
      </c>
      <c r="C393">
        <f>'2-state flows'!C392</f>
        <v>8363</v>
      </c>
      <c r="D393">
        <f>'Composite HWI'!B356*48.35347462</f>
        <v>3723.2175457399999</v>
      </c>
      <c r="E393">
        <f t="shared" si="411"/>
        <v>7.8042908201830921E-2</v>
      </c>
      <c r="F393">
        <f t="shared" si="412"/>
        <v>3.4744795544377982E-2</v>
      </c>
      <c r="G393">
        <f>'2-state flows'!G392</f>
        <v>0.54154497003805779</v>
      </c>
      <c r="H393">
        <f t="shared" si="413"/>
        <v>0.51457872240266955</v>
      </c>
      <c r="I393">
        <f>'2-state flows'!H392</f>
        <v>4.4744392172165408E-2</v>
      </c>
      <c r="J393">
        <f t="shared" si="417"/>
        <v>2.6174403730166223E-3</v>
      </c>
      <c r="K393">
        <v>0.5</v>
      </c>
      <c r="L393">
        <f t="shared" si="419"/>
        <v>0.99493070425670271</v>
      </c>
      <c r="M393">
        <f t="shared" si="414"/>
        <v>1.2846855690216642E-2</v>
      </c>
      <c r="N393">
        <f t="shared" ref="N393:O393" si="454">AVERAGE(G391:G393)</f>
        <v>0.52504239784413809</v>
      </c>
      <c r="O393">
        <f t="shared" si="454"/>
        <v>0.52024296143987747</v>
      </c>
      <c r="P393">
        <f t="shared" si="421"/>
        <v>7.6182482515603764E-2</v>
      </c>
      <c r="Q393">
        <f t="shared" si="422"/>
        <v>3.4660080393143139E-2</v>
      </c>
      <c r="R393">
        <f t="shared" si="423"/>
        <v>1.2892130466143828E-2</v>
      </c>
    </row>
    <row r="394" spans="1:18" x14ac:dyDescent="0.25">
      <c r="A394" s="18">
        <f t="shared" si="416"/>
        <v>29434</v>
      </c>
      <c r="B394">
        <f>'2-state flows'!B393</f>
        <v>107105</v>
      </c>
      <c r="C394">
        <f>'2-state flows'!C393</f>
        <v>8281</v>
      </c>
      <c r="D394">
        <f>'Composite HWI'!B357*48.35347462</f>
        <v>3771.5710203600001</v>
      </c>
      <c r="E394">
        <f t="shared" si="411"/>
        <v>7.7316651883665558E-2</v>
      </c>
      <c r="F394">
        <f t="shared" si="412"/>
        <v>3.5213771722702021E-2</v>
      </c>
      <c r="G394">
        <f>'2-state flows'!G393</f>
        <v>0.53066447922715743</v>
      </c>
      <c r="H394">
        <f t="shared" si="413"/>
        <v>0.52046726454205283</v>
      </c>
      <c r="I394">
        <f>'2-state flows'!H393</f>
        <v>4.101302951706913E-2</v>
      </c>
      <c r="J394">
        <f t="shared" si="417"/>
        <v>-8.7076312961829147E-2</v>
      </c>
      <c r="K394">
        <v>0.5</v>
      </c>
      <c r="L394">
        <f t="shared" si="419"/>
        <v>0.82077807833304439</v>
      </c>
      <c r="M394">
        <f t="shared" si="414"/>
        <v>1.5497197015741255E-2</v>
      </c>
      <c r="N394">
        <f t="shared" ref="N394:O394" si="455">AVERAGE(G392:G394)</f>
        <v>0.52452382461928604</v>
      </c>
      <c r="O394">
        <f t="shared" si="455"/>
        <v>0.51932550113977205</v>
      </c>
      <c r="P394">
        <f t="shared" si="421"/>
        <v>7.706591067593592E-2</v>
      </c>
      <c r="Q394">
        <f t="shared" si="422"/>
        <v>3.4942228127985274E-2</v>
      </c>
      <c r="R394">
        <f t="shared" si="423"/>
        <v>1.3768057950356981E-2</v>
      </c>
    </row>
    <row r="395" spans="1:18" x14ac:dyDescent="0.25">
      <c r="A395" s="18">
        <f t="shared" si="416"/>
        <v>29465</v>
      </c>
      <c r="B395">
        <f>'2-state flows'!B394</f>
        <v>107098</v>
      </c>
      <c r="C395">
        <f>'2-state flows'!C394</f>
        <v>8021</v>
      </c>
      <c r="D395">
        <f>'Composite HWI'!B358*48.35347462</f>
        <v>3916.63144422</v>
      </c>
      <c r="E395">
        <f t="shared" si="411"/>
        <v>7.4894022297335147E-2</v>
      </c>
      <c r="F395">
        <f t="shared" si="412"/>
        <v>3.6570537677827787E-2</v>
      </c>
      <c r="G395">
        <f>'2-state flows'!G394</f>
        <v>0.50267211130298384</v>
      </c>
      <c r="H395">
        <f t="shared" si="413"/>
        <v>0.53890940314994362</v>
      </c>
      <c r="I395">
        <f>'2-state flows'!H394</f>
        <v>4.1571818541558253E-2</v>
      </c>
      <c r="J395">
        <f t="shared" si="417"/>
        <v>1.3532689478925788E-2</v>
      </c>
      <c r="K395">
        <v>0.5</v>
      </c>
      <c r="L395">
        <f t="shared" si="419"/>
        <v>0.84784345729089594</v>
      </c>
      <c r="M395">
        <f t="shared" si="414"/>
        <v>1.5664538720485701E-2</v>
      </c>
      <c r="N395">
        <f t="shared" ref="N395:O395" si="456">AVERAGE(G393:G395)</f>
        <v>0.52496052018939965</v>
      </c>
      <c r="O395">
        <f t="shared" si="456"/>
        <v>0.52465179669822204</v>
      </c>
      <c r="P395">
        <f t="shared" si="421"/>
        <v>7.6751194127610542E-2</v>
      </c>
      <c r="Q395">
        <f t="shared" si="422"/>
        <v>3.550970164830259E-2</v>
      </c>
      <c r="R395">
        <f t="shared" si="423"/>
        <v>1.4669530475481201E-2</v>
      </c>
    </row>
    <row r="396" spans="1:18" x14ac:dyDescent="0.25">
      <c r="A396" s="18">
        <f t="shared" si="416"/>
        <v>29495</v>
      </c>
      <c r="B396">
        <f>'2-state flows'!B395</f>
        <v>107405</v>
      </c>
      <c r="C396">
        <f>'2-state flows'!C395</f>
        <v>8088</v>
      </c>
      <c r="D396">
        <f>'Composite HWI'!B359*48.35347462</f>
        <v>3916.63144422</v>
      </c>
      <c r="E396">
        <f t="shared" si="411"/>
        <v>7.5303756808342254E-2</v>
      </c>
      <c r="F396">
        <f t="shared" si="412"/>
        <v>3.6466006649783528E-2</v>
      </c>
      <c r="G396">
        <f>'2-state flows'!G395</f>
        <v>0.50585120499025471</v>
      </c>
      <c r="H396">
        <f t="shared" si="413"/>
        <v>0.53667263153224443</v>
      </c>
      <c r="I396">
        <f>'2-state flows'!H395</f>
        <v>4.0345211760801608E-2</v>
      </c>
      <c r="J396">
        <f t="shared" si="417"/>
        <v>-2.9949778760679134E-2</v>
      </c>
      <c r="K396">
        <v>0.5</v>
      </c>
      <c r="L396">
        <f t="shared" si="419"/>
        <v>0.78794389976953771</v>
      </c>
      <c r="M396">
        <f t="shared" si="414"/>
        <v>1.6583970597749898E-2</v>
      </c>
      <c r="N396">
        <f t="shared" ref="N396:O396" si="457">AVERAGE(G394:G396)</f>
        <v>0.51306259850679858</v>
      </c>
      <c r="O396">
        <f t="shared" si="457"/>
        <v>0.53201643307474689</v>
      </c>
      <c r="P396">
        <f t="shared" si="421"/>
        <v>7.5838143663114324E-2</v>
      </c>
      <c r="Q396">
        <f t="shared" si="422"/>
        <v>3.6083438683437781E-2</v>
      </c>
      <c r="R396">
        <f t="shared" si="423"/>
        <v>1.5915235444658952E-2</v>
      </c>
    </row>
    <row r="397" spans="1:18" x14ac:dyDescent="0.25">
      <c r="A397" s="18">
        <f t="shared" si="416"/>
        <v>29526</v>
      </c>
      <c r="B397">
        <f>'2-state flows'!B396</f>
        <v>107568</v>
      </c>
      <c r="C397">
        <f>'2-state flows'!C396</f>
        <v>8023</v>
      </c>
      <c r="D397">
        <f>'Composite HWI'!B360*48.35347462</f>
        <v>4061.6918680799999</v>
      </c>
      <c r="E397">
        <f t="shared" si="411"/>
        <v>7.4585378551242004E-2</v>
      </c>
      <c r="F397">
        <f t="shared" si="412"/>
        <v>3.7759295218652386E-2</v>
      </c>
      <c r="G397">
        <f>'2-state flows'!G396</f>
        <v>0.55170128488338965</v>
      </c>
      <c r="H397">
        <f t="shared" si="413"/>
        <v>0.54873006651036393</v>
      </c>
      <c r="I397">
        <f>'2-state flows'!H396</f>
        <v>4.0405282226234546E-2</v>
      </c>
      <c r="J397">
        <f t="shared" si="417"/>
        <v>1.4878045581590016E-3</v>
      </c>
      <c r="K397">
        <v>0.5</v>
      </c>
      <c r="L397">
        <f t="shared" si="419"/>
        <v>0.79091950888585572</v>
      </c>
      <c r="M397">
        <f t="shared" si="414"/>
        <v>1.7121109356187856E-2</v>
      </c>
      <c r="N397">
        <f t="shared" ref="N397:O397" si="458">AVERAGE(G395:G397)</f>
        <v>0.52007486705887607</v>
      </c>
      <c r="O397">
        <f t="shared" si="458"/>
        <v>0.54143736706418399</v>
      </c>
      <c r="P397">
        <f t="shared" si="421"/>
        <v>7.4927719218973135E-2</v>
      </c>
      <c r="Q397">
        <f t="shared" si="422"/>
        <v>3.6931946515421234E-2</v>
      </c>
      <c r="R397">
        <f t="shared" si="423"/>
        <v>1.6456539558141151E-2</v>
      </c>
    </row>
    <row r="398" spans="1:18" x14ac:dyDescent="0.25">
      <c r="A398" s="18">
        <f t="shared" si="416"/>
        <v>29556</v>
      </c>
      <c r="B398">
        <f>'2-state flows'!B397</f>
        <v>107352</v>
      </c>
      <c r="C398">
        <f>'2-state flows'!C397</f>
        <v>7718</v>
      </c>
      <c r="D398">
        <f>'Composite HWI'!B361*48.35347462</f>
        <v>3916.63144422</v>
      </c>
      <c r="E398">
        <f t="shared" si="411"/>
        <v>7.1894328936582458E-2</v>
      </c>
      <c r="F398">
        <f t="shared" si="412"/>
        <v>3.6484010025150906E-2</v>
      </c>
      <c r="G398">
        <f>'2-state flows'!G397</f>
        <v>0.4847792654835546</v>
      </c>
      <c r="H398">
        <f t="shared" si="413"/>
        <v>0.54938605615507652</v>
      </c>
      <c r="I398">
        <f>'2-state flows'!H397</f>
        <v>4.2110635830150143E-2</v>
      </c>
      <c r="J398">
        <f t="shared" si="417"/>
        <v>4.1339816732812645E-2</v>
      </c>
      <c r="K398">
        <v>0.5</v>
      </c>
      <c r="L398">
        <f t="shared" si="419"/>
        <v>0.87359914235148106</v>
      </c>
      <c r="M398">
        <f t="shared" si="414"/>
        <v>1.5230118396065384E-2</v>
      </c>
      <c r="N398">
        <f t="shared" ref="N398:O398" si="459">AVERAGE(G396:G398)</f>
        <v>0.51411058511906627</v>
      </c>
      <c r="O398">
        <f t="shared" si="459"/>
        <v>0.54492958473256159</v>
      </c>
      <c r="P398">
        <f t="shared" si="421"/>
        <v>7.3927821432055577E-2</v>
      </c>
      <c r="Q398">
        <f t="shared" si="422"/>
        <v>3.6903103964528942E-2</v>
      </c>
      <c r="R398">
        <f t="shared" si="423"/>
        <v>1.6311732783334379E-2</v>
      </c>
    </row>
    <row r="399" spans="1:18" x14ac:dyDescent="0.25">
      <c r="A399" s="18">
        <f t="shared" si="416"/>
        <v>29587</v>
      </c>
      <c r="B399">
        <f>'2-state flows'!B398</f>
        <v>108026</v>
      </c>
      <c r="C399">
        <f>'2-state flows'!C398</f>
        <v>8071</v>
      </c>
      <c r="D399">
        <f>'Composite HWI'!B362*48.35347462</f>
        <v>3868.2779695999998</v>
      </c>
      <c r="E399">
        <f t="shared" si="411"/>
        <v>7.4713494899376079E-2</v>
      </c>
      <c r="F399">
        <f t="shared" si="412"/>
        <v>3.5808767978079352E-2</v>
      </c>
      <c r="G399">
        <f>'2-state flows'!G398</f>
        <v>0.52718973884918163</v>
      </c>
      <c r="H399">
        <f t="shared" si="413"/>
        <v>0.53391095258367638</v>
      </c>
      <c r="I399">
        <f>'2-state flows'!H398</f>
        <v>4.2306197247783117E-2</v>
      </c>
      <c r="J399">
        <f t="shared" si="417"/>
        <v>4.6332410336720137E-3</v>
      </c>
      <c r="K399">
        <v>0.5</v>
      </c>
      <c r="L399">
        <f t="shared" si="419"/>
        <v>0.8828656244188251</v>
      </c>
      <c r="M399">
        <f t="shared" si="414"/>
        <v>1.48103632391056E-2</v>
      </c>
      <c r="N399">
        <f t="shared" ref="N399:O399" si="460">AVERAGE(G397:G399)</f>
        <v>0.52122342973870861</v>
      </c>
      <c r="O399">
        <f t="shared" si="460"/>
        <v>0.54400902508303906</v>
      </c>
      <c r="P399">
        <f t="shared" si="421"/>
        <v>7.3731067462400171E-2</v>
      </c>
      <c r="Q399">
        <f t="shared" si="422"/>
        <v>3.6684024407294215E-2</v>
      </c>
      <c r="R399">
        <f t="shared" si="423"/>
        <v>1.572053033045295E-2</v>
      </c>
    </row>
    <row r="400" spans="1:18" x14ac:dyDescent="0.25">
      <c r="A400" s="18">
        <f t="shared" si="416"/>
        <v>29618</v>
      </c>
      <c r="B400">
        <f>'2-state flows'!B399</f>
        <v>108242</v>
      </c>
      <c r="C400">
        <f>'2-state flows'!C399</f>
        <v>8051</v>
      </c>
      <c r="D400">
        <f>'Composite HWI'!B363*48.35347462</f>
        <v>3916.63144422</v>
      </c>
      <c r="E400">
        <f t="shared" si="411"/>
        <v>7.4379630827220489E-2</v>
      </c>
      <c r="F400">
        <f t="shared" si="412"/>
        <v>3.6184026941667745E-2</v>
      </c>
      <c r="G400">
        <f>'2-state flows'!G399</f>
        <v>0.54806924243774369</v>
      </c>
      <c r="H400">
        <f t="shared" si="413"/>
        <v>0.53790441178027315</v>
      </c>
      <c r="I400">
        <f>'2-state flows'!H399</f>
        <v>4.3128733966547608E-2</v>
      </c>
      <c r="J400">
        <f t="shared" si="417"/>
        <v>1.9255873973907031E-2</v>
      </c>
      <c r="K400">
        <v>0.5</v>
      </c>
      <c r="L400">
        <f t="shared" si="419"/>
        <v>0.92137737236663919</v>
      </c>
      <c r="M400">
        <f t="shared" si="414"/>
        <v>1.4400175649401771E-2</v>
      </c>
      <c r="N400">
        <f t="shared" ref="N400:O400" si="461">AVERAGE(G398:G400)</f>
        <v>0.52001274892349336</v>
      </c>
      <c r="O400">
        <f t="shared" si="461"/>
        <v>0.54040047350634202</v>
      </c>
      <c r="P400">
        <f t="shared" si="421"/>
        <v>7.3662484887726351E-2</v>
      </c>
      <c r="Q400">
        <f t="shared" si="422"/>
        <v>3.6158934981632668E-2</v>
      </c>
      <c r="R400">
        <f t="shared" si="423"/>
        <v>1.4813552428190919E-2</v>
      </c>
    </row>
    <row r="401" spans="1:18" x14ac:dyDescent="0.25">
      <c r="A401" s="18">
        <f t="shared" si="416"/>
        <v>29646</v>
      </c>
      <c r="B401">
        <f>'2-state flows'!B400</f>
        <v>108553</v>
      </c>
      <c r="C401">
        <f>'2-state flows'!C400</f>
        <v>7982</v>
      </c>
      <c r="D401">
        <f>'Composite HWI'!B364*48.35347462</f>
        <v>3916.63144422</v>
      </c>
      <c r="E401">
        <f t="shared" si="411"/>
        <v>7.3530901955726702E-2</v>
      </c>
      <c r="F401">
        <f t="shared" si="412"/>
        <v>3.6080361152800937E-2</v>
      </c>
      <c r="G401">
        <f>'2-state flows'!G400</f>
        <v>0.53303656089107132</v>
      </c>
      <c r="H401">
        <f t="shared" si="413"/>
        <v>0.54022435281476266</v>
      </c>
      <c r="I401">
        <f>'2-state flows'!H400</f>
        <v>4.0828769889814258E-2</v>
      </c>
      <c r="J401">
        <f t="shared" si="417"/>
        <v>-5.4802479063984534E-2</v>
      </c>
      <c r="K401">
        <v>0.5</v>
      </c>
      <c r="L401">
        <f t="shared" si="419"/>
        <v>0.81177241423867008</v>
      </c>
      <c r="M401">
        <f t="shared" si="414"/>
        <v>1.602221650500283E-2</v>
      </c>
      <c r="N401">
        <f t="shared" ref="N401:O401" si="462">AVERAGE(G399:G401)</f>
        <v>0.53609851405933229</v>
      </c>
      <c r="O401">
        <f t="shared" si="462"/>
        <v>0.53734657239290406</v>
      </c>
      <c r="P401">
        <f t="shared" si="421"/>
        <v>7.4208009227441085E-2</v>
      </c>
      <c r="Q401">
        <f t="shared" si="422"/>
        <v>3.6024385357516009E-2</v>
      </c>
      <c r="R401">
        <f t="shared" si="423"/>
        <v>1.5077585131170067E-2</v>
      </c>
    </row>
    <row r="402" spans="1:18" x14ac:dyDescent="0.25">
      <c r="A402" s="18">
        <f t="shared" si="416"/>
        <v>29677</v>
      </c>
      <c r="B402">
        <f>'2-state flows'!B401</f>
        <v>108925</v>
      </c>
      <c r="C402">
        <f>'2-state flows'!C401</f>
        <v>7869</v>
      </c>
      <c r="D402">
        <f>'Composite HWI'!B365*48.35347462</f>
        <v>3916.63144422</v>
      </c>
      <c r="E402">
        <f t="shared" si="411"/>
        <v>7.2242368602249252E-2</v>
      </c>
      <c r="F402">
        <f t="shared" si="412"/>
        <v>3.5957139722010562E-2</v>
      </c>
      <c r="G402">
        <f>'2-state flows'!G401</f>
        <v>0.50163345244668101</v>
      </c>
      <c r="H402">
        <f t="shared" si="413"/>
        <v>0.54408937736504448</v>
      </c>
      <c r="I402">
        <f>'2-state flows'!H401</f>
        <v>4.2975261249700511E-2</v>
      </c>
      <c r="J402">
        <f t="shared" si="417"/>
        <v>5.1237653088394779E-2</v>
      </c>
      <c r="K402">
        <v>0.5</v>
      </c>
      <c r="L402">
        <f t="shared" si="419"/>
        <v>0.91424772041545965</v>
      </c>
      <c r="M402">
        <f t="shared" si="414"/>
        <v>1.4412270264916495E-2</v>
      </c>
      <c r="N402">
        <f t="shared" ref="N402:O402" si="463">AVERAGE(G400:G402)</f>
        <v>0.52757975192516537</v>
      </c>
      <c r="O402">
        <f t="shared" si="463"/>
        <v>0.54073938065336014</v>
      </c>
      <c r="P402">
        <f t="shared" si="421"/>
        <v>7.3384300461732152E-2</v>
      </c>
      <c r="Q402">
        <f t="shared" si="422"/>
        <v>3.6073842605493081E-2</v>
      </c>
      <c r="R402">
        <f t="shared" si="423"/>
        <v>1.4944887473107031E-2</v>
      </c>
    </row>
    <row r="403" spans="1:18" x14ac:dyDescent="0.25">
      <c r="A403" s="18">
        <f t="shared" si="416"/>
        <v>29707</v>
      </c>
      <c r="B403">
        <f>'2-state flows'!B402</f>
        <v>109222</v>
      </c>
      <c r="C403">
        <f>'2-state flows'!C402</f>
        <v>8174</v>
      </c>
      <c r="D403">
        <f>'Composite HWI'!B366*48.35347462</f>
        <v>3868.2779695999998</v>
      </c>
      <c r="E403">
        <f t="shared" si="411"/>
        <v>7.48384025196389E-2</v>
      </c>
      <c r="F403">
        <f t="shared" si="412"/>
        <v>3.5416655706725753E-2</v>
      </c>
      <c r="G403">
        <f>'2-state flows'!G402</f>
        <v>0.54113097326131965</v>
      </c>
      <c r="H403">
        <f t="shared" si="413"/>
        <v>0.53053640104991728</v>
      </c>
      <c r="I403">
        <f>'2-state flows'!H402</f>
        <v>4.2780349480298963E-2</v>
      </c>
      <c r="J403">
        <f t="shared" si="417"/>
        <v>-4.5457574933898317E-3</v>
      </c>
      <c r="K403">
        <v>0.5</v>
      </c>
      <c r="L403">
        <f t="shared" si="419"/>
        <v>0.90515620542868003</v>
      </c>
      <c r="M403">
        <f t="shared" si="414"/>
        <v>1.4325282801923864E-2</v>
      </c>
      <c r="N403">
        <f t="shared" ref="N403:O403" si="464">AVERAGE(G401:G403)</f>
        <v>0.52526699553302403</v>
      </c>
      <c r="O403">
        <f t="shared" si="464"/>
        <v>0.53828337707657481</v>
      </c>
      <c r="P403">
        <f t="shared" si="421"/>
        <v>7.3537224359204956E-2</v>
      </c>
      <c r="Q403">
        <f t="shared" si="422"/>
        <v>3.5818052193845755E-2</v>
      </c>
      <c r="R403">
        <f t="shared" si="423"/>
        <v>1.4919923190614396E-2</v>
      </c>
    </row>
    <row r="404" spans="1:18" x14ac:dyDescent="0.25">
      <c r="A404" s="18">
        <f t="shared" si="416"/>
        <v>29738</v>
      </c>
      <c r="B404">
        <f>'2-state flows'!B403</f>
        <v>108396</v>
      </c>
      <c r="C404">
        <f>'2-state flows'!C403</f>
        <v>8098</v>
      </c>
      <c r="D404">
        <f>'Composite HWI'!B367*48.35347462</f>
        <v>3868.2779695999998</v>
      </c>
      <c r="E404">
        <f t="shared" si="411"/>
        <v>7.4707553784272476E-2</v>
      </c>
      <c r="F404">
        <f t="shared" si="412"/>
        <v>3.5686537968190706E-2</v>
      </c>
      <c r="G404">
        <f>'2-state flows'!G403</f>
        <v>0.57517207202503373</v>
      </c>
      <c r="H404">
        <f t="shared" si="413"/>
        <v>0.53302013807660742</v>
      </c>
      <c r="I404">
        <f>'2-state flows'!H403</f>
        <v>4.3297272754755173E-2</v>
      </c>
      <c r="J404">
        <f t="shared" si="417"/>
        <v>1.2010775280338519E-2</v>
      </c>
      <c r="K404">
        <v>0.5</v>
      </c>
      <c r="L404">
        <f t="shared" si="419"/>
        <v>0.92917775598935703</v>
      </c>
      <c r="M404">
        <f t="shared" si="414"/>
        <v>1.4091838132834E-2</v>
      </c>
      <c r="N404">
        <f t="shared" ref="N404:O404" si="465">AVERAGE(G402:G404)</f>
        <v>0.5393121659110115</v>
      </c>
      <c r="O404">
        <f t="shared" si="465"/>
        <v>0.53588197216385636</v>
      </c>
      <c r="P404">
        <f t="shared" si="421"/>
        <v>7.3929441635386881E-2</v>
      </c>
      <c r="Q404">
        <f t="shared" si="422"/>
        <v>3.5686777798975673E-2</v>
      </c>
      <c r="R404">
        <f t="shared" si="423"/>
        <v>1.4276463733224784E-2</v>
      </c>
    </row>
    <row r="405" spans="1:18" x14ac:dyDescent="0.25">
      <c r="A405" s="18">
        <f t="shared" si="416"/>
        <v>29768</v>
      </c>
      <c r="B405">
        <f>'2-state flows'!B404</f>
        <v>108556</v>
      </c>
      <c r="C405">
        <f>'2-state flows'!C404</f>
        <v>7863</v>
      </c>
      <c r="D405">
        <f>'Composite HWI'!B368*48.35347462</f>
        <v>3868.2779695999998</v>
      </c>
      <c r="E405">
        <f t="shared" si="411"/>
        <v>7.2432661483473965E-2</v>
      </c>
      <c r="F405">
        <f t="shared" si="412"/>
        <v>3.5633939806182985E-2</v>
      </c>
      <c r="G405">
        <f>'2-state flows'!G404</f>
        <v>0.51120723033425453</v>
      </c>
      <c r="H405">
        <f t="shared" si="413"/>
        <v>0.5409266342378366</v>
      </c>
      <c r="I405">
        <f>'2-state flows'!H404</f>
        <v>4.2156660365286189E-2</v>
      </c>
      <c r="J405">
        <f t="shared" si="417"/>
        <v>-2.6696960397717778E-2</v>
      </c>
      <c r="K405">
        <v>0.5</v>
      </c>
      <c r="L405">
        <f t="shared" si="419"/>
        <v>0.87578383519392144</v>
      </c>
      <c r="M405">
        <f t="shared" si="414"/>
        <v>1.4842797248966687E-2</v>
      </c>
      <c r="N405">
        <f t="shared" ref="N405:O405" si="466">AVERAGE(G403:G405)</f>
        <v>0.54250342520686934</v>
      </c>
      <c r="O405">
        <f t="shared" si="466"/>
        <v>0.5348277244547871</v>
      </c>
      <c r="P405">
        <f t="shared" si="421"/>
        <v>7.3992872595795109E-2</v>
      </c>
      <c r="Q405">
        <f t="shared" si="422"/>
        <v>3.5579044493699814E-2</v>
      </c>
      <c r="R405">
        <f t="shared" si="423"/>
        <v>1.4419972727908183E-2</v>
      </c>
    </row>
    <row r="406" spans="1:18" x14ac:dyDescent="0.25">
      <c r="A406" s="18">
        <f t="shared" si="416"/>
        <v>29799</v>
      </c>
      <c r="B406">
        <f>'2-state flows'!B405</f>
        <v>108725</v>
      </c>
      <c r="C406">
        <f>'2-state flows'!C405</f>
        <v>8036</v>
      </c>
      <c r="D406">
        <f>'Composite HWI'!B369*48.35347462</f>
        <v>3819.92449498</v>
      </c>
      <c r="E406">
        <f t="shared" si="411"/>
        <v>7.391124396412968E-2</v>
      </c>
      <c r="F406">
        <f t="shared" si="412"/>
        <v>3.5133819222625894E-2</v>
      </c>
      <c r="G406">
        <f>'2-state flows'!G405</f>
        <v>0.52852742301107325</v>
      </c>
      <c r="H406">
        <f t="shared" si="413"/>
        <v>0.53171766851161051</v>
      </c>
      <c r="I406">
        <f>'2-state flows'!H405</f>
        <v>4.4713268562770497E-2</v>
      </c>
      <c r="J406">
        <f t="shared" si="417"/>
        <v>5.8877605680177691E-2</v>
      </c>
      <c r="K406">
        <v>0.5</v>
      </c>
      <c r="L406">
        <f t="shared" si="419"/>
        <v>0.99353904655427683</v>
      </c>
      <c r="M406">
        <f t="shared" si="414"/>
        <v>1.3008788020538266E-2</v>
      </c>
      <c r="N406">
        <f t="shared" ref="N406:O406" si="467">AVERAGE(G404:G406)</f>
        <v>0.53830224179012054</v>
      </c>
      <c r="O406">
        <f t="shared" si="467"/>
        <v>0.53522148027535155</v>
      </c>
      <c r="P406">
        <f t="shared" si="421"/>
        <v>7.3683819743958712E-2</v>
      </c>
      <c r="Q406">
        <f t="shared" si="422"/>
        <v>3.548476566566653E-2</v>
      </c>
      <c r="R406">
        <f t="shared" si="423"/>
        <v>1.3981141134112985E-2</v>
      </c>
    </row>
    <row r="407" spans="1:18" x14ac:dyDescent="0.25">
      <c r="A407" s="18">
        <f t="shared" si="416"/>
        <v>29830</v>
      </c>
      <c r="B407">
        <f>'2-state flows'!B406</f>
        <v>108294</v>
      </c>
      <c r="C407">
        <f>'2-state flows'!C406</f>
        <v>8230</v>
      </c>
      <c r="D407">
        <f>'Composite HWI'!B370*48.35347462</f>
        <v>3626.5105964999998</v>
      </c>
      <c r="E407">
        <f t="shared" si="411"/>
        <v>7.5996823462056995E-2</v>
      </c>
      <c r="F407">
        <f t="shared" si="412"/>
        <v>3.3487641018893011E-2</v>
      </c>
      <c r="G407">
        <f>'2-state flows'!G406</f>
        <v>0.50035010492555121</v>
      </c>
      <c r="H407">
        <f t="shared" si="413"/>
        <v>0.51193901000063613</v>
      </c>
      <c r="I407">
        <f>'2-state flows'!H406</f>
        <v>4.6549747993405721E-2</v>
      </c>
      <c r="J407">
        <f t="shared" si="417"/>
        <v>4.0251296604287404E-2</v>
      </c>
      <c r="K407">
        <v>0.5</v>
      </c>
      <c r="L407">
        <f t="shared" si="419"/>
        <v>1.0740416397628516</v>
      </c>
      <c r="M407">
        <f t="shared" si="414"/>
        <v>1.1440215305547093E-2</v>
      </c>
      <c r="N407">
        <f t="shared" ref="N407:O407" si="468">AVERAGE(G405:G407)</f>
        <v>0.51336158609029303</v>
      </c>
      <c r="O407">
        <f t="shared" si="468"/>
        <v>0.52819443758336115</v>
      </c>
      <c r="P407">
        <f t="shared" si="421"/>
        <v>7.4113576303220213E-2</v>
      </c>
      <c r="Q407">
        <f t="shared" si="422"/>
        <v>3.4751800015900634E-2</v>
      </c>
      <c r="R407">
        <f t="shared" si="423"/>
        <v>1.309726685835068E-2</v>
      </c>
    </row>
    <row r="408" spans="1:18" x14ac:dyDescent="0.25">
      <c r="A408" s="18">
        <f t="shared" si="416"/>
        <v>29860</v>
      </c>
      <c r="B408">
        <f>'2-state flows'!B407</f>
        <v>109024</v>
      </c>
      <c r="C408">
        <f>'2-state flows'!C407</f>
        <v>8646</v>
      </c>
      <c r="D408">
        <f>'Composite HWI'!B371*48.35347462</f>
        <v>3433.0966980200001</v>
      </c>
      <c r="E408">
        <f t="shared" si="411"/>
        <v>7.9303639565600229E-2</v>
      </c>
      <c r="F408">
        <f t="shared" si="412"/>
        <v>3.1489366543329907E-2</v>
      </c>
      <c r="G408">
        <f>'2-state flows'!G407</f>
        <v>0.50517426220518435</v>
      </c>
      <c r="H408">
        <f t="shared" si="413"/>
        <v>0.48596956225087901</v>
      </c>
      <c r="I408">
        <f>'2-state flows'!H407</f>
        <v>4.8481696479627405E-2</v>
      </c>
      <c r="J408">
        <f t="shared" si="417"/>
        <v>4.0664744507531568E-2</v>
      </c>
      <c r="K408">
        <v>0.5</v>
      </c>
      <c r="L408">
        <f t="shared" si="419"/>
        <v>1.1553711287779147</v>
      </c>
      <c r="M408">
        <f t="shared" si="414"/>
        <v>9.9172809903454555E-3</v>
      </c>
      <c r="N408">
        <f t="shared" ref="N408:O408" si="469">AVERAGE(G406:G408)</f>
        <v>0.51135059671393623</v>
      </c>
      <c r="O408">
        <f t="shared" si="469"/>
        <v>0.5098754135877086</v>
      </c>
      <c r="P408">
        <f t="shared" si="421"/>
        <v>7.640390233059563E-2</v>
      </c>
      <c r="Q408">
        <f t="shared" si="422"/>
        <v>3.3370275594949601E-2</v>
      </c>
      <c r="R408">
        <f t="shared" si="423"/>
        <v>1.1455428105476936E-2</v>
      </c>
    </row>
    <row r="409" spans="1:18" x14ac:dyDescent="0.25">
      <c r="A409" s="18">
        <f t="shared" si="416"/>
        <v>29891</v>
      </c>
      <c r="B409">
        <f>'2-state flows'!B408</f>
        <v>109236</v>
      </c>
      <c r="C409">
        <f>'2-state flows'!C408</f>
        <v>9029</v>
      </c>
      <c r="D409">
        <f>'Composite HWI'!B372*48.35347462</f>
        <v>3384.7432233999998</v>
      </c>
      <c r="E409">
        <f t="shared" si="411"/>
        <v>8.2655900985023248E-2</v>
      </c>
      <c r="F409">
        <f t="shared" si="412"/>
        <v>3.0985602030466144E-2</v>
      </c>
      <c r="G409">
        <f>'2-state flows'!G408</f>
        <v>0.52934432650451402</v>
      </c>
      <c r="H409">
        <f t="shared" si="413"/>
        <v>0.47218991114795478</v>
      </c>
      <c r="I409">
        <f>'2-state flows'!H408</f>
        <v>5.0826079359964298E-2</v>
      </c>
      <c r="J409">
        <f t="shared" si="417"/>
        <v>4.7223261540668256E-2</v>
      </c>
      <c r="K409">
        <v>0.5</v>
      </c>
      <c r="L409">
        <f t="shared" si="419"/>
        <v>1.2498176518592512</v>
      </c>
      <c r="M409">
        <f t="shared" si="414"/>
        <v>8.879142562856655E-3</v>
      </c>
      <c r="N409">
        <f t="shared" ref="N409:O409" si="470">AVERAGE(G407:G409)</f>
        <v>0.51162289787841653</v>
      </c>
      <c r="O409">
        <f t="shared" si="470"/>
        <v>0.49003282779982332</v>
      </c>
      <c r="P409">
        <f t="shared" si="421"/>
        <v>7.9318788004226815E-2</v>
      </c>
      <c r="Q409">
        <f t="shared" si="422"/>
        <v>3.1987536530896352E-2</v>
      </c>
      <c r="R409">
        <f t="shared" si="423"/>
        <v>1.007887961958307E-2</v>
      </c>
    </row>
    <row r="410" spans="1:18" x14ac:dyDescent="0.25">
      <c r="A410" s="18">
        <f t="shared" si="416"/>
        <v>29921</v>
      </c>
      <c r="B410">
        <f>'2-state flows'!B409</f>
        <v>108912</v>
      </c>
      <c r="C410">
        <f>'2-state flows'!C409</f>
        <v>9267</v>
      </c>
      <c r="D410">
        <f>'Composite HWI'!B373*48.35347462</f>
        <v>3239.6827995399999</v>
      </c>
      <c r="E410">
        <f t="shared" si="411"/>
        <v>8.5087042750110184E-2</v>
      </c>
      <c r="F410">
        <f t="shared" si="412"/>
        <v>2.9745875565043337E-2</v>
      </c>
      <c r="G410">
        <f>'2-state flows'!G409</f>
        <v>0.52663279044277322</v>
      </c>
      <c r="H410">
        <f t="shared" si="413"/>
        <v>0.45599001202523021</v>
      </c>
      <c r="I410">
        <f>'2-state flows'!H409</f>
        <v>5.0694197192030971E-2</v>
      </c>
      <c r="J410">
        <f t="shared" si="417"/>
        <v>-2.5981458404216754E-3</v>
      </c>
      <c r="K410">
        <v>0.5</v>
      </c>
      <c r="L410">
        <f t="shared" si="419"/>
        <v>1.2446213601784077</v>
      </c>
      <c r="M410">
        <f t="shared" si="414"/>
        <v>8.5682981080776009E-3</v>
      </c>
      <c r="N410">
        <f t="shared" ref="N410:O410" si="471">AVERAGE(G408:G410)</f>
        <v>0.52038379305082383</v>
      </c>
      <c r="O410">
        <f t="shared" si="471"/>
        <v>0.47138316180802131</v>
      </c>
      <c r="P410">
        <f t="shared" si="421"/>
        <v>8.2348861100244544E-2</v>
      </c>
      <c r="Q410">
        <f t="shared" si="422"/>
        <v>3.0740281379613127E-2</v>
      </c>
      <c r="R410">
        <f t="shared" si="423"/>
        <v>9.1215738870932365E-3</v>
      </c>
    </row>
    <row r="411" spans="1:18" x14ac:dyDescent="0.25">
      <c r="A411" s="18">
        <f t="shared" si="416"/>
        <v>29952</v>
      </c>
      <c r="B411">
        <f>'2-state flows'!B410</f>
        <v>109089</v>
      </c>
      <c r="C411">
        <f>'2-state flows'!C410</f>
        <v>9397</v>
      </c>
      <c r="D411">
        <f>'Composite HWI'!B374*48.35347462</f>
        <v>3239.6827995399999</v>
      </c>
      <c r="E411">
        <f t="shared" si="411"/>
        <v>8.614067412846392E-2</v>
      </c>
      <c r="F411">
        <f t="shared" si="412"/>
        <v>2.969761203732732E-2</v>
      </c>
      <c r="G411">
        <f>'2-state flows'!G410</f>
        <v>0.4659467423825609</v>
      </c>
      <c r="H411">
        <f t="shared" si="413"/>
        <v>0.45282489813426202</v>
      </c>
      <c r="I411">
        <f>'2-state flows'!H410</f>
        <v>4.7871204186233751E-2</v>
      </c>
      <c r="J411">
        <f t="shared" si="417"/>
        <v>-5.7297291810423111E-2</v>
      </c>
      <c r="K411">
        <v>0.5</v>
      </c>
      <c r="L411">
        <f t="shared" si="419"/>
        <v>1.1300267765575616</v>
      </c>
      <c r="M411">
        <f t="shared" si="414"/>
        <v>9.5930594518348726E-3</v>
      </c>
      <c r="N411">
        <f t="shared" ref="N411:O411" si="472">AVERAGE(G409:G411)</f>
        <v>0.50730795310994947</v>
      </c>
      <c r="O411">
        <f t="shared" si="472"/>
        <v>0.46033494043581569</v>
      </c>
      <c r="P411">
        <f t="shared" si="421"/>
        <v>8.4627872621199127E-2</v>
      </c>
      <c r="Q411">
        <f t="shared" si="422"/>
        <v>3.0143029877612266E-2</v>
      </c>
      <c r="R411">
        <f t="shared" si="423"/>
        <v>9.0135000409230417E-3</v>
      </c>
    </row>
    <row r="412" spans="1:18" x14ac:dyDescent="0.25">
      <c r="A412" s="18">
        <f t="shared" si="416"/>
        <v>29983</v>
      </c>
      <c r="B412">
        <f>'2-state flows'!B411</f>
        <v>109467</v>
      </c>
      <c r="C412">
        <f>'2-state flows'!C411</f>
        <v>9705</v>
      </c>
      <c r="D412">
        <f>'Composite HWI'!B375*48.35347462</f>
        <v>3094.62237568</v>
      </c>
      <c r="E412">
        <f t="shared" si="411"/>
        <v>8.8656855490695824E-2</v>
      </c>
      <c r="F412">
        <f t="shared" si="412"/>
        <v>2.8269911258004696E-2</v>
      </c>
      <c r="G412">
        <f>'2-state flows'!G411</f>
        <v>0.48104842795001751</v>
      </c>
      <c r="H412">
        <f t="shared" si="413"/>
        <v>0.43549154463385581</v>
      </c>
      <c r="I412">
        <f>'2-state flows'!H411</f>
        <v>4.9251070653823718E-2</v>
      </c>
      <c r="J412">
        <f t="shared" si="417"/>
        <v>2.841694811545659E-2</v>
      </c>
      <c r="K412">
        <v>0.5</v>
      </c>
      <c r="L412">
        <f t="shared" si="419"/>
        <v>1.1868606727884747</v>
      </c>
      <c r="M412">
        <f t="shared" si="414"/>
        <v>8.6273497433437939E-3</v>
      </c>
      <c r="N412">
        <f t="shared" ref="N412:O412" si="473">AVERAGE(G410:G412)</f>
        <v>0.4912093202584506</v>
      </c>
      <c r="O412">
        <f t="shared" si="473"/>
        <v>0.44810215159778272</v>
      </c>
      <c r="P412">
        <f t="shared" si="421"/>
        <v>8.6628190789756643E-2</v>
      </c>
      <c r="Q412">
        <f t="shared" si="422"/>
        <v>2.9237799620125116E-2</v>
      </c>
      <c r="R412">
        <f t="shared" si="423"/>
        <v>8.9295691010854231E-3</v>
      </c>
    </row>
    <row r="413" spans="1:18" x14ac:dyDescent="0.25">
      <c r="A413" s="18">
        <f t="shared" si="416"/>
        <v>30011</v>
      </c>
      <c r="B413">
        <f>'2-state flows'!B412</f>
        <v>109567</v>
      </c>
      <c r="C413">
        <f>'2-state flows'!C412</f>
        <v>9895</v>
      </c>
      <c r="D413">
        <f>'Composite HWI'!B376*48.35347462</f>
        <v>2997.9154264399999</v>
      </c>
      <c r="E413">
        <f t="shared" si="411"/>
        <v>9.0310038606514736E-2</v>
      </c>
      <c r="F413">
        <f t="shared" si="412"/>
        <v>2.7361481344200352E-2</v>
      </c>
      <c r="G413">
        <f>'2-state flows'!G412</f>
        <v>0.45259167450973248</v>
      </c>
      <c r="H413">
        <f t="shared" si="413"/>
        <v>0.42449781156879163</v>
      </c>
      <c r="I413">
        <f>'2-state flows'!H412</f>
        <v>4.9384855890086052E-2</v>
      </c>
      <c r="J413">
        <f t="shared" si="417"/>
        <v>2.7127097192982427E-3</v>
      </c>
      <c r="K413">
        <v>0.5</v>
      </c>
      <c r="L413">
        <f t="shared" si="419"/>
        <v>1.1922860922270713</v>
      </c>
      <c r="M413">
        <f t="shared" si="414"/>
        <v>8.3049368713914301E-3</v>
      </c>
      <c r="N413">
        <f t="shared" ref="N413:O413" si="474">AVERAGE(G411:G413)</f>
        <v>0.46652894828077035</v>
      </c>
      <c r="O413">
        <f t="shared" si="474"/>
        <v>0.43760475144563649</v>
      </c>
      <c r="P413">
        <f t="shared" si="421"/>
        <v>8.836918940855816E-2</v>
      </c>
      <c r="Q413">
        <f t="shared" si="422"/>
        <v>2.844300154651079E-2</v>
      </c>
      <c r="R413">
        <f t="shared" si="423"/>
        <v>8.8417820221900322E-3</v>
      </c>
    </row>
    <row r="414" spans="1:18" x14ac:dyDescent="0.25">
      <c r="A414" s="18">
        <f t="shared" si="416"/>
        <v>30042</v>
      </c>
      <c r="B414">
        <f>'2-state flows'!B413</f>
        <v>109820</v>
      </c>
      <c r="C414">
        <f>'2-state flows'!C413</f>
        <v>10244</v>
      </c>
      <c r="D414">
        <f>'Composite HWI'!B377*48.35347462</f>
        <v>2901.2084771999998</v>
      </c>
      <c r="E414">
        <f t="shared" si="411"/>
        <v>9.3279912584228741E-2</v>
      </c>
      <c r="F414">
        <f t="shared" si="412"/>
        <v>2.6417851731924968E-2</v>
      </c>
      <c r="G414">
        <f>'2-state flows'!G413</f>
        <v>0.46261203752959767</v>
      </c>
      <c r="H414">
        <f t="shared" si="413"/>
        <v>0.410419843530543</v>
      </c>
      <c r="I414">
        <f>'2-state flows'!H413</f>
        <v>4.8759134188340623E-2</v>
      </c>
      <c r="J414">
        <f t="shared" si="417"/>
        <v>-1.2751268406404621E-2</v>
      </c>
      <c r="K414">
        <v>0.5</v>
      </c>
      <c r="L414">
        <f t="shared" si="419"/>
        <v>1.166783555414262</v>
      </c>
      <c r="M414">
        <f t="shared" si="414"/>
        <v>8.2256426569553513E-3</v>
      </c>
      <c r="N414">
        <f t="shared" ref="N414:O414" si="475">AVERAGE(G412:G414)</f>
        <v>0.46541737999644922</v>
      </c>
      <c r="O414">
        <f t="shared" si="475"/>
        <v>0.42346973324439685</v>
      </c>
      <c r="P414">
        <f t="shared" si="421"/>
        <v>9.0748935560479763E-2</v>
      </c>
      <c r="Q414">
        <f t="shared" si="422"/>
        <v>2.7349748111376675E-2</v>
      </c>
      <c r="R414">
        <f t="shared" si="423"/>
        <v>8.3859764238968584E-3</v>
      </c>
    </row>
    <row r="415" spans="1:18" x14ac:dyDescent="0.25">
      <c r="A415" s="18">
        <f t="shared" si="416"/>
        <v>30072</v>
      </c>
      <c r="B415">
        <f>'2-state flows'!B414</f>
        <v>110451</v>
      </c>
      <c r="C415">
        <f>'2-state flows'!C414</f>
        <v>10335</v>
      </c>
      <c r="D415">
        <f>'Composite HWI'!B378*48.35347462</f>
        <v>2852.85500258</v>
      </c>
      <c r="E415">
        <f t="shared" si="411"/>
        <v>9.3570904745090583E-2</v>
      </c>
      <c r="F415">
        <f t="shared" si="412"/>
        <v>2.5829145979484117E-2</v>
      </c>
      <c r="G415">
        <f>'2-state flows'!G414</f>
        <v>0.39938782128037192</v>
      </c>
      <c r="H415">
        <f t="shared" si="413"/>
        <v>0.4051895866718217</v>
      </c>
      <c r="I415">
        <f>'2-state flows'!H414</f>
        <v>4.3738877359280906E-2</v>
      </c>
      <c r="J415">
        <f t="shared" si="417"/>
        <v>-0.10865519916525354</v>
      </c>
      <c r="K415">
        <v>0.5</v>
      </c>
      <c r="L415">
        <f t="shared" si="419"/>
        <v>0.9494731570837549</v>
      </c>
      <c r="M415">
        <f t="shared" si="414"/>
        <v>9.9944544717974829E-3</v>
      </c>
      <c r="N415">
        <f t="shared" ref="N415:O415" si="476">AVERAGE(G413:G415)</f>
        <v>0.43819717777323403</v>
      </c>
      <c r="O415">
        <f t="shared" si="476"/>
        <v>0.41336908059038552</v>
      </c>
      <c r="P415">
        <f t="shared" si="421"/>
        <v>9.2386951978611354E-2</v>
      </c>
      <c r="Q415">
        <f t="shared" si="422"/>
        <v>2.6536159685203148E-2</v>
      </c>
      <c r="R415">
        <f t="shared" si="423"/>
        <v>8.8416780000480869E-3</v>
      </c>
    </row>
    <row r="416" spans="1:18" x14ac:dyDescent="0.25">
      <c r="A416" s="18">
        <f t="shared" si="416"/>
        <v>30103</v>
      </c>
      <c r="B416">
        <f>'2-state flows'!B415</f>
        <v>110081</v>
      </c>
      <c r="C416">
        <f>'2-state flows'!C415</f>
        <v>10538</v>
      </c>
      <c r="D416">
        <f>'Composite HWI'!B379*48.35347462</f>
        <v>2707.7945787200001</v>
      </c>
      <c r="E416">
        <f t="shared" si="411"/>
        <v>9.5729508271182123E-2</v>
      </c>
      <c r="F416">
        <f t="shared" si="412"/>
        <v>2.459820113116705E-2</v>
      </c>
      <c r="G416">
        <f>'2-state flows'!G415</f>
        <v>0.42057200215751589</v>
      </c>
      <c r="H416">
        <f t="shared" si="413"/>
        <v>0.39093308487088624</v>
      </c>
      <c r="I416">
        <f>'2-state flows'!H415</f>
        <v>4.8437346823351046E-2</v>
      </c>
      <c r="J416">
        <f t="shared" si="417"/>
        <v>0.1020337960585628</v>
      </c>
      <c r="K416">
        <v>0.5</v>
      </c>
      <c r="L416">
        <f t="shared" si="419"/>
        <v>1.1535407492008805</v>
      </c>
      <c r="M416">
        <f t="shared" si="414"/>
        <v>7.7611658888202201E-3</v>
      </c>
      <c r="N416">
        <f t="shared" ref="N416:O416" si="477">AVERAGE(G414:G416)</f>
        <v>0.42752395365582846</v>
      </c>
      <c r="O416">
        <f t="shared" si="477"/>
        <v>0.40218083835775031</v>
      </c>
      <c r="P416">
        <f t="shared" si="421"/>
        <v>9.4193441866833816E-2</v>
      </c>
      <c r="Q416">
        <f t="shared" si="422"/>
        <v>2.5615066280858714E-2</v>
      </c>
      <c r="R416">
        <f t="shared" si="423"/>
        <v>8.6604210058576839E-3</v>
      </c>
    </row>
    <row r="417" spans="1:18" x14ac:dyDescent="0.25">
      <c r="A417" s="18">
        <f t="shared" si="416"/>
        <v>30133</v>
      </c>
      <c r="B417">
        <f>'2-state flows'!B416</f>
        <v>110342</v>
      </c>
      <c r="C417">
        <f>'2-state flows'!C416</f>
        <v>10849</v>
      </c>
      <c r="D417">
        <f>'Composite HWI'!B380*48.35347462</f>
        <v>2562.7341548600002</v>
      </c>
      <c r="E417">
        <f t="shared" si="411"/>
        <v>9.8321581990538504E-2</v>
      </c>
      <c r="F417">
        <f t="shared" si="412"/>
        <v>2.3225373428612861E-2</v>
      </c>
      <c r="G417">
        <f>'2-state flows'!G416</f>
        <v>0.44016476345567329</v>
      </c>
      <c r="H417">
        <f t="shared" si="413"/>
        <v>0.37482676127037662</v>
      </c>
      <c r="I417">
        <f>'2-state flows'!H416</f>
        <v>4.8403391453451343E-2</v>
      </c>
      <c r="J417">
        <f t="shared" si="417"/>
        <v>-7.0126213193801609E-4</v>
      </c>
      <c r="K417">
        <v>0.5</v>
      </c>
      <c r="L417">
        <f t="shared" si="419"/>
        <v>1.1521382249370045</v>
      </c>
      <c r="M417">
        <f t="shared" si="414"/>
        <v>7.3382994877610333E-3</v>
      </c>
      <c r="N417">
        <f t="shared" ref="N417:O417" si="478">AVERAGE(G415:G417)</f>
        <v>0.42004152896452035</v>
      </c>
      <c r="O417">
        <f t="shared" si="478"/>
        <v>0.3903164776043615</v>
      </c>
      <c r="P417">
        <f t="shared" si="421"/>
        <v>9.5873998335603727E-2</v>
      </c>
      <c r="Q417">
        <f t="shared" si="422"/>
        <v>2.4550906846421344E-2</v>
      </c>
      <c r="R417">
        <f t="shared" si="423"/>
        <v>8.3646399494595788E-3</v>
      </c>
    </row>
    <row r="418" spans="1:18" x14ac:dyDescent="0.25">
      <c r="A418" s="18">
        <f t="shared" si="416"/>
        <v>30164</v>
      </c>
      <c r="B418">
        <f>'2-state flows'!B417</f>
        <v>110514</v>
      </c>
      <c r="C418">
        <f>'2-state flows'!C417</f>
        <v>10881</v>
      </c>
      <c r="D418">
        <f>'Composite HWI'!B381*48.35347462</f>
        <v>2514.3806802399999</v>
      </c>
      <c r="E418">
        <f t="shared" si="411"/>
        <v>9.845811390412075E-2</v>
      </c>
      <c r="F418">
        <f t="shared" si="412"/>
        <v>2.2751693724234034E-2</v>
      </c>
      <c r="G418">
        <f>'2-state flows'!G417</f>
        <v>0.40587875857941941</v>
      </c>
      <c r="H418">
        <f t="shared" si="413"/>
        <v>0.37072747807246148</v>
      </c>
      <c r="I418">
        <f>'2-state flows'!H417</f>
        <v>4.8522757478048982E-2</v>
      </c>
      <c r="J418">
        <f t="shared" si="417"/>
        <v>2.4630316226993965E-3</v>
      </c>
      <c r="K418">
        <v>0.5</v>
      </c>
      <c r="L418">
        <f t="shared" si="419"/>
        <v>1.1570642881824034</v>
      </c>
      <c r="M418">
        <f t="shared" si="414"/>
        <v>7.1533108384657365E-3</v>
      </c>
      <c r="N418">
        <f t="shared" ref="N418:O418" si="479">AVERAGE(G416:G418)</f>
        <v>0.42220517473086955</v>
      </c>
      <c r="O418">
        <f t="shared" si="479"/>
        <v>0.37882910807124143</v>
      </c>
      <c r="P418">
        <f t="shared" si="421"/>
        <v>9.7503068055280459E-2</v>
      </c>
      <c r="Q418">
        <f t="shared" si="422"/>
        <v>2.3525089428004648E-2</v>
      </c>
      <c r="R418">
        <f t="shared" si="423"/>
        <v>7.41759207168233E-3</v>
      </c>
    </row>
    <row r="419" spans="1:18" x14ac:dyDescent="0.25">
      <c r="A419" s="18">
        <f t="shared" si="416"/>
        <v>30195</v>
      </c>
      <c r="B419">
        <f>'2-state flows'!B418</f>
        <v>110721</v>
      </c>
      <c r="C419">
        <f>'2-state flows'!C418</f>
        <v>11217</v>
      </c>
      <c r="D419">
        <f>'Composite HWI'!B382*48.35347462</f>
        <v>2369.32025638</v>
      </c>
      <c r="E419">
        <f t="shared" si="411"/>
        <v>0.10130869482753949</v>
      </c>
      <c r="F419">
        <f t="shared" si="412"/>
        <v>2.1399014246439248E-2</v>
      </c>
      <c r="G419">
        <f>'2-state flows'!G418</f>
        <v>0.38194083051243316</v>
      </c>
      <c r="H419">
        <f t="shared" si="413"/>
        <v>0.35444364187997085</v>
      </c>
      <c r="I419">
        <f>'2-state flows'!H418</f>
        <v>4.691166647691996E-2</v>
      </c>
      <c r="J419">
        <f t="shared" si="417"/>
        <v>-3.3766517551028226E-2</v>
      </c>
      <c r="K419">
        <v>0.5</v>
      </c>
      <c r="L419">
        <f t="shared" si="419"/>
        <v>1.0895312530803469</v>
      </c>
      <c r="M419">
        <f t="shared" si="414"/>
        <v>7.198074823448984E-3</v>
      </c>
      <c r="N419">
        <f t="shared" ref="N419:O419" si="480">AVERAGE(G417:G419)</f>
        <v>0.40932811751584192</v>
      </c>
      <c r="O419">
        <f t="shared" si="480"/>
        <v>0.36666596040760296</v>
      </c>
      <c r="P419">
        <f t="shared" si="421"/>
        <v>9.9362796907399575E-2</v>
      </c>
      <c r="Q419">
        <f t="shared" si="422"/>
        <v>2.245869379976205E-2</v>
      </c>
      <c r="R419">
        <f t="shared" si="423"/>
        <v>7.2298950498919179E-3</v>
      </c>
    </row>
    <row r="420" spans="1:18" x14ac:dyDescent="0.25">
      <c r="A420" s="18">
        <f t="shared" si="416"/>
        <v>30225</v>
      </c>
      <c r="B420">
        <f>'2-state flows'!B419</f>
        <v>110744</v>
      </c>
      <c r="C420">
        <f>'2-state flows'!C419</f>
        <v>11529</v>
      </c>
      <c r="D420">
        <f>'Composite HWI'!B383*48.35347462</f>
        <v>2369.32025638</v>
      </c>
      <c r="E420">
        <f t="shared" si="411"/>
        <v>0.10410496279708156</v>
      </c>
      <c r="F420">
        <f t="shared" si="412"/>
        <v>2.1394569966589613E-2</v>
      </c>
      <c r="G420">
        <f>'2-state flows'!G419</f>
        <v>0.36993421404886667</v>
      </c>
      <c r="H420">
        <f t="shared" si="413"/>
        <v>0.34961473685129779</v>
      </c>
      <c r="I420">
        <f>'2-state flows'!H419</f>
        <v>4.8030865489791658E-2</v>
      </c>
      <c r="J420">
        <f t="shared" si="417"/>
        <v>2.3577438597670471E-2</v>
      </c>
      <c r="K420">
        <v>0.5</v>
      </c>
      <c r="L420">
        <f t="shared" si="419"/>
        <v>1.1366861302756879</v>
      </c>
      <c r="M420">
        <f t="shared" si="414"/>
        <v>6.8651028415992604E-3</v>
      </c>
      <c r="N420">
        <f t="shared" ref="N420:O420" si="481">AVERAGE(G418:G420)</f>
        <v>0.38591793438023975</v>
      </c>
      <c r="O420">
        <f t="shared" si="481"/>
        <v>0.35826195226791002</v>
      </c>
      <c r="P420">
        <f t="shared" si="421"/>
        <v>0.1012905905095806</v>
      </c>
      <c r="Q420">
        <f t="shared" si="422"/>
        <v>2.1848425979087632E-2</v>
      </c>
      <c r="R420">
        <f t="shared" si="423"/>
        <v>7.0721628345046597E-3</v>
      </c>
    </row>
    <row r="421" spans="1:18" x14ac:dyDescent="0.25">
      <c r="A421" s="18">
        <f t="shared" si="416"/>
        <v>30256</v>
      </c>
      <c r="B421">
        <f>'2-state flows'!B420</f>
        <v>111050</v>
      </c>
      <c r="C421">
        <f>'2-state flows'!C420</f>
        <v>11938</v>
      </c>
      <c r="D421">
        <f>'Composite HWI'!B384*48.35347462</f>
        <v>2417.6737309999999</v>
      </c>
      <c r="E421">
        <f t="shared" si="411"/>
        <v>0.1075011256190905</v>
      </c>
      <c r="F421">
        <f t="shared" si="412"/>
        <v>2.1771037649707337E-2</v>
      </c>
      <c r="G421">
        <f>'2-state flows'!G420</f>
        <v>0.38638214289763084</v>
      </c>
      <c r="H421">
        <f t="shared" si="413"/>
        <v>0.34706172822647924</v>
      </c>
      <c r="I421">
        <f>'2-state flows'!H420</f>
        <v>4.7945156151486749E-2</v>
      </c>
      <c r="J421">
        <f t="shared" si="417"/>
        <v>-1.7860578011801983E-3</v>
      </c>
      <c r="K421">
        <v>0.5</v>
      </c>
      <c r="L421">
        <f t="shared" si="419"/>
        <v>1.1331140146733274</v>
      </c>
      <c r="M421">
        <f t="shared" si="414"/>
        <v>7.0109031045535045E-3</v>
      </c>
      <c r="N421">
        <f t="shared" ref="N421:O421" si="482">AVERAGE(G419:G421)</f>
        <v>0.37941906248631024</v>
      </c>
      <c r="O421">
        <f t="shared" si="482"/>
        <v>0.35037336898591592</v>
      </c>
      <c r="P421">
        <f t="shared" si="421"/>
        <v>0.10430492774790386</v>
      </c>
      <c r="Q421">
        <f t="shared" si="422"/>
        <v>2.1521540620912067E-2</v>
      </c>
      <c r="R421">
        <f t="shared" si="423"/>
        <v>7.0246935898672499E-3</v>
      </c>
    </row>
    <row r="422" spans="1:18" x14ac:dyDescent="0.25">
      <c r="A422" s="18">
        <f t="shared" si="416"/>
        <v>30286</v>
      </c>
      <c r="B422">
        <f>'2-state flows'!B421</f>
        <v>111083</v>
      </c>
      <c r="C422">
        <f>'2-state flows'!C421</f>
        <v>12051</v>
      </c>
      <c r="D422">
        <f>'Composite HWI'!B385*48.35347462</f>
        <v>2466.0272056200001</v>
      </c>
      <c r="E422">
        <f t="shared" si="411"/>
        <v>0.10848644707110899</v>
      </c>
      <c r="F422">
        <f t="shared" si="412"/>
        <v>2.2199861415518128E-2</v>
      </c>
      <c r="G422">
        <f>'2-state flows'!G421</f>
        <v>0.42481974017546709</v>
      </c>
      <c r="H422">
        <f t="shared" si="413"/>
        <v>0.34886793532169663</v>
      </c>
      <c r="I422">
        <f>'2-state flows'!H421</f>
        <v>4.5152412983495586E-2</v>
      </c>
      <c r="J422">
        <f t="shared" si="417"/>
        <v>-6.0014055343476931E-2</v>
      </c>
      <c r="K422">
        <v>0.5</v>
      </c>
      <c r="L422">
        <f t="shared" si="419"/>
        <v>1.0130859039863735</v>
      </c>
      <c r="M422">
        <f t="shared" si="414"/>
        <v>8.0606979118396527E-3</v>
      </c>
      <c r="N422">
        <f t="shared" ref="N422:O422" si="483">AVERAGE(G420:G422)</f>
        <v>0.39371203237398822</v>
      </c>
      <c r="O422">
        <f t="shared" si="483"/>
        <v>0.34851480013315789</v>
      </c>
      <c r="P422">
        <f t="shared" si="421"/>
        <v>0.10669751182909369</v>
      </c>
      <c r="Q422">
        <f t="shared" si="422"/>
        <v>2.1788489677271695E-2</v>
      </c>
      <c r="R422">
        <f t="shared" si="423"/>
        <v>7.3122346193308053E-3</v>
      </c>
    </row>
    <row r="423" spans="1:18" x14ac:dyDescent="0.25">
      <c r="A423" s="18">
        <f t="shared" si="416"/>
        <v>30317</v>
      </c>
      <c r="B423">
        <f>'2-state flows'!B422</f>
        <v>110695</v>
      </c>
      <c r="C423">
        <f>'2-state flows'!C422</f>
        <v>11534</v>
      </c>
      <c r="D423">
        <f>'Composite HWI'!B386*48.35347462</f>
        <v>2514.3806802399999</v>
      </c>
      <c r="E423">
        <f t="shared" si="411"/>
        <v>0.10419621482451782</v>
      </c>
      <c r="F423">
        <f t="shared" si="412"/>
        <v>2.2714491894304169E-2</v>
      </c>
      <c r="G423">
        <f>'2-state flows'!G422</f>
        <v>0.38759214565939104</v>
      </c>
      <c r="H423">
        <f t="shared" si="413"/>
        <v>0.36008017288787308</v>
      </c>
      <c r="I423">
        <f>'2-state flows'!H422</f>
        <v>4.521978857065858E-2</v>
      </c>
      <c r="J423">
        <f t="shared" si="417"/>
        <v>1.4910691227447328E-3</v>
      </c>
      <c r="K423">
        <v>0.5</v>
      </c>
      <c r="L423">
        <f t="shared" si="419"/>
        <v>1.0160680422318631</v>
      </c>
      <c r="M423">
        <f t="shared" si="414"/>
        <v>8.2229998520750615E-3</v>
      </c>
      <c r="N423">
        <f t="shared" ref="N423:O423" si="484">AVERAGE(G421:G423)</f>
        <v>0.3995980095774963</v>
      </c>
      <c r="O423">
        <f t="shared" si="484"/>
        <v>0.35200327881201626</v>
      </c>
      <c r="P423">
        <f t="shared" si="421"/>
        <v>0.10672792917157244</v>
      </c>
      <c r="Q423">
        <f t="shared" si="422"/>
        <v>2.2228463653176544E-2</v>
      </c>
      <c r="R423">
        <f t="shared" si="423"/>
        <v>7.7648669561560732E-3</v>
      </c>
    </row>
    <row r="424" spans="1:18" x14ac:dyDescent="0.25">
      <c r="A424" s="18">
        <f t="shared" si="416"/>
        <v>30348</v>
      </c>
      <c r="B424">
        <f>'2-state flows'!B423</f>
        <v>110634</v>
      </c>
      <c r="C424">
        <f>'2-state flows'!C423</f>
        <v>11545</v>
      </c>
      <c r="D424">
        <f>'Composite HWI'!B387*48.35347462</f>
        <v>2514.3806802399999</v>
      </c>
      <c r="E424">
        <f t="shared" ref="E424:E487" si="485">C424/B424</f>
        <v>0.10435309217781152</v>
      </c>
      <c r="F424">
        <f t="shared" ref="F424:F487" si="486">D424/B424</f>
        <v>2.2727015928557224E-2</v>
      </c>
      <c r="G424">
        <f>'2-state flows'!G423</f>
        <v>0.37863047793196497</v>
      </c>
      <c r="H424">
        <f t="shared" ref="H424:H487" si="487">0.771211801*(F424/E424)^0.5</f>
        <v>0.35990859099843814</v>
      </c>
      <c r="I424">
        <f>'2-state flows'!H423</f>
        <v>4.2420741102154776E-2</v>
      </c>
      <c r="J424">
        <f t="shared" si="417"/>
        <v>-6.3897371699941974E-2</v>
      </c>
      <c r="K424">
        <v>0.5</v>
      </c>
      <c r="L424">
        <f t="shared" si="419"/>
        <v>0.88827329883197914</v>
      </c>
      <c r="M424">
        <f t="shared" ref="M424:M487" si="488">F424/EXP(L424)</f>
        <v>9.3491090222733459E-3</v>
      </c>
      <c r="N424">
        <f t="shared" ref="N424:O424" si="489">AVERAGE(G422:G424)</f>
        <v>0.3970141212556077</v>
      </c>
      <c r="O424">
        <f t="shared" si="489"/>
        <v>0.35628556640266923</v>
      </c>
      <c r="P424">
        <f t="shared" si="421"/>
        <v>0.1056785846911461</v>
      </c>
      <c r="Q424">
        <f t="shared" si="422"/>
        <v>2.254712307945984E-2</v>
      </c>
      <c r="R424">
        <f t="shared" si="423"/>
        <v>8.5442689287293528E-3</v>
      </c>
    </row>
    <row r="425" spans="1:18" x14ac:dyDescent="0.25">
      <c r="A425" s="18">
        <f t="shared" ref="A425:A488" si="490">DATE(YEAR(A424),MONTH(A424)+1,1)</f>
        <v>30376</v>
      </c>
      <c r="B425">
        <f>'2-state flows'!B424</f>
        <v>110587</v>
      </c>
      <c r="C425">
        <f>'2-state flows'!C424</f>
        <v>11408</v>
      </c>
      <c r="D425">
        <f>'Composite HWI'!B388*48.35347462</f>
        <v>2611.08762948</v>
      </c>
      <c r="E425">
        <f t="shared" si="485"/>
        <v>0.10315859911201136</v>
      </c>
      <c r="F425">
        <f t="shared" si="486"/>
        <v>2.3611162518921754E-2</v>
      </c>
      <c r="G425">
        <f>'2-state flows'!G424</f>
        <v>0.3893353755472061</v>
      </c>
      <c r="H425">
        <f t="shared" si="487"/>
        <v>0.36896029582978435</v>
      </c>
      <c r="I425">
        <f>'2-state flows'!H424</f>
        <v>4.3044364605851655E-2</v>
      </c>
      <c r="J425">
        <f t="shared" ref="J425:J488" si="491">LN(I425/I424)</f>
        <v>1.4593899273104618E-2</v>
      </c>
      <c r="K425">
        <v>0.5</v>
      </c>
      <c r="L425">
        <f t="shared" si="419"/>
        <v>0.91746109737818837</v>
      </c>
      <c r="M425">
        <f t="shared" si="488"/>
        <v>9.4334179973006391E-3</v>
      </c>
      <c r="N425">
        <f t="shared" ref="N425:O425" si="492">AVERAGE(G423:G425)</f>
        <v>0.385185999712854</v>
      </c>
      <c r="O425">
        <f t="shared" si="492"/>
        <v>0.36298301990536519</v>
      </c>
      <c r="P425">
        <f t="shared" si="421"/>
        <v>0.10390263537144691</v>
      </c>
      <c r="Q425">
        <f t="shared" si="422"/>
        <v>2.3017556780594386E-2</v>
      </c>
      <c r="R425">
        <f t="shared" si="423"/>
        <v>9.0018422905496828E-3</v>
      </c>
    </row>
    <row r="426" spans="1:18" x14ac:dyDescent="0.25">
      <c r="A426" s="18">
        <f t="shared" si="490"/>
        <v>30407</v>
      </c>
      <c r="B426">
        <f>'2-state flows'!B425</f>
        <v>110828</v>
      </c>
      <c r="C426">
        <f>'2-state flows'!C425</f>
        <v>11268</v>
      </c>
      <c r="D426">
        <f>'Composite HWI'!B389*48.35347462</f>
        <v>2659.4411040999998</v>
      </c>
      <c r="E426">
        <f t="shared" si="485"/>
        <v>0.10167105785541559</v>
      </c>
      <c r="F426">
        <f t="shared" si="486"/>
        <v>2.3996112030353338E-2</v>
      </c>
      <c r="G426">
        <f>'2-state flows'!G425</f>
        <v>0.39079685700798938</v>
      </c>
      <c r="H426">
        <f t="shared" si="487"/>
        <v>0.37466699384503793</v>
      </c>
      <c r="I426">
        <f>'2-state flows'!H425</f>
        <v>4.2818423769118735E-2</v>
      </c>
      <c r="J426">
        <f t="shared" si="491"/>
        <v>-5.2628469796896435E-3</v>
      </c>
      <c r="K426">
        <v>0.5</v>
      </c>
      <c r="L426">
        <f t="shared" ref="L426:L489" si="493">L425+J426/(1-K426)</f>
        <v>0.90693540341880907</v>
      </c>
      <c r="M426">
        <f t="shared" si="488"/>
        <v>9.6886627673160655E-3</v>
      </c>
      <c r="N426">
        <f t="shared" ref="N426:O426" si="494">AVERAGE(G424:G426)</f>
        <v>0.38625423682905352</v>
      </c>
      <c r="O426">
        <f t="shared" si="494"/>
        <v>0.36784529355775347</v>
      </c>
      <c r="P426">
        <f t="shared" ref="P426:P489" si="495">AVERAGE(E424:E426)</f>
        <v>0.10306091638174615</v>
      </c>
      <c r="Q426">
        <f t="shared" ref="Q426:Q489" si="496">AVERAGE(F424:F426)</f>
        <v>2.3444763492610775E-2</v>
      </c>
      <c r="R426">
        <f t="shared" ref="R426:R489" si="497">AVERAGE(M424:M426)</f>
        <v>9.4903965956300174E-3</v>
      </c>
    </row>
    <row r="427" spans="1:18" x14ac:dyDescent="0.25">
      <c r="A427" s="18">
        <f t="shared" si="490"/>
        <v>30437</v>
      </c>
      <c r="B427">
        <f>'2-state flows'!B426</f>
        <v>110796</v>
      </c>
      <c r="C427">
        <f>'2-state flows'!C426</f>
        <v>11154</v>
      </c>
      <c r="D427">
        <f>'Composite HWI'!B390*48.35347462</f>
        <v>2901.2084771999998</v>
      </c>
      <c r="E427">
        <f t="shared" si="485"/>
        <v>0.10067150438643994</v>
      </c>
      <c r="F427">
        <f t="shared" si="486"/>
        <v>2.6185137344308457E-2</v>
      </c>
      <c r="G427">
        <f>'2-state flows'!G426</f>
        <v>0.38892698777592039</v>
      </c>
      <c r="H427">
        <f t="shared" si="487"/>
        <v>0.39332161640821134</v>
      </c>
      <c r="I427">
        <f>'2-state flows'!H426</f>
        <v>4.4674677436562005E-2</v>
      </c>
      <c r="J427">
        <f t="shared" si="491"/>
        <v>4.2438368936068525E-2</v>
      </c>
      <c r="K427">
        <v>0.5</v>
      </c>
      <c r="L427">
        <f t="shared" si="493"/>
        <v>0.99181214129094608</v>
      </c>
      <c r="M427">
        <f t="shared" si="488"/>
        <v>9.7121709061096968E-3</v>
      </c>
      <c r="N427">
        <f t="shared" ref="N427:O427" si="498">AVERAGE(G425:G427)</f>
        <v>0.38968640677703864</v>
      </c>
      <c r="O427">
        <f t="shared" si="498"/>
        <v>0.3789829686943445</v>
      </c>
      <c r="P427">
        <f t="shared" si="495"/>
        <v>0.10183372045128897</v>
      </c>
      <c r="Q427">
        <f t="shared" si="496"/>
        <v>2.4597470631194513E-2</v>
      </c>
      <c r="R427">
        <f t="shared" si="497"/>
        <v>9.611417223575466E-3</v>
      </c>
    </row>
    <row r="428" spans="1:18" x14ac:dyDescent="0.25">
      <c r="A428" s="18">
        <f t="shared" si="490"/>
        <v>30468</v>
      </c>
      <c r="B428">
        <f>'2-state flows'!B427</f>
        <v>111879</v>
      </c>
      <c r="C428">
        <f>'2-state flows'!C427</f>
        <v>11246</v>
      </c>
      <c r="D428">
        <f>'Composite HWI'!B391*48.35347462</f>
        <v>2901.2084771999998</v>
      </c>
      <c r="E428">
        <f t="shared" si="485"/>
        <v>0.10051931104139293</v>
      </c>
      <c r="F428">
        <f t="shared" si="486"/>
        <v>2.5931662574745929E-2</v>
      </c>
      <c r="G428">
        <f>'2-state flows'!G427</f>
        <v>0.46146822299712953</v>
      </c>
      <c r="H428">
        <f t="shared" si="487"/>
        <v>0.39170949215451967</v>
      </c>
      <c r="I428">
        <f>'2-state flows'!H427</f>
        <v>4.2739241467213432E-2</v>
      </c>
      <c r="J428">
        <f t="shared" si="491"/>
        <v>-4.4289338671947079E-2</v>
      </c>
      <c r="K428">
        <v>0.5</v>
      </c>
      <c r="L428">
        <f t="shared" si="493"/>
        <v>0.90323346394705195</v>
      </c>
      <c r="M428">
        <f t="shared" si="488"/>
        <v>1.0508991786925508E-2</v>
      </c>
      <c r="N428">
        <f t="shared" ref="N428:O428" si="499">AVERAGE(G426:G428)</f>
        <v>0.41373068926034645</v>
      </c>
      <c r="O428">
        <f t="shared" si="499"/>
        <v>0.386566034135923</v>
      </c>
      <c r="P428">
        <f t="shared" si="495"/>
        <v>0.10095395776108283</v>
      </c>
      <c r="Q428">
        <f t="shared" si="496"/>
        <v>2.5370970649802576E-2</v>
      </c>
      <c r="R428">
        <f t="shared" si="497"/>
        <v>9.9699418201170901E-3</v>
      </c>
    </row>
    <row r="429" spans="1:18" x14ac:dyDescent="0.25">
      <c r="A429" s="18">
        <f t="shared" si="490"/>
        <v>30498</v>
      </c>
      <c r="B429">
        <f>'2-state flows'!B428</f>
        <v>111756</v>
      </c>
      <c r="C429">
        <f>'2-state flows'!C428</f>
        <v>10548</v>
      </c>
      <c r="D429">
        <f>'Composite HWI'!B392*48.35347462</f>
        <v>3094.62237568</v>
      </c>
      <c r="E429">
        <f t="shared" si="485"/>
        <v>9.4384194137227526E-2</v>
      </c>
      <c r="F429">
        <f t="shared" si="486"/>
        <v>2.7690883493324742E-2</v>
      </c>
      <c r="G429">
        <f>'2-state flows'!G428</f>
        <v>0.41131266096119218</v>
      </c>
      <c r="H429">
        <f t="shared" si="487"/>
        <v>0.41772689379481803</v>
      </c>
      <c r="I429">
        <f>'2-state flows'!H428</f>
        <v>4.3789841951109194E-2</v>
      </c>
      <c r="J429">
        <f t="shared" si="491"/>
        <v>2.4284369435572543E-2</v>
      </c>
      <c r="K429">
        <v>0.5</v>
      </c>
      <c r="L429">
        <f t="shared" si="493"/>
        <v>0.95180220281819705</v>
      </c>
      <c r="M429">
        <f t="shared" si="488"/>
        <v>1.0689917851975985E-2</v>
      </c>
      <c r="N429">
        <f t="shared" ref="N429:O429" si="500">AVERAGE(G427:G429)</f>
        <v>0.42056929057808068</v>
      </c>
      <c r="O429">
        <f t="shared" si="500"/>
        <v>0.40091933411918301</v>
      </c>
      <c r="P429">
        <f t="shared" si="495"/>
        <v>9.8525003188353458E-2</v>
      </c>
      <c r="Q429">
        <f t="shared" si="496"/>
        <v>2.6602561137459707E-2</v>
      </c>
      <c r="R429">
        <f t="shared" si="497"/>
        <v>1.030369351500373E-2</v>
      </c>
    </row>
    <row r="430" spans="1:18" x14ac:dyDescent="0.25">
      <c r="A430" s="18">
        <f t="shared" si="490"/>
        <v>30529</v>
      </c>
      <c r="B430">
        <f>'2-state flows'!B429</f>
        <v>112231</v>
      </c>
      <c r="C430">
        <f>'2-state flows'!C429</f>
        <v>10623</v>
      </c>
      <c r="D430">
        <f>'Composite HWI'!B393*48.35347462</f>
        <v>3142.9758502999998</v>
      </c>
      <c r="E430">
        <f t="shared" si="485"/>
        <v>9.4652992488706331E-2</v>
      </c>
      <c r="F430">
        <f t="shared" si="486"/>
        <v>2.8004525044773725E-2</v>
      </c>
      <c r="G430">
        <f>'2-state flows'!G429</f>
        <v>0.4890677549438347</v>
      </c>
      <c r="H430">
        <f t="shared" si="487"/>
        <v>0.41948901997009264</v>
      </c>
      <c r="I430">
        <f>'2-state flows'!H429</f>
        <v>4.6796323842629349E-2</v>
      </c>
      <c r="J430">
        <f t="shared" si="491"/>
        <v>6.6402777906591062E-2</v>
      </c>
      <c r="K430">
        <v>0.5</v>
      </c>
      <c r="L430">
        <f t="shared" si="493"/>
        <v>1.0846077586313791</v>
      </c>
      <c r="M430">
        <f t="shared" si="488"/>
        <v>9.4664914471933159E-3</v>
      </c>
      <c r="N430">
        <f t="shared" ref="N430:O430" si="501">AVERAGE(G428:G430)</f>
        <v>0.45394954630071882</v>
      </c>
      <c r="O430">
        <f t="shared" si="501"/>
        <v>0.40964180197314343</v>
      </c>
      <c r="P430">
        <f t="shared" si="495"/>
        <v>9.6518832555775591E-2</v>
      </c>
      <c r="Q430">
        <f t="shared" si="496"/>
        <v>2.7209023704281465E-2</v>
      </c>
      <c r="R430">
        <f t="shared" si="497"/>
        <v>1.0221800362031602E-2</v>
      </c>
    </row>
    <row r="431" spans="1:18" x14ac:dyDescent="0.25">
      <c r="A431" s="18">
        <f t="shared" si="490"/>
        <v>30560</v>
      </c>
      <c r="B431">
        <f>'2-state flows'!B430</f>
        <v>112298</v>
      </c>
      <c r="C431">
        <f>'2-state flows'!C430</f>
        <v>10282</v>
      </c>
      <c r="D431">
        <f>'Composite HWI'!B394*48.35347462</f>
        <v>3239.6827995399999</v>
      </c>
      <c r="E431">
        <f t="shared" si="485"/>
        <v>9.1559956544194909E-2</v>
      </c>
      <c r="F431">
        <f t="shared" si="486"/>
        <v>2.8848980387362198E-2</v>
      </c>
      <c r="G431">
        <f>'2-state flows'!G430</f>
        <v>0.47472199866160514</v>
      </c>
      <c r="H431">
        <f t="shared" si="487"/>
        <v>0.4328985306787444</v>
      </c>
      <c r="I431">
        <f>'2-state flows'!H430</f>
        <v>4.2886254308572611E-2</v>
      </c>
      <c r="J431">
        <f t="shared" si="491"/>
        <v>-8.7253287263821561E-2</v>
      </c>
      <c r="K431">
        <v>0.5</v>
      </c>
      <c r="L431">
        <f t="shared" si="493"/>
        <v>0.91010118410373608</v>
      </c>
      <c r="M431">
        <f t="shared" si="488"/>
        <v>1.1611238512381182E-2</v>
      </c>
      <c r="N431">
        <f t="shared" ref="N431:O431" si="502">AVERAGE(G429:G431)</f>
        <v>0.45836747152221063</v>
      </c>
      <c r="O431">
        <f t="shared" si="502"/>
        <v>0.42337148148121839</v>
      </c>
      <c r="P431">
        <f t="shared" si="495"/>
        <v>9.3532381056709579E-2</v>
      </c>
      <c r="Q431">
        <f t="shared" si="496"/>
        <v>2.8181462975153556E-2</v>
      </c>
      <c r="R431">
        <f t="shared" si="497"/>
        <v>1.0589215937183495E-2</v>
      </c>
    </row>
    <row r="432" spans="1:18" x14ac:dyDescent="0.25">
      <c r="A432" s="18">
        <f t="shared" si="490"/>
        <v>30590</v>
      </c>
      <c r="B432">
        <f>'2-state flows'!B431</f>
        <v>111926</v>
      </c>
      <c r="C432">
        <f>'2-state flows'!C431</f>
        <v>9887</v>
      </c>
      <c r="D432">
        <f>'Composite HWI'!B395*48.35347462</f>
        <v>3481.4501726399999</v>
      </c>
      <c r="E432">
        <f t="shared" si="485"/>
        <v>8.8335150009827917E-2</v>
      </c>
      <c r="F432">
        <f t="shared" si="486"/>
        <v>3.110492801172203E-2</v>
      </c>
      <c r="G432">
        <f>'2-state flows'!G431</f>
        <v>0.47444353071165313</v>
      </c>
      <c r="H432">
        <f t="shared" si="487"/>
        <v>0.45763738077160615</v>
      </c>
      <c r="I432">
        <f>'2-state flows'!H431</f>
        <v>4.1104390101593842E-2</v>
      </c>
      <c r="J432">
        <f t="shared" si="491"/>
        <v>-4.2436431281572221E-2</v>
      </c>
      <c r="K432">
        <v>0.5</v>
      </c>
      <c r="L432">
        <f t="shared" si="493"/>
        <v>0.82522832154059167</v>
      </c>
      <c r="M432">
        <f t="shared" si="488"/>
        <v>1.3628155936031186E-2</v>
      </c>
      <c r="N432">
        <f t="shared" ref="N432:O432" si="503">AVERAGE(G430:G432)</f>
        <v>0.47941109477236427</v>
      </c>
      <c r="O432">
        <f t="shared" si="503"/>
        <v>0.43667497714014769</v>
      </c>
      <c r="P432">
        <f t="shared" si="495"/>
        <v>9.1516033014243048E-2</v>
      </c>
      <c r="Q432">
        <f t="shared" si="496"/>
        <v>2.9319477814619316E-2</v>
      </c>
      <c r="R432">
        <f t="shared" si="497"/>
        <v>1.1568628631868562E-2</v>
      </c>
    </row>
    <row r="433" spans="1:18" x14ac:dyDescent="0.25">
      <c r="A433" s="18">
        <f t="shared" si="490"/>
        <v>30621</v>
      </c>
      <c r="B433">
        <f>'2-state flows'!B432</f>
        <v>112228</v>
      </c>
      <c r="C433">
        <f>'2-state flows'!C432</f>
        <v>9499</v>
      </c>
      <c r="D433">
        <f>'Composite HWI'!B396*48.35347462</f>
        <v>3529.8036472600002</v>
      </c>
      <c r="E433">
        <f t="shared" si="485"/>
        <v>8.4640196742345936E-2</v>
      </c>
      <c r="F433">
        <f t="shared" si="486"/>
        <v>3.1452076551840895E-2</v>
      </c>
      <c r="G433">
        <f>'2-state flows'!G432</f>
        <v>0.48031027159641454</v>
      </c>
      <c r="H433">
        <f t="shared" si="487"/>
        <v>0.47012137359080602</v>
      </c>
      <c r="I433">
        <f>'2-state flows'!H432</f>
        <v>4.2312884723074082E-2</v>
      </c>
      <c r="J433">
        <f t="shared" si="491"/>
        <v>2.8976712130608984E-2</v>
      </c>
      <c r="K433">
        <v>0.5</v>
      </c>
      <c r="L433">
        <f t="shared" si="493"/>
        <v>0.88318174580180964</v>
      </c>
      <c r="M433">
        <f t="shared" si="488"/>
        <v>1.3004341487037958E-2</v>
      </c>
      <c r="N433">
        <f t="shared" ref="N433:O433" si="504">AVERAGE(G431:G433)</f>
        <v>0.47649193365655762</v>
      </c>
      <c r="O433">
        <f t="shared" si="504"/>
        <v>0.45355242834705223</v>
      </c>
      <c r="P433">
        <f t="shared" si="495"/>
        <v>8.8178434432122921E-2</v>
      </c>
      <c r="Q433">
        <f t="shared" si="496"/>
        <v>3.0468661650308371E-2</v>
      </c>
      <c r="R433">
        <f t="shared" si="497"/>
        <v>1.2747911978483442E-2</v>
      </c>
    </row>
    <row r="434" spans="1:18" x14ac:dyDescent="0.25">
      <c r="A434" s="18">
        <f t="shared" si="490"/>
        <v>30651</v>
      </c>
      <c r="B434">
        <f>'2-state flows'!B433</f>
        <v>112327</v>
      </c>
      <c r="C434">
        <f>'2-state flows'!C433</f>
        <v>9331</v>
      </c>
      <c r="D434">
        <f>'Composite HWI'!B397*48.35347462</f>
        <v>3674.8640711200001</v>
      </c>
      <c r="E434">
        <f t="shared" si="485"/>
        <v>8.3069965368967394E-2</v>
      </c>
      <c r="F434">
        <f t="shared" si="486"/>
        <v>3.2715767990954978E-2</v>
      </c>
      <c r="G434">
        <f>'2-state flows'!G433</f>
        <v>0.49305146939902234</v>
      </c>
      <c r="H434">
        <f t="shared" si="487"/>
        <v>0.4839831163070567</v>
      </c>
      <c r="I434">
        <f>'2-state flows'!H433</f>
        <v>4.0621433721511828E-2</v>
      </c>
      <c r="J434">
        <f t="shared" si="491"/>
        <v>-4.0795791572493328E-2</v>
      </c>
      <c r="K434">
        <v>0.5</v>
      </c>
      <c r="L434">
        <f t="shared" si="493"/>
        <v>0.80159016265682292</v>
      </c>
      <c r="M434">
        <f t="shared" si="488"/>
        <v>1.4676785100260742E-2</v>
      </c>
      <c r="N434">
        <f t="shared" ref="N434:O434" si="505">AVERAGE(G432:G434)</f>
        <v>0.48260175723569665</v>
      </c>
      <c r="O434">
        <f t="shared" si="505"/>
        <v>0.47058062355648961</v>
      </c>
      <c r="P434">
        <f t="shared" si="495"/>
        <v>8.534843737371374E-2</v>
      </c>
      <c r="Q434">
        <f t="shared" si="496"/>
        <v>3.1757590851505965E-2</v>
      </c>
      <c r="R434">
        <f t="shared" si="497"/>
        <v>1.376976084110996E-2</v>
      </c>
    </row>
    <row r="435" spans="1:18" x14ac:dyDescent="0.25">
      <c r="A435" s="18">
        <f t="shared" si="490"/>
        <v>30682</v>
      </c>
      <c r="B435">
        <f>'2-state flows'!B434</f>
        <v>112209</v>
      </c>
      <c r="C435">
        <f>'2-state flows'!C434</f>
        <v>9008</v>
      </c>
      <c r="D435">
        <f>'Composite HWI'!B398*48.35347462</f>
        <v>3771.5710203600001</v>
      </c>
      <c r="E435">
        <f t="shared" si="485"/>
        <v>8.0278765517917461E-2</v>
      </c>
      <c r="F435">
        <f t="shared" si="486"/>
        <v>3.3612018825227921E-2</v>
      </c>
      <c r="G435">
        <f>'2-state flows'!G434</f>
        <v>0.49993194912884564</v>
      </c>
      <c r="H435">
        <f t="shared" si="487"/>
        <v>0.49902306896513643</v>
      </c>
      <c r="I435">
        <f>'2-state flows'!H434</f>
        <v>4.0914730483940349E-2</v>
      </c>
      <c r="J435">
        <f t="shared" si="491"/>
        <v>7.1943052588762128E-3</v>
      </c>
      <c r="K435">
        <v>0.5</v>
      </c>
      <c r="L435">
        <f t="shared" si="493"/>
        <v>0.81597877317457534</v>
      </c>
      <c r="M435">
        <f t="shared" si="488"/>
        <v>1.4863446339605667E-2</v>
      </c>
      <c r="N435">
        <f t="shared" ref="N435:O435" si="506">AVERAGE(G433:G435)</f>
        <v>0.49109789670809417</v>
      </c>
      <c r="O435">
        <f t="shared" si="506"/>
        <v>0.48437585295433311</v>
      </c>
      <c r="P435">
        <f t="shared" si="495"/>
        <v>8.2662975876410263E-2</v>
      </c>
      <c r="Q435">
        <f t="shared" si="496"/>
        <v>3.2593287789341265E-2</v>
      </c>
      <c r="R435">
        <f t="shared" si="497"/>
        <v>1.4181524308968123E-2</v>
      </c>
    </row>
    <row r="436" spans="1:18" x14ac:dyDescent="0.25">
      <c r="A436" s="18">
        <f t="shared" si="490"/>
        <v>30713</v>
      </c>
      <c r="B436">
        <f>'2-state flows'!B435</f>
        <v>112615</v>
      </c>
      <c r="C436">
        <f>'2-state flows'!C435</f>
        <v>8791</v>
      </c>
      <c r="D436">
        <f>'Composite HWI'!B399*48.35347462</f>
        <v>3916.63144422</v>
      </c>
      <c r="E436">
        <f t="shared" si="485"/>
        <v>7.8062425076588379E-2</v>
      </c>
      <c r="F436">
        <f t="shared" si="486"/>
        <v>3.477894991093549E-2</v>
      </c>
      <c r="G436">
        <f>'2-state flows'!G435</f>
        <v>0.48529455220844336</v>
      </c>
      <c r="H436">
        <f t="shared" si="487"/>
        <v>0.51476721528916358</v>
      </c>
      <c r="I436">
        <f>'2-state flows'!H435</f>
        <v>4.0533606505857037E-2</v>
      </c>
      <c r="J436">
        <f t="shared" si="491"/>
        <v>-9.3587364438326836E-3</v>
      </c>
      <c r="K436">
        <v>0.5</v>
      </c>
      <c r="L436">
        <f t="shared" si="493"/>
        <v>0.79726130028691</v>
      </c>
      <c r="M436">
        <f t="shared" si="488"/>
        <v>1.5670046375284307E-2</v>
      </c>
      <c r="N436">
        <f t="shared" ref="N436:O436" si="507">AVERAGE(G434:G436)</f>
        <v>0.49275932357877045</v>
      </c>
      <c r="O436">
        <f t="shared" si="507"/>
        <v>0.49925780018711891</v>
      </c>
      <c r="P436">
        <f t="shared" si="495"/>
        <v>8.0470385321157745E-2</v>
      </c>
      <c r="Q436">
        <f t="shared" si="496"/>
        <v>3.3702245575706134E-2</v>
      </c>
      <c r="R436">
        <f t="shared" si="497"/>
        <v>1.5070092605050239E-2</v>
      </c>
    </row>
    <row r="437" spans="1:18" x14ac:dyDescent="0.25">
      <c r="A437" s="18">
        <f t="shared" si="490"/>
        <v>30742</v>
      </c>
      <c r="B437">
        <f>'2-state flows'!B436</f>
        <v>112713</v>
      </c>
      <c r="C437">
        <f>'2-state flows'!C436</f>
        <v>8746</v>
      </c>
      <c r="D437">
        <f>'Composite HWI'!B400*48.35347462</f>
        <v>3916.63144422</v>
      </c>
      <c r="E437">
        <f t="shared" si="485"/>
        <v>7.7595308438245816E-2</v>
      </c>
      <c r="F437">
        <f t="shared" si="486"/>
        <v>3.4748710833887843E-2</v>
      </c>
      <c r="G437">
        <f>'2-state flows'!G436</f>
        <v>0.48219749942050016</v>
      </c>
      <c r="H437">
        <f t="shared" si="487"/>
        <v>0.51608980873277266</v>
      </c>
      <c r="I437">
        <f>'2-state flows'!H436</f>
        <v>4.0761453091262473E-2</v>
      </c>
      <c r="J437">
        <f t="shared" si="491"/>
        <v>5.6054373569614183E-3</v>
      </c>
      <c r="K437">
        <v>0.5</v>
      </c>
      <c r="L437">
        <f t="shared" si="493"/>
        <v>0.80847217500083279</v>
      </c>
      <c r="M437">
        <f t="shared" si="488"/>
        <v>1.5481879848285501E-2</v>
      </c>
      <c r="N437">
        <f t="shared" ref="N437:O437" si="508">AVERAGE(G435:G437)</f>
        <v>0.48914133358592976</v>
      </c>
      <c r="O437">
        <f t="shared" si="508"/>
        <v>0.50996003099569087</v>
      </c>
      <c r="P437">
        <f t="shared" si="495"/>
        <v>7.8645499677583885E-2</v>
      </c>
      <c r="Q437">
        <f t="shared" si="496"/>
        <v>3.437989319001708E-2</v>
      </c>
      <c r="R437">
        <f t="shared" si="497"/>
        <v>1.5338457521058493E-2</v>
      </c>
    </row>
    <row r="438" spans="1:18" x14ac:dyDescent="0.25">
      <c r="A438" s="18">
        <f t="shared" si="490"/>
        <v>30773</v>
      </c>
      <c r="B438">
        <f>'2-state flows'!B437</f>
        <v>113098</v>
      </c>
      <c r="C438">
        <f>'2-state flows'!C437</f>
        <v>8762</v>
      </c>
      <c r="D438">
        <f>'Composite HWI'!B401*48.35347462</f>
        <v>4110.0453427000002</v>
      </c>
      <c r="E438">
        <f t="shared" si="485"/>
        <v>7.7472634352508438E-2</v>
      </c>
      <c r="F438">
        <f t="shared" si="486"/>
        <v>3.6340566081628327E-2</v>
      </c>
      <c r="G438">
        <f>'2-state flows'!G437</f>
        <v>0.50479499730786392</v>
      </c>
      <c r="H438">
        <f t="shared" si="487"/>
        <v>0.52819629263749257</v>
      </c>
      <c r="I438">
        <f>'2-state flows'!H437</f>
        <v>3.8590546327873489E-2</v>
      </c>
      <c r="J438">
        <f t="shared" si="491"/>
        <v>-5.4729524963072873E-2</v>
      </c>
      <c r="K438">
        <v>0.5</v>
      </c>
      <c r="L438">
        <f t="shared" si="493"/>
        <v>0.69901312507468705</v>
      </c>
      <c r="M438">
        <f t="shared" si="488"/>
        <v>1.8064009171723312E-2</v>
      </c>
      <c r="N438">
        <f t="shared" ref="N438:O438" si="509">AVERAGE(G436:G438)</f>
        <v>0.49076234964560256</v>
      </c>
      <c r="O438">
        <f t="shared" si="509"/>
        <v>0.5196844388864762</v>
      </c>
      <c r="P438">
        <f t="shared" si="495"/>
        <v>7.7710122622447544E-2</v>
      </c>
      <c r="Q438">
        <f t="shared" si="496"/>
        <v>3.5289408942150553E-2</v>
      </c>
      <c r="R438">
        <f t="shared" si="497"/>
        <v>1.6405311798431039E-2</v>
      </c>
    </row>
    <row r="439" spans="1:18" x14ac:dyDescent="0.25">
      <c r="A439" s="18">
        <f t="shared" si="490"/>
        <v>30803</v>
      </c>
      <c r="B439">
        <f>'2-state flows'!B438</f>
        <v>113649</v>
      </c>
      <c r="C439">
        <f>'2-state flows'!C438</f>
        <v>8456</v>
      </c>
      <c r="D439">
        <f>'Composite HWI'!B402*48.35347462</f>
        <v>4158.3988173199996</v>
      </c>
      <c r="E439">
        <f t="shared" si="485"/>
        <v>7.440452621668471E-2</v>
      </c>
      <c r="F439">
        <f t="shared" si="486"/>
        <v>3.65898408021188E-2</v>
      </c>
      <c r="G439">
        <f>'2-state flows'!G438</f>
        <v>0.53246295107080066</v>
      </c>
      <c r="H439">
        <f t="shared" si="487"/>
        <v>0.54082187393221071</v>
      </c>
      <c r="I439">
        <f>'2-state flows'!H438</f>
        <v>3.9930753989814646E-2</v>
      </c>
      <c r="J439">
        <f t="shared" si="491"/>
        <v>3.4139470998256163E-2</v>
      </c>
      <c r="K439">
        <v>0.5</v>
      </c>
      <c r="L439">
        <f t="shared" si="493"/>
        <v>0.76729206707119935</v>
      </c>
      <c r="M439">
        <f t="shared" si="488"/>
        <v>1.6987513277699255E-2</v>
      </c>
      <c r="N439">
        <f t="shared" ref="N439:O439" si="510">AVERAGE(G437:G439)</f>
        <v>0.50648514926638821</v>
      </c>
      <c r="O439">
        <f t="shared" si="510"/>
        <v>0.52836932510082535</v>
      </c>
      <c r="P439">
        <f t="shared" si="495"/>
        <v>7.6490823002479655E-2</v>
      </c>
      <c r="Q439">
        <f t="shared" si="496"/>
        <v>3.5893039239211659E-2</v>
      </c>
      <c r="R439">
        <f t="shared" si="497"/>
        <v>1.6844467432569354E-2</v>
      </c>
    </row>
    <row r="440" spans="1:18" x14ac:dyDescent="0.25">
      <c r="A440" s="18">
        <f t="shared" si="490"/>
        <v>30834</v>
      </c>
      <c r="B440">
        <f>'2-state flows'!B439</f>
        <v>113817</v>
      </c>
      <c r="C440">
        <f>'2-state flows'!C439</f>
        <v>8226</v>
      </c>
      <c r="D440">
        <f>'Composite HWI'!B403*48.35347462</f>
        <v>4206.7522919399999</v>
      </c>
      <c r="E440">
        <f t="shared" si="485"/>
        <v>7.2273913387279579E-2</v>
      </c>
      <c r="F440">
        <f t="shared" si="486"/>
        <v>3.6960667492026672E-2</v>
      </c>
      <c r="G440">
        <f>'2-state flows'!G439</f>
        <v>0.46927450052221947</v>
      </c>
      <c r="H440">
        <f t="shared" si="487"/>
        <v>0.55150922841355587</v>
      </c>
      <c r="I440">
        <f>'2-state flows'!H439</f>
        <v>4.0317781267435529E-2</v>
      </c>
      <c r="J440">
        <f t="shared" si="491"/>
        <v>9.645790472514371E-3</v>
      </c>
      <c r="K440">
        <v>0.5</v>
      </c>
      <c r="L440">
        <f t="shared" si="493"/>
        <v>0.78658364801622804</v>
      </c>
      <c r="M440">
        <f t="shared" si="488"/>
        <v>1.683181185107183E-2</v>
      </c>
      <c r="N440">
        <f t="shared" ref="N440:O440" si="511">AVERAGE(G438:G440)</f>
        <v>0.5021774829669613</v>
      </c>
      <c r="O440">
        <f t="shared" si="511"/>
        <v>0.54017579832775298</v>
      </c>
      <c r="P440">
        <f t="shared" si="495"/>
        <v>7.4717024652157571E-2</v>
      </c>
      <c r="Q440">
        <f t="shared" si="496"/>
        <v>3.6630358125257938E-2</v>
      </c>
      <c r="R440">
        <f t="shared" si="497"/>
        <v>1.7294444766831465E-2</v>
      </c>
    </row>
    <row r="441" spans="1:18" x14ac:dyDescent="0.25">
      <c r="A441" s="18">
        <f t="shared" si="490"/>
        <v>30864</v>
      </c>
      <c r="B441">
        <f>'2-state flows'!B440</f>
        <v>113972</v>
      </c>
      <c r="C441">
        <f>'2-state flows'!C440</f>
        <v>8537</v>
      </c>
      <c r="D441">
        <f>'Composite HWI'!B404*48.35347462</f>
        <v>4303.4592411800004</v>
      </c>
      <c r="E441">
        <f t="shared" si="485"/>
        <v>7.4904362474993852E-2</v>
      </c>
      <c r="F441">
        <f t="shared" si="486"/>
        <v>3.7758916586354545E-2</v>
      </c>
      <c r="G441">
        <f>'2-state flows'!G440</f>
        <v>0.54461812264587428</v>
      </c>
      <c r="H441">
        <f t="shared" si="487"/>
        <v>0.54755767755794715</v>
      </c>
      <c r="I441">
        <f>'2-state flows'!H440</f>
        <v>4.387150385040535E-2</v>
      </c>
      <c r="J441">
        <f t="shared" si="491"/>
        <v>8.4472400130204364E-2</v>
      </c>
      <c r="K441">
        <v>0.5</v>
      </c>
      <c r="L441">
        <f t="shared" si="493"/>
        <v>0.95552844827663674</v>
      </c>
      <c r="M441">
        <f t="shared" si="488"/>
        <v>1.4522413295209426E-2</v>
      </c>
      <c r="N441">
        <f t="shared" ref="N441:O441" si="512">AVERAGE(G439:G441)</f>
        <v>0.51545185807963145</v>
      </c>
      <c r="O441">
        <f t="shared" si="512"/>
        <v>0.54662959330123795</v>
      </c>
      <c r="P441">
        <f t="shared" si="495"/>
        <v>7.386093402631938E-2</v>
      </c>
      <c r="Q441">
        <f t="shared" si="496"/>
        <v>3.7103141626833341E-2</v>
      </c>
      <c r="R441">
        <f t="shared" si="497"/>
        <v>1.6113912807993503E-2</v>
      </c>
    </row>
    <row r="442" spans="1:18" x14ac:dyDescent="0.25">
      <c r="A442" s="18">
        <f t="shared" si="490"/>
        <v>30895</v>
      </c>
      <c r="B442">
        <f>'2-state flows'!B441</f>
        <v>113682</v>
      </c>
      <c r="C442">
        <f>'2-state flows'!C441</f>
        <v>8519</v>
      </c>
      <c r="D442">
        <f>'Composite HWI'!B405*48.35347462</f>
        <v>4158.3988173199996</v>
      </c>
      <c r="E442">
        <f t="shared" si="485"/>
        <v>7.4937105258528175E-2</v>
      </c>
      <c r="F442">
        <f t="shared" si="486"/>
        <v>3.6579219377913828E-2</v>
      </c>
      <c r="G442">
        <f>'2-state flows'!G441</f>
        <v>0.52449613429497532</v>
      </c>
      <c r="H442">
        <f t="shared" si="487"/>
        <v>0.53881841083470217</v>
      </c>
      <c r="I442">
        <f>'2-state flows'!H441</f>
        <v>4.0596142022746931E-2</v>
      </c>
      <c r="J442">
        <f t="shared" si="491"/>
        <v>-7.7591956267478793E-2</v>
      </c>
      <c r="K442">
        <v>0.5</v>
      </c>
      <c r="L442">
        <f t="shared" si="493"/>
        <v>0.80034453574167919</v>
      </c>
      <c r="M442">
        <f t="shared" si="488"/>
        <v>1.6430440901853641E-2</v>
      </c>
      <c r="N442">
        <f t="shared" ref="N442:O442" si="513">AVERAGE(G440:G442)</f>
        <v>0.51279625248768967</v>
      </c>
      <c r="O442">
        <f t="shared" si="513"/>
        <v>0.54596177226873499</v>
      </c>
      <c r="P442">
        <f t="shared" si="495"/>
        <v>7.403846037360054E-2</v>
      </c>
      <c r="Q442">
        <f t="shared" si="496"/>
        <v>3.7099601152098351E-2</v>
      </c>
      <c r="R442">
        <f t="shared" si="497"/>
        <v>1.5928222016044966E-2</v>
      </c>
    </row>
    <row r="443" spans="1:18" x14ac:dyDescent="0.25">
      <c r="A443" s="18">
        <f t="shared" si="490"/>
        <v>30926</v>
      </c>
      <c r="B443">
        <f>'2-state flows'!B442</f>
        <v>113857</v>
      </c>
      <c r="C443">
        <f>'2-state flows'!C442</f>
        <v>8367</v>
      </c>
      <c r="D443">
        <f>'Composite HWI'!B406*48.35347462</f>
        <v>4255.1057665600001</v>
      </c>
      <c r="E443">
        <f t="shared" si="485"/>
        <v>7.3486917800398746E-2</v>
      </c>
      <c r="F443">
        <f t="shared" si="486"/>
        <v>3.7372368554941728E-2</v>
      </c>
      <c r="G443">
        <f>'2-state flows'!G442</f>
        <v>0.52329296370046274</v>
      </c>
      <c r="H443">
        <f t="shared" si="487"/>
        <v>0.54997628329240233</v>
      </c>
      <c r="I443">
        <f>'2-state flows'!H442</f>
        <v>4.1678997591611658E-2</v>
      </c>
      <c r="J443">
        <f t="shared" si="491"/>
        <v>2.6324309028275292E-2</v>
      </c>
      <c r="K443">
        <v>0.5</v>
      </c>
      <c r="L443">
        <f t="shared" si="493"/>
        <v>0.85299315379822982</v>
      </c>
      <c r="M443">
        <f t="shared" si="488"/>
        <v>1.5925768677198339E-2</v>
      </c>
      <c r="N443">
        <f t="shared" ref="N443:O443" si="514">AVERAGE(G441:G443)</f>
        <v>0.53080240688043745</v>
      </c>
      <c r="O443">
        <f t="shared" si="514"/>
        <v>0.54545079056168388</v>
      </c>
      <c r="P443">
        <f t="shared" si="495"/>
        <v>7.4442795177973586E-2</v>
      </c>
      <c r="Q443">
        <f t="shared" si="496"/>
        <v>3.72368348397367E-2</v>
      </c>
      <c r="R443">
        <f t="shared" si="497"/>
        <v>1.5626207624753804E-2</v>
      </c>
    </row>
    <row r="444" spans="1:18" x14ac:dyDescent="0.25">
      <c r="A444" s="18">
        <f t="shared" si="490"/>
        <v>30956</v>
      </c>
      <c r="B444">
        <f>'2-state flows'!B443</f>
        <v>114019</v>
      </c>
      <c r="C444">
        <f>'2-state flows'!C443</f>
        <v>8381</v>
      </c>
      <c r="D444">
        <f>'Composite HWI'!B407*48.35347462</f>
        <v>4303.4592411800004</v>
      </c>
      <c r="E444">
        <f t="shared" si="485"/>
        <v>7.3505292977486203E-2</v>
      </c>
      <c r="F444">
        <f t="shared" si="486"/>
        <v>3.7743351907839923E-2</v>
      </c>
      <c r="G444">
        <f>'2-state flows'!G443</f>
        <v>0.55610210180249198</v>
      </c>
      <c r="H444">
        <f t="shared" si="487"/>
        <v>0.55263017291977967</v>
      </c>
      <c r="I444">
        <f>'2-state flows'!H443</f>
        <v>4.1817927725183973E-2</v>
      </c>
      <c r="J444">
        <f t="shared" si="491"/>
        <v>3.3277934787887208E-3</v>
      </c>
      <c r="K444">
        <v>0.5</v>
      </c>
      <c r="L444">
        <f t="shared" si="493"/>
        <v>0.85964874075580722</v>
      </c>
      <c r="M444">
        <f t="shared" si="488"/>
        <v>1.5977166528871968E-2</v>
      </c>
      <c r="N444">
        <f t="shared" ref="N444:O444" si="515">AVERAGE(G442:G444)</f>
        <v>0.53463039993264339</v>
      </c>
      <c r="O444">
        <f t="shared" si="515"/>
        <v>0.54714162234896146</v>
      </c>
      <c r="P444">
        <f t="shared" si="495"/>
        <v>7.3976438678804379E-2</v>
      </c>
      <c r="Q444">
        <f t="shared" si="496"/>
        <v>3.7231646613565157E-2</v>
      </c>
      <c r="R444">
        <f t="shared" si="497"/>
        <v>1.6111125369307984E-2</v>
      </c>
    </row>
    <row r="445" spans="1:18" x14ac:dyDescent="0.25">
      <c r="A445" s="18">
        <f t="shared" si="490"/>
        <v>30987</v>
      </c>
      <c r="B445">
        <f>'2-state flows'!B444</f>
        <v>114170</v>
      </c>
      <c r="C445">
        <f>'2-state flows'!C444</f>
        <v>8198</v>
      </c>
      <c r="D445">
        <f>'Composite HWI'!B408*48.35347462</f>
        <v>4255.1057665600001</v>
      </c>
      <c r="E445">
        <f t="shared" si="485"/>
        <v>7.1805202767802404E-2</v>
      </c>
      <c r="F445">
        <f t="shared" si="486"/>
        <v>3.7269911242533066E-2</v>
      </c>
      <c r="G445">
        <f>'2-state flows'!G444</f>
        <v>0.49705569551816026</v>
      </c>
      <c r="H445">
        <f t="shared" si="487"/>
        <v>0.55561618638928412</v>
      </c>
      <c r="I445">
        <f>'2-state flows'!H444</f>
        <v>4.0403997745484282E-2</v>
      </c>
      <c r="J445">
        <f t="shared" si="491"/>
        <v>-3.4396406361788992E-2</v>
      </c>
      <c r="K445">
        <v>0.5</v>
      </c>
      <c r="L445">
        <f t="shared" si="493"/>
        <v>0.79085592803222926</v>
      </c>
      <c r="M445">
        <f t="shared" si="488"/>
        <v>1.6900283619108114E-2</v>
      </c>
      <c r="N445">
        <f t="shared" ref="N445:O445" si="516">AVERAGE(G443:G445)</f>
        <v>0.52548358700703834</v>
      </c>
      <c r="O445">
        <f t="shared" si="516"/>
        <v>0.55274088086715534</v>
      </c>
      <c r="P445">
        <f t="shared" si="495"/>
        <v>7.2932471181895775E-2</v>
      </c>
      <c r="Q445">
        <f t="shared" si="496"/>
        <v>3.7461877235104905E-2</v>
      </c>
      <c r="R445">
        <f t="shared" si="497"/>
        <v>1.6267739608392808E-2</v>
      </c>
    </row>
    <row r="446" spans="1:18" x14ac:dyDescent="0.25">
      <c r="A446" s="18">
        <f t="shared" si="490"/>
        <v>31017</v>
      </c>
      <c r="B446">
        <f>'2-state flows'!B445</f>
        <v>114581</v>
      </c>
      <c r="C446">
        <f>'2-state flows'!C445</f>
        <v>8358</v>
      </c>
      <c r="D446">
        <f>'Composite HWI'!B409*48.35347462</f>
        <v>4400.16619042</v>
      </c>
      <c r="E446">
        <f t="shared" si="485"/>
        <v>7.2944030860264797E-2</v>
      </c>
      <c r="F446">
        <f t="shared" si="486"/>
        <v>3.8402232398216107E-2</v>
      </c>
      <c r="G446">
        <f>'2-state flows'!G445</f>
        <v>0.56381218519718823</v>
      </c>
      <c r="H446">
        <f t="shared" si="487"/>
        <v>0.55957335017821008</v>
      </c>
      <c r="I446">
        <f>'2-state flows'!H445</f>
        <v>4.5179773393672934E-2</v>
      </c>
      <c r="J446">
        <f t="shared" si="491"/>
        <v>0.11172076122604005</v>
      </c>
      <c r="K446">
        <v>0.5</v>
      </c>
      <c r="L446">
        <f t="shared" si="493"/>
        <v>1.0142974504843094</v>
      </c>
      <c r="M446">
        <f t="shared" si="488"/>
        <v>1.3926843192873954E-2</v>
      </c>
      <c r="N446">
        <f t="shared" ref="N446:O446" si="517">AVERAGE(G444:G446)</f>
        <v>0.53898999417261351</v>
      </c>
      <c r="O446">
        <f t="shared" si="517"/>
        <v>0.55593990316242459</v>
      </c>
      <c r="P446">
        <f t="shared" si="495"/>
        <v>7.2751508868517792E-2</v>
      </c>
      <c r="Q446">
        <f t="shared" si="496"/>
        <v>3.7805165182863032E-2</v>
      </c>
      <c r="R446">
        <f t="shared" si="497"/>
        <v>1.5601431113618012E-2</v>
      </c>
    </row>
    <row r="447" spans="1:18" x14ac:dyDescent="0.25">
      <c r="A447" s="18">
        <f t="shared" si="490"/>
        <v>31048</v>
      </c>
      <c r="B447">
        <f>'2-state flows'!B446</f>
        <v>114725</v>
      </c>
      <c r="C447">
        <f>'2-state flows'!C446</f>
        <v>8423</v>
      </c>
      <c r="D447">
        <f>'Composite HWI'!B410*48.35347462</f>
        <v>4303.4592411800004</v>
      </c>
      <c r="E447">
        <f t="shared" si="485"/>
        <v>7.3419045543691441E-2</v>
      </c>
      <c r="F447">
        <f t="shared" si="486"/>
        <v>3.7511085126868605E-2</v>
      </c>
      <c r="G447">
        <f>'2-state flows'!G446</f>
        <v>0.55198735438383473</v>
      </c>
      <c r="H447">
        <f t="shared" si="487"/>
        <v>0.55125064819665393</v>
      </c>
      <c r="I447">
        <f>'2-state flows'!H446</f>
        <v>4.2464735404526846E-2</v>
      </c>
      <c r="J447">
        <f t="shared" si="491"/>
        <v>-6.1975519088270141E-2</v>
      </c>
      <c r="K447">
        <v>0.5</v>
      </c>
      <c r="L447">
        <f t="shared" si="493"/>
        <v>0.89034641230776912</v>
      </c>
      <c r="M447">
        <f t="shared" si="488"/>
        <v>1.5398807638793885E-2</v>
      </c>
      <c r="N447">
        <f t="shared" ref="N447:O447" si="518">AVERAGE(G445:G447)</f>
        <v>0.53761841169972768</v>
      </c>
      <c r="O447">
        <f t="shared" si="518"/>
        <v>0.55548006158804941</v>
      </c>
      <c r="P447">
        <f t="shared" si="495"/>
        <v>7.2722759723919547E-2</v>
      </c>
      <c r="Q447">
        <f t="shared" si="496"/>
        <v>3.7727742922539255E-2</v>
      </c>
      <c r="R447">
        <f t="shared" si="497"/>
        <v>1.5408644816925318E-2</v>
      </c>
    </row>
    <row r="448" spans="1:18" x14ac:dyDescent="0.25">
      <c r="A448" s="18">
        <f t="shared" si="490"/>
        <v>31079</v>
      </c>
      <c r="B448">
        <f>'2-state flows'!B447</f>
        <v>114876</v>
      </c>
      <c r="C448">
        <f>'2-state flows'!C447</f>
        <v>8321</v>
      </c>
      <c r="D448">
        <f>'Composite HWI'!B411*48.35347462</f>
        <v>4351.8127157999998</v>
      </c>
      <c r="E448">
        <f t="shared" si="485"/>
        <v>7.2434625161043209E-2</v>
      </c>
      <c r="F448">
        <f t="shared" si="486"/>
        <v>3.7882697132560324E-2</v>
      </c>
      <c r="G448">
        <f>'2-state flows'!G447</f>
        <v>0.54600851185578392</v>
      </c>
      <c r="H448">
        <f t="shared" si="487"/>
        <v>0.55772614516404551</v>
      </c>
      <c r="I448">
        <f>'2-state flows'!H447</f>
        <v>4.2861938261993908E-2</v>
      </c>
      <c r="J448">
        <f t="shared" si="491"/>
        <v>9.3102358158292427E-3</v>
      </c>
      <c r="K448">
        <v>0.5</v>
      </c>
      <c r="L448">
        <f t="shared" si="493"/>
        <v>0.90896688393942759</v>
      </c>
      <c r="M448">
        <f t="shared" si="488"/>
        <v>1.5264465088326891E-2</v>
      </c>
      <c r="N448">
        <f t="shared" ref="N448:O448" si="519">AVERAGE(G446:G448)</f>
        <v>0.55393601714560237</v>
      </c>
      <c r="O448">
        <f t="shared" si="519"/>
        <v>0.5561833811796365</v>
      </c>
      <c r="P448">
        <f t="shared" si="495"/>
        <v>7.2932567188333144E-2</v>
      </c>
      <c r="Q448">
        <f t="shared" si="496"/>
        <v>3.7932004885881672E-2</v>
      </c>
      <c r="R448">
        <f t="shared" si="497"/>
        <v>1.4863371973331577E-2</v>
      </c>
    </row>
    <row r="449" spans="1:18" x14ac:dyDescent="0.25">
      <c r="A449" s="18">
        <f t="shared" si="490"/>
        <v>31107</v>
      </c>
      <c r="B449">
        <f>'2-state flows'!B448</f>
        <v>115328</v>
      </c>
      <c r="C449">
        <f>'2-state flows'!C448</f>
        <v>8339</v>
      </c>
      <c r="D449">
        <f>'Composite HWI'!B412*48.35347462</f>
        <v>4448.5196650400003</v>
      </c>
      <c r="E449">
        <f t="shared" si="485"/>
        <v>7.2306811875693669E-2</v>
      </c>
      <c r="F449">
        <f t="shared" si="486"/>
        <v>3.8572763466287463E-2</v>
      </c>
      <c r="G449">
        <f>'2-state flows'!G448</f>
        <v>0.53252475989482329</v>
      </c>
      <c r="H449">
        <f t="shared" si="487"/>
        <v>0.56328013698355706</v>
      </c>
      <c r="I449">
        <f>'2-state flows'!H448</f>
        <v>4.2194516204211038E-2</v>
      </c>
      <c r="J449">
        <f t="shared" si="491"/>
        <v>-1.5693947290702948E-2</v>
      </c>
      <c r="K449">
        <v>0.5</v>
      </c>
      <c r="L449">
        <f t="shared" si="493"/>
        <v>0.8775789893580217</v>
      </c>
      <c r="M449">
        <f t="shared" si="488"/>
        <v>1.6038104599961821E-2</v>
      </c>
      <c r="N449">
        <f t="shared" ref="N449:O449" si="520">AVERAGE(G447:G449)</f>
        <v>0.54350687537814735</v>
      </c>
      <c r="O449">
        <f t="shared" si="520"/>
        <v>0.55741897678141894</v>
      </c>
      <c r="P449">
        <f t="shared" si="495"/>
        <v>7.2720160860142768E-2</v>
      </c>
      <c r="Q449">
        <f t="shared" si="496"/>
        <v>3.79888485752388E-2</v>
      </c>
      <c r="R449">
        <f t="shared" si="497"/>
        <v>1.5567125775694199E-2</v>
      </c>
    </row>
    <row r="450" spans="1:18" x14ac:dyDescent="0.25">
      <c r="A450" s="18">
        <f t="shared" si="490"/>
        <v>31138</v>
      </c>
      <c r="B450">
        <f>'2-state flows'!B449</f>
        <v>115331</v>
      </c>
      <c r="C450">
        <f>'2-state flows'!C449</f>
        <v>8395</v>
      </c>
      <c r="D450">
        <f>'Composite HWI'!B413*48.35347462</f>
        <v>4400.16619042</v>
      </c>
      <c r="E450">
        <f t="shared" si="485"/>
        <v>7.2790489981011175E-2</v>
      </c>
      <c r="F450">
        <f t="shared" si="486"/>
        <v>3.8152501846164519E-2</v>
      </c>
      <c r="G450">
        <f>'2-state flows'!G449</f>
        <v>0.5592287276533956</v>
      </c>
      <c r="H450">
        <f t="shared" si="487"/>
        <v>0.558338860766039</v>
      </c>
      <c r="I450">
        <f>'2-state flows'!H449</f>
        <v>4.2744649524179675E-2</v>
      </c>
      <c r="J450">
        <f t="shared" si="491"/>
        <v>1.2953765390294312E-2</v>
      </c>
      <c r="K450">
        <v>0.5</v>
      </c>
      <c r="L450">
        <f t="shared" si="493"/>
        <v>0.90348652013861031</v>
      </c>
      <c r="M450">
        <f t="shared" si="488"/>
        <v>1.5457662183766124E-2</v>
      </c>
      <c r="N450">
        <f t="shared" ref="N450:O450" si="521">AVERAGE(G448:G450)</f>
        <v>0.54592066646800086</v>
      </c>
      <c r="O450">
        <f t="shared" si="521"/>
        <v>0.55978171430454715</v>
      </c>
      <c r="P450">
        <f t="shared" si="495"/>
        <v>7.2510642339249351E-2</v>
      </c>
      <c r="Q450">
        <f t="shared" si="496"/>
        <v>3.8202654148337435E-2</v>
      </c>
      <c r="R450">
        <f t="shared" si="497"/>
        <v>1.5586743957351613E-2</v>
      </c>
    </row>
    <row r="451" spans="1:18" x14ac:dyDescent="0.25">
      <c r="A451" s="18">
        <f t="shared" si="490"/>
        <v>31168</v>
      </c>
      <c r="B451">
        <f>'2-state flows'!B450</f>
        <v>115234</v>
      </c>
      <c r="C451">
        <f>'2-state flows'!C450</f>
        <v>8302</v>
      </c>
      <c r="D451">
        <f>'Composite HWI'!B414*48.35347462</f>
        <v>4448.5196650400003</v>
      </c>
      <c r="E451">
        <f t="shared" si="485"/>
        <v>7.2044709026849715E-2</v>
      </c>
      <c r="F451">
        <f t="shared" si="486"/>
        <v>3.8604228483260151E-2</v>
      </c>
      <c r="G451">
        <f>'2-state flows'!G450</f>
        <v>0.52278149766198279</v>
      </c>
      <c r="H451">
        <f t="shared" si="487"/>
        <v>0.56453394302085835</v>
      </c>
      <c r="I451">
        <f>'2-state flows'!H450</f>
        <v>4.2522129728061776E-2</v>
      </c>
      <c r="J451">
        <f t="shared" si="491"/>
        <v>-5.2193903235648953E-3</v>
      </c>
      <c r="K451">
        <v>0.5</v>
      </c>
      <c r="L451">
        <f t="shared" si="493"/>
        <v>0.89304773949148053</v>
      </c>
      <c r="M451">
        <f t="shared" si="488"/>
        <v>1.5804806097711736E-2</v>
      </c>
      <c r="N451">
        <f t="shared" ref="N451:O451" si="522">AVERAGE(G449:G451)</f>
        <v>0.53817832840340063</v>
      </c>
      <c r="O451">
        <f t="shared" si="522"/>
        <v>0.5620509802568181</v>
      </c>
      <c r="P451">
        <f t="shared" si="495"/>
        <v>7.2380670294518182E-2</v>
      </c>
      <c r="Q451">
        <f t="shared" si="496"/>
        <v>3.8443164598570716E-2</v>
      </c>
      <c r="R451">
        <f t="shared" si="497"/>
        <v>1.5766857627146563E-2</v>
      </c>
    </row>
    <row r="452" spans="1:18" x14ac:dyDescent="0.25">
      <c r="A452" s="18">
        <f t="shared" si="490"/>
        <v>31199</v>
      </c>
      <c r="B452">
        <f>'2-state flows'!B451</f>
        <v>114965</v>
      </c>
      <c r="C452">
        <f>'2-state flows'!C451</f>
        <v>8460</v>
      </c>
      <c r="D452">
        <f>'Composite HWI'!B415*48.35347462</f>
        <v>4448.5196650400003</v>
      </c>
      <c r="E452">
        <f t="shared" si="485"/>
        <v>7.3587613621536985E-2</v>
      </c>
      <c r="F452">
        <f t="shared" si="486"/>
        <v>3.8694556300091332E-2</v>
      </c>
      <c r="G452">
        <f>'2-state flows'!G451</f>
        <v>0.53434674000513316</v>
      </c>
      <c r="H452">
        <f t="shared" si="487"/>
        <v>0.55923744429228472</v>
      </c>
      <c r="I452">
        <f>'2-state flows'!H451</f>
        <v>4.3099763766975996E-2</v>
      </c>
      <c r="J452">
        <f t="shared" si="491"/>
        <v>1.3492876152798971E-2</v>
      </c>
      <c r="K452">
        <v>0.5</v>
      </c>
      <c r="L452">
        <f t="shared" si="493"/>
        <v>0.9200334917970785</v>
      </c>
      <c r="M452">
        <f t="shared" si="488"/>
        <v>1.5420001019709636E-2</v>
      </c>
      <c r="N452">
        <f t="shared" ref="N452:O452" si="523">AVERAGE(G450:G452)</f>
        <v>0.53878565510683718</v>
      </c>
      <c r="O452">
        <f t="shared" si="523"/>
        <v>0.56070341602639406</v>
      </c>
      <c r="P452">
        <f t="shared" si="495"/>
        <v>7.2807604209799301E-2</v>
      </c>
      <c r="Q452">
        <f t="shared" si="496"/>
        <v>3.8483762209838672E-2</v>
      </c>
      <c r="R452">
        <f t="shared" si="497"/>
        <v>1.5560823100395832E-2</v>
      </c>
    </row>
    <row r="453" spans="1:18" x14ac:dyDescent="0.25">
      <c r="A453" s="18">
        <f t="shared" si="490"/>
        <v>31229</v>
      </c>
      <c r="B453">
        <f>'2-state flows'!B452</f>
        <v>115320</v>
      </c>
      <c r="C453">
        <f>'2-state flows'!C452</f>
        <v>8513</v>
      </c>
      <c r="D453">
        <f>'Composite HWI'!B416*48.35347462</f>
        <v>4400.16619042</v>
      </c>
      <c r="E453">
        <f t="shared" si="485"/>
        <v>7.3820672910163018E-2</v>
      </c>
      <c r="F453">
        <f t="shared" si="486"/>
        <v>3.8156141089316684E-2</v>
      </c>
      <c r="G453">
        <f>'2-state flows'!G452</f>
        <v>0.58197718945177568</v>
      </c>
      <c r="H453">
        <f t="shared" si="487"/>
        <v>0.55445574736761027</v>
      </c>
      <c r="I453">
        <f>'2-state flows'!H452</f>
        <v>4.2395879185794072E-2</v>
      </c>
      <c r="J453">
        <f t="shared" si="491"/>
        <v>-1.6466347549577615E-2</v>
      </c>
      <c r="K453">
        <v>0.5</v>
      </c>
      <c r="L453">
        <f t="shared" si="493"/>
        <v>0.8871007966979233</v>
      </c>
      <c r="M453">
        <f t="shared" si="488"/>
        <v>1.5714532486103577E-2</v>
      </c>
      <c r="N453">
        <f t="shared" ref="N453:O453" si="524">AVERAGE(G451:G453)</f>
        <v>0.54636847570629721</v>
      </c>
      <c r="O453">
        <f t="shared" si="524"/>
        <v>0.55940904489358445</v>
      </c>
      <c r="P453">
        <f t="shared" si="495"/>
        <v>7.3150998519516577E-2</v>
      </c>
      <c r="Q453">
        <f t="shared" si="496"/>
        <v>3.8484975290889387E-2</v>
      </c>
      <c r="R453">
        <f t="shared" si="497"/>
        <v>1.5646446534508317E-2</v>
      </c>
    </row>
    <row r="454" spans="1:18" x14ac:dyDescent="0.25">
      <c r="A454" s="18">
        <f t="shared" si="490"/>
        <v>31260</v>
      </c>
      <c r="B454">
        <f>'2-state flows'!B453</f>
        <v>115291</v>
      </c>
      <c r="C454">
        <f>'2-state flows'!C453</f>
        <v>8196</v>
      </c>
      <c r="D454">
        <f>'Composite HWI'!B417*48.35347462</f>
        <v>4448.5196650400003</v>
      </c>
      <c r="E454">
        <f t="shared" si="485"/>
        <v>7.1089677424950773E-2</v>
      </c>
      <c r="F454">
        <f t="shared" si="486"/>
        <v>3.8585142509302547E-2</v>
      </c>
      <c r="G454">
        <f>'2-state flows'!G453</f>
        <v>0.54465986143865108</v>
      </c>
      <c r="H454">
        <f t="shared" si="487"/>
        <v>0.56817281304407263</v>
      </c>
      <c r="I454">
        <f>'2-state flows'!H453</f>
        <v>4.2324836551339472E-2</v>
      </c>
      <c r="J454">
        <f t="shared" si="491"/>
        <v>-1.6771022408890292E-3</v>
      </c>
      <c r="K454">
        <v>0.5</v>
      </c>
      <c r="L454">
        <f t="shared" si="493"/>
        <v>0.88374659221614527</v>
      </c>
      <c r="M454">
        <f t="shared" si="488"/>
        <v>1.5944607767561597E-2</v>
      </c>
      <c r="N454">
        <f t="shared" ref="N454:O454" si="525">AVERAGE(G452:G454)</f>
        <v>0.55366126363185331</v>
      </c>
      <c r="O454">
        <f t="shared" si="525"/>
        <v>0.56062200156798925</v>
      </c>
      <c r="P454">
        <f t="shared" si="495"/>
        <v>7.283265465221693E-2</v>
      </c>
      <c r="Q454">
        <f t="shared" si="496"/>
        <v>3.847861329957019E-2</v>
      </c>
      <c r="R454">
        <f t="shared" si="497"/>
        <v>1.5693047091124939E-2</v>
      </c>
    </row>
    <row r="455" spans="1:18" x14ac:dyDescent="0.25">
      <c r="A455" s="18">
        <f t="shared" si="490"/>
        <v>31291</v>
      </c>
      <c r="B455">
        <f>'2-state flows'!B454</f>
        <v>115905</v>
      </c>
      <c r="C455">
        <f>'2-state flows'!C454</f>
        <v>8248</v>
      </c>
      <c r="D455">
        <f>'Composite HWI'!B418*48.35347462</f>
        <v>4496.8731396599997</v>
      </c>
      <c r="E455">
        <f t="shared" si="485"/>
        <v>7.1161727276648976E-2</v>
      </c>
      <c r="F455">
        <f t="shared" si="486"/>
        <v>3.8797921915879378E-2</v>
      </c>
      <c r="G455">
        <f>'2-state flows'!G454</f>
        <v>0.52605579151164428</v>
      </c>
      <c r="H455">
        <f t="shared" si="487"/>
        <v>0.56944876880874273</v>
      </c>
      <c r="I455">
        <f>'2-state flows'!H454</f>
        <v>4.0911548781063407E-2</v>
      </c>
      <c r="J455">
        <f t="shared" si="491"/>
        <v>-3.3961676783505784E-2</v>
      </c>
      <c r="K455">
        <v>0.5</v>
      </c>
      <c r="L455">
        <f t="shared" si="493"/>
        <v>0.81582323864913375</v>
      </c>
      <c r="M455">
        <f t="shared" si="488"/>
        <v>1.7159354000225207E-2</v>
      </c>
      <c r="N455">
        <f t="shared" ref="N455:O455" si="526">AVERAGE(G453:G455)</f>
        <v>0.55089761413402361</v>
      </c>
      <c r="O455">
        <f t="shared" si="526"/>
        <v>0.56402577640680862</v>
      </c>
      <c r="P455">
        <f t="shared" si="495"/>
        <v>7.2024025870587594E-2</v>
      </c>
      <c r="Q455">
        <f t="shared" si="496"/>
        <v>3.8513068504832874E-2</v>
      </c>
      <c r="R455">
        <f t="shared" si="497"/>
        <v>1.627283141796346E-2</v>
      </c>
    </row>
    <row r="456" spans="1:18" x14ac:dyDescent="0.25">
      <c r="A456" s="18">
        <f t="shared" si="490"/>
        <v>31321</v>
      </c>
      <c r="B456">
        <f>'2-state flows'!B455</f>
        <v>116145</v>
      </c>
      <c r="C456">
        <f>'2-state flows'!C455</f>
        <v>8298</v>
      </c>
      <c r="D456">
        <f>'Composite HWI'!B419*48.35347462</f>
        <v>4448.5196650400003</v>
      </c>
      <c r="E456">
        <f t="shared" si="485"/>
        <v>7.1445176288260359E-2</v>
      </c>
      <c r="F456">
        <f t="shared" si="486"/>
        <v>3.8301430668905248E-2</v>
      </c>
      <c r="G456">
        <f>'2-state flows'!G455</f>
        <v>0.57592668761136911</v>
      </c>
      <c r="H456">
        <f t="shared" si="487"/>
        <v>0.56466999168966592</v>
      </c>
      <c r="I456">
        <f>'2-state flows'!H455</f>
        <v>4.2199785405792181E-2</v>
      </c>
      <c r="J456">
        <f t="shared" si="491"/>
        <v>3.1002746382166973E-2</v>
      </c>
      <c r="K456">
        <v>0.5</v>
      </c>
      <c r="L456">
        <f t="shared" si="493"/>
        <v>0.87782873141346773</v>
      </c>
      <c r="M456">
        <f t="shared" si="488"/>
        <v>1.5921310873951527E-2</v>
      </c>
      <c r="N456">
        <f t="shared" ref="N456:O456" si="527">AVERAGE(G454:G456)</f>
        <v>0.54888078018722153</v>
      </c>
      <c r="O456">
        <f t="shared" si="527"/>
        <v>0.56743052451416043</v>
      </c>
      <c r="P456">
        <f t="shared" si="495"/>
        <v>7.1232193663286703E-2</v>
      </c>
      <c r="Q456">
        <f t="shared" si="496"/>
        <v>3.8561498364695725E-2</v>
      </c>
      <c r="R456">
        <f t="shared" si="497"/>
        <v>1.6341757547246111E-2</v>
      </c>
    </row>
    <row r="457" spans="1:18" x14ac:dyDescent="0.25">
      <c r="A457" s="18">
        <f t="shared" si="490"/>
        <v>31352</v>
      </c>
      <c r="B457">
        <f>'2-state flows'!B456</f>
        <v>116135</v>
      </c>
      <c r="C457">
        <f>'2-state flows'!C456</f>
        <v>8128</v>
      </c>
      <c r="D457">
        <f>'Composite HWI'!B420*48.35347462</f>
        <v>4496.8731396599997</v>
      </c>
      <c r="E457">
        <f t="shared" si="485"/>
        <v>6.9987514530503295E-2</v>
      </c>
      <c r="F457">
        <f t="shared" si="486"/>
        <v>3.872108442467817E-2</v>
      </c>
      <c r="G457">
        <f>'2-state flows'!G456</f>
        <v>0.53822345877423483</v>
      </c>
      <c r="H457">
        <f t="shared" si="487"/>
        <v>0.57363697504673816</v>
      </c>
      <c r="I457">
        <f>'2-state flows'!H456</f>
        <v>4.0625627834939886E-2</v>
      </c>
      <c r="J457">
        <f t="shared" si="491"/>
        <v>-3.8016040929231318E-2</v>
      </c>
      <c r="K457">
        <v>0.5</v>
      </c>
      <c r="L457">
        <f t="shared" si="493"/>
        <v>0.80179664955500507</v>
      </c>
      <c r="M457">
        <f t="shared" si="488"/>
        <v>1.7367273802150928E-2</v>
      </c>
      <c r="N457">
        <f t="shared" ref="N457:O457" si="528">AVERAGE(G455:G457)</f>
        <v>0.54673531263241604</v>
      </c>
      <c r="O457">
        <f t="shared" si="528"/>
        <v>0.5692519118483822</v>
      </c>
      <c r="P457">
        <f t="shared" si="495"/>
        <v>7.0864806031804214E-2</v>
      </c>
      <c r="Q457">
        <f t="shared" si="496"/>
        <v>3.8606812336487599E-2</v>
      </c>
      <c r="R457">
        <f t="shared" si="497"/>
        <v>1.6815979558775885E-2</v>
      </c>
    </row>
    <row r="458" spans="1:18" x14ac:dyDescent="0.25">
      <c r="A458" s="18">
        <f t="shared" si="490"/>
        <v>31382</v>
      </c>
      <c r="B458">
        <f>'2-state flows'!B457</f>
        <v>116354</v>
      </c>
      <c r="C458">
        <f>'2-state flows'!C457</f>
        <v>8138</v>
      </c>
      <c r="D458">
        <f>'Composite HWI'!B421*48.35347462</f>
        <v>4351.8127157999998</v>
      </c>
      <c r="E458">
        <f t="shared" si="485"/>
        <v>6.9941729549478318E-2</v>
      </c>
      <c r="F458">
        <f t="shared" si="486"/>
        <v>3.7401487837117761E-2</v>
      </c>
      <c r="G458">
        <f>'2-state flows'!G457</f>
        <v>0.60094735356915729</v>
      </c>
      <c r="H458">
        <f t="shared" si="487"/>
        <v>0.56396210402931979</v>
      </c>
      <c r="I458">
        <f>'2-state flows'!H457</f>
        <v>4.0897260696367024E-2</v>
      </c>
      <c r="J458">
        <f t="shared" si="491"/>
        <v>6.6639902378358793E-3</v>
      </c>
      <c r="K458">
        <v>0.5</v>
      </c>
      <c r="L458">
        <f t="shared" si="493"/>
        <v>0.81512463003067681</v>
      </c>
      <c r="M458">
        <f t="shared" si="488"/>
        <v>1.6553306250906053E-2</v>
      </c>
      <c r="N458">
        <f t="shared" ref="N458:O458" si="529">AVERAGE(G456:G458)</f>
        <v>0.57169916665158704</v>
      </c>
      <c r="O458">
        <f t="shared" si="529"/>
        <v>0.56742302358857455</v>
      </c>
      <c r="P458">
        <f t="shared" si="495"/>
        <v>7.0458140122747315E-2</v>
      </c>
      <c r="Q458">
        <f t="shared" si="496"/>
        <v>3.8141334310233727E-2</v>
      </c>
      <c r="R458">
        <f t="shared" si="497"/>
        <v>1.6613963642336169E-2</v>
      </c>
    </row>
    <row r="459" spans="1:18" x14ac:dyDescent="0.25">
      <c r="A459" s="18">
        <f t="shared" si="490"/>
        <v>31413</v>
      </c>
      <c r="B459">
        <f>'2-state flows'!B458</f>
        <v>116682</v>
      </c>
      <c r="C459">
        <f>'2-state flows'!C458</f>
        <v>7795</v>
      </c>
      <c r="D459">
        <f>'Composite HWI'!B422*48.35347462</f>
        <v>4400.16619042</v>
      </c>
      <c r="E459">
        <f t="shared" si="485"/>
        <v>6.6805505562126125E-2</v>
      </c>
      <c r="F459">
        <f t="shared" si="486"/>
        <v>3.7710753933083083E-2</v>
      </c>
      <c r="G459">
        <f>'2-state flows'!G458</f>
        <v>0.46710852967419114</v>
      </c>
      <c r="H459">
        <f t="shared" si="487"/>
        <v>0.57942889197764447</v>
      </c>
      <c r="I459">
        <f>'2-state flows'!H458</f>
        <v>4.0548139059579456E-2</v>
      </c>
      <c r="J459">
        <f t="shared" si="491"/>
        <v>-8.5731981473030437E-3</v>
      </c>
      <c r="K459">
        <v>0.5</v>
      </c>
      <c r="L459">
        <f t="shared" si="493"/>
        <v>0.79797823373607069</v>
      </c>
      <c r="M459">
        <f t="shared" si="488"/>
        <v>1.6978826542103063E-2</v>
      </c>
      <c r="N459">
        <f t="shared" ref="N459:O459" si="530">AVERAGE(G457:G459)</f>
        <v>0.53542644733919442</v>
      </c>
      <c r="O459">
        <f t="shared" si="530"/>
        <v>0.57234265701790077</v>
      </c>
      <c r="P459">
        <f t="shared" si="495"/>
        <v>6.8911583214035912E-2</v>
      </c>
      <c r="Q459">
        <f t="shared" si="496"/>
        <v>3.7944442064959671E-2</v>
      </c>
      <c r="R459">
        <f t="shared" si="497"/>
        <v>1.6966468865053347E-2</v>
      </c>
    </row>
    <row r="460" spans="1:18" x14ac:dyDescent="0.25">
      <c r="A460" s="18">
        <f t="shared" si="490"/>
        <v>31444</v>
      </c>
      <c r="B460">
        <f>'2-state flows'!B459</f>
        <v>116882</v>
      </c>
      <c r="C460">
        <f>'2-state flows'!C459</f>
        <v>8402</v>
      </c>
      <c r="D460">
        <f>'Composite HWI'!B423*48.35347462</f>
        <v>4400.16619042</v>
      </c>
      <c r="E460">
        <f t="shared" si="485"/>
        <v>7.1884464673773546E-2</v>
      </c>
      <c r="F460">
        <f t="shared" si="486"/>
        <v>3.7646226026419809E-2</v>
      </c>
      <c r="G460">
        <f>'2-state flows'!G459</f>
        <v>0.5509354093260983</v>
      </c>
      <c r="H460">
        <f t="shared" si="487"/>
        <v>0.55810622648759367</v>
      </c>
      <c r="I460">
        <f>'2-state flows'!H459</f>
        <v>4.2438864370612894E-2</v>
      </c>
      <c r="J460">
        <f t="shared" si="491"/>
        <v>4.5574667900109167E-2</v>
      </c>
      <c r="K460">
        <v>0.5</v>
      </c>
      <c r="L460">
        <f t="shared" si="493"/>
        <v>0.88912756953628902</v>
      </c>
      <c r="M460">
        <f t="shared" si="488"/>
        <v>1.5473132632583417E-2</v>
      </c>
      <c r="N460">
        <f t="shared" ref="N460:O460" si="531">AVERAGE(G458:G460)</f>
        <v>0.53966376418981554</v>
      </c>
      <c r="O460">
        <f t="shared" si="531"/>
        <v>0.56716574083151927</v>
      </c>
      <c r="P460">
        <f t="shared" si="495"/>
        <v>6.954389992845933E-2</v>
      </c>
      <c r="Q460">
        <f t="shared" si="496"/>
        <v>3.7586155932206884E-2</v>
      </c>
      <c r="R460">
        <f t="shared" si="497"/>
        <v>1.6335088475197511E-2</v>
      </c>
    </row>
    <row r="461" spans="1:18" x14ac:dyDescent="0.25">
      <c r="A461" s="18">
        <f t="shared" si="490"/>
        <v>31472</v>
      </c>
      <c r="B461">
        <f>'2-state flows'!B460</f>
        <v>117220</v>
      </c>
      <c r="C461">
        <f>'2-state flows'!C460</f>
        <v>8383</v>
      </c>
      <c r="D461">
        <f>'Composite HWI'!B424*48.35347462</f>
        <v>4400.16619042</v>
      </c>
      <c r="E461">
        <f t="shared" si="485"/>
        <v>7.1515099812318711E-2</v>
      </c>
      <c r="F461">
        <f t="shared" si="486"/>
        <v>3.7537674376556904E-2</v>
      </c>
      <c r="G461">
        <f>'2-state flows'!G460</f>
        <v>0.56469846697916992</v>
      </c>
      <c r="H461">
        <f t="shared" si="487"/>
        <v>0.55873834008790546</v>
      </c>
      <c r="I461">
        <f>'2-state flows'!H460</f>
        <v>4.3262033691085743E-2</v>
      </c>
      <c r="J461">
        <f t="shared" si="491"/>
        <v>1.9210875389927492E-2</v>
      </c>
      <c r="K461">
        <v>0.5</v>
      </c>
      <c r="L461">
        <f t="shared" si="493"/>
        <v>0.92754932031614401</v>
      </c>
      <c r="M461">
        <f t="shared" si="488"/>
        <v>1.4846969322281018E-2</v>
      </c>
      <c r="N461">
        <f t="shared" ref="N461:O461" si="532">AVERAGE(G459:G461)</f>
        <v>0.52758080199315316</v>
      </c>
      <c r="O461">
        <f t="shared" si="532"/>
        <v>0.56542448618438124</v>
      </c>
      <c r="P461">
        <f t="shared" si="495"/>
        <v>7.006835668273946E-2</v>
      </c>
      <c r="Q461">
        <f t="shared" si="496"/>
        <v>3.763155144535326E-2</v>
      </c>
      <c r="R461">
        <f t="shared" si="497"/>
        <v>1.5766309498989165E-2</v>
      </c>
    </row>
    <row r="462" spans="1:18" x14ac:dyDescent="0.25">
      <c r="A462" s="18">
        <f t="shared" si="490"/>
        <v>31503</v>
      </c>
      <c r="B462">
        <f>'2-state flows'!B461</f>
        <v>117316</v>
      </c>
      <c r="C462">
        <f>'2-state flows'!C461</f>
        <v>8364</v>
      </c>
      <c r="D462">
        <f>'Composite HWI'!B425*48.35347462</f>
        <v>4400.16619042</v>
      </c>
      <c r="E462">
        <f t="shared" si="485"/>
        <v>7.1294623069317054E-2</v>
      </c>
      <c r="F462">
        <f t="shared" si="486"/>
        <v>3.7506957196119885E-2</v>
      </c>
      <c r="G462">
        <f>'2-state flows'!G461</f>
        <v>0.54433971114330804</v>
      </c>
      <c r="H462">
        <f t="shared" si="487"/>
        <v>0.55937260636899566</v>
      </c>
      <c r="I462">
        <f>'2-state flows'!H461</f>
        <v>4.2697819300415073E-2</v>
      </c>
      <c r="J462">
        <f t="shared" si="491"/>
        <v>-1.3127581627014768E-2</v>
      </c>
      <c r="K462">
        <v>0.5</v>
      </c>
      <c r="L462">
        <f t="shared" si="493"/>
        <v>0.90129415706211446</v>
      </c>
      <c r="M462">
        <f t="shared" si="488"/>
        <v>1.5229468741623243E-2</v>
      </c>
      <c r="N462">
        <f t="shared" ref="N462:O462" si="533">AVERAGE(G460:G462)</f>
        <v>0.55332452914952546</v>
      </c>
      <c r="O462">
        <f t="shared" si="533"/>
        <v>0.55873905764816489</v>
      </c>
      <c r="P462">
        <f t="shared" si="495"/>
        <v>7.1564729185136441E-2</v>
      </c>
      <c r="Q462">
        <f t="shared" si="496"/>
        <v>3.7563619199698861E-2</v>
      </c>
      <c r="R462">
        <f t="shared" si="497"/>
        <v>1.5183190232162559E-2</v>
      </c>
    </row>
    <row r="463" spans="1:18" x14ac:dyDescent="0.25">
      <c r="A463" s="18">
        <f t="shared" si="490"/>
        <v>31533</v>
      </c>
      <c r="B463">
        <f>'2-state flows'!B462</f>
        <v>117528</v>
      </c>
      <c r="C463">
        <f>'2-state flows'!C462</f>
        <v>8439</v>
      </c>
      <c r="D463">
        <f>'Composite HWI'!B426*48.35347462</f>
        <v>4351.8127157999998</v>
      </c>
      <c r="E463">
        <f t="shared" si="485"/>
        <v>7.1804165815805593E-2</v>
      </c>
      <c r="F463">
        <f t="shared" si="486"/>
        <v>3.7027880299162749E-2</v>
      </c>
      <c r="G463">
        <f>'2-state flows'!G462</f>
        <v>0.51963310750303282</v>
      </c>
      <c r="H463">
        <f t="shared" si="487"/>
        <v>0.55381315997739278</v>
      </c>
      <c r="I463">
        <f>'2-state flows'!H462</f>
        <v>4.1024526145508909E-2</v>
      </c>
      <c r="J463">
        <f t="shared" si="491"/>
        <v>-3.997776215680552E-2</v>
      </c>
      <c r="K463">
        <v>0.5</v>
      </c>
      <c r="L463">
        <f t="shared" si="493"/>
        <v>0.82133863274850338</v>
      </c>
      <c r="M463">
        <f t="shared" si="488"/>
        <v>1.6286434429875409E-2</v>
      </c>
      <c r="N463">
        <f t="shared" ref="N463:O463" si="534">AVERAGE(G461:G463)</f>
        <v>0.542890428541837</v>
      </c>
      <c r="O463">
        <f t="shared" si="534"/>
        <v>0.55730803547809793</v>
      </c>
      <c r="P463">
        <f t="shared" si="495"/>
        <v>7.1537962899147114E-2</v>
      </c>
      <c r="Q463">
        <f t="shared" si="496"/>
        <v>3.7357503957279846E-2</v>
      </c>
      <c r="R463">
        <f t="shared" si="497"/>
        <v>1.545429083125989E-2</v>
      </c>
    </row>
    <row r="464" spans="1:18" x14ac:dyDescent="0.25">
      <c r="A464" s="18">
        <f t="shared" si="490"/>
        <v>31564</v>
      </c>
      <c r="B464">
        <f>'2-state flows'!B463</f>
        <v>118084</v>
      </c>
      <c r="C464">
        <f>'2-state flows'!C463</f>
        <v>8508</v>
      </c>
      <c r="D464">
        <f>'Composite HWI'!B427*48.35347462</f>
        <v>4448.5196650400003</v>
      </c>
      <c r="E464">
        <f t="shared" si="485"/>
        <v>7.2050404796585477E-2</v>
      </c>
      <c r="F464">
        <f t="shared" si="486"/>
        <v>3.7672501482334614E-2</v>
      </c>
      <c r="G464">
        <f>'2-state flows'!G463</f>
        <v>0.55729713347662158</v>
      </c>
      <c r="H464">
        <f t="shared" si="487"/>
        <v>0.55765767434446201</v>
      </c>
      <c r="I464">
        <f>'2-state flows'!H463</f>
        <v>4.0979254285128087E-2</v>
      </c>
      <c r="J464">
        <f t="shared" si="491"/>
        <v>-1.10414092478237E-3</v>
      </c>
      <c r="K464">
        <v>0.5</v>
      </c>
      <c r="L464">
        <f t="shared" si="493"/>
        <v>0.8191303508989386</v>
      </c>
      <c r="M464">
        <f t="shared" si="488"/>
        <v>1.6606597792207748E-2</v>
      </c>
      <c r="N464">
        <f t="shared" ref="N464:O464" si="535">AVERAGE(G462:G464)</f>
        <v>0.54042331737432081</v>
      </c>
      <c r="O464">
        <f t="shared" si="535"/>
        <v>0.55694781356361689</v>
      </c>
      <c r="P464">
        <f t="shared" si="495"/>
        <v>7.1716397893902703E-2</v>
      </c>
      <c r="Q464">
        <f t="shared" si="496"/>
        <v>3.7402446325872418E-2</v>
      </c>
      <c r="R464">
        <f t="shared" si="497"/>
        <v>1.6040833654568803E-2</v>
      </c>
    </row>
    <row r="465" spans="1:18" x14ac:dyDescent="0.25">
      <c r="A465" s="18">
        <f t="shared" si="490"/>
        <v>31594</v>
      </c>
      <c r="B465">
        <f>'2-state flows'!B464</f>
        <v>118129</v>
      </c>
      <c r="C465">
        <f>'2-state flows'!C464</f>
        <v>8319</v>
      </c>
      <c r="D465">
        <f>'Composite HWI'!B428*48.35347462</f>
        <v>4400.16619042</v>
      </c>
      <c r="E465">
        <f t="shared" si="485"/>
        <v>7.0423012130806151E-2</v>
      </c>
      <c r="F465">
        <f t="shared" si="486"/>
        <v>3.7248822815904643E-2</v>
      </c>
      <c r="G465">
        <f>'2-state flows'!G464</f>
        <v>0.57183097277595529</v>
      </c>
      <c r="H465">
        <f t="shared" si="487"/>
        <v>0.5608834741781471</v>
      </c>
      <c r="I465">
        <f>'2-state flows'!H464</f>
        <v>4.1079589459107495E-2</v>
      </c>
      <c r="J465">
        <f t="shared" si="491"/>
        <v>2.4454457168371891E-3</v>
      </c>
      <c r="K465">
        <v>0.5</v>
      </c>
      <c r="L465">
        <f t="shared" si="493"/>
        <v>0.82402124233261298</v>
      </c>
      <c r="M465">
        <f t="shared" si="488"/>
        <v>1.6339722390727961E-2</v>
      </c>
      <c r="N465">
        <f t="shared" ref="N465:O465" si="536">AVERAGE(G463:G465)</f>
        <v>0.5495870712518699</v>
      </c>
      <c r="O465">
        <f t="shared" si="536"/>
        <v>0.55745143616666726</v>
      </c>
      <c r="P465">
        <f t="shared" si="495"/>
        <v>7.1425860914399078E-2</v>
      </c>
      <c r="Q465">
        <f t="shared" si="496"/>
        <v>3.731640153246734E-2</v>
      </c>
      <c r="R465">
        <f t="shared" si="497"/>
        <v>1.6410918204270375E-2</v>
      </c>
    </row>
    <row r="466" spans="1:18" x14ac:dyDescent="0.25">
      <c r="A466" s="18">
        <f t="shared" si="490"/>
        <v>31625</v>
      </c>
      <c r="B466">
        <f>'2-state flows'!B465</f>
        <v>118150</v>
      </c>
      <c r="C466">
        <f>'2-state flows'!C465</f>
        <v>8135</v>
      </c>
      <c r="D466">
        <f>'Composite HWI'!B429*48.35347462</f>
        <v>4448.5196650400003</v>
      </c>
      <c r="E466">
        <f t="shared" si="485"/>
        <v>6.8853152771900128E-2</v>
      </c>
      <c r="F466">
        <f t="shared" si="486"/>
        <v>3.7651457173423615E-2</v>
      </c>
      <c r="G466">
        <f>'2-state flows'!G465</f>
        <v>0.50592064765367473</v>
      </c>
      <c r="H466">
        <f t="shared" si="487"/>
        <v>0.57029904614803062</v>
      </c>
      <c r="I466">
        <f>'2-state flows'!H465</f>
        <v>3.9473735417326274E-2</v>
      </c>
      <c r="J466">
        <f t="shared" si="491"/>
        <v>-3.9875866715801601E-2</v>
      </c>
      <c r="K466">
        <v>0.5</v>
      </c>
      <c r="L466">
        <f t="shared" si="493"/>
        <v>0.74426950890100974</v>
      </c>
      <c r="M466">
        <f t="shared" si="488"/>
        <v>1.7887500051136027E-2</v>
      </c>
      <c r="N466">
        <f t="shared" ref="N466:O466" si="537">AVERAGE(G464:G466)</f>
        <v>0.54501625130208387</v>
      </c>
      <c r="O466">
        <f t="shared" si="537"/>
        <v>0.56294673155687991</v>
      </c>
      <c r="P466">
        <f t="shared" si="495"/>
        <v>7.0442189899763918E-2</v>
      </c>
      <c r="Q466">
        <f t="shared" si="496"/>
        <v>3.7524260490554288E-2</v>
      </c>
      <c r="R466">
        <f t="shared" si="497"/>
        <v>1.6944606744690578E-2</v>
      </c>
    </row>
    <row r="467" spans="1:18" x14ac:dyDescent="0.25">
      <c r="A467" s="18">
        <f t="shared" si="490"/>
        <v>31656</v>
      </c>
      <c r="B467">
        <f>'2-state flows'!B466</f>
        <v>118395</v>
      </c>
      <c r="C467">
        <f>'2-state flows'!C466</f>
        <v>8310</v>
      </c>
      <c r="D467">
        <f>'Composite HWI'!B430*48.35347462</f>
        <v>4496.8731396599997</v>
      </c>
      <c r="E467">
        <f t="shared" si="485"/>
        <v>7.0188774863803371E-2</v>
      </c>
      <c r="F467">
        <f t="shared" si="486"/>
        <v>3.7981951430888124E-2</v>
      </c>
      <c r="G467">
        <f>'2-state flows'!G466</f>
        <v>0.5432344521890009</v>
      </c>
      <c r="H467">
        <f t="shared" si="487"/>
        <v>0.56732049421785413</v>
      </c>
      <c r="I467">
        <f>'2-state flows'!H466</f>
        <v>4.0203872022325192E-2</v>
      </c>
      <c r="J467">
        <f t="shared" si="491"/>
        <v>1.8327785347908673E-2</v>
      </c>
      <c r="K467">
        <v>0.5</v>
      </c>
      <c r="L467">
        <f t="shared" si="493"/>
        <v>0.78092507959682711</v>
      </c>
      <c r="M467">
        <f t="shared" si="488"/>
        <v>1.7395055600601651E-2</v>
      </c>
      <c r="N467">
        <f t="shared" ref="N467:O467" si="538">AVERAGE(G465:G467)</f>
        <v>0.54032869087287694</v>
      </c>
      <c r="O467">
        <f t="shared" si="538"/>
        <v>0.56616767151467728</v>
      </c>
      <c r="P467">
        <f t="shared" si="495"/>
        <v>6.982164658883655E-2</v>
      </c>
      <c r="Q467">
        <f t="shared" si="496"/>
        <v>3.7627410473405461E-2</v>
      </c>
      <c r="R467">
        <f t="shared" si="497"/>
        <v>1.7207426014155213E-2</v>
      </c>
    </row>
    <row r="468" spans="1:18" x14ac:dyDescent="0.25">
      <c r="A468" s="18">
        <f t="shared" si="490"/>
        <v>31686</v>
      </c>
      <c r="B468">
        <f>'2-state flows'!B467</f>
        <v>118516</v>
      </c>
      <c r="C468">
        <f>'2-state flows'!C467</f>
        <v>8243</v>
      </c>
      <c r="D468">
        <f>'Composite HWI'!B431*48.35347462</f>
        <v>4496.8731396599997</v>
      </c>
      <c r="E468">
        <f t="shared" si="485"/>
        <v>6.9551790475547604E-2</v>
      </c>
      <c r="F468">
        <f t="shared" si="486"/>
        <v>3.7943173408316176E-2</v>
      </c>
      <c r="G468">
        <f>'2-state flows'!G467</f>
        <v>0.53742064732457062</v>
      </c>
      <c r="H468">
        <f t="shared" si="487"/>
        <v>0.56962144939881998</v>
      </c>
      <c r="I468">
        <f>'2-state flows'!H467</f>
        <v>3.91703062301463E-2</v>
      </c>
      <c r="J468">
        <f t="shared" si="491"/>
        <v>-2.6044344326061897E-2</v>
      </c>
      <c r="K468">
        <v>0.5</v>
      </c>
      <c r="L468">
        <f t="shared" si="493"/>
        <v>0.72883639094470332</v>
      </c>
      <c r="M468">
        <f t="shared" si="488"/>
        <v>1.8306445535284037E-2</v>
      </c>
      <c r="N468">
        <f t="shared" ref="N468:O468" si="539">AVERAGE(G466:G468)</f>
        <v>0.52885858238908212</v>
      </c>
      <c r="O468">
        <f t="shared" si="539"/>
        <v>0.56908032992156832</v>
      </c>
      <c r="P468">
        <f t="shared" si="495"/>
        <v>6.9531239370417039E-2</v>
      </c>
      <c r="Q468">
        <f t="shared" si="496"/>
        <v>3.7858860670875967E-2</v>
      </c>
      <c r="R468">
        <f t="shared" si="497"/>
        <v>1.7863000395673904E-2</v>
      </c>
    </row>
    <row r="469" spans="1:18" x14ac:dyDescent="0.25">
      <c r="A469" s="18">
        <f t="shared" si="490"/>
        <v>31717</v>
      </c>
      <c r="B469">
        <f>'2-state flows'!B468</f>
        <v>118634</v>
      </c>
      <c r="C469">
        <f>'2-state flows'!C468</f>
        <v>8159</v>
      </c>
      <c r="D469">
        <f>'Composite HWI'!B432*48.35347462</f>
        <v>4690.2870381399998</v>
      </c>
      <c r="E469">
        <f t="shared" si="485"/>
        <v>6.8774550297553819E-2</v>
      </c>
      <c r="F469">
        <f t="shared" si="486"/>
        <v>3.9535774214306187E-2</v>
      </c>
      <c r="G469">
        <f>'2-state flows'!G468</f>
        <v>0.57611342801095045</v>
      </c>
      <c r="H469">
        <f t="shared" si="487"/>
        <v>0.5847293733028337</v>
      </c>
      <c r="I469">
        <f>'2-state flows'!H468</f>
        <v>3.9202915918249454E-2</v>
      </c>
      <c r="J469">
        <f t="shared" si="491"/>
        <v>8.3216407571588596E-4</v>
      </c>
      <c r="K469">
        <v>0.5</v>
      </c>
      <c r="L469">
        <f t="shared" si="493"/>
        <v>0.73050071909613512</v>
      </c>
      <c r="M469">
        <f t="shared" si="488"/>
        <v>1.9043107388892432E-2</v>
      </c>
      <c r="N469">
        <f t="shared" ref="N469:O469" si="540">AVERAGE(G467:G469)</f>
        <v>0.55225617584150732</v>
      </c>
      <c r="O469">
        <f t="shared" si="540"/>
        <v>0.57389043897316927</v>
      </c>
      <c r="P469">
        <f t="shared" si="495"/>
        <v>6.9505038545634931E-2</v>
      </c>
      <c r="Q469">
        <f t="shared" si="496"/>
        <v>3.848696635117016E-2</v>
      </c>
      <c r="R469">
        <f t="shared" si="497"/>
        <v>1.8248202841592707E-2</v>
      </c>
    </row>
    <row r="470" spans="1:18" x14ac:dyDescent="0.25">
      <c r="A470" s="18">
        <f t="shared" si="490"/>
        <v>31747</v>
      </c>
      <c r="B470">
        <f>'2-state flows'!B469</f>
        <v>118611</v>
      </c>
      <c r="C470">
        <f>'2-state flows'!C469</f>
        <v>7883</v>
      </c>
      <c r="D470">
        <f>'Composite HWI'!B433*48.35347462</f>
        <v>4448.5196650400003</v>
      </c>
      <c r="E470">
        <f t="shared" si="485"/>
        <v>6.6460952188245603E-2</v>
      </c>
      <c r="F470">
        <f t="shared" si="486"/>
        <v>3.7505118960636033E-2</v>
      </c>
      <c r="G470">
        <f>'2-state flows'!G469</f>
        <v>0.5601867995932307</v>
      </c>
      <c r="H470">
        <f t="shared" si="487"/>
        <v>0.57934286214515729</v>
      </c>
      <c r="I470">
        <f>'2-state flows'!H469</f>
        <v>3.9989179715884213E-2</v>
      </c>
      <c r="J470">
        <f t="shared" si="491"/>
        <v>1.9857780717826883E-2</v>
      </c>
      <c r="K470">
        <v>0.5</v>
      </c>
      <c r="L470">
        <f t="shared" si="493"/>
        <v>0.77021628053178892</v>
      </c>
      <c r="M470">
        <f t="shared" si="488"/>
        <v>1.7361604824124136E-2</v>
      </c>
      <c r="N470">
        <f t="shared" ref="N470:O470" si="541">AVERAGE(G468:G470)</f>
        <v>0.55790695830958381</v>
      </c>
      <c r="O470">
        <f t="shared" si="541"/>
        <v>0.57789789494893695</v>
      </c>
      <c r="P470">
        <f t="shared" si="495"/>
        <v>6.8262430987115666E-2</v>
      </c>
      <c r="Q470">
        <f t="shared" si="496"/>
        <v>3.8328022194419463E-2</v>
      </c>
      <c r="R470">
        <f t="shared" si="497"/>
        <v>1.8237052582766866E-2</v>
      </c>
    </row>
    <row r="471" spans="1:18" x14ac:dyDescent="0.25">
      <c r="A471" s="18">
        <f t="shared" si="490"/>
        <v>31778</v>
      </c>
      <c r="B471">
        <f>'2-state flows'!B470</f>
        <v>118845</v>
      </c>
      <c r="C471">
        <f>'2-state flows'!C470</f>
        <v>7892</v>
      </c>
      <c r="D471">
        <f>'Composite HWI'!B434*48.35347462</f>
        <v>4400.16619042</v>
      </c>
      <c r="E471">
        <f t="shared" si="485"/>
        <v>6.6405822710252846E-2</v>
      </c>
      <c r="F471">
        <f t="shared" si="486"/>
        <v>3.7024411547982666E-2</v>
      </c>
      <c r="G471">
        <f>'2-state flows'!G470</f>
        <v>0.55248214447700206</v>
      </c>
      <c r="H471">
        <f t="shared" si="487"/>
        <v>0.57585702339227496</v>
      </c>
      <c r="I471">
        <f>'2-state flows'!H470</f>
        <v>3.897525862943834E-2</v>
      </c>
      <c r="J471">
        <f t="shared" si="491"/>
        <v>-2.5681859717808661E-2</v>
      </c>
      <c r="K471">
        <v>0.5</v>
      </c>
      <c r="L471">
        <f t="shared" si="493"/>
        <v>0.71885256109617157</v>
      </c>
      <c r="M471">
        <f t="shared" si="488"/>
        <v>1.8042406532826124E-2</v>
      </c>
      <c r="N471">
        <f t="shared" ref="N471:O471" si="542">AVERAGE(G469:G471)</f>
        <v>0.5629274573603944</v>
      </c>
      <c r="O471">
        <f t="shared" si="542"/>
        <v>0.57997641961342195</v>
      </c>
      <c r="P471">
        <f t="shared" si="495"/>
        <v>6.7213775065350756E-2</v>
      </c>
      <c r="Q471">
        <f t="shared" si="496"/>
        <v>3.8021768240974967E-2</v>
      </c>
      <c r="R471">
        <f t="shared" si="497"/>
        <v>1.8149039581947565E-2</v>
      </c>
    </row>
    <row r="472" spans="1:18" x14ac:dyDescent="0.25">
      <c r="A472" s="18">
        <f t="shared" si="490"/>
        <v>31809</v>
      </c>
      <c r="B472">
        <f>'2-state flows'!B471</f>
        <v>119122</v>
      </c>
      <c r="C472">
        <f>'2-state flows'!C471</f>
        <v>7865</v>
      </c>
      <c r="D472">
        <f>'Composite HWI'!B435*48.35347462</f>
        <v>4593.5800889000002</v>
      </c>
      <c r="E472">
        <f t="shared" si="485"/>
        <v>6.6024747737613534E-2</v>
      </c>
      <c r="F472">
        <f t="shared" si="486"/>
        <v>3.8561979222142009E-2</v>
      </c>
      <c r="G472">
        <f>'2-state flows'!G471</f>
        <v>0.56369274606056241</v>
      </c>
      <c r="H472">
        <f t="shared" si="487"/>
        <v>0.58938618148414024</v>
      </c>
      <c r="I472">
        <f>'2-state flows'!H471</f>
        <v>3.981275509113745E-2</v>
      </c>
      <c r="J472">
        <f t="shared" si="491"/>
        <v>2.1260289924982804E-2</v>
      </c>
      <c r="K472">
        <v>0.5</v>
      </c>
      <c r="L472">
        <f t="shared" si="493"/>
        <v>0.76137314094613717</v>
      </c>
      <c r="M472">
        <f t="shared" si="488"/>
        <v>1.8009396615064923E-2</v>
      </c>
      <c r="N472">
        <f t="shared" ref="N472:O472" si="543">AVERAGE(G470:G472)</f>
        <v>0.55878723004359843</v>
      </c>
      <c r="O472">
        <f t="shared" si="543"/>
        <v>0.5815286890071909</v>
      </c>
      <c r="P472">
        <f t="shared" si="495"/>
        <v>6.6297174212037333E-2</v>
      </c>
      <c r="Q472">
        <f t="shared" si="496"/>
        <v>3.769716991025357E-2</v>
      </c>
      <c r="R472">
        <f t="shared" si="497"/>
        <v>1.7804469324005062E-2</v>
      </c>
    </row>
    <row r="473" spans="1:18" x14ac:dyDescent="0.25">
      <c r="A473" s="18">
        <f t="shared" si="490"/>
        <v>31837</v>
      </c>
      <c r="B473">
        <f>'2-state flows'!B472</f>
        <v>119270</v>
      </c>
      <c r="C473">
        <f>'2-state flows'!C472</f>
        <v>7862</v>
      </c>
      <c r="D473">
        <f>'Composite HWI'!B436*48.35347462</f>
        <v>4786.9939873800004</v>
      </c>
      <c r="E473">
        <f t="shared" si="485"/>
        <v>6.5917665800285061E-2</v>
      </c>
      <c r="F473">
        <f t="shared" si="486"/>
        <v>4.0135775864676787E-2</v>
      </c>
      <c r="G473">
        <f>'2-state flows'!G472</f>
        <v>0.58499230261131385</v>
      </c>
      <c r="H473">
        <f t="shared" si="487"/>
        <v>0.60178116082514421</v>
      </c>
      <c r="I473">
        <f>'2-state flows'!H472</f>
        <v>3.7424226330151543E-2</v>
      </c>
      <c r="J473">
        <f t="shared" si="491"/>
        <v>-6.1869083073598799E-2</v>
      </c>
      <c r="K473">
        <v>0.5</v>
      </c>
      <c r="L473">
        <f t="shared" si="493"/>
        <v>0.6376349747989396</v>
      </c>
      <c r="M473">
        <f t="shared" si="488"/>
        <v>2.1213401495485069E-2</v>
      </c>
      <c r="N473">
        <f t="shared" ref="N473:O473" si="544">AVERAGE(G471:G473)</f>
        <v>0.56705573104962614</v>
      </c>
      <c r="O473">
        <f t="shared" si="544"/>
        <v>0.58900812190051977</v>
      </c>
      <c r="P473">
        <f t="shared" si="495"/>
        <v>6.6116078749383814E-2</v>
      </c>
      <c r="Q473">
        <f t="shared" si="496"/>
        <v>3.8574055544933823E-2</v>
      </c>
      <c r="R473">
        <f t="shared" si="497"/>
        <v>1.9088401547792039E-2</v>
      </c>
    </row>
    <row r="474" spans="1:18" x14ac:dyDescent="0.25">
      <c r="A474" s="18">
        <f t="shared" si="490"/>
        <v>31868</v>
      </c>
      <c r="B474">
        <f>'2-state flows'!B473</f>
        <v>119336</v>
      </c>
      <c r="C474">
        <f>'2-state flows'!C473</f>
        <v>7542</v>
      </c>
      <c r="D474">
        <f>'Composite HWI'!B437*48.35347462</f>
        <v>4690.2870381399998</v>
      </c>
      <c r="E474">
        <f t="shared" si="485"/>
        <v>6.3199705034524364E-2</v>
      </c>
      <c r="F474">
        <f t="shared" si="486"/>
        <v>3.9303203041328685E-2</v>
      </c>
      <c r="G474">
        <f>'2-state flows'!G473</f>
        <v>0.5714530078950889</v>
      </c>
      <c r="H474">
        <f t="shared" si="487"/>
        <v>0.6081771698279701</v>
      </c>
      <c r="I474">
        <f>'2-state flows'!H473</f>
        <v>3.8934577968330497E-2</v>
      </c>
      <c r="J474">
        <f t="shared" si="491"/>
        <v>3.9564492028721678E-2</v>
      </c>
      <c r="K474">
        <v>0.5</v>
      </c>
      <c r="L474">
        <f t="shared" si="493"/>
        <v>0.716763958856383</v>
      </c>
      <c r="M474">
        <f t="shared" si="488"/>
        <v>1.9192931477232316E-2</v>
      </c>
      <c r="N474">
        <f t="shared" ref="N474:O474" si="545">AVERAGE(G472:G474)</f>
        <v>0.57337935218898839</v>
      </c>
      <c r="O474">
        <f t="shared" si="545"/>
        <v>0.59978150404575159</v>
      </c>
      <c r="P474">
        <f t="shared" si="495"/>
        <v>6.504737285747432E-2</v>
      </c>
      <c r="Q474">
        <f t="shared" si="496"/>
        <v>3.9333652709382494E-2</v>
      </c>
      <c r="R474">
        <f t="shared" si="497"/>
        <v>1.9471909862594103E-2</v>
      </c>
    </row>
    <row r="475" spans="1:18" x14ac:dyDescent="0.25">
      <c r="A475" s="18">
        <f t="shared" si="490"/>
        <v>31898</v>
      </c>
      <c r="B475">
        <f>'2-state flows'!B474</f>
        <v>120008</v>
      </c>
      <c r="C475">
        <f>'2-state flows'!C474</f>
        <v>7574</v>
      </c>
      <c r="D475">
        <f>'Composite HWI'!B438*48.35347462</f>
        <v>4786.9939873800004</v>
      </c>
      <c r="E475">
        <f t="shared" si="485"/>
        <v>6.3112459169388707E-2</v>
      </c>
      <c r="F475">
        <f t="shared" si="486"/>
        <v>3.9888957297680161E-2</v>
      </c>
      <c r="G475">
        <f>'2-state flows'!G474</f>
        <v>0.58228295774167271</v>
      </c>
      <c r="H475">
        <f t="shared" si="487"/>
        <v>0.61311572804788361</v>
      </c>
      <c r="I475">
        <f>'2-state flows'!H474</f>
        <v>3.7124995829427042E-2</v>
      </c>
      <c r="J475">
        <f t="shared" si="491"/>
        <v>-4.7592264795501049E-2</v>
      </c>
      <c r="K475">
        <v>0.5</v>
      </c>
      <c r="L475">
        <f t="shared" si="493"/>
        <v>0.6215794292653809</v>
      </c>
      <c r="M475">
        <f t="shared" si="488"/>
        <v>2.1424177989617793E-2</v>
      </c>
      <c r="N475">
        <f t="shared" ref="N475:O475" si="546">AVERAGE(G473:G475)</f>
        <v>0.57957608941602512</v>
      </c>
      <c r="O475">
        <f t="shared" si="546"/>
        <v>0.6076913529003326</v>
      </c>
      <c r="P475">
        <f t="shared" si="495"/>
        <v>6.4076610001399373E-2</v>
      </c>
      <c r="Q475">
        <f t="shared" si="496"/>
        <v>3.977597873456188E-2</v>
      </c>
      <c r="R475">
        <f t="shared" si="497"/>
        <v>2.0610170320778391E-2</v>
      </c>
    </row>
    <row r="476" spans="1:18" x14ac:dyDescent="0.25">
      <c r="A476" s="18">
        <f t="shared" si="490"/>
        <v>31929</v>
      </c>
      <c r="B476">
        <f>'2-state flows'!B475</f>
        <v>119644</v>
      </c>
      <c r="C476">
        <f>'2-state flows'!C475</f>
        <v>7398</v>
      </c>
      <c r="D476">
        <f>'Composite HWI'!B439*48.35347462</f>
        <v>4835.3474619999997</v>
      </c>
      <c r="E476">
        <f t="shared" si="485"/>
        <v>6.1833439202968805E-2</v>
      </c>
      <c r="F476">
        <f t="shared" si="486"/>
        <v>4.0414458409949512E-2</v>
      </c>
      <c r="G476">
        <f>'2-state flows'!G475</f>
        <v>0.60224592918970876</v>
      </c>
      <c r="H476">
        <f t="shared" si="487"/>
        <v>0.62349122654175571</v>
      </c>
      <c r="I476">
        <f>'2-state flows'!H475</f>
        <v>3.8125001047649279E-2</v>
      </c>
      <c r="J476">
        <f t="shared" si="491"/>
        <v>2.6579777622708863E-2</v>
      </c>
      <c r="K476">
        <v>0.5</v>
      </c>
      <c r="L476">
        <f t="shared" si="493"/>
        <v>0.67473898451079861</v>
      </c>
      <c r="M476">
        <f t="shared" si="488"/>
        <v>2.0582652674881897E-2</v>
      </c>
      <c r="N476">
        <f t="shared" ref="N476:O476" si="547">AVERAGE(G474:G476)</f>
        <v>0.58532729827549013</v>
      </c>
      <c r="O476">
        <f t="shared" si="547"/>
        <v>0.61492804147253644</v>
      </c>
      <c r="P476">
        <f t="shared" si="495"/>
        <v>6.2715201135627285E-2</v>
      </c>
      <c r="Q476">
        <f t="shared" si="496"/>
        <v>3.9868872916319457E-2</v>
      </c>
      <c r="R476">
        <f t="shared" si="497"/>
        <v>2.0399920713910669E-2</v>
      </c>
    </row>
    <row r="477" spans="1:18" x14ac:dyDescent="0.25">
      <c r="A477" s="18">
        <f t="shared" si="490"/>
        <v>31959</v>
      </c>
      <c r="B477">
        <f>'2-state flows'!B476</f>
        <v>119902</v>
      </c>
      <c r="C477">
        <f>'2-state flows'!C476</f>
        <v>7268</v>
      </c>
      <c r="D477">
        <f>'Composite HWI'!B440*48.35347462</f>
        <v>4835.3474619999997</v>
      </c>
      <c r="E477">
        <f t="shared" si="485"/>
        <v>6.0616169872062184E-2</v>
      </c>
      <c r="F477">
        <f t="shared" si="486"/>
        <v>4.0327496305316006E-2</v>
      </c>
      <c r="G477">
        <f>'2-state flows'!G476</f>
        <v>0.57983815107942105</v>
      </c>
      <c r="H477">
        <f t="shared" si="487"/>
        <v>0.62904259005971552</v>
      </c>
      <c r="I477">
        <f>'2-state flows'!H476</f>
        <v>3.7332269103087345E-2</v>
      </c>
      <c r="J477">
        <f t="shared" si="491"/>
        <v>-2.1012186353527546E-2</v>
      </c>
      <c r="K477">
        <v>0.5</v>
      </c>
      <c r="L477">
        <f t="shared" si="493"/>
        <v>0.63271461180374355</v>
      </c>
      <c r="M477">
        <f t="shared" si="488"/>
        <v>2.1419868265894326E-2</v>
      </c>
      <c r="N477">
        <f t="shared" ref="N477:O477" si="548">AVERAGE(G475:G477)</f>
        <v>0.5881223460036008</v>
      </c>
      <c r="O477">
        <f t="shared" si="548"/>
        <v>0.62188318154978495</v>
      </c>
      <c r="P477">
        <f t="shared" si="495"/>
        <v>6.1854022748139892E-2</v>
      </c>
      <c r="Q477">
        <f t="shared" si="496"/>
        <v>4.0210304004315224E-2</v>
      </c>
      <c r="R477">
        <f t="shared" si="497"/>
        <v>2.1142232976798004E-2</v>
      </c>
    </row>
    <row r="478" spans="1:18" x14ac:dyDescent="0.25">
      <c r="A478" s="18">
        <f t="shared" si="490"/>
        <v>31990</v>
      </c>
      <c r="B478">
        <f>'2-state flows'!B477</f>
        <v>120318</v>
      </c>
      <c r="C478">
        <f>'2-state flows'!C477</f>
        <v>7261</v>
      </c>
      <c r="D478">
        <f>'Composite HWI'!B441*48.35347462</f>
        <v>5028.7613604799999</v>
      </c>
      <c r="E478">
        <f t="shared" si="485"/>
        <v>6.0348410046709551E-2</v>
      </c>
      <c r="F478">
        <f t="shared" si="486"/>
        <v>4.179558636679466E-2</v>
      </c>
      <c r="G478">
        <f>'2-state flows'!G477</f>
        <v>0.62719800357764954</v>
      </c>
      <c r="H478">
        <f t="shared" si="487"/>
        <v>0.64180923436424142</v>
      </c>
      <c r="I478">
        <f>'2-state flows'!H477</f>
        <v>3.8355403457012195E-2</v>
      </c>
      <c r="J478">
        <f t="shared" si="491"/>
        <v>2.7037340322564517E-2</v>
      </c>
      <c r="K478">
        <v>0.5</v>
      </c>
      <c r="L478">
        <f t="shared" si="493"/>
        <v>0.68678929244887255</v>
      </c>
      <c r="M478">
        <f t="shared" si="488"/>
        <v>2.1031082283826923E-2</v>
      </c>
      <c r="N478">
        <f t="shared" ref="N478:O478" si="549">AVERAGE(G476:G478)</f>
        <v>0.60309402794892641</v>
      </c>
      <c r="O478">
        <f t="shared" si="549"/>
        <v>0.63144768365523751</v>
      </c>
      <c r="P478">
        <f t="shared" si="495"/>
        <v>6.0932673040580178E-2</v>
      </c>
      <c r="Q478">
        <f t="shared" si="496"/>
        <v>4.0845847027353395E-2</v>
      </c>
      <c r="R478">
        <f t="shared" si="497"/>
        <v>2.1011201074867716E-2</v>
      </c>
    </row>
    <row r="479" spans="1:18" x14ac:dyDescent="0.25">
      <c r="A479" s="18">
        <f t="shared" si="490"/>
        <v>32021</v>
      </c>
      <c r="B479">
        <f>'2-state flows'!B478</f>
        <v>120011</v>
      </c>
      <c r="C479">
        <f>'2-state flows'!C478</f>
        <v>7102</v>
      </c>
      <c r="D479">
        <f>'Composite HWI'!B442*48.35347462</f>
        <v>4980.4078858599996</v>
      </c>
      <c r="E479">
        <f t="shared" si="485"/>
        <v>5.9177908691703258E-2</v>
      </c>
      <c r="F479">
        <f t="shared" si="486"/>
        <v>4.1499594919299061E-2</v>
      </c>
      <c r="G479">
        <f>'2-state flows'!G478</f>
        <v>0.57758821273029315</v>
      </c>
      <c r="H479">
        <f t="shared" si="487"/>
        <v>0.6458263917749667</v>
      </c>
      <c r="I479">
        <f>'2-state flows'!H478</f>
        <v>3.7812879087485179E-2</v>
      </c>
      <c r="J479">
        <f t="shared" si="491"/>
        <v>-1.4245655180978378E-2</v>
      </c>
      <c r="K479">
        <v>0.5</v>
      </c>
      <c r="L479">
        <f t="shared" si="493"/>
        <v>0.65829798208691581</v>
      </c>
      <c r="M479">
        <f t="shared" si="488"/>
        <v>2.1485658888329037E-2</v>
      </c>
      <c r="N479">
        <f t="shared" ref="N479:O479" si="550">AVERAGE(G477:G479)</f>
        <v>0.59487478912912128</v>
      </c>
      <c r="O479">
        <f t="shared" si="550"/>
        <v>0.63889273873297459</v>
      </c>
      <c r="P479">
        <f t="shared" si="495"/>
        <v>6.0047496203491667E-2</v>
      </c>
      <c r="Q479">
        <f t="shared" si="496"/>
        <v>4.1207559197136569E-2</v>
      </c>
      <c r="R479">
        <f t="shared" si="497"/>
        <v>2.1312203146016759E-2</v>
      </c>
    </row>
    <row r="480" spans="1:18" x14ac:dyDescent="0.25">
      <c r="A480" s="18">
        <f t="shared" si="490"/>
        <v>32051</v>
      </c>
      <c r="B480">
        <f>'2-state flows'!B479</f>
        <v>120509</v>
      </c>
      <c r="C480">
        <f>'2-state flows'!C479</f>
        <v>7227</v>
      </c>
      <c r="D480">
        <f>'Composite HWI'!B443*48.35347462</f>
        <v>5028.7613604799999</v>
      </c>
      <c r="E480">
        <f t="shared" si="485"/>
        <v>5.9970624600652236E-2</v>
      </c>
      <c r="F480">
        <f t="shared" si="486"/>
        <v>4.1729342708677362E-2</v>
      </c>
      <c r="G480">
        <f>'2-state flows'!G479</f>
        <v>0.62637992861669978</v>
      </c>
      <c r="H480">
        <f t="shared" si="487"/>
        <v>0.6433171843364841</v>
      </c>
      <c r="I480">
        <f>'2-state flows'!H479</f>
        <v>3.7641445328439896E-2</v>
      </c>
      <c r="J480">
        <f t="shared" si="491"/>
        <v>-4.5440484785450883E-3</v>
      </c>
      <c r="K480">
        <v>0.5</v>
      </c>
      <c r="L480">
        <f t="shared" si="493"/>
        <v>0.64920988512982558</v>
      </c>
      <c r="M480">
        <f t="shared" si="488"/>
        <v>2.1801846287574398E-2</v>
      </c>
      <c r="N480">
        <f t="shared" ref="N480:O480" si="551">AVERAGE(G478:G480)</f>
        <v>0.61038871497488079</v>
      </c>
      <c r="O480">
        <f t="shared" si="551"/>
        <v>0.64365093682523078</v>
      </c>
      <c r="P480">
        <f t="shared" si="495"/>
        <v>5.9832314446355013E-2</v>
      </c>
      <c r="Q480">
        <f t="shared" si="496"/>
        <v>4.1674841331590363E-2</v>
      </c>
      <c r="R480">
        <f t="shared" si="497"/>
        <v>2.1439529153243455E-2</v>
      </c>
    </row>
    <row r="481" spans="1:18" x14ac:dyDescent="0.25">
      <c r="A481" s="18">
        <f t="shared" si="490"/>
        <v>32082</v>
      </c>
      <c r="B481">
        <f>'2-state flows'!B480</f>
        <v>120540</v>
      </c>
      <c r="C481">
        <f>'2-state flows'!C480</f>
        <v>7035</v>
      </c>
      <c r="D481">
        <f>'Composite HWI'!B444*48.35347462</f>
        <v>5125.4683097200004</v>
      </c>
      <c r="E481">
        <f t="shared" si="485"/>
        <v>5.8362369337979093E-2</v>
      </c>
      <c r="F481">
        <f t="shared" si="486"/>
        <v>4.2520891900779831E-2</v>
      </c>
      <c r="G481">
        <f>'2-state flows'!G480</f>
        <v>0.62701078957507883</v>
      </c>
      <c r="H481">
        <f t="shared" si="487"/>
        <v>0.65827656146597535</v>
      </c>
      <c r="I481">
        <f>'2-state flows'!H480</f>
        <v>3.7667953277474332E-2</v>
      </c>
      <c r="J481">
        <f t="shared" si="491"/>
        <v>7.0397455350508086E-4</v>
      </c>
      <c r="K481">
        <v>0.5</v>
      </c>
      <c r="L481">
        <f t="shared" si="493"/>
        <v>0.65061783423683572</v>
      </c>
      <c r="M481">
        <f t="shared" si="488"/>
        <v>2.2184141683738869E-2</v>
      </c>
      <c r="N481">
        <f t="shared" ref="N481:O481" si="552">AVERAGE(G479:G481)</f>
        <v>0.61032631030735729</v>
      </c>
      <c r="O481">
        <f t="shared" si="552"/>
        <v>0.64914004585914198</v>
      </c>
      <c r="P481">
        <f t="shared" si="495"/>
        <v>5.9170300876778194E-2</v>
      </c>
      <c r="Q481">
        <f t="shared" si="496"/>
        <v>4.1916609842918749E-2</v>
      </c>
      <c r="R481">
        <f t="shared" si="497"/>
        <v>2.1823882286547431E-2</v>
      </c>
    </row>
    <row r="482" spans="1:18" x14ac:dyDescent="0.25">
      <c r="A482" s="18">
        <f t="shared" si="490"/>
        <v>32112</v>
      </c>
      <c r="B482">
        <f>'2-state flows'!B481</f>
        <v>120729</v>
      </c>
      <c r="C482">
        <f>'2-state flows'!C481</f>
        <v>6936</v>
      </c>
      <c r="D482">
        <f>'Composite HWI'!B445*48.35347462</f>
        <v>4883.70093662</v>
      </c>
      <c r="E482">
        <f t="shared" si="485"/>
        <v>5.7450985264518049E-2</v>
      </c>
      <c r="F482">
        <f t="shared" si="486"/>
        <v>4.0451763342858799E-2</v>
      </c>
      <c r="G482">
        <f>'2-state flows'!G481</f>
        <v>0.58424622685308081</v>
      </c>
      <c r="H482">
        <f t="shared" si="487"/>
        <v>0.6471331608719002</v>
      </c>
      <c r="I482">
        <f>'2-state flows'!H481</f>
        <v>3.5811899927547998E-2</v>
      </c>
      <c r="J482">
        <f t="shared" si="491"/>
        <v>-5.0529448885137607E-2</v>
      </c>
      <c r="K482">
        <v>0.5</v>
      </c>
      <c r="L482">
        <f t="shared" si="493"/>
        <v>0.54955893646656051</v>
      </c>
      <c r="M482">
        <f t="shared" si="488"/>
        <v>2.3348933282451981E-2</v>
      </c>
      <c r="N482">
        <f t="shared" ref="N482:O482" si="553">AVERAGE(G480:G482)</f>
        <v>0.6125456483482864</v>
      </c>
      <c r="O482">
        <f t="shared" si="553"/>
        <v>0.64957563555811981</v>
      </c>
      <c r="P482">
        <f t="shared" si="495"/>
        <v>5.8594659734383131E-2</v>
      </c>
      <c r="Q482">
        <f t="shared" si="496"/>
        <v>4.1567332650771997E-2</v>
      </c>
      <c r="R482">
        <f t="shared" si="497"/>
        <v>2.2444973751255082E-2</v>
      </c>
    </row>
    <row r="483" spans="1:18" x14ac:dyDescent="0.25">
      <c r="A483" s="18">
        <f t="shared" si="490"/>
        <v>32143</v>
      </c>
      <c r="B483">
        <f>'2-state flows'!B482</f>
        <v>120969</v>
      </c>
      <c r="C483">
        <f>'2-state flows'!C482</f>
        <v>6953</v>
      </c>
      <c r="D483">
        <f>'Composite HWI'!B446*48.35347462</f>
        <v>4932.0544112400003</v>
      </c>
      <c r="E483">
        <f t="shared" si="485"/>
        <v>5.7477535566963438E-2</v>
      </c>
      <c r="F483">
        <f t="shared" si="486"/>
        <v>4.07712257788359E-2</v>
      </c>
      <c r="G483">
        <f>'2-state flows'!G482</f>
        <v>0.58540205170255011</v>
      </c>
      <c r="H483">
        <f t="shared" si="487"/>
        <v>0.64953338996511933</v>
      </c>
      <c r="I483">
        <f>'2-state flows'!H482</f>
        <v>3.5416824887650987E-2</v>
      </c>
      <c r="J483">
        <f t="shared" si="491"/>
        <v>-1.1093251842316174E-2</v>
      </c>
      <c r="K483">
        <v>0.5</v>
      </c>
      <c r="L483">
        <f t="shared" si="493"/>
        <v>0.52737243278192814</v>
      </c>
      <c r="M483">
        <f t="shared" si="488"/>
        <v>2.4061285770843124E-2</v>
      </c>
      <c r="N483">
        <f t="shared" ref="N483:O483" si="554">AVERAGE(G481:G483)</f>
        <v>0.59888635604356988</v>
      </c>
      <c r="O483">
        <f t="shared" si="554"/>
        <v>0.65164770410099837</v>
      </c>
      <c r="P483">
        <f t="shared" si="495"/>
        <v>5.776363005648686E-2</v>
      </c>
      <c r="Q483">
        <f t="shared" si="496"/>
        <v>4.1247960340824841E-2</v>
      </c>
      <c r="R483">
        <f t="shared" si="497"/>
        <v>2.3198120245677991E-2</v>
      </c>
    </row>
    <row r="484" spans="1:18" x14ac:dyDescent="0.25">
      <c r="A484" s="18">
        <f t="shared" si="490"/>
        <v>32174</v>
      </c>
      <c r="B484">
        <f>'2-state flows'!B483</f>
        <v>121156</v>
      </c>
      <c r="C484">
        <f>'2-state flows'!C483</f>
        <v>6929</v>
      </c>
      <c r="D484">
        <f>'Composite HWI'!B447*48.35347462</f>
        <v>4932.0544112400003</v>
      </c>
      <c r="E484">
        <f t="shared" si="485"/>
        <v>5.7190729307669448E-2</v>
      </c>
      <c r="F484">
        <f t="shared" si="486"/>
        <v>4.0708296834164222E-2</v>
      </c>
      <c r="G484">
        <f>'2-state flows'!G483</f>
        <v>0.59180685802179145</v>
      </c>
      <c r="H484">
        <f t="shared" si="487"/>
        <v>0.65065731303777896</v>
      </c>
      <c r="I484">
        <f>'2-state flows'!H483</f>
        <v>3.5274379680523507E-2</v>
      </c>
      <c r="J484">
        <f t="shared" si="491"/>
        <v>-4.0300742020511066E-3</v>
      </c>
      <c r="K484">
        <v>0.5</v>
      </c>
      <c r="L484">
        <f t="shared" si="493"/>
        <v>0.51931228437782595</v>
      </c>
      <c r="M484">
        <f t="shared" si="488"/>
        <v>2.421856870301739E-2</v>
      </c>
      <c r="N484">
        <f t="shared" ref="N484:O484" si="555">AVERAGE(G482:G484)</f>
        <v>0.5871517121924742</v>
      </c>
      <c r="O484">
        <f t="shared" si="555"/>
        <v>0.64910795462493287</v>
      </c>
      <c r="P484">
        <f t="shared" si="495"/>
        <v>5.7373083379716978E-2</v>
      </c>
      <c r="Q484">
        <f t="shared" si="496"/>
        <v>4.0643761985286304E-2</v>
      </c>
      <c r="R484">
        <f t="shared" si="497"/>
        <v>2.3876262585437499E-2</v>
      </c>
    </row>
    <row r="485" spans="1:18" x14ac:dyDescent="0.25">
      <c r="A485" s="18">
        <f t="shared" si="490"/>
        <v>32203</v>
      </c>
      <c r="B485">
        <f>'2-state flows'!B484</f>
        <v>120913</v>
      </c>
      <c r="C485">
        <f>'2-state flows'!C484</f>
        <v>6876</v>
      </c>
      <c r="D485">
        <f>'Composite HWI'!B448*48.35347462</f>
        <v>5028.7613604799999</v>
      </c>
      <c r="E485">
        <f t="shared" si="485"/>
        <v>5.6867334364377693E-2</v>
      </c>
      <c r="F485">
        <f t="shared" si="486"/>
        <v>4.1589914736049886E-2</v>
      </c>
      <c r="G485">
        <f>'2-state flows'!G484</f>
        <v>0.67698987580873793</v>
      </c>
      <c r="H485">
        <f t="shared" si="487"/>
        <v>0.6595325676269389</v>
      </c>
      <c r="I485">
        <f>'2-state flows'!H484</f>
        <v>3.7445292199752095E-2</v>
      </c>
      <c r="J485">
        <f t="shared" si="491"/>
        <v>5.9724080768901601E-2</v>
      </c>
      <c r="K485">
        <v>0.5</v>
      </c>
      <c r="L485">
        <f t="shared" si="493"/>
        <v>0.63876044591562919</v>
      </c>
      <c r="M485">
        <f t="shared" si="488"/>
        <v>2.1957247290851089E-2</v>
      </c>
      <c r="N485">
        <f t="shared" ref="N485:O485" si="556">AVERAGE(G483:G485)</f>
        <v>0.61806626184435975</v>
      </c>
      <c r="O485">
        <f t="shared" si="556"/>
        <v>0.6532410902099457</v>
      </c>
      <c r="P485">
        <f t="shared" si="495"/>
        <v>5.7178533079670191E-2</v>
      </c>
      <c r="Q485">
        <f t="shared" si="496"/>
        <v>4.1023145783016669E-2</v>
      </c>
      <c r="R485">
        <f t="shared" si="497"/>
        <v>2.3412367254903869E-2</v>
      </c>
    </row>
    <row r="486" spans="1:18" x14ac:dyDescent="0.25">
      <c r="A486" s="18">
        <f t="shared" si="490"/>
        <v>32234</v>
      </c>
      <c r="B486">
        <f>'2-state flows'!B485</f>
        <v>121251</v>
      </c>
      <c r="C486">
        <f>'2-state flows'!C485</f>
        <v>6601</v>
      </c>
      <c r="D486">
        <f>'Composite HWI'!B449*48.35347462</f>
        <v>4932.0544112400003</v>
      </c>
      <c r="E486">
        <f t="shared" si="485"/>
        <v>5.4440788117211404E-2</v>
      </c>
      <c r="F486">
        <f t="shared" si="486"/>
        <v>4.067640193680877E-2</v>
      </c>
      <c r="G486">
        <f>'2-state flows'!G485</f>
        <v>0.58322203431357333</v>
      </c>
      <c r="H486">
        <f t="shared" si="487"/>
        <v>0.66662673909083925</v>
      </c>
      <c r="I486">
        <f>'2-state flows'!H485</f>
        <v>3.5661358366503283E-2</v>
      </c>
      <c r="J486">
        <f t="shared" si="491"/>
        <v>-4.8813289237631168E-2</v>
      </c>
      <c r="K486">
        <v>0.5</v>
      </c>
      <c r="L486">
        <f t="shared" si="493"/>
        <v>0.54113386744036684</v>
      </c>
      <c r="M486">
        <f t="shared" si="488"/>
        <v>2.3677240063811465E-2</v>
      </c>
      <c r="N486">
        <f t="shared" ref="N486:O486" si="557">AVERAGE(G484:G486)</f>
        <v>0.61733958938136757</v>
      </c>
      <c r="O486">
        <f t="shared" si="557"/>
        <v>0.6589388732518523</v>
      </c>
      <c r="P486">
        <f t="shared" si="495"/>
        <v>5.6166283929752849E-2</v>
      </c>
      <c r="Q486">
        <f t="shared" si="496"/>
        <v>4.0991537835674295E-2</v>
      </c>
      <c r="R486">
        <f t="shared" si="497"/>
        <v>2.3284352019226646E-2</v>
      </c>
    </row>
    <row r="487" spans="1:18" x14ac:dyDescent="0.25">
      <c r="A487" s="18">
        <f t="shared" si="490"/>
        <v>32264</v>
      </c>
      <c r="B487">
        <f>'2-state flows'!B486</f>
        <v>121071</v>
      </c>
      <c r="C487">
        <f>'2-state flows'!C486</f>
        <v>6779</v>
      </c>
      <c r="D487">
        <f>'Composite HWI'!B450*48.35347462</f>
        <v>5077.1148351000002</v>
      </c>
      <c r="E487">
        <f t="shared" si="485"/>
        <v>5.5991938614531972E-2</v>
      </c>
      <c r="F487">
        <f t="shared" si="486"/>
        <v>4.1935020236885799E-2</v>
      </c>
      <c r="G487">
        <f>'2-state flows'!G486</f>
        <v>0.67690569398320655</v>
      </c>
      <c r="H487">
        <f t="shared" si="487"/>
        <v>0.66742019380389261</v>
      </c>
      <c r="I487">
        <f>'2-state flows'!H486</f>
        <v>3.7296732474581436E-2</v>
      </c>
      <c r="J487">
        <f t="shared" si="491"/>
        <v>4.4838017723218354E-2</v>
      </c>
      <c r="K487">
        <v>0.5</v>
      </c>
      <c r="L487">
        <f t="shared" si="493"/>
        <v>0.6308099028868035</v>
      </c>
      <c r="M487">
        <f t="shared" si="488"/>
        <v>2.2316166704347974E-2</v>
      </c>
      <c r="N487">
        <f t="shared" ref="N487:O487" si="558">AVERAGE(G485:G487)</f>
        <v>0.6457058680351726</v>
      </c>
      <c r="O487">
        <f t="shared" si="558"/>
        <v>0.66452650017389026</v>
      </c>
      <c r="P487">
        <f t="shared" si="495"/>
        <v>5.5766687032040352E-2</v>
      </c>
      <c r="Q487">
        <f t="shared" si="496"/>
        <v>4.140044563658149E-2</v>
      </c>
      <c r="R487">
        <f t="shared" si="497"/>
        <v>2.2650218019670171E-2</v>
      </c>
    </row>
    <row r="488" spans="1:18" x14ac:dyDescent="0.25">
      <c r="A488" s="18">
        <f t="shared" si="490"/>
        <v>32295</v>
      </c>
      <c r="B488">
        <f>'2-state flows'!B487</f>
        <v>121473</v>
      </c>
      <c r="C488">
        <f>'2-state flows'!C487</f>
        <v>6546</v>
      </c>
      <c r="D488">
        <f>'Composite HWI'!B451*48.35347462</f>
        <v>4932.0544112400003</v>
      </c>
      <c r="E488">
        <f t="shared" ref="E488:E551" si="559">C488/B488</f>
        <v>5.3888518436195701E-2</v>
      </c>
      <c r="F488">
        <f t="shared" ref="F488:F551" si="560">D488/B488</f>
        <v>4.0602063102417825E-2</v>
      </c>
      <c r="G488">
        <f>'2-state flows'!G487</f>
        <v>0.5959777741575869</v>
      </c>
      <c r="H488">
        <f t="shared" ref="H488:H551" si="561">0.771211801*(F488/E488)^0.5</f>
        <v>0.6694214059155873</v>
      </c>
      <c r="I488">
        <f>'2-state flows'!H487</f>
        <v>3.4637779318133603E-2</v>
      </c>
      <c r="J488">
        <f t="shared" si="491"/>
        <v>-7.3960747399818866E-2</v>
      </c>
      <c r="K488">
        <v>0.5</v>
      </c>
      <c r="L488">
        <f t="shared" si="493"/>
        <v>0.48288840808716577</v>
      </c>
      <c r="M488">
        <f t="shared" ref="M488:M551" si="562">F488/EXP(L488)</f>
        <v>2.5051418998167683E-2</v>
      </c>
      <c r="N488">
        <f t="shared" ref="N488:O488" si="563">AVERAGE(G486:G488)</f>
        <v>0.61870183415145563</v>
      </c>
      <c r="O488">
        <f t="shared" si="563"/>
        <v>0.66782277960343972</v>
      </c>
      <c r="P488">
        <f t="shared" si="495"/>
        <v>5.4773748389313016E-2</v>
      </c>
      <c r="Q488">
        <f t="shared" si="496"/>
        <v>4.1071161758704129E-2</v>
      </c>
      <c r="R488">
        <f t="shared" si="497"/>
        <v>2.3681608588775705E-2</v>
      </c>
    </row>
    <row r="489" spans="1:18" x14ac:dyDescent="0.25">
      <c r="A489" s="18">
        <f t="shared" ref="A489:A552" si="564">DATE(YEAR(A488),MONTH(A488)+1,1)</f>
        <v>32325</v>
      </c>
      <c r="B489">
        <f>'2-state flows'!B488</f>
        <v>121665</v>
      </c>
      <c r="C489">
        <f>'2-state flows'!C488</f>
        <v>6605</v>
      </c>
      <c r="D489">
        <f>'Composite HWI'!B452*48.35347462</f>
        <v>5028.7613604799999</v>
      </c>
      <c r="E489">
        <f t="shared" si="559"/>
        <v>5.4288414909793282E-2</v>
      </c>
      <c r="F489">
        <f t="shared" si="560"/>
        <v>4.1332851358073394E-2</v>
      </c>
      <c r="G489">
        <f>'2-state flows'!G488</f>
        <v>0.58736283345959128</v>
      </c>
      <c r="H489">
        <f t="shared" si="561"/>
        <v>0.67292671319136643</v>
      </c>
      <c r="I489">
        <f>'2-state flows'!H488</f>
        <v>3.6497831492704601E-2</v>
      </c>
      <c r="J489">
        <f t="shared" ref="J489:J552" si="565">LN(I489/I488)</f>
        <v>5.230787346967055E-2</v>
      </c>
      <c r="K489">
        <v>0.5</v>
      </c>
      <c r="L489">
        <f t="shared" si="493"/>
        <v>0.58750415502650688</v>
      </c>
      <c r="M489">
        <f t="shared" si="562"/>
        <v>2.2969183303527693E-2</v>
      </c>
      <c r="N489">
        <f t="shared" ref="N489:O489" si="566">AVERAGE(G487:G489)</f>
        <v>0.62008210053346158</v>
      </c>
      <c r="O489">
        <f t="shared" si="566"/>
        <v>0.66992277097028208</v>
      </c>
      <c r="P489">
        <f t="shared" si="495"/>
        <v>5.4722957320173654E-2</v>
      </c>
      <c r="Q489">
        <f t="shared" si="496"/>
        <v>4.1289978232459008E-2</v>
      </c>
      <c r="R489">
        <f t="shared" si="497"/>
        <v>2.3445589668681117E-2</v>
      </c>
    </row>
    <row r="490" spans="1:18" x14ac:dyDescent="0.25">
      <c r="A490" s="18">
        <f t="shared" si="564"/>
        <v>32356</v>
      </c>
      <c r="B490">
        <f>'2-state flows'!B489</f>
        <v>122125</v>
      </c>
      <c r="C490">
        <f>'2-state flows'!C489</f>
        <v>6843</v>
      </c>
      <c r="D490">
        <f>'Composite HWI'!B453*48.35347462</f>
        <v>5028.7613604799999</v>
      </c>
      <c r="E490">
        <f t="shared" si="559"/>
        <v>5.6032753326509727E-2</v>
      </c>
      <c r="F490">
        <f t="shared" si="560"/>
        <v>4.1177165694820876E-2</v>
      </c>
      <c r="G490">
        <f>'2-state flows'!G489</f>
        <v>0.68427245874917919</v>
      </c>
      <c r="H490">
        <f t="shared" si="561"/>
        <v>0.66112093516953885</v>
      </c>
      <c r="I490">
        <f>'2-state flows'!H489</f>
        <v>3.7706730994781196E-2</v>
      </c>
      <c r="J490">
        <f t="shared" si="565"/>
        <v>3.2585771828295619E-2</v>
      </c>
      <c r="K490">
        <v>0.5</v>
      </c>
      <c r="L490">
        <f t="shared" ref="L490:L553" si="567">L489+J490/(1-K490)</f>
        <v>0.65267569868309816</v>
      </c>
      <c r="M490">
        <f t="shared" si="562"/>
        <v>2.1438924534804504E-2</v>
      </c>
      <c r="N490">
        <f t="shared" ref="N490:O490" si="568">AVERAGE(G488:G490)</f>
        <v>0.62253768878878579</v>
      </c>
      <c r="O490">
        <f t="shared" si="568"/>
        <v>0.66782301809216416</v>
      </c>
      <c r="P490">
        <f t="shared" ref="P490:P553" si="569">AVERAGE(E488:E490)</f>
        <v>5.4736562224166237E-2</v>
      </c>
      <c r="Q490">
        <f t="shared" ref="Q490:Q553" si="570">AVERAGE(F488:F490)</f>
        <v>4.1037360051770701E-2</v>
      </c>
      <c r="R490">
        <f t="shared" ref="R490:R553" si="571">AVERAGE(M488:M490)</f>
        <v>2.3153175612166624E-2</v>
      </c>
    </row>
    <row r="491" spans="1:18" x14ac:dyDescent="0.25">
      <c r="A491" s="18">
        <f t="shared" si="564"/>
        <v>32387</v>
      </c>
      <c r="B491">
        <f>'2-state flows'!B490</f>
        <v>121960</v>
      </c>
      <c r="C491">
        <f>'2-state flows'!C490</f>
        <v>6604</v>
      </c>
      <c r="D491">
        <f>'Composite HWI'!B454*48.35347462</f>
        <v>4835.3474619999997</v>
      </c>
      <c r="E491">
        <f t="shared" si="559"/>
        <v>5.4148901279107903E-2</v>
      </c>
      <c r="F491">
        <f t="shared" si="560"/>
        <v>3.9646994604788453E-2</v>
      </c>
      <c r="G491">
        <f>'2-state flows'!G490</f>
        <v>0.64582906930386408</v>
      </c>
      <c r="H491">
        <f t="shared" si="561"/>
        <v>0.6599088882553219</v>
      </c>
      <c r="I491">
        <f>'2-state flows'!H490</f>
        <v>3.6542410653903401E-2</v>
      </c>
      <c r="J491">
        <f t="shared" si="565"/>
        <v>-3.1365097706083998E-2</v>
      </c>
      <c r="K491">
        <v>0.5</v>
      </c>
      <c r="L491">
        <f t="shared" si="567"/>
        <v>0.5899455032709302</v>
      </c>
      <c r="M491">
        <f t="shared" si="562"/>
        <v>2.1978608596797594E-2</v>
      </c>
      <c r="N491">
        <f t="shared" ref="N491:O491" si="572">AVERAGE(G489:G491)</f>
        <v>0.63915478717087815</v>
      </c>
      <c r="O491">
        <f t="shared" si="572"/>
        <v>0.66465217887207573</v>
      </c>
      <c r="P491">
        <f t="shared" si="569"/>
        <v>5.4823356505136971E-2</v>
      </c>
      <c r="Q491">
        <f t="shared" si="570"/>
        <v>4.0719003885894244E-2</v>
      </c>
      <c r="R491">
        <f t="shared" si="571"/>
        <v>2.2128905478376596E-2</v>
      </c>
    </row>
    <row r="492" spans="1:18" x14ac:dyDescent="0.25">
      <c r="A492" s="18">
        <f t="shared" si="564"/>
        <v>32417</v>
      </c>
      <c r="B492">
        <f>'2-state flows'!B491</f>
        <v>122206</v>
      </c>
      <c r="C492">
        <f>'2-state flows'!C491</f>
        <v>6568</v>
      </c>
      <c r="D492">
        <f>'Composite HWI'!B455*48.35347462</f>
        <v>5028.7613604799999</v>
      </c>
      <c r="E492">
        <f t="shared" si="559"/>
        <v>5.3745315287301768E-2</v>
      </c>
      <c r="F492">
        <f t="shared" si="560"/>
        <v>4.1149872841595339E-2</v>
      </c>
      <c r="G492">
        <f>'2-state flows'!G491</f>
        <v>0.64673790076482007</v>
      </c>
      <c r="H492">
        <f t="shared" si="561"/>
        <v>0.67481947517885033</v>
      </c>
      <c r="I492">
        <f>'2-state flows'!H491</f>
        <v>3.6363395136461148E-2</v>
      </c>
      <c r="J492">
        <f t="shared" si="565"/>
        <v>-4.9108812466768905E-3</v>
      </c>
      <c r="K492">
        <v>0.5</v>
      </c>
      <c r="L492">
        <f t="shared" si="567"/>
        <v>0.58012374077757645</v>
      </c>
      <c r="M492">
        <f t="shared" si="562"/>
        <v>2.303689580860771E-2</v>
      </c>
      <c r="N492">
        <f t="shared" ref="N492:O492" si="573">AVERAGE(G490:G492)</f>
        <v>0.65894647627262115</v>
      </c>
      <c r="O492">
        <f t="shared" si="573"/>
        <v>0.66528309953457032</v>
      </c>
      <c r="P492">
        <f t="shared" si="569"/>
        <v>5.4642323297639794E-2</v>
      </c>
      <c r="Q492">
        <f t="shared" si="570"/>
        <v>4.0658011047068225E-2</v>
      </c>
      <c r="R492">
        <f t="shared" si="571"/>
        <v>2.2151476313403268E-2</v>
      </c>
    </row>
    <row r="493" spans="1:18" x14ac:dyDescent="0.25">
      <c r="A493" s="18">
        <f t="shared" si="564"/>
        <v>32448</v>
      </c>
      <c r="B493">
        <f>'2-state flows'!B492</f>
        <v>122637</v>
      </c>
      <c r="C493">
        <f>'2-state flows'!C492</f>
        <v>6537</v>
      </c>
      <c r="D493">
        <f>'Composite HWI'!B456*48.35347462</f>
        <v>4932.0544112400003</v>
      </c>
      <c r="E493">
        <f t="shared" si="559"/>
        <v>5.3303652241982434E-2</v>
      </c>
      <c r="F493">
        <f t="shared" si="560"/>
        <v>4.0216691628464495E-2</v>
      </c>
      <c r="G493">
        <f>'2-state flows'!G492</f>
        <v>0.61165813697857641</v>
      </c>
      <c r="H493">
        <f t="shared" si="561"/>
        <v>0.66988206985764953</v>
      </c>
      <c r="I493">
        <f>'2-state flows'!H492</f>
        <v>3.4217204778994162E-2</v>
      </c>
      <c r="J493">
        <f t="shared" si="565"/>
        <v>-6.083405925257912E-2</v>
      </c>
      <c r="K493">
        <v>0.5</v>
      </c>
      <c r="L493">
        <f t="shared" si="567"/>
        <v>0.45845562227241821</v>
      </c>
      <c r="M493">
        <f t="shared" si="562"/>
        <v>2.5427378871195366E-2</v>
      </c>
      <c r="N493">
        <f t="shared" ref="N493:O493" si="574">AVERAGE(G491:G493)</f>
        <v>0.63474170234908689</v>
      </c>
      <c r="O493">
        <f t="shared" si="574"/>
        <v>0.66820347776394051</v>
      </c>
      <c r="P493">
        <f t="shared" si="569"/>
        <v>5.3732622936130701E-2</v>
      </c>
      <c r="Q493">
        <f t="shared" si="570"/>
        <v>4.0337853024949431E-2</v>
      </c>
      <c r="R493">
        <f t="shared" si="571"/>
        <v>2.3480961092200225E-2</v>
      </c>
    </row>
    <row r="494" spans="1:18" x14ac:dyDescent="0.25">
      <c r="A494" s="18">
        <f t="shared" si="564"/>
        <v>32478</v>
      </c>
      <c r="B494">
        <f>'2-state flows'!B493</f>
        <v>122622</v>
      </c>
      <c r="C494">
        <f>'2-state flows'!C493</f>
        <v>6518</v>
      </c>
      <c r="D494">
        <f>'Composite HWI'!B457*48.35347462</f>
        <v>5028.7613604799999</v>
      </c>
      <c r="E494">
        <f t="shared" si="559"/>
        <v>5.3155225000407758E-2</v>
      </c>
      <c r="F494">
        <f t="shared" si="560"/>
        <v>4.1010270265368368E-2</v>
      </c>
      <c r="G494">
        <f>'2-state flows'!G493</f>
        <v>0.61157143563997285</v>
      </c>
      <c r="H494">
        <f t="shared" si="561"/>
        <v>0.67740282233010563</v>
      </c>
      <c r="I494">
        <f>'2-state flows'!H493</f>
        <v>3.6252325527157014E-2</v>
      </c>
      <c r="J494">
        <f t="shared" si="565"/>
        <v>5.7774950428588351E-2</v>
      </c>
      <c r="K494">
        <v>0.5</v>
      </c>
      <c r="L494">
        <f t="shared" si="567"/>
        <v>0.57400552312959485</v>
      </c>
      <c r="M494">
        <f t="shared" si="562"/>
        <v>2.3099639387693507E-2</v>
      </c>
      <c r="N494">
        <f t="shared" ref="N494:O494" si="575">AVERAGE(G492:G494)</f>
        <v>0.62332249112778981</v>
      </c>
      <c r="O494">
        <f t="shared" si="575"/>
        <v>0.67403478912220172</v>
      </c>
      <c r="P494">
        <f t="shared" si="569"/>
        <v>5.3401397509897315E-2</v>
      </c>
      <c r="Q494">
        <f t="shared" si="570"/>
        <v>4.0792278245142734E-2</v>
      </c>
      <c r="R494">
        <f t="shared" si="571"/>
        <v>2.3854638022498861E-2</v>
      </c>
    </row>
    <row r="495" spans="1:18" x14ac:dyDescent="0.25">
      <c r="A495" s="18">
        <f t="shared" si="564"/>
        <v>32509</v>
      </c>
      <c r="B495">
        <f>'2-state flows'!B494</f>
        <v>123390</v>
      </c>
      <c r="C495">
        <f>'2-state flows'!C494</f>
        <v>6682</v>
      </c>
      <c r="D495">
        <f>'Composite HWI'!B458*48.35347462</f>
        <v>5028.7613604799999</v>
      </c>
      <c r="E495">
        <f t="shared" si="559"/>
        <v>5.4153497041899666E-2</v>
      </c>
      <c r="F495">
        <f t="shared" si="560"/>
        <v>4.0755015483264448E-2</v>
      </c>
      <c r="G495">
        <f>'2-state flows'!G494</f>
        <v>0.74726428833842529</v>
      </c>
      <c r="H495">
        <f t="shared" si="561"/>
        <v>0.66903824441323523</v>
      </c>
      <c r="I495">
        <f>'2-state flows'!H494</f>
        <v>3.8787488389388711E-2</v>
      </c>
      <c r="J495">
        <f t="shared" si="565"/>
        <v>6.7594198719159462E-2</v>
      </c>
      <c r="K495">
        <v>0.5</v>
      </c>
      <c r="L495">
        <f t="shared" si="567"/>
        <v>0.70919392056791375</v>
      </c>
      <c r="M495">
        <f t="shared" si="562"/>
        <v>2.0053124778061773E-2</v>
      </c>
      <c r="N495">
        <f t="shared" ref="N495:O495" si="576">AVERAGE(G493:G495)</f>
        <v>0.65683128698565818</v>
      </c>
      <c r="O495">
        <f t="shared" si="576"/>
        <v>0.67210771220033017</v>
      </c>
      <c r="P495">
        <f t="shared" si="569"/>
        <v>5.3537458094763291E-2</v>
      </c>
      <c r="Q495">
        <f t="shared" si="570"/>
        <v>4.0660659125699099E-2</v>
      </c>
      <c r="R495">
        <f t="shared" si="571"/>
        <v>2.2860047678983548E-2</v>
      </c>
    </row>
    <row r="496" spans="1:18" x14ac:dyDescent="0.25">
      <c r="A496" s="18">
        <f t="shared" si="564"/>
        <v>32540</v>
      </c>
      <c r="B496">
        <f>'2-state flows'!B495</f>
        <v>123135</v>
      </c>
      <c r="C496">
        <f>'2-state flows'!C495</f>
        <v>6359</v>
      </c>
      <c r="D496">
        <f>'Composite HWI'!B459*48.35347462</f>
        <v>4980.4078858599996</v>
      </c>
      <c r="E496">
        <f t="shared" si="559"/>
        <v>5.1642506192390462E-2</v>
      </c>
      <c r="F496">
        <f t="shared" si="560"/>
        <v>4.0446728272708815E-2</v>
      </c>
      <c r="G496">
        <f>'2-state flows'!G495</f>
        <v>0.69835018796175896</v>
      </c>
      <c r="H496">
        <f t="shared" si="561"/>
        <v>0.68251422914100524</v>
      </c>
      <c r="I496">
        <f>'2-state flows'!H495</f>
        <v>3.616658174112039E-2</v>
      </c>
      <c r="J496">
        <f t="shared" si="565"/>
        <v>-6.9962194297597063E-2</v>
      </c>
      <c r="K496">
        <v>0.5</v>
      </c>
      <c r="L496">
        <f t="shared" si="567"/>
        <v>0.56926953197271968</v>
      </c>
      <c r="M496">
        <f t="shared" si="562"/>
        <v>2.2890368327105084E-2</v>
      </c>
      <c r="N496">
        <f t="shared" ref="N496:O496" si="577">AVERAGE(G494:G496)</f>
        <v>0.68572863731338574</v>
      </c>
      <c r="O496">
        <f t="shared" si="577"/>
        <v>0.6763184319614487</v>
      </c>
      <c r="P496">
        <f t="shared" si="569"/>
        <v>5.2983742744899302E-2</v>
      </c>
      <c r="Q496">
        <f t="shared" si="570"/>
        <v>4.0737338007113877E-2</v>
      </c>
      <c r="R496">
        <f t="shared" si="571"/>
        <v>2.2014377497620124E-2</v>
      </c>
    </row>
    <row r="497" spans="1:18" x14ac:dyDescent="0.25">
      <c r="A497" s="18">
        <f t="shared" si="564"/>
        <v>32568</v>
      </c>
      <c r="B497">
        <f>'2-state flows'!B496</f>
        <v>123227</v>
      </c>
      <c r="C497">
        <f>'2-state flows'!C496</f>
        <v>6205</v>
      </c>
      <c r="D497">
        <f>'Composite HWI'!B460*48.35347462</f>
        <v>4786.9939873800004</v>
      </c>
      <c r="E497">
        <f t="shared" si="559"/>
        <v>5.035422431772258E-2</v>
      </c>
      <c r="F497">
        <f t="shared" si="560"/>
        <v>3.884695713910101E-2</v>
      </c>
      <c r="G497">
        <f>'2-state flows'!G496</f>
        <v>0.61400986000122149</v>
      </c>
      <c r="H497">
        <f t="shared" si="561"/>
        <v>0.67738287742974057</v>
      </c>
      <c r="I497">
        <f>'2-state flows'!H496</f>
        <v>3.5613314680212817E-2</v>
      </c>
      <c r="J497">
        <f t="shared" si="565"/>
        <v>-1.5415960332239603E-2</v>
      </c>
      <c r="K497">
        <v>0.5</v>
      </c>
      <c r="L497">
        <f t="shared" si="567"/>
        <v>0.53843761130824053</v>
      </c>
      <c r="M497">
        <f t="shared" si="562"/>
        <v>2.2673393377142349E-2</v>
      </c>
      <c r="N497">
        <f t="shared" ref="N497:O497" si="578">AVERAGE(G495:G497)</f>
        <v>0.68654144543380191</v>
      </c>
      <c r="O497">
        <f t="shared" si="578"/>
        <v>0.67631178366132705</v>
      </c>
      <c r="P497">
        <f t="shared" si="569"/>
        <v>5.2050075850670903E-2</v>
      </c>
      <c r="Q497">
        <f t="shared" si="570"/>
        <v>4.0016233631691427E-2</v>
      </c>
      <c r="R497">
        <f t="shared" si="571"/>
        <v>2.1872295494103067E-2</v>
      </c>
    </row>
    <row r="498" spans="1:18" x14ac:dyDescent="0.25">
      <c r="A498" s="18">
        <f t="shared" si="564"/>
        <v>32599</v>
      </c>
      <c r="B498">
        <f>'2-state flows'!B497</f>
        <v>123565</v>
      </c>
      <c r="C498">
        <f>'2-state flows'!C497</f>
        <v>6468</v>
      </c>
      <c r="D498">
        <f>'Composite HWI'!B461*48.35347462</f>
        <v>4980.4078858599996</v>
      </c>
      <c r="E498">
        <f t="shared" si="559"/>
        <v>5.2344919677902321E-2</v>
      </c>
      <c r="F498">
        <f t="shared" si="560"/>
        <v>4.0305975687775664E-2</v>
      </c>
      <c r="G498">
        <f>'2-state flows'!G497</f>
        <v>0.66599895234240325</v>
      </c>
      <c r="H498">
        <f t="shared" si="561"/>
        <v>0.67673886226929625</v>
      </c>
      <c r="I498">
        <f>'2-state flows'!H497</f>
        <v>3.5682111802002689E-2</v>
      </c>
      <c r="J498">
        <f t="shared" si="565"/>
        <v>1.929917430549507E-3</v>
      </c>
      <c r="K498">
        <v>0.5</v>
      </c>
      <c r="L498">
        <f t="shared" si="567"/>
        <v>0.5422974461693395</v>
      </c>
      <c r="M498">
        <f t="shared" si="562"/>
        <v>2.3434335873460308E-2</v>
      </c>
      <c r="N498">
        <f t="shared" ref="N498:O498" si="579">AVERAGE(G496:G498)</f>
        <v>0.65945300010179453</v>
      </c>
      <c r="O498">
        <f t="shared" si="579"/>
        <v>0.67887865628001398</v>
      </c>
      <c r="P498">
        <f t="shared" si="569"/>
        <v>5.1447216729338462E-2</v>
      </c>
      <c r="Q498">
        <f t="shared" si="570"/>
        <v>3.9866553699861827E-2</v>
      </c>
      <c r="R498">
        <f t="shared" si="571"/>
        <v>2.2999365859235912E-2</v>
      </c>
    </row>
    <row r="499" spans="1:18" x14ac:dyDescent="0.25">
      <c r="A499" s="18">
        <f t="shared" si="564"/>
        <v>32629</v>
      </c>
      <c r="B499">
        <f>'2-state flows'!B498</f>
        <v>123474</v>
      </c>
      <c r="C499">
        <f>'2-state flows'!C498</f>
        <v>6375</v>
      </c>
      <c r="D499">
        <f>'Composite HWI'!B462*48.35347462</f>
        <v>4738.6405127600001</v>
      </c>
      <c r="E499">
        <f t="shared" si="559"/>
        <v>5.1630302735798626E-2</v>
      </c>
      <c r="F499">
        <f t="shared" si="560"/>
        <v>3.8377638310575508E-2</v>
      </c>
      <c r="G499">
        <f>'2-state flows'!G498</f>
        <v>0.66637161209554663</v>
      </c>
      <c r="H499">
        <f t="shared" si="561"/>
        <v>0.66490630848974641</v>
      </c>
      <c r="I499">
        <f>'2-state flows'!H498</f>
        <v>3.8682045097913335E-2</v>
      </c>
      <c r="J499">
        <f t="shared" si="565"/>
        <v>8.0726048182707358E-2</v>
      </c>
      <c r="K499">
        <v>0.5</v>
      </c>
      <c r="L499">
        <f t="shared" si="567"/>
        <v>0.70374954253475419</v>
      </c>
      <c r="M499">
        <f t="shared" si="562"/>
        <v>1.898644705558003E-2</v>
      </c>
      <c r="N499">
        <f t="shared" ref="N499:O499" si="580">AVERAGE(G497:G499)</f>
        <v>0.64879347481305716</v>
      </c>
      <c r="O499">
        <f t="shared" si="580"/>
        <v>0.67300934939626111</v>
      </c>
      <c r="P499">
        <f t="shared" si="569"/>
        <v>5.1443148910474516E-2</v>
      </c>
      <c r="Q499">
        <f t="shared" si="570"/>
        <v>3.9176857045817394E-2</v>
      </c>
      <c r="R499">
        <f t="shared" si="571"/>
        <v>2.1698058768727563E-2</v>
      </c>
    </row>
    <row r="500" spans="1:18" x14ac:dyDescent="0.25">
      <c r="A500" s="18">
        <f t="shared" si="564"/>
        <v>32660</v>
      </c>
      <c r="B500">
        <f>'2-state flows'!B499</f>
        <v>123995</v>
      </c>
      <c r="C500">
        <f>'2-state flows'!C499</f>
        <v>6577</v>
      </c>
      <c r="D500">
        <f>'Composite HWI'!B463*48.35347462</f>
        <v>4641.9335635200005</v>
      </c>
      <c r="E500">
        <f t="shared" si="559"/>
        <v>5.3042461389572158E-2</v>
      </c>
      <c r="F500">
        <f t="shared" si="560"/>
        <v>3.743645762748498E-2</v>
      </c>
      <c r="G500">
        <f>'2-state flows'!G499</f>
        <v>0.68301170312811088</v>
      </c>
      <c r="H500">
        <f t="shared" si="561"/>
        <v>0.64790182873029822</v>
      </c>
      <c r="I500">
        <f>'2-state flows'!H499</f>
        <v>3.7278110057208283E-2</v>
      </c>
      <c r="J500">
        <f t="shared" si="565"/>
        <v>-3.6969248776903829E-2</v>
      </c>
      <c r="K500">
        <v>0.5</v>
      </c>
      <c r="L500">
        <f t="shared" si="567"/>
        <v>0.62981104498094653</v>
      </c>
      <c r="M500">
        <f t="shared" si="562"/>
        <v>1.9942118198480515E-2</v>
      </c>
      <c r="N500">
        <f t="shared" ref="N500:O500" si="581">AVERAGE(G498:G500)</f>
        <v>0.67179408918868688</v>
      </c>
      <c r="O500">
        <f t="shared" si="581"/>
        <v>0.66318233316311359</v>
      </c>
      <c r="P500">
        <f t="shared" si="569"/>
        <v>5.2339227934424366E-2</v>
      </c>
      <c r="Q500">
        <f t="shared" si="570"/>
        <v>3.8706690541945386E-2</v>
      </c>
      <c r="R500">
        <f t="shared" si="571"/>
        <v>2.0787633709173619E-2</v>
      </c>
    </row>
    <row r="501" spans="1:18" x14ac:dyDescent="0.25">
      <c r="A501" s="18">
        <f t="shared" si="564"/>
        <v>32690</v>
      </c>
      <c r="B501">
        <f>'2-state flows'!B500</f>
        <v>123967</v>
      </c>
      <c r="C501">
        <f>'2-state flows'!C500</f>
        <v>6495</v>
      </c>
      <c r="D501">
        <f>'Composite HWI'!B464*48.35347462</f>
        <v>4641.9335635200005</v>
      </c>
      <c r="E501">
        <f t="shared" si="559"/>
        <v>5.2392975549944744E-2</v>
      </c>
      <c r="F501">
        <f t="shared" si="560"/>
        <v>3.7444913271435142E-2</v>
      </c>
      <c r="G501">
        <f>'2-state flows'!G500</f>
        <v>0.64109974412709514</v>
      </c>
      <c r="H501">
        <f t="shared" si="561"/>
        <v>0.65197891216637438</v>
      </c>
      <c r="I501">
        <f>'2-state flows'!H500</f>
        <v>3.563370606997017E-2</v>
      </c>
      <c r="J501">
        <f t="shared" si="565"/>
        <v>-4.511430299786745E-2</v>
      </c>
      <c r="K501">
        <v>0.5</v>
      </c>
      <c r="L501">
        <f t="shared" si="567"/>
        <v>0.53958243898521163</v>
      </c>
      <c r="M501">
        <f t="shared" si="562"/>
        <v>2.1830071253079578E-2</v>
      </c>
      <c r="N501">
        <f t="shared" ref="N501:O501" si="582">AVERAGE(G499:G501)</f>
        <v>0.66349435311691751</v>
      </c>
      <c r="O501">
        <f t="shared" si="582"/>
        <v>0.65492901646213963</v>
      </c>
      <c r="P501">
        <f t="shared" si="569"/>
        <v>5.2355246558438512E-2</v>
      </c>
      <c r="Q501">
        <f t="shared" si="570"/>
        <v>3.7753003069831877E-2</v>
      </c>
      <c r="R501">
        <f t="shared" si="571"/>
        <v>2.0252878835713375E-2</v>
      </c>
    </row>
    <row r="502" spans="1:18" x14ac:dyDescent="0.25">
      <c r="A502" s="18">
        <f t="shared" si="564"/>
        <v>32721</v>
      </c>
      <c r="B502">
        <f>'2-state flows'!B501</f>
        <v>124166</v>
      </c>
      <c r="C502">
        <f>'2-state flows'!C501</f>
        <v>6511</v>
      </c>
      <c r="D502">
        <f>'Composite HWI'!B465*48.35347462</f>
        <v>4593.5800889000002</v>
      </c>
      <c r="E502">
        <f t="shared" si="559"/>
        <v>5.2437865438203696E-2</v>
      </c>
      <c r="F502">
        <f t="shared" si="560"/>
        <v>3.699547451717862E-2</v>
      </c>
      <c r="G502">
        <f>'2-state flows'!G501</f>
        <v>0.65680147752101437</v>
      </c>
      <c r="H502">
        <f t="shared" si="561"/>
        <v>0.64777691240712709</v>
      </c>
      <c r="I502">
        <f>'2-state flows'!H501</f>
        <v>3.7278457376869537E-2</v>
      </c>
      <c r="J502">
        <f t="shared" si="565"/>
        <v>4.5123619941316168E-2</v>
      </c>
      <c r="K502">
        <v>0.5</v>
      </c>
      <c r="L502">
        <f t="shared" si="567"/>
        <v>0.62982967886784391</v>
      </c>
      <c r="M502">
        <f t="shared" si="562"/>
        <v>1.9706842608128661E-2</v>
      </c>
      <c r="N502">
        <f t="shared" ref="N502:O502" si="583">AVERAGE(G500:G502)</f>
        <v>0.6603043082587402</v>
      </c>
      <c r="O502">
        <f t="shared" si="583"/>
        <v>0.64921921776793323</v>
      </c>
      <c r="P502">
        <f t="shared" si="569"/>
        <v>5.2624434125906866E-2</v>
      </c>
      <c r="Q502">
        <f t="shared" si="570"/>
        <v>3.7292281805366249E-2</v>
      </c>
      <c r="R502">
        <f t="shared" si="571"/>
        <v>2.049301068656292E-2</v>
      </c>
    </row>
    <row r="503" spans="1:18" x14ac:dyDescent="0.25">
      <c r="A503" s="18">
        <f t="shared" si="564"/>
        <v>32752</v>
      </c>
      <c r="B503">
        <f>'2-state flows'!B502</f>
        <v>123944</v>
      </c>
      <c r="C503">
        <f>'2-state flows'!C502</f>
        <v>6590</v>
      </c>
      <c r="D503">
        <f>'Composite HWI'!B466*48.35347462</f>
        <v>4593.5800889000002</v>
      </c>
      <c r="E503">
        <f t="shared" si="559"/>
        <v>5.3169173174982251E-2</v>
      </c>
      <c r="F503">
        <f t="shared" si="560"/>
        <v>3.7061738276156976E-2</v>
      </c>
      <c r="G503">
        <f>'2-state flows'!G502</f>
        <v>0.6582547188849831</v>
      </c>
      <c r="H503">
        <f t="shared" si="561"/>
        <v>0.64388247613086469</v>
      </c>
      <c r="I503">
        <f>'2-state flows'!H502</f>
        <v>3.7437265563589284E-2</v>
      </c>
      <c r="J503">
        <f t="shared" si="565"/>
        <v>4.2510041962281961E-3</v>
      </c>
      <c r="K503">
        <v>0.5</v>
      </c>
      <c r="L503">
        <f t="shared" si="567"/>
        <v>0.63833168726030032</v>
      </c>
      <c r="M503">
        <f t="shared" si="562"/>
        <v>1.957500381703917E-2</v>
      </c>
      <c r="N503">
        <f t="shared" ref="N503:O503" si="584">AVERAGE(G501:G503)</f>
        <v>0.6520519801776975</v>
      </c>
      <c r="O503">
        <f t="shared" si="584"/>
        <v>0.64787943356812205</v>
      </c>
      <c r="P503">
        <f t="shared" si="569"/>
        <v>5.266667138771023E-2</v>
      </c>
      <c r="Q503">
        <f t="shared" si="570"/>
        <v>3.7167375354923572E-2</v>
      </c>
      <c r="R503">
        <f t="shared" si="571"/>
        <v>2.0370639226082468E-2</v>
      </c>
    </row>
    <row r="504" spans="1:18" x14ac:dyDescent="0.25">
      <c r="A504" s="18">
        <f t="shared" si="564"/>
        <v>32782</v>
      </c>
      <c r="B504">
        <f>'2-state flows'!B503</f>
        <v>124211</v>
      </c>
      <c r="C504">
        <f>'2-state flows'!C503</f>
        <v>6630</v>
      </c>
      <c r="D504">
        <f>'Composite HWI'!B467*48.35347462</f>
        <v>4690.2870381399998</v>
      </c>
      <c r="E504">
        <f t="shared" si="559"/>
        <v>5.337691508803568E-2</v>
      </c>
      <c r="F504">
        <f t="shared" si="560"/>
        <v>3.7760641474104545E-2</v>
      </c>
      <c r="G504">
        <f>'2-state flows'!G503</f>
        <v>0.64514738826567986</v>
      </c>
      <c r="H504">
        <f t="shared" si="561"/>
        <v>0.6486592462886045</v>
      </c>
      <c r="I504">
        <f>'2-state flows'!H503</f>
        <v>3.7492565886250204E-2</v>
      </c>
      <c r="J504">
        <f t="shared" si="565"/>
        <v>1.4760565086383067E-3</v>
      </c>
      <c r="K504">
        <v>0.5</v>
      </c>
      <c r="L504">
        <f t="shared" si="567"/>
        <v>0.64128380027757692</v>
      </c>
      <c r="M504">
        <f t="shared" si="562"/>
        <v>1.9885354958115532E-2</v>
      </c>
      <c r="N504">
        <f t="shared" ref="N504:O504" si="585">AVERAGE(G502:G504)</f>
        <v>0.65340119489055903</v>
      </c>
      <c r="O504">
        <f t="shared" si="585"/>
        <v>0.64677287827553209</v>
      </c>
      <c r="P504">
        <f t="shared" si="569"/>
        <v>5.2994651233740538E-2</v>
      </c>
      <c r="Q504">
        <f t="shared" si="570"/>
        <v>3.7272618089146718E-2</v>
      </c>
      <c r="R504">
        <f t="shared" si="571"/>
        <v>1.9722400461094452E-2</v>
      </c>
    </row>
    <row r="505" spans="1:18" x14ac:dyDescent="0.25">
      <c r="A505" s="18">
        <f t="shared" si="564"/>
        <v>32813</v>
      </c>
      <c r="B505">
        <f>'2-state flows'!B504</f>
        <v>124637</v>
      </c>
      <c r="C505">
        <f>'2-state flows'!C504</f>
        <v>6725</v>
      </c>
      <c r="D505">
        <f>'Composite HWI'!B468*48.35347462</f>
        <v>4545.2266142799999</v>
      </c>
      <c r="E505">
        <f t="shared" si="559"/>
        <v>5.3956690228423344E-2</v>
      </c>
      <c r="F505">
        <f t="shared" si="560"/>
        <v>3.6467715159061914E-2</v>
      </c>
      <c r="G505">
        <f>'2-state flows'!G504</f>
        <v>0.68441220755824628</v>
      </c>
      <c r="H505">
        <f t="shared" si="561"/>
        <v>0.63402340858812001</v>
      </c>
      <c r="I505">
        <f>'2-state flows'!H504</f>
        <v>3.834392649161425E-2</v>
      </c>
      <c r="J505">
        <f t="shared" si="565"/>
        <v>2.2453474488587307E-2</v>
      </c>
      <c r="K505">
        <v>0.5</v>
      </c>
      <c r="L505">
        <f t="shared" si="567"/>
        <v>0.68619074925475154</v>
      </c>
      <c r="M505">
        <f t="shared" si="562"/>
        <v>1.8361142367858716E-2</v>
      </c>
      <c r="N505">
        <f t="shared" ref="N505:O505" si="586">AVERAGE(G503:G505)</f>
        <v>0.66260477156963649</v>
      </c>
      <c r="O505">
        <f t="shared" si="586"/>
        <v>0.64218837700252973</v>
      </c>
      <c r="P505">
        <f t="shared" si="569"/>
        <v>5.3500926163813751E-2</v>
      </c>
      <c r="Q505">
        <f t="shared" si="570"/>
        <v>3.7096698303107807E-2</v>
      </c>
      <c r="R505">
        <f t="shared" si="571"/>
        <v>1.9273833714337805E-2</v>
      </c>
    </row>
    <row r="506" spans="1:18" x14ac:dyDescent="0.25">
      <c r="A506" s="18">
        <f t="shared" si="564"/>
        <v>32843</v>
      </c>
      <c r="B506">
        <f>'2-state flows'!B505</f>
        <v>124497</v>
      </c>
      <c r="C506">
        <f>'2-state flows'!C505</f>
        <v>6667</v>
      </c>
      <c r="D506">
        <f>'Composite HWI'!B469*48.35347462</f>
        <v>4641.9335635200005</v>
      </c>
      <c r="E506">
        <f t="shared" si="559"/>
        <v>5.3551491200591182E-2</v>
      </c>
      <c r="F506">
        <f t="shared" si="560"/>
        <v>3.7285505381816436E-2</v>
      </c>
      <c r="G506">
        <f>'2-state flows'!G505</f>
        <v>0.62656709701222391</v>
      </c>
      <c r="H506">
        <f t="shared" si="561"/>
        <v>0.64351385104102576</v>
      </c>
      <c r="I506">
        <f>'2-state flows'!H505</f>
        <v>3.6438866872614342E-2</v>
      </c>
      <c r="J506">
        <f t="shared" si="565"/>
        <v>-5.09601685727318E-2</v>
      </c>
      <c r="K506">
        <v>0.5</v>
      </c>
      <c r="L506">
        <f t="shared" si="567"/>
        <v>0.58427041210928798</v>
      </c>
      <c r="M506">
        <f t="shared" si="562"/>
        <v>2.0787134119040328E-2</v>
      </c>
      <c r="N506">
        <f t="shared" ref="N506:O506" si="587">AVERAGE(G504:G506)</f>
        <v>0.65204223094538338</v>
      </c>
      <c r="O506">
        <f t="shared" si="587"/>
        <v>0.6420655019725835</v>
      </c>
      <c r="P506">
        <f t="shared" si="569"/>
        <v>5.3628365505683402E-2</v>
      </c>
      <c r="Q506">
        <f t="shared" si="570"/>
        <v>3.7171287338327634E-2</v>
      </c>
      <c r="R506">
        <f t="shared" si="571"/>
        <v>1.9677877148338196E-2</v>
      </c>
    </row>
    <row r="507" spans="1:18" x14ac:dyDescent="0.25">
      <c r="A507" s="18">
        <f t="shared" si="564"/>
        <v>32874</v>
      </c>
      <c r="B507">
        <f>'2-state flows'!B506</f>
        <v>125833</v>
      </c>
      <c r="C507">
        <f>'2-state flows'!C506</f>
        <v>6752</v>
      </c>
      <c r="D507">
        <f>'Composite HWI'!B470*48.35347462</f>
        <v>4690.2870381399998</v>
      </c>
      <c r="E507">
        <f t="shared" si="559"/>
        <v>5.3658420287206056E-2</v>
      </c>
      <c r="F507">
        <f t="shared" si="560"/>
        <v>3.7273903015425207E-2</v>
      </c>
      <c r="G507">
        <f>'2-state flows'!G506</f>
        <v>0.67786175655812253</v>
      </c>
      <c r="H507">
        <f t="shared" si="561"/>
        <v>0.64277231145242208</v>
      </c>
      <c r="I507">
        <f>'2-state flows'!H506</f>
        <v>3.7248105430437821E-2</v>
      </c>
      <c r="J507">
        <f t="shared" si="565"/>
        <v>2.1965106398118776E-2</v>
      </c>
      <c r="K507">
        <v>0.5</v>
      </c>
      <c r="L507">
        <f t="shared" si="567"/>
        <v>0.62820062490552553</v>
      </c>
      <c r="M507">
        <f t="shared" si="562"/>
        <v>1.9887528084139565E-2</v>
      </c>
      <c r="N507">
        <f t="shared" ref="N507:O507" si="588">AVERAGE(G505:G507)</f>
        <v>0.66294702037619757</v>
      </c>
      <c r="O507">
        <f t="shared" si="588"/>
        <v>0.64010319036052266</v>
      </c>
      <c r="P507">
        <f t="shared" si="569"/>
        <v>5.3722200572073525E-2</v>
      </c>
      <c r="Q507">
        <f t="shared" si="570"/>
        <v>3.7009041185434521E-2</v>
      </c>
      <c r="R507">
        <f t="shared" si="571"/>
        <v>1.9678601523679538E-2</v>
      </c>
    </row>
    <row r="508" spans="1:18" x14ac:dyDescent="0.25">
      <c r="A508" s="18">
        <f t="shared" si="564"/>
        <v>32905</v>
      </c>
      <c r="B508">
        <f>'2-state flows'!B507</f>
        <v>125710</v>
      </c>
      <c r="C508">
        <f>'2-state flows'!C507</f>
        <v>6651</v>
      </c>
      <c r="D508">
        <f>'Composite HWI'!B471*48.35347462</f>
        <v>4448.5196650400003</v>
      </c>
      <c r="E508">
        <f t="shared" si="559"/>
        <v>5.2907485482459632E-2</v>
      </c>
      <c r="F508">
        <f t="shared" si="560"/>
        <v>3.5387158261395275E-2</v>
      </c>
      <c r="G508">
        <f>'2-state flows'!G507</f>
        <v>0.67334750137262755</v>
      </c>
      <c r="H508">
        <f t="shared" si="561"/>
        <v>0.63072195670894982</v>
      </c>
      <c r="I508">
        <f>'2-state flows'!H507</f>
        <v>3.6993424572793338E-2</v>
      </c>
      <c r="J508">
        <f t="shared" si="565"/>
        <v>-6.860900001916412E-3</v>
      </c>
      <c r="K508">
        <v>0.5</v>
      </c>
      <c r="L508">
        <f t="shared" si="567"/>
        <v>0.6144788249016927</v>
      </c>
      <c r="M508">
        <f t="shared" si="562"/>
        <v>1.9141718512702289E-2</v>
      </c>
      <c r="N508">
        <f t="shared" ref="N508:O508" si="589">AVERAGE(G506:G508)</f>
        <v>0.65925878498099133</v>
      </c>
      <c r="O508">
        <f t="shared" si="589"/>
        <v>0.63900270640079926</v>
      </c>
      <c r="P508">
        <f t="shared" si="569"/>
        <v>5.3372465656752292E-2</v>
      </c>
      <c r="Q508">
        <f t="shared" si="570"/>
        <v>3.6648855552878973E-2</v>
      </c>
      <c r="R508">
        <f t="shared" si="571"/>
        <v>1.9938793571960725E-2</v>
      </c>
    </row>
    <row r="509" spans="1:18" x14ac:dyDescent="0.25">
      <c r="A509" s="18">
        <f t="shared" si="564"/>
        <v>32933</v>
      </c>
      <c r="B509">
        <f>'2-state flows'!B508</f>
        <v>125801</v>
      </c>
      <c r="C509">
        <f>'2-state flows'!C508</f>
        <v>6598</v>
      </c>
      <c r="D509">
        <f>'Composite HWI'!B472*48.35347462</f>
        <v>4351.8127157999998</v>
      </c>
      <c r="E509">
        <f t="shared" si="559"/>
        <v>5.2447913768570997E-2</v>
      </c>
      <c r="F509">
        <f t="shared" si="560"/>
        <v>3.4592830866209331E-2</v>
      </c>
      <c r="G509">
        <f>'2-state flows'!G508</f>
        <v>0.62603543466184475</v>
      </c>
      <c r="H509">
        <f t="shared" si="561"/>
        <v>0.62632912779748406</v>
      </c>
      <c r="I509">
        <f>'2-state flows'!H508</f>
        <v>3.6935172809390848E-2</v>
      </c>
      <c r="J509">
        <f t="shared" si="565"/>
        <v>-1.5758928891004428E-3</v>
      </c>
      <c r="K509">
        <v>0.5</v>
      </c>
      <c r="L509">
        <f t="shared" si="567"/>
        <v>0.61132703912349184</v>
      </c>
      <c r="M509">
        <f t="shared" si="562"/>
        <v>1.87711181711059E-2</v>
      </c>
      <c r="N509">
        <f t="shared" ref="N509:O509" si="590">AVERAGE(G507:G509)</f>
        <v>0.6590815641975315</v>
      </c>
      <c r="O509">
        <f t="shared" si="590"/>
        <v>0.63327446531961862</v>
      </c>
      <c r="P509">
        <f t="shared" si="569"/>
        <v>5.3004606512745557E-2</v>
      </c>
      <c r="Q509">
        <f t="shared" si="570"/>
        <v>3.575129738100994E-2</v>
      </c>
      <c r="R509">
        <f t="shared" si="571"/>
        <v>1.9266788255982586E-2</v>
      </c>
    </row>
    <row r="510" spans="1:18" x14ac:dyDescent="0.25">
      <c r="A510" s="18">
        <f t="shared" si="564"/>
        <v>32964</v>
      </c>
      <c r="B510">
        <f>'2-state flows'!B509</f>
        <v>125649</v>
      </c>
      <c r="C510">
        <f>'2-state flows'!C509</f>
        <v>6797</v>
      </c>
      <c r="D510">
        <f>'Composite HWI'!B473*48.35347462</f>
        <v>4351.8127157999998</v>
      </c>
      <c r="E510">
        <f t="shared" si="559"/>
        <v>5.4095138043279291E-2</v>
      </c>
      <c r="F510">
        <f t="shared" si="560"/>
        <v>3.4634678475753883E-2</v>
      </c>
      <c r="G510">
        <f>'2-state flows'!G509</f>
        <v>0.62862705005786312</v>
      </c>
      <c r="H510">
        <f t="shared" si="561"/>
        <v>0.61709230362845446</v>
      </c>
      <c r="I510">
        <f>'2-state flows'!H509</f>
        <v>3.5317149481640116E-2</v>
      </c>
      <c r="J510">
        <f t="shared" si="565"/>
        <v>-4.4795622737180109E-2</v>
      </c>
      <c r="K510">
        <v>0.5</v>
      </c>
      <c r="L510">
        <f t="shared" si="567"/>
        <v>0.52173579364913159</v>
      </c>
      <c r="M510">
        <f t="shared" si="562"/>
        <v>2.055531725273296E-2</v>
      </c>
      <c r="N510">
        <f t="shared" ref="N510:O510" si="591">AVERAGE(G508:G510)</f>
        <v>0.64266999536411173</v>
      </c>
      <c r="O510">
        <f t="shared" si="591"/>
        <v>0.62471446271162945</v>
      </c>
      <c r="P510">
        <f t="shared" si="569"/>
        <v>5.3150179098103302E-2</v>
      </c>
      <c r="Q510">
        <f t="shared" si="570"/>
        <v>3.4871555867786168E-2</v>
      </c>
      <c r="R510">
        <f t="shared" si="571"/>
        <v>1.9489384645513714E-2</v>
      </c>
    </row>
    <row r="511" spans="1:18" x14ac:dyDescent="0.25">
      <c r="A511" s="18">
        <f t="shared" si="564"/>
        <v>32994</v>
      </c>
      <c r="B511">
        <f>'2-state flows'!B510</f>
        <v>125893</v>
      </c>
      <c r="C511">
        <f>'2-state flows'!C510</f>
        <v>6742</v>
      </c>
      <c r="D511">
        <f>'Composite HWI'!B474*48.35347462</f>
        <v>4158.3988173199996</v>
      </c>
      <c r="E511">
        <f t="shared" si="559"/>
        <v>5.3553414407473014E-2</v>
      </c>
      <c r="F511">
        <f t="shared" si="560"/>
        <v>3.3031215534779529E-2</v>
      </c>
      <c r="G511">
        <f>'2-state flows'!G510</f>
        <v>0.67317588536173978</v>
      </c>
      <c r="H511">
        <f t="shared" si="561"/>
        <v>0.60567878461564095</v>
      </c>
      <c r="I511">
        <f>'2-state flows'!H510</f>
        <v>3.6309454211340089E-2</v>
      </c>
      <c r="J511">
        <f t="shared" si="565"/>
        <v>2.7709486977802705E-2</v>
      </c>
      <c r="K511">
        <v>0.5</v>
      </c>
      <c r="L511">
        <f t="shared" si="567"/>
        <v>0.57715476760473705</v>
      </c>
      <c r="M511">
        <f t="shared" si="562"/>
        <v>1.8546818632473108E-2</v>
      </c>
      <c r="N511">
        <f t="shared" ref="N511:O511" si="592">AVERAGE(G509:G511)</f>
        <v>0.64261279002714922</v>
      </c>
      <c r="O511">
        <f t="shared" si="592"/>
        <v>0.6163667386805266</v>
      </c>
      <c r="P511">
        <f t="shared" si="569"/>
        <v>5.3365488739774432E-2</v>
      </c>
      <c r="Q511">
        <f t="shared" si="570"/>
        <v>3.4086241625580917E-2</v>
      </c>
      <c r="R511">
        <f t="shared" si="571"/>
        <v>1.9291084685437321E-2</v>
      </c>
    </row>
    <row r="512" spans="1:18" x14ac:dyDescent="0.25">
      <c r="A512" s="18">
        <f t="shared" si="564"/>
        <v>33025</v>
      </c>
      <c r="B512">
        <f>'2-state flows'!B511</f>
        <v>125573</v>
      </c>
      <c r="C512">
        <f>'2-state flows'!C511</f>
        <v>6590</v>
      </c>
      <c r="D512">
        <f>'Composite HWI'!B475*48.35347462</f>
        <v>4158.3988173199996</v>
      </c>
      <c r="E512">
        <f t="shared" si="559"/>
        <v>5.2479434273291235E-2</v>
      </c>
      <c r="F512">
        <f t="shared" si="560"/>
        <v>3.3115389592667209E-2</v>
      </c>
      <c r="G512">
        <f>'2-state flows'!G511</f>
        <v>0.57695029511039697</v>
      </c>
      <c r="H512">
        <f t="shared" si="561"/>
        <v>0.6126240308694838</v>
      </c>
      <c r="I512">
        <f>'2-state flows'!H511</f>
        <v>3.5686776993358239E-2</v>
      </c>
      <c r="J512">
        <f t="shared" si="565"/>
        <v>-1.7297926123369441E-2</v>
      </c>
      <c r="K512">
        <v>0.5</v>
      </c>
      <c r="L512">
        <f t="shared" si="567"/>
        <v>0.54255891535799816</v>
      </c>
      <c r="M512">
        <f t="shared" si="562"/>
        <v>1.9248616756551613E-2</v>
      </c>
      <c r="N512">
        <f t="shared" ref="N512:O512" si="593">AVERAGE(G510:G512)</f>
        <v>0.62625107684333337</v>
      </c>
      <c r="O512">
        <f t="shared" si="593"/>
        <v>0.61179837303785967</v>
      </c>
      <c r="P512">
        <f t="shared" si="569"/>
        <v>5.337599557468118E-2</v>
      </c>
      <c r="Q512">
        <f t="shared" si="570"/>
        <v>3.3593761201066878E-2</v>
      </c>
      <c r="R512">
        <f t="shared" si="571"/>
        <v>1.9450250880585895E-2</v>
      </c>
    </row>
    <row r="513" spans="1:18" x14ac:dyDescent="0.25">
      <c r="A513" s="18">
        <f t="shared" si="564"/>
        <v>33055</v>
      </c>
      <c r="B513">
        <f>'2-state flows'!B512</f>
        <v>125732</v>
      </c>
      <c r="C513">
        <f>'2-state flows'!C512</f>
        <v>6922</v>
      </c>
      <c r="D513">
        <f>'Composite HWI'!B476*48.35347462</f>
        <v>4110.0453427000002</v>
      </c>
      <c r="E513">
        <f t="shared" si="559"/>
        <v>5.5053606082779247E-2</v>
      </c>
      <c r="F513">
        <f t="shared" si="560"/>
        <v>3.2688936330448892E-2</v>
      </c>
      <c r="G513">
        <f>'2-state flows'!G512</f>
        <v>0.58196716762210465</v>
      </c>
      <c r="H513">
        <f t="shared" si="561"/>
        <v>0.59426639964021699</v>
      </c>
      <c r="I513">
        <f>'2-state flows'!H512</f>
        <v>3.6908707313773811E-2</v>
      </c>
      <c r="J513">
        <f t="shared" si="565"/>
        <v>3.3667265942282788E-2</v>
      </c>
      <c r="K513">
        <v>0.5</v>
      </c>
      <c r="L513">
        <f t="shared" si="567"/>
        <v>0.60989344724256378</v>
      </c>
      <c r="M513">
        <f t="shared" si="562"/>
        <v>1.7763454608505501E-2</v>
      </c>
      <c r="N513">
        <f t="shared" ref="N513:O513" si="594">AVERAGE(G511:G513)</f>
        <v>0.6106977826980805</v>
      </c>
      <c r="O513">
        <f t="shared" si="594"/>
        <v>0.60418973837511392</v>
      </c>
      <c r="P513">
        <f t="shared" si="569"/>
        <v>5.3695484921181168E-2</v>
      </c>
      <c r="Q513">
        <f t="shared" si="570"/>
        <v>3.294518048596521E-2</v>
      </c>
      <c r="R513">
        <f t="shared" si="571"/>
        <v>1.8519629999176741E-2</v>
      </c>
    </row>
    <row r="514" spans="1:18" x14ac:dyDescent="0.25">
      <c r="A514" s="18">
        <f t="shared" si="564"/>
        <v>33086</v>
      </c>
      <c r="B514">
        <f>'2-state flows'!B513</f>
        <v>125990</v>
      </c>
      <c r="C514">
        <f>'2-state flows'!C513</f>
        <v>7188</v>
      </c>
      <c r="D514">
        <f>'Composite HWI'!B477*48.35347462</f>
        <v>3964.9849188399999</v>
      </c>
      <c r="E514">
        <f t="shared" si="559"/>
        <v>5.7052146995793314E-2</v>
      </c>
      <c r="F514">
        <f t="shared" si="560"/>
        <v>3.1470631945709975E-2</v>
      </c>
      <c r="G514">
        <f>'2-state flows'!G513</f>
        <v>0.56435711601990934</v>
      </c>
      <c r="H514">
        <f t="shared" si="561"/>
        <v>0.57278337240315713</v>
      </c>
      <c r="I514">
        <f>'2-state flows'!H513</f>
        <v>3.6161198435727009E-2</v>
      </c>
      <c r="J514">
        <f t="shared" si="565"/>
        <v>-2.0460816217064536E-2</v>
      </c>
      <c r="K514">
        <v>0.5</v>
      </c>
      <c r="L514">
        <f t="shared" si="567"/>
        <v>0.56897181480843473</v>
      </c>
      <c r="M514">
        <f t="shared" si="562"/>
        <v>1.7815751415165119E-2</v>
      </c>
      <c r="N514">
        <f t="shared" ref="N514:O514" si="595">AVERAGE(G512:G514)</f>
        <v>0.57442485958413692</v>
      </c>
      <c r="O514">
        <f t="shared" si="595"/>
        <v>0.59322460097095264</v>
      </c>
      <c r="P514">
        <f t="shared" si="569"/>
        <v>5.4861729117287927E-2</v>
      </c>
      <c r="Q514">
        <f t="shared" si="570"/>
        <v>3.2424985956275361E-2</v>
      </c>
      <c r="R514">
        <f t="shared" si="571"/>
        <v>1.8275940926740744E-2</v>
      </c>
    </row>
    <row r="515" spans="1:18" x14ac:dyDescent="0.25">
      <c r="A515" s="18">
        <f t="shared" si="564"/>
        <v>33117</v>
      </c>
      <c r="B515">
        <f>'2-state flows'!B514</f>
        <v>125892</v>
      </c>
      <c r="C515">
        <f>'2-state flows'!C514</f>
        <v>7368</v>
      </c>
      <c r="D515">
        <f>'Composite HWI'!B478*48.35347462</f>
        <v>3916.63144422</v>
      </c>
      <c r="E515">
        <f t="shared" si="559"/>
        <v>5.8526355924125438E-2</v>
      </c>
      <c r="F515">
        <f t="shared" si="560"/>
        <v>3.1111043149842723E-2</v>
      </c>
      <c r="G515">
        <f>'2-state flows'!G514</f>
        <v>0.58323677080014169</v>
      </c>
      <c r="H515">
        <f t="shared" si="561"/>
        <v>0.56228333366904393</v>
      </c>
      <c r="I515">
        <f>'2-state flows'!H514</f>
        <v>3.728716344172528E-2</v>
      </c>
      <c r="J515">
        <f t="shared" si="565"/>
        <v>3.0662446209556618E-2</v>
      </c>
      <c r="K515">
        <v>0.5</v>
      </c>
      <c r="L515">
        <f t="shared" si="567"/>
        <v>0.63029670722754794</v>
      </c>
      <c r="M515">
        <f t="shared" si="562"/>
        <v>1.6564570945252738E-2</v>
      </c>
      <c r="N515">
        <f t="shared" ref="N515:O515" si="596">AVERAGE(G513:G515)</f>
        <v>0.57652035148071856</v>
      </c>
      <c r="O515">
        <f t="shared" si="596"/>
        <v>0.57644436857080594</v>
      </c>
      <c r="P515">
        <f t="shared" si="569"/>
        <v>5.6877369667566006E-2</v>
      </c>
      <c r="Q515">
        <f t="shared" si="570"/>
        <v>3.1756870475333869E-2</v>
      </c>
      <c r="R515">
        <f t="shared" si="571"/>
        <v>1.7381258989641119E-2</v>
      </c>
    </row>
    <row r="516" spans="1:18" x14ac:dyDescent="0.25">
      <c r="A516" s="18">
        <f t="shared" si="564"/>
        <v>33147</v>
      </c>
      <c r="B516">
        <f>'2-state flows'!B515</f>
        <v>125995</v>
      </c>
      <c r="C516">
        <f>'2-state flows'!C515</f>
        <v>7459</v>
      </c>
      <c r="D516">
        <f>'Composite HWI'!B479*48.35347462</f>
        <v>3626.5105964999998</v>
      </c>
      <c r="E516">
        <f t="shared" si="559"/>
        <v>5.9200761934997417E-2</v>
      </c>
      <c r="F516">
        <f t="shared" si="560"/>
        <v>2.8782972312393348E-2</v>
      </c>
      <c r="G516">
        <f>'2-state flows'!G515</f>
        <v>0.54570309888833202</v>
      </c>
      <c r="H516">
        <f t="shared" si="561"/>
        <v>0.53774680446327527</v>
      </c>
      <c r="I516">
        <f>'2-state flows'!H515</f>
        <v>3.7735176657827801E-2</v>
      </c>
      <c r="J516">
        <f t="shared" si="565"/>
        <v>1.1943603498369367E-2</v>
      </c>
      <c r="K516">
        <v>0.5</v>
      </c>
      <c r="L516">
        <f t="shared" si="567"/>
        <v>0.65418391422428668</v>
      </c>
      <c r="M516">
        <f t="shared" si="562"/>
        <v>1.4963292854400437E-2</v>
      </c>
      <c r="N516">
        <f t="shared" ref="N516:O516" si="597">AVERAGE(G514:G516)</f>
        <v>0.56443232856946102</v>
      </c>
      <c r="O516">
        <f t="shared" si="597"/>
        <v>0.55760450351182544</v>
      </c>
      <c r="P516">
        <f t="shared" si="569"/>
        <v>5.825975495163873E-2</v>
      </c>
      <c r="Q516">
        <f t="shared" si="570"/>
        <v>3.045488246931535E-2</v>
      </c>
      <c r="R516">
        <f t="shared" si="571"/>
        <v>1.6447871738272762E-2</v>
      </c>
    </row>
    <row r="517" spans="1:18" x14ac:dyDescent="0.25">
      <c r="A517" s="18">
        <f t="shared" si="564"/>
        <v>33178</v>
      </c>
      <c r="B517">
        <f>'2-state flows'!B516</f>
        <v>126070</v>
      </c>
      <c r="C517">
        <f>'2-state flows'!C516</f>
        <v>7764</v>
      </c>
      <c r="D517">
        <f>'Composite HWI'!B480*48.35347462</f>
        <v>3433.0966980200001</v>
      </c>
      <c r="E517">
        <f t="shared" si="559"/>
        <v>6.1584833822479576E-2</v>
      </c>
      <c r="F517">
        <f t="shared" si="560"/>
        <v>2.7231670484810028E-2</v>
      </c>
      <c r="G517">
        <f>'2-state flows'!G516</f>
        <v>0.55906853945486568</v>
      </c>
      <c r="H517">
        <f t="shared" si="561"/>
        <v>0.51283058824699956</v>
      </c>
      <c r="I517">
        <f>'2-state flows'!H516</f>
        <v>3.8227748077645118E-2</v>
      </c>
      <c r="J517">
        <f t="shared" si="565"/>
        <v>1.2968914122893761E-2</v>
      </c>
      <c r="K517">
        <v>0.5</v>
      </c>
      <c r="L517">
        <f t="shared" si="567"/>
        <v>0.68012174247007418</v>
      </c>
      <c r="M517">
        <f t="shared" si="562"/>
        <v>1.3794347537934184E-2</v>
      </c>
      <c r="N517">
        <f t="shared" ref="N517:O517" si="598">AVERAGE(G515:G517)</f>
        <v>0.56266946971444642</v>
      </c>
      <c r="O517">
        <f t="shared" si="598"/>
        <v>0.53762024212643966</v>
      </c>
      <c r="P517">
        <f t="shared" si="569"/>
        <v>5.9770650560534135E-2</v>
      </c>
      <c r="Q517">
        <f t="shared" si="570"/>
        <v>2.9041895315682034E-2</v>
      </c>
      <c r="R517">
        <f t="shared" si="571"/>
        <v>1.5107403779195784E-2</v>
      </c>
    </row>
    <row r="518" spans="1:18" x14ac:dyDescent="0.25">
      <c r="A518" s="18">
        <f t="shared" si="564"/>
        <v>33208</v>
      </c>
      <c r="B518">
        <f>'2-state flows'!B517</f>
        <v>126142</v>
      </c>
      <c r="C518">
        <f>'2-state flows'!C517</f>
        <v>7901</v>
      </c>
      <c r="D518">
        <f>'Composite HWI'!B481*48.35347462</f>
        <v>3433.0966980200001</v>
      </c>
      <c r="E518">
        <f t="shared" si="559"/>
        <v>6.2635759699386409E-2</v>
      </c>
      <c r="F518">
        <f t="shared" si="560"/>
        <v>2.7216127047454457E-2</v>
      </c>
      <c r="G518">
        <f>'2-state flows'!G517</f>
        <v>0.55296160611115408</v>
      </c>
      <c r="H518">
        <f t="shared" si="561"/>
        <v>0.50836501299538639</v>
      </c>
      <c r="I518">
        <f>'2-state flows'!H517</f>
        <v>3.8226575197367392E-2</v>
      </c>
      <c r="J518">
        <f t="shared" si="565"/>
        <v>-3.0681856239845349E-5</v>
      </c>
      <c r="K518">
        <v>0.5</v>
      </c>
      <c r="L518">
        <f t="shared" si="567"/>
        <v>0.68006037875759451</v>
      </c>
      <c r="M518">
        <f t="shared" si="562"/>
        <v>1.3787319942240486E-2</v>
      </c>
      <c r="N518">
        <f t="shared" ref="N518:O518" si="599">AVERAGE(G516:G518)</f>
        <v>0.55257774815145055</v>
      </c>
      <c r="O518">
        <f t="shared" si="599"/>
        <v>0.51964746856855371</v>
      </c>
      <c r="P518">
        <f t="shared" si="569"/>
        <v>6.1140451818954465E-2</v>
      </c>
      <c r="Q518">
        <f t="shared" si="570"/>
        <v>2.7743589948219276E-2</v>
      </c>
      <c r="R518">
        <f t="shared" si="571"/>
        <v>1.418165344485837E-2</v>
      </c>
    </row>
    <row r="519" spans="1:18" x14ac:dyDescent="0.25">
      <c r="A519" s="18">
        <f t="shared" si="564"/>
        <v>33239</v>
      </c>
      <c r="B519">
        <f>'2-state flows'!B518</f>
        <v>125955</v>
      </c>
      <c r="C519">
        <f>'2-state flows'!C518</f>
        <v>8015</v>
      </c>
      <c r="D519">
        <f>'Composite HWI'!B482*48.35347462</f>
        <v>3239.6827995399999</v>
      </c>
      <c r="E519">
        <f t="shared" si="559"/>
        <v>6.3633837481640268E-2</v>
      </c>
      <c r="F519">
        <f t="shared" si="560"/>
        <v>2.5720954305426539E-2</v>
      </c>
      <c r="G519">
        <f>'2-state flows'!G518</f>
        <v>0.53801667613196091</v>
      </c>
      <c r="H519">
        <f t="shared" si="561"/>
        <v>0.49031270650261871</v>
      </c>
      <c r="I519">
        <f>'2-state flows'!H518</f>
        <v>3.9352903883922499E-2</v>
      </c>
      <c r="J519">
        <f t="shared" si="565"/>
        <v>2.9038808898039722E-2</v>
      </c>
      <c r="K519">
        <v>0.5</v>
      </c>
      <c r="L519">
        <f t="shared" si="567"/>
        <v>0.73813799655367396</v>
      </c>
      <c r="M519">
        <f t="shared" si="562"/>
        <v>1.2294696687218977E-2</v>
      </c>
      <c r="N519">
        <f t="shared" ref="N519:O519" si="600">AVERAGE(G517:G519)</f>
        <v>0.55001560723266019</v>
      </c>
      <c r="O519">
        <f t="shared" si="600"/>
        <v>0.50383610258166822</v>
      </c>
      <c r="P519">
        <f t="shared" si="569"/>
        <v>6.2618143667835413E-2</v>
      </c>
      <c r="Q519">
        <f t="shared" si="570"/>
        <v>2.6722917279230343E-2</v>
      </c>
      <c r="R519">
        <f t="shared" si="571"/>
        <v>1.3292121389131216E-2</v>
      </c>
    </row>
    <row r="520" spans="1:18" x14ac:dyDescent="0.25">
      <c r="A520" s="18">
        <f t="shared" si="564"/>
        <v>33270</v>
      </c>
      <c r="B520">
        <f>'2-state flows'!B519</f>
        <v>126020</v>
      </c>
      <c r="C520">
        <f>'2-state flows'!C519</f>
        <v>8265</v>
      </c>
      <c r="D520">
        <f>'Composite HWI'!B483*48.35347462</f>
        <v>3094.62237568</v>
      </c>
      <c r="E520">
        <f t="shared" si="559"/>
        <v>6.5584827805110296E-2</v>
      </c>
      <c r="F520">
        <f t="shared" si="560"/>
        <v>2.4556597172512299E-2</v>
      </c>
      <c r="G520">
        <f>'2-state flows'!G519</f>
        <v>0.49323572391486215</v>
      </c>
      <c r="H520">
        <f t="shared" si="561"/>
        <v>0.47190661832067521</v>
      </c>
      <c r="I520">
        <f>'2-state flows'!H519</f>
        <v>3.813337555611393E-2</v>
      </c>
      <c r="J520">
        <f t="shared" si="565"/>
        <v>-3.1479870910613578E-2</v>
      </c>
      <c r="K520">
        <v>0.5</v>
      </c>
      <c r="L520">
        <f t="shared" si="567"/>
        <v>0.67517825473244675</v>
      </c>
      <c r="M520">
        <f t="shared" si="562"/>
        <v>1.2500920571787351E-2</v>
      </c>
      <c r="N520">
        <f t="shared" ref="N520:O520" si="601">AVERAGE(G518:G520)</f>
        <v>0.52807133538599238</v>
      </c>
      <c r="O520">
        <f t="shared" si="601"/>
        <v>0.4901947792728934</v>
      </c>
      <c r="P520">
        <f t="shared" si="569"/>
        <v>6.3951474995378996E-2</v>
      </c>
      <c r="Q520">
        <f t="shared" si="570"/>
        <v>2.5831226175131099E-2</v>
      </c>
      <c r="R520">
        <f t="shared" si="571"/>
        <v>1.2860979067082272E-2</v>
      </c>
    </row>
    <row r="521" spans="1:18" x14ac:dyDescent="0.25">
      <c r="A521" s="18">
        <f t="shared" si="564"/>
        <v>33298</v>
      </c>
      <c r="B521">
        <f>'2-state flows'!B520</f>
        <v>126238</v>
      </c>
      <c r="C521">
        <f>'2-state flows'!C520</f>
        <v>8586</v>
      </c>
      <c r="D521">
        <f>'Composite HWI'!B484*48.35347462</f>
        <v>3046.2689010600002</v>
      </c>
      <c r="E521">
        <f t="shared" si="559"/>
        <v>6.8014385525752938E-2</v>
      </c>
      <c r="F521">
        <f t="shared" si="560"/>
        <v>2.4131156237107688E-2</v>
      </c>
      <c r="G521">
        <f>'2-state flows'!G520</f>
        <v>0.5329253201039077</v>
      </c>
      <c r="H521">
        <f t="shared" si="561"/>
        <v>0.45936969689321705</v>
      </c>
      <c r="I521">
        <f>'2-state flows'!H520</f>
        <v>3.7252470299673206E-2</v>
      </c>
      <c r="J521">
        <f t="shared" si="565"/>
        <v>-2.3371638121265467E-2</v>
      </c>
      <c r="K521">
        <v>0.5</v>
      </c>
      <c r="L521">
        <f t="shared" si="567"/>
        <v>0.62843497848991581</v>
      </c>
      <c r="M521">
        <f t="shared" si="562"/>
        <v>1.2872185452162285E-2</v>
      </c>
      <c r="N521">
        <f t="shared" ref="N521:O521" si="602">AVERAGE(G519:G521)</f>
        <v>0.52139257338357692</v>
      </c>
      <c r="O521">
        <f t="shared" si="602"/>
        <v>0.47386300723883701</v>
      </c>
      <c r="P521">
        <f t="shared" si="569"/>
        <v>6.5744350270834515E-2</v>
      </c>
      <c r="Q521">
        <f t="shared" si="570"/>
        <v>2.4802902571682175E-2</v>
      </c>
      <c r="R521">
        <f t="shared" si="571"/>
        <v>1.2555934237056204E-2</v>
      </c>
    </row>
    <row r="522" spans="1:18" x14ac:dyDescent="0.25">
      <c r="A522" s="18">
        <f t="shared" si="564"/>
        <v>33329</v>
      </c>
      <c r="B522">
        <f>'2-state flows'!B521</f>
        <v>126548</v>
      </c>
      <c r="C522">
        <f>'2-state flows'!C521</f>
        <v>8439</v>
      </c>
      <c r="D522">
        <f>'Composite HWI'!B485*48.35347462</f>
        <v>3046.2689010600002</v>
      </c>
      <c r="E522">
        <f t="shared" si="559"/>
        <v>6.6686158611752061E-2</v>
      </c>
      <c r="F522">
        <f t="shared" si="560"/>
        <v>2.4072043027625882E-2</v>
      </c>
      <c r="G522">
        <f>'2-state flows'!G521</f>
        <v>0.50068641877223974</v>
      </c>
      <c r="H522">
        <f t="shared" si="561"/>
        <v>0.4633533331216057</v>
      </c>
      <c r="I522">
        <f>'2-state flows'!H521</f>
        <v>3.9028482776007747E-2</v>
      </c>
      <c r="J522">
        <f t="shared" si="565"/>
        <v>4.6573447763711043E-2</v>
      </c>
      <c r="K522">
        <v>0.5</v>
      </c>
      <c r="L522">
        <f t="shared" si="567"/>
        <v>0.72158187401733787</v>
      </c>
      <c r="M522">
        <f t="shared" si="562"/>
        <v>1.1698600891898248E-2</v>
      </c>
      <c r="N522">
        <f t="shared" ref="N522:O522" si="603">AVERAGE(G520:G522)</f>
        <v>0.50894915426366982</v>
      </c>
      <c r="O522">
        <f t="shared" si="603"/>
        <v>0.46487654944516604</v>
      </c>
      <c r="P522">
        <f t="shared" si="569"/>
        <v>6.6761790647538427E-2</v>
      </c>
      <c r="Q522">
        <f t="shared" si="570"/>
        <v>2.4253265479081954E-2</v>
      </c>
      <c r="R522">
        <f t="shared" si="571"/>
        <v>1.235723563861596E-2</v>
      </c>
    </row>
    <row r="523" spans="1:18" x14ac:dyDescent="0.25">
      <c r="A523" s="18">
        <f t="shared" si="564"/>
        <v>33359</v>
      </c>
      <c r="B523">
        <f>'2-state flows'!B522</f>
        <v>126176</v>
      </c>
      <c r="C523">
        <f>'2-state flows'!C522</f>
        <v>8736</v>
      </c>
      <c r="D523">
        <f>'Composite HWI'!B486*48.35347462</f>
        <v>2949.5619518200001</v>
      </c>
      <c r="E523">
        <f t="shared" si="559"/>
        <v>6.9236621861526751E-2</v>
      </c>
      <c r="F523">
        <f t="shared" si="560"/>
        <v>2.3376568854774283E-2</v>
      </c>
      <c r="G523">
        <f>'2-state flows'!G522</f>
        <v>0.50656122497953315</v>
      </c>
      <c r="H523">
        <f t="shared" si="561"/>
        <v>0.44812184461033022</v>
      </c>
      <c r="I523">
        <f>'2-state flows'!H522</f>
        <v>3.7195822393393002E-2</v>
      </c>
      <c r="J523">
        <f t="shared" si="565"/>
        <v>-4.8095253440203517E-2</v>
      </c>
      <c r="K523">
        <v>0.5</v>
      </c>
      <c r="L523">
        <f t="shared" si="567"/>
        <v>0.62539136713693089</v>
      </c>
      <c r="M523">
        <f t="shared" si="562"/>
        <v>1.2507679586315091E-2</v>
      </c>
      <c r="N523">
        <f t="shared" ref="N523:O523" si="604">AVERAGE(G521:G523)</f>
        <v>0.51339098795189353</v>
      </c>
      <c r="O523">
        <f t="shared" si="604"/>
        <v>0.45694829154171773</v>
      </c>
      <c r="P523">
        <f t="shared" si="569"/>
        <v>6.7979055333010574E-2</v>
      </c>
      <c r="Q523">
        <f t="shared" si="570"/>
        <v>2.3859922706502616E-2</v>
      </c>
      <c r="R523">
        <f t="shared" si="571"/>
        <v>1.2359488643458543E-2</v>
      </c>
    </row>
    <row r="524" spans="1:18" x14ac:dyDescent="0.25">
      <c r="A524" s="18">
        <f t="shared" si="564"/>
        <v>33390</v>
      </c>
      <c r="B524">
        <f>'2-state flows'!B523</f>
        <v>126331</v>
      </c>
      <c r="C524">
        <f>'2-state flows'!C523</f>
        <v>8692</v>
      </c>
      <c r="D524">
        <f>'Composite HWI'!B487*48.35347462</f>
        <v>3094.62237568</v>
      </c>
      <c r="E524">
        <f t="shared" si="559"/>
        <v>6.8803381592799862E-2</v>
      </c>
      <c r="F524">
        <f t="shared" si="560"/>
        <v>2.4496144063452359E-2</v>
      </c>
      <c r="G524">
        <f>'2-state flows'!G523</f>
        <v>0.52069158940978721</v>
      </c>
      <c r="H524">
        <f t="shared" si="561"/>
        <v>0.46016929662262612</v>
      </c>
      <c r="I524">
        <f>'2-state flows'!H523</f>
        <v>3.7296660278114957E-2</v>
      </c>
      <c r="J524">
        <f t="shared" si="565"/>
        <v>2.7073321413865923E-3</v>
      </c>
      <c r="K524">
        <v>0.5</v>
      </c>
      <c r="L524">
        <f t="shared" si="567"/>
        <v>0.63080603141970404</v>
      </c>
      <c r="M524">
        <f t="shared" si="562"/>
        <v>1.3035933876414848E-2</v>
      </c>
      <c r="N524">
        <f t="shared" ref="N524:O524" si="605">AVERAGE(G522:G524)</f>
        <v>0.50931307772052004</v>
      </c>
      <c r="O524">
        <f t="shared" si="605"/>
        <v>0.45721482478485398</v>
      </c>
      <c r="P524">
        <f t="shared" si="569"/>
        <v>6.8242054022026225E-2</v>
      </c>
      <c r="Q524">
        <f t="shared" si="570"/>
        <v>2.3981585315284177E-2</v>
      </c>
      <c r="R524">
        <f t="shared" si="571"/>
        <v>1.2414071451542731E-2</v>
      </c>
    </row>
    <row r="525" spans="1:18" x14ac:dyDescent="0.25">
      <c r="A525" s="18">
        <f t="shared" si="564"/>
        <v>33420</v>
      </c>
      <c r="B525">
        <f>'2-state flows'!B524</f>
        <v>126154</v>
      </c>
      <c r="C525">
        <f>'2-state flows'!C524</f>
        <v>8586</v>
      </c>
      <c r="D525">
        <f>'Composite HWI'!B488*48.35347462</f>
        <v>2949.5619518200001</v>
      </c>
      <c r="E525">
        <f t="shared" si="559"/>
        <v>6.8059673097959641E-2</v>
      </c>
      <c r="F525">
        <f t="shared" si="560"/>
        <v>2.3380645495346956E-2</v>
      </c>
      <c r="G525">
        <f>'2-state flows'!G524</f>
        <v>0.49763556790782143</v>
      </c>
      <c r="H525">
        <f t="shared" si="561"/>
        <v>0.45201930749340907</v>
      </c>
      <c r="I525">
        <f>'2-state flows'!H524</f>
        <v>3.7220939015017288E-2</v>
      </c>
      <c r="J525">
        <f t="shared" si="565"/>
        <v>-2.0323061901720138E-3</v>
      </c>
      <c r="K525">
        <v>0.5</v>
      </c>
      <c r="L525">
        <f t="shared" si="567"/>
        <v>0.62674141903935998</v>
      </c>
      <c r="M525">
        <f t="shared" si="562"/>
        <v>1.249298323493387E-2</v>
      </c>
      <c r="N525">
        <f t="shared" ref="N525:O525" si="606">AVERAGE(G523:G525)</f>
        <v>0.50829612743238062</v>
      </c>
      <c r="O525">
        <f t="shared" si="606"/>
        <v>0.45343681624212184</v>
      </c>
      <c r="P525">
        <f t="shared" si="569"/>
        <v>6.8699892184095404E-2</v>
      </c>
      <c r="Q525">
        <f t="shared" si="570"/>
        <v>2.3751119471191202E-2</v>
      </c>
      <c r="R525">
        <f t="shared" si="571"/>
        <v>1.2678865565887936E-2</v>
      </c>
    </row>
    <row r="526" spans="1:18" x14ac:dyDescent="0.25">
      <c r="A526" s="18">
        <f t="shared" si="564"/>
        <v>33451</v>
      </c>
      <c r="B526">
        <f>'2-state flows'!B525</f>
        <v>126150</v>
      </c>
      <c r="C526">
        <f>'2-state flows'!C525</f>
        <v>8666</v>
      </c>
      <c r="D526">
        <f>'Composite HWI'!B489*48.35347462</f>
        <v>2901.2084771999998</v>
      </c>
      <c r="E526">
        <f t="shared" si="559"/>
        <v>6.8695996829171616E-2</v>
      </c>
      <c r="F526">
        <f t="shared" si="560"/>
        <v>2.2998085431629012E-2</v>
      </c>
      <c r="G526">
        <f>'2-state flows'!G525</f>
        <v>0.50232275741626431</v>
      </c>
      <c r="H526">
        <f t="shared" si="561"/>
        <v>0.44622489190846532</v>
      </c>
      <c r="I526">
        <f>'2-state flows'!H525</f>
        <v>3.7669835922903551E-2</v>
      </c>
      <c r="J526">
        <f t="shared" si="565"/>
        <v>1.1988186379628483E-2</v>
      </c>
      <c r="K526">
        <v>0.5</v>
      </c>
      <c r="L526">
        <f t="shared" si="567"/>
        <v>0.650717791798617</v>
      </c>
      <c r="M526">
        <f t="shared" si="562"/>
        <v>1.1997438618695887E-2</v>
      </c>
      <c r="N526">
        <f t="shared" ref="N526:O526" si="607">AVERAGE(G524:G526)</f>
        <v>0.50688330491129097</v>
      </c>
      <c r="O526">
        <f t="shared" si="607"/>
        <v>0.45280449867483347</v>
      </c>
      <c r="P526">
        <f t="shared" si="569"/>
        <v>6.851968383997703E-2</v>
      </c>
      <c r="Q526">
        <f t="shared" si="570"/>
        <v>2.3624958330142776E-2</v>
      </c>
      <c r="R526">
        <f t="shared" si="571"/>
        <v>1.2508785243348202E-2</v>
      </c>
    </row>
    <row r="527" spans="1:18" x14ac:dyDescent="0.25">
      <c r="A527" s="18">
        <f t="shared" si="564"/>
        <v>33482</v>
      </c>
      <c r="B527">
        <f>'2-state flows'!B526</f>
        <v>126650</v>
      </c>
      <c r="C527">
        <f>'2-state flows'!C526</f>
        <v>8722</v>
      </c>
      <c r="D527">
        <f>'Composite HWI'!B490*48.35347462</f>
        <v>2997.9154264399999</v>
      </c>
      <c r="E527">
        <f t="shared" si="559"/>
        <v>6.886695617844453E-2</v>
      </c>
      <c r="F527">
        <f t="shared" si="560"/>
        <v>2.3670867954520333E-2</v>
      </c>
      <c r="G527">
        <f>'2-state flows'!G526</f>
        <v>0.48520689798014222</v>
      </c>
      <c r="H527">
        <f t="shared" si="561"/>
        <v>0.45214248173655247</v>
      </c>
      <c r="I527">
        <f>'2-state flows'!H526</f>
        <v>3.7192483599118198E-2</v>
      </c>
      <c r="J527">
        <f t="shared" si="565"/>
        <v>-1.2752978974470709E-2</v>
      </c>
      <c r="K527">
        <v>0.5</v>
      </c>
      <c r="L527">
        <f t="shared" si="567"/>
        <v>0.6252118338496756</v>
      </c>
      <c r="M527">
        <f t="shared" si="562"/>
        <v>1.2667418923268685E-2</v>
      </c>
      <c r="N527">
        <f t="shared" ref="N527:O527" si="608">AVERAGE(G525:G527)</f>
        <v>0.49505507443474267</v>
      </c>
      <c r="O527">
        <f t="shared" si="608"/>
        <v>0.45012889371280895</v>
      </c>
      <c r="P527">
        <f t="shared" si="569"/>
        <v>6.8540875368525267E-2</v>
      </c>
      <c r="Q527">
        <f t="shared" si="570"/>
        <v>2.3349866293832098E-2</v>
      </c>
      <c r="R527">
        <f t="shared" si="571"/>
        <v>1.2385946925632814E-2</v>
      </c>
    </row>
    <row r="528" spans="1:18" x14ac:dyDescent="0.25">
      <c r="A528" s="18">
        <f t="shared" si="564"/>
        <v>33512</v>
      </c>
      <c r="B528">
        <f>'2-state flows'!B527</f>
        <v>126642</v>
      </c>
      <c r="C528">
        <f>'2-state flows'!C527</f>
        <v>8842</v>
      </c>
      <c r="D528">
        <f>'Composite HWI'!B491*48.35347462</f>
        <v>2852.85500258</v>
      </c>
      <c r="E528">
        <f t="shared" si="559"/>
        <v>6.9818859462105781E-2</v>
      </c>
      <c r="F528">
        <f t="shared" si="560"/>
        <v>2.2526926316545855E-2</v>
      </c>
      <c r="G528">
        <f>'2-state flows'!G527</f>
        <v>0.48005168032236262</v>
      </c>
      <c r="H528">
        <f t="shared" si="561"/>
        <v>0.43806470232889672</v>
      </c>
      <c r="I528">
        <f>'2-state flows'!H527</f>
        <v>3.6999998030863318E-2</v>
      </c>
      <c r="J528">
        <f t="shared" si="565"/>
        <v>-5.1888276520264025E-3</v>
      </c>
      <c r="K528">
        <v>0.5</v>
      </c>
      <c r="L528">
        <f t="shared" si="567"/>
        <v>0.61483417854562283</v>
      </c>
      <c r="M528">
        <f t="shared" si="562"/>
        <v>1.2180997315575297E-2</v>
      </c>
      <c r="N528">
        <f t="shared" ref="N528:O528" si="609">AVERAGE(G526:G528)</f>
        <v>0.48919377857292307</v>
      </c>
      <c r="O528">
        <f t="shared" si="609"/>
        <v>0.4454773586579715</v>
      </c>
      <c r="P528">
        <f t="shared" si="569"/>
        <v>6.9127270823240647E-2</v>
      </c>
      <c r="Q528">
        <f t="shared" si="570"/>
        <v>2.3065293234231732E-2</v>
      </c>
      <c r="R528">
        <f t="shared" si="571"/>
        <v>1.2281951619179957E-2</v>
      </c>
    </row>
    <row r="529" spans="1:18" x14ac:dyDescent="0.25">
      <c r="A529" s="18">
        <f t="shared" si="564"/>
        <v>33543</v>
      </c>
      <c r="B529">
        <f>'2-state flows'!B528</f>
        <v>126701</v>
      </c>
      <c r="C529">
        <f>'2-state flows'!C528</f>
        <v>8931</v>
      </c>
      <c r="D529">
        <f>'Composite HWI'!B492*48.35347462</f>
        <v>2901.2084771999998</v>
      </c>
      <c r="E529">
        <f t="shared" si="559"/>
        <v>7.0488788565204699E-2</v>
      </c>
      <c r="F529">
        <f t="shared" si="560"/>
        <v>2.2898070869211765E-2</v>
      </c>
      <c r="G529">
        <f>'2-state flows'!G528</f>
        <v>0.44468582126144557</v>
      </c>
      <c r="H529">
        <f t="shared" si="561"/>
        <v>0.43955486447878678</v>
      </c>
      <c r="I529">
        <f>'2-state flows'!H528</f>
        <v>3.657868338246438E-2</v>
      </c>
      <c r="J529">
        <f t="shared" si="565"/>
        <v>-1.1452209934271543E-2</v>
      </c>
      <c r="K529">
        <v>0.5</v>
      </c>
      <c r="L529">
        <f t="shared" si="567"/>
        <v>0.59192975867707975</v>
      </c>
      <c r="M529">
        <f t="shared" si="562"/>
        <v>1.266855459360516E-2</v>
      </c>
      <c r="N529">
        <f t="shared" ref="N529:O529" si="610">AVERAGE(G527:G529)</f>
        <v>0.46998146652131684</v>
      </c>
      <c r="O529">
        <f t="shared" si="610"/>
        <v>0.44325401618141197</v>
      </c>
      <c r="P529">
        <f t="shared" si="569"/>
        <v>6.9724868068585008E-2</v>
      </c>
      <c r="Q529">
        <f t="shared" si="570"/>
        <v>2.3031955046759315E-2</v>
      </c>
      <c r="R529">
        <f t="shared" si="571"/>
        <v>1.2505656944149715E-2</v>
      </c>
    </row>
    <row r="530" spans="1:18" x14ac:dyDescent="0.25">
      <c r="A530" s="18">
        <f t="shared" si="564"/>
        <v>33573</v>
      </c>
      <c r="B530">
        <f>'2-state flows'!B529</f>
        <v>126664</v>
      </c>
      <c r="C530">
        <f>'2-state flows'!C529</f>
        <v>9198</v>
      </c>
      <c r="D530">
        <f>'Composite HWI'!B493*48.35347462</f>
        <v>2901.2084771999998</v>
      </c>
      <c r="E530">
        <f t="shared" si="559"/>
        <v>7.2617318259331778E-2</v>
      </c>
      <c r="F530">
        <f t="shared" si="560"/>
        <v>2.2904759657045411E-2</v>
      </c>
      <c r="G530">
        <f>'2-state flows'!G529</f>
        <v>0.44657932840549197</v>
      </c>
      <c r="H530">
        <f t="shared" si="561"/>
        <v>0.43312817223465305</v>
      </c>
      <c r="I530">
        <f>'2-state flows'!H529</f>
        <v>3.5880881555909801E-2</v>
      </c>
      <c r="J530">
        <f t="shared" si="565"/>
        <v>-1.9261043038569077E-2</v>
      </c>
      <c r="K530">
        <v>0.5</v>
      </c>
      <c r="L530">
        <f t="shared" si="567"/>
        <v>0.55340767259994161</v>
      </c>
      <c r="M530">
        <f t="shared" si="562"/>
        <v>1.3169941339555272E-2</v>
      </c>
      <c r="N530">
        <f t="shared" ref="N530:O530" si="611">AVERAGE(G528:G530)</f>
        <v>0.4571056099964334</v>
      </c>
      <c r="O530">
        <f t="shared" si="611"/>
        <v>0.4369159130141122</v>
      </c>
      <c r="P530">
        <f t="shared" si="569"/>
        <v>7.0974988762214086E-2</v>
      </c>
      <c r="Q530">
        <f t="shared" si="570"/>
        <v>2.2776585614267677E-2</v>
      </c>
      <c r="R530">
        <f t="shared" si="571"/>
        <v>1.2673164416245242E-2</v>
      </c>
    </row>
    <row r="531" spans="1:18" x14ac:dyDescent="0.25">
      <c r="A531" s="18">
        <f t="shared" si="564"/>
        <v>33604</v>
      </c>
      <c r="B531">
        <f>'2-state flows'!B530</f>
        <v>127261</v>
      </c>
      <c r="C531">
        <f>'2-state flows'!C530</f>
        <v>9283</v>
      </c>
      <c r="D531">
        <f>'Composite HWI'!B494*48.35347462</f>
        <v>2852.85500258</v>
      </c>
      <c r="E531">
        <f t="shared" si="559"/>
        <v>7.2944578464729959E-2</v>
      </c>
      <c r="F531">
        <f t="shared" si="560"/>
        <v>2.2417354905116257E-2</v>
      </c>
      <c r="G531">
        <f>'2-state flows'!G530</f>
        <v>0.40735205370403338</v>
      </c>
      <c r="H531">
        <f t="shared" si="561"/>
        <v>0.4275327032031756</v>
      </c>
      <c r="I531">
        <f>'2-state flows'!H530</f>
        <v>3.384475336502301E-2</v>
      </c>
      <c r="J531">
        <f t="shared" si="565"/>
        <v>-5.8420615708381814E-2</v>
      </c>
      <c r="K531">
        <v>0.5</v>
      </c>
      <c r="L531">
        <f t="shared" si="567"/>
        <v>0.436566441183178</v>
      </c>
      <c r="M531">
        <f t="shared" si="562"/>
        <v>1.4487250550294511E-2</v>
      </c>
      <c r="N531">
        <f t="shared" ref="N531:O531" si="612">AVERAGE(G529:G531)</f>
        <v>0.43287240112365694</v>
      </c>
      <c r="O531">
        <f t="shared" si="612"/>
        <v>0.43340524663887181</v>
      </c>
      <c r="P531">
        <f t="shared" si="569"/>
        <v>7.2016895096422145E-2</v>
      </c>
      <c r="Q531">
        <f t="shared" si="570"/>
        <v>2.2740061810457814E-2</v>
      </c>
      <c r="R531">
        <f t="shared" si="571"/>
        <v>1.3441915494484981E-2</v>
      </c>
    </row>
    <row r="532" spans="1:18" x14ac:dyDescent="0.25">
      <c r="A532" s="18">
        <f t="shared" si="564"/>
        <v>33635</v>
      </c>
      <c r="B532">
        <f>'2-state flows'!B531</f>
        <v>127207</v>
      </c>
      <c r="C532">
        <f>'2-state flows'!C531</f>
        <v>9454</v>
      </c>
      <c r="D532">
        <f>'Composite HWI'!B495*48.35347462</f>
        <v>2949.5619518200001</v>
      </c>
      <c r="E532">
        <f t="shared" si="559"/>
        <v>7.4319809444448812E-2</v>
      </c>
      <c r="F532">
        <f t="shared" si="560"/>
        <v>2.3187104104491107E-2</v>
      </c>
      <c r="G532">
        <f>'2-state flows'!G531</f>
        <v>0.44671029349381269</v>
      </c>
      <c r="H532">
        <f t="shared" si="561"/>
        <v>0.43076918513667817</v>
      </c>
      <c r="I532">
        <f>'2-state flows'!H531</f>
        <v>3.5929131773684377E-2</v>
      </c>
      <c r="J532">
        <f t="shared" si="565"/>
        <v>5.9764445706415203E-2</v>
      </c>
      <c r="K532">
        <v>0.5</v>
      </c>
      <c r="L532">
        <f t="shared" si="567"/>
        <v>0.55609533259600841</v>
      </c>
      <c r="M532">
        <f t="shared" si="562"/>
        <v>1.3296501213495441E-2</v>
      </c>
      <c r="N532">
        <f t="shared" ref="N532:O532" si="613">AVERAGE(G530:G532)</f>
        <v>0.43354722520111272</v>
      </c>
      <c r="O532">
        <f t="shared" si="613"/>
        <v>0.43047668685816892</v>
      </c>
      <c r="P532">
        <f t="shared" si="569"/>
        <v>7.3293902056170188E-2</v>
      </c>
      <c r="Q532">
        <f t="shared" si="570"/>
        <v>2.2836406222217592E-2</v>
      </c>
      <c r="R532">
        <f t="shared" si="571"/>
        <v>1.3651231034448407E-2</v>
      </c>
    </row>
    <row r="533" spans="1:18" x14ac:dyDescent="0.25">
      <c r="A533" s="18">
        <f t="shared" si="564"/>
        <v>33664</v>
      </c>
      <c r="B533">
        <f>'2-state flows'!B532</f>
        <v>127604</v>
      </c>
      <c r="C533">
        <f>'2-state flows'!C532</f>
        <v>9460</v>
      </c>
      <c r="D533">
        <f>'Composite HWI'!B496*48.35347462</f>
        <v>3094.62237568</v>
      </c>
      <c r="E533">
        <f t="shared" si="559"/>
        <v>7.4135607034262252E-2</v>
      </c>
      <c r="F533">
        <f t="shared" si="560"/>
        <v>2.4251766211717502E-2</v>
      </c>
      <c r="G533">
        <f>'2-state flows'!G532</f>
        <v>0.43567369858338345</v>
      </c>
      <c r="H533">
        <f t="shared" si="561"/>
        <v>0.44109479084482717</v>
      </c>
      <c r="I533">
        <f>'2-state flows'!H532</f>
        <v>3.4407762811027295E-2</v>
      </c>
      <c r="J533">
        <f t="shared" si="565"/>
        <v>-4.3266234416984316E-2</v>
      </c>
      <c r="K533">
        <v>0.5</v>
      </c>
      <c r="L533">
        <f t="shared" si="567"/>
        <v>0.46956286376203976</v>
      </c>
      <c r="M533">
        <f t="shared" si="562"/>
        <v>1.5164036193296759E-2</v>
      </c>
      <c r="N533">
        <f t="shared" ref="N533:O533" si="614">AVERAGE(G531:G533)</f>
        <v>0.42991201526040984</v>
      </c>
      <c r="O533">
        <f t="shared" si="614"/>
        <v>0.43313222639489363</v>
      </c>
      <c r="P533">
        <f t="shared" si="569"/>
        <v>7.379999831448035E-2</v>
      </c>
      <c r="Q533">
        <f t="shared" si="570"/>
        <v>2.3285408407108289E-2</v>
      </c>
      <c r="R533">
        <f t="shared" si="571"/>
        <v>1.4315929319028904E-2</v>
      </c>
    </row>
    <row r="534" spans="1:18" x14ac:dyDescent="0.25">
      <c r="A534" s="18">
        <f t="shared" si="564"/>
        <v>33695</v>
      </c>
      <c r="B534">
        <f>'2-state flows'!B533</f>
        <v>127841</v>
      </c>
      <c r="C534">
        <f>'2-state flows'!C533</f>
        <v>9415</v>
      </c>
      <c r="D534">
        <f>'Composite HWI'!B497*48.35347462</f>
        <v>2949.5619518200001</v>
      </c>
      <c r="E534">
        <f t="shared" si="559"/>
        <v>7.3646169851612556E-2</v>
      </c>
      <c r="F534">
        <f t="shared" si="560"/>
        <v>2.3072112638511902E-2</v>
      </c>
      <c r="G534">
        <f>'2-state flows'!G533</f>
        <v>0.39747797194436846</v>
      </c>
      <c r="H534">
        <f t="shared" si="561"/>
        <v>0.43166045632060013</v>
      </c>
      <c r="I534">
        <f>'2-state flows'!H533</f>
        <v>3.5021987481724713E-2</v>
      </c>
      <c r="J534">
        <f t="shared" si="565"/>
        <v>1.7693875976792426E-2</v>
      </c>
      <c r="K534">
        <v>0.5</v>
      </c>
      <c r="L534">
        <f t="shared" si="567"/>
        <v>0.50495061571562461</v>
      </c>
      <c r="M534">
        <f t="shared" si="562"/>
        <v>1.392483626531691E-2</v>
      </c>
      <c r="N534">
        <f t="shared" ref="N534:O534" si="615">AVERAGE(G532:G534)</f>
        <v>0.42662065467385485</v>
      </c>
      <c r="O534">
        <f t="shared" si="615"/>
        <v>0.43450814410070188</v>
      </c>
      <c r="P534">
        <f t="shared" si="569"/>
        <v>7.4033862110107873E-2</v>
      </c>
      <c r="Q534">
        <f t="shared" si="570"/>
        <v>2.3503660984906836E-2</v>
      </c>
      <c r="R534">
        <f t="shared" si="571"/>
        <v>1.4128457890703036E-2</v>
      </c>
    </row>
    <row r="535" spans="1:18" x14ac:dyDescent="0.25">
      <c r="A535" s="18">
        <f t="shared" si="564"/>
        <v>33725</v>
      </c>
      <c r="B535">
        <f>'2-state flows'!B534</f>
        <v>128119</v>
      </c>
      <c r="C535">
        <f>'2-state flows'!C534</f>
        <v>9744</v>
      </c>
      <c r="D535">
        <f>'Composite HWI'!B498*48.35347462</f>
        <v>3046.2689010600002</v>
      </c>
      <c r="E535">
        <f t="shared" si="559"/>
        <v>7.6054293274221627E-2</v>
      </c>
      <c r="F535">
        <f t="shared" si="560"/>
        <v>2.3776870730024432E-2</v>
      </c>
      <c r="G535">
        <f>'2-state flows'!G534</f>
        <v>0.40147063360041391</v>
      </c>
      <c r="H535">
        <f t="shared" si="561"/>
        <v>0.43121032113055119</v>
      </c>
      <c r="I535">
        <f>'2-state flows'!H534</f>
        <v>3.6134352731315003E-2</v>
      </c>
      <c r="J535">
        <f t="shared" si="565"/>
        <v>3.1267934051432023E-2</v>
      </c>
      <c r="K535">
        <v>0.5</v>
      </c>
      <c r="L535">
        <f t="shared" si="567"/>
        <v>0.56748648381848865</v>
      </c>
      <c r="M535">
        <f t="shared" si="562"/>
        <v>1.348026556922796E-2</v>
      </c>
      <c r="N535">
        <f t="shared" ref="N535:O535" si="616">AVERAGE(G533:G535)</f>
        <v>0.41154076804272194</v>
      </c>
      <c r="O535">
        <f t="shared" si="616"/>
        <v>0.43465518943199283</v>
      </c>
      <c r="P535">
        <f t="shared" si="569"/>
        <v>7.4612023386698811E-2</v>
      </c>
      <c r="Q535">
        <f t="shared" si="570"/>
        <v>2.3700249860084611E-2</v>
      </c>
      <c r="R535">
        <f t="shared" si="571"/>
        <v>1.418971267594721E-2</v>
      </c>
    </row>
    <row r="536" spans="1:18" x14ac:dyDescent="0.25">
      <c r="A536" s="18">
        <f t="shared" si="564"/>
        <v>33756</v>
      </c>
      <c r="B536">
        <f>'2-state flows'!B535</f>
        <v>128459</v>
      </c>
      <c r="C536">
        <f>'2-state flows'!C535</f>
        <v>10040</v>
      </c>
      <c r="D536">
        <f>'Composite HWI'!B499*48.35347462</f>
        <v>3046.2689010600002</v>
      </c>
      <c r="E536">
        <f t="shared" si="559"/>
        <v>7.8157233047120092E-2</v>
      </c>
      <c r="F536">
        <f t="shared" si="560"/>
        <v>2.3713939086089725E-2</v>
      </c>
      <c r="G536">
        <f>'2-state flows'!G535</f>
        <v>0.4484058795162767</v>
      </c>
      <c r="H536">
        <f t="shared" si="561"/>
        <v>0.42480628010445043</v>
      </c>
      <c r="I536">
        <f>'2-state flows'!H535</f>
        <v>3.5993180113696184E-2</v>
      </c>
      <c r="J536">
        <f t="shared" si="565"/>
        <v>-3.9145328371197252E-3</v>
      </c>
      <c r="K536">
        <v>0.5</v>
      </c>
      <c r="L536">
        <f t="shared" si="567"/>
        <v>0.55965741814424919</v>
      </c>
      <c r="M536">
        <f t="shared" si="562"/>
        <v>1.3550258223086968E-2</v>
      </c>
      <c r="N536">
        <f t="shared" ref="N536:O536" si="617">AVERAGE(G534:G536)</f>
        <v>0.4157848283536863</v>
      </c>
      <c r="O536">
        <f t="shared" si="617"/>
        <v>0.42922568585186721</v>
      </c>
      <c r="P536">
        <f t="shared" si="569"/>
        <v>7.5952565390984758E-2</v>
      </c>
      <c r="Q536">
        <f t="shared" si="570"/>
        <v>2.3520974151542019E-2</v>
      </c>
      <c r="R536">
        <f t="shared" si="571"/>
        <v>1.3651786685877279E-2</v>
      </c>
    </row>
    <row r="537" spans="1:18" x14ac:dyDescent="0.25">
      <c r="A537" s="18">
        <f t="shared" si="564"/>
        <v>33786</v>
      </c>
      <c r="B537">
        <f>'2-state flows'!B536</f>
        <v>128563</v>
      </c>
      <c r="C537">
        <f>'2-state flows'!C536</f>
        <v>9850</v>
      </c>
      <c r="D537">
        <f>'Composite HWI'!B500*48.35347462</f>
        <v>2949.5619518200001</v>
      </c>
      <c r="E537">
        <f t="shared" si="559"/>
        <v>7.6616133724321925E-2</v>
      </c>
      <c r="F537">
        <f t="shared" si="560"/>
        <v>2.2942541414092701E-2</v>
      </c>
      <c r="G537">
        <f>'2-state flows'!G536</f>
        <v>0.43885917436315974</v>
      </c>
      <c r="H537">
        <f t="shared" si="561"/>
        <v>0.42202124312276496</v>
      </c>
      <c r="I537">
        <f>'2-state flows'!H536</f>
        <v>3.5747008506016538E-2</v>
      </c>
      <c r="J537">
        <f t="shared" si="565"/>
        <v>-6.8628917382047754E-3</v>
      </c>
      <c r="K537">
        <v>0.5</v>
      </c>
      <c r="L537">
        <f t="shared" si="567"/>
        <v>0.54593163466783967</v>
      </c>
      <c r="M537">
        <f t="shared" si="562"/>
        <v>1.3290656322149083E-2</v>
      </c>
      <c r="N537">
        <f t="shared" ref="N537:O537" si="618">AVERAGE(G535:G537)</f>
        <v>0.42957856249328347</v>
      </c>
      <c r="O537">
        <f t="shared" si="618"/>
        <v>0.42601261478592223</v>
      </c>
      <c r="P537">
        <f t="shared" si="569"/>
        <v>7.6942553348554543E-2</v>
      </c>
      <c r="Q537">
        <f t="shared" si="570"/>
        <v>2.3477783743402286E-2</v>
      </c>
      <c r="R537">
        <f t="shared" si="571"/>
        <v>1.3440393371488004E-2</v>
      </c>
    </row>
    <row r="538" spans="1:18" x14ac:dyDescent="0.25">
      <c r="A538" s="18">
        <f t="shared" si="564"/>
        <v>33817</v>
      </c>
      <c r="B538">
        <f>'2-state flows'!B537</f>
        <v>128613</v>
      </c>
      <c r="C538">
        <f>'2-state flows'!C537</f>
        <v>9787</v>
      </c>
      <c r="D538">
        <f>'Composite HWI'!B501*48.35347462</f>
        <v>3046.2689010600002</v>
      </c>
      <c r="E538">
        <f t="shared" si="559"/>
        <v>7.609650657398552E-2</v>
      </c>
      <c r="F538">
        <f t="shared" si="560"/>
        <v>2.3685544237829769E-2</v>
      </c>
      <c r="G538">
        <f>'2-state flows'!G537</f>
        <v>0.43212783215928624</v>
      </c>
      <c r="H538">
        <f t="shared" si="561"/>
        <v>0.43026199911275009</v>
      </c>
      <c r="I538">
        <f>'2-state flows'!H537</f>
        <v>3.5528614691320251E-2</v>
      </c>
      <c r="J538">
        <f t="shared" si="565"/>
        <v>-6.1281680431673046E-3</v>
      </c>
      <c r="K538">
        <v>0.5</v>
      </c>
      <c r="L538">
        <f t="shared" si="567"/>
        <v>0.53367529858150509</v>
      </c>
      <c r="M538">
        <f t="shared" si="562"/>
        <v>1.3890284177425436E-2</v>
      </c>
      <c r="N538">
        <f t="shared" ref="N538:O538" si="619">AVERAGE(G536:G538)</f>
        <v>0.43979762867957423</v>
      </c>
      <c r="O538">
        <f t="shared" si="619"/>
        <v>0.42569650744665516</v>
      </c>
      <c r="P538">
        <f t="shared" si="569"/>
        <v>7.6956624448475841E-2</v>
      </c>
      <c r="Q538">
        <f t="shared" si="570"/>
        <v>2.3447341579337398E-2</v>
      </c>
      <c r="R538">
        <f t="shared" si="571"/>
        <v>1.3577066240887163E-2</v>
      </c>
    </row>
    <row r="539" spans="1:18" x14ac:dyDescent="0.25">
      <c r="A539" s="18">
        <f t="shared" si="564"/>
        <v>33848</v>
      </c>
      <c r="B539">
        <f>'2-state flows'!B538</f>
        <v>128501</v>
      </c>
      <c r="C539">
        <f>'2-state flows'!C538</f>
        <v>9781</v>
      </c>
      <c r="D539">
        <f>'Composite HWI'!B502*48.35347462</f>
        <v>2997.9154264399999</v>
      </c>
      <c r="E539">
        <f t="shared" si="559"/>
        <v>7.6116139174014205E-2</v>
      </c>
      <c r="F539">
        <f t="shared" si="560"/>
        <v>2.3329899583972108E-2</v>
      </c>
      <c r="G539">
        <f>'2-state flows'!G538</f>
        <v>0.48170664534387558</v>
      </c>
      <c r="H539">
        <f t="shared" si="561"/>
        <v>0.4269644590955512</v>
      </c>
      <c r="I539">
        <f>'2-state flows'!H538</f>
        <v>3.5554375523623269E-2</v>
      </c>
      <c r="J539">
        <f t="shared" si="565"/>
        <v>7.2481006645637002E-4</v>
      </c>
      <c r="K539">
        <v>0.5</v>
      </c>
      <c r="L539">
        <f t="shared" si="567"/>
        <v>0.53512491871441781</v>
      </c>
      <c r="M539">
        <f t="shared" si="562"/>
        <v>1.3661898995036044E-2</v>
      </c>
      <c r="N539">
        <f t="shared" ref="N539:O539" si="620">AVERAGE(G537:G539)</f>
        <v>0.4508978839554405</v>
      </c>
      <c r="O539">
        <f t="shared" si="620"/>
        <v>0.42641590044368877</v>
      </c>
      <c r="P539">
        <f t="shared" si="569"/>
        <v>7.6276259824107226E-2</v>
      </c>
      <c r="Q539">
        <f t="shared" si="570"/>
        <v>2.3319328411964862E-2</v>
      </c>
      <c r="R539">
        <f t="shared" si="571"/>
        <v>1.3614279831536855E-2</v>
      </c>
    </row>
    <row r="540" spans="1:18" x14ac:dyDescent="0.25">
      <c r="A540" s="18">
        <f t="shared" si="564"/>
        <v>33878</v>
      </c>
      <c r="B540">
        <f>'2-state flows'!B539</f>
        <v>128026</v>
      </c>
      <c r="C540">
        <f>'2-state flows'!C539</f>
        <v>9398</v>
      </c>
      <c r="D540">
        <f>'Composite HWI'!B503*48.35347462</f>
        <v>2997.9154264399999</v>
      </c>
      <c r="E540">
        <f t="shared" si="559"/>
        <v>7.3406964210394762E-2</v>
      </c>
      <c r="F540">
        <f t="shared" si="560"/>
        <v>2.3416457801071655E-2</v>
      </c>
      <c r="G540">
        <f>'2-state flows'!G539</f>
        <v>0.40823548814323907</v>
      </c>
      <c r="H540">
        <f t="shared" si="561"/>
        <v>0.43557769721991058</v>
      </c>
      <c r="I540">
        <f>'2-state flows'!H539</f>
        <v>3.4083392176596589E-2</v>
      </c>
      <c r="J540">
        <f t="shared" si="565"/>
        <v>-4.2252996802687424E-2</v>
      </c>
      <c r="K540">
        <v>0.5</v>
      </c>
      <c r="L540">
        <f t="shared" si="567"/>
        <v>0.45061892510904294</v>
      </c>
      <c r="M540">
        <f t="shared" si="562"/>
        <v>1.4921754398143389E-2</v>
      </c>
      <c r="N540">
        <f t="shared" ref="N540:O540" si="621">AVERAGE(G538:G540)</f>
        <v>0.44068998854880032</v>
      </c>
      <c r="O540">
        <f t="shared" si="621"/>
        <v>0.43093471847607062</v>
      </c>
      <c r="P540">
        <f t="shared" si="569"/>
        <v>7.5206536652798153E-2</v>
      </c>
      <c r="Q540">
        <f t="shared" si="570"/>
        <v>2.3477300540957844E-2</v>
      </c>
      <c r="R540">
        <f t="shared" si="571"/>
        <v>1.4157979190201625E-2</v>
      </c>
    </row>
    <row r="541" spans="1:18" x14ac:dyDescent="0.25">
      <c r="A541" s="18">
        <f t="shared" si="564"/>
        <v>33909</v>
      </c>
      <c r="B541">
        <f>'2-state flows'!B540</f>
        <v>128441</v>
      </c>
      <c r="C541">
        <f>'2-state flows'!C540</f>
        <v>9565</v>
      </c>
      <c r="D541">
        <f>'Composite HWI'!B504*48.35347462</f>
        <v>3191.3293249200001</v>
      </c>
      <c r="E541">
        <f t="shared" si="559"/>
        <v>7.4469990112191589E-2</v>
      </c>
      <c r="F541">
        <f t="shared" si="560"/>
        <v>2.4846655856930421E-2</v>
      </c>
      <c r="G541">
        <f>'2-state flows'!G540</f>
        <v>0.40682515435013428</v>
      </c>
      <c r="H541">
        <f t="shared" si="561"/>
        <v>0.44546849093679386</v>
      </c>
      <c r="I541">
        <f>'2-state flows'!H540</f>
        <v>3.2650798737965184E-2</v>
      </c>
      <c r="J541">
        <f t="shared" si="565"/>
        <v>-4.294091363916238E-2</v>
      </c>
      <c r="K541">
        <v>0.5</v>
      </c>
      <c r="L541">
        <f t="shared" si="567"/>
        <v>0.36473709783071817</v>
      </c>
      <c r="M541">
        <f t="shared" si="562"/>
        <v>1.7253000536476156E-2</v>
      </c>
      <c r="N541">
        <f t="shared" ref="N541:O541" si="622">AVERAGE(G539:G541)</f>
        <v>0.43225576261241633</v>
      </c>
      <c r="O541">
        <f t="shared" si="622"/>
        <v>0.43600354908408523</v>
      </c>
      <c r="P541">
        <f t="shared" si="569"/>
        <v>7.4664364498866861E-2</v>
      </c>
      <c r="Q541">
        <f t="shared" si="570"/>
        <v>2.3864337747324729E-2</v>
      </c>
      <c r="R541">
        <f t="shared" si="571"/>
        <v>1.5278884643218532E-2</v>
      </c>
    </row>
    <row r="542" spans="1:18" x14ac:dyDescent="0.25">
      <c r="A542" s="18">
        <f t="shared" si="564"/>
        <v>33939</v>
      </c>
      <c r="B542">
        <f>'2-state flows'!B541</f>
        <v>128554</v>
      </c>
      <c r="C542">
        <f>'2-state flows'!C541</f>
        <v>9557</v>
      </c>
      <c r="D542">
        <f>'Composite HWI'!B505*48.35347462</f>
        <v>3142.9758502999998</v>
      </c>
      <c r="E542">
        <f t="shared" si="559"/>
        <v>7.4342299733963932E-2</v>
      </c>
      <c r="F542">
        <f t="shared" si="560"/>
        <v>2.4448681879210291E-2</v>
      </c>
      <c r="G542">
        <f>'2-state flows'!G541</f>
        <v>0.46119042957593315</v>
      </c>
      <c r="H542">
        <f t="shared" si="561"/>
        <v>0.44226583911081946</v>
      </c>
      <c r="I542">
        <f>'2-state flows'!H541</f>
        <v>3.4566894799071921E-2</v>
      </c>
      <c r="J542">
        <f t="shared" si="565"/>
        <v>5.7027107259020077E-2</v>
      </c>
      <c r="K542">
        <v>0.5</v>
      </c>
      <c r="L542">
        <f t="shared" si="567"/>
        <v>0.47879131234875832</v>
      </c>
      <c r="M542">
        <f t="shared" si="562"/>
        <v>1.5146734910177789E-2</v>
      </c>
      <c r="N542">
        <f t="shared" ref="N542:O542" si="623">AVERAGE(G540:G542)</f>
        <v>0.42541702402310211</v>
      </c>
      <c r="O542">
        <f t="shared" si="623"/>
        <v>0.44110400908917463</v>
      </c>
      <c r="P542">
        <f t="shared" si="569"/>
        <v>7.4073084685516766E-2</v>
      </c>
      <c r="Q542">
        <f t="shared" si="570"/>
        <v>2.423726517907079E-2</v>
      </c>
      <c r="R542">
        <f t="shared" si="571"/>
        <v>1.5773829948265778E-2</v>
      </c>
    </row>
    <row r="543" spans="1:18" x14ac:dyDescent="0.25">
      <c r="A543" s="18">
        <f t="shared" si="564"/>
        <v>33970</v>
      </c>
      <c r="B543">
        <f>'2-state flows'!B542</f>
        <v>128400</v>
      </c>
      <c r="C543">
        <f>'2-state flows'!C542</f>
        <v>9325</v>
      </c>
      <c r="D543">
        <f>'Composite HWI'!B506*48.35347462</f>
        <v>3191.3293249200001</v>
      </c>
      <c r="E543">
        <f t="shared" si="559"/>
        <v>7.2624610591900313E-2</v>
      </c>
      <c r="F543">
        <f t="shared" si="560"/>
        <v>2.4854589757943926E-2</v>
      </c>
      <c r="G543">
        <f>'2-state flows'!G542</f>
        <v>0.48838057090196074</v>
      </c>
      <c r="H543">
        <f t="shared" si="561"/>
        <v>0.45116464331948825</v>
      </c>
      <c r="I543">
        <f>'2-state flows'!H542</f>
        <v>3.6713158408537179E-2</v>
      </c>
      <c r="J543">
        <f t="shared" si="565"/>
        <v>6.0238804216787629E-2</v>
      </c>
      <c r="K543">
        <v>0.5</v>
      </c>
      <c r="L543">
        <f t="shared" si="567"/>
        <v>0.59926892078233363</v>
      </c>
      <c r="M543">
        <f t="shared" si="562"/>
        <v>1.3650463993000328E-2</v>
      </c>
      <c r="N543">
        <f t="shared" ref="N543:O543" si="624">AVERAGE(G541:G543)</f>
        <v>0.45213205160934278</v>
      </c>
      <c r="O543">
        <f t="shared" si="624"/>
        <v>0.44629965778903385</v>
      </c>
      <c r="P543">
        <f t="shared" si="569"/>
        <v>7.3812300146018611E-2</v>
      </c>
      <c r="Q543">
        <f t="shared" si="570"/>
        <v>2.4716642498028213E-2</v>
      </c>
      <c r="R543">
        <f t="shared" si="571"/>
        <v>1.5350066479884759E-2</v>
      </c>
    </row>
    <row r="544" spans="1:18" x14ac:dyDescent="0.25">
      <c r="A544" s="18">
        <f t="shared" si="564"/>
        <v>34001</v>
      </c>
      <c r="B544">
        <f>'2-state flows'!B543</f>
        <v>128458</v>
      </c>
      <c r="C544">
        <f>'2-state flows'!C543</f>
        <v>9183</v>
      </c>
      <c r="D544">
        <f>'Composite HWI'!B507*48.35347462</f>
        <v>3239.6827995399999</v>
      </c>
      <c r="E544">
        <f t="shared" si="559"/>
        <v>7.1486400224197791E-2</v>
      </c>
      <c r="F544">
        <f t="shared" si="560"/>
        <v>2.5219782337729063E-2</v>
      </c>
      <c r="G544">
        <f>'2-state flows'!G543</f>
        <v>0.46018592417294923</v>
      </c>
      <c r="H544">
        <f t="shared" si="561"/>
        <v>0.45807081167515945</v>
      </c>
      <c r="I544">
        <f>'2-state flows'!H543</f>
        <v>3.4080288450504016E-2</v>
      </c>
      <c r="J544">
        <f t="shared" si="565"/>
        <v>-7.441606469413202E-2</v>
      </c>
      <c r="K544">
        <v>0.5</v>
      </c>
      <c r="L544">
        <f t="shared" si="567"/>
        <v>0.45043679139406956</v>
      </c>
      <c r="M544">
        <f t="shared" si="562"/>
        <v>1.6073820756174455E-2</v>
      </c>
      <c r="N544">
        <f t="shared" ref="N544:O544" si="625">AVERAGE(G542:G544)</f>
        <v>0.46991897488361439</v>
      </c>
      <c r="O544">
        <f t="shared" si="625"/>
        <v>0.45050043136848905</v>
      </c>
      <c r="P544">
        <f t="shared" si="569"/>
        <v>7.2817770183354003E-2</v>
      </c>
      <c r="Q544">
        <f t="shared" si="570"/>
        <v>2.4841017991627759E-2</v>
      </c>
      <c r="R544">
        <f t="shared" si="571"/>
        <v>1.4957006553117524E-2</v>
      </c>
    </row>
    <row r="545" spans="1:18" x14ac:dyDescent="0.25">
      <c r="A545" s="18">
        <f t="shared" si="564"/>
        <v>34029</v>
      </c>
      <c r="B545">
        <f>'2-state flows'!B544</f>
        <v>128598</v>
      </c>
      <c r="C545">
        <f>'2-state flows'!C544</f>
        <v>9056</v>
      </c>
      <c r="D545">
        <f>'Composite HWI'!B508*48.35347462</f>
        <v>3191.3293249200001</v>
      </c>
      <c r="E545">
        <f t="shared" si="559"/>
        <v>7.0421001881833312E-2</v>
      </c>
      <c r="F545">
        <f t="shared" si="560"/>
        <v>2.4816321598469651E-2</v>
      </c>
      <c r="G545">
        <f>'2-state flows'!G544</f>
        <v>0.45249004675302729</v>
      </c>
      <c r="H545">
        <f t="shared" si="561"/>
        <v>0.45781632094890379</v>
      </c>
      <c r="I545">
        <f>'2-state flows'!H544</f>
        <v>3.4849446823039983E-2</v>
      </c>
      <c r="J545">
        <f t="shared" si="565"/>
        <v>2.2318098148516798E-2</v>
      </c>
      <c r="K545">
        <v>0.5</v>
      </c>
      <c r="L545">
        <f t="shared" si="567"/>
        <v>0.49507298769110314</v>
      </c>
      <c r="M545">
        <f t="shared" si="562"/>
        <v>1.5126203605568657E-2</v>
      </c>
      <c r="N545">
        <f t="shared" ref="N545:O545" si="626">AVERAGE(G543:G545)</f>
        <v>0.46701884727597909</v>
      </c>
      <c r="O545">
        <f t="shared" si="626"/>
        <v>0.45568392531451724</v>
      </c>
      <c r="P545">
        <f t="shared" si="569"/>
        <v>7.1510670899310472E-2</v>
      </c>
      <c r="Q545">
        <f t="shared" si="570"/>
        <v>2.4963564564714213E-2</v>
      </c>
      <c r="R545">
        <f t="shared" si="571"/>
        <v>1.4950162784914478E-2</v>
      </c>
    </row>
    <row r="546" spans="1:18" x14ac:dyDescent="0.25">
      <c r="A546" s="18">
        <f t="shared" si="564"/>
        <v>34060</v>
      </c>
      <c r="B546">
        <f>'2-state flows'!B545</f>
        <v>128584</v>
      </c>
      <c r="C546">
        <f>'2-state flows'!C545</f>
        <v>9110</v>
      </c>
      <c r="D546">
        <f>'Composite HWI'!B509*48.35347462</f>
        <v>3142.9758502999998</v>
      </c>
      <c r="E546">
        <f t="shared" si="559"/>
        <v>7.0848628134137989E-2</v>
      </c>
      <c r="F546">
        <f t="shared" si="560"/>
        <v>2.4442977744509424E-2</v>
      </c>
      <c r="G546">
        <f>'2-state flows'!G545</f>
        <v>0.4539315047179236</v>
      </c>
      <c r="H546">
        <f t="shared" si="561"/>
        <v>0.45298622957858997</v>
      </c>
      <c r="I546">
        <f>'2-state flows'!H545</f>
        <v>3.5025399629823754E-2</v>
      </c>
      <c r="J546">
        <f t="shared" si="565"/>
        <v>5.0362380060010904E-3</v>
      </c>
      <c r="K546">
        <v>0.5</v>
      </c>
      <c r="L546">
        <f t="shared" si="567"/>
        <v>0.50514546370310531</v>
      </c>
      <c r="M546">
        <f t="shared" si="562"/>
        <v>1.474932770097165E-2</v>
      </c>
      <c r="N546">
        <f t="shared" ref="N546:O546" si="627">AVERAGE(G544:G546)</f>
        <v>0.45553582521463337</v>
      </c>
      <c r="O546">
        <f t="shared" si="627"/>
        <v>0.45629112073421774</v>
      </c>
      <c r="P546">
        <f t="shared" si="569"/>
        <v>7.0918676746723031E-2</v>
      </c>
      <c r="Q546">
        <f t="shared" si="570"/>
        <v>2.4826360560236044E-2</v>
      </c>
      <c r="R546">
        <f t="shared" si="571"/>
        <v>1.5316450687571587E-2</v>
      </c>
    </row>
    <row r="547" spans="1:18" x14ac:dyDescent="0.25">
      <c r="A547" s="18">
        <f t="shared" si="564"/>
        <v>34090</v>
      </c>
      <c r="B547">
        <f>'2-state flows'!B546</f>
        <v>129264</v>
      </c>
      <c r="C547">
        <f>'2-state flows'!C546</f>
        <v>9149</v>
      </c>
      <c r="D547">
        <f>'Composite HWI'!B510*48.35347462</f>
        <v>3288.0362741600002</v>
      </c>
      <c r="E547">
        <f t="shared" si="559"/>
        <v>7.0777633370466636E-2</v>
      </c>
      <c r="F547">
        <f t="shared" si="560"/>
        <v>2.5436596996534225E-2</v>
      </c>
      <c r="G547">
        <f>'2-state flows'!G546</f>
        <v>0.43818388743884595</v>
      </c>
      <c r="H547">
        <f t="shared" si="561"/>
        <v>0.46233327624464154</v>
      </c>
      <c r="I547">
        <f>'2-state flows'!H546</f>
        <v>3.3083547710730396E-2</v>
      </c>
      <c r="J547">
        <f t="shared" si="565"/>
        <v>-5.7037391203536632E-2</v>
      </c>
      <c r="K547">
        <v>0.5</v>
      </c>
      <c r="L547">
        <f t="shared" si="567"/>
        <v>0.39107068129603206</v>
      </c>
      <c r="M547">
        <f t="shared" si="562"/>
        <v>1.7203593430370007E-2</v>
      </c>
      <c r="N547">
        <f t="shared" ref="N547:O547" si="628">AVERAGE(G545:G547)</f>
        <v>0.44820181296993228</v>
      </c>
      <c r="O547">
        <f t="shared" si="628"/>
        <v>0.45771194225737838</v>
      </c>
      <c r="P547">
        <f t="shared" si="569"/>
        <v>7.068242112881265E-2</v>
      </c>
      <c r="Q547">
        <f t="shared" si="570"/>
        <v>2.4898632113171101E-2</v>
      </c>
      <c r="R547">
        <f t="shared" si="571"/>
        <v>1.5693041578970102E-2</v>
      </c>
    </row>
    <row r="548" spans="1:18" x14ac:dyDescent="0.25">
      <c r="A548" s="18">
        <f t="shared" si="564"/>
        <v>34121</v>
      </c>
      <c r="B548">
        <f>'2-state flows'!B547</f>
        <v>129411</v>
      </c>
      <c r="C548">
        <f>'2-state flows'!C547</f>
        <v>9121</v>
      </c>
      <c r="D548">
        <f>'Composite HWI'!B511*48.35347462</f>
        <v>3239.6827995399999</v>
      </c>
      <c r="E548">
        <f t="shared" si="559"/>
        <v>7.048087102332877E-2</v>
      </c>
      <c r="F548">
        <f t="shared" si="560"/>
        <v>2.5034060470439143E-2</v>
      </c>
      <c r="G548">
        <f>'2-state flows'!G547</f>
        <v>0.48105005450610056</v>
      </c>
      <c r="H548">
        <f t="shared" si="561"/>
        <v>0.45962504316011776</v>
      </c>
      <c r="I548">
        <f>'2-state flows'!H547</f>
        <v>3.4443569095537696E-2</v>
      </c>
      <c r="J548">
        <f t="shared" si="565"/>
        <v>4.0286195665173323E-2</v>
      </c>
      <c r="K548">
        <v>0.5</v>
      </c>
      <c r="L548">
        <f t="shared" si="567"/>
        <v>0.47164307262637872</v>
      </c>
      <c r="M548">
        <f t="shared" si="562"/>
        <v>1.5620657606430291E-2</v>
      </c>
      <c r="N548">
        <f t="shared" ref="N548:O548" si="629">AVERAGE(G546:G548)</f>
        <v>0.45772181555428998</v>
      </c>
      <c r="O548">
        <f t="shared" si="629"/>
        <v>0.45831484966111641</v>
      </c>
      <c r="P548">
        <f t="shared" si="569"/>
        <v>7.0702377509311132E-2</v>
      </c>
      <c r="Q548">
        <f t="shared" si="570"/>
        <v>2.4971211737160933E-2</v>
      </c>
      <c r="R548">
        <f t="shared" si="571"/>
        <v>1.5857859579257314E-2</v>
      </c>
    </row>
    <row r="549" spans="1:18" x14ac:dyDescent="0.25">
      <c r="A549" s="18">
        <f t="shared" si="564"/>
        <v>34151</v>
      </c>
      <c r="B549">
        <f>'2-state flows'!B548</f>
        <v>129397</v>
      </c>
      <c r="C549">
        <f>'2-state flows'!C548</f>
        <v>8930</v>
      </c>
      <c r="D549">
        <f>'Composite HWI'!B512*48.35347462</f>
        <v>3288.0362741600002</v>
      </c>
      <c r="E549">
        <f t="shared" si="559"/>
        <v>6.9012419144184184E-2</v>
      </c>
      <c r="F549">
        <f t="shared" si="560"/>
        <v>2.541045212918383E-2</v>
      </c>
      <c r="G549">
        <f>'2-state flows'!G548</f>
        <v>0.46897392441139585</v>
      </c>
      <c r="H549">
        <f t="shared" si="561"/>
        <v>0.46796808660225148</v>
      </c>
      <c r="I549">
        <f>'2-state flows'!H548</f>
        <v>3.3000989264464604E-2</v>
      </c>
      <c r="J549">
        <f t="shared" si="565"/>
        <v>-4.2784767736484292E-2</v>
      </c>
      <c r="K549">
        <v>0.5</v>
      </c>
      <c r="L549">
        <f t="shared" si="567"/>
        <v>0.38607353715341014</v>
      </c>
      <c r="M549">
        <f t="shared" si="562"/>
        <v>1.7272006220756597E-2</v>
      </c>
      <c r="N549">
        <f t="shared" ref="N549:O549" si="630">AVERAGE(G547:G549)</f>
        <v>0.46273595545211405</v>
      </c>
      <c r="O549">
        <f t="shared" si="630"/>
        <v>0.46330880200233698</v>
      </c>
      <c r="P549">
        <f t="shared" si="569"/>
        <v>7.0090307845993197E-2</v>
      </c>
      <c r="Q549">
        <f t="shared" si="570"/>
        <v>2.5293703198719066E-2</v>
      </c>
      <c r="R549">
        <f t="shared" si="571"/>
        <v>1.6698752419185631E-2</v>
      </c>
    </row>
    <row r="550" spans="1:18" x14ac:dyDescent="0.25">
      <c r="A550" s="18">
        <f t="shared" si="564"/>
        <v>34182</v>
      </c>
      <c r="B550">
        <f>'2-state flows'!B549</f>
        <v>129619</v>
      </c>
      <c r="C550">
        <f>'2-state flows'!C549</f>
        <v>8763</v>
      </c>
      <c r="D550">
        <f>'Composite HWI'!B513*48.35347462</f>
        <v>3433.0966980200001</v>
      </c>
      <c r="E550">
        <f t="shared" si="559"/>
        <v>6.7605829392295883E-2</v>
      </c>
      <c r="F550">
        <f t="shared" si="560"/>
        <v>2.6486060670272107E-2</v>
      </c>
      <c r="G550">
        <f>'2-state flows'!G549</f>
        <v>0.45009584159670185</v>
      </c>
      <c r="H550">
        <f t="shared" si="561"/>
        <v>0.48271442678884896</v>
      </c>
      <c r="I550">
        <f>'2-state flows'!H549</f>
        <v>3.212442575930579E-2</v>
      </c>
      <c r="J550">
        <f t="shared" si="565"/>
        <v>-2.6920870869292558E-2</v>
      </c>
      <c r="K550">
        <v>0.5</v>
      </c>
      <c r="L550">
        <f t="shared" si="567"/>
        <v>0.332231795414825</v>
      </c>
      <c r="M550">
        <f t="shared" si="562"/>
        <v>1.8999008369808168E-2</v>
      </c>
      <c r="N550">
        <f t="shared" ref="N550:O550" si="631">AVERAGE(G548:G550)</f>
        <v>0.46670660683806608</v>
      </c>
      <c r="O550">
        <f t="shared" si="631"/>
        <v>0.47010251885040605</v>
      </c>
      <c r="P550">
        <f t="shared" si="569"/>
        <v>6.9033039853269598E-2</v>
      </c>
      <c r="Q550">
        <f t="shared" si="570"/>
        <v>2.5643524423298359E-2</v>
      </c>
      <c r="R550">
        <f t="shared" si="571"/>
        <v>1.7297224065665018E-2</v>
      </c>
    </row>
    <row r="551" spans="1:18" x14ac:dyDescent="0.25">
      <c r="A551" s="18">
        <f t="shared" si="564"/>
        <v>34213</v>
      </c>
      <c r="B551">
        <f>'2-state flows'!B550</f>
        <v>129268</v>
      </c>
      <c r="C551">
        <f>'2-state flows'!C550</f>
        <v>8714</v>
      </c>
      <c r="D551">
        <f>'Composite HWI'!B514*48.35347462</f>
        <v>3433.0966980200001</v>
      </c>
      <c r="E551">
        <f t="shared" si="559"/>
        <v>6.7410341306433141E-2</v>
      </c>
      <c r="F551">
        <f t="shared" si="560"/>
        <v>2.6557977983878454E-2</v>
      </c>
      <c r="G551">
        <f>'2-state flows'!G550</f>
        <v>0.47594273650314095</v>
      </c>
      <c r="H551">
        <f t="shared" si="561"/>
        <v>0.48406970846540442</v>
      </c>
      <c r="I551">
        <f>'2-state flows'!H550</f>
        <v>3.4783891280123463E-2</v>
      </c>
      <c r="J551">
        <f t="shared" si="565"/>
        <v>7.9537717503572955E-2</v>
      </c>
      <c r="K551">
        <v>0.5</v>
      </c>
      <c r="L551">
        <f t="shared" si="567"/>
        <v>0.49130723042197089</v>
      </c>
      <c r="M551">
        <f t="shared" si="562"/>
        <v>1.6248863391047457E-2</v>
      </c>
      <c r="N551">
        <f t="shared" ref="N551:O551" si="632">AVERAGE(G549:G551)</f>
        <v>0.46500416750374624</v>
      </c>
      <c r="O551">
        <f t="shared" si="632"/>
        <v>0.47825074061883494</v>
      </c>
      <c r="P551">
        <f t="shared" si="569"/>
        <v>6.8009529947637745E-2</v>
      </c>
      <c r="Q551">
        <f t="shared" si="570"/>
        <v>2.6151496927778128E-2</v>
      </c>
      <c r="R551">
        <f t="shared" si="571"/>
        <v>1.7506625993870744E-2</v>
      </c>
    </row>
    <row r="552" spans="1:18" x14ac:dyDescent="0.25">
      <c r="A552" s="18">
        <f t="shared" si="564"/>
        <v>34243</v>
      </c>
      <c r="B552">
        <f>'2-state flows'!B551</f>
        <v>129573</v>
      </c>
      <c r="C552">
        <f>'2-state flows'!C551</f>
        <v>8750</v>
      </c>
      <c r="D552">
        <f>'Composite HWI'!B515*48.35347462</f>
        <v>3578.15712188</v>
      </c>
      <c r="E552">
        <f t="shared" ref="E552:E615" si="633">C552/B552</f>
        <v>6.7529500744753918E-2</v>
      </c>
      <c r="F552">
        <f t="shared" ref="F552:F615" si="634">D552/B552</f>
        <v>2.7614990174496229E-2</v>
      </c>
      <c r="G552">
        <f>'2-state flows'!G551</f>
        <v>0.47252108108448887</v>
      </c>
      <c r="H552">
        <f t="shared" ref="H552:H615" si="635">0.771211801*(F552/E552)^0.5</f>
        <v>0.49317305847999982</v>
      </c>
      <c r="I552">
        <f>'2-state flows'!H551</f>
        <v>3.2027779876056456E-2</v>
      </c>
      <c r="J552">
        <f t="shared" si="565"/>
        <v>-8.2550738035201257E-2</v>
      </c>
      <c r="K552">
        <v>0.5</v>
      </c>
      <c r="L552">
        <f t="shared" si="567"/>
        <v>0.3262057543515684</v>
      </c>
      <c r="M552">
        <f t="shared" ref="M552:M615" si="636">F552/EXP(L552)</f>
        <v>1.9928542352652876E-2</v>
      </c>
      <c r="N552">
        <f t="shared" ref="N552:O552" si="637">AVERAGE(G550:G552)</f>
        <v>0.46618655306144391</v>
      </c>
      <c r="O552">
        <f t="shared" si="637"/>
        <v>0.48665239791141773</v>
      </c>
      <c r="P552">
        <f t="shared" si="569"/>
        <v>6.7515223814494305E-2</v>
      </c>
      <c r="Q552">
        <f t="shared" si="570"/>
        <v>2.6886342942882262E-2</v>
      </c>
      <c r="R552">
        <f t="shared" si="571"/>
        <v>1.8392138037836167E-2</v>
      </c>
    </row>
    <row r="553" spans="1:18" x14ac:dyDescent="0.25">
      <c r="A553" s="18">
        <f t="shared" ref="A553:A616" si="638">DATE(YEAR(A552),MONTH(A552)+1,1)</f>
        <v>34274</v>
      </c>
      <c r="B553">
        <f>'2-state flows'!B552</f>
        <v>129711</v>
      </c>
      <c r="C553">
        <f>'2-state flows'!C552</f>
        <v>8542</v>
      </c>
      <c r="D553">
        <f>'Composite HWI'!B516*48.35347462</f>
        <v>3578.15712188</v>
      </c>
      <c r="E553">
        <f t="shared" si="633"/>
        <v>6.585409101772402E-2</v>
      </c>
      <c r="F553">
        <f t="shared" si="634"/>
        <v>2.7585610487005727E-2</v>
      </c>
      <c r="G553">
        <f>'2-state flows'!G552</f>
        <v>0.49039270803080065</v>
      </c>
      <c r="H553">
        <f t="shared" si="635"/>
        <v>0.49914139275051295</v>
      </c>
      <c r="I553">
        <f>'2-state flows'!H552</f>
        <v>3.3881714997940314E-2</v>
      </c>
      <c r="J553">
        <f t="shared" ref="J553:J616" si="639">LN(I553/I552)</f>
        <v>5.6271840949347882E-2</v>
      </c>
      <c r="K553">
        <v>0.5</v>
      </c>
      <c r="L553">
        <f t="shared" si="567"/>
        <v>0.43874943625026419</v>
      </c>
      <c r="M553">
        <f t="shared" si="636"/>
        <v>1.7788369437525042E-2</v>
      </c>
      <c r="N553">
        <f t="shared" ref="N553:O553" si="640">AVERAGE(G551:G553)</f>
        <v>0.47961884187281018</v>
      </c>
      <c r="O553">
        <f t="shared" si="640"/>
        <v>0.49212805323197245</v>
      </c>
      <c r="P553">
        <f t="shared" si="569"/>
        <v>6.6931311022970355E-2</v>
      </c>
      <c r="Q553">
        <f t="shared" si="570"/>
        <v>2.7252859548460139E-2</v>
      </c>
      <c r="R553">
        <f t="shared" si="571"/>
        <v>1.7988591727075124E-2</v>
      </c>
    </row>
    <row r="554" spans="1:18" x14ac:dyDescent="0.25">
      <c r="A554" s="18">
        <f t="shared" si="638"/>
        <v>34304</v>
      </c>
      <c r="B554">
        <f>'2-state flows'!B553</f>
        <v>129941</v>
      </c>
      <c r="C554">
        <f>'2-state flows'!C553</f>
        <v>8477</v>
      </c>
      <c r="D554">
        <f>'Composite HWI'!B517*48.35347462</f>
        <v>3626.5105964999998</v>
      </c>
      <c r="E554">
        <f t="shared" si="633"/>
        <v>6.5237300005387064E-2</v>
      </c>
      <c r="F554">
        <f t="shared" si="634"/>
        <v>2.7908901705389368E-2</v>
      </c>
      <c r="G554">
        <f>'2-state flows'!G553</f>
        <v>0.44247521937470069</v>
      </c>
      <c r="H554">
        <f t="shared" si="635"/>
        <v>0.50442551990210283</v>
      </c>
      <c r="I554">
        <f>'2-state flows'!H553</f>
        <v>3.2462790671636134E-2</v>
      </c>
      <c r="J554">
        <f t="shared" si="639"/>
        <v>-4.2780957253579527E-2</v>
      </c>
      <c r="K554">
        <v>0.5</v>
      </c>
      <c r="L554">
        <f t="shared" ref="L554:L617" si="641">L553+J554/(1-K554)</f>
        <v>0.35318752174310514</v>
      </c>
      <c r="M554">
        <f t="shared" si="636"/>
        <v>1.9604481219211378E-2</v>
      </c>
      <c r="N554">
        <f t="shared" ref="N554:O554" si="642">AVERAGE(G552:G554)</f>
        <v>0.4684630028299967</v>
      </c>
      <c r="O554">
        <f t="shared" si="642"/>
        <v>0.49891332371087183</v>
      </c>
      <c r="P554">
        <f t="shared" ref="P554:P617" si="643">AVERAGE(E552:E554)</f>
        <v>6.6206963922621667E-2</v>
      </c>
      <c r="Q554">
        <f t="shared" ref="Q554:Q617" si="644">AVERAGE(F552:F554)</f>
        <v>2.770316745563044E-2</v>
      </c>
      <c r="R554">
        <f t="shared" ref="R554:R617" si="645">AVERAGE(M552:M554)</f>
        <v>1.9107131003129763E-2</v>
      </c>
    </row>
    <row r="555" spans="1:18" x14ac:dyDescent="0.25">
      <c r="A555" s="18">
        <f t="shared" si="638"/>
        <v>34335</v>
      </c>
      <c r="B555">
        <f>'2-state flows'!B554</f>
        <v>130596</v>
      </c>
      <c r="C555">
        <f>'2-state flows'!C554</f>
        <v>8630</v>
      </c>
      <c r="D555">
        <f>'Composite HWI'!B518*48.35347462</f>
        <v>3674.8640711200001</v>
      </c>
      <c r="E555">
        <f t="shared" si="633"/>
        <v>6.6081656406015502E-2</v>
      </c>
      <c r="F555">
        <f t="shared" si="634"/>
        <v>2.8139177854758186E-2</v>
      </c>
      <c r="G555">
        <f>'2-state flows'!G554</f>
        <v>0.44928260436603956</v>
      </c>
      <c r="H555">
        <f t="shared" si="635"/>
        <v>0.50325593863840057</v>
      </c>
      <c r="I555">
        <f>'2-state flows'!H554</f>
        <v>3.1304740063168753E-2</v>
      </c>
      <c r="J555">
        <f t="shared" si="639"/>
        <v>-3.6325005224931234E-2</v>
      </c>
      <c r="K555">
        <v>0.5</v>
      </c>
      <c r="L555">
        <f t="shared" si="641"/>
        <v>0.28053751129324267</v>
      </c>
      <c r="M555">
        <f t="shared" si="636"/>
        <v>2.12557048680126E-2</v>
      </c>
      <c r="N555">
        <f t="shared" ref="N555:O555" si="646">AVERAGE(G553:G555)</f>
        <v>0.46071684392384699</v>
      </c>
      <c r="O555">
        <f t="shared" si="646"/>
        <v>0.50227428376367211</v>
      </c>
      <c r="P555">
        <f t="shared" si="643"/>
        <v>6.5724349143042191E-2</v>
      </c>
      <c r="Q555">
        <f t="shared" si="644"/>
        <v>2.7877896682384426E-2</v>
      </c>
      <c r="R555">
        <f t="shared" si="645"/>
        <v>1.9549518508249673E-2</v>
      </c>
    </row>
    <row r="556" spans="1:18" x14ac:dyDescent="0.25">
      <c r="A556" s="18">
        <f t="shared" si="638"/>
        <v>34366</v>
      </c>
      <c r="B556">
        <f>'2-state flows'!B555</f>
        <v>130669</v>
      </c>
      <c r="C556">
        <f>'2-state flows'!C555</f>
        <v>8583</v>
      </c>
      <c r="D556">
        <f>'Composite HWI'!B519*48.35347462</f>
        <v>3819.92449498</v>
      </c>
      <c r="E556">
        <f t="shared" si="633"/>
        <v>6.5685051542446943E-2</v>
      </c>
      <c r="F556">
        <f t="shared" si="634"/>
        <v>2.9233594004545838E-2</v>
      </c>
      <c r="G556">
        <f>'2-state flows'!G555</f>
        <v>0.49446250473671555</v>
      </c>
      <c r="H556">
        <f t="shared" si="635"/>
        <v>0.51449540400191596</v>
      </c>
      <c r="I556">
        <f>'2-state flows'!H555</f>
        <v>3.3570797388083731E-2</v>
      </c>
      <c r="J556">
        <f t="shared" si="639"/>
        <v>6.9887037907961594E-2</v>
      </c>
      <c r="K556">
        <v>0.5</v>
      </c>
      <c r="L556">
        <f t="shared" si="641"/>
        <v>0.42031158710916583</v>
      </c>
      <c r="M556">
        <f t="shared" si="636"/>
        <v>1.9201855989435416E-2</v>
      </c>
      <c r="N556">
        <f t="shared" ref="N556:O556" si="647">AVERAGE(G554:G556)</f>
        <v>0.46207344282581858</v>
      </c>
      <c r="O556">
        <f t="shared" si="647"/>
        <v>0.50739228751413978</v>
      </c>
      <c r="P556">
        <f t="shared" si="643"/>
        <v>6.5668002651283169E-2</v>
      </c>
      <c r="Q556">
        <f t="shared" si="644"/>
        <v>2.8427224521564463E-2</v>
      </c>
      <c r="R556">
        <f t="shared" si="645"/>
        <v>2.0020680692219798E-2</v>
      </c>
    </row>
    <row r="557" spans="1:18" x14ac:dyDescent="0.25">
      <c r="A557" s="18">
        <f t="shared" si="638"/>
        <v>34394</v>
      </c>
      <c r="B557">
        <f>'2-state flows'!B556</f>
        <v>130400</v>
      </c>
      <c r="C557">
        <f>'2-state flows'!C556</f>
        <v>8470</v>
      </c>
      <c r="D557">
        <f>'Composite HWI'!B520*48.35347462</f>
        <v>3868.2779695999998</v>
      </c>
      <c r="E557">
        <f t="shared" si="633"/>
        <v>6.4953987730061349E-2</v>
      </c>
      <c r="F557">
        <f t="shared" si="634"/>
        <v>2.9664708355828219E-2</v>
      </c>
      <c r="G557">
        <f>'2-state flows'!G556</f>
        <v>0.52025999172572146</v>
      </c>
      <c r="H557">
        <f t="shared" si="635"/>
        <v>0.52118366854879528</v>
      </c>
      <c r="I557">
        <f>'2-state flows'!H556</f>
        <v>3.4655022106817625E-2</v>
      </c>
      <c r="J557">
        <f t="shared" si="639"/>
        <v>3.1786089575004152E-2</v>
      </c>
      <c r="K557">
        <v>0.5</v>
      </c>
      <c r="L557">
        <f t="shared" si="641"/>
        <v>0.48388376625917412</v>
      </c>
      <c r="M557">
        <f t="shared" si="636"/>
        <v>1.8284876586668813E-2</v>
      </c>
      <c r="N557">
        <f t="shared" ref="N557:O557" si="648">AVERAGE(G555:G557)</f>
        <v>0.4880017002761588</v>
      </c>
      <c r="O557">
        <f t="shared" si="648"/>
        <v>0.5129783370630373</v>
      </c>
      <c r="P557">
        <f t="shared" si="643"/>
        <v>6.5573565226174593E-2</v>
      </c>
      <c r="Q557">
        <f t="shared" si="644"/>
        <v>2.9012493405044082E-2</v>
      </c>
      <c r="R557">
        <f t="shared" si="645"/>
        <v>1.9580812481372278E-2</v>
      </c>
    </row>
    <row r="558" spans="1:18" x14ac:dyDescent="0.25">
      <c r="A558" s="18">
        <f t="shared" si="638"/>
        <v>34425</v>
      </c>
      <c r="B558">
        <f>'2-state flows'!B557</f>
        <v>130621</v>
      </c>
      <c r="C558">
        <f>'2-state flows'!C557</f>
        <v>8331</v>
      </c>
      <c r="D558">
        <f>'Composite HWI'!B521*48.35347462</f>
        <v>3868.2779695999998</v>
      </c>
      <c r="E558">
        <f t="shared" si="633"/>
        <v>6.3779943500662226E-2</v>
      </c>
      <c r="F558">
        <f t="shared" si="634"/>
        <v>2.9614518106583165E-2</v>
      </c>
      <c r="G558">
        <f>'2-state flows'!G557</f>
        <v>0.54334154073380492</v>
      </c>
      <c r="H558">
        <f t="shared" si="635"/>
        <v>0.5255135717127124</v>
      </c>
      <c r="I558">
        <f>'2-state flows'!H557</f>
        <v>3.2540364189454045E-2</v>
      </c>
      <c r="J558">
        <f t="shared" si="639"/>
        <v>-6.2961359498308431E-2</v>
      </c>
      <c r="K558">
        <v>0.5</v>
      </c>
      <c r="L558">
        <f t="shared" si="641"/>
        <v>0.35796104726255729</v>
      </c>
      <c r="M558">
        <f t="shared" si="636"/>
        <v>2.0703518680626146E-2</v>
      </c>
      <c r="N558">
        <f t="shared" ref="N558:O558" si="649">AVERAGE(G556:G558)</f>
        <v>0.51935467906541399</v>
      </c>
      <c r="O558">
        <f t="shared" si="649"/>
        <v>0.52039754808780792</v>
      </c>
      <c r="P558">
        <f t="shared" si="643"/>
        <v>6.4806327591056853E-2</v>
      </c>
      <c r="Q558">
        <f t="shared" si="644"/>
        <v>2.9504273488985738E-2</v>
      </c>
      <c r="R558">
        <f t="shared" si="645"/>
        <v>1.9396750418910123E-2</v>
      </c>
    </row>
    <row r="559" spans="1:18" x14ac:dyDescent="0.25">
      <c r="A559" s="18">
        <f t="shared" si="638"/>
        <v>34455</v>
      </c>
      <c r="B559">
        <f>'2-state flows'!B558</f>
        <v>130779</v>
      </c>
      <c r="C559">
        <f>'2-state flows'!C558</f>
        <v>7915</v>
      </c>
      <c r="D559">
        <f>'Composite HWI'!B522*48.35347462</f>
        <v>4013.3383934600001</v>
      </c>
      <c r="E559">
        <f t="shared" si="633"/>
        <v>6.0521949242615405E-2</v>
      </c>
      <c r="F559">
        <f t="shared" si="634"/>
        <v>3.0687942203717723E-2</v>
      </c>
      <c r="G559">
        <f>'2-state flows'!G558</f>
        <v>0.51507130533682066</v>
      </c>
      <c r="H559">
        <f t="shared" si="635"/>
        <v>0.54916278239772265</v>
      </c>
      <c r="I559">
        <f>'2-state flows'!H558</f>
        <v>3.3308201608497186E-2</v>
      </c>
      <c r="J559">
        <f t="shared" si="639"/>
        <v>2.3322367427559901E-2</v>
      </c>
      <c r="K559">
        <v>0.5</v>
      </c>
      <c r="L559">
        <f t="shared" si="641"/>
        <v>0.40460578211767706</v>
      </c>
      <c r="M559">
        <f t="shared" si="636"/>
        <v>2.0476216322609334E-2</v>
      </c>
      <c r="N559">
        <f t="shared" ref="N559:O559" si="650">AVERAGE(G557:G559)</f>
        <v>0.52622427926544901</v>
      </c>
      <c r="O559">
        <f t="shared" si="650"/>
        <v>0.53195334088641</v>
      </c>
      <c r="P559">
        <f t="shared" si="643"/>
        <v>6.3085293491112984E-2</v>
      </c>
      <c r="Q559">
        <f t="shared" si="644"/>
        <v>2.9989056222043037E-2</v>
      </c>
      <c r="R559">
        <f t="shared" si="645"/>
        <v>1.9821537196634764E-2</v>
      </c>
    </row>
    <row r="560" spans="1:18" x14ac:dyDescent="0.25">
      <c r="A560" s="18">
        <f t="shared" si="638"/>
        <v>34486</v>
      </c>
      <c r="B560">
        <f>'2-state flows'!B559</f>
        <v>130561</v>
      </c>
      <c r="C560">
        <f>'2-state flows'!C559</f>
        <v>7927</v>
      </c>
      <c r="D560">
        <f>'Composite HWI'!B523*48.35347462</f>
        <v>3916.63144422</v>
      </c>
      <c r="E560">
        <f t="shared" si="633"/>
        <v>6.0714914867379996E-2</v>
      </c>
      <c r="F560">
        <f t="shared" si="634"/>
        <v>2.9998479210637172E-2</v>
      </c>
      <c r="G560">
        <f>'2-state flows'!G559</f>
        <v>0.52808827277815396</v>
      </c>
      <c r="H560">
        <f t="shared" si="635"/>
        <v>0.54209523581317887</v>
      </c>
      <c r="I560">
        <f>'2-state flows'!H559</f>
        <v>3.4337924324444692E-2</v>
      </c>
      <c r="J560">
        <f t="shared" si="639"/>
        <v>3.0446747599415777E-2</v>
      </c>
      <c r="K560">
        <v>0.5</v>
      </c>
      <c r="L560">
        <f t="shared" si="641"/>
        <v>0.46549927731650864</v>
      </c>
      <c r="M560">
        <f t="shared" si="636"/>
        <v>1.8833692311343898E-2</v>
      </c>
      <c r="N560">
        <f t="shared" ref="N560:O560" si="651">AVERAGE(G558:G560)</f>
        <v>0.52883370628292659</v>
      </c>
      <c r="O560">
        <f t="shared" si="651"/>
        <v>0.53892386330787134</v>
      </c>
      <c r="P560">
        <f t="shared" si="643"/>
        <v>6.1672269203552545E-2</v>
      </c>
      <c r="Q560">
        <f t="shared" si="644"/>
        <v>3.0100313173646018E-2</v>
      </c>
      <c r="R560">
        <f t="shared" si="645"/>
        <v>2.0004475771526458E-2</v>
      </c>
    </row>
    <row r="561" spans="1:18" x14ac:dyDescent="0.25">
      <c r="A561" s="18">
        <f t="shared" si="638"/>
        <v>34516</v>
      </c>
      <c r="B561">
        <f>'2-state flows'!B560</f>
        <v>130652</v>
      </c>
      <c r="C561">
        <f>'2-state flows'!C560</f>
        <v>7946</v>
      </c>
      <c r="D561">
        <f>'Composite HWI'!B524*48.35347462</f>
        <v>4110.0453427000002</v>
      </c>
      <c r="E561">
        <f t="shared" si="633"/>
        <v>6.0818051005725134E-2</v>
      </c>
      <c r="F561">
        <f t="shared" si="634"/>
        <v>3.1457959638581882E-2</v>
      </c>
      <c r="G561">
        <f>'2-state flows'!G560</f>
        <v>0.49686198834298001</v>
      </c>
      <c r="H561">
        <f t="shared" si="635"/>
        <v>0.55465469390752187</v>
      </c>
      <c r="I561">
        <f>'2-state flows'!H560</f>
        <v>3.2038578897168435E-2</v>
      </c>
      <c r="J561">
        <f t="shared" si="639"/>
        <v>-6.9309641614226009E-2</v>
      </c>
      <c r="K561">
        <v>0.5</v>
      </c>
      <c r="L561">
        <f t="shared" si="641"/>
        <v>0.32687999408805662</v>
      </c>
      <c r="M561">
        <f t="shared" si="636"/>
        <v>2.2686545640414287E-2</v>
      </c>
      <c r="N561">
        <f t="shared" ref="N561:O561" si="652">AVERAGE(G559:G561)</f>
        <v>0.51334052215265158</v>
      </c>
      <c r="O561">
        <f t="shared" si="652"/>
        <v>0.54863757070614116</v>
      </c>
      <c r="P561">
        <f t="shared" si="643"/>
        <v>6.0684971705240176E-2</v>
      </c>
      <c r="Q561">
        <f t="shared" si="644"/>
        <v>3.071479368431226E-2</v>
      </c>
      <c r="R561">
        <f t="shared" si="645"/>
        <v>2.0665484758122504E-2</v>
      </c>
    </row>
    <row r="562" spans="1:18" x14ac:dyDescent="0.25">
      <c r="A562" s="18">
        <f t="shared" si="638"/>
        <v>34547</v>
      </c>
      <c r="B562">
        <f>'2-state flows'!B561</f>
        <v>131275</v>
      </c>
      <c r="C562">
        <f>'2-state flows'!C561</f>
        <v>7933</v>
      </c>
      <c r="D562">
        <f>'Composite HWI'!B525*48.35347462</f>
        <v>3964.9849188399999</v>
      </c>
      <c r="E562">
        <f t="shared" si="633"/>
        <v>6.0430394210626549E-2</v>
      </c>
      <c r="F562">
        <f t="shared" si="634"/>
        <v>3.0203655828147019E-2</v>
      </c>
      <c r="G562">
        <f>'2-state flows'!G561</f>
        <v>0.53725700500678897</v>
      </c>
      <c r="H562">
        <f t="shared" si="635"/>
        <v>0.54522493478932588</v>
      </c>
      <c r="I562">
        <f>'2-state flows'!H561</f>
        <v>3.2438438207862602E-2</v>
      </c>
      <c r="J562">
        <f t="shared" si="639"/>
        <v>1.2403316868757732E-2</v>
      </c>
      <c r="K562">
        <v>0.5</v>
      </c>
      <c r="L562">
        <f t="shared" si="641"/>
        <v>0.35168662782557208</v>
      </c>
      <c r="M562">
        <f t="shared" si="636"/>
        <v>2.124828833406427E-2</v>
      </c>
      <c r="N562">
        <f t="shared" ref="N562:O562" si="653">AVERAGE(G560:G562)</f>
        <v>0.52073575537597439</v>
      </c>
      <c r="O562">
        <f t="shared" si="653"/>
        <v>0.54732495483667554</v>
      </c>
      <c r="P562">
        <f t="shared" si="643"/>
        <v>6.0654453361243893E-2</v>
      </c>
      <c r="Q562">
        <f t="shared" si="644"/>
        <v>3.0553364892455359E-2</v>
      </c>
      <c r="R562">
        <f t="shared" si="645"/>
        <v>2.092284209527415E-2</v>
      </c>
    </row>
    <row r="563" spans="1:18" x14ac:dyDescent="0.25">
      <c r="A563" s="18">
        <f t="shared" si="638"/>
        <v>34578</v>
      </c>
      <c r="B563">
        <f>'2-state flows'!B562</f>
        <v>131421</v>
      </c>
      <c r="C563">
        <f>'2-state flows'!C562</f>
        <v>7734</v>
      </c>
      <c r="D563">
        <f>'Composite HWI'!B526*48.35347462</f>
        <v>4013.3383934600001</v>
      </c>
      <c r="E563">
        <f t="shared" si="633"/>
        <v>5.8849042390485537E-2</v>
      </c>
      <c r="F563">
        <f t="shared" si="634"/>
        <v>3.0538029641077151E-2</v>
      </c>
      <c r="G563">
        <f>'2-state flows'!G562</f>
        <v>0.47281907065279211</v>
      </c>
      <c r="H563">
        <f t="shared" si="635"/>
        <v>0.5555516892654434</v>
      </c>
      <c r="I563">
        <f>'2-state flows'!H562</f>
        <v>2.8516231477572446E-2</v>
      </c>
      <c r="J563">
        <f t="shared" si="639"/>
        <v>-0.12887063337893803</v>
      </c>
      <c r="K563">
        <v>0.5</v>
      </c>
      <c r="L563">
        <f t="shared" si="641"/>
        <v>9.394536106769602E-2</v>
      </c>
      <c r="M563">
        <f t="shared" si="636"/>
        <v>2.779976088282694E-2</v>
      </c>
      <c r="N563">
        <f t="shared" ref="N563:O563" si="654">AVERAGE(G561:G563)</f>
        <v>0.50231268800085371</v>
      </c>
      <c r="O563">
        <f t="shared" si="654"/>
        <v>0.55181043932076379</v>
      </c>
      <c r="P563">
        <f t="shared" si="643"/>
        <v>6.003249586894574E-2</v>
      </c>
      <c r="Q563">
        <f t="shared" si="644"/>
        <v>3.073321503593535E-2</v>
      </c>
      <c r="R563">
        <f t="shared" si="645"/>
        <v>2.3911531619101836E-2</v>
      </c>
    </row>
    <row r="564" spans="1:18" x14ac:dyDescent="0.25">
      <c r="A564" s="18">
        <f t="shared" si="638"/>
        <v>34608</v>
      </c>
      <c r="B564">
        <f>'2-state flows'!B563</f>
        <v>131744</v>
      </c>
      <c r="C564">
        <f>'2-state flows'!C563</f>
        <v>7632</v>
      </c>
      <c r="D564">
        <f>'Composite HWI'!B527*48.35347462</f>
        <v>4255.1057665600001</v>
      </c>
      <c r="E564">
        <f t="shared" si="633"/>
        <v>5.7930531940733547E-2</v>
      </c>
      <c r="F564">
        <f t="shared" si="634"/>
        <v>3.2298288852319654E-2</v>
      </c>
      <c r="G564">
        <f>'2-state flows'!G563</f>
        <v>0.56517629230047128</v>
      </c>
      <c r="H564">
        <f t="shared" si="635"/>
        <v>0.57585039012644179</v>
      </c>
      <c r="I564">
        <f>'2-state flows'!H563</f>
        <v>3.2004117956868285E-2</v>
      </c>
      <c r="J564">
        <f t="shared" si="639"/>
        <v>0.11539112998715857</v>
      </c>
      <c r="K564">
        <v>0.5</v>
      </c>
      <c r="L564">
        <f t="shared" si="641"/>
        <v>0.32472762104201314</v>
      </c>
      <c r="M564">
        <f t="shared" si="636"/>
        <v>2.3342754380924254E-2</v>
      </c>
      <c r="N564">
        <f t="shared" ref="N564:O564" si="655">AVERAGE(G562:G564)</f>
        <v>0.5250841226533508</v>
      </c>
      <c r="O564">
        <f t="shared" si="655"/>
        <v>0.55887567139373706</v>
      </c>
      <c r="P564">
        <f t="shared" si="643"/>
        <v>5.9069989513948547E-2</v>
      </c>
      <c r="Q564">
        <f t="shared" si="644"/>
        <v>3.1013324773847939E-2</v>
      </c>
      <c r="R564">
        <f t="shared" si="645"/>
        <v>2.4130267865938488E-2</v>
      </c>
    </row>
    <row r="565" spans="1:18" x14ac:dyDescent="0.25">
      <c r="A565" s="18">
        <f t="shared" si="638"/>
        <v>34639</v>
      </c>
      <c r="B565">
        <f>'2-state flows'!B564</f>
        <v>131891</v>
      </c>
      <c r="C565">
        <f>'2-state flows'!C564</f>
        <v>7375</v>
      </c>
      <c r="D565">
        <f>'Composite HWI'!B528*48.35347462</f>
        <v>4206.7522919399999</v>
      </c>
      <c r="E565">
        <f t="shared" si="633"/>
        <v>5.5917386326587867E-2</v>
      </c>
      <c r="F565">
        <f t="shared" si="634"/>
        <v>3.1895673639141413E-2</v>
      </c>
      <c r="G565">
        <f>'2-state flows'!G564</f>
        <v>0.55446703166067424</v>
      </c>
      <c r="H565">
        <f t="shared" si="635"/>
        <v>0.58246002451463808</v>
      </c>
      <c r="I565">
        <f>'2-state flows'!H564</f>
        <v>3.1302029631382254E-2</v>
      </c>
      <c r="J565">
        <f t="shared" si="639"/>
        <v>-2.2181640775603795E-2</v>
      </c>
      <c r="K565">
        <v>0.5</v>
      </c>
      <c r="L565">
        <f t="shared" si="641"/>
        <v>0.28036433949080553</v>
      </c>
      <c r="M565">
        <f t="shared" si="636"/>
        <v>2.4097450306885163E-2</v>
      </c>
      <c r="N565">
        <f t="shared" ref="N565:O565" si="656">AVERAGE(G563:G565)</f>
        <v>0.53082079820464589</v>
      </c>
      <c r="O565">
        <f t="shared" si="656"/>
        <v>0.57128736796884105</v>
      </c>
      <c r="P565">
        <f t="shared" si="643"/>
        <v>5.7565653552602312E-2</v>
      </c>
      <c r="Q565">
        <f t="shared" si="644"/>
        <v>3.157733071084607E-2</v>
      </c>
      <c r="R565">
        <f t="shared" si="645"/>
        <v>2.5079988523545454E-2</v>
      </c>
    </row>
    <row r="566" spans="1:18" x14ac:dyDescent="0.25">
      <c r="A566" s="18">
        <f t="shared" si="638"/>
        <v>34669</v>
      </c>
      <c r="B566">
        <f>'2-state flows'!B565</f>
        <v>131951</v>
      </c>
      <c r="C566">
        <f>'2-state flows'!C565</f>
        <v>7230</v>
      </c>
      <c r="D566">
        <f>'Composite HWI'!B529*48.35347462</f>
        <v>4351.8127157999998</v>
      </c>
      <c r="E566">
        <f t="shared" si="633"/>
        <v>5.4793067123401866E-2</v>
      </c>
      <c r="F566">
        <f t="shared" si="634"/>
        <v>3.2980520919129071E-2</v>
      </c>
      <c r="G566">
        <f>'2-state flows'!G565</f>
        <v>0.55062040669115397</v>
      </c>
      <c r="H566">
        <f t="shared" si="635"/>
        <v>0.59832839845195651</v>
      </c>
      <c r="I566">
        <f>'2-state flows'!H565</f>
        <v>3.3454108283568346E-2</v>
      </c>
      <c r="J566">
        <f t="shared" si="639"/>
        <v>6.6491657777545565E-2</v>
      </c>
      <c r="K566">
        <v>0.5</v>
      </c>
      <c r="L566">
        <f t="shared" si="641"/>
        <v>0.41334765504589666</v>
      </c>
      <c r="M566">
        <f t="shared" si="636"/>
        <v>2.1814381561939596E-2</v>
      </c>
      <c r="N566">
        <f t="shared" ref="N566:O566" si="657">AVERAGE(G564:G566)</f>
        <v>0.55675457688409979</v>
      </c>
      <c r="O566">
        <f t="shared" si="657"/>
        <v>0.58554627103101209</v>
      </c>
      <c r="P566">
        <f t="shared" si="643"/>
        <v>5.621366179690776E-2</v>
      </c>
      <c r="Q566">
        <f t="shared" si="644"/>
        <v>3.2391494470196708E-2</v>
      </c>
      <c r="R566">
        <f t="shared" si="645"/>
        <v>2.3084862083249672E-2</v>
      </c>
    </row>
    <row r="567" spans="1:18" x14ac:dyDescent="0.25">
      <c r="A567" s="18">
        <f t="shared" si="638"/>
        <v>34700</v>
      </c>
      <c r="B567">
        <f>'2-state flows'!B566</f>
        <v>132038</v>
      </c>
      <c r="C567">
        <f>'2-state flows'!C566</f>
        <v>7375</v>
      </c>
      <c r="D567">
        <f>'Composite HWI'!B530*48.35347462</f>
        <v>4206.7522919399999</v>
      </c>
      <c r="E567">
        <f t="shared" si="633"/>
        <v>5.5855132613338583E-2</v>
      </c>
      <c r="F567">
        <f t="shared" si="634"/>
        <v>3.1860163679698267E-2</v>
      </c>
      <c r="G567">
        <f>'2-state flows'!G566</f>
        <v>0.56384029182016948</v>
      </c>
      <c r="H567">
        <f t="shared" si="635"/>
        <v>0.58246002451463808</v>
      </c>
      <c r="I567">
        <f>'2-state flows'!H566</f>
        <v>3.1355383823045577E-2</v>
      </c>
      <c r="J567">
        <f t="shared" si="639"/>
        <v>-6.4788612547385507E-2</v>
      </c>
      <c r="K567">
        <v>0.5</v>
      </c>
      <c r="L567">
        <f t="shared" si="641"/>
        <v>0.28377042995112567</v>
      </c>
      <c r="M567">
        <f t="shared" si="636"/>
        <v>2.3988774985117724E-2</v>
      </c>
      <c r="N567">
        <f t="shared" ref="N567:O567" si="658">AVERAGE(G565:G567)</f>
        <v>0.5563092433906659</v>
      </c>
      <c r="O567">
        <f t="shared" si="658"/>
        <v>0.58774948249374426</v>
      </c>
      <c r="P567">
        <f t="shared" si="643"/>
        <v>5.5521862021109432E-2</v>
      </c>
      <c r="Q567">
        <f t="shared" si="644"/>
        <v>3.2245452745989583E-2</v>
      </c>
      <c r="R567">
        <f t="shared" si="645"/>
        <v>2.3300202284647496E-2</v>
      </c>
    </row>
    <row r="568" spans="1:18" x14ac:dyDescent="0.25">
      <c r="A568" s="18">
        <f t="shared" si="638"/>
        <v>34731</v>
      </c>
      <c r="B568">
        <f>'2-state flows'!B567</f>
        <v>132115</v>
      </c>
      <c r="C568">
        <f>'2-state flows'!C567</f>
        <v>7187</v>
      </c>
      <c r="D568">
        <f>'Composite HWI'!B531*48.35347462</f>
        <v>4217.3900563564002</v>
      </c>
      <c r="E568">
        <f t="shared" si="633"/>
        <v>5.4399576126859174E-2</v>
      </c>
      <c r="F568">
        <f t="shared" si="634"/>
        <v>3.1922113736944334E-2</v>
      </c>
      <c r="G568">
        <f>'2-state flows'!G567</f>
        <v>0.54448251069112497</v>
      </c>
      <c r="H568">
        <f t="shared" si="635"/>
        <v>0.59077448315156833</v>
      </c>
      <c r="I568">
        <f>'2-state flows'!H567</f>
        <v>3.0965676958549546E-2</v>
      </c>
      <c r="J568">
        <f t="shared" si="639"/>
        <v>-1.2506588920479208E-2</v>
      </c>
      <c r="K568">
        <v>0.5</v>
      </c>
      <c r="L568">
        <f t="shared" si="641"/>
        <v>0.25875725211016726</v>
      </c>
      <c r="M568">
        <f t="shared" si="636"/>
        <v>2.4644203928853588E-2</v>
      </c>
      <c r="N568">
        <f t="shared" ref="N568:O568" si="659">AVERAGE(G566:G568)</f>
        <v>0.55298106973414951</v>
      </c>
      <c r="O568">
        <f t="shared" si="659"/>
        <v>0.59052096870605431</v>
      </c>
      <c r="P568">
        <f t="shared" si="643"/>
        <v>5.5015925287866536E-2</v>
      </c>
      <c r="Q568">
        <f t="shared" si="644"/>
        <v>3.225426611192389E-2</v>
      </c>
      <c r="R568">
        <f t="shared" si="645"/>
        <v>2.3482453491970302E-2</v>
      </c>
    </row>
    <row r="569" spans="1:18" x14ac:dyDescent="0.25">
      <c r="A569" s="18">
        <f t="shared" si="638"/>
        <v>34759</v>
      </c>
      <c r="B569">
        <f>'2-state flows'!B568</f>
        <v>132108</v>
      </c>
      <c r="C569">
        <f>'2-state flows'!C568</f>
        <v>7153</v>
      </c>
      <c r="D569">
        <f>'Composite HWI'!B532*48.35347462</f>
        <v>4130.3538020404003</v>
      </c>
      <c r="E569">
        <f t="shared" si="633"/>
        <v>5.4145093408423411E-2</v>
      </c>
      <c r="F569">
        <f t="shared" si="634"/>
        <v>3.1264978669273628E-2</v>
      </c>
      <c r="G569">
        <f>'2-state flows'!G568</f>
        <v>0.46831066915114544</v>
      </c>
      <c r="H569">
        <f t="shared" si="635"/>
        <v>0.58603449648803052</v>
      </c>
      <c r="I569">
        <f>'2-state flows'!H568</f>
        <v>3.1812003737232288E-2</v>
      </c>
      <c r="J569">
        <f t="shared" si="639"/>
        <v>2.6964298366993208E-2</v>
      </c>
      <c r="K569">
        <v>0.5</v>
      </c>
      <c r="L569">
        <f t="shared" si="641"/>
        <v>0.31268584884415368</v>
      </c>
      <c r="M569">
        <f t="shared" si="636"/>
        <v>2.2869696331512854E-2</v>
      </c>
      <c r="N569">
        <f t="shared" ref="N569:O569" si="660">AVERAGE(G567:G569)</f>
        <v>0.52554449055414665</v>
      </c>
      <c r="O569">
        <f t="shared" si="660"/>
        <v>0.58642300138474557</v>
      </c>
      <c r="P569">
        <f t="shared" si="643"/>
        <v>5.4799934049540387E-2</v>
      </c>
      <c r="Q569">
        <f t="shared" si="644"/>
        <v>3.1682418695305414E-2</v>
      </c>
      <c r="R569">
        <f t="shared" si="645"/>
        <v>2.3834225081828055E-2</v>
      </c>
    </row>
    <row r="570" spans="1:18" x14ac:dyDescent="0.25">
      <c r="A570" s="18">
        <f t="shared" si="638"/>
        <v>34790</v>
      </c>
      <c r="B570">
        <f>'2-state flows'!B569</f>
        <v>132590</v>
      </c>
      <c r="C570">
        <f>'2-state flows'!C569</f>
        <v>7645</v>
      </c>
      <c r="D570">
        <f>'Composite HWI'!B533*48.35347462</f>
        <v>4189.3450410768</v>
      </c>
      <c r="E570">
        <f t="shared" si="633"/>
        <v>5.7658948638660536E-2</v>
      </c>
      <c r="F570">
        <f t="shared" si="634"/>
        <v>3.1596236828394297E-2</v>
      </c>
      <c r="G570">
        <f>'2-state flows'!G569</f>
        <v>0.55005924304136089</v>
      </c>
      <c r="H570">
        <f t="shared" si="635"/>
        <v>0.57089729743059103</v>
      </c>
      <c r="I570">
        <f>'2-state flows'!H569</f>
        <v>3.138720246784691E-2</v>
      </c>
      <c r="J570">
        <f t="shared" si="639"/>
        <v>-1.3443449454695253E-2</v>
      </c>
      <c r="K570">
        <v>0.5</v>
      </c>
      <c r="L570">
        <f t="shared" si="641"/>
        <v>0.28579894993476318</v>
      </c>
      <c r="M570">
        <f t="shared" si="636"/>
        <v>2.3741844353329E-2</v>
      </c>
      <c r="N570">
        <f t="shared" ref="N570:O570" si="661">AVERAGE(G568:G570)</f>
        <v>0.52095080762787715</v>
      </c>
      <c r="O570">
        <f t="shared" si="661"/>
        <v>0.58256875902339667</v>
      </c>
      <c r="P570">
        <f t="shared" si="643"/>
        <v>5.5401206057981038E-2</v>
      </c>
      <c r="Q570">
        <f t="shared" si="644"/>
        <v>3.1594443078204089E-2</v>
      </c>
      <c r="R570">
        <f t="shared" si="645"/>
        <v>2.3751914871231811E-2</v>
      </c>
    </row>
    <row r="571" spans="1:18" x14ac:dyDescent="0.25">
      <c r="A571" s="18">
        <f t="shared" si="638"/>
        <v>34820</v>
      </c>
      <c r="B571">
        <f>'2-state flows'!B570</f>
        <v>131851</v>
      </c>
      <c r="C571">
        <f>'2-state flows'!C570</f>
        <v>7430</v>
      </c>
      <c r="D571">
        <f>'Composite HWI'!B534*48.35347462</f>
        <v>3906.9607492959999</v>
      </c>
      <c r="E571">
        <f t="shared" si="633"/>
        <v>5.6351487664105693E-2</v>
      </c>
      <c r="F571">
        <f t="shared" si="634"/>
        <v>2.9631635325450698E-2</v>
      </c>
      <c r="G571">
        <f>'2-state flows'!G570</f>
        <v>0.56002906309303535</v>
      </c>
      <c r="H571">
        <f t="shared" si="635"/>
        <v>0.55924071678223763</v>
      </c>
      <c r="I571">
        <f>'2-state flows'!H570</f>
        <v>3.3411066044523256E-2</v>
      </c>
      <c r="J571">
        <f t="shared" si="639"/>
        <v>6.2486918688152961E-2</v>
      </c>
      <c r="K571">
        <v>0.5</v>
      </c>
      <c r="L571">
        <f t="shared" si="641"/>
        <v>0.41077278731106909</v>
      </c>
      <c r="M571">
        <f t="shared" si="636"/>
        <v>1.9649851171074626E-2</v>
      </c>
      <c r="N571">
        <f t="shared" ref="N571:O571" si="662">AVERAGE(G569:G571)</f>
        <v>0.52613299176184725</v>
      </c>
      <c r="O571">
        <f t="shared" si="662"/>
        <v>0.57205750356695306</v>
      </c>
      <c r="P571">
        <f t="shared" si="643"/>
        <v>5.6051843237063213E-2</v>
      </c>
      <c r="Q571">
        <f t="shared" si="644"/>
        <v>3.0830950274372878E-2</v>
      </c>
      <c r="R571">
        <f t="shared" si="645"/>
        <v>2.2087130618638828E-2</v>
      </c>
    </row>
    <row r="572" spans="1:18" x14ac:dyDescent="0.25">
      <c r="A572" s="18">
        <f t="shared" si="638"/>
        <v>34851</v>
      </c>
      <c r="B572">
        <f>'2-state flows'!B571</f>
        <v>131949</v>
      </c>
      <c r="C572">
        <f>'2-state flows'!C571</f>
        <v>7427</v>
      </c>
      <c r="D572">
        <f>'Composite HWI'!B535*48.35347462</f>
        <v>3965.4684535862002</v>
      </c>
      <c r="E572">
        <f t="shared" si="633"/>
        <v>5.6286898726022931E-2</v>
      </c>
      <c r="F572">
        <f t="shared" si="634"/>
        <v>3.0053039080146119E-2</v>
      </c>
      <c r="G572">
        <f>'2-state flows'!G571</f>
        <v>0.50557039338283594</v>
      </c>
      <c r="H572">
        <f t="shared" si="635"/>
        <v>0.56352631895457805</v>
      </c>
      <c r="I572">
        <f>'2-state flows'!H571</f>
        <v>3.1192069945871124E-2</v>
      </c>
      <c r="J572">
        <f t="shared" si="639"/>
        <v>-6.8723269699428338E-2</v>
      </c>
      <c r="K572">
        <v>0.5</v>
      </c>
      <c r="L572">
        <f t="shared" si="641"/>
        <v>0.27332624791221238</v>
      </c>
      <c r="M572">
        <f t="shared" si="636"/>
        <v>2.2865690189525997E-2</v>
      </c>
      <c r="N572">
        <f t="shared" ref="N572:O572" si="663">AVERAGE(G570:G572)</f>
        <v>0.53855289983907739</v>
      </c>
      <c r="O572">
        <f t="shared" si="663"/>
        <v>0.56455477772246898</v>
      </c>
      <c r="P572">
        <f t="shared" si="643"/>
        <v>5.6765778342929722E-2</v>
      </c>
      <c r="Q572">
        <f t="shared" si="644"/>
        <v>3.042697041133037E-2</v>
      </c>
      <c r="R572">
        <f t="shared" si="645"/>
        <v>2.2085795237976543E-2</v>
      </c>
    </row>
    <row r="573" spans="1:18" x14ac:dyDescent="0.25">
      <c r="A573" s="18">
        <f t="shared" si="638"/>
        <v>34881</v>
      </c>
      <c r="B573">
        <f>'2-state flows'!B572</f>
        <v>132343</v>
      </c>
      <c r="C573">
        <f>'2-state flows'!C572</f>
        <v>7527</v>
      </c>
      <c r="D573">
        <f>'Composite HWI'!B536*48.35347462</f>
        <v>4171.9377902136002</v>
      </c>
      <c r="E573">
        <f t="shared" si="633"/>
        <v>5.6874938606499774E-2</v>
      </c>
      <c r="F573">
        <f t="shared" si="634"/>
        <v>3.1523675526575645E-2</v>
      </c>
      <c r="G573">
        <f>'2-state flows'!G572</f>
        <v>0.55642704186894554</v>
      </c>
      <c r="H573">
        <f t="shared" si="635"/>
        <v>0.57415826434009221</v>
      </c>
      <c r="I573">
        <f>'2-state flows'!H572</f>
        <v>3.3099228686268044E-2</v>
      </c>
      <c r="J573">
        <f t="shared" si="639"/>
        <v>5.9346085474235095E-2</v>
      </c>
      <c r="K573">
        <v>0.5</v>
      </c>
      <c r="L573">
        <f t="shared" si="641"/>
        <v>0.39201841886068256</v>
      </c>
      <c r="M573">
        <f t="shared" si="636"/>
        <v>2.1300284909873686E-2</v>
      </c>
      <c r="N573">
        <f t="shared" ref="N573:O573" si="664">AVERAGE(G571:G573)</f>
        <v>0.54067549944827231</v>
      </c>
      <c r="O573">
        <f t="shared" si="664"/>
        <v>0.56564176669230271</v>
      </c>
      <c r="P573">
        <f t="shared" si="643"/>
        <v>5.6504441665542804E-2</v>
      </c>
      <c r="Q573">
        <f t="shared" si="644"/>
        <v>3.0402783310724154E-2</v>
      </c>
      <c r="R573">
        <f t="shared" si="645"/>
        <v>2.1271942090158102E-2</v>
      </c>
    </row>
    <row r="574" spans="1:18" x14ac:dyDescent="0.25">
      <c r="A574" s="18">
        <f t="shared" si="638"/>
        <v>34912</v>
      </c>
      <c r="B574">
        <f>'2-state flows'!B573</f>
        <v>132336</v>
      </c>
      <c r="C574">
        <f>'2-state flows'!C573</f>
        <v>7484</v>
      </c>
      <c r="D574">
        <f>'Composite HWI'!B537*48.35347462</f>
        <v>4133.2550105176006</v>
      </c>
      <c r="E574">
        <f t="shared" si="633"/>
        <v>5.6553016563897954E-2</v>
      </c>
      <c r="F574">
        <f t="shared" si="634"/>
        <v>3.1233035685811879E-2</v>
      </c>
      <c r="G574">
        <f>'2-state flows'!G573</f>
        <v>0.58632007651818419</v>
      </c>
      <c r="H574">
        <f t="shared" si="635"/>
        <v>0.57312965117851822</v>
      </c>
      <c r="I574">
        <f>'2-state flows'!H573</f>
        <v>3.508124347373421E-2</v>
      </c>
      <c r="J574">
        <f t="shared" si="639"/>
        <v>5.8156634093637499E-2</v>
      </c>
      <c r="K574">
        <v>0.5</v>
      </c>
      <c r="L574">
        <f t="shared" si="641"/>
        <v>0.5083316870479575</v>
      </c>
      <c r="M574">
        <f t="shared" si="636"/>
        <v>1.8786615666896569E-2</v>
      </c>
      <c r="N574">
        <f t="shared" ref="N574:O574" si="665">AVERAGE(G572:G574)</f>
        <v>0.54943917058998859</v>
      </c>
      <c r="O574">
        <f t="shared" si="665"/>
        <v>0.57027141149106286</v>
      </c>
      <c r="P574">
        <f t="shared" si="643"/>
        <v>5.6571617965473553E-2</v>
      </c>
      <c r="Q574">
        <f t="shared" si="644"/>
        <v>3.0936583430844544E-2</v>
      </c>
      <c r="R574">
        <f t="shared" si="645"/>
        <v>2.0984196922098752E-2</v>
      </c>
    </row>
    <row r="575" spans="1:18" x14ac:dyDescent="0.25">
      <c r="A575" s="18">
        <f t="shared" si="638"/>
        <v>34943</v>
      </c>
      <c r="B575">
        <f>'2-state flows'!B574</f>
        <v>132611</v>
      </c>
      <c r="C575">
        <f>'2-state flows'!C574</f>
        <v>7478</v>
      </c>
      <c r="D575">
        <f>'Composite HWI'!B538*48.35347462</f>
        <v>4143.4092401877997</v>
      </c>
      <c r="E575">
        <f t="shared" si="633"/>
        <v>5.6390495509422295E-2</v>
      </c>
      <c r="F575">
        <f t="shared" si="634"/>
        <v>3.1244838212424308E-2</v>
      </c>
      <c r="G575">
        <f>'2-state flows'!G574</f>
        <v>0.58476902411460563</v>
      </c>
      <c r="H575">
        <f t="shared" si="635"/>
        <v>0.5740633898443287</v>
      </c>
      <c r="I575">
        <f>'2-state flows'!H574</f>
        <v>3.3338920066322955E-2</v>
      </c>
      <c r="J575">
        <f t="shared" si="639"/>
        <v>-5.0941128409454264E-2</v>
      </c>
      <c r="K575">
        <v>0.5</v>
      </c>
      <c r="L575">
        <f t="shared" si="641"/>
        <v>0.406449430229049</v>
      </c>
      <c r="M575">
        <f t="shared" si="636"/>
        <v>2.0809398905632968E-2</v>
      </c>
      <c r="N575">
        <f t="shared" ref="N575:O575" si="666">AVERAGE(G573:G575)</f>
        <v>0.57583871416724508</v>
      </c>
      <c r="O575">
        <f t="shared" si="666"/>
        <v>0.57378376845431311</v>
      </c>
      <c r="P575">
        <f t="shared" si="643"/>
        <v>5.6606150226606672E-2</v>
      </c>
      <c r="Q575">
        <f t="shared" si="644"/>
        <v>3.1333849808270607E-2</v>
      </c>
      <c r="R575">
        <f t="shared" si="645"/>
        <v>2.0298766494134406E-2</v>
      </c>
    </row>
    <row r="576" spans="1:18" x14ac:dyDescent="0.25">
      <c r="A576" s="18">
        <f t="shared" si="638"/>
        <v>34973</v>
      </c>
      <c r="B576">
        <f>'2-state flows'!B575</f>
        <v>132716</v>
      </c>
      <c r="C576">
        <f>'2-state flows'!C575</f>
        <v>7328</v>
      </c>
      <c r="D576">
        <f>'Composite HWI'!B539*48.35347462</f>
        <v>4203.3675487166001</v>
      </c>
      <c r="E576">
        <f t="shared" si="633"/>
        <v>5.5215648452334308E-2</v>
      </c>
      <c r="F576">
        <f t="shared" si="634"/>
        <v>3.1671897500803223E-2</v>
      </c>
      <c r="G576">
        <f>'2-state flows'!G575</f>
        <v>0.56520726450779124</v>
      </c>
      <c r="H576">
        <f t="shared" si="635"/>
        <v>0.58408979658708338</v>
      </c>
      <c r="I576">
        <f>'2-state flows'!H575</f>
        <v>3.4071195054743493E-2</v>
      </c>
      <c r="J576">
        <f t="shared" si="639"/>
        <v>2.1726822244384915E-2</v>
      </c>
      <c r="K576">
        <v>0.5</v>
      </c>
      <c r="L576">
        <f t="shared" si="641"/>
        <v>0.44990307471781882</v>
      </c>
      <c r="M576">
        <f t="shared" si="636"/>
        <v>2.0196850952402454E-2</v>
      </c>
      <c r="N576">
        <f t="shared" ref="N576:O576" si="667">AVERAGE(G574:G576)</f>
        <v>0.57876545504686039</v>
      </c>
      <c r="O576">
        <f t="shared" si="667"/>
        <v>0.57709427920331013</v>
      </c>
      <c r="P576">
        <f t="shared" si="643"/>
        <v>5.6053053508551519E-2</v>
      </c>
      <c r="Q576">
        <f t="shared" si="644"/>
        <v>3.1383257133013133E-2</v>
      </c>
      <c r="R576">
        <f t="shared" si="645"/>
        <v>1.9930955174977328E-2</v>
      </c>
    </row>
    <row r="577" spans="1:18" x14ac:dyDescent="0.25">
      <c r="A577" s="18">
        <f t="shared" si="638"/>
        <v>35004</v>
      </c>
      <c r="B577">
        <f>'2-state flows'!B576</f>
        <v>132614</v>
      </c>
      <c r="C577">
        <f>'2-state flows'!C576</f>
        <v>7426</v>
      </c>
      <c r="D577">
        <f>'Composite HWI'!B540*48.35347462</f>
        <v>4065.5601460496</v>
      </c>
      <c r="E577">
        <f t="shared" si="633"/>
        <v>5.5997104378119958E-2</v>
      </c>
      <c r="F577">
        <f t="shared" si="634"/>
        <v>3.0657096128987888E-2</v>
      </c>
      <c r="G577">
        <f>'2-state flows'!G576</f>
        <v>0.5382472912520645</v>
      </c>
      <c r="H577">
        <f t="shared" si="635"/>
        <v>0.57063235054502015</v>
      </c>
      <c r="I577">
        <f>'2-state flows'!H576</f>
        <v>3.1896734029639759E-2</v>
      </c>
      <c r="J577">
        <f t="shared" si="639"/>
        <v>-6.5948684476952221E-2</v>
      </c>
      <c r="K577">
        <v>0.5</v>
      </c>
      <c r="L577">
        <f t="shared" si="641"/>
        <v>0.3180057057639144</v>
      </c>
      <c r="M577">
        <f t="shared" si="636"/>
        <v>2.2306061354662843E-2</v>
      </c>
      <c r="N577">
        <f t="shared" ref="N577:O577" si="668">AVERAGE(G575:G577)</f>
        <v>0.56274119329148709</v>
      </c>
      <c r="O577">
        <f t="shared" si="668"/>
        <v>0.57626184565881078</v>
      </c>
      <c r="P577">
        <f t="shared" si="643"/>
        <v>5.5867749446625516E-2</v>
      </c>
      <c r="Q577">
        <f t="shared" si="644"/>
        <v>3.1191277280738474E-2</v>
      </c>
      <c r="R577">
        <f t="shared" si="645"/>
        <v>2.1104103737566087E-2</v>
      </c>
    </row>
    <row r="578" spans="1:18" x14ac:dyDescent="0.25">
      <c r="A578" s="18">
        <f t="shared" si="638"/>
        <v>35034</v>
      </c>
      <c r="B578">
        <f>'2-state flows'!B577</f>
        <v>132511</v>
      </c>
      <c r="C578">
        <f>'2-state flows'!C577</f>
        <v>7423</v>
      </c>
      <c r="D578">
        <f>'Composite HWI'!B541*48.35347462</f>
        <v>4423.8593929837998</v>
      </c>
      <c r="E578">
        <f t="shared" si="633"/>
        <v>5.6017990959241121E-2</v>
      </c>
      <c r="F578">
        <f t="shared" si="634"/>
        <v>3.3384846488093818E-2</v>
      </c>
      <c r="G578">
        <f>'2-state flows'!G577</f>
        <v>0.53901574612101144</v>
      </c>
      <c r="H578">
        <f t="shared" si="635"/>
        <v>0.59536677351328726</v>
      </c>
      <c r="I578">
        <f>'2-state flows'!H577</f>
        <v>3.2700134405112699E-2</v>
      </c>
      <c r="J578">
        <f t="shared" si="639"/>
        <v>2.4875565109396661E-2</v>
      </c>
      <c r="K578">
        <v>0.5</v>
      </c>
      <c r="L578">
        <f t="shared" si="641"/>
        <v>0.3677568359827077</v>
      </c>
      <c r="M578">
        <f t="shared" si="636"/>
        <v>2.3111845148331953E-2</v>
      </c>
      <c r="N578">
        <f t="shared" ref="N578:O578" si="669">AVERAGE(G576:G578)</f>
        <v>0.54749010062695569</v>
      </c>
      <c r="O578">
        <f t="shared" si="669"/>
        <v>0.58336297354846356</v>
      </c>
      <c r="P578">
        <f t="shared" si="643"/>
        <v>5.5743581263231791E-2</v>
      </c>
      <c r="Q578">
        <f t="shared" si="644"/>
        <v>3.1904613372628308E-2</v>
      </c>
      <c r="R578">
        <f t="shared" si="645"/>
        <v>2.1871585818465749E-2</v>
      </c>
    </row>
    <row r="579" spans="1:18" x14ac:dyDescent="0.25">
      <c r="A579" s="18">
        <f t="shared" si="638"/>
        <v>35065</v>
      </c>
      <c r="B579">
        <f>'2-state flows'!B578</f>
        <v>132616</v>
      </c>
      <c r="C579">
        <f>'2-state flows'!C578</f>
        <v>7491</v>
      </c>
      <c r="D579">
        <f>'Composite HWI'!B542*48.35347462</f>
        <v>4185.9602978533994</v>
      </c>
      <c r="E579">
        <f t="shared" si="633"/>
        <v>5.6486396814863969E-2</v>
      </c>
      <c r="F579">
        <f t="shared" si="634"/>
        <v>3.1564519347992696E-2</v>
      </c>
      <c r="G579">
        <f>'2-state flows'!G578</f>
        <v>0.58676516038383841</v>
      </c>
      <c r="H579">
        <f t="shared" si="635"/>
        <v>0.57650266652027349</v>
      </c>
      <c r="I579">
        <f>'2-state flows'!H578</f>
        <v>3.3219689956763665E-2</v>
      </c>
      <c r="J579">
        <f t="shared" si="639"/>
        <v>1.57635829693504E-2</v>
      </c>
      <c r="K579">
        <v>0.5</v>
      </c>
      <c r="L579">
        <f t="shared" si="641"/>
        <v>0.3992840019214085</v>
      </c>
      <c r="M579">
        <f t="shared" si="636"/>
        <v>2.1173484810848148E-2</v>
      </c>
      <c r="N579">
        <f t="shared" ref="N579:O579" si="670">AVERAGE(G577:G579)</f>
        <v>0.55467606591897145</v>
      </c>
      <c r="O579">
        <f t="shared" si="670"/>
        <v>0.58083393019286034</v>
      </c>
      <c r="P579">
        <f t="shared" si="643"/>
        <v>5.616716405074168E-2</v>
      </c>
      <c r="Q579">
        <f t="shared" si="644"/>
        <v>3.1868820655024804E-2</v>
      </c>
      <c r="R579">
        <f t="shared" si="645"/>
        <v>2.2197130437947646E-2</v>
      </c>
    </row>
    <row r="580" spans="1:18" x14ac:dyDescent="0.25">
      <c r="A580" s="18">
        <f t="shared" si="638"/>
        <v>35096</v>
      </c>
      <c r="B580">
        <f>'2-state flows'!B579</f>
        <v>132952</v>
      </c>
      <c r="C580">
        <f>'2-state flows'!C579</f>
        <v>7313</v>
      </c>
      <c r="D580">
        <f>'Composite HWI'!B543*48.35347462</f>
        <v>4096.9899045525999</v>
      </c>
      <c r="E580">
        <f t="shared" si="633"/>
        <v>5.5004813767374691E-2</v>
      </c>
      <c r="F580">
        <f t="shared" si="634"/>
        <v>3.0815556776525362E-2</v>
      </c>
      <c r="G580">
        <f>'2-state flows'!G579</f>
        <v>0.52895701059446321</v>
      </c>
      <c r="H580">
        <f t="shared" si="635"/>
        <v>0.57724253687190763</v>
      </c>
      <c r="I580">
        <f>'2-state flows'!H579</f>
        <v>3.0840678516327994E-2</v>
      </c>
      <c r="J580">
        <f t="shared" si="639"/>
        <v>-7.4308221481148892E-2</v>
      </c>
      <c r="K580">
        <v>0.5</v>
      </c>
      <c r="L580">
        <f t="shared" si="641"/>
        <v>0.25066755895911075</v>
      </c>
      <c r="M580">
        <f t="shared" si="636"/>
        <v>2.3983164227134063E-2</v>
      </c>
      <c r="N580">
        <f t="shared" ref="N580:O580" si="671">AVERAGE(G578:G580)</f>
        <v>0.55157930569977098</v>
      </c>
      <c r="O580">
        <f t="shared" si="671"/>
        <v>0.58303732563515609</v>
      </c>
      <c r="P580">
        <f t="shared" si="643"/>
        <v>5.5836400513826601E-2</v>
      </c>
      <c r="Q580">
        <f t="shared" si="644"/>
        <v>3.1921640870870627E-2</v>
      </c>
      <c r="R580">
        <f t="shared" si="645"/>
        <v>2.2756164728771389E-2</v>
      </c>
    </row>
    <row r="581" spans="1:18" x14ac:dyDescent="0.25">
      <c r="A581" s="18">
        <f t="shared" si="638"/>
        <v>35125</v>
      </c>
      <c r="B581">
        <f>'2-state flows'!B580</f>
        <v>133180</v>
      </c>
      <c r="C581">
        <f>'2-state flows'!C580</f>
        <v>7318</v>
      </c>
      <c r="D581">
        <f>'Composite HWI'!B544*48.35347462</f>
        <v>4207.7193614323996</v>
      </c>
      <c r="E581">
        <f t="shared" si="633"/>
        <v>5.4948190418981829E-2</v>
      </c>
      <c r="F581">
        <f t="shared" si="634"/>
        <v>3.159422857360264E-2</v>
      </c>
      <c r="G581">
        <f>'2-state flows'!G580</f>
        <v>0.49066937830944091</v>
      </c>
      <c r="H581">
        <f t="shared" si="635"/>
        <v>0.58479122475589718</v>
      </c>
      <c r="I581">
        <f>'2-state flows'!H580</f>
        <v>2.9517448272064806E-2</v>
      </c>
      <c r="J581">
        <f t="shared" si="639"/>
        <v>-4.3852994283204494E-2</v>
      </c>
      <c r="K581">
        <v>0.5</v>
      </c>
      <c r="L581">
        <f t="shared" si="641"/>
        <v>0.16296157039270176</v>
      </c>
      <c r="M581">
        <f t="shared" si="636"/>
        <v>2.6843209755077545E-2</v>
      </c>
      <c r="N581">
        <f t="shared" ref="N581:O581" si="672">AVERAGE(G579:G581)</f>
        <v>0.53546384976258088</v>
      </c>
      <c r="O581">
        <f t="shared" si="672"/>
        <v>0.57951214271602602</v>
      </c>
      <c r="P581">
        <f t="shared" si="643"/>
        <v>5.5479800333740163E-2</v>
      </c>
      <c r="Q581">
        <f t="shared" si="644"/>
        <v>3.1324768232706898E-2</v>
      </c>
      <c r="R581">
        <f t="shared" si="645"/>
        <v>2.3999952931019919E-2</v>
      </c>
    </row>
    <row r="582" spans="1:18" x14ac:dyDescent="0.25">
      <c r="A582" s="18">
        <f t="shared" si="638"/>
        <v>35156</v>
      </c>
      <c r="B582">
        <f>'2-state flows'!B581</f>
        <v>133409</v>
      </c>
      <c r="C582">
        <f>'2-state flows'!C581</f>
        <v>7415</v>
      </c>
      <c r="D582">
        <f>'Composite HWI'!B545*48.35347462</f>
        <v>4118.2654333853998</v>
      </c>
      <c r="E582">
        <f t="shared" si="633"/>
        <v>5.5580957806444842E-2</v>
      </c>
      <c r="F582">
        <f t="shared" si="634"/>
        <v>3.0869472324846148E-2</v>
      </c>
      <c r="G582">
        <f>'2-state flows'!G581</f>
        <v>0.56471304551225077</v>
      </c>
      <c r="H582">
        <f t="shared" si="635"/>
        <v>0.57474507186524959</v>
      </c>
      <c r="I582">
        <f>'2-state flows'!H581</f>
        <v>3.3318859461988239E-2</v>
      </c>
      <c r="J582">
        <f t="shared" si="639"/>
        <v>0.12114203153264966</v>
      </c>
      <c r="K582">
        <v>0.5</v>
      </c>
      <c r="L582">
        <f t="shared" si="641"/>
        <v>0.40524563345800108</v>
      </c>
      <c r="M582">
        <f t="shared" si="636"/>
        <v>2.0584165423344968E-2</v>
      </c>
      <c r="N582">
        <f t="shared" ref="N582:O582" si="673">AVERAGE(G580:G582)</f>
        <v>0.52811314480538496</v>
      </c>
      <c r="O582">
        <f t="shared" si="673"/>
        <v>0.57892627783101813</v>
      </c>
      <c r="P582">
        <f t="shared" si="643"/>
        <v>5.5177987330933785E-2</v>
      </c>
      <c r="Q582">
        <f t="shared" si="644"/>
        <v>3.1093085891658049E-2</v>
      </c>
      <c r="R582">
        <f t="shared" si="645"/>
        <v>2.3803513135185528E-2</v>
      </c>
    </row>
    <row r="583" spans="1:18" x14ac:dyDescent="0.25">
      <c r="A583" s="18">
        <f t="shared" si="638"/>
        <v>35186</v>
      </c>
      <c r="B583">
        <f>'2-state flows'!B582</f>
        <v>133667</v>
      </c>
      <c r="C583">
        <f>'2-state flows'!C582</f>
        <v>7423</v>
      </c>
      <c r="D583">
        <f>'Composite HWI'!B546*48.35347462</f>
        <v>3978.0403569873997</v>
      </c>
      <c r="E583">
        <f t="shared" si="633"/>
        <v>5.5533527347812098E-2</v>
      </c>
      <c r="F583">
        <f t="shared" si="634"/>
        <v>2.9760826209815433E-2</v>
      </c>
      <c r="G583">
        <f>'2-state flows'!G582</f>
        <v>0.58517335080431221</v>
      </c>
      <c r="H583">
        <f t="shared" si="635"/>
        <v>0.56457095102218224</v>
      </c>
      <c r="I583">
        <f>'2-state flows'!H582</f>
        <v>3.0927340156382772E-2</v>
      </c>
      <c r="J583">
        <f t="shared" si="639"/>
        <v>-7.4482999471955649E-2</v>
      </c>
      <c r="K583">
        <v>0.5</v>
      </c>
      <c r="L583">
        <f t="shared" si="641"/>
        <v>0.25627963451408975</v>
      </c>
      <c r="M583">
        <f t="shared" si="636"/>
        <v>2.3032662966824744E-2</v>
      </c>
      <c r="N583">
        <f t="shared" ref="N583:O583" si="674">AVERAGE(G581:G583)</f>
        <v>0.54685192487533463</v>
      </c>
      <c r="O583">
        <f t="shared" si="674"/>
        <v>0.57470241588110971</v>
      </c>
      <c r="P583">
        <f t="shared" si="643"/>
        <v>5.5354225191079597E-2</v>
      </c>
      <c r="Q583">
        <f t="shared" si="644"/>
        <v>3.0741509036088074E-2</v>
      </c>
      <c r="R583">
        <f t="shared" si="645"/>
        <v>2.3486679381749087E-2</v>
      </c>
    </row>
    <row r="584" spans="1:18" x14ac:dyDescent="0.25">
      <c r="A584" s="18">
        <f t="shared" si="638"/>
        <v>35217</v>
      </c>
      <c r="B584">
        <f>'2-state flows'!B583</f>
        <v>133697</v>
      </c>
      <c r="C584">
        <f>'2-state flows'!C583</f>
        <v>7095</v>
      </c>
      <c r="D584">
        <f>'Composite HWI'!B547*48.35347462</f>
        <v>4342.1420208760001</v>
      </c>
      <c r="E584">
        <f t="shared" si="633"/>
        <v>5.3067757690898075E-2</v>
      </c>
      <c r="F584">
        <f t="shared" si="634"/>
        <v>3.2477482822172526E-2</v>
      </c>
      <c r="G584">
        <f>'2-state flows'!G583</f>
        <v>0.51542155768058728</v>
      </c>
      <c r="H584">
        <f t="shared" si="635"/>
        <v>0.60332243975612654</v>
      </c>
      <c r="I584">
        <f>'2-state flows'!H583</f>
        <v>3.1366620316420332E-2</v>
      </c>
      <c r="J584">
        <f t="shared" si="639"/>
        <v>1.4103692822417007E-2</v>
      </c>
      <c r="K584">
        <v>0.5</v>
      </c>
      <c r="L584">
        <f t="shared" si="641"/>
        <v>0.28448702015892374</v>
      </c>
      <c r="M584">
        <f t="shared" si="636"/>
        <v>2.4436062019293214E-2</v>
      </c>
      <c r="N584">
        <f t="shared" ref="N584:O584" si="675">AVERAGE(G582:G584)</f>
        <v>0.55510265133238346</v>
      </c>
      <c r="O584">
        <f t="shared" si="675"/>
        <v>0.58087948754785279</v>
      </c>
      <c r="P584">
        <f t="shared" si="643"/>
        <v>5.4727414281718338E-2</v>
      </c>
      <c r="Q584">
        <f t="shared" si="644"/>
        <v>3.1035927118944703E-2</v>
      </c>
      <c r="R584">
        <f t="shared" si="645"/>
        <v>2.268429680315431E-2</v>
      </c>
    </row>
    <row r="585" spans="1:18" x14ac:dyDescent="0.25">
      <c r="A585" s="18">
        <f t="shared" si="638"/>
        <v>35247</v>
      </c>
      <c r="B585">
        <f>'2-state flows'!B584</f>
        <v>134284</v>
      </c>
      <c r="C585">
        <f>'2-state flows'!C584</f>
        <v>7337</v>
      </c>
      <c r="D585">
        <f>'Composite HWI'!B548*48.35347462</f>
        <v>4100.8581825222</v>
      </c>
      <c r="E585">
        <f t="shared" si="633"/>
        <v>5.4637931548062318E-2</v>
      </c>
      <c r="F585">
        <f t="shared" si="634"/>
        <v>3.0538695470213876E-2</v>
      </c>
      <c r="G585">
        <f>'2-state flows'!G584</f>
        <v>0.60998126886306314</v>
      </c>
      <c r="H585">
        <f t="shared" si="635"/>
        <v>0.57656965580759278</v>
      </c>
      <c r="I585">
        <f>'2-state flows'!H584</f>
        <v>3.0400889018114306E-2</v>
      </c>
      <c r="J585">
        <f t="shared" si="639"/>
        <v>-3.1272428229467408E-2</v>
      </c>
      <c r="K585">
        <v>0.5</v>
      </c>
      <c r="L585">
        <f t="shared" si="641"/>
        <v>0.22194216369998893</v>
      </c>
      <c r="M585">
        <f t="shared" si="636"/>
        <v>2.4460325062620678E-2</v>
      </c>
      <c r="N585">
        <f t="shared" ref="N585:O585" si="676">AVERAGE(G583:G585)</f>
        <v>0.57019205911598758</v>
      </c>
      <c r="O585">
        <f t="shared" si="676"/>
        <v>0.58148768219530045</v>
      </c>
      <c r="P585">
        <f t="shared" si="643"/>
        <v>5.4413072195590828E-2</v>
      </c>
      <c r="Q585">
        <f t="shared" si="644"/>
        <v>3.0925668167400611E-2</v>
      </c>
      <c r="R585">
        <f t="shared" si="645"/>
        <v>2.397635001624621E-2</v>
      </c>
    </row>
    <row r="586" spans="1:18" x14ac:dyDescent="0.25">
      <c r="A586" s="18">
        <f t="shared" si="638"/>
        <v>35278</v>
      </c>
      <c r="B586">
        <f>'2-state flows'!B585</f>
        <v>134054</v>
      </c>
      <c r="C586">
        <f>'2-state flows'!C585</f>
        <v>6882</v>
      </c>
      <c r="D586">
        <f>'Composite HWI'!B549*48.35347462</f>
        <v>4111.9794816848007</v>
      </c>
      <c r="E586">
        <f t="shared" si="633"/>
        <v>5.1337520700613183E-2</v>
      </c>
      <c r="F586">
        <f t="shared" si="634"/>
        <v>3.0674052856944221E-2</v>
      </c>
      <c r="G586">
        <f>'2-state flows'!G585</f>
        <v>0.53019242625684093</v>
      </c>
      <c r="H586">
        <f t="shared" si="635"/>
        <v>0.59613113066368717</v>
      </c>
      <c r="I586">
        <f>'2-state flows'!H585</f>
        <v>2.9687817906242187E-2</v>
      </c>
      <c r="J586">
        <f t="shared" si="639"/>
        <v>-2.3735061843181336E-2</v>
      </c>
      <c r="K586">
        <v>0.5</v>
      </c>
      <c r="L586">
        <f t="shared" si="641"/>
        <v>0.17447204001362626</v>
      </c>
      <c r="M586">
        <f t="shared" si="636"/>
        <v>2.5763147347129391E-2</v>
      </c>
      <c r="N586">
        <f t="shared" ref="N586:O586" si="677">AVERAGE(G584:G586)</f>
        <v>0.55186508426683045</v>
      </c>
      <c r="O586">
        <f t="shared" si="677"/>
        <v>0.5920077420758022</v>
      </c>
      <c r="P586">
        <f t="shared" si="643"/>
        <v>5.301440331319119E-2</v>
      </c>
      <c r="Q586">
        <f t="shared" si="644"/>
        <v>3.1230077049776872E-2</v>
      </c>
      <c r="R586">
        <f t="shared" si="645"/>
        <v>2.4886511476347763E-2</v>
      </c>
    </row>
    <row r="587" spans="1:18" x14ac:dyDescent="0.25">
      <c r="A587" s="18">
        <f t="shared" si="638"/>
        <v>35309</v>
      </c>
      <c r="B587">
        <f>'2-state flows'!B586</f>
        <v>134515</v>
      </c>
      <c r="C587">
        <f>'2-state flows'!C586</f>
        <v>6979</v>
      </c>
      <c r="D587">
        <f>'Composite HWI'!B550*48.35347462</f>
        <v>4326.6689089975998</v>
      </c>
      <c r="E587">
        <f t="shared" si="633"/>
        <v>5.1882689662862878E-2</v>
      </c>
      <c r="F587">
        <f t="shared" si="634"/>
        <v>3.216495490463963E-2</v>
      </c>
      <c r="G587">
        <f>'2-state flows'!G586</f>
        <v>0.51794841363773203</v>
      </c>
      <c r="H587">
        <f t="shared" si="635"/>
        <v>0.60723094955407864</v>
      </c>
      <c r="I587">
        <f>'2-state flows'!H586</f>
        <v>2.8872386078526185E-2</v>
      </c>
      <c r="J587">
        <f t="shared" si="639"/>
        <v>-2.7851150833036662E-2</v>
      </c>
      <c r="K587">
        <v>0.5</v>
      </c>
      <c r="L587">
        <f t="shared" si="641"/>
        <v>0.11876973834755294</v>
      </c>
      <c r="M587">
        <f t="shared" si="636"/>
        <v>2.8562874052923674E-2</v>
      </c>
      <c r="N587">
        <f t="shared" ref="N587:O587" si="678">AVERAGE(G585:G587)</f>
        <v>0.55270736958587874</v>
      </c>
      <c r="O587">
        <f t="shared" si="678"/>
        <v>0.59331057867511949</v>
      </c>
      <c r="P587">
        <f t="shared" si="643"/>
        <v>5.2619380637179462E-2</v>
      </c>
      <c r="Q587">
        <f t="shared" si="644"/>
        <v>3.112590107726591E-2</v>
      </c>
      <c r="R587">
        <f t="shared" si="645"/>
        <v>2.6262115487557913E-2</v>
      </c>
    </row>
    <row r="588" spans="1:18" x14ac:dyDescent="0.25">
      <c r="A588" s="18">
        <f t="shared" si="638"/>
        <v>35339</v>
      </c>
      <c r="B588">
        <f>'2-state flows'!B587</f>
        <v>134921</v>
      </c>
      <c r="C588">
        <f>'2-state flows'!C587</f>
        <v>7031</v>
      </c>
      <c r="D588">
        <f>'Composite HWI'!B551*48.35347462</f>
        <v>4134.7056147562007</v>
      </c>
      <c r="E588">
        <f t="shared" si="633"/>
        <v>5.211197663818086E-2</v>
      </c>
      <c r="F588">
        <f t="shared" si="634"/>
        <v>3.064538222186465E-2</v>
      </c>
      <c r="G588">
        <f>'2-state flows'!G587</f>
        <v>0.60256753181391742</v>
      </c>
      <c r="H588">
        <f t="shared" si="635"/>
        <v>0.59140829886979462</v>
      </c>
      <c r="I588">
        <f>'2-state flows'!H587</f>
        <v>3.5295466996944767E-2</v>
      </c>
      <c r="J588">
        <f t="shared" si="639"/>
        <v>0.20086890268394575</v>
      </c>
      <c r="K588">
        <v>0.5</v>
      </c>
      <c r="L588">
        <f t="shared" si="641"/>
        <v>0.5205075437154445</v>
      </c>
      <c r="M588">
        <f t="shared" si="636"/>
        <v>1.8210064681553201E-2</v>
      </c>
      <c r="N588">
        <f t="shared" ref="N588:O588" si="679">AVERAGE(G586:G588)</f>
        <v>0.55023612390283017</v>
      </c>
      <c r="O588">
        <f t="shared" si="679"/>
        <v>0.59825679302918677</v>
      </c>
      <c r="P588">
        <f t="shared" si="643"/>
        <v>5.1777395667218971E-2</v>
      </c>
      <c r="Q588">
        <f t="shared" si="644"/>
        <v>3.1161463327816167E-2</v>
      </c>
      <c r="R588">
        <f t="shared" si="645"/>
        <v>2.4178695360535421E-2</v>
      </c>
    </row>
    <row r="589" spans="1:18" x14ac:dyDescent="0.25">
      <c r="A589" s="18">
        <f t="shared" si="638"/>
        <v>35370</v>
      </c>
      <c r="B589">
        <f>'2-state flows'!B588</f>
        <v>135007</v>
      </c>
      <c r="C589">
        <f>'2-state flows'!C588</f>
        <v>7236</v>
      </c>
      <c r="D589">
        <f>'Composite HWI'!B552*48.35347462</f>
        <v>4453.3550125020001</v>
      </c>
      <c r="E589">
        <f t="shared" si="633"/>
        <v>5.3597220884843005E-2</v>
      </c>
      <c r="F589">
        <f t="shared" si="634"/>
        <v>3.2986104516817646E-2</v>
      </c>
      <c r="G589">
        <f>'2-state flows'!G588</f>
        <v>0.54097903798545455</v>
      </c>
      <c r="H589">
        <f t="shared" si="635"/>
        <v>0.6050176525005011</v>
      </c>
      <c r="I589">
        <f>'2-state flows'!H588</f>
        <v>3.0811727290905446E-2</v>
      </c>
      <c r="J589">
        <f t="shared" si="639"/>
        <v>-0.13585916830071265</v>
      </c>
      <c r="K589">
        <v>0.5</v>
      </c>
      <c r="L589">
        <f t="shared" si="641"/>
        <v>0.2487892071140192</v>
      </c>
      <c r="M589">
        <f t="shared" si="636"/>
        <v>2.572072765630521E-2</v>
      </c>
      <c r="N589">
        <f t="shared" ref="N589:O589" si="680">AVERAGE(G587:G589)</f>
        <v>0.55383166114570137</v>
      </c>
      <c r="O589">
        <f t="shared" si="680"/>
        <v>0.60121896697479149</v>
      </c>
      <c r="P589">
        <f t="shared" si="643"/>
        <v>5.2530629061962243E-2</v>
      </c>
      <c r="Q589">
        <f t="shared" si="644"/>
        <v>3.193214721444064E-2</v>
      </c>
      <c r="R589">
        <f t="shared" si="645"/>
        <v>2.4164555463594029E-2</v>
      </c>
    </row>
    <row r="590" spans="1:18" x14ac:dyDescent="0.25">
      <c r="A590" s="18">
        <f t="shared" si="638"/>
        <v>35400</v>
      </c>
      <c r="B590">
        <f>'2-state flows'!B589</f>
        <v>135113</v>
      </c>
      <c r="C590">
        <f>'2-state flows'!C589</f>
        <v>7253</v>
      </c>
      <c r="D590">
        <f>'Composite HWI'!B553*48.35347462</f>
        <v>4414.1886980598001</v>
      </c>
      <c r="E590">
        <f t="shared" si="633"/>
        <v>5.3680992946644662E-2</v>
      </c>
      <c r="F590">
        <f t="shared" si="634"/>
        <v>3.2670347768607021E-2</v>
      </c>
      <c r="G590">
        <f>'2-state flows'!G589</f>
        <v>0.60549443568894556</v>
      </c>
      <c r="H590">
        <f t="shared" si="635"/>
        <v>0.60164494895378462</v>
      </c>
      <c r="I590">
        <f>'2-state flows'!H589</f>
        <v>3.3341915332074687E-2</v>
      </c>
      <c r="J590">
        <f t="shared" si="639"/>
        <v>7.8919950436582509E-2</v>
      </c>
      <c r="K590">
        <v>0.5</v>
      </c>
      <c r="L590">
        <f t="shared" si="641"/>
        <v>0.40662910798718421</v>
      </c>
      <c r="M590">
        <f t="shared" si="636"/>
        <v>2.1754894407752724E-2</v>
      </c>
      <c r="N590">
        <f t="shared" ref="N590:O590" si="681">AVERAGE(G588:G590)</f>
        <v>0.58301366849610581</v>
      </c>
      <c r="O590">
        <f t="shared" si="681"/>
        <v>0.59935696677469341</v>
      </c>
      <c r="P590">
        <f t="shared" si="643"/>
        <v>5.3130063489889502E-2</v>
      </c>
      <c r="Q590">
        <f t="shared" si="644"/>
        <v>3.2100611502429773E-2</v>
      </c>
      <c r="R590">
        <f t="shared" si="645"/>
        <v>2.1895228915203711E-2</v>
      </c>
    </row>
    <row r="591" spans="1:18" x14ac:dyDescent="0.25">
      <c r="A591" s="18">
        <f t="shared" si="638"/>
        <v>35431</v>
      </c>
      <c r="B591">
        <f>'2-state flows'!B590</f>
        <v>135456</v>
      </c>
      <c r="C591">
        <f>'2-state flows'!C590</f>
        <v>7158</v>
      </c>
      <c r="D591">
        <f>'Composite HWI'!B554*48.35347462</f>
        <v>4375.5059183637995</v>
      </c>
      <c r="E591">
        <f t="shared" si="633"/>
        <v>5.2843727852586821E-2</v>
      </c>
      <c r="F591">
        <f t="shared" si="634"/>
        <v>3.2302045818301144E-2</v>
      </c>
      <c r="G591">
        <f>'2-state flows'!G590</f>
        <v>0.54628922377780087</v>
      </c>
      <c r="H591">
        <f t="shared" si="635"/>
        <v>0.60296479680841664</v>
      </c>
      <c r="I591">
        <f>'2-state flows'!H590</f>
        <v>2.9904316683028984E-2</v>
      </c>
      <c r="J591">
        <f t="shared" si="639"/>
        <v>-0.10881248349902949</v>
      </c>
      <c r="K591">
        <v>0.5</v>
      </c>
      <c r="L591">
        <f t="shared" si="641"/>
        <v>0.18900414098912524</v>
      </c>
      <c r="M591">
        <f t="shared" si="636"/>
        <v>2.6739086940527235E-2</v>
      </c>
      <c r="N591">
        <f t="shared" ref="N591:O591" si="682">AVERAGE(G589:G591)</f>
        <v>0.56425423248406703</v>
      </c>
      <c r="O591">
        <f t="shared" si="682"/>
        <v>0.60320913275423405</v>
      </c>
      <c r="P591">
        <f t="shared" si="643"/>
        <v>5.3373980561358163E-2</v>
      </c>
      <c r="Q591">
        <f t="shared" si="644"/>
        <v>3.2652832701241939E-2</v>
      </c>
      <c r="R591">
        <f t="shared" si="645"/>
        <v>2.4738236334861722E-2</v>
      </c>
    </row>
    <row r="592" spans="1:18" x14ac:dyDescent="0.25">
      <c r="A592" s="18">
        <f t="shared" si="638"/>
        <v>35462</v>
      </c>
      <c r="B592">
        <f>'2-state flows'!B591</f>
        <v>135400</v>
      </c>
      <c r="C592">
        <f>'2-state flows'!C591</f>
        <v>7102</v>
      </c>
      <c r="D592">
        <f>'Composite HWI'!B555*48.35347462</f>
        <v>4542.808940549</v>
      </c>
      <c r="E592">
        <f t="shared" si="633"/>
        <v>5.2451994091580502E-2</v>
      </c>
      <c r="F592">
        <f t="shared" si="634"/>
        <v>3.3551026148810933E-2</v>
      </c>
      <c r="G592">
        <f>'2-state flows'!G591</f>
        <v>0.57867259373538316</v>
      </c>
      <c r="H592">
        <f t="shared" si="635"/>
        <v>0.61680170906142839</v>
      </c>
      <c r="I592">
        <f>'2-state flows'!H591</f>
        <v>3.097087396233824E-2</v>
      </c>
      <c r="J592">
        <f t="shared" si="639"/>
        <v>3.5044372583703909E-2</v>
      </c>
      <c r="K592">
        <v>0.5</v>
      </c>
      <c r="L592">
        <f t="shared" si="641"/>
        <v>0.25909288615653303</v>
      </c>
      <c r="M592">
        <f t="shared" si="636"/>
        <v>2.5893049210867505E-2</v>
      </c>
      <c r="N592">
        <f t="shared" ref="N592:O592" si="683">AVERAGE(G590:G592)</f>
        <v>0.57681875106737657</v>
      </c>
      <c r="O592">
        <f t="shared" si="683"/>
        <v>0.60713715160787662</v>
      </c>
      <c r="P592">
        <f t="shared" si="643"/>
        <v>5.2992238296937326E-2</v>
      </c>
      <c r="Q592">
        <f t="shared" si="644"/>
        <v>3.2841139911906368E-2</v>
      </c>
      <c r="R592">
        <f t="shared" si="645"/>
        <v>2.4795676853049158E-2</v>
      </c>
    </row>
    <row r="593" spans="1:18" x14ac:dyDescent="0.25">
      <c r="A593" s="18">
        <f t="shared" si="638"/>
        <v>35490</v>
      </c>
      <c r="B593">
        <f>'2-state flows'!B592</f>
        <v>135891</v>
      </c>
      <c r="C593">
        <f>'2-state flows'!C592</f>
        <v>7000</v>
      </c>
      <c r="D593">
        <f>'Composite HWI'!B556*48.35347462</f>
        <v>4504.6096955991998</v>
      </c>
      <c r="E593">
        <f t="shared" si="633"/>
        <v>5.1511873486838715E-2</v>
      </c>
      <c r="F593">
        <f t="shared" si="634"/>
        <v>3.3148697821041864E-2</v>
      </c>
      <c r="G593">
        <f>'2-state flows'!G592</f>
        <v>0.54873519683921068</v>
      </c>
      <c r="H593">
        <f t="shared" si="635"/>
        <v>0.61866169924504522</v>
      </c>
      <c r="I593">
        <f>'2-state flows'!H592</f>
        <v>2.8504586462033462E-2</v>
      </c>
      <c r="J593">
        <f t="shared" si="639"/>
        <v>-8.2982210410361884E-2</v>
      </c>
      <c r="K593">
        <v>0.5</v>
      </c>
      <c r="L593">
        <f t="shared" si="641"/>
        <v>9.3128465335809263E-2</v>
      </c>
      <c r="M593">
        <f t="shared" si="636"/>
        <v>3.020099796724917E-2</v>
      </c>
      <c r="N593">
        <f t="shared" ref="N593:O593" si="684">AVERAGE(G591:G593)</f>
        <v>0.55789900478413157</v>
      </c>
      <c r="O593">
        <f t="shared" si="684"/>
        <v>0.61280940170496345</v>
      </c>
      <c r="P593">
        <f t="shared" si="643"/>
        <v>5.226919847700201E-2</v>
      </c>
      <c r="Q593">
        <f t="shared" si="644"/>
        <v>3.3000589929384642E-2</v>
      </c>
      <c r="R593">
        <f t="shared" si="645"/>
        <v>2.7611044706214633E-2</v>
      </c>
    </row>
    <row r="594" spans="1:18" x14ac:dyDescent="0.25">
      <c r="A594" s="18">
        <f t="shared" si="638"/>
        <v>35521</v>
      </c>
      <c r="B594">
        <f>'2-state flows'!B593</f>
        <v>136016</v>
      </c>
      <c r="C594">
        <f>'2-state flows'!C593</f>
        <v>6873</v>
      </c>
      <c r="D594">
        <f>'Composite HWI'!B557*48.35347462</f>
        <v>4465.9269159032001</v>
      </c>
      <c r="E594">
        <f t="shared" si="633"/>
        <v>5.0530819903540761E-2</v>
      </c>
      <c r="F594">
        <f t="shared" si="634"/>
        <v>3.2833835106922712E-2</v>
      </c>
      <c r="G594">
        <f>'2-state flows'!G593</f>
        <v>0.61288826552525033</v>
      </c>
      <c r="H594">
        <f t="shared" si="635"/>
        <v>0.62166483287172924</v>
      </c>
      <c r="I594">
        <f>'2-state flows'!H593</f>
        <v>3.0329213303014312E-2</v>
      </c>
      <c r="J594">
        <f t="shared" si="639"/>
        <v>6.2046380628907265E-2</v>
      </c>
      <c r="K594">
        <v>0.5</v>
      </c>
      <c r="L594">
        <f t="shared" si="641"/>
        <v>0.21722122659362381</v>
      </c>
      <c r="M594">
        <f t="shared" si="636"/>
        <v>2.6423091747563788E-2</v>
      </c>
      <c r="N594">
        <f t="shared" ref="N594:O594" si="685">AVERAGE(G592:G594)</f>
        <v>0.58009868536661469</v>
      </c>
      <c r="O594">
        <f t="shared" si="685"/>
        <v>0.61904274705940099</v>
      </c>
      <c r="P594">
        <f t="shared" si="643"/>
        <v>5.149822916065333E-2</v>
      </c>
      <c r="Q594">
        <f t="shared" si="644"/>
        <v>3.3177853025591834E-2</v>
      </c>
      <c r="R594">
        <f t="shared" si="645"/>
        <v>2.7505712975226821E-2</v>
      </c>
    </row>
    <row r="595" spans="1:18" x14ac:dyDescent="0.25">
      <c r="A595" s="18">
        <f t="shared" si="638"/>
        <v>35551</v>
      </c>
      <c r="B595">
        <f>'2-state flows'!B594</f>
        <v>136119</v>
      </c>
      <c r="C595">
        <f>'2-state flows'!C594</f>
        <v>6655</v>
      </c>
      <c r="D595">
        <f>'Composite HWI'!B558*48.35347462</f>
        <v>4218.8406605950004</v>
      </c>
      <c r="E595">
        <f t="shared" si="633"/>
        <v>4.8891043866028987E-2</v>
      </c>
      <c r="F595">
        <f t="shared" si="634"/>
        <v>3.0993767663551747E-2</v>
      </c>
      <c r="G595">
        <f>'2-state flows'!G594</f>
        <v>0.55326634151956722</v>
      </c>
      <c r="H595">
        <f t="shared" si="635"/>
        <v>0.6140393426340478</v>
      </c>
      <c r="I595">
        <f>'2-state flows'!H594</f>
        <v>2.9908192493060686E-2</v>
      </c>
      <c r="J595">
        <f t="shared" si="639"/>
        <v>-1.3978944158403199E-2</v>
      </c>
      <c r="K595">
        <v>0.5</v>
      </c>
      <c r="L595">
        <f t="shared" si="641"/>
        <v>0.18926333827681741</v>
      </c>
      <c r="M595">
        <f t="shared" si="636"/>
        <v>2.5649467287567413E-2</v>
      </c>
      <c r="N595">
        <f t="shared" ref="N595:O595" si="686">AVERAGE(G593:G595)</f>
        <v>0.57162993462800937</v>
      </c>
      <c r="O595">
        <f t="shared" si="686"/>
        <v>0.61812195825027405</v>
      </c>
      <c r="P595">
        <f t="shared" si="643"/>
        <v>5.0311245752136156E-2</v>
      </c>
      <c r="Q595">
        <f t="shared" si="644"/>
        <v>3.2325433530505439E-2</v>
      </c>
      <c r="R595">
        <f t="shared" si="645"/>
        <v>2.7424519000793457E-2</v>
      </c>
    </row>
    <row r="596" spans="1:18" x14ac:dyDescent="0.25">
      <c r="A596" s="18">
        <f t="shared" si="638"/>
        <v>35582</v>
      </c>
      <c r="B596">
        <f>'2-state flows'!B595</f>
        <v>136211</v>
      </c>
      <c r="C596">
        <f>'2-state flows'!C595</f>
        <v>6799</v>
      </c>
      <c r="D596">
        <f>'Composite HWI'!B559*48.35347462</f>
        <v>4597.4483668696002</v>
      </c>
      <c r="E596">
        <f t="shared" si="633"/>
        <v>4.9915205086226516E-2</v>
      </c>
      <c r="F596">
        <f t="shared" si="634"/>
        <v>3.3752401545173297E-2</v>
      </c>
      <c r="G596">
        <f>'2-state flows'!G595</f>
        <v>0.56386217895676161</v>
      </c>
      <c r="H596">
        <f t="shared" si="635"/>
        <v>0.63417566957235549</v>
      </c>
      <c r="I596">
        <f>'2-state flows'!H595</f>
        <v>2.8149574516083707E-2</v>
      </c>
      <c r="J596">
        <f t="shared" si="639"/>
        <v>-6.0600199700015303E-2</v>
      </c>
      <c r="K596">
        <v>0.5</v>
      </c>
      <c r="L596">
        <f t="shared" si="641"/>
        <v>6.8062938876786799E-2</v>
      </c>
      <c r="M596">
        <f t="shared" si="636"/>
        <v>3.1531550029165384E-2</v>
      </c>
      <c r="N596">
        <f t="shared" ref="N596:O596" si="687">AVERAGE(G594:G596)</f>
        <v>0.57667226200052646</v>
      </c>
      <c r="O596">
        <f t="shared" si="687"/>
        <v>0.62329328169271092</v>
      </c>
      <c r="P596">
        <f t="shared" si="643"/>
        <v>4.9779022951932088E-2</v>
      </c>
      <c r="Q596">
        <f t="shared" si="644"/>
        <v>3.2526668105215921E-2</v>
      </c>
      <c r="R596">
        <f t="shared" si="645"/>
        <v>2.7868036354765525E-2</v>
      </c>
    </row>
    <row r="597" spans="1:18" x14ac:dyDescent="0.25">
      <c r="A597" s="18">
        <f t="shared" si="638"/>
        <v>35612</v>
      </c>
      <c r="B597">
        <f>'2-state flows'!B596</f>
        <v>136477</v>
      </c>
      <c r="C597">
        <f>'2-state flows'!C596</f>
        <v>6655</v>
      </c>
      <c r="D597">
        <f>'Composite HWI'!B560*48.35347462</f>
        <v>4454.3220819943999</v>
      </c>
      <c r="E597">
        <f t="shared" si="633"/>
        <v>4.8762795196260172E-2</v>
      </c>
      <c r="F597">
        <f t="shared" si="634"/>
        <v>3.2637895630724591E-2</v>
      </c>
      <c r="G597">
        <f>'2-state flows'!G596</f>
        <v>0.59272747572443762</v>
      </c>
      <c r="H597">
        <f t="shared" si="635"/>
        <v>0.63094346268623691</v>
      </c>
      <c r="I597">
        <f>'2-state flows'!H596</f>
        <v>2.9898330164847511E-2</v>
      </c>
      <c r="J597">
        <f t="shared" si="639"/>
        <v>6.0270391917710886E-2</v>
      </c>
      <c r="K597">
        <v>0.5</v>
      </c>
      <c r="L597">
        <f t="shared" si="641"/>
        <v>0.18860372271220857</v>
      </c>
      <c r="M597">
        <f t="shared" si="636"/>
        <v>2.702791803818607E-2</v>
      </c>
      <c r="N597">
        <f t="shared" ref="N597:O597" si="688">AVERAGE(G595:G597)</f>
        <v>0.56995199873358882</v>
      </c>
      <c r="O597">
        <f t="shared" si="688"/>
        <v>0.62638615829754674</v>
      </c>
      <c r="P597">
        <f t="shared" si="643"/>
        <v>4.9189681382838558E-2</v>
      </c>
      <c r="Q597">
        <f t="shared" si="644"/>
        <v>3.2461354946483216E-2</v>
      </c>
      <c r="R597">
        <f t="shared" si="645"/>
        <v>2.8069645118306286E-2</v>
      </c>
    </row>
    <row r="598" spans="1:18" x14ac:dyDescent="0.25">
      <c r="A598" s="18">
        <f t="shared" si="638"/>
        <v>35643</v>
      </c>
      <c r="B598">
        <f>'2-state flows'!B597</f>
        <v>136618</v>
      </c>
      <c r="C598">
        <f>'2-state flows'!C597</f>
        <v>6608</v>
      </c>
      <c r="D598">
        <f>'Composite HWI'!B561*48.35347462</f>
        <v>4520.5663422237994</v>
      </c>
      <c r="E598">
        <f t="shared" si="633"/>
        <v>4.8368443396916948E-2</v>
      </c>
      <c r="F598">
        <f t="shared" si="634"/>
        <v>3.3089097646165216E-2</v>
      </c>
      <c r="G598">
        <f>'2-state flows'!G597</f>
        <v>0.55692872336307808</v>
      </c>
      <c r="H598">
        <f t="shared" si="635"/>
        <v>0.63787425323123914</v>
      </c>
      <c r="I598">
        <f>'2-state flows'!H597</f>
        <v>2.8794760961958279E-2</v>
      </c>
      <c r="J598">
        <f t="shared" si="639"/>
        <v>-3.760917195664161E-2</v>
      </c>
      <c r="K598">
        <v>0.5</v>
      </c>
      <c r="L598">
        <f t="shared" si="641"/>
        <v>0.11338537879892535</v>
      </c>
      <c r="M598">
        <f t="shared" si="636"/>
        <v>2.9542162288259639E-2</v>
      </c>
      <c r="N598">
        <f t="shared" ref="N598:O598" si="689">AVERAGE(G596:G598)</f>
        <v>0.57117279268142573</v>
      </c>
      <c r="O598">
        <f t="shared" si="689"/>
        <v>0.63433112849661055</v>
      </c>
      <c r="P598">
        <f t="shared" si="643"/>
        <v>4.9015481226467879E-2</v>
      </c>
      <c r="Q598">
        <f t="shared" si="644"/>
        <v>3.3159798274021039E-2</v>
      </c>
      <c r="R598">
        <f t="shared" si="645"/>
        <v>2.9367210118537032E-2</v>
      </c>
    </row>
    <row r="599" spans="1:18" x14ac:dyDescent="0.25">
      <c r="A599" s="18">
        <f t="shared" si="638"/>
        <v>35674</v>
      </c>
      <c r="B599">
        <f>'2-state flows'!B598</f>
        <v>136675</v>
      </c>
      <c r="C599">
        <f>'2-state flows'!C598</f>
        <v>6656</v>
      </c>
      <c r="D599">
        <f>'Composite HWI'!B562*48.35347462</f>
        <v>4745.8935339529999</v>
      </c>
      <c r="E599">
        <f t="shared" si="633"/>
        <v>4.8699469544539964E-2</v>
      </c>
      <c r="F599">
        <f t="shared" si="634"/>
        <v>3.4723932935452714E-2</v>
      </c>
      <c r="G599">
        <f>'2-state flows'!G598</f>
        <v>0.64922231262655761</v>
      </c>
      <c r="H599">
        <f t="shared" si="635"/>
        <v>0.6512174141942958</v>
      </c>
      <c r="I599">
        <f>'2-state flows'!H598</f>
        <v>3.1093765230488585E-2</v>
      </c>
      <c r="J599">
        <f t="shared" si="639"/>
        <v>7.6813864632540446E-2</v>
      </c>
      <c r="K599">
        <v>0.5</v>
      </c>
      <c r="L599">
        <f t="shared" si="641"/>
        <v>0.26701310806400624</v>
      </c>
      <c r="M599">
        <f t="shared" si="636"/>
        <v>2.6586831879867628E-2</v>
      </c>
      <c r="N599">
        <f t="shared" ref="N599:O599" si="690">AVERAGE(G597:G599)</f>
        <v>0.5996261705713577</v>
      </c>
      <c r="O599">
        <f t="shared" si="690"/>
        <v>0.64001171003725732</v>
      </c>
      <c r="P599">
        <f t="shared" si="643"/>
        <v>4.8610236045905697E-2</v>
      </c>
      <c r="Q599">
        <f t="shared" si="644"/>
        <v>3.348364207078084E-2</v>
      </c>
      <c r="R599">
        <f t="shared" si="645"/>
        <v>2.7718970735437779E-2</v>
      </c>
    </row>
    <row r="600" spans="1:18" x14ac:dyDescent="0.25">
      <c r="A600" s="18">
        <f t="shared" si="638"/>
        <v>35704</v>
      </c>
      <c r="B600">
        <f>'2-state flows'!B599</f>
        <v>136633</v>
      </c>
      <c r="C600">
        <f>'2-state flows'!C599</f>
        <v>6454</v>
      </c>
      <c r="D600">
        <f>'Composite HWI'!B563*48.35347462</f>
        <v>4654.9890016673999</v>
      </c>
      <c r="E600">
        <f t="shared" si="633"/>
        <v>4.7236026435780523E-2</v>
      </c>
      <c r="F600">
        <f t="shared" si="634"/>
        <v>3.4069287812368898E-2</v>
      </c>
      <c r="G600">
        <f>'2-state flows'!G599</f>
        <v>0.63145202240026588</v>
      </c>
      <c r="H600">
        <f t="shared" si="635"/>
        <v>0.6549656375529771</v>
      </c>
      <c r="I600">
        <f>'2-state flows'!H599</f>
        <v>2.9773164512769169E-2</v>
      </c>
      <c r="J600">
        <f t="shared" si="639"/>
        <v>-4.3399856089334513E-2</v>
      </c>
      <c r="K600">
        <v>0.5</v>
      </c>
      <c r="L600">
        <f t="shared" si="641"/>
        <v>0.18021339588533722</v>
      </c>
      <c r="M600">
        <f t="shared" si="636"/>
        <v>2.8450989261782737E-2</v>
      </c>
      <c r="N600">
        <f t="shared" ref="N600:O600" si="691">AVERAGE(G598:G600)</f>
        <v>0.61253435279663382</v>
      </c>
      <c r="O600">
        <f t="shared" si="691"/>
        <v>0.64801910165950394</v>
      </c>
      <c r="P600">
        <f t="shared" si="643"/>
        <v>4.8101313125745816E-2</v>
      </c>
      <c r="Q600">
        <f t="shared" si="644"/>
        <v>3.3960772797995607E-2</v>
      </c>
      <c r="R600">
        <f t="shared" si="645"/>
        <v>2.8193327809969998E-2</v>
      </c>
    </row>
    <row r="601" spans="1:18" x14ac:dyDescent="0.25">
      <c r="A601" s="18">
        <f t="shared" si="638"/>
        <v>35735</v>
      </c>
      <c r="B601">
        <f>'2-state flows'!B600</f>
        <v>136961</v>
      </c>
      <c r="C601">
        <f>'2-state flows'!C600</f>
        <v>6308</v>
      </c>
      <c r="D601">
        <f>'Composite HWI'!B564*48.35347462</f>
        <v>4935.4391544634</v>
      </c>
      <c r="E601">
        <f t="shared" si="633"/>
        <v>4.6056906710669462E-2</v>
      </c>
      <c r="F601">
        <f t="shared" si="634"/>
        <v>3.6035361558862743E-2</v>
      </c>
      <c r="G601">
        <f>'2-state flows'!G600</f>
        <v>0.57866416582404012</v>
      </c>
      <c r="H601">
        <f t="shared" si="635"/>
        <v>0.68216702945719443</v>
      </c>
      <c r="I601">
        <f>'2-state flows'!H600</f>
        <v>2.9654591814631582E-2</v>
      </c>
      <c r="J601">
        <f t="shared" si="639"/>
        <v>-3.9904873685678889E-3</v>
      </c>
      <c r="K601">
        <v>0.5</v>
      </c>
      <c r="L601">
        <f t="shared" si="641"/>
        <v>0.17223242114820145</v>
      </c>
      <c r="M601">
        <f t="shared" si="636"/>
        <v>3.0333972853981095E-2</v>
      </c>
      <c r="N601">
        <f t="shared" ref="N601:O601" si="692">AVERAGE(G599:G601)</f>
        <v>0.61977950028362117</v>
      </c>
      <c r="O601">
        <f t="shared" si="692"/>
        <v>0.66278336040148911</v>
      </c>
      <c r="P601">
        <f t="shared" si="643"/>
        <v>4.733080089699665E-2</v>
      </c>
      <c r="Q601">
        <f t="shared" si="644"/>
        <v>3.494286076889478E-2</v>
      </c>
      <c r="R601">
        <f t="shared" si="645"/>
        <v>2.845726466521049E-2</v>
      </c>
    </row>
    <row r="602" spans="1:18" x14ac:dyDescent="0.25">
      <c r="A602" s="18">
        <f t="shared" si="638"/>
        <v>35765</v>
      </c>
      <c r="B602">
        <f>'2-state flows'!B601</f>
        <v>137155</v>
      </c>
      <c r="C602">
        <f>'2-state flows'!C601</f>
        <v>6476</v>
      </c>
      <c r="D602">
        <f>'Composite HWI'!B565*48.35347462</f>
        <v>4632.2628685959999</v>
      </c>
      <c r="E602">
        <f t="shared" si="633"/>
        <v>4.7216652692209544E-2</v>
      </c>
      <c r="F602">
        <f t="shared" si="634"/>
        <v>3.377392635045022E-2</v>
      </c>
      <c r="G602">
        <f>'2-state flows'!G601</f>
        <v>0.65405713589495595</v>
      </c>
      <c r="H602">
        <f t="shared" si="635"/>
        <v>0.65225414049074704</v>
      </c>
      <c r="I602">
        <f>'2-state flows'!H601</f>
        <v>3.1271068341367184E-2</v>
      </c>
      <c r="J602">
        <f t="shared" si="639"/>
        <v>5.3076355218647876E-2</v>
      </c>
      <c r="K602">
        <v>0.5</v>
      </c>
      <c r="L602">
        <f t="shared" si="641"/>
        <v>0.27838513158549721</v>
      </c>
      <c r="M602">
        <f t="shared" si="636"/>
        <v>2.5567038504803349E-2</v>
      </c>
      <c r="N602">
        <f t="shared" ref="N602:O602" si="693">AVERAGE(G600:G602)</f>
        <v>0.62139110803975406</v>
      </c>
      <c r="O602">
        <f t="shared" si="693"/>
        <v>0.66312893583363952</v>
      </c>
      <c r="P602">
        <f t="shared" si="643"/>
        <v>4.6836528612886508E-2</v>
      </c>
      <c r="Q602">
        <f t="shared" si="644"/>
        <v>3.4626191907227287E-2</v>
      </c>
      <c r="R602">
        <f t="shared" si="645"/>
        <v>2.8117333540189058E-2</v>
      </c>
    </row>
    <row r="603" spans="1:18" x14ac:dyDescent="0.25">
      <c r="A603" s="18">
        <f t="shared" si="638"/>
        <v>35796</v>
      </c>
      <c r="B603">
        <f>'2-state flows'!B602</f>
        <v>137095</v>
      </c>
      <c r="C603">
        <f>'2-state flows'!C602</f>
        <v>6368</v>
      </c>
      <c r="D603">
        <f>'Composite HWI'!B566*48.35347462</f>
        <v>4808.2695162128002</v>
      </c>
      <c r="E603">
        <f t="shared" si="633"/>
        <v>4.6449542288194319E-2</v>
      </c>
      <c r="F603">
        <f t="shared" si="634"/>
        <v>3.5072537409918669E-2</v>
      </c>
      <c r="G603">
        <f>'2-state flows'!G602</f>
        <v>0.65057395651851779</v>
      </c>
      <c r="H603">
        <f t="shared" si="635"/>
        <v>0.67014154197866849</v>
      </c>
      <c r="I603">
        <f>'2-state flows'!H602</f>
        <v>3.1036763701031381E-2</v>
      </c>
      <c r="J603">
        <f t="shared" si="639"/>
        <v>-7.5209082739547918E-3</v>
      </c>
      <c r="K603">
        <v>0.5</v>
      </c>
      <c r="L603">
        <f t="shared" si="641"/>
        <v>0.26334331503758762</v>
      </c>
      <c r="M603">
        <f t="shared" si="636"/>
        <v>2.6952474173772108E-2</v>
      </c>
      <c r="N603">
        <f t="shared" ref="N603:O603" si="694">AVERAGE(G601:G603)</f>
        <v>0.62776508607917136</v>
      </c>
      <c r="O603">
        <f t="shared" si="694"/>
        <v>0.66818757064220335</v>
      </c>
      <c r="P603">
        <f t="shared" si="643"/>
        <v>4.6574367230357773E-2</v>
      </c>
      <c r="Q603">
        <f t="shared" si="644"/>
        <v>3.4960608439743877E-2</v>
      </c>
      <c r="R603">
        <f t="shared" si="645"/>
        <v>2.7617828510852187E-2</v>
      </c>
    </row>
    <row r="604" spans="1:18" x14ac:dyDescent="0.25">
      <c r="A604" s="18">
        <f t="shared" si="638"/>
        <v>35827</v>
      </c>
      <c r="B604">
        <f>'2-state flows'!B603</f>
        <v>137112</v>
      </c>
      <c r="C604">
        <f>'2-state flows'!C603</f>
        <v>6306</v>
      </c>
      <c r="D604">
        <f>'Composite HWI'!B567*48.35347462</f>
        <v>4931.5708764937999</v>
      </c>
      <c r="E604">
        <f t="shared" si="633"/>
        <v>4.5991598109574656E-2</v>
      </c>
      <c r="F604">
        <f t="shared" si="634"/>
        <v>3.5967463653756054E-2</v>
      </c>
      <c r="G604">
        <f>'2-state flows'!G603</f>
        <v>0.68249683445364551</v>
      </c>
      <c r="H604">
        <f t="shared" si="635"/>
        <v>0.68200777051641137</v>
      </c>
      <c r="I604">
        <f>'2-state flows'!H603</f>
        <v>3.4144556170894444E-2</v>
      </c>
      <c r="J604">
        <f t="shared" si="639"/>
        <v>9.5430736295250645E-2</v>
      </c>
      <c r="K604">
        <v>0.5</v>
      </c>
      <c r="L604">
        <f t="shared" si="641"/>
        <v>0.45420478762808891</v>
      </c>
      <c r="M604">
        <f t="shared" si="636"/>
        <v>2.283763778056393E-2</v>
      </c>
      <c r="N604">
        <f t="shared" ref="N604:O604" si="695">AVERAGE(G602:G604)</f>
        <v>0.66237597562237316</v>
      </c>
      <c r="O604">
        <f t="shared" si="695"/>
        <v>0.66813448432860889</v>
      </c>
      <c r="P604">
        <f t="shared" si="643"/>
        <v>4.6552597696659509E-2</v>
      </c>
      <c r="Q604">
        <f t="shared" si="644"/>
        <v>3.4937975804708317E-2</v>
      </c>
      <c r="R604">
        <f t="shared" si="645"/>
        <v>2.5119050153046465E-2</v>
      </c>
    </row>
    <row r="605" spans="1:18" x14ac:dyDescent="0.25">
      <c r="A605" s="18">
        <f t="shared" si="638"/>
        <v>35855</v>
      </c>
      <c r="B605">
        <f>'2-state flows'!B604</f>
        <v>137236</v>
      </c>
      <c r="C605">
        <f>'2-state flows'!C604</f>
        <v>6422</v>
      </c>
      <c r="D605">
        <f>'Composite HWI'!B568*48.35347462</f>
        <v>4894.8222357825998</v>
      </c>
      <c r="E605">
        <f t="shared" si="633"/>
        <v>4.6795301524381355E-2</v>
      </c>
      <c r="F605">
        <f t="shared" si="634"/>
        <v>3.566718817061558E-2</v>
      </c>
      <c r="G605">
        <f>'2-state flows'!G604</f>
        <v>0.79760150117165129</v>
      </c>
      <c r="H605">
        <f t="shared" si="635"/>
        <v>0.67329746290823211</v>
      </c>
      <c r="I605">
        <f>'2-state flows'!H604</f>
        <v>3.3741571455362461E-2</v>
      </c>
      <c r="J605">
        <f t="shared" si="639"/>
        <v>-1.1872512491826312E-2</v>
      </c>
      <c r="K605">
        <v>0.5</v>
      </c>
      <c r="L605">
        <f t="shared" si="641"/>
        <v>0.43045976264443631</v>
      </c>
      <c r="M605">
        <f t="shared" si="636"/>
        <v>2.3191165405189531E-2</v>
      </c>
      <c r="N605">
        <f t="shared" ref="N605:O605" si="696">AVERAGE(G603:G605)</f>
        <v>0.71022409738127157</v>
      </c>
      <c r="O605">
        <f t="shared" si="696"/>
        <v>0.67514892513443725</v>
      </c>
      <c r="P605">
        <f t="shared" si="643"/>
        <v>4.6412147307383446E-2</v>
      </c>
      <c r="Q605">
        <f t="shared" si="644"/>
        <v>3.556906307809677E-2</v>
      </c>
      <c r="R605">
        <f t="shared" si="645"/>
        <v>2.432709245317519E-2</v>
      </c>
    </row>
    <row r="606" spans="1:18" x14ac:dyDescent="0.25">
      <c r="A606" s="18">
        <f t="shared" si="638"/>
        <v>35886</v>
      </c>
      <c r="B606">
        <f>'2-state flows'!B605</f>
        <v>137150</v>
      </c>
      <c r="C606">
        <f>'2-state flows'!C605</f>
        <v>5941</v>
      </c>
      <c r="D606">
        <f>'Composite HWI'!B569*48.35347462</f>
        <v>4911.7459518996002</v>
      </c>
      <c r="E606">
        <f t="shared" si="633"/>
        <v>4.3317535545023697E-2</v>
      </c>
      <c r="F606">
        <f t="shared" si="634"/>
        <v>3.5812948974842142E-2</v>
      </c>
      <c r="G606">
        <f>'2-state flows'!G605</f>
        <v>0.68880047220417184</v>
      </c>
      <c r="H606">
        <f t="shared" si="635"/>
        <v>0.70123218047563529</v>
      </c>
      <c r="I606">
        <f>'2-state flows'!H605</f>
        <v>3.2321999713612215E-2</v>
      </c>
      <c r="J606">
        <f t="shared" si="639"/>
        <v>-4.2982547407728069E-2</v>
      </c>
      <c r="K606">
        <v>0.5</v>
      </c>
      <c r="L606">
        <f t="shared" si="641"/>
        <v>0.34449466782898019</v>
      </c>
      <c r="M606">
        <f t="shared" si="636"/>
        <v>2.5376279592640608E-2</v>
      </c>
      <c r="N606">
        <f t="shared" ref="N606:O606" si="697">AVERAGE(G604:G606)</f>
        <v>0.72296626927648955</v>
      </c>
      <c r="O606">
        <f t="shared" si="697"/>
        <v>0.68551247130009296</v>
      </c>
      <c r="P606">
        <f t="shared" si="643"/>
        <v>4.5368145059659894E-2</v>
      </c>
      <c r="Q606">
        <f t="shared" si="644"/>
        <v>3.5815866933071261E-2</v>
      </c>
      <c r="R606">
        <f t="shared" si="645"/>
        <v>2.3801694259464688E-2</v>
      </c>
    </row>
    <row r="607" spans="1:18" x14ac:dyDescent="0.25">
      <c r="A607" s="18">
        <f t="shared" si="638"/>
        <v>35916</v>
      </c>
      <c r="B607">
        <f>'2-state flows'!B606</f>
        <v>137372</v>
      </c>
      <c r="C607">
        <f>'2-state flows'!C606</f>
        <v>6047</v>
      </c>
      <c r="D607">
        <f>'Composite HWI'!B570*48.35347462</f>
        <v>4929.1532027628</v>
      </c>
      <c r="E607">
        <f t="shared" si="633"/>
        <v>4.4019159654077981E-2</v>
      </c>
      <c r="F607">
        <f t="shared" si="634"/>
        <v>3.5881789613333138E-2</v>
      </c>
      <c r="G607">
        <f>'2-state flows'!G606</f>
        <v>0.61825235086948505</v>
      </c>
      <c r="H607">
        <f t="shared" si="635"/>
        <v>0.69628949102516613</v>
      </c>
      <c r="I607">
        <f>'2-state flows'!H606</f>
        <v>3.0175583221974101E-2</v>
      </c>
      <c r="J607">
        <f t="shared" si="639"/>
        <v>-6.8715009283294007E-2</v>
      </c>
      <c r="K607">
        <v>0.5</v>
      </c>
      <c r="L607">
        <f t="shared" si="641"/>
        <v>0.20706464926239218</v>
      </c>
      <c r="M607">
        <f t="shared" si="636"/>
        <v>2.9170714106248136E-2</v>
      </c>
      <c r="N607">
        <f t="shared" ref="N607:O607" si="698">AVERAGE(G605:G607)</f>
        <v>0.70155144141510262</v>
      </c>
      <c r="O607">
        <f t="shared" si="698"/>
        <v>0.6902730448030111</v>
      </c>
      <c r="P607">
        <f t="shared" si="643"/>
        <v>4.4710665574494345E-2</v>
      </c>
      <c r="Q607">
        <f t="shared" si="644"/>
        <v>3.5787308919596951E-2</v>
      </c>
      <c r="R607">
        <f t="shared" si="645"/>
        <v>2.5912719701359426E-2</v>
      </c>
    </row>
    <row r="608" spans="1:18" x14ac:dyDescent="0.25">
      <c r="A608" s="18">
        <f t="shared" si="638"/>
        <v>35947</v>
      </c>
      <c r="B608">
        <f>'2-state flows'!B607</f>
        <v>137455</v>
      </c>
      <c r="C608">
        <f>'2-state flows'!C607</f>
        <v>6212</v>
      </c>
      <c r="D608">
        <f>'Composite HWI'!B571*48.35347462</f>
        <v>4838.2486704772</v>
      </c>
      <c r="E608">
        <f t="shared" si="633"/>
        <v>4.5192972245462149E-2</v>
      </c>
      <c r="F608">
        <f t="shared" si="634"/>
        <v>3.5198782659613695E-2</v>
      </c>
      <c r="G608">
        <f>'2-state flows'!G607</f>
        <v>0.64748335292642212</v>
      </c>
      <c r="H608">
        <f t="shared" si="635"/>
        <v>0.68061581443372121</v>
      </c>
      <c r="I608">
        <f>'2-state flows'!H607</f>
        <v>3.1139979147497179E-2</v>
      </c>
      <c r="J608">
        <f t="shared" si="639"/>
        <v>3.1459401985717082E-2</v>
      </c>
      <c r="K608">
        <v>0.5</v>
      </c>
      <c r="L608">
        <f t="shared" si="641"/>
        <v>0.26998345323382633</v>
      </c>
      <c r="M608">
        <f t="shared" si="636"/>
        <v>2.6870473523732587E-2</v>
      </c>
      <c r="N608">
        <f t="shared" ref="N608:O608" si="699">AVERAGE(G606:G608)</f>
        <v>0.65151205866669304</v>
      </c>
      <c r="O608">
        <f t="shared" si="699"/>
        <v>0.69271249531150758</v>
      </c>
      <c r="P608">
        <f t="shared" si="643"/>
        <v>4.4176555814854607E-2</v>
      </c>
      <c r="Q608">
        <f t="shared" si="644"/>
        <v>3.5631173749262994E-2</v>
      </c>
      <c r="R608">
        <f t="shared" si="645"/>
        <v>2.7139155740873777E-2</v>
      </c>
    </row>
    <row r="609" spans="1:18" x14ac:dyDescent="0.25">
      <c r="A609" s="18">
        <f t="shared" si="638"/>
        <v>35977</v>
      </c>
      <c r="B609">
        <f>'2-state flows'!B608</f>
        <v>137588</v>
      </c>
      <c r="C609">
        <f>'2-state flows'!C608</f>
        <v>6259</v>
      </c>
      <c r="D609">
        <f>'Composite HWI'!B572*48.35347462</f>
        <v>4856.1394560866001</v>
      </c>
      <c r="E609">
        <f t="shared" si="633"/>
        <v>4.5490885833066839E-2</v>
      </c>
      <c r="F609">
        <f t="shared" si="634"/>
        <v>3.529478919736169E-2</v>
      </c>
      <c r="G609">
        <f>'2-state flows'!G608</f>
        <v>0.68139986711006439</v>
      </c>
      <c r="H609">
        <f t="shared" si="635"/>
        <v>0.67930805719922804</v>
      </c>
      <c r="I609">
        <f>'2-state flows'!H608</f>
        <v>3.1622869981742595E-2</v>
      </c>
      <c r="J609">
        <f t="shared" si="639"/>
        <v>1.5388095655032397E-2</v>
      </c>
      <c r="K609">
        <v>0.5</v>
      </c>
      <c r="L609">
        <f t="shared" si="641"/>
        <v>0.30075964454389115</v>
      </c>
      <c r="M609">
        <f t="shared" si="636"/>
        <v>2.6127168031504517E-2</v>
      </c>
      <c r="N609">
        <f t="shared" ref="N609:O609" si="700">AVERAGE(G607:G609)</f>
        <v>0.64904519030199059</v>
      </c>
      <c r="O609">
        <f t="shared" si="700"/>
        <v>0.68540445421937191</v>
      </c>
      <c r="P609">
        <f t="shared" si="643"/>
        <v>4.4901005910868992E-2</v>
      </c>
      <c r="Q609">
        <f t="shared" si="644"/>
        <v>3.5458453823436174E-2</v>
      </c>
      <c r="R609">
        <f t="shared" si="645"/>
        <v>2.7389451887161746E-2</v>
      </c>
    </row>
    <row r="610" spans="1:18" x14ac:dyDescent="0.25">
      <c r="A610" s="18">
        <f t="shared" si="638"/>
        <v>36008</v>
      </c>
      <c r="B610">
        <f>'2-state flows'!B609</f>
        <v>137570</v>
      </c>
      <c r="C610">
        <f>'2-state flows'!C609</f>
        <v>6179</v>
      </c>
      <c r="D610">
        <f>'Composite HWI'!B573*48.35347462</f>
        <v>4929.1532027628</v>
      </c>
      <c r="E610">
        <f t="shared" si="633"/>
        <v>4.491531583920913E-2</v>
      </c>
      <c r="F610">
        <f t="shared" si="634"/>
        <v>3.5830146127519079E-2</v>
      </c>
      <c r="G610">
        <f>'2-state flows'!G609</f>
        <v>0.64060785909674123</v>
      </c>
      <c r="H610">
        <f t="shared" si="635"/>
        <v>0.68881203601097241</v>
      </c>
      <c r="I610">
        <f>'2-state flows'!H609</f>
        <v>3.1390973813621978E-2</v>
      </c>
      <c r="J610">
        <f t="shared" si="639"/>
        <v>-7.3601989981623523E-3</v>
      </c>
      <c r="K610">
        <v>0.5</v>
      </c>
      <c r="L610">
        <f t="shared" si="641"/>
        <v>0.28603924654756646</v>
      </c>
      <c r="M610">
        <f t="shared" si="636"/>
        <v>2.6916792897596253E-2</v>
      </c>
      <c r="N610">
        <f t="shared" ref="N610:O610" si="701">AVERAGE(G608:G610)</f>
        <v>0.65649702637774265</v>
      </c>
      <c r="O610">
        <f t="shared" si="701"/>
        <v>0.68291196921464048</v>
      </c>
      <c r="P610">
        <f t="shared" si="643"/>
        <v>4.5199724639246042E-2</v>
      </c>
      <c r="Q610">
        <f t="shared" si="644"/>
        <v>3.5441239328164821E-2</v>
      </c>
      <c r="R610">
        <f t="shared" si="645"/>
        <v>2.663814481761112E-2</v>
      </c>
    </row>
    <row r="611" spans="1:18" x14ac:dyDescent="0.25">
      <c r="A611" s="18">
        <f t="shared" si="638"/>
        <v>36039</v>
      </c>
      <c r="B611">
        <f>'2-state flows'!B610</f>
        <v>138286</v>
      </c>
      <c r="C611">
        <f>'2-state flows'!C610</f>
        <v>6300</v>
      </c>
      <c r="D611">
        <f>'Composite HWI'!B574*48.35347462</f>
        <v>4727.5192135974003</v>
      </c>
      <c r="E611">
        <f t="shared" si="633"/>
        <v>4.5557757112072085E-2</v>
      </c>
      <c r="F611">
        <f t="shared" si="634"/>
        <v>3.4186535250114981E-2</v>
      </c>
      <c r="G611">
        <f>'2-state flows'!G610</f>
        <v>0.74016558189519455</v>
      </c>
      <c r="H611">
        <f t="shared" si="635"/>
        <v>0.66806703579483395</v>
      </c>
      <c r="I611">
        <f>'2-state flows'!H610</f>
        <v>3.5112046159805781E-2</v>
      </c>
      <c r="J611">
        <f t="shared" si="639"/>
        <v>0.11202387360451459</v>
      </c>
      <c r="K611">
        <v>0.5</v>
      </c>
      <c r="L611">
        <f t="shared" si="641"/>
        <v>0.51008699375659561</v>
      </c>
      <c r="M611">
        <f t="shared" si="636"/>
        <v>2.0527077467347086E-2</v>
      </c>
      <c r="N611">
        <f t="shared" ref="N611:O611" si="702">AVERAGE(G609:G611)</f>
        <v>0.68739110270066661</v>
      </c>
      <c r="O611">
        <f t="shared" si="702"/>
        <v>0.67872904300167802</v>
      </c>
      <c r="P611">
        <f t="shared" si="643"/>
        <v>4.5321319594782687E-2</v>
      </c>
      <c r="Q611">
        <f t="shared" si="644"/>
        <v>3.5103823524998579E-2</v>
      </c>
      <c r="R611">
        <f t="shared" si="645"/>
        <v>2.4523679465482617E-2</v>
      </c>
    </row>
    <row r="612" spans="1:18" x14ac:dyDescent="0.25">
      <c r="A612" s="18">
        <f t="shared" si="638"/>
        <v>36069</v>
      </c>
      <c r="B612">
        <f>'2-state flows'!B611</f>
        <v>138279</v>
      </c>
      <c r="C612">
        <f>'2-state flows'!C611</f>
        <v>6280</v>
      </c>
      <c r="D612">
        <f>'Composite HWI'!B575*48.35347462</f>
        <v>4690.7705728862002</v>
      </c>
      <c r="E612">
        <f t="shared" si="633"/>
        <v>4.5415428228436715E-2</v>
      </c>
      <c r="F612">
        <f t="shared" si="634"/>
        <v>3.3922508644741431E-2</v>
      </c>
      <c r="G612">
        <f>'2-state flows'!G611</f>
        <v>0.67785075690847618</v>
      </c>
      <c r="H612">
        <f t="shared" si="635"/>
        <v>0.66652422808567868</v>
      </c>
      <c r="I612">
        <f>'2-state flows'!H611</f>
        <v>3.0346472305458744E-2</v>
      </c>
      <c r="J612">
        <f t="shared" si="639"/>
        <v>-0.14586399003749606</v>
      </c>
      <c r="K612">
        <v>0.5</v>
      </c>
      <c r="L612">
        <f t="shared" si="641"/>
        <v>0.21835901368160349</v>
      </c>
      <c r="M612">
        <f t="shared" si="636"/>
        <v>2.7268160846056318E-2</v>
      </c>
      <c r="N612">
        <f t="shared" ref="N612:O612" si="703">AVERAGE(G610:G612)</f>
        <v>0.68620806596680406</v>
      </c>
      <c r="O612">
        <f t="shared" si="703"/>
        <v>0.67446776663049501</v>
      </c>
      <c r="P612">
        <f t="shared" si="643"/>
        <v>4.5296167059905974E-2</v>
      </c>
      <c r="Q612">
        <f t="shared" si="644"/>
        <v>3.4646396674125161E-2</v>
      </c>
      <c r="R612">
        <f t="shared" si="645"/>
        <v>2.4904010403666552E-2</v>
      </c>
    </row>
    <row r="613" spans="1:18" x14ac:dyDescent="0.25">
      <c r="A613" s="18">
        <f t="shared" si="638"/>
        <v>36100</v>
      </c>
      <c r="B613">
        <f>'2-state flows'!B612</f>
        <v>138381</v>
      </c>
      <c r="C613">
        <f>'2-state flows'!C612</f>
        <v>6100</v>
      </c>
      <c r="D613">
        <f>'Composite HWI'!B576*48.35347462</f>
        <v>4930.6038070014001</v>
      </c>
      <c r="E613">
        <f t="shared" si="633"/>
        <v>4.4081196117964169E-2</v>
      </c>
      <c r="F613">
        <f t="shared" si="634"/>
        <v>3.5630641540394997E-2</v>
      </c>
      <c r="G613">
        <f>'2-state flows'!G612</f>
        <v>0.69936977952251667</v>
      </c>
      <c r="H613">
        <f t="shared" si="635"/>
        <v>0.69336002995329027</v>
      </c>
      <c r="I613">
        <f>'2-state flows'!H612</f>
        <v>3.1526104475316445E-2</v>
      </c>
      <c r="J613">
        <f t="shared" si="639"/>
        <v>3.8135639147952143E-2</v>
      </c>
      <c r="K613">
        <v>0.5</v>
      </c>
      <c r="L613">
        <f t="shared" si="641"/>
        <v>0.29463029197750779</v>
      </c>
      <c r="M613">
        <f t="shared" si="636"/>
        <v>2.6537947587189303E-2</v>
      </c>
      <c r="N613">
        <f t="shared" ref="N613:O613" si="704">AVERAGE(G611:G613)</f>
        <v>0.70579537277539572</v>
      </c>
      <c r="O613">
        <f t="shared" si="704"/>
        <v>0.67598376461126763</v>
      </c>
      <c r="P613">
        <f t="shared" si="643"/>
        <v>4.5018127152824328E-2</v>
      </c>
      <c r="Q613">
        <f t="shared" si="644"/>
        <v>3.4579895145083805E-2</v>
      </c>
      <c r="R613">
        <f t="shared" si="645"/>
        <v>2.4777728633530904E-2</v>
      </c>
    </row>
    <row r="614" spans="1:18" x14ac:dyDescent="0.25">
      <c r="A614" s="18">
        <f t="shared" si="638"/>
        <v>36130</v>
      </c>
      <c r="B614">
        <f>'2-state flows'!B613</f>
        <v>138634</v>
      </c>
      <c r="C614">
        <f>'2-state flows'!C613</f>
        <v>6032</v>
      </c>
      <c r="D614">
        <f>'Composite HWI'!B577*48.35347462</f>
        <v>4839.2157399695998</v>
      </c>
      <c r="E614">
        <f t="shared" si="633"/>
        <v>4.3510250010819859E-2</v>
      </c>
      <c r="F614">
        <f t="shared" si="634"/>
        <v>3.4906413577979425E-2</v>
      </c>
      <c r="G614">
        <f>'2-state flows'!G613</f>
        <v>0.65921998818734828</v>
      </c>
      <c r="H614">
        <f t="shared" si="635"/>
        <v>0.69076526667679083</v>
      </c>
      <c r="I614">
        <f>'2-state flows'!H613</f>
        <v>2.9403311172350101E-2</v>
      </c>
      <c r="J614">
        <f t="shared" si="639"/>
        <v>-6.9708623227461047E-2</v>
      </c>
      <c r="K614">
        <v>0.5</v>
      </c>
      <c r="L614">
        <f t="shared" si="641"/>
        <v>0.15521304552258569</v>
      </c>
      <c r="M614">
        <f t="shared" si="636"/>
        <v>2.9888014193766042E-2</v>
      </c>
      <c r="N614">
        <f t="shared" ref="N614:O614" si="705">AVERAGE(G612:G614)</f>
        <v>0.67881350820611364</v>
      </c>
      <c r="O614">
        <f t="shared" si="705"/>
        <v>0.68354984157191989</v>
      </c>
      <c r="P614">
        <f t="shared" si="643"/>
        <v>4.4335624785740248E-2</v>
      </c>
      <c r="Q614">
        <f t="shared" si="644"/>
        <v>3.4819854587705285E-2</v>
      </c>
      <c r="R614">
        <f t="shared" si="645"/>
        <v>2.7898040875670559E-2</v>
      </c>
    </row>
    <row r="615" spans="1:18" x14ac:dyDescent="0.25">
      <c r="A615" s="18">
        <f t="shared" si="638"/>
        <v>36161</v>
      </c>
      <c r="B615">
        <f>'2-state flows'!B614</f>
        <v>139003</v>
      </c>
      <c r="C615">
        <f>'2-state flows'!C614</f>
        <v>5976</v>
      </c>
      <c r="D615">
        <f>'Composite HWI'!B578*48.35347462</f>
        <v>5138.0402131212004</v>
      </c>
      <c r="E615">
        <f t="shared" si="633"/>
        <v>4.2991877873139427E-2</v>
      </c>
      <c r="F615">
        <f t="shared" si="634"/>
        <v>3.6963520306189081E-2</v>
      </c>
      <c r="G615">
        <f>'2-state flows'!G614</f>
        <v>0.64530091809073775</v>
      </c>
      <c r="H615">
        <f t="shared" si="635"/>
        <v>0.71510056562261604</v>
      </c>
      <c r="I615">
        <f>'2-state flows'!H614</f>
        <v>3.0384994228043916E-2</v>
      </c>
      <c r="J615">
        <f t="shared" si="639"/>
        <v>3.2841582713799056E-2</v>
      </c>
      <c r="K615">
        <v>0.5</v>
      </c>
      <c r="L615">
        <f t="shared" si="641"/>
        <v>0.2208962109501838</v>
      </c>
      <c r="M615">
        <f t="shared" si="636"/>
        <v>2.9637346664142777E-2</v>
      </c>
      <c r="N615">
        <f t="shared" ref="N615:O615" si="706">AVERAGE(G613:G615)</f>
        <v>0.66796356193353423</v>
      </c>
      <c r="O615">
        <f t="shared" si="706"/>
        <v>0.69974195408423234</v>
      </c>
      <c r="P615">
        <f t="shared" si="643"/>
        <v>4.3527774667307818E-2</v>
      </c>
      <c r="Q615">
        <f t="shared" si="644"/>
        <v>3.5833525141521168E-2</v>
      </c>
      <c r="R615">
        <f t="shared" si="645"/>
        <v>2.8687769481699377E-2</v>
      </c>
    </row>
    <row r="616" spans="1:18" x14ac:dyDescent="0.25">
      <c r="A616" s="18">
        <f t="shared" si="638"/>
        <v>36192</v>
      </c>
      <c r="B616">
        <f>'2-state flows'!B615</f>
        <v>138967</v>
      </c>
      <c r="C616">
        <f>'2-state flows'!C615</f>
        <v>6111</v>
      </c>
      <c r="D616">
        <f>'Composite HWI'!B579*48.35347462</f>
        <v>5214.9222377669994</v>
      </c>
      <c r="E616">
        <f t="shared" ref="E616:E679" si="707">C616/B616</f>
        <v>4.397446875877007E-2</v>
      </c>
      <c r="F616">
        <f t="shared" ref="F616:F679" si="708">D616/B616</f>
        <v>3.7526335300949142E-2</v>
      </c>
      <c r="G616">
        <f>'2-state flows'!G615</f>
        <v>0.74045390948124246</v>
      </c>
      <c r="H616">
        <f t="shared" ref="H616:H679" si="709">0.771211801*(F616/E616)^0.5</f>
        <v>0.7124287597934551</v>
      </c>
      <c r="I616">
        <f>'2-state flows'!H615</f>
        <v>3.0517149842357181E-2</v>
      </c>
      <c r="J616">
        <f t="shared" si="639"/>
        <v>4.3399398743840878E-3</v>
      </c>
      <c r="K616">
        <v>0.5</v>
      </c>
      <c r="L616">
        <f t="shared" si="641"/>
        <v>0.22957609069895199</v>
      </c>
      <c r="M616">
        <f t="shared" ref="M616:M679" si="710">F616/EXP(L616)</f>
        <v>2.9828576306639133E-2</v>
      </c>
      <c r="N616">
        <f t="shared" ref="N616:O616" si="711">AVERAGE(G614:G616)</f>
        <v>0.68165827191977613</v>
      </c>
      <c r="O616">
        <f t="shared" si="711"/>
        <v>0.70609819736428736</v>
      </c>
      <c r="P616">
        <f t="shared" si="643"/>
        <v>4.3492198880909778E-2</v>
      </c>
      <c r="Q616">
        <f t="shared" si="644"/>
        <v>3.6465423061705887E-2</v>
      </c>
      <c r="R616">
        <f t="shared" si="645"/>
        <v>2.9784645721515984E-2</v>
      </c>
    </row>
    <row r="617" spans="1:18" x14ac:dyDescent="0.25">
      <c r="A617" s="18">
        <f t="shared" ref="A617:A680" si="712">DATE(YEAR(A616),MONTH(A616)+1,1)</f>
        <v>36220</v>
      </c>
      <c r="B617">
        <f>'2-state flows'!B616</f>
        <v>138730</v>
      </c>
      <c r="C617">
        <f>'2-state flows'!C616</f>
        <v>5783</v>
      </c>
      <c r="D617">
        <f>'Composite HWI'!B580*48.35347462</f>
        <v>5011.8376443630004</v>
      </c>
      <c r="E617">
        <f t="shared" si="707"/>
        <v>4.1685287969437039E-2</v>
      </c>
      <c r="F617">
        <f t="shared" si="708"/>
        <v>3.6126559823852093E-2</v>
      </c>
      <c r="G617">
        <f>'2-state flows'!G616</f>
        <v>0.7331769360994993</v>
      </c>
      <c r="H617">
        <f t="shared" si="709"/>
        <v>0.71795226049808236</v>
      </c>
      <c r="I617">
        <f>'2-state flows'!H616</f>
        <v>3.4273112487432034E-2</v>
      </c>
      <c r="J617">
        <f t="shared" ref="J617:J680" si="713">LN(I617/I616)</f>
        <v>0.1160723387718436</v>
      </c>
      <c r="K617">
        <v>0.5</v>
      </c>
      <c r="L617">
        <f t="shared" si="641"/>
        <v>0.46172076824263919</v>
      </c>
      <c r="M617">
        <f t="shared" si="710"/>
        <v>2.2766896107195341E-2</v>
      </c>
      <c r="N617">
        <f t="shared" ref="N617:O617" si="714">AVERAGE(G615:G617)</f>
        <v>0.70631058789049328</v>
      </c>
      <c r="O617">
        <f t="shared" si="714"/>
        <v>0.71516052863805124</v>
      </c>
      <c r="P617">
        <f t="shared" si="643"/>
        <v>4.2883878200448845E-2</v>
      </c>
      <c r="Q617">
        <f t="shared" si="644"/>
        <v>3.6872138476996774E-2</v>
      </c>
      <c r="R617">
        <f t="shared" si="645"/>
        <v>2.7410939692659082E-2</v>
      </c>
    </row>
    <row r="618" spans="1:18" x14ac:dyDescent="0.25">
      <c r="A618" s="18">
        <f t="shared" si="712"/>
        <v>36251</v>
      </c>
      <c r="B618">
        <f>'2-state flows'!B617</f>
        <v>138959</v>
      </c>
      <c r="C618">
        <f>'2-state flows'!C617</f>
        <v>6004</v>
      </c>
      <c r="D618">
        <f>'Composite HWI'!B581*48.35347462</f>
        <v>4976.5396078904005</v>
      </c>
      <c r="E618">
        <f t="shared" si="707"/>
        <v>4.3206989111896313E-2</v>
      </c>
      <c r="F618">
        <f t="shared" si="708"/>
        <v>3.5813006770992889E-2</v>
      </c>
      <c r="G618">
        <f>'2-state flows'!G617</f>
        <v>0.73351125196165157</v>
      </c>
      <c r="H618">
        <f t="shared" si="709"/>
        <v>0.70212923621124135</v>
      </c>
      <c r="I618">
        <f>'2-state flows'!H617</f>
        <v>3.0886191369784731E-2</v>
      </c>
      <c r="J618">
        <f t="shared" si="713"/>
        <v>-0.10405195148703923</v>
      </c>
      <c r="K618">
        <v>0.5</v>
      </c>
      <c r="L618">
        <f t="shared" ref="L618:L681" si="715">L617+J618/(1-K618)</f>
        <v>0.25361686526856075</v>
      </c>
      <c r="M618">
        <f t="shared" si="710"/>
        <v>2.7790501225663528E-2</v>
      </c>
      <c r="N618">
        <f t="shared" ref="N618:O618" si="716">AVERAGE(G616:G618)</f>
        <v>0.73571403251413114</v>
      </c>
      <c r="O618">
        <f t="shared" si="716"/>
        <v>0.71083675216759301</v>
      </c>
      <c r="P618">
        <f t="shared" ref="P618:P681" si="717">AVERAGE(E616:E618)</f>
        <v>4.2955581946701148E-2</v>
      </c>
      <c r="Q618">
        <f t="shared" ref="Q618:Q681" si="718">AVERAGE(F616:F618)</f>
        <v>3.6488633965264708E-2</v>
      </c>
      <c r="R618">
        <f t="shared" ref="R618:R681" si="719">AVERAGE(M616:M618)</f>
        <v>2.6795324546499331E-2</v>
      </c>
    </row>
    <row r="619" spans="1:18" x14ac:dyDescent="0.25">
      <c r="A619" s="18">
        <f t="shared" si="712"/>
        <v>36281</v>
      </c>
      <c r="B619">
        <f>'2-state flows'!B618</f>
        <v>139107</v>
      </c>
      <c r="C619">
        <f>'2-state flows'!C618</f>
        <v>5796</v>
      </c>
      <c r="D619">
        <f>'Composite HWI'!B582*48.35347462</f>
        <v>5054.8722367748005</v>
      </c>
      <c r="E619">
        <f t="shared" si="707"/>
        <v>4.1665768077810604E-2</v>
      </c>
      <c r="F619">
        <f t="shared" si="708"/>
        <v>3.6338014886201274E-2</v>
      </c>
      <c r="G619">
        <f>'2-state flows'!G618</f>
        <v>0.64971493112484424</v>
      </c>
      <c r="H619">
        <f t="shared" si="709"/>
        <v>0.72021899237544362</v>
      </c>
      <c r="I619">
        <f>'2-state flows'!H618</f>
        <v>2.9850002153013186E-2</v>
      </c>
      <c r="J619">
        <f t="shared" si="713"/>
        <v>-3.4124290819428624E-2</v>
      </c>
      <c r="K619">
        <v>0.5</v>
      </c>
      <c r="L619">
        <f t="shared" si="715"/>
        <v>0.18536828362970351</v>
      </c>
      <c r="M619">
        <f t="shared" si="710"/>
        <v>3.0189559470464176E-2</v>
      </c>
      <c r="N619">
        <f t="shared" ref="N619:O619" si="720">AVERAGE(G617:G619)</f>
        <v>0.70546770639533174</v>
      </c>
      <c r="O619">
        <f t="shared" si="720"/>
        <v>0.71343349636158904</v>
      </c>
      <c r="P619">
        <f t="shared" si="717"/>
        <v>4.2186015053047983E-2</v>
      </c>
      <c r="Q619">
        <f t="shared" si="718"/>
        <v>3.6092527160348754E-2</v>
      </c>
      <c r="R619">
        <f t="shared" si="719"/>
        <v>2.6915652267774346E-2</v>
      </c>
    </row>
    <row r="620" spans="1:18" x14ac:dyDescent="0.25">
      <c r="A620" s="18">
        <f t="shared" si="712"/>
        <v>36312</v>
      </c>
      <c r="B620">
        <f>'2-state flows'!B619</f>
        <v>139329</v>
      </c>
      <c r="C620">
        <f>'2-state flows'!C619</f>
        <v>5951</v>
      </c>
      <c r="D620">
        <f>'Composite HWI'!B583*48.35347462</f>
        <v>4848.8864348936004</v>
      </c>
      <c r="E620">
        <f t="shared" si="707"/>
        <v>4.2711854674906159E-2</v>
      </c>
      <c r="F620">
        <f t="shared" si="708"/>
        <v>3.4801702695731691E-2</v>
      </c>
      <c r="G620">
        <f>'2-state flows'!G619</f>
        <v>0.6986673458256456</v>
      </c>
      <c r="H620">
        <f t="shared" si="709"/>
        <v>0.69614498313391382</v>
      </c>
      <c r="I620">
        <f>'2-state flows'!H619</f>
        <v>3.1954784858280849E-2</v>
      </c>
      <c r="J620">
        <f t="shared" si="713"/>
        <v>6.8137018466719726E-2</v>
      </c>
      <c r="K620">
        <v>0.5</v>
      </c>
      <c r="L620">
        <f t="shared" si="715"/>
        <v>0.32164232056314296</v>
      </c>
      <c r="M620">
        <f t="shared" si="710"/>
        <v>2.5229753514338555E-2</v>
      </c>
      <c r="N620">
        <f t="shared" ref="N620:O620" si="721">AVERAGE(G618:G620)</f>
        <v>0.69396450963738054</v>
      </c>
      <c r="O620">
        <f t="shared" si="721"/>
        <v>0.7061644039068663</v>
      </c>
      <c r="P620">
        <f t="shared" si="717"/>
        <v>4.2528203954871023E-2</v>
      </c>
      <c r="Q620">
        <f t="shared" si="718"/>
        <v>3.5650908117641954E-2</v>
      </c>
      <c r="R620">
        <f t="shared" si="719"/>
        <v>2.7736604736822087E-2</v>
      </c>
    </row>
    <row r="621" spans="1:18" x14ac:dyDescent="0.25">
      <c r="A621" s="18">
        <f t="shared" si="712"/>
        <v>36342</v>
      </c>
      <c r="B621">
        <f>'2-state flows'!B620</f>
        <v>139439</v>
      </c>
      <c r="C621">
        <f>'2-state flows'!C620</f>
        <v>6025</v>
      </c>
      <c r="D621">
        <f>'Composite HWI'!B584*48.35347462</f>
        <v>4927.7025985241999</v>
      </c>
      <c r="E621">
        <f t="shared" si="707"/>
        <v>4.320885835383214E-2</v>
      </c>
      <c r="F621">
        <f t="shared" si="708"/>
        <v>3.5339486072936549E-2</v>
      </c>
      <c r="G621">
        <f>'2-state flows'!G620</f>
        <v>0.73651737056496536</v>
      </c>
      <c r="H621">
        <f t="shared" si="709"/>
        <v>0.69745691638199436</v>
      </c>
      <c r="I621">
        <f>'2-state flows'!H620</f>
        <v>3.1253344165754149E-2</v>
      </c>
      <c r="J621">
        <f t="shared" si="713"/>
        <v>-2.2195546672044989E-2</v>
      </c>
      <c r="K621">
        <v>0.5</v>
      </c>
      <c r="L621">
        <f t="shared" si="715"/>
        <v>0.27725122721905299</v>
      </c>
      <c r="M621">
        <f t="shared" si="710"/>
        <v>2.6782526998124851E-2</v>
      </c>
      <c r="N621">
        <f t="shared" ref="N621:O621" si="722">AVERAGE(G619:G621)</f>
        <v>0.69496654917181833</v>
      </c>
      <c r="O621">
        <f t="shared" si="722"/>
        <v>0.70460696396378386</v>
      </c>
      <c r="P621">
        <f t="shared" si="717"/>
        <v>4.2528827035516303E-2</v>
      </c>
      <c r="Q621">
        <f t="shared" si="718"/>
        <v>3.5493067884956507E-2</v>
      </c>
      <c r="R621">
        <f t="shared" si="719"/>
        <v>2.7400613327642528E-2</v>
      </c>
    </row>
    <row r="622" spans="1:18" x14ac:dyDescent="0.25">
      <c r="A622" s="18">
        <f t="shared" si="712"/>
        <v>36373</v>
      </c>
      <c r="B622">
        <f>'2-state flows'!B621</f>
        <v>139430</v>
      </c>
      <c r="C622">
        <f>'2-state flows'!C621</f>
        <v>5838</v>
      </c>
      <c r="D622">
        <f>'Composite HWI'!B585*48.35347462</f>
        <v>4950.4287315955999</v>
      </c>
      <c r="E622">
        <f t="shared" si="707"/>
        <v>4.1870472638600012E-2</v>
      </c>
      <c r="F622">
        <f t="shared" si="708"/>
        <v>3.5504760321276627E-2</v>
      </c>
      <c r="G622">
        <f>'2-state flows'!G621</f>
        <v>0.70443365545469161</v>
      </c>
      <c r="H622">
        <f t="shared" si="709"/>
        <v>0.71017115312662238</v>
      </c>
      <c r="I622">
        <f>'2-state flows'!H621</f>
        <v>3.159819527502037E-2</v>
      </c>
      <c r="J622">
        <f t="shared" si="713"/>
        <v>1.0973623650923282E-2</v>
      </c>
      <c r="K622">
        <v>0.5</v>
      </c>
      <c r="L622">
        <f t="shared" si="715"/>
        <v>0.29919847452089954</v>
      </c>
      <c r="M622">
        <f t="shared" si="710"/>
        <v>2.6323664000869624E-2</v>
      </c>
      <c r="N622">
        <f t="shared" ref="N622:O622" si="723">AVERAGE(G620:G622)</f>
        <v>0.71320612394843419</v>
      </c>
      <c r="O622">
        <f t="shared" si="723"/>
        <v>0.70125768421417689</v>
      </c>
      <c r="P622">
        <f t="shared" si="717"/>
        <v>4.2597061889112775E-2</v>
      </c>
      <c r="Q622">
        <f t="shared" si="718"/>
        <v>3.5215316363314951E-2</v>
      </c>
      <c r="R622">
        <f t="shared" si="719"/>
        <v>2.6111981504444343E-2</v>
      </c>
    </row>
    <row r="623" spans="1:18" x14ac:dyDescent="0.25">
      <c r="A623" s="18">
        <f t="shared" si="712"/>
        <v>36404</v>
      </c>
      <c r="B623">
        <f>'2-state flows'!B622</f>
        <v>139622</v>
      </c>
      <c r="C623">
        <f>'2-state flows'!C622</f>
        <v>5915</v>
      </c>
      <c r="D623">
        <f>'Composite HWI'!B586*48.35347462</f>
        <v>4799.5658907812003</v>
      </c>
      <c r="E623">
        <f t="shared" si="707"/>
        <v>4.2364383836358169E-2</v>
      </c>
      <c r="F623">
        <f t="shared" si="708"/>
        <v>3.437542715890906E-2</v>
      </c>
      <c r="G623">
        <f>'2-state flows'!G622</f>
        <v>0.73501226610693415</v>
      </c>
      <c r="H623">
        <f t="shared" si="709"/>
        <v>0.69469995560414943</v>
      </c>
      <c r="I623">
        <f>'2-state flows'!H622</f>
        <v>3.1049138071717095E-2</v>
      </c>
      <c r="J623">
        <f t="shared" si="713"/>
        <v>-1.7528958782750865E-2</v>
      </c>
      <c r="K623">
        <v>0.5</v>
      </c>
      <c r="L623">
        <f t="shared" si="715"/>
        <v>0.26414055695539779</v>
      </c>
      <c r="M623">
        <f t="shared" si="710"/>
        <v>2.6395708111318542E-2</v>
      </c>
      <c r="N623">
        <f t="shared" ref="N623:O623" si="724">AVERAGE(G621:G623)</f>
        <v>0.72532109737553041</v>
      </c>
      <c r="O623">
        <f t="shared" si="724"/>
        <v>0.70077600837092202</v>
      </c>
      <c r="P623">
        <f t="shared" si="717"/>
        <v>4.2481238276263433E-2</v>
      </c>
      <c r="Q623">
        <f t="shared" si="718"/>
        <v>3.5073224517707412E-2</v>
      </c>
      <c r="R623">
        <f t="shared" si="719"/>
        <v>2.6500633036771009E-2</v>
      </c>
    </row>
    <row r="624" spans="1:18" x14ac:dyDescent="0.25">
      <c r="A624" s="18">
        <f t="shared" si="712"/>
        <v>36434</v>
      </c>
      <c r="B624">
        <f>'2-state flows'!B623</f>
        <v>139771</v>
      </c>
      <c r="C624">
        <f>'2-state flows'!C623</f>
        <v>5778</v>
      </c>
      <c r="D624">
        <f>'Composite HWI'!B587*48.35347462</f>
        <v>4996.8480672308006</v>
      </c>
      <c r="E624">
        <f t="shared" si="707"/>
        <v>4.1339047441887086E-2</v>
      </c>
      <c r="F624">
        <f t="shared" si="708"/>
        <v>3.5750249101965365E-2</v>
      </c>
      <c r="G624">
        <f>'2-state flows'!G623</f>
        <v>0.74461173808643888</v>
      </c>
      <c r="H624">
        <f t="shared" si="709"/>
        <v>0.7171879268316762</v>
      </c>
      <c r="I624">
        <f>'2-state flows'!H623</f>
        <v>3.144364266862297E-2</v>
      </c>
      <c r="J624">
        <f t="shared" si="713"/>
        <v>1.262577318173283E-2</v>
      </c>
      <c r="K624">
        <v>0.5</v>
      </c>
      <c r="L624">
        <f t="shared" si="715"/>
        <v>0.28939210331886345</v>
      </c>
      <c r="M624">
        <f t="shared" si="710"/>
        <v>2.6766875484938859E-2</v>
      </c>
      <c r="N624">
        <f t="shared" ref="N624:O624" si="725">AVERAGE(G622:G624)</f>
        <v>0.72801921988268825</v>
      </c>
      <c r="O624">
        <f t="shared" si="725"/>
        <v>0.70735301185414945</v>
      </c>
      <c r="P624">
        <f t="shared" si="717"/>
        <v>4.1857967972281751E-2</v>
      </c>
      <c r="Q624">
        <f t="shared" si="718"/>
        <v>3.5210145527383684E-2</v>
      </c>
      <c r="R624">
        <f t="shared" si="719"/>
        <v>2.6495415865709009E-2</v>
      </c>
    </row>
    <row r="625" spans="1:18" x14ac:dyDescent="0.25">
      <c r="A625" s="18">
        <f t="shared" si="712"/>
        <v>36465</v>
      </c>
      <c r="B625">
        <f>'2-state flows'!B624</f>
        <v>140025</v>
      </c>
      <c r="C625">
        <f>'2-state flows'!C624</f>
        <v>5716</v>
      </c>
      <c r="D625">
        <f>'Composite HWI'!B588*48.35347462</f>
        <v>4962.5171002505995</v>
      </c>
      <c r="E625">
        <f t="shared" si="707"/>
        <v>4.0821281913943935E-2</v>
      </c>
      <c r="F625">
        <f t="shared" si="708"/>
        <v>3.5440222104985535E-2</v>
      </c>
      <c r="G625">
        <f>'2-state flows'!G624</f>
        <v>0.79227569762747496</v>
      </c>
      <c r="H625">
        <f t="shared" si="709"/>
        <v>0.71858569033259123</v>
      </c>
      <c r="I625">
        <f>'2-state flows'!H624</f>
        <v>3.3029170113403561E-2</v>
      </c>
      <c r="J625">
        <f t="shared" si="713"/>
        <v>4.9194292038565846E-2</v>
      </c>
      <c r="K625">
        <v>0.5</v>
      </c>
      <c r="L625">
        <f t="shared" si="715"/>
        <v>0.38778068739599514</v>
      </c>
      <c r="M625">
        <f t="shared" si="710"/>
        <v>2.4048357653685709E-2</v>
      </c>
      <c r="N625">
        <f t="shared" ref="N625:O625" si="726">AVERAGE(G623:G625)</f>
        <v>0.75729990060694929</v>
      </c>
      <c r="O625">
        <f t="shared" si="726"/>
        <v>0.71015785758947236</v>
      </c>
      <c r="P625">
        <f t="shared" si="717"/>
        <v>4.150823773072973E-2</v>
      </c>
      <c r="Q625">
        <f t="shared" si="718"/>
        <v>3.5188632788619993E-2</v>
      </c>
      <c r="R625">
        <f t="shared" si="719"/>
        <v>2.5736980416647705E-2</v>
      </c>
    </row>
    <row r="626" spans="1:18" x14ac:dyDescent="0.25">
      <c r="A626" s="18">
        <f t="shared" si="712"/>
        <v>36495</v>
      </c>
      <c r="B626">
        <f>'2-state flows'!B625</f>
        <v>140177</v>
      </c>
      <c r="C626">
        <f>'2-state flows'!C625</f>
        <v>5653</v>
      </c>
      <c r="D626">
        <f>'Composite HWI'!B589*48.35347462</f>
        <v>5045.2015418507999</v>
      </c>
      <c r="E626">
        <f t="shared" si="707"/>
        <v>4.0327585837904932E-2</v>
      </c>
      <c r="F626">
        <f t="shared" si="708"/>
        <v>3.5991650141255695E-2</v>
      </c>
      <c r="G626">
        <f>'2-state flows'!G625</f>
        <v>0.71679629038030401</v>
      </c>
      <c r="H626">
        <f t="shared" si="709"/>
        <v>0.72857360534305327</v>
      </c>
      <c r="I626">
        <f>'2-state flows'!H625</f>
        <v>3.0701904846750009E-2</v>
      </c>
      <c r="J626">
        <f t="shared" si="713"/>
        <v>-7.3066414055783666E-2</v>
      </c>
      <c r="K626">
        <v>0.5</v>
      </c>
      <c r="L626">
        <f t="shared" si="715"/>
        <v>0.24164785928442781</v>
      </c>
      <c r="M626">
        <f t="shared" si="710"/>
        <v>2.8265418936233251E-2</v>
      </c>
      <c r="N626">
        <f t="shared" ref="N626:O626" si="727">AVERAGE(G624:G626)</f>
        <v>0.75122790869807277</v>
      </c>
      <c r="O626">
        <f t="shared" si="727"/>
        <v>0.72144907416910697</v>
      </c>
      <c r="P626">
        <f t="shared" si="717"/>
        <v>4.0829305064578651E-2</v>
      </c>
      <c r="Q626">
        <f t="shared" si="718"/>
        <v>3.5727373782735529E-2</v>
      </c>
      <c r="R626">
        <f t="shared" si="719"/>
        <v>2.6360217358285937E-2</v>
      </c>
    </row>
    <row r="627" spans="1:18" x14ac:dyDescent="0.25">
      <c r="A627" s="18">
        <f t="shared" si="712"/>
        <v>36526</v>
      </c>
      <c r="B627">
        <f>'2-state flows'!B626</f>
        <v>142267</v>
      </c>
      <c r="C627">
        <f>'2-state flows'!C626</f>
        <v>5708</v>
      </c>
      <c r="D627">
        <f>'Composite HWI'!B590*48.35347462</f>
        <v>5306.3103047987997</v>
      </c>
      <c r="E627">
        <f t="shared" si="707"/>
        <v>4.0121742920002527E-2</v>
      </c>
      <c r="F627">
        <f t="shared" si="708"/>
        <v>3.7298251209337371E-2</v>
      </c>
      <c r="G627">
        <f>'2-state flows'!G626</f>
        <v>0.69899465723133603</v>
      </c>
      <c r="H627">
        <f t="shared" si="709"/>
        <v>0.74358052357801396</v>
      </c>
      <c r="I627">
        <f>'2-state flows'!H626</f>
        <v>3.0764665568982837E-2</v>
      </c>
      <c r="J627">
        <f t="shared" si="713"/>
        <v>2.0421098369016715E-3</v>
      </c>
      <c r="K627">
        <v>0.5</v>
      </c>
      <c r="L627">
        <f t="shared" si="715"/>
        <v>0.24573207895823115</v>
      </c>
      <c r="M627">
        <f t="shared" si="710"/>
        <v>2.9172146356357474E-2</v>
      </c>
      <c r="N627">
        <f t="shared" ref="N627:O627" si="728">AVERAGE(G625:G627)</f>
        <v>0.736022215079705</v>
      </c>
      <c r="O627">
        <f t="shared" si="728"/>
        <v>0.73024660641788619</v>
      </c>
      <c r="P627">
        <f t="shared" si="717"/>
        <v>4.0423536890617139E-2</v>
      </c>
      <c r="Q627">
        <f t="shared" si="718"/>
        <v>3.6243374485192867E-2</v>
      </c>
      <c r="R627">
        <f t="shared" si="719"/>
        <v>2.7161974315425479E-2</v>
      </c>
    </row>
    <row r="628" spans="1:18" x14ac:dyDescent="0.25">
      <c r="A628" s="18">
        <f t="shared" si="712"/>
        <v>36557</v>
      </c>
      <c r="B628">
        <f>'2-state flows'!B627</f>
        <v>142456</v>
      </c>
      <c r="C628">
        <f>'2-state flows'!C627</f>
        <v>5858</v>
      </c>
      <c r="D628">
        <f>'Composite HWI'!B591*48.35347462</f>
        <v>5392.3794896223999</v>
      </c>
      <c r="E628">
        <f t="shared" si="707"/>
        <v>4.1121469085191216E-2</v>
      </c>
      <c r="F628">
        <f t="shared" si="708"/>
        <v>3.7852947503947888E-2</v>
      </c>
      <c r="G628">
        <f>'2-state flows'!G627</f>
        <v>0.84824288399772929</v>
      </c>
      <c r="H628">
        <f t="shared" si="709"/>
        <v>0.7399275653397539</v>
      </c>
      <c r="I628">
        <f>'2-state flows'!H627</f>
        <v>3.4998914511877748E-2</v>
      </c>
      <c r="J628">
        <f t="shared" si="713"/>
        <v>0.12895023743150388</v>
      </c>
      <c r="K628">
        <v>0.5</v>
      </c>
      <c r="L628">
        <f t="shared" si="715"/>
        <v>0.50363255382123895</v>
      </c>
      <c r="M628">
        <f t="shared" si="710"/>
        <v>2.2875724809439783E-2</v>
      </c>
      <c r="N628">
        <f t="shared" ref="N628:O628" si="729">AVERAGE(G626:G628)</f>
        <v>0.75467794386978981</v>
      </c>
      <c r="O628">
        <f t="shared" si="729"/>
        <v>0.73736056475360712</v>
      </c>
      <c r="P628">
        <f t="shared" si="717"/>
        <v>4.0523599281032892E-2</v>
      </c>
      <c r="Q628">
        <f t="shared" si="718"/>
        <v>3.7047616284846985E-2</v>
      </c>
      <c r="R628">
        <f t="shared" si="719"/>
        <v>2.6771096700676834E-2</v>
      </c>
    </row>
    <row r="629" spans="1:18" x14ac:dyDescent="0.25">
      <c r="A629" s="18">
        <f t="shared" si="712"/>
        <v>36586</v>
      </c>
      <c r="B629">
        <f>'2-state flows'!B628</f>
        <v>142434</v>
      </c>
      <c r="C629">
        <f>'2-state flows'!C628</f>
        <v>5733</v>
      </c>
      <c r="D629">
        <f>'Composite HWI'!B592*48.35347462</f>
        <v>5300.9914225905995</v>
      </c>
      <c r="E629">
        <f t="shared" si="707"/>
        <v>4.0250221155061293E-2</v>
      </c>
      <c r="F629">
        <f t="shared" si="708"/>
        <v>3.7217177237110516E-2</v>
      </c>
      <c r="G629">
        <f>'2-state flows'!G628</f>
        <v>0.80256654531087346</v>
      </c>
      <c r="H629">
        <f t="shared" si="709"/>
        <v>0.74158552860055671</v>
      </c>
      <c r="I629">
        <f>'2-state flows'!H628</f>
        <v>3.0941023121089491E-2</v>
      </c>
      <c r="J629">
        <f t="shared" si="713"/>
        <v>-0.12323413455541619</v>
      </c>
      <c r="K629">
        <v>0.5</v>
      </c>
      <c r="L629">
        <f t="shared" si="715"/>
        <v>0.25716428471040653</v>
      </c>
      <c r="M629">
        <f t="shared" si="710"/>
        <v>2.8777853731519167E-2</v>
      </c>
      <c r="N629">
        <f t="shared" ref="N629:O629" si="730">AVERAGE(G627:G629)</f>
        <v>0.78326802884664615</v>
      </c>
      <c r="O629">
        <f t="shared" si="730"/>
        <v>0.74169787250610819</v>
      </c>
      <c r="P629">
        <f t="shared" si="717"/>
        <v>4.0497811053418348E-2</v>
      </c>
      <c r="Q629">
        <f t="shared" si="718"/>
        <v>3.7456125316798594E-2</v>
      </c>
      <c r="R629">
        <f t="shared" si="719"/>
        <v>2.6941908299105477E-2</v>
      </c>
    </row>
    <row r="630" spans="1:18" x14ac:dyDescent="0.25">
      <c r="A630" s="18">
        <f t="shared" si="712"/>
        <v>36617</v>
      </c>
      <c r="B630">
        <f>'2-state flows'!B629</f>
        <v>142751</v>
      </c>
      <c r="C630">
        <f>'2-state flows'!C629</f>
        <v>5481</v>
      </c>
      <c r="D630">
        <f>'Composite HWI'!B593*48.35347462</f>
        <v>5329.0364378701997</v>
      </c>
      <c r="E630">
        <f t="shared" si="707"/>
        <v>3.8395527877212766E-2</v>
      </c>
      <c r="F630">
        <f t="shared" si="708"/>
        <v>3.7330991992141557E-2</v>
      </c>
      <c r="G630">
        <f>'2-state flows'!G629</f>
        <v>0.67748503420438588</v>
      </c>
      <c r="H630">
        <f t="shared" si="709"/>
        <v>0.76044552813309241</v>
      </c>
      <c r="I630">
        <f>'2-state flows'!H629</f>
        <v>2.9866089220671917E-2</v>
      </c>
      <c r="J630">
        <f t="shared" si="713"/>
        <v>-3.5359215510125101E-2</v>
      </c>
      <c r="K630">
        <v>0.5</v>
      </c>
      <c r="L630">
        <f t="shared" si="715"/>
        <v>0.18644585369015632</v>
      </c>
      <c r="M630">
        <f t="shared" si="710"/>
        <v>3.0981120798767119E-2</v>
      </c>
      <c r="N630">
        <f t="shared" ref="N630:O630" si="731">AVERAGE(G628:G630)</f>
        <v>0.77609815450432951</v>
      </c>
      <c r="O630">
        <f t="shared" si="731"/>
        <v>0.74731954069113427</v>
      </c>
      <c r="P630">
        <f t="shared" si="717"/>
        <v>3.9922406039155089E-2</v>
      </c>
      <c r="Q630">
        <f t="shared" si="718"/>
        <v>3.7467038911066654E-2</v>
      </c>
      <c r="R630">
        <f t="shared" si="719"/>
        <v>2.7544899779908691E-2</v>
      </c>
    </row>
    <row r="631" spans="1:18" x14ac:dyDescent="0.25">
      <c r="A631" s="18">
        <f t="shared" si="712"/>
        <v>36647</v>
      </c>
      <c r="B631">
        <f>'2-state flows'!B630</f>
        <v>142388</v>
      </c>
      <c r="C631">
        <f>'2-state flows'!C630</f>
        <v>5758</v>
      </c>
      <c r="D631">
        <f>'Composite HWI'!B594*48.35347462</f>
        <v>4996.3645324846002</v>
      </c>
      <c r="E631">
        <f t="shared" si="707"/>
        <v>4.0438801022558084E-2</v>
      </c>
      <c r="F631">
        <f t="shared" si="708"/>
        <v>3.508978658654241E-2</v>
      </c>
      <c r="G631">
        <f>'2-state flows'!G630</f>
        <v>0.77250469984932135</v>
      </c>
      <c r="H631">
        <f t="shared" si="709"/>
        <v>0.71839763607851903</v>
      </c>
      <c r="I631">
        <f>'2-state flows'!H630</f>
        <v>3.141601915555179E-2</v>
      </c>
      <c r="J631">
        <f t="shared" si="713"/>
        <v>5.0594230017667954E-2</v>
      </c>
      <c r="K631">
        <v>0.5</v>
      </c>
      <c r="L631">
        <f t="shared" si="715"/>
        <v>0.2876343137254922</v>
      </c>
      <c r="M631">
        <f t="shared" si="710"/>
        <v>2.6318596852555678E-2</v>
      </c>
      <c r="N631">
        <f t="shared" ref="N631:O631" si="732">AVERAGE(G629:G631)</f>
        <v>0.7508520931215269</v>
      </c>
      <c r="O631">
        <f t="shared" si="732"/>
        <v>0.74014289760405605</v>
      </c>
      <c r="P631">
        <f t="shared" si="717"/>
        <v>3.9694850018277383E-2</v>
      </c>
      <c r="Q631">
        <f t="shared" si="718"/>
        <v>3.6545985271931494E-2</v>
      </c>
      <c r="R631">
        <f t="shared" si="719"/>
        <v>2.8692523794280656E-2</v>
      </c>
    </row>
    <row r="632" spans="1:18" x14ac:dyDescent="0.25">
      <c r="A632" s="18">
        <f t="shared" si="712"/>
        <v>36678</v>
      </c>
      <c r="B632">
        <f>'2-state flows'!B631</f>
        <v>142591</v>
      </c>
      <c r="C632">
        <f>'2-state flows'!C631</f>
        <v>5651</v>
      </c>
      <c r="D632">
        <f>'Composite HWI'!B595*48.35347462</f>
        <v>4902.5587917217999</v>
      </c>
      <c r="E632">
        <f t="shared" si="707"/>
        <v>3.9630832240463987E-2</v>
      </c>
      <c r="F632">
        <f t="shared" si="708"/>
        <v>3.4381965143114222E-2</v>
      </c>
      <c r="G632">
        <f>'2-state flows'!G631</f>
        <v>0.68475215132704648</v>
      </c>
      <c r="H632">
        <f t="shared" si="709"/>
        <v>0.71832737601605978</v>
      </c>
      <c r="I632">
        <f>'2-state flows'!H631</f>
        <v>2.9237987104846788E-2</v>
      </c>
      <c r="J632">
        <f t="shared" si="713"/>
        <v>-7.1849134965799671E-2</v>
      </c>
      <c r="K632">
        <v>0.5</v>
      </c>
      <c r="L632">
        <f t="shared" si="715"/>
        <v>0.14393604379389285</v>
      </c>
      <c r="M632">
        <f t="shared" si="710"/>
        <v>2.9772826467757189E-2</v>
      </c>
      <c r="N632">
        <f t="shared" ref="N632:O632" si="733">AVERAGE(G630:G632)</f>
        <v>0.71158062846025116</v>
      </c>
      <c r="O632">
        <f t="shared" si="733"/>
        <v>0.73239018007589041</v>
      </c>
      <c r="P632">
        <f t="shared" si="717"/>
        <v>3.9488387046744948E-2</v>
      </c>
      <c r="Q632">
        <f t="shared" si="718"/>
        <v>3.5600914573932725E-2</v>
      </c>
      <c r="R632">
        <f t="shared" si="719"/>
        <v>2.9024181373026665E-2</v>
      </c>
    </row>
    <row r="633" spans="1:18" x14ac:dyDescent="0.25">
      <c r="A633" s="18">
        <f t="shared" si="712"/>
        <v>36708</v>
      </c>
      <c r="B633">
        <f>'2-state flows'!B632</f>
        <v>142278</v>
      </c>
      <c r="C633">
        <f>'2-state flows'!C632</f>
        <v>5747</v>
      </c>
      <c r="D633">
        <f>'Composite HWI'!B596*48.35347462</f>
        <v>4990.5621155301997</v>
      </c>
      <c r="E633">
        <f t="shared" si="707"/>
        <v>4.0392752217489704E-2</v>
      </c>
      <c r="F633">
        <f t="shared" si="708"/>
        <v>3.5076133453732831E-2</v>
      </c>
      <c r="G633">
        <f>'2-state flows'!G632</f>
        <v>0.68569286850064592</v>
      </c>
      <c r="H633">
        <f t="shared" si="709"/>
        <v>0.718667161176479</v>
      </c>
      <c r="I633">
        <f>'2-state flows'!H632</f>
        <v>2.9949914498796297E-2</v>
      </c>
      <c r="J633">
        <f t="shared" si="713"/>
        <v>2.4057677710814934E-2</v>
      </c>
      <c r="K633">
        <v>0.5</v>
      </c>
      <c r="L633">
        <f t="shared" si="715"/>
        <v>0.19205139921552272</v>
      </c>
      <c r="M633">
        <f t="shared" si="710"/>
        <v>2.894708596374837E-2</v>
      </c>
      <c r="N633">
        <f t="shared" ref="N633:O633" si="734">AVERAGE(G631:G633)</f>
        <v>0.71431657322567121</v>
      </c>
      <c r="O633">
        <f t="shared" si="734"/>
        <v>0.71846405775701927</v>
      </c>
      <c r="P633">
        <f t="shared" si="717"/>
        <v>4.0154128493503922E-2</v>
      </c>
      <c r="Q633">
        <f t="shared" si="718"/>
        <v>3.4849295061129826E-2</v>
      </c>
      <c r="R633">
        <f t="shared" si="719"/>
        <v>2.8346169761353745E-2</v>
      </c>
    </row>
    <row r="634" spans="1:18" x14ac:dyDescent="0.25">
      <c r="A634" s="18">
        <f t="shared" si="712"/>
        <v>36739</v>
      </c>
      <c r="B634">
        <f>'2-state flows'!B633</f>
        <v>142514</v>
      </c>
      <c r="C634">
        <f>'2-state flows'!C633</f>
        <v>5853</v>
      </c>
      <c r="D634">
        <f>'Composite HWI'!B597*48.35347462</f>
        <v>4712.5296364651995</v>
      </c>
      <c r="E634">
        <f t="shared" si="707"/>
        <v>4.1069649297612865E-2</v>
      </c>
      <c r="F634">
        <f t="shared" si="708"/>
        <v>3.3067134712836628E-2</v>
      </c>
      <c r="G634">
        <f>'2-state flows'!G633</f>
        <v>0.79517593281777532</v>
      </c>
      <c r="H634">
        <f t="shared" si="709"/>
        <v>0.69200853612406688</v>
      </c>
      <c r="I634">
        <f>'2-state flows'!H633</f>
        <v>3.1604259058737844E-2</v>
      </c>
      <c r="J634">
        <f t="shared" si="713"/>
        <v>5.3765422091354591E-2</v>
      </c>
      <c r="K634">
        <v>0.5</v>
      </c>
      <c r="L634">
        <f t="shared" si="715"/>
        <v>0.29958224339823192</v>
      </c>
      <c r="M634">
        <f t="shared" si="710"/>
        <v>2.4506971712040665E-2</v>
      </c>
      <c r="N634">
        <f t="shared" ref="N634:O634" si="735">AVERAGE(G632:G634)</f>
        <v>0.72187365088182265</v>
      </c>
      <c r="O634">
        <f t="shared" si="735"/>
        <v>0.70966769110553518</v>
      </c>
      <c r="P634">
        <f t="shared" si="717"/>
        <v>4.0364411251855518E-2</v>
      </c>
      <c r="Q634">
        <f t="shared" si="718"/>
        <v>3.4175077769894563E-2</v>
      </c>
      <c r="R634">
        <f t="shared" si="719"/>
        <v>2.7742294714515409E-2</v>
      </c>
    </row>
    <row r="635" spans="1:18" x14ac:dyDescent="0.25">
      <c r="A635" s="18">
        <f t="shared" si="712"/>
        <v>36770</v>
      </c>
      <c r="B635">
        <f>'2-state flows'!B634</f>
        <v>142518</v>
      </c>
      <c r="C635">
        <f>'2-state flows'!C634</f>
        <v>5625</v>
      </c>
      <c r="D635">
        <f>'Composite HWI'!B598*48.35347462</f>
        <v>4862.4254077872001</v>
      </c>
      <c r="E635">
        <f t="shared" si="707"/>
        <v>3.9468698690691702E-2</v>
      </c>
      <c r="F635">
        <f t="shared" si="708"/>
        <v>3.4117973924607421E-2</v>
      </c>
      <c r="G635">
        <f>'2-state flows'!G634</f>
        <v>0.75739703225543809</v>
      </c>
      <c r="H635">
        <f t="shared" si="709"/>
        <v>0.71703256323992182</v>
      </c>
      <c r="I635">
        <f>'2-state flows'!H634</f>
        <v>3.0161284876841468E-2</v>
      </c>
      <c r="J635">
        <f t="shared" si="713"/>
        <v>-4.6732747601012509E-2</v>
      </c>
      <c r="K635">
        <v>0.5</v>
      </c>
      <c r="L635">
        <f t="shared" si="715"/>
        <v>0.2061167481962069</v>
      </c>
      <c r="M635">
        <f t="shared" si="710"/>
        <v>2.7763094195220502E-2</v>
      </c>
      <c r="N635">
        <f t="shared" ref="N635:O635" si="736">AVERAGE(G633:G635)</f>
        <v>0.74608861119128644</v>
      </c>
      <c r="O635">
        <f t="shared" si="736"/>
        <v>0.70923608684682249</v>
      </c>
      <c r="P635">
        <f t="shared" si="717"/>
        <v>4.0310366735264752E-2</v>
      </c>
      <c r="Q635">
        <f t="shared" si="718"/>
        <v>3.4087080697058958E-2</v>
      </c>
      <c r="R635">
        <f t="shared" si="719"/>
        <v>2.7072383957003177E-2</v>
      </c>
    </row>
    <row r="636" spans="1:18" x14ac:dyDescent="0.25">
      <c r="A636" s="18">
        <f t="shared" si="712"/>
        <v>36800</v>
      </c>
      <c r="B636">
        <f>'2-state flows'!B635</f>
        <v>142622</v>
      </c>
      <c r="C636">
        <f>'2-state flows'!C635</f>
        <v>5534</v>
      </c>
      <c r="D636">
        <f>'Composite HWI'!B599*48.35347462</f>
        <v>4829.0615102994007</v>
      </c>
      <c r="E636">
        <f t="shared" si="707"/>
        <v>3.8801867874521459E-2</v>
      </c>
      <c r="F636">
        <f t="shared" si="708"/>
        <v>3.385916275398887E-2</v>
      </c>
      <c r="G636">
        <f>'2-state flows'!G635</f>
        <v>0.70841309588229306</v>
      </c>
      <c r="H636">
        <f t="shared" si="709"/>
        <v>0.72041949686052387</v>
      </c>
      <c r="I636">
        <f>'2-state flows'!H635</f>
        <v>2.9680439562364571E-2</v>
      </c>
      <c r="J636">
        <f t="shared" si="713"/>
        <v>-1.607091600737855E-2</v>
      </c>
      <c r="K636">
        <v>0.5</v>
      </c>
      <c r="L636">
        <f t="shared" si="715"/>
        <v>0.17397491618144981</v>
      </c>
      <c r="M636">
        <f t="shared" si="710"/>
        <v>2.8452463106959602E-2</v>
      </c>
      <c r="N636">
        <f t="shared" ref="N636:O636" si="737">AVERAGE(G634:G636)</f>
        <v>0.75366202031850216</v>
      </c>
      <c r="O636">
        <f t="shared" si="737"/>
        <v>0.70982019874150426</v>
      </c>
      <c r="P636">
        <f t="shared" si="717"/>
        <v>3.9780071954275339E-2</v>
      </c>
      <c r="Q636">
        <f t="shared" si="718"/>
        <v>3.3681423797144304E-2</v>
      </c>
      <c r="R636">
        <f t="shared" si="719"/>
        <v>2.6907509671406923E-2</v>
      </c>
    </row>
    <row r="637" spans="1:18" x14ac:dyDescent="0.25">
      <c r="A637" s="18">
        <f t="shared" si="712"/>
        <v>36831</v>
      </c>
      <c r="B637">
        <f>'2-state flows'!B636</f>
        <v>142962</v>
      </c>
      <c r="C637">
        <f>'2-state flows'!C636</f>
        <v>5639</v>
      </c>
      <c r="D637">
        <f>'Composite HWI'!B600*48.35347462</f>
        <v>4670.9456482919995</v>
      </c>
      <c r="E637">
        <f t="shared" si="707"/>
        <v>3.9444048068717562E-2</v>
      </c>
      <c r="F637">
        <f t="shared" si="708"/>
        <v>3.2672637821882733E-2</v>
      </c>
      <c r="G637">
        <f>'2-state flows'!G636</f>
        <v>0.71422971863017459</v>
      </c>
      <c r="H637">
        <f t="shared" si="709"/>
        <v>0.70189965037540858</v>
      </c>
      <c r="I637">
        <f>'2-state flows'!H636</f>
        <v>2.9277356130090894E-2</v>
      </c>
      <c r="J637">
        <f t="shared" si="713"/>
        <v>-1.3673839329507482E-2</v>
      </c>
      <c r="K637">
        <v>0.5</v>
      </c>
      <c r="L637">
        <f t="shared" si="715"/>
        <v>0.14662723752243484</v>
      </c>
      <c r="M637">
        <f t="shared" si="710"/>
        <v>2.8216607590358322E-2</v>
      </c>
      <c r="N637">
        <f t="shared" ref="N637:O637" si="738">AVERAGE(G635:G637)</f>
        <v>0.72667994892263532</v>
      </c>
      <c r="O637">
        <f t="shared" si="738"/>
        <v>0.71311723682528472</v>
      </c>
      <c r="P637">
        <f t="shared" si="717"/>
        <v>3.9238204877976912E-2</v>
      </c>
      <c r="Q637">
        <f t="shared" si="718"/>
        <v>3.3549924833493006E-2</v>
      </c>
      <c r="R637">
        <f t="shared" si="719"/>
        <v>2.8144054964179474E-2</v>
      </c>
    </row>
    <row r="638" spans="1:18" x14ac:dyDescent="0.25">
      <c r="A638" s="18">
        <f t="shared" si="712"/>
        <v>36861</v>
      </c>
      <c r="B638">
        <f>'2-state flows'!B637</f>
        <v>143248</v>
      </c>
      <c r="C638">
        <f>'2-state flows'!C637</f>
        <v>5634</v>
      </c>
      <c r="D638">
        <f>'Composite HWI'!B601*48.35347462</f>
        <v>4887.0856798433997</v>
      </c>
      <c r="E638">
        <f t="shared" si="707"/>
        <v>3.9330392047358428E-2</v>
      </c>
      <c r="F638">
        <f t="shared" si="708"/>
        <v>3.4116257677897069E-2</v>
      </c>
      <c r="G638">
        <f>'2-state flows'!G637</f>
        <v>0.64656714155464468</v>
      </c>
      <c r="H638">
        <f t="shared" si="709"/>
        <v>0.71827412490329967</v>
      </c>
      <c r="I638">
        <f>'2-state flows'!H637</f>
        <v>3.0361475102809485E-2</v>
      </c>
      <c r="J638">
        <f t="shared" si="713"/>
        <v>3.6360149483458337E-2</v>
      </c>
      <c r="K638">
        <v>0.5</v>
      </c>
      <c r="L638">
        <f t="shared" si="715"/>
        <v>0.21934753648935151</v>
      </c>
      <c r="M638">
        <f t="shared" si="710"/>
        <v>2.7396807689709229E-2</v>
      </c>
      <c r="N638">
        <f t="shared" ref="N638:O638" si="739">AVERAGE(G636:G638)</f>
        <v>0.68973665202237078</v>
      </c>
      <c r="O638">
        <f t="shared" si="739"/>
        <v>0.7135310907130773</v>
      </c>
      <c r="P638">
        <f t="shared" si="717"/>
        <v>3.9192102663532478E-2</v>
      </c>
      <c r="Q638">
        <f t="shared" si="718"/>
        <v>3.3549352751256221E-2</v>
      </c>
      <c r="R638">
        <f t="shared" si="719"/>
        <v>2.8021959462342386E-2</v>
      </c>
    </row>
    <row r="639" spans="1:18" x14ac:dyDescent="0.25">
      <c r="A639" s="18">
        <f t="shared" si="712"/>
        <v>36892</v>
      </c>
      <c r="B639">
        <f>'2-state flows'!B638</f>
        <v>143800</v>
      </c>
      <c r="C639">
        <f>'2-state flows'!C638</f>
        <v>6023</v>
      </c>
      <c r="D639">
        <f>'Composite HWI'!B602*48.35347462</f>
        <v>4854.2053171017997</v>
      </c>
      <c r="E639">
        <f t="shared" si="707"/>
        <v>4.1884561891515994E-2</v>
      </c>
      <c r="F639">
        <f t="shared" si="708"/>
        <v>3.3756643373447845E-2</v>
      </c>
      <c r="G639">
        <f>'2-state flows'!G638</f>
        <v>0.77247289479512171</v>
      </c>
      <c r="H639">
        <f t="shared" si="709"/>
        <v>0.69235097112406285</v>
      </c>
      <c r="I639">
        <f>'2-state flows'!H638</f>
        <v>3.4467119542790088E-2</v>
      </c>
      <c r="J639">
        <f t="shared" si="713"/>
        <v>0.12683127446308279</v>
      </c>
      <c r="K639">
        <v>0.5</v>
      </c>
      <c r="L639">
        <f t="shared" si="715"/>
        <v>0.47301008541551709</v>
      </c>
      <c r="M639">
        <f t="shared" si="710"/>
        <v>2.1034567444592693E-2</v>
      </c>
      <c r="N639">
        <f t="shared" ref="N639:O639" si="740">AVERAGE(G637:G639)</f>
        <v>0.71108991832664703</v>
      </c>
      <c r="O639">
        <f t="shared" si="740"/>
        <v>0.70417491546759037</v>
      </c>
      <c r="P639">
        <f t="shared" si="717"/>
        <v>4.021966733586399E-2</v>
      </c>
      <c r="Q639">
        <f t="shared" si="718"/>
        <v>3.3515179624409218E-2</v>
      </c>
      <c r="R639">
        <f t="shared" si="719"/>
        <v>2.5549327574886749E-2</v>
      </c>
    </row>
    <row r="640" spans="1:18" x14ac:dyDescent="0.25">
      <c r="A640" s="18">
        <f t="shared" si="712"/>
        <v>36923</v>
      </c>
      <c r="B640">
        <f>'2-state flows'!B639</f>
        <v>143701</v>
      </c>
      <c r="C640">
        <f>'2-state flows'!C639</f>
        <v>6089</v>
      </c>
      <c r="D640">
        <f>'Composite HWI'!B603*48.35347462</f>
        <v>4567.4692126051996</v>
      </c>
      <c r="E640">
        <f t="shared" si="707"/>
        <v>4.2372704434903027E-2</v>
      </c>
      <c r="F640">
        <f t="shared" si="708"/>
        <v>3.1784533250326714E-2</v>
      </c>
      <c r="G640">
        <f>'2-state flows'!G639</f>
        <v>0.69757806967315195</v>
      </c>
      <c r="H640">
        <f t="shared" si="709"/>
        <v>0.66794160185919971</v>
      </c>
      <c r="I640">
        <f>'2-state flows'!H639</f>
        <v>3.1398343710226144E-2</v>
      </c>
      <c r="J640">
        <f t="shared" si="713"/>
        <v>-9.3250669418251581E-2</v>
      </c>
      <c r="K640">
        <v>0.5</v>
      </c>
      <c r="L640">
        <f t="shared" si="715"/>
        <v>0.28650874657901393</v>
      </c>
      <c r="M640">
        <f t="shared" si="710"/>
        <v>2.3866386564663337E-2</v>
      </c>
      <c r="N640">
        <f t="shared" ref="N640:O640" si="741">AVERAGE(G638:G640)</f>
        <v>0.70553936867430611</v>
      </c>
      <c r="O640">
        <f t="shared" si="741"/>
        <v>0.69285556596218745</v>
      </c>
      <c r="P640">
        <f t="shared" si="717"/>
        <v>4.1195886124592483E-2</v>
      </c>
      <c r="Q640">
        <f t="shared" si="718"/>
        <v>3.3219144767223874E-2</v>
      </c>
      <c r="R640">
        <f t="shared" si="719"/>
        <v>2.4099253899655088E-2</v>
      </c>
    </row>
    <row r="641" spans="1:18" x14ac:dyDescent="0.25">
      <c r="A641" s="18">
        <f t="shared" si="712"/>
        <v>36951</v>
      </c>
      <c r="B641">
        <f>'2-state flows'!B640</f>
        <v>143924</v>
      </c>
      <c r="C641">
        <f>'2-state flows'!C640</f>
        <v>6141</v>
      </c>
      <c r="D641">
        <f>'Composite HWI'!B604*48.35347462</f>
        <v>4277.3483648851998</v>
      </c>
      <c r="E641">
        <f t="shared" si="707"/>
        <v>4.2668352741724799E-2</v>
      </c>
      <c r="F641">
        <f t="shared" si="708"/>
        <v>2.9719493377652093E-2</v>
      </c>
      <c r="G641">
        <f>'2-state flows'!G640</f>
        <v>0.77701742864871404</v>
      </c>
      <c r="H641">
        <f t="shared" si="709"/>
        <v>0.64363763294318055</v>
      </c>
      <c r="I641">
        <f>'2-state flows'!H640</f>
        <v>3.6010205464450253E-2</v>
      </c>
      <c r="J641">
        <f t="shared" si="713"/>
        <v>0.13704723996440407</v>
      </c>
      <c r="K641">
        <v>0.5</v>
      </c>
      <c r="L641">
        <f t="shared" si="715"/>
        <v>0.56060322650782202</v>
      </c>
      <c r="M641">
        <f t="shared" si="710"/>
        <v>1.6965806678596127E-2</v>
      </c>
      <c r="N641">
        <f t="shared" ref="N641:O641" si="742">AVERAGE(G639:G641)</f>
        <v>0.7490227977056626</v>
      </c>
      <c r="O641">
        <f t="shared" si="742"/>
        <v>0.6679767353088143</v>
      </c>
      <c r="P641">
        <f t="shared" si="717"/>
        <v>4.2308539689381273E-2</v>
      </c>
      <c r="Q641">
        <f t="shared" si="718"/>
        <v>3.1753556667142219E-2</v>
      </c>
      <c r="R641">
        <f t="shared" si="719"/>
        <v>2.0622253562617387E-2</v>
      </c>
    </row>
    <row r="642" spans="1:18" x14ac:dyDescent="0.25">
      <c r="A642" s="18">
        <f t="shared" si="712"/>
        <v>36982</v>
      </c>
      <c r="B642">
        <f>'2-state flows'!B641</f>
        <v>143569</v>
      </c>
      <c r="C642">
        <f>'2-state flows'!C641</f>
        <v>6271</v>
      </c>
      <c r="D642">
        <f>'Composite HWI'!B605*48.35347462</f>
        <v>4176.2896029294006</v>
      </c>
      <c r="E642">
        <f t="shared" si="707"/>
        <v>4.3679345819780037E-2</v>
      </c>
      <c r="F642">
        <f t="shared" si="708"/>
        <v>2.9089076353038614E-2</v>
      </c>
      <c r="G642">
        <f>'2-state flows'!G641</f>
        <v>0.70684606890823243</v>
      </c>
      <c r="H642">
        <f t="shared" si="709"/>
        <v>0.62936207580421755</v>
      </c>
      <c r="I642">
        <f>'2-state flows'!H641</f>
        <v>3.1821176883616305E-2</v>
      </c>
      <c r="J642">
        <f t="shared" si="713"/>
        <v>-0.12367037552239252</v>
      </c>
      <c r="K642">
        <v>0.5</v>
      </c>
      <c r="L642">
        <f t="shared" si="715"/>
        <v>0.31326247546303698</v>
      </c>
      <c r="M642">
        <f t="shared" si="710"/>
        <v>2.1265802056027044E-2</v>
      </c>
      <c r="N642">
        <f t="shared" ref="N642:O642" si="743">AVERAGE(G640:G642)</f>
        <v>0.72714718907669951</v>
      </c>
      <c r="O642">
        <f t="shared" si="743"/>
        <v>0.64698043686886597</v>
      </c>
      <c r="P642">
        <f t="shared" si="717"/>
        <v>4.2906800998802619E-2</v>
      </c>
      <c r="Q642">
        <f t="shared" si="718"/>
        <v>3.0197700993672475E-2</v>
      </c>
      <c r="R642">
        <f t="shared" si="719"/>
        <v>2.0699331766428835E-2</v>
      </c>
    </row>
    <row r="643" spans="1:18" x14ac:dyDescent="0.25">
      <c r="A643" s="18">
        <f t="shared" si="712"/>
        <v>37012</v>
      </c>
      <c r="B643">
        <f>'2-state flows'!B642</f>
        <v>143318</v>
      </c>
      <c r="C643">
        <f>'2-state flows'!C642</f>
        <v>6226</v>
      </c>
      <c r="D643">
        <f>'Composite HWI'!B606*48.35347462</f>
        <v>3880.3663382549998</v>
      </c>
      <c r="E643">
        <f t="shared" si="707"/>
        <v>4.3441856570702909E-2</v>
      </c>
      <c r="F643">
        <f t="shared" si="708"/>
        <v>2.7075219709003753E-2</v>
      </c>
      <c r="G643">
        <f>'2-state flows'!G642</f>
        <v>0.65726793061002164</v>
      </c>
      <c r="H643">
        <f t="shared" si="709"/>
        <v>0.60884321773505179</v>
      </c>
      <c r="I643">
        <f>'2-state flows'!H642</f>
        <v>3.2454644202866784E-2</v>
      </c>
      <c r="J643">
        <f t="shared" si="713"/>
        <v>1.9711543758982552E-2</v>
      </c>
      <c r="K643">
        <v>0.5</v>
      </c>
      <c r="L643">
        <f t="shared" si="715"/>
        <v>0.35268556298100207</v>
      </c>
      <c r="M643">
        <f t="shared" si="710"/>
        <v>1.9028414170474905E-2</v>
      </c>
      <c r="N643">
        <f t="shared" ref="N643:O643" si="744">AVERAGE(G641:G643)</f>
        <v>0.71371047605565607</v>
      </c>
      <c r="O643">
        <f t="shared" si="744"/>
        <v>0.62728097549414996</v>
      </c>
      <c r="P643">
        <f t="shared" si="717"/>
        <v>4.3263185044069251E-2</v>
      </c>
      <c r="Q643">
        <f t="shared" si="718"/>
        <v>2.8627929813231489E-2</v>
      </c>
      <c r="R643">
        <f t="shared" si="719"/>
        <v>1.9086674301699358E-2</v>
      </c>
    </row>
    <row r="644" spans="1:18" x14ac:dyDescent="0.25">
      <c r="A644" s="18">
        <f t="shared" si="712"/>
        <v>37043</v>
      </c>
      <c r="B644">
        <f>'2-state flows'!B643</f>
        <v>143357</v>
      </c>
      <c r="C644">
        <f>'2-state flows'!C643</f>
        <v>6484</v>
      </c>
      <c r="D644">
        <f>'Composite HWI'!B607*48.35347462</f>
        <v>3711.1291770849998</v>
      </c>
      <c r="E644">
        <f t="shared" si="707"/>
        <v>4.5229741135765958E-2</v>
      </c>
      <c r="F644">
        <f t="shared" si="708"/>
        <v>2.5887324491200289E-2</v>
      </c>
      <c r="G644">
        <f>'2-state flows'!G643</f>
        <v>0.61136537004871239</v>
      </c>
      <c r="H644">
        <f t="shared" si="709"/>
        <v>0.58345208903052248</v>
      </c>
      <c r="I644">
        <f>'2-state flows'!H643</f>
        <v>2.9941681286933412E-2</v>
      </c>
      <c r="J644">
        <f t="shared" si="713"/>
        <v>-8.0592019018968342E-2</v>
      </c>
      <c r="K644">
        <v>0.5</v>
      </c>
      <c r="L644">
        <f t="shared" si="715"/>
        <v>0.19150152494306538</v>
      </c>
      <c r="M644">
        <f t="shared" si="710"/>
        <v>2.1375639277226036E-2</v>
      </c>
      <c r="N644">
        <f t="shared" ref="N644:O644" si="745">AVERAGE(G642:G644)</f>
        <v>0.65849312318898878</v>
      </c>
      <c r="O644">
        <f t="shared" si="745"/>
        <v>0.60721912752326401</v>
      </c>
      <c r="P644">
        <f t="shared" si="717"/>
        <v>4.4116981175416299E-2</v>
      </c>
      <c r="Q644">
        <f t="shared" si="718"/>
        <v>2.7350540184414216E-2</v>
      </c>
      <c r="R644">
        <f t="shared" si="719"/>
        <v>2.0556618501242661E-2</v>
      </c>
    </row>
    <row r="645" spans="1:18" x14ac:dyDescent="0.25">
      <c r="A645" s="18">
        <f t="shared" si="712"/>
        <v>37073</v>
      </c>
      <c r="B645">
        <f>'2-state flows'!B644</f>
        <v>143654</v>
      </c>
      <c r="C645">
        <f>'2-state flows'!C644</f>
        <v>6583</v>
      </c>
      <c r="D645">
        <f>'Composite HWI'!B608*48.35347462</f>
        <v>3802.0337093705998</v>
      </c>
      <c r="E645">
        <f t="shared" si="707"/>
        <v>4.5825385996909239E-2</v>
      </c>
      <c r="F645">
        <f t="shared" si="708"/>
        <v>2.6466605241556796E-2</v>
      </c>
      <c r="G645">
        <f>'2-state flows'!G644</f>
        <v>0.60315680300234831</v>
      </c>
      <c r="H645">
        <f t="shared" si="709"/>
        <v>0.58609729967021817</v>
      </c>
      <c r="I645">
        <f>'2-state flows'!H644</f>
        <v>3.3494266380111777E-2</v>
      </c>
      <c r="J645">
        <f t="shared" si="713"/>
        <v>0.11212273872718459</v>
      </c>
      <c r="K645">
        <v>0.5</v>
      </c>
      <c r="L645">
        <f t="shared" si="715"/>
        <v>0.41574700239743456</v>
      </c>
      <c r="M645">
        <f t="shared" si="710"/>
        <v>1.7463915074332804E-2</v>
      </c>
      <c r="N645">
        <f t="shared" ref="N645:O645" si="746">AVERAGE(G643:G645)</f>
        <v>0.62393003455369411</v>
      </c>
      <c r="O645">
        <f t="shared" si="746"/>
        <v>0.59279753547859748</v>
      </c>
      <c r="P645">
        <f t="shared" si="717"/>
        <v>4.483232790112604E-2</v>
      </c>
      <c r="Q645">
        <f t="shared" si="718"/>
        <v>2.6476383147253615E-2</v>
      </c>
      <c r="R645">
        <f t="shared" si="719"/>
        <v>1.9289322840677914E-2</v>
      </c>
    </row>
    <row r="646" spans="1:18" x14ac:dyDescent="0.25">
      <c r="A646" s="18">
        <f t="shared" si="712"/>
        <v>37104</v>
      </c>
      <c r="B646">
        <f>'2-state flows'!B645</f>
        <v>143284</v>
      </c>
      <c r="C646">
        <f>'2-state flows'!C645</f>
        <v>7042</v>
      </c>
      <c r="D646">
        <f>'Composite HWI'!B609*48.35347462</f>
        <v>3498.3738887569998</v>
      </c>
      <c r="E646">
        <f t="shared" si="707"/>
        <v>4.9147148320817395E-2</v>
      </c>
      <c r="F646">
        <f t="shared" si="708"/>
        <v>2.4415663219598836E-2</v>
      </c>
      <c r="G646">
        <f>'2-state flows'!G645</f>
        <v>0.60353859229088114</v>
      </c>
      <c r="H646">
        <f t="shared" si="709"/>
        <v>0.54357411510358833</v>
      </c>
      <c r="I646">
        <f>'2-state flows'!H645</f>
        <v>3.2187214531370613E-2</v>
      </c>
      <c r="J646">
        <f t="shared" si="713"/>
        <v>-3.9804961893884938E-2</v>
      </c>
      <c r="K646">
        <v>0.5</v>
      </c>
      <c r="L646">
        <f t="shared" si="715"/>
        <v>0.33613707860966469</v>
      </c>
      <c r="M646">
        <f t="shared" si="710"/>
        <v>1.7445605497288564E-2</v>
      </c>
      <c r="N646">
        <f t="shared" ref="N646:O646" si="747">AVERAGE(G644:G646)</f>
        <v>0.60602025511398061</v>
      </c>
      <c r="O646">
        <f t="shared" si="747"/>
        <v>0.57104116793477633</v>
      </c>
      <c r="P646">
        <f t="shared" si="717"/>
        <v>4.6734091817830864E-2</v>
      </c>
      <c r="Q646">
        <f t="shared" si="718"/>
        <v>2.5589864317451971E-2</v>
      </c>
      <c r="R646">
        <f t="shared" si="719"/>
        <v>1.8761719949615799E-2</v>
      </c>
    </row>
    <row r="647" spans="1:18" x14ac:dyDescent="0.25">
      <c r="A647" s="18">
        <f t="shared" si="712"/>
        <v>37135</v>
      </c>
      <c r="B647">
        <f>'2-state flows'!B646</f>
        <v>143989</v>
      </c>
      <c r="C647">
        <f>'2-state flows'!C646</f>
        <v>7142</v>
      </c>
      <c r="D647">
        <f>'Composite HWI'!B610*48.35347462</f>
        <v>3523.0341608131998</v>
      </c>
      <c r="E647">
        <f t="shared" si="707"/>
        <v>4.9601011188354666E-2</v>
      </c>
      <c r="F647">
        <f t="shared" si="708"/>
        <v>2.4467384041928202E-2</v>
      </c>
      <c r="G647">
        <f>'2-state flows'!G646</f>
        <v>0.55861237105610628</v>
      </c>
      <c r="H647">
        <f t="shared" si="709"/>
        <v>0.54165426943231598</v>
      </c>
      <c r="I647">
        <f>'2-state flows'!H646</f>
        <v>3.4501281640412891E-2</v>
      </c>
      <c r="J647">
        <f t="shared" si="713"/>
        <v>6.9427162888448093E-2</v>
      </c>
      <c r="K647">
        <v>0.5</v>
      </c>
      <c r="L647">
        <f t="shared" si="715"/>
        <v>0.47499140438656084</v>
      </c>
      <c r="M647">
        <f t="shared" si="710"/>
        <v>1.5216031297026845E-2</v>
      </c>
      <c r="N647">
        <f t="shared" ref="N647:O647" si="748">AVERAGE(G645:G647)</f>
        <v>0.58843592211644535</v>
      </c>
      <c r="O647">
        <f t="shared" si="748"/>
        <v>0.55710856140204079</v>
      </c>
      <c r="P647">
        <f t="shared" si="717"/>
        <v>4.819118183536044E-2</v>
      </c>
      <c r="Q647">
        <f t="shared" si="718"/>
        <v>2.5116550834361279E-2</v>
      </c>
      <c r="R647">
        <f t="shared" si="719"/>
        <v>1.6708517289549404E-2</v>
      </c>
    </row>
    <row r="648" spans="1:18" x14ac:dyDescent="0.25">
      <c r="A648" s="18">
        <f t="shared" si="712"/>
        <v>37165</v>
      </c>
      <c r="B648">
        <f>'2-state flows'!B647</f>
        <v>144086</v>
      </c>
      <c r="C648">
        <f>'2-state flows'!C647</f>
        <v>7694</v>
      </c>
      <c r="D648">
        <f>'Composite HWI'!B611*48.35347462</f>
        <v>3079.6327985478001</v>
      </c>
      <c r="E648">
        <f t="shared" si="707"/>
        <v>5.3398664686367864E-2</v>
      </c>
      <c r="F648">
        <f t="shared" si="708"/>
        <v>2.1373574105380121E-2</v>
      </c>
      <c r="G648">
        <f>'2-state flows'!G647</f>
        <v>0.55461790049531257</v>
      </c>
      <c r="H648">
        <f t="shared" si="709"/>
        <v>0.48791822859318257</v>
      </c>
      <c r="I648">
        <f>'2-state flows'!H647</f>
        <v>3.4284228969413133E-2</v>
      </c>
      <c r="J648">
        <f t="shared" si="713"/>
        <v>-6.3110207219675835E-3</v>
      </c>
      <c r="K648">
        <v>0.5</v>
      </c>
      <c r="L648">
        <f t="shared" si="715"/>
        <v>0.46236936294262565</v>
      </c>
      <c r="M648">
        <f t="shared" si="710"/>
        <v>1.3460856310957638E-2</v>
      </c>
      <c r="N648">
        <f t="shared" ref="N648:O648" si="749">AVERAGE(G646:G648)</f>
        <v>0.57225628794743333</v>
      </c>
      <c r="O648">
        <f t="shared" si="749"/>
        <v>0.52438220437636229</v>
      </c>
      <c r="P648">
        <f t="shared" si="717"/>
        <v>5.0715608065179975E-2</v>
      </c>
      <c r="Q648">
        <f t="shared" si="718"/>
        <v>2.3418873788969053E-2</v>
      </c>
      <c r="R648">
        <f t="shared" si="719"/>
        <v>1.5374164368424351E-2</v>
      </c>
    </row>
    <row r="649" spans="1:18" x14ac:dyDescent="0.25">
      <c r="A649" s="18">
        <f t="shared" si="712"/>
        <v>37196</v>
      </c>
      <c r="B649">
        <f>'2-state flows'!B648</f>
        <v>144240</v>
      </c>
      <c r="C649">
        <f>'2-state flows'!C648</f>
        <v>8003</v>
      </c>
      <c r="D649">
        <f>'Composite HWI'!B612*48.35347462</f>
        <v>3034.6640671512</v>
      </c>
      <c r="E649">
        <f t="shared" si="707"/>
        <v>5.5483915696062119E-2</v>
      </c>
      <c r="F649">
        <f t="shared" si="708"/>
        <v>2.1038991036821962E-2</v>
      </c>
      <c r="G649">
        <f>'2-state flows'!G648</f>
        <v>0.52481784943024901</v>
      </c>
      <c r="H649">
        <f t="shared" si="709"/>
        <v>0.47490043696174061</v>
      </c>
      <c r="I649">
        <f>'2-state flows'!H648</f>
        <v>3.3271858559273407E-2</v>
      </c>
      <c r="J649">
        <f t="shared" si="713"/>
        <v>-2.9973500234958074E-2</v>
      </c>
      <c r="K649">
        <v>0.5</v>
      </c>
      <c r="L649">
        <f t="shared" si="715"/>
        <v>0.40242236247270952</v>
      </c>
      <c r="M649">
        <f t="shared" si="710"/>
        <v>1.4068736550990049E-2</v>
      </c>
      <c r="N649">
        <f t="shared" ref="N649:O649" si="750">AVERAGE(G647:G649)</f>
        <v>0.54601604032722262</v>
      </c>
      <c r="O649">
        <f t="shared" si="750"/>
        <v>0.50149097832907974</v>
      </c>
      <c r="P649">
        <f t="shared" si="717"/>
        <v>5.2827863856928219E-2</v>
      </c>
      <c r="Q649">
        <f t="shared" si="718"/>
        <v>2.2293316394710095E-2</v>
      </c>
      <c r="R649">
        <f t="shared" si="719"/>
        <v>1.4248541386324844E-2</v>
      </c>
    </row>
    <row r="650" spans="1:18" x14ac:dyDescent="0.25">
      <c r="A650" s="18">
        <f t="shared" si="712"/>
        <v>37226</v>
      </c>
      <c r="B650">
        <f>'2-state flows'!B649</f>
        <v>144305</v>
      </c>
      <c r="C650">
        <f>'2-state flows'!C649</f>
        <v>8258</v>
      </c>
      <c r="D650">
        <f>'Composite HWI'!B613*48.35347462</f>
        <v>3193.2634639048001</v>
      </c>
      <c r="E650">
        <f t="shared" si="707"/>
        <v>5.7226014344617306E-2</v>
      </c>
      <c r="F650">
        <f t="shared" si="708"/>
        <v>2.212857117844011E-2</v>
      </c>
      <c r="G650">
        <f>'2-state flows'!G649</f>
        <v>0.57410877755993184</v>
      </c>
      <c r="H650">
        <f t="shared" si="709"/>
        <v>0.47957176201619017</v>
      </c>
      <c r="I650">
        <f>'2-state flows'!H649</f>
        <v>3.4102550882281854E-2</v>
      </c>
      <c r="J650">
        <f t="shared" si="713"/>
        <v>2.4660236035809486E-2</v>
      </c>
      <c r="K650">
        <v>0.5</v>
      </c>
      <c r="L650">
        <f t="shared" si="715"/>
        <v>0.45174283454432851</v>
      </c>
      <c r="M650">
        <f t="shared" si="710"/>
        <v>1.4085230308412355E-2</v>
      </c>
      <c r="N650">
        <f t="shared" ref="N650:O650" si="751">AVERAGE(G648:G650)</f>
        <v>0.55118150916183117</v>
      </c>
      <c r="O650">
        <f t="shared" si="751"/>
        <v>0.4807968091903711</v>
      </c>
      <c r="P650">
        <f t="shared" si="717"/>
        <v>5.5369531575682425E-2</v>
      </c>
      <c r="Q650">
        <f t="shared" si="718"/>
        <v>2.1513712106880731E-2</v>
      </c>
      <c r="R650">
        <f t="shared" si="719"/>
        <v>1.3871607723453347E-2</v>
      </c>
    </row>
    <row r="651" spans="1:18" x14ac:dyDescent="0.25">
      <c r="A651" s="18">
        <f t="shared" si="712"/>
        <v>37257</v>
      </c>
      <c r="B651">
        <f>'2-state flows'!B650</f>
        <v>143883</v>
      </c>
      <c r="C651">
        <f>'2-state flows'!C650</f>
        <v>8182</v>
      </c>
      <c r="D651">
        <f>'Composite HWI'!B614*48.35347462</f>
        <v>3217.4402012148003</v>
      </c>
      <c r="E651">
        <f t="shared" si="707"/>
        <v>5.6865647783268351E-2</v>
      </c>
      <c r="F651">
        <f t="shared" si="708"/>
        <v>2.2361503452213258E-2</v>
      </c>
      <c r="G651">
        <f>'2-state flows'!G650</f>
        <v>0.54304280849159781</v>
      </c>
      <c r="H651">
        <f t="shared" si="709"/>
        <v>0.48361434099767159</v>
      </c>
      <c r="I651">
        <f>'2-state flows'!H650</f>
        <v>3.3062318638601096E-2</v>
      </c>
      <c r="J651">
        <f t="shared" si="713"/>
        <v>-3.0977963231123798E-2</v>
      </c>
      <c r="K651">
        <v>0.5</v>
      </c>
      <c r="L651">
        <f t="shared" si="715"/>
        <v>0.38978690808208094</v>
      </c>
      <c r="M651">
        <f t="shared" si="710"/>
        <v>1.5143236193890618E-2</v>
      </c>
      <c r="N651">
        <f t="shared" ref="N651:O651" si="752">AVERAGE(G649:G651)</f>
        <v>0.54732314516059288</v>
      </c>
      <c r="O651">
        <f t="shared" si="752"/>
        <v>0.47936217999186748</v>
      </c>
      <c r="P651">
        <f t="shared" si="717"/>
        <v>5.652519260798259E-2</v>
      </c>
      <c r="Q651">
        <f t="shared" si="718"/>
        <v>2.1843021889158442E-2</v>
      </c>
      <c r="R651">
        <f t="shared" si="719"/>
        <v>1.4432401017764341E-2</v>
      </c>
    </row>
    <row r="652" spans="1:18" x14ac:dyDescent="0.25">
      <c r="A652" s="18">
        <f t="shared" si="712"/>
        <v>37288</v>
      </c>
      <c r="B652">
        <f>'2-state flows'!B651</f>
        <v>144653</v>
      </c>
      <c r="C652">
        <f>'2-state flows'!C651</f>
        <v>8215</v>
      </c>
      <c r="D652">
        <f>'Composite HWI'!B615*48.35347462</f>
        <v>3242.1004732709998</v>
      </c>
      <c r="E652">
        <f t="shared" si="707"/>
        <v>5.6791079341596787E-2</v>
      </c>
      <c r="F652">
        <f t="shared" si="708"/>
        <v>2.2412950116976488E-2</v>
      </c>
      <c r="G652">
        <f>'2-state flows'!G651</f>
        <v>0.55031287679980967</v>
      </c>
      <c r="H652">
        <f t="shared" si="709"/>
        <v>0.48448810335333869</v>
      </c>
      <c r="I652">
        <f>'2-state flows'!H651</f>
        <v>3.3995953822049174E-2</v>
      </c>
      <c r="J652">
        <f t="shared" si="713"/>
        <v>2.7847288108086683E-2</v>
      </c>
      <c r="K652">
        <v>0.5</v>
      </c>
      <c r="L652">
        <f t="shared" si="715"/>
        <v>0.44548148429825429</v>
      </c>
      <c r="M652">
        <f t="shared" si="710"/>
        <v>1.4355848752392838E-2</v>
      </c>
      <c r="N652">
        <f t="shared" ref="N652:O652" si="753">AVERAGE(G650:G652)</f>
        <v>0.55582148761711314</v>
      </c>
      <c r="O652">
        <f t="shared" si="753"/>
        <v>0.48255806878906676</v>
      </c>
      <c r="P652">
        <f t="shared" si="717"/>
        <v>5.6960913823160819E-2</v>
      </c>
      <c r="Q652">
        <f t="shared" si="718"/>
        <v>2.2301008249209952E-2</v>
      </c>
      <c r="R652">
        <f t="shared" si="719"/>
        <v>1.4528105084898603E-2</v>
      </c>
    </row>
    <row r="653" spans="1:18" x14ac:dyDescent="0.25">
      <c r="A653" s="18">
        <f t="shared" si="712"/>
        <v>37316</v>
      </c>
      <c r="B653">
        <f>'2-state flows'!B652</f>
        <v>144481</v>
      </c>
      <c r="C653">
        <f>'2-state flows'!C652</f>
        <v>8304</v>
      </c>
      <c r="D653">
        <f>'Composite HWI'!B616*48.35347462</f>
        <v>3197.6152766205996</v>
      </c>
      <c r="E653">
        <f t="shared" si="707"/>
        <v>5.7474685252732194E-2</v>
      </c>
      <c r="F653">
        <f t="shared" si="708"/>
        <v>2.2131735498927885E-2</v>
      </c>
      <c r="G653">
        <f>'2-state flows'!G652</f>
        <v>0.46848647627294709</v>
      </c>
      <c r="H653">
        <f t="shared" si="709"/>
        <v>0.47856738910850116</v>
      </c>
      <c r="I653">
        <f>'2-state flows'!H652</f>
        <v>3.1320626501574876E-2</v>
      </c>
      <c r="J653">
        <f t="shared" si="713"/>
        <v>-8.196463813495726E-2</v>
      </c>
      <c r="K653">
        <v>0.5</v>
      </c>
      <c r="L653">
        <f t="shared" si="715"/>
        <v>0.2815522080283398</v>
      </c>
      <c r="M653">
        <f t="shared" si="710"/>
        <v>1.6700862517884458E-2</v>
      </c>
      <c r="N653">
        <f t="shared" ref="N653:O653" si="754">AVERAGE(G651:G653)</f>
        <v>0.52061405385478488</v>
      </c>
      <c r="O653">
        <f t="shared" si="754"/>
        <v>0.48222327781983715</v>
      </c>
      <c r="P653">
        <f t="shared" si="717"/>
        <v>5.7043804125865773E-2</v>
      </c>
      <c r="Q653">
        <f t="shared" si="718"/>
        <v>2.2302063022705876E-2</v>
      </c>
      <c r="R653">
        <f t="shared" si="719"/>
        <v>1.5399982488055972E-2</v>
      </c>
    </row>
    <row r="654" spans="1:18" x14ac:dyDescent="0.25">
      <c r="A654" s="18">
        <f t="shared" si="712"/>
        <v>37347</v>
      </c>
      <c r="B654">
        <f>'2-state flows'!B653</f>
        <v>144725</v>
      </c>
      <c r="C654">
        <f>'2-state flows'!C653</f>
        <v>8599</v>
      </c>
      <c r="D654">
        <f>'Composite HWI'!B617*48.35347462</f>
        <v>3293.3551563681999</v>
      </c>
      <c r="E654">
        <f t="shared" si="707"/>
        <v>5.9416134047331148E-2</v>
      </c>
      <c r="F654">
        <f t="shared" si="708"/>
        <v>2.2755952021891172E-2</v>
      </c>
      <c r="G654">
        <f>'2-state flows'!G653</f>
        <v>0.5221857939656146</v>
      </c>
      <c r="H654">
        <f t="shared" si="709"/>
        <v>0.47727531817995417</v>
      </c>
      <c r="I654">
        <f>'2-state flows'!H653</f>
        <v>3.1073226807837091E-2</v>
      </c>
      <c r="J654">
        <f t="shared" si="713"/>
        <v>-7.9303000916806712E-3</v>
      </c>
      <c r="K654">
        <v>0.5</v>
      </c>
      <c r="L654">
        <f t="shared" si="715"/>
        <v>0.26569160784497847</v>
      </c>
      <c r="M654">
        <f t="shared" si="710"/>
        <v>1.7446431526186669E-2</v>
      </c>
      <c r="N654">
        <f t="shared" ref="N654:O654" si="755">AVERAGE(G652:G654)</f>
        <v>0.51366171567945706</v>
      </c>
      <c r="O654">
        <f t="shared" si="755"/>
        <v>0.48011027021393132</v>
      </c>
      <c r="P654">
        <f t="shared" si="717"/>
        <v>5.7893966213886705E-2</v>
      </c>
      <c r="Q654">
        <f t="shared" si="718"/>
        <v>2.2433545879265177E-2</v>
      </c>
      <c r="R654">
        <f t="shared" si="719"/>
        <v>1.6167714265487989E-2</v>
      </c>
    </row>
    <row r="655" spans="1:18" x14ac:dyDescent="0.25">
      <c r="A655" s="18">
        <f t="shared" si="712"/>
        <v>37377</v>
      </c>
      <c r="B655">
        <f>'2-state flows'!B654</f>
        <v>144938</v>
      </c>
      <c r="C655">
        <f>'2-state flows'!C654</f>
        <v>8399</v>
      </c>
      <c r="D655">
        <f>'Composite HWI'!B618*48.35347462</f>
        <v>3107.6778138273999</v>
      </c>
      <c r="E655">
        <f t="shared" si="707"/>
        <v>5.7948916088258424E-2</v>
      </c>
      <c r="F655">
        <f t="shared" si="708"/>
        <v>2.1441428844246505E-2</v>
      </c>
      <c r="G655">
        <f>'2-state flows'!G654</f>
        <v>0.47021986884004779</v>
      </c>
      <c r="H655">
        <f t="shared" si="709"/>
        <v>0.46911343343999656</v>
      </c>
      <c r="I655">
        <f>'2-state flows'!H654</f>
        <v>2.8869080568424934E-2</v>
      </c>
      <c r="J655">
        <f t="shared" si="713"/>
        <v>-7.3575428207116864E-2</v>
      </c>
      <c r="K655">
        <v>0.5</v>
      </c>
      <c r="L655">
        <f t="shared" si="715"/>
        <v>0.11854075143074475</v>
      </c>
      <c r="M655">
        <f t="shared" si="710"/>
        <v>1.9044611990177845E-2</v>
      </c>
      <c r="N655">
        <f t="shared" ref="N655:O655" si="756">AVERAGE(G653:G655)</f>
        <v>0.48696404635953655</v>
      </c>
      <c r="O655">
        <f t="shared" si="756"/>
        <v>0.47498538024281728</v>
      </c>
      <c r="P655">
        <f t="shared" si="717"/>
        <v>5.8279911796107253E-2</v>
      </c>
      <c r="Q655">
        <f t="shared" si="718"/>
        <v>2.210970545502185E-2</v>
      </c>
      <c r="R655">
        <f t="shared" si="719"/>
        <v>1.7730635344749657E-2</v>
      </c>
    </row>
    <row r="656" spans="1:18" x14ac:dyDescent="0.25">
      <c r="A656" s="18">
        <f t="shared" si="712"/>
        <v>37408</v>
      </c>
      <c r="B656">
        <f>'2-state flows'!B655</f>
        <v>144808</v>
      </c>
      <c r="C656">
        <f>'2-state flows'!C655</f>
        <v>8393</v>
      </c>
      <c r="D656">
        <f>'Composite HWI'!B619*48.35347462</f>
        <v>3347.0275131963999</v>
      </c>
      <c r="E656">
        <f t="shared" si="707"/>
        <v>5.7959504999723771E-2</v>
      </c>
      <c r="F656">
        <f t="shared" si="708"/>
        <v>2.3113553900312136E-2</v>
      </c>
      <c r="G656">
        <f>'2-state flows'!G655</f>
        <v>0.51069854180589802</v>
      </c>
      <c r="H656">
        <f t="shared" si="709"/>
        <v>0.48701764476721904</v>
      </c>
      <c r="I656">
        <f>'2-state flows'!H655</f>
        <v>3.1392491337976676E-2</v>
      </c>
      <c r="J656">
        <f t="shared" si="713"/>
        <v>8.3797589087548349E-2</v>
      </c>
      <c r="K656">
        <v>0.5</v>
      </c>
      <c r="L656">
        <f t="shared" si="715"/>
        <v>0.28613592960584144</v>
      </c>
      <c r="M656">
        <f t="shared" si="710"/>
        <v>1.7361988798279108E-2</v>
      </c>
      <c r="N656">
        <f t="shared" ref="N656:O656" si="757">AVERAGE(G654:G656)</f>
        <v>0.50103473487052008</v>
      </c>
      <c r="O656">
        <f t="shared" si="757"/>
        <v>0.47780213212905659</v>
      </c>
      <c r="P656">
        <f t="shared" si="717"/>
        <v>5.8441518378437779E-2</v>
      </c>
      <c r="Q656">
        <f t="shared" si="718"/>
        <v>2.243697825548327E-2</v>
      </c>
      <c r="R656">
        <f t="shared" si="719"/>
        <v>1.7951010771547874E-2</v>
      </c>
    </row>
    <row r="657" spans="1:18" x14ac:dyDescent="0.25">
      <c r="A657" s="18">
        <f t="shared" si="712"/>
        <v>37438</v>
      </c>
      <c r="B657">
        <f>'2-state flows'!B656</f>
        <v>144803</v>
      </c>
      <c r="C657">
        <f>'2-state flows'!C656</f>
        <v>8390</v>
      </c>
      <c r="D657">
        <f>'Composite HWI'!B620*48.35347462</f>
        <v>3159.4160316708003</v>
      </c>
      <c r="E657">
        <f t="shared" si="707"/>
        <v>5.7940788519574869E-2</v>
      </c>
      <c r="F657">
        <f t="shared" si="708"/>
        <v>2.1818719444146876E-2</v>
      </c>
      <c r="G657">
        <f>'2-state flows'!G656</f>
        <v>0.53603545392026519</v>
      </c>
      <c r="H657">
        <f t="shared" si="709"/>
        <v>0.47325596307527334</v>
      </c>
      <c r="I657">
        <f>'2-state flows'!H656</f>
        <v>3.214213211362945E-2</v>
      </c>
      <c r="J657">
        <f t="shared" si="713"/>
        <v>2.359896147542194E-2</v>
      </c>
      <c r="K657">
        <v>0.5</v>
      </c>
      <c r="L657">
        <f t="shared" si="715"/>
        <v>0.33333385255668535</v>
      </c>
      <c r="M657">
        <f t="shared" si="710"/>
        <v>1.5633787520926711E-2</v>
      </c>
      <c r="N657">
        <f t="shared" ref="N657:O657" si="758">AVERAGE(G655:G657)</f>
        <v>0.50565128818873706</v>
      </c>
      <c r="O657">
        <f t="shared" si="758"/>
        <v>0.47646234709416296</v>
      </c>
      <c r="P657">
        <f t="shared" si="717"/>
        <v>5.7949736535852357E-2</v>
      </c>
      <c r="Q657">
        <f t="shared" si="718"/>
        <v>2.2124567396235171E-2</v>
      </c>
      <c r="R657">
        <f t="shared" si="719"/>
        <v>1.7346796103127889E-2</v>
      </c>
    </row>
    <row r="658" spans="1:18" x14ac:dyDescent="0.25">
      <c r="A658" s="18">
        <f t="shared" si="712"/>
        <v>37469</v>
      </c>
      <c r="B658">
        <f>'2-state flows'!B657</f>
        <v>145009</v>
      </c>
      <c r="C658">
        <f>'2-state flows'!C657</f>
        <v>8304</v>
      </c>
      <c r="D658">
        <f>'Composite HWI'!B621*48.35347462</f>
        <v>2968.9033416679999</v>
      </c>
      <c r="E658">
        <f t="shared" si="707"/>
        <v>5.7265411112413712E-2</v>
      </c>
      <c r="F658">
        <f t="shared" si="708"/>
        <v>2.0473924664455308E-2</v>
      </c>
      <c r="G658">
        <f>'2-state flows'!G657</f>
        <v>0.50022847212557664</v>
      </c>
      <c r="H658">
        <f t="shared" si="709"/>
        <v>0.46113493544900996</v>
      </c>
      <c r="I658">
        <f>'2-state flows'!H657</f>
        <v>2.9886352750128457E-2</v>
      </c>
      <c r="J658">
        <f t="shared" si="713"/>
        <v>-7.2765749990563872E-2</v>
      </c>
      <c r="K658">
        <v>0.5</v>
      </c>
      <c r="L658">
        <f t="shared" si="715"/>
        <v>0.18780235257555761</v>
      </c>
      <c r="M658">
        <f t="shared" si="710"/>
        <v>1.6968348510713549E-2</v>
      </c>
      <c r="N658">
        <f t="shared" ref="N658:O658" si="759">AVERAGE(G656:G658)</f>
        <v>0.51565415595057995</v>
      </c>
      <c r="O658">
        <f t="shared" si="759"/>
        <v>0.47380284776383413</v>
      </c>
      <c r="P658">
        <f t="shared" si="717"/>
        <v>5.7721901543904115E-2</v>
      </c>
      <c r="Q658">
        <f t="shared" si="718"/>
        <v>2.1802066002971437E-2</v>
      </c>
      <c r="R658">
        <f t="shared" si="719"/>
        <v>1.6654708276639788E-2</v>
      </c>
    </row>
    <row r="659" spans="1:18" x14ac:dyDescent="0.25">
      <c r="A659" s="18">
        <f t="shared" si="712"/>
        <v>37500</v>
      </c>
      <c r="B659">
        <f>'2-state flows'!B658</f>
        <v>145552</v>
      </c>
      <c r="C659">
        <f>'2-state flows'!C658</f>
        <v>8251</v>
      </c>
      <c r="D659">
        <f>'Composite HWI'!B622*48.35347462</f>
        <v>3140.5581765690004</v>
      </c>
      <c r="E659">
        <f t="shared" si="707"/>
        <v>5.6687644278333518E-2</v>
      </c>
      <c r="F659">
        <f t="shared" si="708"/>
        <v>2.1576880953672918E-2</v>
      </c>
      <c r="G659">
        <f>'2-state flows'!G658</f>
        <v>0.48117229984037602</v>
      </c>
      <c r="H659">
        <f t="shared" si="709"/>
        <v>0.47579929512956087</v>
      </c>
      <c r="I659">
        <f>'2-state flows'!H658</f>
        <v>2.9436501910725169E-2</v>
      </c>
      <c r="J659">
        <f t="shared" si="713"/>
        <v>-1.5166480605591068E-2</v>
      </c>
      <c r="K659">
        <v>0.5</v>
      </c>
      <c r="L659">
        <f t="shared" si="715"/>
        <v>0.15746939136437546</v>
      </c>
      <c r="M659">
        <f t="shared" si="710"/>
        <v>1.8433193314975928E-2</v>
      </c>
      <c r="N659">
        <f t="shared" ref="N659:O659" si="760">AVERAGE(G657:G659)</f>
        <v>0.50581207529540595</v>
      </c>
      <c r="O659">
        <f t="shared" si="760"/>
        <v>0.47006339788461471</v>
      </c>
      <c r="P659">
        <f t="shared" si="717"/>
        <v>5.7297947970107364E-2</v>
      </c>
      <c r="Q659">
        <f t="shared" si="718"/>
        <v>2.1289841687425037E-2</v>
      </c>
      <c r="R659">
        <f t="shared" si="719"/>
        <v>1.7011776448872064E-2</v>
      </c>
    </row>
    <row r="660" spans="1:18" x14ac:dyDescent="0.25">
      <c r="A660" s="18">
        <f t="shared" si="712"/>
        <v>37530</v>
      </c>
      <c r="B660">
        <f>'2-state flows'!B659</f>
        <v>145314</v>
      </c>
      <c r="C660">
        <f>'2-state flows'!C659</f>
        <v>8307</v>
      </c>
      <c r="D660">
        <f>'Composite HWI'!B623*48.35347462</f>
        <v>2947.1442780890002</v>
      </c>
      <c r="E660">
        <f t="shared" si="707"/>
        <v>5.7165861513687598E-2</v>
      </c>
      <c r="F660">
        <f t="shared" si="708"/>
        <v>2.0281213634536246E-2</v>
      </c>
      <c r="G660">
        <f>'2-state flows'!G659</f>
        <v>0.48825022690301073</v>
      </c>
      <c r="H660">
        <f t="shared" si="709"/>
        <v>0.4593590319412878</v>
      </c>
      <c r="I660">
        <f>'2-state flows'!H659</f>
        <v>3.1597172020287917E-2</v>
      </c>
      <c r="J660">
        <f t="shared" si="713"/>
        <v>7.0832157725573552E-2</v>
      </c>
      <c r="K660">
        <v>0.5</v>
      </c>
      <c r="L660">
        <f t="shared" si="715"/>
        <v>0.29913370681552254</v>
      </c>
      <c r="M660">
        <f t="shared" si="710"/>
        <v>1.5037714026172351E-2</v>
      </c>
      <c r="N660">
        <f t="shared" ref="N660:O660" si="761">AVERAGE(G658:G660)</f>
        <v>0.48988366628965446</v>
      </c>
      <c r="O660">
        <f t="shared" si="761"/>
        <v>0.4654310875066196</v>
      </c>
      <c r="P660">
        <f t="shared" si="717"/>
        <v>5.703963896814495E-2</v>
      </c>
      <c r="Q660">
        <f t="shared" si="718"/>
        <v>2.077733975088816E-2</v>
      </c>
      <c r="R660">
        <f t="shared" si="719"/>
        <v>1.6813085283953942E-2</v>
      </c>
    </row>
    <row r="661" spans="1:18" x14ac:dyDescent="0.25">
      <c r="A661" s="18">
        <f t="shared" si="712"/>
        <v>37561</v>
      </c>
      <c r="B661">
        <f>'2-state flows'!B660</f>
        <v>145041</v>
      </c>
      <c r="C661">
        <f>'2-state flows'!C660</f>
        <v>8520</v>
      </c>
      <c r="D661">
        <f>'Composite HWI'!B624*48.35347462</f>
        <v>2973.2551543837999</v>
      </c>
      <c r="E661">
        <f t="shared" si="707"/>
        <v>5.8742010879682297E-2</v>
      </c>
      <c r="F661">
        <f t="shared" si="708"/>
        <v>2.0499411575925428E-2</v>
      </c>
      <c r="G661">
        <f>'2-state flows'!G660</f>
        <v>0.46570864057653888</v>
      </c>
      <c r="H661">
        <f t="shared" si="709"/>
        <v>0.45558556928848581</v>
      </c>
      <c r="I661">
        <f>'2-state flows'!H660</f>
        <v>3.0178799565756316E-2</v>
      </c>
      <c r="J661">
        <f t="shared" si="713"/>
        <v>-4.5927946830509339E-2</v>
      </c>
      <c r="K661">
        <v>0.5</v>
      </c>
      <c r="L661">
        <f t="shared" si="715"/>
        <v>0.20727781315450386</v>
      </c>
      <c r="M661">
        <f t="shared" si="710"/>
        <v>1.6661794915565409E-2</v>
      </c>
      <c r="N661">
        <f t="shared" ref="N661:O661" si="762">AVERAGE(G659:G661)</f>
        <v>0.47837705577330852</v>
      </c>
      <c r="O661">
        <f t="shared" si="762"/>
        <v>0.46358129878644477</v>
      </c>
      <c r="P661">
        <f t="shared" si="717"/>
        <v>5.7531838890567809E-2</v>
      </c>
      <c r="Q661">
        <f t="shared" si="718"/>
        <v>2.0785835388044863E-2</v>
      </c>
      <c r="R661">
        <f t="shared" si="719"/>
        <v>1.6710900752237894E-2</v>
      </c>
    </row>
    <row r="662" spans="1:18" x14ac:dyDescent="0.25">
      <c r="A662" s="18">
        <f t="shared" si="712"/>
        <v>37591</v>
      </c>
      <c r="B662">
        <f>'2-state flows'!B661</f>
        <v>145066</v>
      </c>
      <c r="C662">
        <f>'2-state flows'!C661</f>
        <v>8640</v>
      </c>
      <c r="D662">
        <f>'Composite HWI'!B625*48.35347462</f>
        <v>2924.9016797638001</v>
      </c>
      <c r="E662">
        <f t="shared" si="707"/>
        <v>5.9559097238498337E-2</v>
      </c>
      <c r="F662">
        <f t="shared" si="708"/>
        <v>2.016255828218742E-2</v>
      </c>
      <c r="G662">
        <f>'2-state flows'!G661</f>
        <v>0.50639102669812475</v>
      </c>
      <c r="H662">
        <f t="shared" si="709"/>
        <v>0.44871690468591119</v>
      </c>
      <c r="I662">
        <f>'2-state flows'!H661</f>
        <v>3.0933295109926782E-2</v>
      </c>
      <c r="J662">
        <f t="shared" si="713"/>
        <v>2.4693438724057694E-2</v>
      </c>
      <c r="K662">
        <v>0.5</v>
      </c>
      <c r="L662">
        <f t="shared" si="715"/>
        <v>0.25666469060261926</v>
      </c>
      <c r="M662">
        <f t="shared" si="710"/>
        <v>1.5598311067141416E-2</v>
      </c>
      <c r="N662">
        <f t="shared" ref="N662:O662" si="763">AVERAGE(G660:G662)</f>
        <v>0.48678329805922482</v>
      </c>
      <c r="O662">
        <f t="shared" si="763"/>
        <v>0.4545538353052283</v>
      </c>
      <c r="P662">
        <f t="shared" si="717"/>
        <v>5.8488989877289406E-2</v>
      </c>
      <c r="Q662">
        <f t="shared" si="718"/>
        <v>2.0314394497549699E-2</v>
      </c>
      <c r="R662">
        <f t="shared" si="719"/>
        <v>1.5765940002959725E-2</v>
      </c>
    </row>
    <row r="663" spans="1:18" x14ac:dyDescent="0.25">
      <c r="A663" s="18">
        <f t="shared" si="712"/>
        <v>37622</v>
      </c>
      <c r="B663">
        <f>'2-state flows'!B662</f>
        <v>145937</v>
      </c>
      <c r="C663">
        <f>'2-state flows'!C662</f>
        <v>8520</v>
      </c>
      <c r="D663">
        <f>'Composite HWI'!B626*48.35347462</f>
        <v>3102.8424663654</v>
      </c>
      <c r="E663">
        <f t="shared" si="707"/>
        <v>5.8381356338694096E-2</v>
      </c>
      <c r="F663">
        <f t="shared" si="708"/>
        <v>2.1261520151609255E-2</v>
      </c>
      <c r="G663">
        <f>'2-state flows'!G662</f>
        <v>0.4611564958232941</v>
      </c>
      <c r="H663">
        <f t="shared" si="709"/>
        <v>0.46540788022894386</v>
      </c>
      <c r="I663">
        <f>'2-state flows'!H662</f>
        <v>2.9494555993636266E-2</v>
      </c>
      <c r="J663">
        <f t="shared" si="713"/>
        <v>-4.7627411725717092E-2</v>
      </c>
      <c r="K663">
        <v>0.5</v>
      </c>
      <c r="L663">
        <f t="shared" si="715"/>
        <v>0.16140986715118508</v>
      </c>
      <c r="M663">
        <f t="shared" si="710"/>
        <v>1.8092346546328603E-2</v>
      </c>
      <c r="N663">
        <f t="shared" ref="N663:O663" si="764">AVERAGE(G661:G663)</f>
        <v>0.47775205436598589</v>
      </c>
      <c r="O663">
        <f t="shared" si="764"/>
        <v>0.45657011806778031</v>
      </c>
      <c r="P663">
        <f t="shared" si="717"/>
        <v>5.8894154818958246E-2</v>
      </c>
      <c r="Q663">
        <f t="shared" si="718"/>
        <v>2.0641163336574037E-2</v>
      </c>
      <c r="R663">
        <f t="shared" si="719"/>
        <v>1.6784150843011807E-2</v>
      </c>
    </row>
    <row r="664" spans="1:18" x14ac:dyDescent="0.25">
      <c r="A664" s="18">
        <f t="shared" si="712"/>
        <v>37653</v>
      </c>
      <c r="B664">
        <f>'2-state flows'!B663</f>
        <v>146100</v>
      </c>
      <c r="C664">
        <f>'2-state flows'!C663</f>
        <v>8618</v>
      </c>
      <c r="D664">
        <f>'Composite HWI'!B627*48.35347462</f>
        <v>3131.8545511374</v>
      </c>
      <c r="E664">
        <f t="shared" si="707"/>
        <v>5.898699520876112E-2</v>
      </c>
      <c r="F664">
        <f t="shared" si="708"/>
        <v>2.143637612003696E-2</v>
      </c>
      <c r="G664">
        <f>'2-state flows'!G663</f>
        <v>0.48538424486039178</v>
      </c>
      <c r="H664">
        <f t="shared" si="709"/>
        <v>0.46491249004653862</v>
      </c>
      <c r="I664">
        <f>'2-state flows'!H663</f>
        <v>3.0146833505713684E-2</v>
      </c>
      <c r="J664">
        <f t="shared" si="713"/>
        <v>2.1874189244508395E-2</v>
      </c>
      <c r="K664">
        <v>0.5</v>
      </c>
      <c r="L664">
        <f t="shared" si="715"/>
        <v>0.20515824564020185</v>
      </c>
      <c r="M664">
        <f t="shared" si="710"/>
        <v>1.7460323041146593E-2</v>
      </c>
      <c r="N664">
        <f t="shared" ref="N664:O664" si="765">AVERAGE(G662:G664)</f>
        <v>0.48431058912727015</v>
      </c>
      <c r="O664">
        <f t="shared" si="765"/>
        <v>0.45967909165379789</v>
      </c>
      <c r="P664">
        <f t="shared" si="717"/>
        <v>5.8975816261984525E-2</v>
      </c>
      <c r="Q664">
        <f t="shared" si="718"/>
        <v>2.0953484851277876E-2</v>
      </c>
      <c r="R664">
        <f t="shared" si="719"/>
        <v>1.7050326884872204E-2</v>
      </c>
    </row>
    <row r="665" spans="1:18" x14ac:dyDescent="0.25">
      <c r="A665" s="18">
        <f t="shared" si="712"/>
        <v>37681</v>
      </c>
      <c r="B665">
        <f>'2-state flows'!B664</f>
        <v>146022</v>
      </c>
      <c r="C665">
        <f>'2-state flows'!C664</f>
        <v>8588</v>
      </c>
      <c r="D665">
        <f>'Composite HWI'!B628*48.35347462</f>
        <v>3007.1025866177997</v>
      </c>
      <c r="E665">
        <f t="shared" si="707"/>
        <v>5.8813055566969363E-2</v>
      </c>
      <c r="F665">
        <f t="shared" si="708"/>
        <v>2.0593489930406376E-2</v>
      </c>
      <c r="G665">
        <f>'2-state flows'!G664</f>
        <v>0.42742786839620089</v>
      </c>
      <c r="H665">
        <f t="shared" si="709"/>
        <v>0.45635390455396585</v>
      </c>
      <c r="I665">
        <f>'2-state flows'!H664</f>
        <v>2.9011109204431573E-2</v>
      </c>
      <c r="J665">
        <f t="shared" si="713"/>
        <v>-3.8401060325130347E-2</v>
      </c>
      <c r="K665">
        <v>0.5</v>
      </c>
      <c r="L665">
        <f t="shared" si="715"/>
        <v>0.12835612498994114</v>
      </c>
      <c r="M665">
        <f t="shared" si="710"/>
        <v>1.8112800134169285E-2</v>
      </c>
      <c r="N665">
        <f t="shared" ref="N665:O665" si="766">AVERAGE(G663:G665)</f>
        <v>0.45798953635996226</v>
      </c>
      <c r="O665">
        <f t="shared" si="766"/>
        <v>0.46222475827648274</v>
      </c>
      <c r="P665">
        <f t="shared" si="717"/>
        <v>5.8727135704808198E-2</v>
      </c>
      <c r="Q665">
        <f t="shared" si="718"/>
        <v>2.1097128734017534E-2</v>
      </c>
      <c r="R665">
        <f t="shared" si="719"/>
        <v>1.7888489907214828E-2</v>
      </c>
    </row>
    <row r="666" spans="1:18" x14ac:dyDescent="0.25">
      <c r="A666" s="18">
        <f t="shared" si="712"/>
        <v>37712</v>
      </c>
      <c r="B666">
        <f>'2-state flows'!B665</f>
        <v>146474</v>
      </c>
      <c r="C666">
        <f>'2-state flows'!C665</f>
        <v>8842</v>
      </c>
      <c r="D666">
        <f>'Composite HWI'!B629*48.35347462</f>
        <v>2880.4164831133999</v>
      </c>
      <c r="E666">
        <f t="shared" si="707"/>
        <v>6.0365662165298963E-2</v>
      </c>
      <c r="F666">
        <f t="shared" si="708"/>
        <v>1.9665036000337262E-2</v>
      </c>
      <c r="G666">
        <f>'2-state flows'!G665</f>
        <v>0.47641727650865945</v>
      </c>
      <c r="H666">
        <f t="shared" si="709"/>
        <v>0.44017569126616057</v>
      </c>
      <c r="I666">
        <f>'2-state flows'!H665</f>
        <v>3.1672577079757486E-2</v>
      </c>
      <c r="J666">
        <f t="shared" si="713"/>
        <v>8.7772397493938642E-2</v>
      </c>
      <c r="K666">
        <v>0.5</v>
      </c>
      <c r="L666">
        <f t="shared" si="715"/>
        <v>0.30390091997781843</v>
      </c>
      <c r="M666">
        <f t="shared" si="710"/>
        <v>1.4511498230331215E-2</v>
      </c>
      <c r="N666">
        <f t="shared" ref="N666:O666" si="767">AVERAGE(G664:G666)</f>
        <v>0.46307646325508406</v>
      </c>
      <c r="O666">
        <f t="shared" si="767"/>
        <v>0.45381402862222164</v>
      </c>
      <c r="P666">
        <f t="shared" si="717"/>
        <v>5.9388570980343149E-2</v>
      </c>
      <c r="Q666">
        <f t="shared" si="718"/>
        <v>2.0564967350260199E-2</v>
      </c>
      <c r="R666">
        <f t="shared" si="719"/>
        <v>1.6694873801882365E-2</v>
      </c>
    </row>
    <row r="667" spans="1:18" x14ac:dyDescent="0.25">
      <c r="A667" s="18">
        <f t="shared" si="712"/>
        <v>37742</v>
      </c>
      <c r="B667">
        <f>'2-state flows'!B666</f>
        <v>146500</v>
      </c>
      <c r="C667">
        <f>'2-state flows'!C666</f>
        <v>8957</v>
      </c>
      <c r="D667">
        <f>'Composite HWI'!B630*48.35347462</f>
        <v>2829.6453347624001</v>
      </c>
      <c r="E667">
        <f t="shared" si="707"/>
        <v>6.1139931740614335E-2</v>
      </c>
      <c r="F667">
        <f t="shared" si="708"/>
        <v>1.9314985220221161E-2</v>
      </c>
      <c r="G667">
        <f>'2-state flows'!G666</f>
        <v>0.41832403011537911</v>
      </c>
      <c r="H667">
        <f t="shared" si="709"/>
        <v>0.43346933726113929</v>
      </c>
      <c r="I667">
        <f>'2-state flows'!H666</f>
        <v>3.0029575838806239E-2</v>
      </c>
      <c r="J667">
        <f t="shared" si="713"/>
        <v>-5.3268472826801756E-2</v>
      </c>
      <c r="K667">
        <v>0.5</v>
      </c>
      <c r="L667">
        <f t="shared" si="715"/>
        <v>0.19736397432421493</v>
      </c>
      <c r="M667">
        <f t="shared" si="710"/>
        <v>1.5855512895451569E-2</v>
      </c>
      <c r="N667">
        <f t="shared" ref="N667:O667" si="768">AVERAGE(G665:G667)</f>
        <v>0.4407230583400798</v>
      </c>
      <c r="O667">
        <f t="shared" si="768"/>
        <v>0.44333297769375529</v>
      </c>
      <c r="P667">
        <f t="shared" si="717"/>
        <v>6.010621649096088E-2</v>
      </c>
      <c r="Q667">
        <f t="shared" si="718"/>
        <v>1.9857837050321601E-2</v>
      </c>
      <c r="R667">
        <f t="shared" si="719"/>
        <v>1.6159937086650689E-2</v>
      </c>
    </row>
    <row r="668" spans="1:18" x14ac:dyDescent="0.25">
      <c r="A668" s="18">
        <f t="shared" si="712"/>
        <v>37773</v>
      </c>
      <c r="B668">
        <f>'2-state flows'!B667</f>
        <v>147056</v>
      </c>
      <c r="C668">
        <f>'2-state flows'!C667</f>
        <v>9266</v>
      </c>
      <c r="D668">
        <f>'Composite HWI'!B631*48.35347462</f>
        <v>3016.2897467956</v>
      </c>
      <c r="E668">
        <f t="shared" si="707"/>
        <v>6.3010009792188015E-2</v>
      </c>
      <c r="F668">
        <f t="shared" si="708"/>
        <v>2.0511164092560655E-2</v>
      </c>
      <c r="G668">
        <f>'2-state flows'!G667</f>
        <v>0.4589191639241379</v>
      </c>
      <c r="H668">
        <f t="shared" si="709"/>
        <v>0.44001152049840236</v>
      </c>
      <c r="I668">
        <f>'2-state flows'!H667</f>
        <v>2.852287504965699E-2</v>
      </c>
      <c r="J668">
        <f t="shared" si="713"/>
        <v>-5.1476358655576919E-2</v>
      </c>
      <c r="K668">
        <v>0.5</v>
      </c>
      <c r="L668">
        <f t="shared" si="715"/>
        <v>9.4411257013061092E-2</v>
      </c>
      <c r="M668">
        <f t="shared" si="710"/>
        <v>1.8663282122791426E-2</v>
      </c>
      <c r="N668">
        <f t="shared" ref="N668:O668" si="769">AVERAGE(G666:G668)</f>
        <v>0.45122015684939215</v>
      </c>
      <c r="O668">
        <f t="shared" si="769"/>
        <v>0.4378855163419007</v>
      </c>
      <c r="P668">
        <f t="shared" si="717"/>
        <v>6.1505201232700445E-2</v>
      </c>
      <c r="Q668">
        <f t="shared" si="718"/>
        <v>1.9830395104373025E-2</v>
      </c>
      <c r="R668">
        <f t="shared" si="719"/>
        <v>1.634343108285807E-2</v>
      </c>
    </row>
    <row r="669" spans="1:18" x14ac:dyDescent="0.25">
      <c r="A669" s="18">
        <f t="shared" si="712"/>
        <v>37803</v>
      </c>
      <c r="B669">
        <f>'2-state flows'!B668</f>
        <v>146485</v>
      </c>
      <c r="C669">
        <f>'2-state flows'!C668</f>
        <v>9011</v>
      </c>
      <c r="D669">
        <f>'Composite HWI'!B632*48.35347462</f>
        <v>3046.7524358062001</v>
      </c>
      <c r="E669">
        <f t="shared" si="707"/>
        <v>6.1514830870054951E-2</v>
      </c>
      <c r="F669">
        <f t="shared" si="708"/>
        <v>2.0799074552385569E-2</v>
      </c>
      <c r="G669">
        <f>'2-state flows'!G668</f>
        <v>0.46734995659208073</v>
      </c>
      <c r="H669">
        <f t="shared" si="709"/>
        <v>0.44844145720500528</v>
      </c>
      <c r="I669">
        <f>'2-state flows'!H668</f>
        <v>2.9571851303826235E-2</v>
      </c>
      <c r="J669">
        <f t="shared" si="713"/>
        <v>3.611654074831832E-2</v>
      </c>
      <c r="K669">
        <v>0.5</v>
      </c>
      <c r="L669">
        <f t="shared" si="715"/>
        <v>0.16664433850969773</v>
      </c>
      <c r="M669">
        <f t="shared" si="710"/>
        <v>1.7606429617967205E-2</v>
      </c>
      <c r="N669">
        <f t="shared" ref="N669:O669" si="770">AVERAGE(G667:G669)</f>
        <v>0.44819771687719928</v>
      </c>
      <c r="O669">
        <f t="shared" si="770"/>
        <v>0.440640771654849</v>
      </c>
      <c r="P669">
        <f t="shared" si="717"/>
        <v>6.1888257467619091E-2</v>
      </c>
      <c r="Q669">
        <f t="shared" si="718"/>
        <v>2.0208407955055796E-2</v>
      </c>
      <c r="R669">
        <f t="shared" si="719"/>
        <v>1.7375074878736733E-2</v>
      </c>
    </row>
    <row r="670" spans="1:18" x14ac:dyDescent="0.25">
      <c r="A670" s="18">
        <f t="shared" si="712"/>
        <v>37834</v>
      </c>
      <c r="B670">
        <f>'2-state flows'!B669</f>
        <v>146445</v>
      </c>
      <c r="C670">
        <f>'2-state flows'!C669</f>
        <v>8896</v>
      </c>
      <c r="D670">
        <f>'Composite HWI'!B633*48.35347462</f>
        <v>2996.4648222013998</v>
      </c>
      <c r="E670">
        <f t="shared" si="707"/>
        <v>6.0746355286967806E-2</v>
      </c>
      <c r="F670">
        <f t="shared" si="708"/>
        <v>2.0461366534886134E-2</v>
      </c>
      <c r="G670">
        <f>'2-state flows'!G669</f>
        <v>0.43044401392473225</v>
      </c>
      <c r="H670">
        <f t="shared" si="709"/>
        <v>0.44759051130418215</v>
      </c>
      <c r="I670">
        <f>'2-state flows'!H669</f>
        <v>2.8065618220891167E-2</v>
      </c>
      <c r="J670">
        <f t="shared" si="713"/>
        <v>-5.2277663074111233E-2</v>
      </c>
      <c r="K670">
        <v>0.5</v>
      </c>
      <c r="L670">
        <f t="shared" si="715"/>
        <v>6.2089012361475265E-2</v>
      </c>
      <c r="M670">
        <f t="shared" si="710"/>
        <v>1.9229576500302745E-2</v>
      </c>
      <c r="N670">
        <f t="shared" ref="N670:O670" si="771">AVERAGE(G668:G670)</f>
        <v>0.45223771148031694</v>
      </c>
      <c r="O670">
        <f t="shared" si="771"/>
        <v>0.44534782966919656</v>
      </c>
      <c r="P670">
        <f t="shared" si="717"/>
        <v>6.1757065316403591E-2</v>
      </c>
      <c r="Q670">
        <f t="shared" si="718"/>
        <v>2.0590535059944116E-2</v>
      </c>
      <c r="R670">
        <f t="shared" si="719"/>
        <v>1.8499762747020459E-2</v>
      </c>
    </row>
    <row r="671" spans="1:18" x14ac:dyDescent="0.25">
      <c r="A671" s="18">
        <f t="shared" si="712"/>
        <v>37865</v>
      </c>
      <c r="B671">
        <f>'2-state flows'!B670</f>
        <v>146530</v>
      </c>
      <c r="C671">
        <f>'2-state flows'!C670</f>
        <v>8921</v>
      </c>
      <c r="D671">
        <f>'Composite HWI'!B634*48.35347462</f>
        <v>3027.4110459581998</v>
      </c>
      <c r="E671">
        <f t="shared" si="707"/>
        <v>6.0881730703610179E-2</v>
      </c>
      <c r="F671">
        <f t="shared" si="708"/>
        <v>2.0660690957197841E-2</v>
      </c>
      <c r="G671">
        <f>'2-state flows'!G670</f>
        <v>0.46771502713745172</v>
      </c>
      <c r="H671">
        <f t="shared" si="709"/>
        <v>0.44926500640325506</v>
      </c>
      <c r="I671">
        <f>'2-state flows'!H670</f>
        <v>2.8578962349740472E-2</v>
      </c>
      <c r="J671">
        <f t="shared" si="713"/>
        <v>1.8125588643348262E-2</v>
      </c>
      <c r="K671">
        <v>0.5</v>
      </c>
      <c r="L671">
        <f t="shared" si="715"/>
        <v>9.8340189648171789E-2</v>
      </c>
      <c r="M671">
        <f t="shared" si="710"/>
        <v>1.8725621460893817E-2</v>
      </c>
      <c r="N671">
        <f t="shared" ref="N671:O671" si="772">AVERAGE(G669:G671)</f>
        <v>0.45516966588475488</v>
      </c>
      <c r="O671">
        <f t="shared" si="772"/>
        <v>0.4484323249708142</v>
      </c>
      <c r="P671">
        <f t="shared" si="717"/>
        <v>6.1047638953544314E-2</v>
      </c>
      <c r="Q671">
        <f t="shared" si="718"/>
        <v>2.0640377348156515E-2</v>
      </c>
      <c r="R671">
        <f t="shared" si="719"/>
        <v>1.8520542526387924E-2</v>
      </c>
    </row>
    <row r="672" spans="1:18" x14ac:dyDescent="0.25">
      <c r="A672" s="18">
        <f t="shared" si="712"/>
        <v>37895</v>
      </c>
      <c r="B672">
        <f>'2-state flows'!B671</f>
        <v>146716</v>
      </c>
      <c r="C672">
        <f>'2-state flows'!C671</f>
        <v>8732</v>
      </c>
      <c r="D672">
        <f>'Composite HWI'!B635*48.35347462</f>
        <v>2976.6398976072001</v>
      </c>
      <c r="E672">
        <f t="shared" si="707"/>
        <v>5.9516344502303774E-2</v>
      </c>
      <c r="F672">
        <f t="shared" si="708"/>
        <v>2.0288447733084327E-2</v>
      </c>
      <c r="G672">
        <f>'2-state flows'!G671</f>
        <v>0.46314857151374805</v>
      </c>
      <c r="H672">
        <f t="shared" si="709"/>
        <v>0.45027719525187188</v>
      </c>
      <c r="I672">
        <f>'2-state flows'!H671</f>
        <v>2.7878531513290797E-2</v>
      </c>
      <c r="J672">
        <f t="shared" si="713"/>
        <v>-2.4813952160179963E-2</v>
      </c>
      <c r="K672">
        <v>0.5</v>
      </c>
      <c r="L672">
        <f t="shared" si="715"/>
        <v>4.8712285327811862E-2</v>
      </c>
      <c r="M672">
        <f t="shared" si="710"/>
        <v>1.9323836033732875E-2</v>
      </c>
      <c r="N672">
        <f t="shared" ref="N672:O672" si="773">AVERAGE(G670:G672)</f>
        <v>0.45376920419197736</v>
      </c>
      <c r="O672">
        <f t="shared" si="773"/>
        <v>0.44904423765310303</v>
      </c>
      <c r="P672">
        <f t="shared" si="717"/>
        <v>6.0381476830960588E-2</v>
      </c>
      <c r="Q672">
        <f t="shared" si="718"/>
        <v>2.0470168408389434E-2</v>
      </c>
      <c r="R672">
        <f t="shared" si="719"/>
        <v>1.9093011331643147E-2</v>
      </c>
    </row>
    <row r="673" spans="1:18" x14ac:dyDescent="0.25">
      <c r="A673" s="18">
        <f t="shared" si="712"/>
        <v>37926</v>
      </c>
      <c r="B673">
        <f>'2-state flows'!B672</f>
        <v>147000</v>
      </c>
      <c r="C673">
        <f>'2-state flows'!C672</f>
        <v>8576</v>
      </c>
      <c r="D673">
        <f>'Composite HWI'!B636*48.35347462</f>
        <v>3258.5406546417998</v>
      </c>
      <c r="E673">
        <f t="shared" si="707"/>
        <v>5.8340136054421766E-2</v>
      </c>
      <c r="F673">
        <f t="shared" si="708"/>
        <v>2.2166943228855783E-2</v>
      </c>
      <c r="G673">
        <f>'2-state flows'!G672</f>
        <v>0.4710564220436132</v>
      </c>
      <c r="H673">
        <f t="shared" si="709"/>
        <v>0.4753821299626827</v>
      </c>
      <c r="I673">
        <f>'2-state flows'!H672</f>
        <v>2.6808778852741577E-2</v>
      </c>
      <c r="J673">
        <f t="shared" si="713"/>
        <v>-3.912750980550319E-2</v>
      </c>
      <c r="K673">
        <v>0.5</v>
      </c>
      <c r="L673">
        <f t="shared" si="715"/>
        <v>-2.9542734283194517E-2</v>
      </c>
      <c r="M673">
        <f t="shared" si="710"/>
        <v>2.2831584665822646E-2</v>
      </c>
      <c r="N673">
        <f t="shared" ref="N673:O673" si="774">AVERAGE(G671:G673)</f>
        <v>0.46730667356493766</v>
      </c>
      <c r="O673">
        <f t="shared" si="774"/>
        <v>0.4583081105392699</v>
      </c>
      <c r="P673">
        <f t="shared" si="717"/>
        <v>5.9579403753445233E-2</v>
      </c>
      <c r="Q673">
        <f t="shared" si="718"/>
        <v>2.1038693973045985E-2</v>
      </c>
      <c r="R673">
        <f t="shared" si="719"/>
        <v>2.0293680720149782E-2</v>
      </c>
    </row>
    <row r="674" spans="1:18" x14ac:dyDescent="0.25">
      <c r="A674" s="18">
        <f t="shared" si="712"/>
        <v>37956</v>
      </c>
      <c r="B674">
        <f>'2-state flows'!B673</f>
        <v>146729</v>
      </c>
      <c r="C674">
        <f>'2-state flows'!C673</f>
        <v>8317</v>
      </c>
      <c r="D674">
        <f>'Composite HWI'!B637*48.35347462</f>
        <v>3209.2201105294002</v>
      </c>
      <c r="E674">
        <f t="shared" si="707"/>
        <v>5.668272802240866E-2</v>
      </c>
      <c r="F674">
        <f t="shared" si="708"/>
        <v>2.1871750714101509E-2</v>
      </c>
      <c r="G674">
        <f>'2-state flows'!G673</f>
        <v>0.45904549347158924</v>
      </c>
      <c r="H674">
        <f t="shared" si="709"/>
        <v>0.47906017439547477</v>
      </c>
      <c r="I674">
        <f>'2-state flows'!H673</f>
        <v>2.8067173815642749E-2</v>
      </c>
      <c r="J674">
        <f t="shared" si="713"/>
        <v>4.5871298847969477E-2</v>
      </c>
      <c r="K674">
        <v>0.5</v>
      </c>
      <c r="L674">
        <f t="shared" si="715"/>
        <v>6.2199863412744437E-2</v>
      </c>
      <c r="M674">
        <f t="shared" si="710"/>
        <v>2.0552776041862078E-2</v>
      </c>
      <c r="N674">
        <f t="shared" ref="N674:O674" si="775">AVERAGE(G672:G674)</f>
        <v>0.4644168290096502</v>
      </c>
      <c r="O674">
        <f t="shared" si="775"/>
        <v>0.46823983320334311</v>
      </c>
      <c r="P674">
        <f t="shared" si="717"/>
        <v>5.8179736193044729E-2</v>
      </c>
      <c r="Q674">
        <f t="shared" si="718"/>
        <v>2.144238055868054E-2</v>
      </c>
      <c r="R674">
        <f t="shared" si="719"/>
        <v>2.0902732247139202E-2</v>
      </c>
    </row>
    <row r="675" spans="1:18" x14ac:dyDescent="0.25">
      <c r="A675" s="18">
        <f t="shared" si="712"/>
        <v>37987</v>
      </c>
      <c r="B675">
        <f>'2-state flows'!B674</f>
        <v>146842</v>
      </c>
      <c r="C675">
        <f>'2-state flows'!C674</f>
        <v>8370</v>
      </c>
      <c r="D675">
        <f>'Composite HWI'!B638*48.35347462</f>
        <v>3244.0346122558003</v>
      </c>
      <c r="E675">
        <f t="shared" si="707"/>
        <v>5.7000040860244343E-2</v>
      </c>
      <c r="F675">
        <f t="shared" si="708"/>
        <v>2.209200781966876E-2</v>
      </c>
      <c r="G675">
        <f>'2-state flows'!G674</f>
        <v>0.44680993940322322</v>
      </c>
      <c r="H675">
        <f t="shared" si="709"/>
        <v>0.48012428907871435</v>
      </c>
      <c r="I675">
        <f>'2-state flows'!H674</f>
        <v>2.5168545480489683E-2</v>
      </c>
      <c r="J675">
        <f t="shared" si="713"/>
        <v>-0.10900568220364494</v>
      </c>
      <c r="K675">
        <v>0.5</v>
      </c>
      <c r="L675">
        <f t="shared" si="715"/>
        <v>-0.15581150099454544</v>
      </c>
      <c r="M675">
        <f t="shared" si="710"/>
        <v>2.5816850709123117E-2</v>
      </c>
      <c r="N675">
        <f t="shared" ref="N675:O675" si="776">AVERAGE(G673:G675)</f>
        <v>0.45897061830614189</v>
      </c>
      <c r="O675">
        <f t="shared" si="776"/>
        <v>0.47818886447895731</v>
      </c>
      <c r="P675">
        <f t="shared" si="717"/>
        <v>5.7340968312358263E-2</v>
      </c>
      <c r="Q675">
        <f t="shared" si="718"/>
        <v>2.2043567254208685E-2</v>
      </c>
      <c r="R675">
        <f t="shared" si="719"/>
        <v>2.3067070472269285E-2</v>
      </c>
    </row>
    <row r="676" spans="1:18" x14ac:dyDescent="0.25">
      <c r="A676" s="18">
        <f t="shared" si="712"/>
        <v>38018</v>
      </c>
      <c r="B676">
        <f>'2-state flows'!B675</f>
        <v>146709</v>
      </c>
      <c r="C676">
        <f>'2-state flows'!C675</f>
        <v>8167</v>
      </c>
      <c r="D676">
        <f>'Composite HWI'!B639*48.35347462</f>
        <v>3452.9216226141998</v>
      </c>
      <c r="E676">
        <f t="shared" si="707"/>
        <v>5.5668023093334421E-2</v>
      </c>
      <c r="F676">
        <f t="shared" si="708"/>
        <v>2.3535854123565698E-2</v>
      </c>
      <c r="G676">
        <f>'2-state flows'!G675</f>
        <v>0.40777952668769213</v>
      </c>
      <c r="H676">
        <f t="shared" si="709"/>
        <v>0.50145936791869594</v>
      </c>
      <c r="I676">
        <f>'2-state flows'!H675</f>
        <v>2.6922111256452268E-2</v>
      </c>
      <c r="J676">
        <f t="shared" si="713"/>
        <v>6.7352909106947953E-2</v>
      </c>
      <c r="K676">
        <v>0.5</v>
      </c>
      <c r="L676">
        <f t="shared" si="715"/>
        <v>-2.1105682780649532E-2</v>
      </c>
      <c r="M676">
        <f t="shared" si="710"/>
        <v>2.4037873490187722E-2</v>
      </c>
      <c r="N676">
        <f t="shared" ref="N676:O676" si="777">AVERAGE(G674:G676)</f>
        <v>0.4378783198541682</v>
      </c>
      <c r="O676">
        <f t="shared" si="777"/>
        <v>0.48688127713096163</v>
      </c>
      <c r="P676">
        <f t="shared" si="717"/>
        <v>5.6450263991995799E-2</v>
      </c>
      <c r="Q676">
        <f t="shared" si="718"/>
        <v>2.2499870885778653E-2</v>
      </c>
      <c r="R676">
        <f t="shared" si="719"/>
        <v>2.3469166747057638E-2</v>
      </c>
    </row>
    <row r="677" spans="1:18" x14ac:dyDescent="0.25">
      <c r="A677" s="18">
        <f t="shared" si="712"/>
        <v>38047</v>
      </c>
      <c r="B677">
        <f>'2-state flows'!B676</f>
        <v>146944</v>
      </c>
      <c r="C677">
        <f>'2-state flows'!C676</f>
        <v>8491</v>
      </c>
      <c r="D677">
        <f>'Composite HWI'!B640*48.35347462</f>
        <v>3404.0846132480001</v>
      </c>
      <c r="E677">
        <f t="shared" si="707"/>
        <v>5.778391768292683E-2</v>
      </c>
      <c r="F677">
        <f t="shared" si="708"/>
        <v>2.3165863276132403E-2</v>
      </c>
      <c r="G677">
        <f>'2-state flows'!G676</f>
        <v>0.54058936986659134</v>
      </c>
      <c r="H677">
        <f t="shared" si="709"/>
        <v>0.48830865198778822</v>
      </c>
      <c r="I677">
        <f>'2-state flows'!H676</f>
        <v>3.0110446158747622E-2</v>
      </c>
      <c r="J677">
        <f t="shared" si="713"/>
        <v>0.11192423124964059</v>
      </c>
      <c r="K677">
        <v>0.5</v>
      </c>
      <c r="L677">
        <f t="shared" si="715"/>
        <v>0.20274277971863164</v>
      </c>
      <c r="M677">
        <f t="shared" si="710"/>
        <v>1.8914654743297902E-2</v>
      </c>
      <c r="N677">
        <f t="shared" ref="N677:O677" si="778">AVERAGE(G675:G677)</f>
        <v>0.46505961198583562</v>
      </c>
      <c r="O677">
        <f t="shared" si="778"/>
        <v>0.48996410299506615</v>
      </c>
      <c r="P677">
        <f t="shared" si="717"/>
        <v>5.6817327212168534E-2</v>
      </c>
      <c r="Q677">
        <f t="shared" si="718"/>
        <v>2.2931241739788954E-2</v>
      </c>
      <c r="R677">
        <f t="shared" si="719"/>
        <v>2.2923126314202912E-2</v>
      </c>
    </row>
    <row r="678" spans="1:18" x14ac:dyDescent="0.25">
      <c r="A678" s="18">
        <f t="shared" si="712"/>
        <v>38078</v>
      </c>
      <c r="B678">
        <f>'2-state flows'!B677</f>
        <v>146850</v>
      </c>
      <c r="C678">
        <f>'2-state flows'!C677</f>
        <v>8170</v>
      </c>
      <c r="D678">
        <f>'Composite HWI'!B641*48.35347462</f>
        <v>3354.7640691355996</v>
      </c>
      <c r="E678">
        <f t="shared" si="707"/>
        <v>5.5635001702417433E-2</v>
      </c>
      <c r="F678">
        <f t="shared" si="708"/>
        <v>2.2844835336299621E-2</v>
      </c>
      <c r="G678">
        <f>'2-state flows'!G677</f>
        <v>0.4804234558517041</v>
      </c>
      <c r="H678">
        <f t="shared" si="709"/>
        <v>0.49418963189564818</v>
      </c>
      <c r="I678">
        <f>'2-state flows'!H677</f>
        <v>2.8689459629306378E-2</v>
      </c>
      <c r="J678">
        <f t="shared" si="713"/>
        <v>-4.8342365004737611E-2</v>
      </c>
      <c r="K678">
        <v>0.5</v>
      </c>
      <c r="L678">
        <f t="shared" si="715"/>
        <v>0.10605804970915642</v>
      </c>
      <c r="M678">
        <f t="shared" si="710"/>
        <v>2.054601525787535E-2</v>
      </c>
      <c r="N678">
        <f t="shared" ref="N678:O678" si="779">AVERAGE(G676:G678)</f>
        <v>0.47626411746866254</v>
      </c>
      <c r="O678">
        <f t="shared" si="779"/>
        <v>0.49465255060071084</v>
      </c>
      <c r="P678">
        <f t="shared" si="717"/>
        <v>5.6362314159559557E-2</v>
      </c>
      <c r="Q678">
        <f t="shared" si="718"/>
        <v>2.3182184245332572E-2</v>
      </c>
      <c r="R678">
        <f t="shared" si="719"/>
        <v>2.116618116378699E-2</v>
      </c>
    </row>
    <row r="679" spans="1:18" x14ac:dyDescent="0.25">
      <c r="A679" s="18">
        <f t="shared" si="712"/>
        <v>38108</v>
      </c>
      <c r="B679">
        <f>'2-state flows'!B678</f>
        <v>147065</v>
      </c>
      <c r="C679">
        <f>'2-state flows'!C678</f>
        <v>8212</v>
      </c>
      <c r="D679">
        <f>'Composite HWI'!B642*48.35347462</f>
        <v>3482.4172421323997</v>
      </c>
      <c r="E679">
        <f t="shared" si="707"/>
        <v>5.5839254751300443E-2</v>
      </c>
      <c r="F679">
        <f t="shared" si="708"/>
        <v>2.36794427099065E-2</v>
      </c>
      <c r="G679">
        <f>'2-state flows'!G678</f>
        <v>0.46066017736971598</v>
      </c>
      <c r="H679">
        <f t="shared" si="709"/>
        <v>0.50221490563591531</v>
      </c>
      <c r="I679">
        <f>'2-state flows'!H678</f>
        <v>2.7917905436641868E-2</v>
      </c>
      <c r="J679">
        <f t="shared" si="713"/>
        <v>-2.7261540103646162E-2</v>
      </c>
      <c r="K679">
        <v>0.5</v>
      </c>
      <c r="L679">
        <f t="shared" si="715"/>
        <v>5.1534969501864092E-2</v>
      </c>
      <c r="M679">
        <f t="shared" si="710"/>
        <v>2.2490034635880559E-2</v>
      </c>
      <c r="N679">
        <f t="shared" ref="N679:O679" si="780">AVERAGE(G677:G679)</f>
        <v>0.49389100102933714</v>
      </c>
      <c r="O679">
        <f t="shared" si="780"/>
        <v>0.49490439650645057</v>
      </c>
      <c r="P679">
        <f t="shared" si="717"/>
        <v>5.6419391378881571E-2</v>
      </c>
      <c r="Q679">
        <f t="shared" si="718"/>
        <v>2.3230047107446177E-2</v>
      </c>
      <c r="R679">
        <f t="shared" si="719"/>
        <v>2.0650234879017935E-2</v>
      </c>
    </row>
    <row r="680" spans="1:18" x14ac:dyDescent="0.25">
      <c r="A680" s="18">
        <f t="shared" si="712"/>
        <v>38139</v>
      </c>
      <c r="B680">
        <f>'2-state flows'!B679</f>
        <v>147460</v>
      </c>
      <c r="C680">
        <f>'2-state flows'!C679</f>
        <v>8286</v>
      </c>
      <c r="D680">
        <f>'Composite HWI'!B643*48.35347462</f>
        <v>3432.6131632737997</v>
      </c>
      <c r="E680">
        <f t="shared" ref="E680:E743" si="781">C680/B680</f>
        <v>5.6191509561915098E-2</v>
      </c>
      <c r="F680">
        <f t="shared" ref="F680:F743" si="782">D680/B680</f>
        <v>2.3278266399523937E-2</v>
      </c>
      <c r="G680">
        <f>'2-state flows'!G679</f>
        <v>0.53254173883144706</v>
      </c>
      <c r="H680">
        <f t="shared" ref="H680:H743" si="783">0.771211801*(F680/E680)^0.5</f>
        <v>0.49637926744082661</v>
      </c>
      <c r="I680">
        <f>'2-state flows'!H679</f>
        <v>3.0296527721667958E-2</v>
      </c>
      <c r="J680">
        <f t="shared" si="713"/>
        <v>8.1764854401570428E-2</v>
      </c>
      <c r="K680">
        <v>0.5</v>
      </c>
      <c r="L680">
        <f t="shared" si="715"/>
        <v>0.21506467830500495</v>
      </c>
      <c r="M680">
        <f t="shared" ref="M680:M743" si="784">F680/EXP(L680)</f>
        <v>1.8773672218137086E-2</v>
      </c>
      <c r="N680">
        <f t="shared" ref="N680:O680" si="785">AVERAGE(G678:G680)</f>
        <v>0.4912084573509557</v>
      </c>
      <c r="O680">
        <f t="shared" si="785"/>
        <v>0.49759460165746344</v>
      </c>
      <c r="P680">
        <f t="shared" si="717"/>
        <v>5.5888588671877661E-2</v>
      </c>
      <c r="Q680">
        <f t="shared" si="718"/>
        <v>2.3267514815243352E-2</v>
      </c>
      <c r="R680">
        <f t="shared" si="719"/>
        <v>2.060324070396433E-2</v>
      </c>
    </row>
    <row r="681" spans="1:18" x14ac:dyDescent="0.25">
      <c r="A681" s="18">
        <f t="shared" ref="A681:A744" si="786">DATE(YEAR(A680),MONTH(A680)+1,1)</f>
        <v>38169</v>
      </c>
      <c r="B681">
        <f>'2-state flows'!B680</f>
        <v>147692</v>
      </c>
      <c r="C681">
        <f>'2-state flows'!C680</f>
        <v>8136</v>
      </c>
      <c r="D681">
        <f>'Composite HWI'!B644*48.35347462</f>
        <v>3381.8420149228</v>
      </c>
      <c r="E681">
        <f t="shared" si="781"/>
        <v>5.5087614765864094E-2</v>
      </c>
      <c r="F681">
        <f t="shared" si="782"/>
        <v>2.2897936346740515E-2</v>
      </c>
      <c r="G681">
        <f>'2-state flows'!G680</f>
        <v>0.50616589737016404</v>
      </c>
      <c r="H681">
        <f t="shared" si="783"/>
        <v>0.49721572381865686</v>
      </c>
      <c r="I681">
        <f>'2-state flows'!H680</f>
        <v>2.8158608987517798E-2</v>
      </c>
      <c r="J681">
        <f t="shared" ref="J681:J744" si="787">LN(I681/I680)</f>
        <v>-7.3179975984300566E-2</v>
      </c>
      <c r="K681">
        <v>0.5</v>
      </c>
      <c r="L681">
        <f t="shared" si="715"/>
        <v>6.8704726336403815E-2</v>
      </c>
      <c r="M681">
        <f t="shared" si="784"/>
        <v>2.1377566211613127E-2</v>
      </c>
      <c r="N681">
        <f t="shared" ref="N681:O681" si="788">AVERAGE(G679:G681)</f>
        <v>0.49978927119044236</v>
      </c>
      <c r="O681">
        <f t="shared" si="788"/>
        <v>0.49860329896513295</v>
      </c>
      <c r="P681">
        <f t="shared" si="717"/>
        <v>5.5706126359693214E-2</v>
      </c>
      <c r="Q681">
        <f t="shared" si="718"/>
        <v>2.3285215152056987E-2</v>
      </c>
      <c r="R681">
        <f t="shared" si="719"/>
        <v>2.0880424355210259E-2</v>
      </c>
    </row>
    <row r="682" spans="1:18" x14ac:dyDescent="0.25">
      <c r="A682" s="18">
        <f t="shared" si="786"/>
        <v>38200</v>
      </c>
      <c r="B682">
        <f>'2-state flows'!B681</f>
        <v>147564</v>
      </c>
      <c r="C682">
        <f>'2-state flows'!C681</f>
        <v>7990</v>
      </c>
      <c r="D682">
        <f>'Composite HWI'!B645*48.35347462</f>
        <v>3422.4589336036001</v>
      </c>
      <c r="E682">
        <f t="shared" si="781"/>
        <v>5.4145997668808107E-2</v>
      </c>
      <c r="F682">
        <f t="shared" si="782"/>
        <v>2.3193047990049065E-2</v>
      </c>
      <c r="G682">
        <f>'2-state flows'!G681</f>
        <v>0.52474770308626417</v>
      </c>
      <c r="H682">
        <f t="shared" si="783"/>
        <v>0.50474194819353035</v>
      </c>
      <c r="I682">
        <f>'2-state flows'!H681</f>
        <v>2.9451564208073183E-2</v>
      </c>
      <c r="J682">
        <f t="shared" si="787"/>
        <v>4.4893889393645962E-2</v>
      </c>
      <c r="K682">
        <v>0.5</v>
      </c>
      <c r="L682">
        <f t="shared" ref="L682:L745" si="789">L681+J682/(1-K682)</f>
        <v>0.15849250512369573</v>
      </c>
      <c r="M682">
        <f t="shared" si="784"/>
        <v>1.9793628105251364E-2</v>
      </c>
      <c r="N682">
        <f t="shared" ref="N682:O682" si="790">AVERAGE(G680:G682)</f>
        <v>0.52115177976262506</v>
      </c>
      <c r="O682">
        <f t="shared" si="790"/>
        <v>0.49944564648433792</v>
      </c>
      <c r="P682">
        <f t="shared" ref="P682:P745" si="791">AVERAGE(E680:E682)</f>
        <v>5.5141707332195776E-2</v>
      </c>
      <c r="Q682">
        <f t="shared" ref="Q682:Q745" si="792">AVERAGE(F680:F682)</f>
        <v>2.3123083578771172E-2</v>
      </c>
      <c r="R682">
        <f t="shared" ref="R682:R745" si="793">AVERAGE(M680:M682)</f>
        <v>1.9981622178333859E-2</v>
      </c>
    </row>
    <row r="683" spans="1:18" x14ac:dyDescent="0.25">
      <c r="A683" s="18">
        <f t="shared" si="786"/>
        <v>38231</v>
      </c>
      <c r="B683">
        <f>'2-state flows'!B682</f>
        <v>147415</v>
      </c>
      <c r="C683">
        <f>'2-state flows'!C682</f>
        <v>7927</v>
      </c>
      <c r="D683">
        <f>'Composite HWI'!B646*48.35347462</f>
        <v>3370.2371810140003</v>
      </c>
      <c r="E683">
        <f t="shared" si="781"/>
        <v>5.3773360919852117E-2</v>
      </c>
      <c r="F683">
        <f t="shared" si="782"/>
        <v>2.2862240484441885E-2</v>
      </c>
      <c r="G683">
        <f>'2-state flows'!G682</f>
        <v>0.48269796617559879</v>
      </c>
      <c r="H683">
        <f t="shared" si="783"/>
        <v>0.50286275469710984</v>
      </c>
      <c r="I683">
        <f>'2-state flows'!H682</f>
        <v>2.8658485931940866E-2</v>
      </c>
      <c r="J683">
        <f t="shared" si="787"/>
        <v>-2.729743032217263E-2</v>
      </c>
      <c r="K683">
        <v>0.5</v>
      </c>
      <c r="L683">
        <f t="shared" si="789"/>
        <v>0.10389764447935046</v>
      </c>
      <c r="M683">
        <f t="shared" si="784"/>
        <v>2.0606138524405494E-2</v>
      </c>
      <c r="N683">
        <f t="shared" ref="N683:O683" si="794">AVERAGE(G681:G683)</f>
        <v>0.50453718887734234</v>
      </c>
      <c r="O683">
        <f t="shared" si="794"/>
        <v>0.50160680890309906</v>
      </c>
      <c r="P683">
        <f t="shared" si="791"/>
        <v>5.433565778484143E-2</v>
      </c>
      <c r="Q683">
        <f t="shared" si="792"/>
        <v>2.2984408273743821E-2</v>
      </c>
      <c r="R683">
        <f t="shared" si="793"/>
        <v>2.0592444280423328E-2</v>
      </c>
    </row>
    <row r="684" spans="1:18" x14ac:dyDescent="0.25">
      <c r="A684" s="18">
        <f t="shared" si="786"/>
        <v>38261</v>
      </c>
      <c r="B684">
        <f>'2-state flows'!B683</f>
        <v>147793</v>
      </c>
      <c r="C684">
        <f>'2-state flows'!C683</f>
        <v>8061</v>
      </c>
      <c r="D684">
        <f>'Composite HWI'!B647*48.35347462</f>
        <v>3506.5939794423998</v>
      </c>
      <c r="E684">
        <f t="shared" si="781"/>
        <v>5.4542502012950543E-2</v>
      </c>
      <c r="F684">
        <f t="shared" si="782"/>
        <v>2.3726387443535214E-2</v>
      </c>
      <c r="G684">
        <f>'2-state flows'!G683</f>
        <v>0.50354950838993151</v>
      </c>
      <c r="H684">
        <f t="shared" si="783"/>
        <v>0.50865339473160587</v>
      </c>
      <c r="I684">
        <f>'2-state flows'!H683</f>
        <v>2.7859152848067892E-2</v>
      </c>
      <c r="J684">
        <f t="shared" si="787"/>
        <v>-2.8288031965297819E-2</v>
      </c>
      <c r="K684">
        <v>0.5</v>
      </c>
      <c r="L684">
        <f t="shared" si="789"/>
        <v>4.7321580548754821E-2</v>
      </c>
      <c r="M684">
        <f t="shared" si="784"/>
        <v>2.2629768786515354E-2</v>
      </c>
      <c r="N684">
        <f t="shared" ref="N684:O684" si="795">AVERAGE(G682:G684)</f>
        <v>0.50366505921726479</v>
      </c>
      <c r="O684">
        <f t="shared" si="795"/>
        <v>0.50541936587408198</v>
      </c>
      <c r="P684">
        <f t="shared" si="791"/>
        <v>5.4153953533870258E-2</v>
      </c>
      <c r="Q684">
        <f t="shared" si="792"/>
        <v>2.3260558639342052E-2</v>
      </c>
      <c r="R684">
        <f t="shared" si="793"/>
        <v>2.100984513872407E-2</v>
      </c>
    </row>
    <row r="685" spans="1:18" x14ac:dyDescent="0.25">
      <c r="A685" s="18">
        <f t="shared" si="786"/>
        <v>38292</v>
      </c>
      <c r="B685">
        <f>'2-state flows'!B684</f>
        <v>148162</v>
      </c>
      <c r="C685">
        <f>'2-state flows'!C684</f>
        <v>7932</v>
      </c>
      <c r="D685">
        <f>'Composite HWI'!B648*48.35347462</f>
        <v>3454.3722268527999</v>
      </c>
      <c r="E685">
        <f t="shared" si="781"/>
        <v>5.3535994384525047E-2</v>
      </c>
      <c r="F685">
        <f t="shared" si="782"/>
        <v>2.3314832594408821E-2</v>
      </c>
      <c r="G685">
        <f>'2-state flows'!G684</f>
        <v>0.51843561248640846</v>
      </c>
      <c r="H685">
        <f t="shared" si="783"/>
        <v>0.50894034555683565</v>
      </c>
      <c r="I685">
        <f>'2-state flows'!H684</f>
        <v>2.9343427292932898E-2</v>
      </c>
      <c r="J685">
        <f t="shared" si="787"/>
        <v>5.1907018450249198E-2</v>
      </c>
      <c r="K685">
        <v>0.5</v>
      </c>
      <c r="L685">
        <f t="shared" si="789"/>
        <v>0.15113561744925322</v>
      </c>
      <c r="M685">
        <f t="shared" si="784"/>
        <v>2.0044486584446526E-2</v>
      </c>
      <c r="N685">
        <f t="shared" ref="N685:O685" si="796">AVERAGE(G683:G685)</f>
        <v>0.50156102901731292</v>
      </c>
      <c r="O685">
        <f t="shared" si="796"/>
        <v>0.50681883166185049</v>
      </c>
      <c r="P685">
        <f t="shared" si="791"/>
        <v>5.39506191057759E-2</v>
      </c>
      <c r="Q685">
        <f t="shared" si="792"/>
        <v>2.330115350746197E-2</v>
      </c>
      <c r="R685">
        <f t="shared" si="793"/>
        <v>2.1093464631789127E-2</v>
      </c>
    </row>
    <row r="686" spans="1:18" x14ac:dyDescent="0.25">
      <c r="A686" s="18">
        <f t="shared" si="786"/>
        <v>38322</v>
      </c>
      <c r="B686">
        <f>'2-state flows'!B685</f>
        <v>148059</v>
      </c>
      <c r="C686">
        <f>'2-state flows'!C685</f>
        <v>7934</v>
      </c>
      <c r="D686">
        <f>'Composite HWI'!B649*48.35347462</f>
        <v>3691.7877872369995</v>
      </c>
      <c r="E686">
        <f t="shared" si="781"/>
        <v>5.3586745824299772E-2</v>
      </c>
      <c r="F686">
        <f t="shared" si="782"/>
        <v>2.4934571942516155E-2</v>
      </c>
      <c r="G686">
        <f>'2-state flows'!G685</f>
        <v>0.51778195359457813</v>
      </c>
      <c r="H686">
        <f t="shared" si="783"/>
        <v>0.52607290311626953</v>
      </c>
      <c r="I686">
        <f>'2-state flows'!H685</f>
        <v>2.7928275398146303E-2</v>
      </c>
      <c r="J686">
        <f t="shared" si="787"/>
        <v>-4.9428948117060771E-2</v>
      </c>
      <c r="K686">
        <v>0.5</v>
      </c>
      <c r="L686">
        <f t="shared" si="789"/>
        <v>5.2277721215131676E-2</v>
      </c>
      <c r="M686">
        <f t="shared" si="784"/>
        <v>2.3664535871047384E-2</v>
      </c>
      <c r="N686">
        <f t="shared" ref="N686:O686" si="797">AVERAGE(G684:G686)</f>
        <v>0.51325569149030603</v>
      </c>
      <c r="O686">
        <f t="shared" si="797"/>
        <v>0.51455554780157031</v>
      </c>
      <c r="P686">
        <f t="shared" si="791"/>
        <v>5.3888414073925119E-2</v>
      </c>
      <c r="Q686">
        <f t="shared" si="792"/>
        <v>2.3991930660153395E-2</v>
      </c>
      <c r="R686">
        <f t="shared" si="793"/>
        <v>2.2112930414003088E-2</v>
      </c>
    </row>
    <row r="687" spans="1:18" x14ac:dyDescent="0.25">
      <c r="A687" s="18">
        <f t="shared" si="786"/>
        <v>38353</v>
      </c>
      <c r="B687">
        <f>'2-state flows'!B686</f>
        <v>148029</v>
      </c>
      <c r="C687">
        <f>'2-state flows'!C686</f>
        <v>7784</v>
      </c>
      <c r="D687">
        <f>'Composite HWI'!B650*48.35347462</f>
        <v>4132.7714757714002</v>
      </c>
      <c r="E687">
        <f t="shared" si="781"/>
        <v>5.2584290915969167E-2</v>
      </c>
      <c r="F687">
        <f t="shared" si="782"/>
        <v>2.7918661044602073E-2</v>
      </c>
      <c r="G687">
        <f>'2-state flows'!G686</f>
        <v>0.48529779158961023</v>
      </c>
      <c r="H687">
        <f t="shared" si="783"/>
        <v>0.56194388355071356</v>
      </c>
      <c r="I687">
        <f>'2-state flows'!H686</f>
        <v>2.8722796769941526E-2</v>
      </c>
      <c r="J687">
        <f t="shared" si="787"/>
        <v>2.8051489248770569E-2</v>
      </c>
      <c r="K687">
        <v>0.5</v>
      </c>
      <c r="L687">
        <f t="shared" si="789"/>
        <v>0.10838069971267281</v>
      </c>
      <c r="M687">
        <f t="shared" si="784"/>
        <v>2.5051021876610447E-2</v>
      </c>
      <c r="N687">
        <f t="shared" ref="N687:O687" si="798">AVERAGE(G685:G687)</f>
        <v>0.50717178589019896</v>
      </c>
      <c r="O687">
        <f t="shared" si="798"/>
        <v>0.53231904407460628</v>
      </c>
      <c r="P687">
        <f t="shared" si="791"/>
        <v>5.3235677041597991E-2</v>
      </c>
      <c r="Q687">
        <f t="shared" si="792"/>
        <v>2.5389355193842347E-2</v>
      </c>
      <c r="R687">
        <f t="shared" si="793"/>
        <v>2.2920014777368117E-2</v>
      </c>
    </row>
    <row r="688" spans="1:18" x14ac:dyDescent="0.25">
      <c r="A688" s="18">
        <f t="shared" si="786"/>
        <v>38384</v>
      </c>
      <c r="B688">
        <f>'2-state flows'!B687</f>
        <v>148364</v>
      </c>
      <c r="C688">
        <f>'2-state flows'!C687</f>
        <v>7980</v>
      </c>
      <c r="D688">
        <f>'Composite HWI'!B651*48.35347462</f>
        <v>4086.3521401362004</v>
      </c>
      <c r="E688">
        <f t="shared" si="781"/>
        <v>5.3786632875899812E-2</v>
      </c>
      <c r="F688">
        <f t="shared" si="782"/>
        <v>2.754274716330242E-2</v>
      </c>
      <c r="G688">
        <f>'2-state flows'!G687</f>
        <v>0.49657509851423803</v>
      </c>
      <c r="H688">
        <f t="shared" si="783"/>
        <v>0.55187423047539963</v>
      </c>
      <c r="I688">
        <f>'2-state flows'!H687</f>
        <v>2.6004891634691652E-2</v>
      </c>
      <c r="J688">
        <f t="shared" si="787"/>
        <v>-9.94064598865953E-2</v>
      </c>
      <c r="K688">
        <v>0.5</v>
      </c>
      <c r="L688">
        <f t="shared" si="789"/>
        <v>-9.0432220060517793E-2</v>
      </c>
      <c r="M688">
        <f t="shared" si="784"/>
        <v>3.0149594092283127E-2</v>
      </c>
      <c r="N688">
        <f t="shared" ref="N688:O688" si="799">AVERAGE(G686:G688)</f>
        <v>0.49988494789947552</v>
      </c>
      <c r="O688">
        <f t="shared" si="799"/>
        <v>0.54663033904746094</v>
      </c>
      <c r="P688">
        <f t="shared" si="791"/>
        <v>5.3319223205389586E-2</v>
      </c>
      <c r="Q688">
        <f t="shared" si="792"/>
        <v>2.6798660050140217E-2</v>
      </c>
      <c r="R688">
        <f t="shared" si="793"/>
        <v>2.6288383946646985E-2</v>
      </c>
    </row>
    <row r="689" spans="1:18" x14ac:dyDescent="0.25">
      <c r="A689" s="18">
        <f t="shared" si="786"/>
        <v>38412</v>
      </c>
      <c r="B689">
        <f>'2-state flows'!B688</f>
        <v>148391</v>
      </c>
      <c r="C689">
        <f>'2-state flows'!C688</f>
        <v>7737</v>
      </c>
      <c r="D689">
        <f>'Composite HWI'!B652*48.35347462</f>
        <v>3937.4234383066005</v>
      </c>
      <c r="E689">
        <f t="shared" si="781"/>
        <v>5.2139280684138527E-2</v>
      </c>
      <c r="F689">
        <f t="shared" si="782"/>
        <v>2.6534112165202746E-2</v>
      </c>
      <c r="G689">
        <f>'2-state flows'!G688</f>
        <v>0.53002561505415935</v>
      </c>
      <c r="H689">
        <f t="shared" si="783"/>
        <v>0.55016559646071805</v>
      </c>
      <c r="I689">
        <f>'2-state flows'!H688</f>
        <v>2.8552142696856006E-2</v>
      </c>
      <c r="J689">
        <f t="shared" si="787"/>
        <v>9.3447323842583779E-2</v>
      </c>
      <c r="K689">
        <v>0.5</v>
      </c>
      <c r="L689">
        <f t="shared" si="789"/>
        <v>9.6462427624649766E-2</v>
      </c>
      <c r="M689">
        <f t="shared" si="784"/>
        <v>2.40941417271563E-2</v>
      </c>
      <c r="N689">
        <f t="shared" ref="N689:O689" si="800">AVERAGE(G687:G689)</f>
        <v>0.5039661683860025</v>
      </c>
      <c r="O689">
        <f t="shared" si="800"/>
        <v>0.55466123682894375</v>
      </c>
      <c r="P689">
        <f t="shared" si="791"/>
        <v>5.2836734825335831E-2</v>
      </c>
      <c r="Q689">
        <f t="shared" si="792"/>
        <v>2.7331840124369077E-2</v>
      </c>
      <c r="R689">
        <f t="shared" si="793"/>
        <v>2.6431585898683291E-2</v>
      </c>
    </row>
    <row r="690" spans="1:18" x14ac:dyDescent="0.25">
      <c r="A690" s="18">
        <f t="shared" si="786"/>
        <v>38443</v>
      </c>
      <c r="B690">
        <f>'2-state flows'!B689</f>
        <v>148926</v>
      </c>
      <c r="C690">
        <f>'2-state flows'!C689</f>
        <v>7672</v>
      </c>
      <c r="D690">
        <f>'Composite HWI'!B653*48.35347462</f>
        <v>3989.6451908962003</v>
      </c>
      <c r="E690">
        <f t="shared" si="781"/>
        <v>5.1515517773927988E-2</v>
      </c>
      <c r="F690">
        <f t="shared" si="782"/>
        <v>2.6789447046829971E-2</v>
      </c>
      <c r="G690">
        <f>'2-state flows'!G689</f>
        <v>0.54324504827334597</v>
      </c>
      <c r="H690">
        <f t="shared" si="783"/>
        <v>0.55614304019189664</v>
      </c>
      <c r="I690">
        <f>'2-state flows'!H689</f>
        <v>2.9310275208740695E-2</v>
      </c>
      <c r="J690">
        <f t="shared" si="787"/>
        <v>2.6206160300040724E-2</v>
      </c>
      <c r="K690">
        <v>0.5</v>
      </c>
      <c r="L690">
        <f t="shared" si="789"/>
        <v>0.14887474822473121</v>
      </c>
      <c r="M690">
        <f t="shared" si="784"/>
        <v>2.3083851293062056E-2</v>
      </c>
      <c r="N690">
        <f t="shared" ref="N690:O690" si="801">AVERAGE(G688:G690)</f>
        <v>0.52328192061391443</v>
      </c>
      <c r="O690">
        <f t="shared" si="801"/>
        <v>0.55272762237600481</v>
      </c>
      <c r="P690">
        <f t="shared" si="791"/>
        <v>5.2480477111322109E-2</v>
      </c>
      <c r="Q690">
        <f t="shared" si="792"/>
        <v>2.6955435458445046E-2</v>
      </c>
      <c r="R690">
        <f t="shared" si="793"/>
        <v>2.5775862370833829E-2</v>
      </c>
    </row>
    <row r="691" spans="1:18" x14ac:dyDescent="0.25">
      <c r="A691" s="18">
        <f t="shared" si="786"/>
        <v>38473</v>
      </c>
      <c r="B691">
        <f>'2-state flows'!B690</f>
        <v>149261</v>
      </c>
      <c r="C691">
        <f>'2-state flows'!C690</f>
        <v>7651</v>
      </c>
      <c r="D691">
        <f>'Composite HWI'!B654*48.35347462</f>
        <v>3939.3575772914</v>
      </c>
      <c r="E691">
        <f t="shared" si="781"/>
        <v>5.125920367678094E-2</v>
      </c>
      <c r="F691">
        <f t="shared" si="782"/>
        <v>2.63924104574631E-2</v>
      </c>
      <c r="G691">
        <f>'2-state flows'!G690</f>
        <v>0.54428108581532053</v>
      </c>
      <c r="H691">
        <f t="shared" si="783"/>
        <v>0.55338485260418147</v>
      </c>
      <c r="I691">
        <f>'2-state flows'!H690</f>
        <v>2.822886892780516E-2</v>
      </c>
      <c r="J691">
        <f t="shared" si="787"/>
        <v>-3.7592969120481295E-2</v>
      </c>
      <c r="K691">
        <v>0.5</v>
      </c>
      <c r="L691">
        <f t="shared" si="789"/>
        <v>7.3688809983768616E-2</v>
      </c>
      <c r="M691">
        <f t="shared" si="784"/>
        <v>2.4517512942331877E-2</v>
      </c>
      <c r="N691">
        <f t="shared" ref="N691:O691" si="802">AVERAGE(G689:G691)</f>
        <v>0.53918391638094187</v>
      </c>
      <c r="O691">
        <f t="shared" si="802"/>
        <v>0.55323116308559872</v>
      </c>
      <c r="P691">
        <f t="shared" si="791"/>
        <v>5.1638000711615818E-2</v>
      </c>
      <c r="Q691">
        <f t="shared" si="792"/>
        <v>2.6571989889831938E-2</v>
      </c>
      <c r="R691">
        <f t="shared" si="793"/>
        <v>2.3898501987516741E-2</v>
      </c>
    </row>
    <row r="692" spans="1:18" x14ac:dyDescent="0.25">
      <c r="A692" s="18">
        <f t="shared" si="786"/>
        <v>38504</v>
      </c>
      <c r="B692">
        <f>'2-state flows'!B691</f>
        <v>149238</v>
      </c>
      <c r="C692">
        <f>'2-state flows'!C691</f>
        <v>7524</v>
      </c>
      <c r="D692">
        <f>'Composite HWI'!B655*48.35347462</f>
        <v>4337.3066734140002</v>
      </c>
      <c r="E692">
        <f t="shared" si="781"/>
        <v>5.0416113858400675E-2</v>
      </c>
      <c r="F692">
        <f t="shared" si="782"/>
        <v>2.9063017953966149E-2</v>
      </c>
      <c r="G692">
        <f>'2-state flows'!G691</f>
        <v>0.53034865166356038</v>
      </c>
      <c r="H692">
        <f t="shared" si="783"/>
        <v>0.58554373450370922</v>
      </c>
      <c r="I692">
        <f>'2-state flows'!H691</f>
        <v>2.7071536680442414E-2</v>
      </c>
      <c r="J692">
        <f t="shared" si="787"/>
        <v>-4.1862306211385425E-2</v>
      </c>
      <c r="K692">
        <v>0.5</v>
      </c>
      <c r="L692">
        <f t="shared" si="789"/>
        <v>-1.0035802439002234E-2</v>
      </c>
      <c r="M692">
        <f t="shared" si="784"/>
        <v>2.9356157143584805E-2</v>
      </c>
      <c r="N692">
        <f t="shared" ref="N692:O692" si="803">AVERAGE(G690:G692)</f>
        <v>0.53929159525074233</v>
      </c>
      <c r="O692">
        <f t="shared" si="803"/>
        <v>0.56502387576659574</v>
      </c>
      <c r="P692">
        <f t="shared" si="791"/>
        <v>5.1063611769703199E-2</v>
      </c>
      <c r="Q692">
        <f t="shared" si="792"/>
        <v>2.7414958486086407E-2</v>
      </c>
      <c r="R692">
        <f t="shared" si="793"/>
        <v>2.5652507126326246E-2</v>
      </c>
    </row>
    <row r="693" spans="1:18" x14ac:dyDescent="0.25">
      <c r="A693" s="18">
        <f t="shared" si="786"/>
        <v>38534</v>
      </c>
      <c r="B693">
        <f>'2-state flows'!B692</f>
        <v>149432</v>
      </c>
      <c r="C693">
        <f>'2-state flows'!C692</f>
        <v>7406</v>
      </c>
      <c r="D693">
        <f>'Composite HWI'!B656*48.35347462</f>
        <v>4346.9773683379999</v>
      </c>
      <c r="E693">
        <f t="shared" si="781"/>
        <v>4.9561004336420578E-2</v>
      </c>
      <c r="F693">
        <f t="shared" si="782"/>
        <v>2.9090003267961347E-2</v>
      </c>
      <c r="G693">
        <f>'2-state flows'!G692</f>
        <v>0.5289472450850079</v>
      </c>
      <c r="H693">
        <f t="shared" si="783"/>
        <v>0.59084763591692446</v>
      </c>
      <c r="I693">
        <f>'2-state flows'!H692</f>
        <v>2.7022256142937504E-2</v>
      </c>
      <c r="J693">
        <f t="shared" si="787"/>
        <v>-1.8220408873680376E-3</v>
      </c>
      <c r="K693">
        <v>0.5</v>
      </c>
      <c r="L693">
        <f t="shared" si="789"/>
        <v>-1.3679884213738308E-2</v>
      </c>
      <c r="M693">
        <f t="shared" si="784"/>
        <v>2.9490685539389251E-2</v>
      </c>
      <c r="N693">
        <f t="shared" ref="N693:O693" si="804">AVERAGE(G691:G693)</f>
        <v>0.5345256608546296</v>
      </c>
      <c r="O693">
        <f t="shared" si="804"/>
        <v>0.57659207434160509</v>
      </c>
      <c r="P693">
        <f t="shared" si="791"/>
        <v>5.041210729053406E-2</v>
      </c>
      <c r="Q693">
        <f t="shared" si="792"/>
        <v>2.8181810559796867E-2</v>
      </c>
      <c r="R693">
        <f t="shared" si="793"/>
        <v>2.7788118541768644E-2</v>
      </c>
    </row>
    <row r="694" spans="1:18" x14ac:dyDescent="0.25">
      <c r="A694" s="18">
        <f t="shared" si="786"/>
        <v>38565</v>
      </c>
      <c r="B694">
        <f>'2-state flows'!B693</f>
        <v>149779</v>
      </c>
      <c r="C694">
        <f>'2-state flows'!C693</f>
        <v>7345</v>
      </c>
      <c r="D694">
        <f>'Composite HWI'!B657*48.35347462</f>
        <v>4292.8214767636</v>
      </c>
      <c r="E694">
        <f t="shared" si="781"/>
        <v>4.9038917338211634E-2</v>
      </c>
      <c r="F694">
        <f t="shared" si="782"/>
        <v>2.8661037106427471E-2</v>
      </c>
      <c r="G694">
        <f>'2-state flows'!G693</f>
        <v>0.52432223980017556</v>
      </c>
      <c r="H694">
        <f t="shared" si="783"/>
        <v>0.58958873959817504</v>
      </c>
      <c r="I694">
        <f>'2-state flows'!H693</f>
        <v>2.8939472671327515E-2</v>
      </c>
      <c r="J694">
        <f t="shared" si="787"/>
        <v>6.8545671545820183E-2</v>
      </c>
      <c r="K694">
        <v>0.5</v>
      </c>
      <c r="L694">
        <f t="shared" si="789"/>
        <v>0.12341145887790206</v>
      </c>
      <c r="M694">
        <f t="shared" si="784"/>
        <v>2.5333487811299234E-2</v>
      </c>
      <c r="N694">
        <f t="shared" ref="N694:O694" si="805">AVERAGE(G692:G694)</f>
        <v>0.52787271218291465</v>
      </c>
      <c r="O694">
        <f t="shared" si="805"/>
        <v>0.5886600366729362</v>
      </c>
      <c r="P694">
        <f t="shared" si="791"/>
        <v>4.9672011844344298E-2</v>
      </c>
      <c r="Q694">
        <f t="shared" si="792"/>
        <v>2.8938019442784988E-2</v>
      </c>
      <c r="R694">
        <f t="shared" si="793"/>
        <v>2.8060110164757762E-2</v>
      </c>
    </row>
    <row r="695" spans="1:18" x14ac:dyDescent="0.25">
      <c r="A695" s="18">
        <f t="shared" si="786"/>
        <v>38596</v>
      </c>
      <c r="B695">
        <f>'2-state flows'!B694</f>
        <v>149954</v>
      </c>
      <c r="C695">
        <f>'2-state flows'!C694</f>
        <v>7553</v>
      </c>
      <c r="D695">
        <f>'Composite HWI'!B658*48.35347462</f>
        <v>4395.8143777041996</v>
      </c>
      <c r="E695">
        <f t="shared" si="781"/>
        <v>5.0368779759126132E-2</v>
      </c>
      <c r="F695">
        <f t="shared" si="782"/>
        <v>2.9314418939836214E-2</v>
      </c>
      <c r="G695">
        <f>'2-state flows'!G694</f>
        <v>0.56357170234986964</v>
      </c>
      <c r="H695">
        <f t="shared" si="783"/>
        <v>0.5883470723301123</v>
      </c>
      <c r="I695">
        <f>'2-state flows'!H694</f>
        <v>2.89613247972271E-2</v>
      </c>
      <c r="J695">
        <f t="shared" si="787"/>
        <v>7.5481264136167481E-4</v>
      </c>
      <c r="K695">
        <v>0.5</v>
      </c>
      <c r="L695">
        <f t="shared" si="789"/>
        <v>0.1249210841606254</v>
      </c>
      <c r="M695">
        <f t="shared" si="784"/>
        <v>2.5871925539633554E-2</v>
      </c>
      <c r="N695">
        <f t="shared" ref="N695:O695" si="806">AVERAGE(G693:G695)</f>
        <v>0.53894706241168433</v>
      </c>
      <c r="O695">
        <f t="shared" si="806"/>
        <v>0.58959448261507064</v>
      </c>
      <c r="P695">
        <f t="shared" si="791"/>
        <v>4.9656233811252781E-2</v>
      </c>
      <c r="Q695">
        <f t="shared" si="792"/>
        <v>2.9021819771408344E-2</v>
      </c>
      <c r="R695">
        <f t="shared" si="793"/>
        <v>2.6898699630107343E-2</v>
      </c>
    </row>
    <row r="696" spans="1:18" x14ac:dyDescent="0.25">
      <c r="A696" s="18">
        <f t="shared" si="786"/>
        <v>38626</v>
      </c>
      <c r="B696">
        <f>'2-state flows'!B695</f>
        <v>150001</v>
      </c>
      <c r="C696">
        <f>'2-state flows'!C695</f>
        <v>7453</v>
      </c>
      <c r="D696">
        <f>'Composite HWI'!B659*48.35347462</f>
        <v>4349.3950420689998</v>
      </c>
      <c r="E696">
        <f t="shared" si="781"/>
        <v>4.9686335424430503E-2</v>
      </c>
      <c r="F696">
        <f t="shared" si="782"/>
        <v>2.8995773641969053E-2</v>
      </c>
      <c r="G696">
        <f>'2-state flows'!G695</f>
        <v>0.55202225797950899</v>
      </c>
      <c r="H696">
        <f t="shared" si="783"/>
        <v>0.58914545738645141</v>
      </c>
      <c r="I696">
        <f>'2-state flows'!H695</f>
        <v>2.9907623692917763E-2</v>
      </c>
      <c r="J696">
        <f t="shared" si="787"/>
        <v>3.2152108672016295E-2</v>
      </c>
      <c r="K696">
        <v>0.5</v>
      </c>
      <c r="L696">
        <f t="shared" si="789"/>
        <v>0.18922530150465799</v>
      </c>
      <c r="M696">
        <f t="shared" si="784"/>
        <v>2.3996903024541879E-2</v>
      </c>
      <c r="N696">
        <f t="shared" ref="N696:O696" si="807">AVERAGE(G694:G696)</f>
        <v>0.54663873337651803</v>
      </c>
      <c r="O696">
        <f t="shared" si="807"/>
        <v>0.58902708977157958</v>
      </c>
      <c r="P696">
        <f t="shared" si="791"/>
        <v>4.9698010840589425E-2</v>
      </c>
      <c r="Q696">
        <f t="shared" si="792"/>
        <v>2.8990409896077578E-2</v>
      </c>
      <c r="R696">
        <f t="shared" si="793"/>
        <v>2.5067438791824891E-2</v>
      </c>
    </row>
    <row r="697" spans="1:18" x14ac:dyDescent="0.25">
      <c r="A697" s="18">
        <f t="shared" si="786"/>
        <v>38657</v>
      </c>
      <c r="B697">
        <f>'2-state flows'!B696</f>
        <v>150065</v>
      </c>
      <c r="C697">
        <f>'2-state flows'!C696</f>
        <v>7566</v>
      </c>
      <c r="D697">
        <f>'Composite HWI'!B660*48.35347462</f>
        <v>4558.7655871735997</v>
      </c>
      <c r="E697">
        <f t="shared" si="781"/>
        <v>5.0418152134075231E-2</v>
      </c>
      <c r="F697">
        <f t="shared" si="782"/>
        <v>3.0378606518332719E-2</v>
      </c>
      <c r="G697">
        <f>'2-state flows'!G696</f>
        <v>0.57043140184055685</v>
      </c>
      <c r="H697">
        <f t="shared" si="783"/>
        <v>0.5986377895763445</v>
      </c>
      <c r="I697">
        <f>'2-state flows'!H696</f>
        <v>2.7611151955238347E-2</v>
      </c>
      <c r="J697">
        <f t="shared" si="787"/>
        <v>-7.9893673440295396E-2</v>
      </c>
      <c r="K697">
        <v>0.5</v>
      </c>
      <c r="L697">
        <f t="shared" si="789"/>
        <v>2.9437954624067203E-2</v>
      </c>
      <c r="M697">
        <f t="shared" si="784"/>
        <v>2.9497357206202411E-2</v>
      </c>
      <c r="N697">
        <f t="shared" ref="N697:O697" si="808">AVERAGE(G695:G697)</f>
        <v>0.56200845405664523</v>
      </c>
      <c r="O697">
        <f t="shared" si="808"/>
        <v>0.59204343976430274</v>
      </c>
      <c r="P697">
        <f t="shared" si="791"/>
        <v>5.0157755772543965E-2</v>
      </c>
      <c r="Q697">
        <f t="shared" si="792"/>
        <v>2.956293303337933E-2</v>
      </c>
      <c r="R697">
        <f t="shared" si="793"/>
        <v>2.6455395256792618E-2</v>
      </c>
    </row>
    <row r="698" spans="1:18" x14ac:dyDescent="0.25">
      <c r="A698" s="18">
        <f t="shared" si="786"/>
        <v>38687</v>
      </c>
      <c r="B698">
        <f>'2-state flows'!B697</f>
        <v>150030</v>
      </c>
      <c r="C698">
        <f>'2-state flows'!C697</f>
        <v>7279</v>
      </c>
      <c r="D698">
        <f>'Composite HWI'!B661*48.35347462</f>
        <v>4623.5592431644</v>
      </c>
      <c r="E698">
        <f t="shared" si="781"/>
        <v>4.8516963274011865E-2</v>
      </c>
      <c r="F698">
        <f t="shared" si="782"/>
        <v>3.0817564774807706E-2</v>
      </c>
      <c r="G698">
        <f>'2-state flows'!G697</f>
        <v>0.56606738320288053</v>
      </c>
      <c r="H698">
        <f t="shared" si="783"/>
        <v>0.61464735937426074</v>
      </c>
      <c r="I698">
        <f>'2-state flows'!H697</f>
        <v>2.6867773638829643E-2</v>
      </c>
      <c r="J698">
        <f t="shared" si="787"/>
        <v>-2.7292185030031741E-2</v>
      </c>
      <c r="K698">
        <v>0.5</v>
      </c>
      <c r="L698">
        <f t="shared" si="789"/>
        <v>-2.5146415435996279E-2</v>
      </c>
      <c r="M698">
        <f t="shared" si="784"/>
        <v>3.1602341873294484E-2</v>
      </c>
      <c r="N698">
        <f t="shared" ref="N698:O698" si="809">AVERAGE(G696:G698)</f>
        <v>0.56284034767431546</v>
      </c>
      <c r="O698">
        <f t="shared" si="809"/>
        <v>0.60081020211235225</v>
      </c>
      <c r="P698">
        <f t="shared" si="791"/>
        <v>4.9540483610839202E-2</v>
      </c>
      <c r="Q698">
        <f t="shared" si="792"/>
        <v>3.0063981645036496E-2</v>
      </c>
      <c r="R698">
        <f t="shared" si="793"/>
        <v>2.836553403467959E-2</v>
      </c>
    </row>
    <row r="699" spans="1:18" x14ac:dyDescent="0.25">
      <c r="A699" s="18">
        <f t="shared" si="786"/>
        <v>38718</v>
      </c>
      <c r="B699">
        <f>'2-state flows'!B698</f>
        <v>150214</v>
      </c>
      <c r="C699">
        <f>'2-state flows'!C698</f>
        <v>7064</v>
      </c>
      <c r="D699">
        <f>'Composite HWI'!B662*48.35347462</f>
        <v>4660.7914186218004</v>
      </c>
      <c r="E699">
        <f t="shared" si="781"/>
        <v>4.7026242560613524E-2</v>
      </c>
      <c r="F699">
        <f t="shared" si="782"/>
        <v>3.1027676638807303E-2</v>
      </c>
      <c r="G699">
        <f>'2-state flows'!G698</f>
        <v>0.52119440757930147</v>
      </c>
      <c r="H699">
        <f t="shared" si="783"/>
        <v>0.62643808752966568</v>
      </c>
      <c r="I699">
        <f>'2-state flows'!H698</f>
        <v>2.6808142064896127E-2</v>
      </c>
      <c r="J699">
        <f t="shared" si="787"/>
        <v>-2.2219126654705553E-3</v>
      </c>
      <c r="K699">
        <v>0.5</v>
      </c>
      <c r="L699">
        <f t="shared" si="789"/>
        <v>-2.9590240766937389E-2</v>
      </c>
      <c r="M699">
        <f t="shared" si="784"/>
        <v>3.1959511682097166E-2</v>
      </c>
      <c r="N699">
        <f t="shared" ref="N699:O699" si="810">AVERAGE(G697:G699)</f>
        <v>0.55256439754091291</v>
      </c>
      <c r="O699">
        <f t="shared" si="810"/>
        <v>0.61324107882675694</v>
      </c>
      <c r="P699">
        <f t="shared" si="791"/>
        <v>4.8653785989566878E-2</v>
      </c>
      <c r="Q699">
        <f t="shared" si="792"/>
        <v>3.0741282643982574E-2</v>
      </c>
      <c r="R699">
        <f t="shared" si="793"/>
        <v>3.1019736920531355E-2</v>
      </c>
    </row>
    <row r="700" spans="1:18" x14ac:dyDescent="0.25">
      <c r="A700" s="18">
        <f t="shared" si="786"/>
        <v>38749</v>
      </c>
      <c r="B700">
        <f>'2-state flows'!B699</f>
        <v>150641</v>
      </c>
      <c r="C700">
        <f>'2-state flows'!C699</f>
        <v>7184</v>
      </c>
      <c r="D700">
        <f>'Composite HWI'!B663*48.35347462</f>
        <v>4694.1553161095999</v>
      </c>
      <c r="E700">
        <f t="shared" si="781"/>
        <v>4.7689540032262133E-2</v>
      </c>
      <c r="F700">
        <f t="shared" si="782"/>
        <v>3.1161206551401012E-2</v>
      </c>
      <c r="G700">
        <f>'2-state flows'!G699</f>
        <v>0.58867681598019717</v>
      </c>
      <c r="H700">
        <f t="shared" si="783"/>
        <v>0.62340349418167174</v>
      </c>
      <c r="I700">
        <f>'2-state flows'!H699</f>
        <v>2.8433357017958617E-2</v>
      </c>
      <c r="J700">
        <f t="shared" si="787"/>
        <v>5.8857349049137177E-2</v>
      </c>
      <c r="K700">
        <v>0.5</v>
      </c>
      <c r="L700">
        <f t="shared" si="789"/>
        <v>8.8124457331336961E-2</v>
      </c>
      <c r="M700">
        <f t="shared" si="784"/>
        <v>2.8532662511246216E-2</v>
      </c>
      <c r="N700">
        <f t="shared" ref="N700:O700" si="811">AVERAGE(G698:G700)</f>
        <v>0.55864620225412642</v>
      </c>
      <c r="O700">
        <f t="shared" si="811"/>
        <v>0.62149631369519931</v>
      </c>
      <c r="P700">
        <f t="shared" si="791"/>
        <v>4.7744248622295843E-2</v>
      </c>
      <c r="Q700">
        <f t="shared" si="792"/>
        <v>3.1002149321672012E-2</v>
      </c>
      <c r="R700">
        <f t="shared" si="793"/>
        <v>3.069817202221262E-2</v>
      </c>
    </row>
    <row r="701" spans="1:18" x14ac:dyDescent="0.25">
      <c r="A701" s="18">
        <f t="shared" si="786"/>
        <v>38777</v>
      </c>
      <c r="B701">
        <f>'2-state flows'!B700</f>
        <v>150813</v>
      </c>
      <c r="C701">
        <f>'2-state flows'!C700</f>
        <v>7072</v>
      </c>
      <c r="D701">
        <f>'Composite HWI'!B664*48.35347462</f>
        <v>4612.4379440018001</v>
      </c>
      <c r="E701">
        <f t="shared" si="781"/>
        <v>4.6892509266442547E-2</v>
      </c>
      <c r="F701">
        <f t="shared" si="782"/>
        <v>3.0583821978223364E-2</v>
      </c>
      <c r="G701">
        <f>'2-state flows'!G700</f>
        <v>0.56272440427315551</v>
      </c>
      <c r="H701">
        <f t="shared" si="783"/>
        <v>0.62282754106091098</v>
      </c>
      <c r="I701">
        <f>'2-state flows'!H700</f>
        <v>2.8128062158613892E-2</v>
      </c>
      <c r="J701">
        <f t="shared" si="787"/>
        <v>-1.079526746851322E-2</v>
      </c>
      <c r="K701">
        <v>0.5</v>
      </c>
      <c r="L701">
        <f t="shared" si="789"/>
        <v>6.6533922394310524E-2</v>
      </c>
      <c r="M701">
        <f t="shared" si="784"/>
        <v>2.8615177338382126E-2</v>
      </c>
      <c r="N701">
        <f t="shared" ref="N701:O701" si="812">AVERAGE(G699:G701)</f>
        <v>0.55753187594421805</v>
      </c>
      <c r="O701">
        <f t="shared" si="812"/>
        <v>0.62422304092408276</v>
      </c>
      <c r="P701">
        <f t="shared" si="791"/>
        <v>4.7202763953106075E-2</v>
      </c>
      <c r="Q701">
        <f t="shared" si="792"/>
        <v>3.0924235056143893E-2</v>
      </c>
      <c r="R701">
        <f t="shared" si="793"/>
        <v>2.9702450510575167E-2</v>
      </c>
    </row>
    <row r="702" spans="1:18" x14ac:dyDescent="0.25">
      <c r="A702" s="18">
        <f t="shared" si="786"/>
        <v>38808</v>
      </c>
      <c r="B702">
        <f>'2-state flows'!B701</f>
        <v>150881</v>
      </c>
      <c r="C702">
        <f>'2-state flows'!C701</f>
        <v>7120</v>
      </c>
      <c r="D702">
        <f>'Composite HWI'!B665*48.35347462</f>
        <v>4539.4241973255994</v>
      </c>
      <c r="E702">
        <f t="shared" si="781"/>
        <v>4.7189506962440599E-2</v>
      </c>
      <c r="F702">
        <f t="shared" si="782"/>
        <v>3.0086122158029169E-2</v>
      </c>
      <c r="G702">
        <f>'2-state flows'!G701</f>
        <v>0.56968740423326059</v>
      </c>
      <c r="H702">
        <f t="shared" si="783"/>
        <v>0.61579201603043832</v>
      </c>
      <c r="I702">
        <f>'2-state flows'!H701</f>
        <v>2.6921650712523712E-2</v>
      </c>
      <c r="J702">
        <f t="shared" si="787"/>
        <v>-4.383690926471525E-2</v>
      </c>
      <c r="K702">
        <v>0.5</v>
      </c>
      <c r="L702">
        <f t="shared" si="789"/>
        <v>-2.1139896135119976E-2</v>
      </c>
      <c r="M702">
        <f t="shared" si="784"/>
        <v>3.072890995109584E-2</v>
      </c>
      <c r="N702">
        <f t="shared" ref="N702:O702" si="813">AVERAGE(G700:G702)</f>
        <v>0.57369620816220446</v>
      </c>
      <c r="O702">
        <f t="shared" si="813"/>
        <v>0.62067435042434038</v>
      </c>
      <c r="P702">
        <f t="shared" si="791"/>
        <v>4.7257185420381757E-2</v>
      </c>
      <c r="Q702">
        <f t="shared" si="792"/>
        <v>3.0610383562551181E-2</v>
      </c>
      <c r="R702">
        <f t="shared" si="793"/>
        <v>2.9292249933574727E-2</v>
      </c>
    </row>
    <row r="703" spans="1:18" x14ac:dyDescent="0.25">
      <c r="A703" s="18">
        <f t="shared" si="786"/>
        <v>38838</v>
      </c>
      <c r="B703">
        <f>'2-state flows'!B702</f>
        <v>151069</v>
      </c>
      <c r="C703">
        <f>'2-state flows'!C702</f>
        <v>6980</v>
      </c>
      <c r="D703">
        <f>'Composite HWI'!B666*48.35347462</f>
        <v>4492.5213269442002</v>
      </c>
      <c r="E703">
        <f t="shared" si="781"/>
        <v>4.6204052452852667E-2</v>
      </c>
      <c r="F703">
        <f t="shared" si="782"/>
        <v>2.9738207884769212E-2</v>
      </c>
      <c r="G703">
        <f>'2-state flows'!G702</f>
        <v>0.59155306119708606</v>
      </c>
      <c r="H703">
        <f t="shared" si="783"/>
        <v>0.6187155467839841</v>
      </c>
      <c r="I703">
        <f>'2-state flows'!H702</f>
        <v>2.8851778650509492E-2</v>
      </c>
      <c r="J703">
        <f t="shared" si="787"/>
        <v>6.9240820633888103E-2</v>
      </c>
      <c r="K703">
        <v>0.5</v>
      </c>
      <c r="L703">
        <f t="shared" si="789"/>
        <v>0.11734174513265623</v>
      </c>
      <c r="M703">
        <f t="shared" si="784"/>
        <v>2.6445630195641699E-2</v>
      </c>
      <c r="N703">
        <f t="shared" ref="N703:O703" si="814">AVERAGE(G701:G703)</f>
        <v>0.57465495656783405</v>
      </c>
      <c r="O703">
        <f t="shared" si="814"/>
        <v>0.61911170129177784</v>
      </c>
      <c r="P703">
        <f t="shared" si="791"/>
        <v>4.6762022893911938E-2</v>
      </c>
      <c r="Q703">
        <f t="shared" si="792"/>
        <v>3.0136050673673916E-2</v>
      </c>
      <c r="R703">
        <f t="shared" si="793"/>
        <v>2.8596572495039888E-2</v>
      </c>
    </row>
    <row r="704" spans="1:18" x14ac:dyDescent="0.25">
      <c r="A704" s="18">
        <f t="shared" si="786"/>
        <v>38869</v>
      </c>
      <c r="B704">
        <f>'2-state flows'!B703</f>
        <v>151354</v>
      </c>
      <c r="C704">
        <f>'2-state flows'!C703</f>
        <v>7001</v>
      </c>
      <c r="D704">
        <f>'Composite HWI'!B667*48.35347462</f>
        <v>4456.2562209791995</v>
      </c>
      <c r="E704">
        <f t="shared" si="781"/>
        <v>4.625579766639798E-2</v>
      </c>
      <c r="F704">
        <f t="shared" si="782"/>
        <v>2.9442606214432388E-2</v>
      </c>
      <c r="G704">
        <f>'2-state flows'!G703</f>
        <v>0.55510945906105846</v>
      </c>
      <c r="H704">
        <f t="shared" si="783"/>
        <v>0.61528836734517689</v>
      </c>
      <c r="I704">
        <f>'2-state flows'!H703</f>
        <v>2.8513488326554454E-2</v>
      </c>
      <c r="J704">
        <f t="shared" si="787"/>
        <v>-1.179439278638689E-2</v>
      </c>
      <c r="K704">
        <v>0.5</v>
      </c>
      <c r="L704">
        <f t="shared" si="789"/>
        <v>9.3752959559882443E-2</v>
      </c>
      <c r="M704">
        <f t="shared" si="784"/>
        <v>2.6807718685106705E-2</v>
      </c>
      <c r="N704">
        <f t="shared" ref="N704:O704" si="815">AVERAGE(G702:G704)</f>
        <v>0.57211664149713493</v>
      </c>
      <c r="O704">
        <f t="shared" si="815"/>
        <v>0.61659864338653314</v>
      </c>
      <c r="P704">
        <f t="shared" si="791"/>
        <v>4.6549785693897082E-2</v>
      </c>
      <c r="Q704">
        <f t="shared" si="792"/>
        <v>2.9755645419076923E-2</v>
      </c>
      <c r="R704">
        <f t="shared" si="793"/>
        <v>2.7994086277281411E-2</v>
      </c>
    </row>
    <row r="705" spans="1:18" x14ac:dyDescent="0.25">
      <c r="A705" s="18">
        <f t="shared" si="786"/>
        <v>38899</v>
      </c>
      <c r="B705">
        <f>'2-state flows'!B704</f>
        <v>151377</v>
      </c>
      <c r="C705">
        <f>'2-state flows'!C704</f>
        <v>7175</v>
      </c>
      <c r="D705">
        <f>'Composite HWI'!B668*48.35347462</f>
        <v>4395.8143777041996</v>
      </c>
      <c r="E705">
        <f t="shared" si="781"/>
        <v>4.7398217694894204E-2</v>
      </c>
      <c r="F705">
        <f t="shared" si="782"/>
        <v>2.9038852518574153E-2</v>
      </c>
      <c r="G705">
        <f>'2-state flows'!G704</f>
        <v>0.5665863675381777</v>
      </c>
      <c r="H705">
        <f t="shared" si="783"/>
        <v>0.60364608225992344</v>
      </c>
      <c r="I705">
        <f>'2-state flows'!H704</f>
        <v>2.7418852976945227E-2</v>
      </c>
      <c r="J705">
        <f t="shared" si="787"/>
        <v>-3.9146408293494951E-2</v>
      </c>
      <c r="K705">
        <v>0.5</v>
      </c>
      <c r="L705">
        <f t="shared" si="789"/>
        <v>1.546014297289254E-2</v>
      </c>
      <c r="M705">
        <f t="shared" si="784"/>
        <v>2.8593360267098904E-2</v>
      </c>
      <c r="N705">
        <f t="shared" ref="N705:O705" si="816">AVERAGE(G703:G705)</f>
        <v>0.57108296259877411</v>
      </c>
      <c r="O705">
        <f t="shared" si="816"/>
        <v>0.61254999879636152</v>
      </c>
      <c r="P705">
        <f t="shared" si="791"/>
        <v>4.6619355938048279E-2</v>
      </c>
      <c r="Q705">
        <f t="shared" si="792"/>
        <v>2.9406555539258583E-2</v>
      </c>
      <c r="R705">
        <f t="shared" si="793"/>
        <v>2.728223638261577E-2</v>
      </c>
    </row>
    <row r="706" spans="1:18" x14ac:dyDescent="0.25">
      <c r="A706" s="18">
        <f t="shared" si="786"/>
        <v>38930</v>
      </c>
      <c r="B706">
        <f>'2-state flows'!B705</f>
        <v>151716</v>
      </c>
      <c r="C706">
        <f>'2-state flows'!C705</f>
        <v>7091</v>
      </c>
      <c r="D706">
        <f>'Composite HWI'!B669*48.35347462</f>
        <v>4269.6118089459997</v>
      </c>
      <c r="E706">
        <f t="shared" si="781"/>
        <v>4.6738643254501833E-2</v>
      </c>
      <c r="F706">
        <f t="shared" si="782"/>
        <v>2.8142132727899494E-2</v>
      </c>
      <c r="G706">
        <f>'2-state flows'!G705</f>
        <v>0.61812579126068856</v>
      </c>
      <c r="H706">
        <f t="shared" si="783"/>
        <v>0.59843105023266063</v>
      </c>
      <c r="I706">
        <f>'2-state flows'!H705</f>
        <v>2.8016387343299566E-2</v>
      </c>
      <c r="J706">
        <f t="shared" si="787"/>
        <v>2.1558759598792089E-2</v>
      </c>
      <c r="K706">
        <v>0.5</v>
      </c>
      <c r="L706">
        <f t="shared" si="789"/>
        <v>5.8577662170476719E-2</v>
      </c>
      <c r="M706">
        <f t="shared" si="784"/>
        <v>2.6540985916779333E-2</v>
      </c>
      <c r="N706">
        <f t="shared" ref="N706:O706" si="817">AVERAGE(G704:G706)</f>
        <v>0.57994053928664158</v>
      </c>
      <c r="O706">
        <f t="shared" si="817"/>
        <v>0.60578849994592032</v>
      </c>
      <c r="P706">
        <f t="shared" si="791"/>
        <v>4.6797552871931346E-2</v>
      </c>
      <c r="Q706">
        <f t="shared" si="792"/>
        <v>2.887453048696868E-2</v>
      </c>
      <c r="R706">
        <f t="shared" si="793"/>
        <v>2.7314021622994983E-2</v>
      </c>
    </row>
    <row r="707" spans="1:18" x14ac:dyDescent="0.25">
      <c r="A707" s="18">
        <f t="shared" si="786"/>
        <v>38961</v>
      </c>
      <c r="B707">
        <f>'2-state flows'!B706</f>
        <v>151662</v>
      </c>
      <c r="C707">
        <f>'2-state flows'!C706</f>
        <v>6847</v>
      </c>
      <c r="D707">
        <f>'Composite HWI'!B670*48.35347462</f>
        <v>4255.1057665600001</v>
      </c>
      <c r="E707">
        <f t="shared" si="781"/>
        <v>4.5146444066410836E-2</v>
      </c>
      <c r="F707">
        <f t="shared" si="782"/>
        <v>2.8056505693977399E-2</v>
      </c>
      <c r="G707">
        <f>'2-state flows'!G706</f>
        <v>0.61752311400123694</v>
      </c>
      <c r="H707">
        <f t="shared" si="783"/>
        <v>0.6079651459589015</v>
      </c>
      <c r="I707">
        <f>'2-state flows'!H706</f>
        <v>2.8072408312306049E-2</v>
      </c>
      <c r="J707">
        <f t="shared" si="787"/>
        <v>1.997582118859924E-3</v>
      </c>
      <c r="K707">
        <v>0.5</v>
      </c>
      <c r="L707">
        <f t="shared" si="789"/>
        <v>6.2572826408196572E-2</v>
      </c>
      <c r="M707">
        <f t="shared" si="784"/>
        <v>2.6354728555713029E-2</v>
      </c>
      <c r="N707">
        <f t="shared" ref="N707:O707" si="818">AVERAGE(G705:G707)</f>
        <v>0.6007450909333677</v>
      </c>
      <c r="O707">
        <f t="shared" si="818"/>
        <v>0.60334742615049519</v>
      </c>
      <c r="P707">
        <f t="shared" si="791"/>
        <v>4.6427768338602293E-2</v>
      </c>
      <c r="Q707">
        <f t="shared" si="792"/>
        <v>2.8412496980150349E-2</v>
      </c>
      <c r="R707">
        <f t="shared" si="793"/>
        <v>2.7163024913197085E-2</v>
      </c>
    </row>
    <row r="708" spans="1:18" x14ac:dyDescent="0.25">
      <c r="A708" s="18">
        <f t="shared" si="786"/>
        <v>38991</v>
      </c>
      <c r="B708">
        <f>'2-state flows'!B707</f>
        <v>152041</v>
      </c>
      <c r="C708">
        <f>'2-state flows'!C707</f>
        <v>6727</v>
      </c>
      <c r="D708">
        <f>'Composite HWI'!B671*48.35347462</f>
        <v>4263.8093919916</v>
      </c>
      <c r="E708">
        <f t="shared" si="781"/>
        <v>4.4244644536671027E-2</v>
      </c>
      <c r="F708">
        <f t="shared" si="782"/>
        <v>2.8043813129298018E-2</v>
      </c>
      <c r="G708">
        <f>'2-state flows'!G707</f>
        <v>0.53007719138784348</v>
      </c>
      <c r="H708">
        <f t="shared" si="783"/>
        <v>0.61399077147981151</v>
      </c>
      <c r="I708">
        <f>'2-state flows'!H707</f>
        <v>2.5839550102187445E-2</v>
      </c>
      <c r="J708">
        <f t="shared" si="787"/>
        <v>-8.2880915498829283E-2</v>
      </c>
      <c r="K708">
        <v>0.5</v>
      </c>
      <c r="L708">
        <f t="shared" si="789"/>
        <v>-0.10318900458946199</v>
      </c>
      <c r="M708">
        <f t="shared" si="784"/>
        <v>3.109220194510964E-2</v>
      </c>
      <c r="N708">
        <f t="shared" ref="N708:O708" si="819">AVERAGE(G706:G708)</f>
        <v>0.58857536554992296</v>
      </c>
      <c r="O708">
        <f t="shared" si="819"/>
        <v>0.60679565589045792</v>
      </c>
      <c r="P708">
        <f t="shared" si="791"/>
        <v>4.5376577285861232E-2</v>
      </c>
      <c r="Q708">
        <f t="shared" si="792"/>
        <v>2.808081718372497E-2</v>
      </c>
      <c r="R708">
        <f t="shared" si="793"/>
        <v>2.7995972139200669E-2</v>
      </c>
    </row>
    <row r="709" spans="1:18" x14ac:dyDescent="0.25">
      <c r="A709" s="18">
        <f t="shared" si="786"/>
        <v>39022</v>
      </c>
      <c r="B709">
        <f>'2-state flows'!B708</f>
        <v>152406</v>
      </c>
      <c r="C709">
        <f>'2-state flows'!C708</f>
        <v>6872</v>
      </c>
      <c r="D709">
        <f>'Composite HWI'!B672*48.35347462</f>
        <v>4341.6584861298006</v>
      </c>
      <c r="E709">
        <f t="shared" si="781"/>
        <v>4.5090088316732939E-2</v>
      </c>
      <c r="F709">
        <f t="shared" si="782"/>
        <v>2.8487451190437389E-2</v>
      </c>
      <c r="G709">
        <f>'2-state flows'!G708</f>
        <v>0.60552869259486686</v>
      </c>
      <c r="H709">
        <f t="shared" si="783"/>
        <v>0.61299921806813429</v>
      </c>
      <c r="I709">
        <f>'2-state flows'!H708</f>
        <v>2.7572407590042945E-2</v>
      </c>
      <c r="J709">
        <f t="shared" si="787"/>
        <v>6.4909279809544806E-2</v>
      </c>
      <c r="K709">
        <v>0.5</v>
      </c>
      <c r="L709">
        <f t="shared" si="789"/>
        <v>2.6629555029627619E-2</v>
      </c>
      <c r="M709">
        <f t="shared" si="784"/>
        <v>2.7738854674726979E-2</v>
      </c>
      <c r="N709">
        <f t="shared" ref="N709:O709" si="820">AVERAGE(G707:G709)</f>
        <v>0.58437633266131572</v>
      </c>
      <c r="O709">
        <f t="shared" si="820"/>
        <v>0.61165171183561573</v>
      </c>
      <c r="P709">
        <f t="shared" si="791"/>
        <v>4.4827058973271605E-2</v>
      </c>
      <c r="Q709">
        <f t="shared" si="792"/>
        <v>2.8195923337904268E-2</v>
      </c>
      <c r="R709">
        <f t="shared" si="793"/>
        <v>2.8395261725183214E-2</v>
      </c>
    </row>
    <row r="710" spans="1:18" x14ac:dyDescent="0.25">
      <c r="A710" s="18">
        <f t="shared" si="786"/>
        <v>39052</v>
      </c>
      <c r="B710">
        <f>'2-state flows'!B709</f>
        <v>152732</v>
      </c>
      <c r="C710">
        <f>'2-state flows'!C709</f>
        <v>6762</v>
      </c>
      <c r="D710">
        <f>'Composite HWI'!B673*48.35347462</f>
        <v>4687.8693644089999</v>
      </c>
      <c r="E710">
        <f t="shared" si="781"/>
        <v>4.4273629625749676E-2</v>
      </c>
      <c r="F710">
        <f t="shared" si="782"/>
        <v>3.069343270833224E-2</v>
      </c>
      <c r="G710">
        <f>'2-state flows'!G709</f>
        <v>0.48935801628899378</v>
      </c>
      <c r="H710">
        <f t="shared" si="783"/>
        <v>0.64213129114898893</v>
      </c>
      <c r="I710">
        <f>'2-state flows'!H709</f>
        <v>2.5772492878175506E-2</v>
      </c>
      <c r="J710">
        <f t="shared" si="787"/>
        <v>-6.7507792012202597E-2</v>
      </c>
      <c r="K710">
        <v>0.5</v>
      </c>
      <c r="L710">
        <f t="shared" si="789"/>
        <v>-0.10838602899477758</v>
      </c>
      <c r="M710">
        <f t="shared" si="784"/>
        <v>3.4207151910935839E-2</v>
      </c>
      <c r="N710">
        <f t="shared" ref="N710:O710" si="821">AVERAGE(G708:G710)</f>
        <v>0.5416546334239013</v>
      </c>
      <c r="O710">
        <f t="shared" si="821"/>
        <v>0.62304042689897832</v>
      </c>
      <c r="P710">
        <f t="shared" si="791"/>
        <v>4.453612082638455E-2</v>
      </c>
      <c r="Q710">
        <f t="shared" si="792"/>
        <v>2.9074899009355882E-2</v>
      </c>
      <c r="R710">
        <f t="shared" si="793"/>
        <v>3.1012736176924155E-2</v>
      </c>
    </row>
    <row r="711" spans="1:18" x14ac:dyDescent="0.25">
      <c r="A711" s="18">
        <f t="shared" si="786"/>
        <v>39083</v>
      </c>
      <c r="B711">
        <f>'2-state flows'!B710</f>
        <v>153144</v>
      </c>
      <c r="C711">
        <f>'2-state flows'!C710</f>
        <v>7116</v>
      </c>
      <c r="D711">
        <f>'Composite HWI'!B674*48.35347462</f>
        <v>4673.3633220230004</v>
      </c>
      <c r="E711">
        <f t="shared" si="781"/>
        <v>4.6466071148722768E-2</v>
      </c>
      <c r="F711">
        <f t="shared" si="782"/>
        <v>3.051613724352897E-2</v>
      </c>
      <c r="G711">
        <f>'2-state flows'!G710</f>
        <v>0.59087067358204881</v>
      </c>
      <c r="H711">
        <f t="shared" si="783"/>
        <v>0.62498625991155166</v>
      </c>
      <c r="I711">
        <f>'2-state flows'!H710</f>
        <v>2.7058272313499956E-2</v>
      </c>
      <c r="J711">
        <f t="shared" si="787"/>
        <v>4.8685018542491708E-2</v>
      </c>
      <c r="K711">
        <v>0.5</v>
      </c>
      <c r="L711">
        <f t="shared" si="789"/>
        <v>-1.1015991909794159E-2</v>
      </c>
      <c r="M711">
        <f t="shared" si="784"/>
        <v>3.0854161180681669E-2</v>
      </c>
      <c r="N711">
        <f t="shared" ref="N711:O711" si="822">AVERAGE(G709:G711)</f>
        <v>0.56191912748863648</v>
      </c>
      <c r="O711">
        <f t="shared" si="822"/>
        <v>0.62670558970955825</v>
      </c>
      <c r="P711">
        <f t="shared" si="791"/>
        <v>4.5276596363735128E-2</v>
      </c>
      <c r="Q711">
        <f t="shared" si="792"/>
        <v>2.9899007047432868E-2</v>
      </c>
      <c r="R711">
        <f t="shared" si="793"/>
        <v>3.0933389255448165E-2</v>
      </c>
    </row>
    <row r="712" spans="1:18" x14ac:dyDescent="0.25">
      <c r="A712" s="18">
        <f t="shared" si="786"/>
        <v>39114</v>
      </c>
      <c r="B712">
        <f>'2-state flows'!B711</f>
        <v>152983</v>
      </c>
      <c r="C712">
        <f>'2-state flows'!C711</f>
        <v>6927</v>
      </c>
      <c r="D712">
        <f>'Composite HWI'!B675*48.35347462</f>
        <v>4658.3737448908005</v>
      </c>
      <c r="E712">
        <f t="shared" si="781"/>
        <v>4.5279540864017573E-2</v>
      </c>
      <c r="F712">
        <f t="shared" si="782"/>
        <v>3.0450270584906822E-2</v>
      </c>
      <c r="G712">
        <f>'2-state flows'!G711</f>
        <v>0.53550572500592053</v>
      </c>
      <c r="H712">
        <f t="shared" si="783"/>
        <v>0.63243840882515334</v>
      </c>
      <c r="I712">
        <f>'2-state flows'!H711</f>
        <v>2.3645527223728563E-2</v>
      </c>
      <c r="J712">
        <f t="shared" si="787"/>
        <v>-0.13481880087721862</v>
      </c>
      <c r="K712">
        <v>0.5</v>
      </c>
      <c r="L712">
        <f t="shared" si="789"/>
        <v>-0.28065359366423137</v>
      </c>
      <c r="M712">
        <f t="shared" si="784"/>
        <v>4.0316002479105918E-2</v>
      </c>
      <c r="N712">
        <f t="shared" ref="N712:O712" si="823">AVERAGE(G710:G712)</f>
        <v>0.53857813829232104</v>
      </c>
      <c r="O712">
        <f t="shared" si="823"/>
        <v>0.63318531996189797</v>
      </c>
      <c r="P712">
        <f t="shared" si="791"/>
        <v>4.5339747212829996E-2</v>
      </c>
      <c r="Q712">
        <f t="shared" si="792"/>
        <v>3.0553280178922674E-2</v>
      </c>
      <c r="R712">
        <f t="shared" si="793"/>
        <v>3.5125771856907802E-2</v>
      </c>
    </row>
    <row r="713" spans="1:18" x14ac:dyDescent="0.25">
      <c r="A713" s="18">
        <f t="shared" si="786"/>
        <v>39142</v>
      </c>
      <c r="B713">
        <f>'2-state flows'!B712</f>
        <v>153051</v>
      </c>
      <c r="C713">
        <f>'2-state flows'!C712</f>
        <v>6731</v>
      </c>
      <c r="D713">
        <f>'Composite HWI'!B676*48.35347462</f>
        <v>4714.9473101962003</v>
      </c>
      <c r="E713">
        <f t="shared" si="781"/>
        <v>4.3978804450803981E-2</v>
      </c>
      <c r="F713">
        <f t="shared" si="782"/>
        <v>3.0806380292818736E-2</v>
      </c>
      <c r="G713">
        <f>'2-state flows'!G712</f>
        <v>0.52016939370282778</v>
      </c>
      <c r="H713">
        <f t="shared" si="783"/>
        <v>0.64546439846183123</v>
      </c>
      <c r="I713">
        <f>'2-state flows'!H712</f>
        <v>2.4983799157624175E-2</v>
      </c>
      <c r="J713">
        <f t="shared" si="787"/>
        <v>5.5053607789189024E-2</v>
      </c>
      <c r="K713">
        <v>0.5</v>
      </c>
      <c r="L713">
        <f t="shared" si="789"/>
        <v>-0.17054637808585332</v>
      </c>
      <c r="M713">
        <f t="shared" si="784"/>
        <v>3.6534908433662958E-2</v>
      </c>
      <c r="N713">
        <f t="shared" ref="N713:O713" si="824">AVERAGE(G711:G713)</f>
        <v>0.54884859743026571</v>
      </c>
      <c r="O713">
        <f t="shared" si="824"/>
        <v>0.63429635573284537</v>
      </c>
      <c r="P713">
        <f t="shared" si="791"/>
        <v>4.5241472154514774E-2</v>
      </c>
      <c r="Q713">
        <f t="shared" si="792"/>
        <v>3.0590929373751508E-2</v>
      </c>
      <c r="R713">
        <f t="shared" si="793"/>
        <v>3.5901690697816853E-2</v>
      </c>
    </row>
    <row r="714" spans="1:18" x14ac:dyDescent="0.25">
      <c r="A714" s="18">
        <f t="shared" si="786"/>
        <v>39173</v>
      </c>
      <c r="B714">
        <f>'2-state flows'!B713</f>
        <v>152435</v>
      </c>
      <c r="C714">
        <f>'2-state flows'!C713</f>
        <v>6850</v>
      </c>
      <c r="D714">
        <f>'Composite HWI'!B677*48.35347462</f>
        <v>4766.6855280396003</v>
      </c>
      <c r="E714">
        <f t="shared" si="781"/>
        <v>4.4937186341719421E-2</v>
      </c>
      <c r="F714">
        <f t="shared" si="782"/>
        <v>3.1270282599400401E-2</v>
      </c>
      <c r="G714">
        <f>'2-state flows'!G713</f>
        <v>0.56128433246662723</v>
      </c>
      <c r="H714">
        <f t="shared" si="783"/>
        <v>0.64333418812998833</v>
      </c>
      <c r="I714">
        <f>'2-state flows'!H713</f>
        <v>2.5646521586178025E-2</v>
      </c>
      <c r="J714">
        <f t="shared" si="787"/>
        <v>2.6180370636923477E-2</v>
      </c>
      <c r="K714">
        <v>0.5</v>
      </c>
      <c r="L714">
        <f t="shared" si="789"/>
        <v>-0.11818563681200636</v>
      </c>
      <c r="M714">
        <f t="shared" si="784"/>
        <v>3.5193233909155103E-2</v>
      </c>
      <c r="N714">
        <f t="shared" ref="N714:O714" si="825">AVERAGE(G712:G714)</f>
        <v>0.53898648372512514</v>
      </c>
      <c r="O714">
        <f t="shared" si="825"/>
        <v>0.6404123318056576</v>
      </c>
      <c r="P714">
        <f t="shared" si="791"/>
        <v>4.4731843885513656E-2</v>
      </c>
      <c r="Q714">
        <f t="shared" si="792"/>
        <v>3.0842311159041985E-2</v>
      </c>
      <c r="R714">
        <f t="shared" si="793"/>
        <v>3.7348048273974664E-2</v>
      </c>
    </row>
    <row r="715" spans="1:18" x14ac:dyDescent="0.25">
      <c r="A715" s="18">
        <f t="shared" si="786"/>
        <v>39203</v>
      </c>
      <c r="B715">
        <f>'2-state flows'!B714</f>
        <v>152670</v>
      </c>
      <c r="C715">
        <f>'2-state flows'!C714</f>
        <v>6766</v>
      </c>
      <c r="D715">
        <f>'Composite HWI'!B678*48.35347462</f>
        <v>4610.5038050169996</v>
      </c>
      <c r="E715">
        <f t="shared" si="781"/>
        <v>4.4317809654811031E-2</v>
      </c>
      <c r="F715">
        <f t="shared" si="782"/>
        <v>3.0199147213054299E-2</v>
      </c>
      <c r="G715">
        <f>'2-state flows'!G714</f>
        <v>0.52066796951469241</v>
      </c>
      <c r="H715">
        <f t="shared" si="783"/>
        <v>0.63662232176693823</v>
      </c>
      <c r="I715">
        <f>'2-state flows'!H714</f>
        <v>2.6040019067683294E-2</v>
      </c>
      <c r="J715">
        <f t="shared" si="787"/>
        <v>1.5226597840503774E-2</v>
      </c>
      <c r="K715">
        <v>0.5</v>
      </c>
      <c r="L715">
        <f t="shared" si="789"/>
        <v>-8.7732441130998817E-2</v>
      </c>
      <c r="M715">
        <f t="shared" si="784"/>
        <v>3.296828791404105E-2</v>
      </c>
      <c r="N715">
        <f t="shared" ref="N715:O715" si="826">AVERAGE(G713:G715)</f>
        <v>0.53404056522804921</v>
      </c>
      <c r="O715">
        <f t="shared" si="826"/>
        <v>0.64180696945291926</v>
      </c>
      <c r="P715">
        <f t="shared" si="791"/>
        <v>4.4411266815778144E-2</v>
      </c>
      <c r="Q715">
        <f t="shared" si="792"/>
        <v>3.0758603368424481E-2</v>
      </c>
      <c r="R715">
        <f t="shared" si="793"/>
        <v>3.4898810085619701E-2</v>
      </c>
    </row>
    <row r="716" spans="1:18" x14ac:dyDescent="0.25">
      <c r="A716" s="18">
        <f t="shared" si="786"/>
        <v>39234</v>
      </c>
      <c r="B716">
        <f>'2-state flows'!B715</f>
        <v>153041</v>
      </c>
      <c r="C716">
        <f>'2-state flows'!C715</f>
        <v>6979</v>
      </c>
      <c r="D716">
        <f>'Composite HWI'!B679*48.35347462</f>
        <v>4508.9615083150002</v>
      </c>
      <c r="E716">
        <f t="shared" si="781"/>
        <v>4.5602158898595799E-2</v>
      </c>
      <c r="F716">
        <f t="shared" si="782"/>
        <v>2.9462441491593758E-2</v>
      </c>
      <c r="G716">
        <f>'2-state flows'!G715</f>
        <v>0.49676813884661036</v>
      </c>
      <c r="H716">
        <f t="shared" si="783"/>
        <v>0.61989100033508215</v>
      </c>
      <c r="I716">
        <f>'2-state flows'!H715</f>
        <v>2.5230090696724355E-2</v>
      </c>
      <c r="J716">
        <f t="shared" si="787"/>
        <v>-3.1597192142654253E-2</v>
      </c>
      <c r="K716">
        <v>0.5</v>
      </c>
      <c r="L716">
        <f t="shared" si="789"/>
        <v>-0.15092682541630731</v>
      </c>
      <c r="M716">
        <f t="shared" si="784"/>
        <v>3.4262213778693963E-2</v>
      </c>
      <c r="N716">
        <f t="shared" ref="N716:O716" si="827">AVERAGE(G714:G716)</f>
        <v>0.52624014694264332</v>
      </c>
      <c r="O716">
        <f t="shared" si="827"/>
        <v>0.63328250341066961</v>
      </c>
      <c r="P716">
        <f t="shared" si="791"/>
        <v>4.4952384965042079E-2</v>
      </c>
      <c r="Q716">
        <f t="shared" si="792"/>
        <v>3.0310623768016149E-2</v>
      </c>
      <c r="R716">
        <f t="shared" si="793"/>
        <v>3.4141245200630034E-2</v>
      </c>
    </row>
    <row r="717" spans="1:18" x14ac:dyDescent="0.25">
      <c r="A717" s="18">
        <f t="shared" si="786"/>
        <v>39264</v>
      </c>
      <c r="B717">
        <f>'2-state flows'!B716</f>
        <v>153054</v>
      </c>
      <c r="C717">
        <f>'2-state flows'!C716</f>
        <v>7149</v>
      </c>
      <c r="D717">
        <f>'Composite HWI'!B680*48.35347462</f>
        <v>4372.6047098866002</v>
      </c>
      <c r="E717">
        <f t="shared" si="781"/>
        <v>4.670900466502019E-2</v>
      </c>
      <c r="F717">
        <f t="shared" si="782"/>
        <v>2.8569032562929426E-2</v>
      </c>
      <c r="G717">
        <f>'2-state flows'!G716</f>
        <v>0.57202566638568486</v>
      </c>
      <c r="H717">
        <f t="shared" si="783"/>
        <v>0.60314415996826309</v>
      </c>
      <c r="I717">
        <f>'2-state flows'!H716</f>
        <v>2.728076569202911E-2</v>
      </c>
      <c r="J717">
        <f t="shared" si="787"/>
        <v>7.8144543027647229E-2</v>
      </c>
      <c r="K717">
        <v>0.5</v>
      </c>
      <c r="L717">
        <f t="shared" si="789"/>
        <v>5.3622606389871486E-3</v>
      </c>
      <c r="M717">
        <f t="shared" si="784"/>
        <v>2.8416247965634585E-2</v>
      </c>
      <c r="N717">
        <f t="shared" ref="N717:O717" si="828">AVERAGE(G715:G717)</f>
        <v>0.52982059158232919</v>
      </c>
      <c r="O717">
        <f t="shared" si="828"/>
        <v>0.61988582735676123</v>
      </c>
      <c r="P717">
        <f t="shared" si="791"/>
        <v>4.5542991072809014E-2</v>
      </c>
      <c r="Q717">
        <f t="shared" si="792"/>
        <v>2.9410207089192494E-2</v>
      </c>
      <c r="R717">
        <f t="shared" si="793"/>
        <v>3.1882249886123197E-2</v>
      </c>
    </row>
    <row r="718" spans="1:18" x14ac:dyDescent="0.25">
      <c r="A718" s="18">
        <f t="shared" si="786"/>
        <v>39295</v>
      </c>
      <c r="B718">
        <f>'2-state flows'!B717</f>
        <v>152749</v>
      </c>
      <c r="C718">
        <f>'2-state flows'!C717</f>
        <v>7067</v>
      </c>
      <c r="D718">
        <f>'Composite HWI'!B681*48.35347462</f>
        <v>4068.4613545267998</v>
      </c>
      <c r="E718">
        <f t="shared" si="781"/>
        <v>4.6265441999620294E-2</v>
      </c>
      <c r="F718">
        <f t="shared" si="782"/>
        <v>2.6634945921261678E-2</v>
      </c>
      <c r="G718">
        <f>'2-state flows'!G717</f>
        <v>0.51942815334498471</v>
      </c>
      <c r="H718">
        <f t="shared" si="783"/>
        <v>0.58515540156442181</v>
      </c>
      <c r="I718">
        <f>'2-state flows'!H717</f>
        <v>2.6114661972270234E-2</v>
      </c>
      <c r="J718">
        <f t="shared" si="787"/>
        <v>-4.3684982481545322E-2</v>
      </c>
      <c r="K718">
        <v>0.5</v>
      </c>
      <c r="L718">
        <f t="shared" si="789"/>
        <v>-8.2007704324103495E-2</v>
      </c>
      <c r="M718">
        <f t="shared" si="784"/>
        <v>2.8911279535739097E-2</v>
      </c>
      <c r="N718">
        <f t="shared" ref="N718:O718" si="829">AVERAGE(G716:G718)</f>
        <v>0.52940731952575992</v>
      </c>
      <c r="O718">
        <f t="shared" si="829"/>
        <v>0.60273018728925565</v>
      </c>
      <c r="P718">
        <f t="shared" si="791"/>
        <v>4.6192201854412092E-2</v>
      </c>
      <c r="Q718">
        <f t="shared" si="792"/>
        <v>2.8222139991928286E-2</v>
      </c>
      <c r="R718">
        <f t="shared" si="793"/>
        <v>3.0529913760022547E-2</v>
      </c>
    </row>
    <row r="719" spans="1:18" x14ac:dyDescent="0.25">
      <c r="A719" s="18">
        <f t="shared" si="786"/>
        <v>39326</v>
      </c>
      <c r="B719">
        <f>'2-state flows'!B718</f>
        <v>153414</v>
      </c>
      <c r="C719">
        <f>'2-state flows'!C718</f>
        <v>7170</v>
      </c>
      <c r="D719">
        <f>'Composite HWI'!B682*48.35347462</f>
        <v>4244.4680021435997</v>
      </c>
      <c r="E719">
        <f t="shared" si="781"/>
        <v>4.673628221674684E-2</v>
      </c>
      <c r="F719">
        <f t="shared" si="782"/>
        <v>2.766675793697837E-2</v>
      </c>
      <c r="G719">
        <f>'2-state flows'!G718</f>
        <v>0.51483177809681258</v>
      </c>
      <c r="H719">
        <f t="shared" si="783"/>
        <v>0.59337018500727967</v>
      </c>
      <c r="I719">
        <f>'2-state flows'!H718</f>
        <v>2.5834088348782654E-2</v>
      </c>
      <c r="J719">
        <f t="shared" si="787"/>
        <v>-1.0802044320851918E-2</v>
      </c>
      <c r="K719">
        <v>0.5</v>
      </c>
      <c r="L719">
        <f t="shared" si="789"/>
        <v>-0.10361179296580733</v>
      </c>
      <c r="M719">
        <f t="shared" si="784"/>
        <v>3.0687131919793265E-2</v>
      </c>
      <c r="N719">
        <f t="shared" ref="N719:O719" si="830">AVERAGE(G717:G719)</f>
        <v>0.53542853260916068</v>
      </c>
      <c r="O719">
        <f t="shared" si="830"/>
        <v>0.5938899155133216</v>
      </c>
      <c r="P719">
        <f t="shared" si="791"/>
        <v>4.6570242960462443E-2</v>
      </c>
      <c r="Q719">
        <f t="shared" si="792"/>
        <v>2.762357880705649E-2</v>
      </c>
      <c r="R719">
        <f t="shared" si="793"/>
        <v>2.9338219807055647E-2</v>
      </c>
    </row>
    <row r="720" spans="1:18" x14ac:dyDescent="0.25">
      <c r="A720" s="18">
        <f t="shared" si="786"/>
        <v>39356</v>
      </c>
      <c r="B720">
        <f>'2-state flows'!B719</f>
        <v>153183</v>
      </c>
      <c r="C720">
        <f>'2-state flows'!C719</f>
        <v>7237</v>
      </c>
      <c r="D720">
        <f>'Composite HWI'!B683*48.35347462</f>
        <v>4128.4196630555998</v>
      </c>
      <c r="E720">
        <f t="shared" si="781"/>
        <v>4.7244145890862566E-2</v>
      </c>
      <c r="F720">
        <f t="shared" si="782"/>
        <v>2.6950899662858147E-2</v>
      </c>
      <c r="G720">
        <f>'2-state flows'!G719</f>
        <v>0.55085915853310063</v>
      </c>
      <c r="H720">
        <f t="shared" si="783"/>
        <v>0.58248708303732466</v>
      </c>
      <c r="I720">
        <f>'2-state flows'!H719</f>
        <v>2.7342428723142333E-2</v>
      </c>
      <c r="J720">
        <f t="shared" si="787"/>
        <v>5.674478773956991E-2</v>
      </c>
      <c r="K720">
        <v>0.5</v>
      </c>
      <c r="L720">
        <f t="shared" si="789"/>
        <v>9.8777825133324892E-3</v>
      </c>
      <c r="M720">
        <f t="shared" si="784"/>
        <v>2.6685995026546828E-2</v>
      </c>
      <c r="N720">
        <f t="shared" ref="N720:O720" si="831">AVERAGE(G718:G720)</f>
        <v>0.5283730299916326</v>
      </c>
      <c r="O720">
        <f t="shared" si="831"/>
        <v>0.58700422320300871</v>
      </c>
      <c r="P720">
        <f t="shared" si="791"/>
        <v>4.6748623369076564E-2</v>
      </c>
      <c r="Q720">
        <f t="shared" si="792"/>
        <v>2.7084201173699401E-2</v>
      </c>
      <c r="R720">
        <f t="shared" si="793"/>
        <v>2.8761468827359731E-2</v>
      </c>
    </row>
    <row r="721" spans="1:18" x14ac:dyDescent="0.25">
      <c r="A721" s="18">
        <f t="shared" si="786"/>
        <v>39387</v>
      </c>
      <c r="B721">
        <f>'2-state flows'!B720</f>
        <v>153835</v>
      </c>
      <c r="C721">
        <f>'2-state flows'!C720</f>
        <v>7240</v>
      </c>
      <c r="D721">
        <f>'Composite HWI'!B684*48.35347462</f>
        <v>4162.2670952895996</v>
      </c>
      <c r="E721">
        <f t="shared" si="781"/>
        <v>4.7063412097377057E-2</v>
      </c>
      <c r="F721">
        <f t="shared" si="782"/>
        <v>2.705669772996782E-2</v>
      </c>
      <c r="G721">
        <f>'2-state flows'!G720</f>
        <v>0.47729645571974094</v>
      </c>
      <c r="H721">
        <f t="shared" si="783"/>
        <v>0.58474882288276342</v>
      </c>
      <c r="I721">
        <f>'2-state flows'!H720</f>
        <v>2.7090383660092619E-2</v>
      </c>
      <c r="J721">
        <f t="shared" si="787"/>
        <v>-9.2608429864740778E-3</v>
      </c>
      <c r="K721">
        <v>0.5</v>
      </c>
      <c r="L721">
        <f t="shared" si="789"/>
        <v>-8.6439034596156664E-3</v>
      </c>
      <c r="M721">
        <f t="shared" si="784"/>
        <v>2.7291586930350047E-2</v>
      </c>
      <c r="N721">
        <f t="shared" ref="N721:O721" si="832">AVERAGE(G719:G721)</f>
        <v>0.51432913078321807</v>
      </c>
      <c r="O721">
        <f t="shared" si="832"/>
        <v>0.58686869697578936</v>
      </c>
      <c r="P721">
        <f t="shared" si="791"/>
        <v>4.7014613401662152E-2</v>
      </c>
      <c r="Q721">
        <f t="shared" si="792"/>
        <v>2.7224785109934774E-2</v>
      </c>
      <c r="R721">
        <f t="shared" si="793"/>
        <v>2.8221571292230047E-2</v>
      </c>
    </row>
    <row r="722" spans="1:18" x14ac:dyDescent="0.25">
      <c r="A722" s="18">
        <f t="shared" si="786"/>
        <v>39417</v>
      </c>
      <c r="B722">
        <f>'2-state flows'!B721</f>
        <v>153918</v>
      </c>
      <c r="C722">
        <f>'2-state flows'!C721</f>
        <v>7645</v>
      </c>
      <c r="D722">
        <f>'Composite HWI'!B685*48.35347462</f>
        <v>4075.7143757198005</v>
      </c>
      <c r="E722">
        <f t="shared" si="781"/>
        <v>4.9669304434828934E-2</v>
      </c>
      <c r="F722">
        <f t="shared" si="782"/>
        <v>2.6479777386139377E-2</v>
      </c>
      <c r="G722">
        <f>'2-state flows'!G721</f>
        <v>0.48174316474191042</v>
      </c>
      <c r="H722">
        <f t="shared" si="783"/>
        <v>0.56310164002070029</v>
      </c>
      <c r="I722">
        <f>'2-state flows'!H721</f>
        <v>2.5527103969889796E-2</v>
      </c>
      <c r="J722">
        <f t="shared" si="787"/>
        <v>-5.9438029956401107E-2</v>
      </c>
      <c r="K722">
        <v>0.5</v>
      </c>
      <c r="L722">
        <f t="shared" si="789"/>
        <v>-0.12751996337241789</v>
      </c>
      <c r="M722">
        <f t="shared" si="784"/>
        <v>3.0081226941790874E-2</v>
      </c>
      <c r="N722">
        <f t="shared" ref="N722:O722" si="833">AVERAGE(G720:G722)</f>
        <v>0.50329959299825067</v>
      </c>
      <c r="O722">
        <f t="shared" si="833"/>
        <v>0.57677918198026279</v>
      </c>
      <c r="P722">
        <f t="shared" si="791"/>
        <v>4.7992287474356188E-2</v>
      </c>
      <c r="Q722">
        <f t="shared" si="792"/>
        <v>2.6829124926321783E-2</v>
      </c>
      <c r="R722">
        <f t="shared" si="793"/>
        <v>2.801960296622925E-2</v>
      </c>
    </row>
    <row r="723" spans="1:18" x14ac:dyDescent="0.25">
      <c r="A723" s="18">
        <f t="shared" si="786"/>
        <v>39448</v>
      </c>
      <c r="B723">
        <f>'2-state flows'!B722</f>
        <v>154063</v>
      </c>
      <c r="C723">
        <f>'2-state flows'!C722</f>
        <v>7685</v>
      </c>
      <c r="D723">
        <f>'Composite HWI'!B686*48.35347462</f>
        <v>4070.3954935116003</v>
      </c>
      <c r="E723">
        <f t="shared" si="781"/>
        <v>4.9882191051712613E-2</v>
      </c>
      <c r="F723">
        <f t="shared" si="782"/>
        <v>2.6420331250927222E-2</v>
      </c>
      <c r="G723">
        <f>'2-state flows'!G722</f>
        <v>0.55323928408313239</v>
      </c>
      <c r="H723">
        <f t="shared" si="783"/>
        <v>0.561267680521915</v>
      </c>
      <c r="I723">
        <f>'2-state flows'!H722</f>
        <v>2.7352584599885089E-2</v>
      </c>
      <c r="J723">
        <f t="shared" si="787"/>
        <v>6.9070236847642533E-2</v>
      </c>
      <c r="K723">
        <v>0.5</v>
      </c>
      <c r="L723">
        <f t="shared" si="789"/>
        <v>1.0620510322867177E-2</v>
      </c>
      <c r="M723">
        <f t="shared" si="784"/>
        <v>2.6141218632906596E-2</v>
      </c>
      <c r="N723">
        <f t="shared" ref="N723:O723" si="834">AVERAGE(G721:G723)</f>
        <v>0.50409296818159455</v>
      </c>
      <c r="O723">
        <f t="shared" si="834"/>
        <v>0.56970604780845957</v>
      </c>
      <c r="P723">
        <f t="shared" si="791"/>
        <v>4.8871635861306197E-2</v>
      </c>
      <c r="Q723">
        <f t="shared" si="792"/>
        <v>2.6652268789011474E-2</v>
      </c>
      <c r="R723">
        <f t="shared" si="793"/>
        <v>2.7838010835015841E-2</v>
      </c>
    </row>
    <row r="724" spans="1:18" x14ac:dyDescent="0.25">
      <c r="A724" s="18">
        <f t="shared" si="786"/>
        <v>39479</v>
      </c>
      <c r="B724">
        <f>'2-state flows'!B723</f>
        <v>153653</v>
      </c>
      <c r="C724">
        <f>'2-state flows'!C723</f>
        <v>7497</v>
      </c>
      <c r="D724">
        <f>'Composite HWI'!B687*48.35347462</f>
        <v>4068.4613545267998</v>
      </c>
      <c r="E724">
        <f t="shared" si="781"/>
        <v>4.8791758052234582E-2</v>
      </c>
      <c r="F724">
        <f t="shared" si="782"/>
        <v>2.6478242237553448E-2</v>
      </c>
      <c r="G724">
        <f>'2-state flows'!G723</f>
        <v>0.49996489208219563</v>
      </c>
      <c r="H724">
        <f t="shared" si="783"/>
        <v>0.56812644946872604</v>
      </c>
      <c r="I724">
        <f>'2-state flows'!H723</f>
        <v>2.8508187817837184E-2</v>
      </c>
      <c r="J724">
        <f t="shared" si="787"/>
        <v>4.1380312555203073E-2</v>
      </c>
      <c r="K724">
        <v>0.5</v>
      </c>
      <c r="L724">
        <f t="shared" si="789"/>
        <v>9.3381135433273324E-2</v>
      </c>
      <c r="M724">
        <f t="shared" si="784"/>
        <v>2.411760839906341E-2</v>
      </c>
      <c r="N724">
        <f t="shared" ref="N724:O724" si="835">AVERAGE(G722:G724)</f>
        <v>0.51164911363574606</v>
      </c>
      <c r="O724">
        <f t="shared" si="835"/>
        <v>0.56416525667044715</v>
      </c>
      <c r="P724">
        <f t="shared" si="791"/>
        <v>4.9447751179592048E-2</v>
      </c>
      <c r="Q724">
        <f t="shared" si="792"/>
        <v>2.6459450291540013E-2</v>
      </c>
      <c r="R724">
        <f t="shared" si="793"/>
        <v>2.6780017991253624E-2</v>
      </c>
    </row>
    <row r="725" spans="1:18" x14ac:dyDescent="0.25">
      <c r="A725" s="18">
        <f t="shared" si="786"/>
        <v>39508</v>
      </c>
      <c r="B725">
        <f>'2-state flows'!B724</f>
        <v>153908</v>
      </c>
      <c r="C725">
        <f>'2-state flows'!C724</f>
        <v>7822</v>
      </c>
      <c r="D725">
        <f>'Composite HWI'!B688*48.35347462</f>
        <v>3923.8844654130003</v>
      </c>
      <c r="E725">
        <f t="shared" si="781"/>
        <v>5.0822569327130494E-2</v>
      </c>
      <c r="F725">
        <f t="shared" si="782"/>
        <v>2.5495000035170363E-2</v>
      </c>
      <c r="G725">
        <f>'2-state flows'!G724</f>
        <v>0.49982355481249768</v>
      </c>
      <c r="H725">
        <f t="shared" si="783"/>
        <v>0.54622662637064634</v>
      </c>
      <c r="I725">
        <f>'2-state flows'!H724</f>
        <v>2.5134729659672773E-2</v>
      </c>
      <c r="J725">
        <f t="shared" si="787"/>
        <v>-0.12594079631465119</v>
      </c>
      <c r="K725">
        <v>0.5</v>
      </c>
      <c r="L725">
        <f t="shared" si="789"/>
        <v>-0.15850045719602907</v>
      </c>
      <c r="M725">
        <f t="shared" si="784"/>
        <v>2.9873829007525287E-2</v>
      </c>
      <c r="N725">
        <f t="shared" ref="N725:O725" si="836">AVERAGE(G723:G725)</f>
        <v>0.51767591032594196</v>
      </c>
      <c r="O725">
        <f t="shared" si="836"/>
        <v>0.55854025212042913</v>
      </c>
      <c r="P725">
        <f t="shared" si="791"/>
        <v>4.9832172810359232E-2</v>
      </c>
      <c r="Q725">
        <f t="shared" si="792"/>
        <v>2.6131191174550344E-2</v>
      </c>
      <c r="R725">
        <f t="shared" si="793"/>
        <v>2.6710885346498431E-2</v>
      </c>
    </row>
    <row r="726" spans="1:18" x14ac:dyDescent="0.25">
      <c r="A726" s="18">
        <f t="shared" si="786"/>
        <v>39539</v>
      </c>
      <c r="B726">
        <f>'2-state flows'!B725</f>
        <v>153769</v>
      </c>
      <c r="C726">
        <f>'2-state flows'!C725</f>
        <v>7637</v>
      </c>
      <c r="D726">
        <f>'Composite HWI'!B689*48.35347462</f>
        <v>3802.5172441168002</v>
      </c>
      <c r="E726">
        <f t="shared" si="781"/>
        <v>4.9665407201711656E-2</v>
      </c>
      <c r="F726">
        <f t="shared" si="782"/>
        <v>2.4728763561685387E-2</v>
      </c>
      <c r="G726">
        <f>'2-state flows'!G725</f>
        <v>0.50857596288207529</v>
      </c>
      <c r="H726">
        <f t="shared" si="783"/>
        <v>0.54418662973895793</v>
      </c>
      <c r="I726">
        <f>'2-state flows'!H725</f>
        <v>3.3297443157760127E-2</v>
      </c>
      <c r="J726">
        <f t="shared" si="787"/>
        <v>0.28123007043577264</v>
      </c>
      <c r="K726">
        <v>0.5</v>
      </c>
      <c r="L726">
        <f t="shared" si="789"/>
        <v>0.40395968367551621</v>
      </c>
      <c r="M726">
        <f t="shared" si="784"/>
        <v>1.6510679254692729E-2</v>
      </c>
      <c r="N726">
        <f t="shared" ref="N726:O726" si="837">AVERAGE(G724:G726)</f>
        <v>0.5027881365922563</v>
      </c>
      <c r="O726">
        <f t="shared" si="837"/>
        <v>0.55284656852611014</v>
      </c>
      <c r="P726">
        <f t="shared" si="791"/>
        <v>4.975991152702558E-2</v>
      </c>
      <c r="Q726">
        <f t="shared" si="792"/>
        <v>2.5567335278136399E-2</v>
      </c>
      <c r="R726">
        <f t="shared" si="793"/>
        <v>2.3500705553760475E-2</v>
      </c>
    </row>
    <row r="727" spans="1:18" x14ac:dyDescent="0.25">
      <c r="A727" s="18">
        <f t="shared" si="786"/>
        <v>39569</v>
      </c>
      <c r="B727">
        <f>'2-state flows'!B726</f>
        <v>154303</v>
      </c>
      <c r="C727">
        <f>'2-state flows'!C726</f>
        <v>8395</v>
      </c>
      <c r="D727">
        <f>'Composite HWI'!B690*48.35347462</f>
        <v>3726.6022889633996</v>
      </c>
      <c r="E727">
        <f t="shared" si="781"/>
        <v>5.4405941556547828E-2</v>
      </c>
      <c r="F727">
        <f t="shared" si="782"/>
        <v>2.4151197896109599E-2</v>
      </c>
      <c r="G727">
        <f>'2-state flows'!G726</f>
        <v>0.44466542837825612</v>
      </c>
      <c r="H727">
        <f t="shared" si="783"/>
        <v>0.51383045248342041</v>
      </c>
      <c r="I727">
        <f>'2-state flows'!H726</f>
        <v>2.7131854715566544E-2</v>
      </c>
      <c r="J727">
        <f t="shared" si="787"/>
        <v>-0.20477212364604475</v>
      </c>
      <c r="K727">
        <v>0.5</v>
      </c>
      <c r="L727">
        <f t="shared" si="789"/>
        <v>-5.5845636165732793E-3</v>
      </c>
      <c r="M727">
        <f t="shared" si="784"/>
        <v>2.4286449105157055E-2</v>
      </c>
      <c r="N727">
        <f t="shared" ref="N727:O727" si="838">AVERAGE(G725:G727)</f>
        <v>0.48435498202427635</v>
      </c>
      <c r="O727">
        <f t="shared" si="838"/>
        <v>0.53474790286434148</v>
      </c>
      <c r="P727">
        <f t="shared" si="791"/>
        <v>5.1631306028463324E-2</v>
      </c>
      <c r="Q727">
        <f t="shared" si="792"/>
        <v>2.4791653830988452E-2</v>
      </c>
      <c r="R727">
        <f t="shared" si="793"/>
        <v>2.3556985789125021E-2</v>
      </c>
    </row>
    <row r="728" spans="1:18" x14ac:dyDescent="0.25">
      <c r="A728" s="18">
        <f t="shared" si="786"/>
        <v>39600</v>
      </c>
      <c r="B728">
        <f>'2-state flows'!B727</f>
        <v>154313</v>
      </c>
      <c r="C728">
        <f>'2-state flows'!C727</f>
        <v>8575</v>
      </c>
      <c r="D728">
        <f>'Composite HWI'!B691*48.35347462</f>
        <v>3658.9074244953999</v>
      </c>
      <c r="E728">
        <f t="shared" si="781"/>
        <v>5.556887624503444E-2</v>
      </c>
      <c r="F728">
        <f t="shared" si="782"/>
        <v>2.3710947389367066E-2</v>
      </c>
      <c r="G728">
        <f>'2-state flows'!G727</f>
        <v>0.42138829640727854</v>
      </c>
      <c r="H728">
        <f t="shared" si="783"/>
        <v>0.50377001337460825</v>
      </c>
      <c r="I728">
        <f>'2-state flows'!H727</f>
        <v>2.7877356420571531E-2</v>
      </c>
      <c r="J728">
        <f t="shared" si="787"/>
        <v>2.7106273131303205E-2</v>
      </c>
      <c r="K728">
        <v>0.5</v>
      </c>
      <c r="L728">
        <f t="shared" si="789"/>
        <v>4.862798264603313E-2</v>
      </c>
      <c r="M728">
        <f t="shared" si="784"/>
        <v>2.2585517313129019E-2</v>
      </c>
      <c r="N728">
        <f t="shared" ref="N728:O728" si="839">AVERAGE(G726:G728)</f>
        <v>0.45820989588920336</v>
      </c>
      <c r="O728">
        <f t="shared" si="839"/>
        <v>0.5205956985323289</v>
      </c>
      <c r="P728">
        <f t="shared" si="791"/>
        <v>5.3213408334431313E-2</v>
      </c>
      <c r="Q728">
        <f t="shared" si="792"/>
        <v>2.4196969615720682E-2</v>
      </c>
      <c r="R728">
        <f t="shared" si="793"/>
        <v>2.1127548557659599E-2</v>
      </c>
    </row>
    <row r="729" spans="1:18" x14ac:dyDescent="0.25">
      <c r="A729" s="18">
        <f t="shared" si="786"/>
        <v>39630</v>
      </c>
      <c r="B729">
        <f>'2-state flows'!B728</f>
        <v>154469</v>
      </c>
      <c r="C729">
        <f>'2-state flows'!C728</f>
        <v>8937</v>
      </c>
      <c r="D729">
        <f>'Composite HWI'!B692*48.35347462</f>
        <v>3741.1083313494</v>
      </c>
      <c r="E729">
        <f t="shared" si="781"/>
        <v>5.7856268895377067E-2</v>
      </c>
      <c r="F729">
        <f t="shared" si="782"/>
        <v>2.4219152913202001E-2</v>
      </c>
      <c r="G729">
        <f>'2-state flows'!G728</f>
        <v>0.45659234148027633</v>
      </c>
      <c r="H729">
        <f t="shared" si="783"/>
        <v>0.49897401513052714</v>
      </c>
      <c r="I729">
        <f>'2-state flows'!H728</f>
        <v>3.2391497479791434E-2</v>
      </c>
      <c r="J729">
        <f t="shared" si="787"/>
        <v>0.15008120342147546</v>
      </c>
      <c r="K729">
        <v>0.5</v>
      </c>
      <c r="L729">
        <f t="shared" si="789"/>
        <v>0.34879038948898405</v>
      </c>
      <c r="M729">
        <f t="shared" si="784"/>
        <v>1.7087605452282006E-2</v>
      </c>
      <c r="N729">
        <f t="shared" ref="N729:O729" si="840">AVERAGE(G727:G729)</f>
        <v>0.44088202208860366</v>
      </c>
      <c r="O729">
        <f t="shared" si="840"/>
        <v>0.50552482699618528</v>
      </c>
      <c r="P729">
        <f t="shared" si="791"/>
        <v>5.5943695565653116E-2</v>
      </c>
      <c r="Q729">
        <f t="shared" si="792"/>
        <v>2.4027099399559559E-2</v>
      </c>
      <c r="R729">
        <f t="shared" si="793"/>
        <v>2.131985729018936E-2</v>
      </c>
    </row>
    <row r="730" spans="1:18" x14ac:dyDescent="0.25">
      <c r="A730" s="18">
        <f t="shared" si="786"/>
        <v>39661</v>
      </c>
      <c r="B730">
        <f>'2-state flows'!B729</f>
        <v>154641</v>
      </c>
      <c r="C730">
        <f>'2-state flows'!C729</f>
        <v>9438</v>
      </c>
      <c r="D730">
        <f>'Composite HWI'!B693*48.35347462</f>
        <v>3806.8690568326001</v>
      </c>
      <c r="E730">
        <f t="shared" si="781"/>
        <v>6.1031679826178048E-2</v>
      </c>
      <c r="F730">
        <f t="shared" si="782"/>
        <v>2.4617462748123719E-2</v>
      </c>
      <c r="G730">
        <f>'2-state flows'!G729</f>
        <v>0.42175731165956831</v>
      </c>
      <c r="H730">
        <f t="shared" si="783"/>
        <v>0.48979872400207031</v>
      </c>
      <c r="I730">
        <f>'2-state flows'!H729</f>
        <v>2.7892509730935874E-2</v>
      </c>
      <c r="J730">
        <f t="shared" si="787"/>
        <v>-0.14953778053801059</v>
      </c>
      <c r="K730">
        <v>0.5</v>
      </c>
      <c r="L730">
        <f t="shared" si="789"/>
        <v>4.9714828412962875E-2</v>
      </c>
      <c r="M730">
        <f t="shared" si="784"/>
        <v>2.3423533696500198E-2</v>
      </c>
      <c r="N730">
        <f t="shared" ref="N730:O730" si="841">AVERAGE(G728:G730)</f>
        <v>0.43324598318237434</v>
      </c>
      <c r="O730">
        <f t="shared" si="841"/>
        <v>0.49751425083573525</v>
      </c>
      <c r="P730">
        <f t="shared" si="791"/>
        <v>5.8152274988863183E-2</v>
      </c>
      <c r="Q730">
        <f t="shared" si="792"/>
        <v>2.4182521016897596E-2</v>
      </c>
      <c r="R730">
        <f t="shared" si="793"/>
        <v>2.1032218820637074E-2</v>
      </c>
    </row>
    <row r="731" spans="1:18" x14ac:dyDescent="0.25">
      <c r="A731" s="18">
        <f t="shared" si="786"/>
        <v>39692</v>
      </c>
      <c r="B731">
        <f>'2-state flows'!B730</f>
        <v>154570</v>
      </c>
      <c r="C731">
        <f>'2-state flows'!C730</f>
        <v>9494</v>
      </c>
      <c r="D731">
        <f>'Composite HWI'!B694*48.35347462</f>
        <v>3807.3525915787995</v>
      </c>
      <c r="E731">
        <f t="shared" si="781"/>
        <v>6.1422009445558645E-2</v>
      </c>
      <c r="F731">
        <f t="shared" si="782"/>
        <v>2.463189876158892E-2</v>
      </c>
      <c r="G731">
        <f>'2-state flows'!G730</f>
        <v>0.39486215480518239</v>
      </c>
      <c r="H731">
        <f t="shared" si="783"/>
        <v>0.48838307131620129</v>
      </c>
      <c r="I731">
        <f>'2-state flows'!H730</f>
        <v>3.074924577777911E-2</v>
      </c>
      <c r="J731">
        <f t="shared" si="787"/>
        <v>9.7507282041839116E-2</v>
      </c>
      <c r="K731">
        <v>0.5</v>
      </c>
      <c r="L731">
        <f t="shared" si="789"/>
        <v>0.24472939249664111</v>
      </c>
      <c r="M731">
        <f t="shared" si="784"/>
        <v>1.9284716829253055E-2</v>
      </c>
      <c r="N731">
        <f t="shared" ref="N731:O731" si="842">AVERAGE(G729:G731)</f>
        <v>0.42440393598167575</v>
      </c>
      <c r="O731">
        <f t="shared" si="842"/>
        <v>0.4923852701495996</v>
      </c>
      <c r="P731">
        <f t="shared" si="791"/>
        <v>6.0103319389037922E-2</v>
      </c>
      <c r="Q731">
        <f t="shared" si="792"/>
        <v>2.4489504807638212E-2</v>
      </c>
      <c r="R731">
        <f t="shared" si="793"/>
        <v>1.9931951992678418E-2</v>
      </c>
    </row>
    <row r="732" spans="1:18" x14ac:dyDescent="0.25">
      <c r="A732" s="18">
        <f t="shared" si="786"/>
        <v>39722</v>
      </c>
      <c r="B732">
        <f>'2-state flows'!B731</f>
        <v>154876</v>
      </c>
      <c r="C732">
        <f>'2-state flows'!C731</f>
        <v>10074</v>
      </c>
      <c r="D732">
        <f>'Composite HWI'!B695*48.35347462</f>
        <v>3693.7219262218</v>
      </c>
      <c r="E732">
        <f t="shared" si="781"/>
        <v>6.5045584854980756E-2</v>
      </c>
      <c r="F732">
        <f t="shared" si="782"/>
        <v>2.3849543675080711E-2</v>
      </c>
      <c r="G732">
        <f>'2-state flows'!G731</f>
        <v>0.41242794646461084</v>
      </c>
      <c r="H732">
        <f t="shared" si="783"/>
        <v>0.46698700117700587</v>
      </c>
      <c r="I732">
        <f>'2-state flows'!H731</f>
        <v>3.2663190100302372E-2</v>
      </c>
      <c r="J732">
        <f t="shared" si="787"/>
        <v>6.0383292438096328E-2</v>
      </c>
      <c r="K732">
        <v>0.5</v>
      </c>
      <c r="L732">
        <f t="shared" si="789"/>
        <v>0.36549597737283379</v>
      </c>
      <c r="M732">
        <f t="shared" si="784"/>
        <v>1.6548063843283573E-2</v>
      </c>
      <c r="N732">
        <f t="shared" ref="N732:O732" si="843">AVERAGE(G730:G732)</f>
        <v>0.40968247097645388</v>
      </c>
      <c r="O732">
        <f t="shared" si="843"/>
        <v>0.48172293216509249</v>
      </c>
      <c r="P732">
        <f t="shared" si="791"/>
        <v>6.2499758042239152E-2</v>
      </c>
      <c r="Q732">
        <f t="shared" si="792"/>
        <v>2.4366301728264452E-2</v>
      </c>
      <c r="R732">
        <f t="shared" si="793"/>
        <v>1.975210478967894E-2</v>
      </c>
    </row>
    <row r="733" spans="1:18" x14ac:dyDescent="0.25">
      <c r="A733" s="18">
        <f t="shared" si="786"/>
        <v>39753</v>
      </c>
      <c r="B733">
        <f>'2-state flows'!B732</f>
        <v>154639</v>
      </c>
      <c r="C733">
        <f>'2-state flows'!C732</f>
        <v>10538</v>
      </c>
      <c r="D733">
        <f>'Composite HWI'!B696*48.35347462</f>
        <v>3618.2905058145998</v>
      </c>
      <c r="E733">
        <f t="shared" si="781"/>
        <v>6.8145810565251971E-2</v>
      </c>
      <c r="F733">
        <f t="shared" si="782"/>
        <v>2.3398305122346884E-2</v>
      </c>
      <c r="G733">
        <f>'2-state flows'!G732</f>
        <v>0.33872567520719821</v>
      </c>
      <c r="H733">
        <f t="shared" si="783"/>
        <v>0.45190410424819055</v>
      </c>
      <c r="I733">
        <f>'2-state flows'!H732</f>
        <v>3.0980087435813083E-2</v>
      </c>
      <c r="J733">
        <f t="shared" si="787"/>
        <v>-5.2904101522220977E-2</v>
      </c>
      <c r="K733">
        <v>0.5</v>
      </c>
      <c r="L733">
        <f t="shared" si="789"/>
        <v>0.25968777432839185</v>
      </c>
      <c r="M733">
        <f t="shared" si="784"/>
        <v>1.80469341062631E-2</v>
      </c>
      <c r="N733">
        <f t="shared" ref="N733:O733" si="844">AVERAGE(G731:G733)</f>
        <v>0.38200525882566377</v>
      </c>
      <c r="O733">
        <f t="shared" si="844"/>
        <v>0.46909139224713253</v>
      </c>
      <c r="P733">
        <f t="shared" si="791"/>
        <v>6.4871134955263796E-2</v>
      </c>
      <c r="Q733">
        <f t="shared" si="792"/>
        <v>2.3959915853005508E-2</v>
      </c>
      <c r="R733">
        <f t="shared" si="793"/>
        <v>1.7959904926266576E-2</v>
      </c>
    </row>
    <row r="734" spans="1:18" x14ac:dyDescent="0.25">
      <c r="A734" s="18">
        <f t="shared" si="786"/>
        <v>39783</v>
      </c>
      <c r="B734">
        <f>'2-state flows'!B733</f>
        <v>154655</v>
      </c>
      <c r="C734">
        <f>'2-state flows'!C733</f>
        <v>11286</v>
      </c>
      <c r="D734">
        <f>'Composite HWI'!B697*48.35347462</f>
        <v>3301.0917123074</v>
      </c>
      <c r="E734">
        <f t="shared" si="781"/>
        <v>7.2975332191005784E-2</v>
      </c>
      <c r="F734">
        <f t="shared" si="782"/>
        <v>2.1344875447333742E-2</v>
      </c>
      <c r="G734">
        <f>'2-state flows'!G733</f>
        <v>0.34609843075133351</v>
      </c>
      <c r="H734">
        <f t="shared" si="783"/>
        <v>0.41709255573511034</v>
      </c>
      <c r="I734">
        <f>'2-state flows'!H733</f>
        <v>3.3893328750791638E-2</v>
      </c>
      <c r="J734">
        <f t="shared" si="787"/>
        <v>8.9873545692571735E-2</v>
      </c>
      <c r="K734">
        <v>0.5</v>
      </c>
      <c r="L734">
        <f t="shared" si="789"/>
        <v>0.43943486571353529</v>
      </c>
      <c r="M734">
        <f t="shared" si="784"/>
        <v>1.3754648218829163E-2</v>
      </c>
      <c r="N734">
        <f t="shared" ref="N734:O734" si="845">AVERAGE(G732:G734)</f>
        <v>0.36575068414104756</v>
      </c>
      <c r="O734">
        <f t="shared" si="845"/>
        <v>0.44532788705343562</v>
      </c>
      <c r="P734">
        <f t="shared" si="791"/>
        <v>6.8722242537079495E-2</v>
      </c>
      <c r="Q734">
        <f t="shared" si="792"/>
        <v>2.2864241414920442E-2</v>
      </c>
      <c r="R734">
        <f t="shared" si="793"/>
        <v>1.6116548722791946E-2</v>
      </c>
    </row>
    <row r="735" spans="1:18" x14ac:dyDescent="0.25">
      <c r="A735" s="18">
        <f t="shared" si="786"/>
        <v>39814</v>
      </c>
      <c r="B735">
        <f>'2-state flows'!B734</f>
        <v>154232</v>
      </c>
      <c r="C735">
        <f>'2-state flows'!C734</f>
        <v>12079</v>
      </c>
      <c r="D735">
        <f>'Composite HWI'!B698*48.35347462</f>
        <v>2958.2655772516</v>
      </c>
      <c r="E735">
        <f t="shared" si="781"/>
        <v>7.8317080761450289E-2</v>
      </c>
      <c r="F735">
        <f t="shared" si="782"/>
        <v>1.9180621254030292E-2</v>
      </c>
      <c r="G735">
        <f>'2-state flows'!G734</f>
        <v>0.30595210541908274</v>
      </c>
      <c r="H735">
        <f t="shared" si="783"/>
        <v>0.38166009658246958</v>
      </c>
      <c r="I735">
        <f>'2-state flows'!H734</f>
        <v>3.2648075980607594E-2</v>
      </c>
      <c r="J735">
        <f t="shared" si="787"/>
        <v>-3.7432277640639354E-2</v>
      </c>
      <c r="K735">
        <v>0.5</v>
      </c>
      <c r="L735">
        <f t="shared" si="789"/>
        <v>0.36457031043225657</v>
      </c>
      <c r="M735">
        <f t="shared" si="784"/>
        <v>1.3320845635151192E-2</v>
      </c>
      <c r="N735">
        <f t="shared" ref="N735:O735" si="846">AVERAGE(G733:G735)</f>
        <v>0.33025873712587145</v>
      </c>
      <c r="O735">
        <f t="shared" si="846"/>
        <v>0.41688558552192351</v>
      </c>
      <c r="P735">
        <f t="shared" si="791"/>
        <v>7.3146074505902672E-2</v>
      </c>
      <c r="Q735">
        <f t="shared" si="792"/>
        <v>2.1307933941236975E-2</v>
      </c>
      <c r="R735">
        <f t="shared" si="793"/>
        <v>1.5040809320081151E-2</v>
      </c>
    </row>
    <row r="736" spans="1:18" x14ac:dyDescent="0.25">
      <c r="A736" s="18">
        <f t="shared" si="786"/>
        <v>39845</v>
      </c>
      <c r="B736">
        <f>'2-state flows'!B735</f>
        <v>154526</v>
      </c>
      <c r="C736">
        <f>'2-state flows'!C735</f>
        <v>12881</v>
      </c>
      <c r="D736">
        <f>'Composite HWI'!B699*48.35347462</f>
        <v>2808.8533406758002</v>
      </c>
      <c r="E736">
        <f t="shared" si="781"/>
        <v>8.3358140377671072E-2</v>
      </c>
      <c r="F736">
        <f t="shared" si="782"/>
        <v>1.8177221572264861E-2</v>
      </c>
      <c r="G736">
        <f>'2-state flows'!G735</f>
        <v>0.3094592898440921</v>
      </c>
      <c r="H736">
        <f t="shared" si="783"/>
        <v>0.36013340589039289</v>
      </c>
      <c r="I736">
        <f>'2-state flows'!H735</f>
        <v>3.2643362173296643E-2</v>
      </c>
      <c r="J736">
        <f t="shared" si="787"/>
        <v>-1.4439281634535489E-4</v>
      </c>
      <c r="K736">
        <v>0.5</v>
      </c>
      <c r="L736">
        <f t="shared" si="789"/>
        <v>0.36428152479956588</v>
      </c>
      <c r="M736">
        <f t="shared" si="784"/>
        <v>1.2627635722385748E-2</v>
      </c>
      <c r="N736">
        <f t="shared" ref="N736:O736" si="847">AVERAGE(G734:G736)</f>
        <v>0.32050327533816947</v>
      </c>
      <c r="O736">
        <f t="shared" si="847"/>
        <v>0.38629535273599092</v>
      </c>
      <c r="P736">
        <f t="shared" si="791"/>
        <v>7.8216851110042382E-2</v>
      </c>
      <c r="Q736">
        <f t="shared" si="792"/>
        <v>1.9567572757876298E-2</v>
      </c>
      <c r="R736">
        <f t="shared" si="793"/>
        <v>1.3234376525455368E-2</v>
      </c>
    </row>
    <row r="737" spans="1:18" x14ac:dyDescent="0.25">
      <c r="A737" s="18">
        <f t="shared" si="786"/>
        <v>39873</v>
      </c>
      <c r="B737">
        <f>'2-state flows'!B736</f>
        <v>154142</v>
      </c>
      <c r="C737">
        <f>'2-state flows'!C736</f>
        <v>13421</v>
      </c>
      <c r="D737">
        <f>'Composite HWI'!B700*48.35347462</f>
        <v>2624.1430676274003</v>
      </c>
      <c r="E737">
        <f t="shared" si="781"/>
        <v>8.7069066185724853E-2</v>
      </c>
      <c r="F737">
        <f t="shared" si="782"/>
        <v>1.7024192417559137E-2</v>
      </c>
      <c r="G737">
        <f>'2-state flows'!G736</f>
        <v>0.29873767076906677</v>
      </c>
      <c r="H737">
        <f t="shared" si="783"/>
        <v>0.34101617809694568</v>
      </c>
      <c r="I737">
        <f>'2-state flows'!H736</f>
        <v>3.1871496086348344E-2</v>
      </c>
      <c r="J737">
        <f t="shared" si="787"/>
        <v>-2.3929461817874666E-2</v>
      </c>
      <c r="K737">
        <v>0.5</v>
      </c>
      <c r="L737">
        <f t="shared" si="789"/>
        <v>0.31642260116381654</v>
      </c>
      <c r="M737">
        <f t="shared" si="784"/>
        <v>1.2406404294603053E-2</v>
      </c>
      <c r="N737">
        <f t="shared" ref="N737:O737" si="848">AVERAGE(G735:G737)</f>
        <v>0.30471635534408054</v>
      </c>
      <c r="O737">
        <f t="shared" si="848"/>
        <v>0.36093656018993608</v>
      </c>
      <c r="P737">
        <f t="shared" si="791"/>
        <v>8.29147624416154E-2</v>
      </c>
      <c r="Q737">
        <f t="shared" si="792"/>
        <v>1.8127345081284763E-2</v>
      </c>
      <c r="R737">
        <f t="shared" si="793"/>
        <v>1.2784961884046665E-2</v>
      </c>
    </row>
    <row r="738" spans="1:18" x14ac:dyDescent="0.25">
      <c r="A738" s="18">
        <f t="shared" si="786"/>
        <v>39904</v>
      </c>
      <c r="B738">
        <f>'2-state flows'!B737</f>
        <v>154479</v>
      </c>
      <c r="C738">
        <f>'2-state flows'!C737</f>
        <v>13826</v>
      </c>
      <c r="D738">
        <f>'Composite HWI'!B701*48.35347462</f>
        <v>2570.4707107991999</v>
      </c>
      <c r="E738">
        <f t="shared" si="781"/>
        <v>8.9500838301646179E-2</v>
      </c>
      <c r="F738">
        <f t="shared" si="782"/>
        <v>1.6639612573872177E-2</v>
      </c>
      <c r="G738">
        <f>'2-state flows'!G737</f>
        <v>0.25382051064619504</v>
      </c>
      <c r="H738">
        <f t="shared" si="783"/>
        <v>0.33253067969171601</v>
      </c>
      <c r="I738">
        <f>'2-state flows'!H737</f>
        <v>3.0389978231504643E-2</v>
      </c>
      <c r="J738">
        <f t="shared" si="787"/>
        <v>-4.7599180109517955E-2</v>
      </c>
      <c r="K738">
        <v>0.5</v>
      </c>
      <c r="L738">
        <f t="shared" si="789"/>
        <v>0.22122424094478063</v>
      </c>
      <c r="M738">
        <f t="shared" si="784"/>
        <v>1.3337263858040915E-2</v>
      </c>
      <c r="N738">
        <f t="shared" ref="N738:O738" si="849">AVERAGE(G736:G738)</f>
        <v>0.2873391570864513</v>
      </c>
      <c r="O738">
        <f t="shared" si="849"/>
        <v>0.34456008789301817</v>
      </c>
      <c r="P738">
        <f t="shared" si="791"/>
        <v>8.6642681621680706E-2</v>
      </c>
      <c r="Q738">
        <f t="shared" si="792"/>
        <v>1.7280342187898725E-2</v>
      </c>
      <c r="R738">
        <f t="shared" si="793"/>
        <v>1.2790434625009903E-2</v>
      </c>
    </row>
    <row r="739" spans="1:18" x14ac:dyDescent="0.25">
      <c r="A739" s="18">
        <f t="shared" si="786"/>
        <v>39934</v>
      </c>
      <c r="B739">
        <f>'2-state flows'!B738</f>
        <v>154742</v>
      </c>
      <c r="C739">
        <f>'2-state flows'!C738</f>
        <v>14492</v>
      </c>
      <c r="D739">
        <f>'Composite HWI'!B702*48.35347462</f>
        <v>2569.987176053</v>
      </c>
      <c r="E739">
        <f t="shared" si="781"/>
        <v>9.365266055757325E-2</v>
      </c>
      <c r="F739">
        <f t="shared" si="782"/>
        <v>1.6608207054665185E-2</v>
      </c>
      <c r="G739">
        <f>'2-state flows'!G738</f>
        <v>0.26918821236653911</v>
      </c>
      <c r="H739">
        <f t="shared" si="783"/>
        <v>0.3247693094798848</v>
      </c>
      <c r="I739">
        <f>'2-state flows'!H738</f>
        <v>2.9572018239493274E-2</v>
      </c>
      <c r="J739">
        <f t="shared" si="787"/>
        <v>-2.7284306146689041E-2</v>
      </c>
      <c r="K739">
        <v>0.5</v>
      </c>
      <c r="L739">
        <f t="shared" si="789"/>
        <v>0.16665562865140254</v>
      </c>
      <c r="M739">
        <f t="shared" si="784"/>
        <v>1.4058698934250444E-2</v>
      </c>
      <c r="N739">
        <f t="shared" ref="N739:O739" si="850">AVERAGE(G737:G739)</f>
        <v>0.27391546459393362</v>
      </c>
      <c r="O739">
        <f t="shared" si="850"/>
        <v>0.33277205575618213</v>
      </c>
      <c r="P739">
        <f t="shared" si="791"/>
        <v>9.0074188348314765E-2</v>
      </c>
      <c r="Q739">
        <f t="shared" si="792"/>
        <v>1.6757337348698834E-2</v>
      </c>
      <c r="R739">
        <f t="shared" si="793"/>
        <v>1.3267455695631472E-2</v>
      </c>
    </row>
    <row r="740" spans="1:18" x14ac:dyDescent="0.25">
      <c r="A740" s="18">
        <f t="shared" si="786"/>
        <v>39965</v>
      </c>
      <c r="B740">
        <f>'2-state flows'!B739</f>
        <v>154710</v>
      </c>
      <c r="C740">
        <f>'2-state flows'!C739</f>
        <v>14705</v>
      </c>
      <c r="D740">
        <f>'Composite HWI'!B703*48.35347462</f>
        <v>2573.3719192764001</v>
      </c>
      <c r="E740">
        <f t="shared" si="781"/>
        <v>9.5048800982483361E-2</v>
      </c>
      <c r="F740">
        <f t="shared" si="782"/>
        <v>1.6633520259042078E-2</v>
      </c>
      <c r="G740">
        <f>'2-state flows'!G739</f>
        <v>0.29309257997292704</v>
      </c>
      <c r="H740">
        <f t="shared" si="783"/>
        <v>0.32262084983059364</v>
      </c>
      <c r="I740">
        <f>'2-state flows'!H739</f>
        <v>2.9964970136790135E-2</v>
      </c>
      <c r="J740">
        <f t="shared" si="787"/>
        <v>1.3200452829416086E-2</v>
      </c>
      <c r="K740">
        <v>0.5</v>
      </c>
      <c r="L740">
        <f t="shared" si="789"/>
        <v>0.19305653431023473</v>
      </c>
      <c r="M740">
        <f t="shared" si="784"/>
        <v>1.3713262328315977E-2</v>
      </c>
      <c r="N740">
        <f t="shared" ref="N740:O740" si="851">AVERAGE(G738:G740)</f>
        <v>0.27203376766188708</v>
      </c>
      <c r="O740">
        <f t="shared" si="851"/>
        <v>0.32664027966739817</v>
      </c>
      <c r="P740">
        <f t="shared" si="791"/>
        <v>9.2734099947234264E-2</v>
      </c>
      <c r="Q740">
        <f t="shared" si="792"/>
        <v>1.6627113295859811E-2</v>
      </c>
      <c r="R740">
        <f t="shared" si="793"/>
        <v>1.3703075040202446E-2</v>
      </c>
    </row>
    <row r="741" spans="1:18" x14ac:dyDescent="0.25">
      <c r="A741" s="18">
        <f t="shared" si="786"/>
        <v>39995</v>
      </c>
      <c r="B741">
        <f>'2-state flows'!B740</f>
        <v>154505</v>
      </c>
      <c r="C741">
        <f>'2-state flows'!C740</f>
        <v>14607</v>
      </c>
      <c r="D741">
        <f>'Composite HWI'!B704*48.35347462</f>
        <v>2569.0201065606002</v>
      </c>
      <c r="E741">
        <f t="shared" si="781"/>
        <v>9.4540629753082431E-2</v>
      </c>
      <c r="F741">
        <f t="shared" si="782"/>
        <v>1.6627423750432673E-2</v>
      </c>
      <c r="G741">
        <f>'2-state flows'!G740</f>
        <v>0.24845609313334738</v>
      </c>
      <c r="H741">
        <f t="shared" si="783"/>
        <v>0.32342746998059851</v>
      </c>
      <c r="I741">
        <f>'2-state flows'!H740</f>
        <v>2.7675975400599843E-2</v>
      </c>
      <c r="J741">
        <f t="shared" si="787"/>
        <v>-7.9464314505547445E-2</v>
      </c>
      <c r="K741">
        <v>0.5</v>
      </c>
      <c r="L741">
        <f t="shared" si="789"/>
        <v>3.4127905299139838E-2</v>
      </c>
      <c r="M741">
        <f t="shared" si="784"/>
        <v>1.6069538482121982E-2</v>
      </c>
      <c r="N741">
        <f t="shared" ref="N741:O741" si="852">AVERAGE(G739:G741)</f>
        <v>0.27024562849093786</v>
      </c>
      <c r="O741">
        <f t="shared" si="852"/>
        <v>0.32360587643035904</v>
      </c>
      <c r="P741">
        <f t="shared" si="791"/>
        <v>9.4414030431046347E-2</v>
      </c>
      <c r="Q741">
        <f t="shared" si="792"/>
        <v>1.6623050354713315E-2</v>
      </c>
      <c r="R741">
        <f t="shared" si="793"/>
        <v>1.4613833248229466E-2</v>
      </c>
    </row>
    <row r="742" spans="1:18" x14ac:dyDescent="0.25">
      <c r="A742" s="18">
        <f t="shared" si="786"/>
        <v>40026</v>
      </c>
      <c r="B742">
        <f>'2-state flows'!B741</f>
        <v>154300</v>
      </c>
      <c r="C742">
        <f>'2-state flows'!C741</f>
        <v>14819</v>
      </c>
      <c r="D742">
        <f>'Composite HWI'!B705*48.35347462</f>
        <v>2628.0113455969999</v>
      </c>
      <c r="E742">
        <f t="shared" si="781"/>
        <v>9.60401814646792E-2</v>
      </c>
      <c r="F742">
        <f t="shared" si="782"/>
        <v>1.7031829848327931E-2</v>
      </c>
      <c r="G742">
        <f>'2-state flows'!G741</f>
        <v>0.235911127126226</v>
      </c>
      <c r="H742">
        <f t="shared" si="783"/>
        <v>0.32477144331934665</v>
      </c>
      <c r="I742">
        <f>'2-state flows'!H741</f>
        <v>2.6580290436467844E-2</v>
      </c>
      <c r="J742">
        <f t="shared" si="787"/>
        <v>-4.0394742695766983E-2</v>
      </c>
      <c r="K742">
        <v>0.5</v>
      </c>
      <c r="L742">
        <f t="shared" si="789"/>
        <v>-4.6661580092394128E-2</v>
      </c>
      <c r="M742">
        <f t="shared" si="784"/>
        <v>1.7845395459835295E-2</v>
      </c>
      <c r="N742">
        <f t="shared" ref="N742:O742" si="853">AVERAGE(G740:G742)</f>
        <v>0.25915326674416678</v>
      </c>
      <c r="O742">
        <f t="shared" si="853"/>
        <v>0.32360658771017964</v>
      </c>
      <c r="P742">
        <f t="shared" si="791"/>
        <v>9.5209870733414984E-2</v>
      </c>
      <c r="Q742">
        <f t="shared" si="792"/>
        <v>1.6764257952600895E-2</v>
      </c>
      <c r="R742">
        <f t="shared" si="793"/>
        <v>1.5876065423424419E-2</v>
      </c>
    </row>
    <row r="743" spans="1:18" x14ac:dyDescent="0.25">
      <c r="A743" s="18">
        <f t="shared" si="786"/>
        <v>40057</v>
      </c>
      <c r="B743">
        <f>'2-state flows'!B742</f>
        <v>153815</v>
      </c>
      <c r="C743">
        <f>'2-state flows'!C742</f>
        <v>15005</v>
      </c>
      <c r="D743">
        <f>'Composite HWI'!B706*48.35347462</f>
        <v>2628.9784150893997</v>
      </c>
      <c r="E743">
        <f t="shared" si="781"/>
        <v>9.7552254331502122E-2</v>
      </c>
      <c r="F743">
        <f t="shared" si="782"/>
        <v>1.7091820791791435E-2</v>
      </c>
      <c r="G743">
        <f>'2-state flows'!G742</f>
        <v>0.25434849277141719</v>
      </c>
      <c r="H743">
        <f t="shared" si="783"/>
        <v>0.32281163300640947</v>
      </c>
      <c r="I743">
        <f>'2-state flows'!H742</f>
        <v>3.0615680432985612E-2</v>
      </c>
      <c r="J743">
        <f t="shared" si="787"/>
        <v>0.14134233005486743</v>
      </c>
      <c r="K743">
        <v>0.5</v>
      </c>
      <c r="L743">
        <f t="shared" si="789"/>
        <v>0.23602308001734074</v>
      </c>
      <c r="M743">
        <f t="shared" si="784"/>
        <v>1.3498478194973657E-2</v>
      </c>
      <c r="N743">
        <f t="shared" ref="N743:O743" si="854">AVERAGE(G741:G743)</f>
        <v>0.24623857101033017</v>
      </c>
      <c r="O743">
        <f t="shared" si="854"/>
        <v>0.32367018210211823</v>
      </c>
      <c r="P743">
        <f t="shared" si="791"/>
        <v>9.6044355183087918E-2</v>
      </c>
      <c r="Q743">
        <f t="shared" si="792"/>
        <v>1.6917024796850682E-2</v>
      </c>
      <c r="R743">
        <f t="shared" si="793"/>
        <v>1.5804470712310312E-2</v>
      </c>
    </row>
    <row r="744" spans="1:18" x14ac:dyDescent="0.25">
      <c r="A744" s="18">
        <f t="shared" si="786"/>
        <v>40087</v>
      </c>
      <c r="B744">
        <f>'2-state flows'!B743</f>
        <v>153804</v>
      </c>
      <c r="C744">
        <f>'2-state flows'!C743</f>
        <v>15382</v>
      </c>
      <c r="D744">
        <f>'Composite HWI'!B707*48.35347462</f>
        <v>2728.5865728066001</v>
      </c>
      <c r="E744">
        <f t="shared" ref="E744:E788" si="855">C744/B744</f>
        <v>0.100010402850381</v>
      </c>
      <c r="F744">
        <f t="shared" ref="F744:F788" si="856">D744/B744</f>
        <v>1.7740673667827885E-2</v>
      </c>
      <c r="G744">
        <f>'2-state flows'!G743</f>
        <v>0.2515399491859221</v>
      </c>
      <c r="H744">
        <f t="shared" ref="H744:H788" si="857">0.771211801*(F744/E744)^0.5</f>
        <v>0.3248150411260583</v>
      </c>
      <c r="I744">
        <f>'2-state flows'!H743</f>
        <v>2.6636289860070956E-2</v>
      </c>
      <c r="J744">
        <f t="shared" si="787"/>
        <v>-0.13923774370373987</v>
      </c>
      <c r="K744">
        <v>0.5</v>
      </c>
      <c r="L744">
        <f t="shared" si="789"/>
        <v>-4.2452407390139002E-2</v>
      </c>
      <c r="M744">
        <f t="shared" ref="M744:M788" si="858">F744/EXP(L744)</f>
        <v>1.851002279464049E-2</v>
      </c>
      <c r="N744">
        <f t="shared" ref="N744:O744" si="859">AVERAGE(G742:G744)</f>
        <v>0.2472665230278551</v>
      </c>
      <c r="O744">
        <f t="shared" si="859"/>
        <v>0.32413270581727149</v>
      </c>
      <c r="P744">
        <f t="shared" si="791"/>
        <v>9.7867612882187441E-2</v>
      </c>
      <c r="Q744">
        <f t="shared" si="792"/>
        <v>1.7288108102649084E-2</v>
      </c>
      <c r="R744">
        <f t="shared" si="793"/>
        <v>1.6617965483149814E-2</v>
      </c>
    </row>
    <row r="745" spans="1:18" x14ac:dyDescent="0.25">
      <c r="A745" s="18">
        <f t="shared" ref="A745:A788" si="860">DATE(YEAR(A744),MONTH(A744)+1,1)</f>
        <v>40118</v>
      </c>
      <c r="B745">
        <f>'2-state flows'!B744</f>
        <v>153887</v>
      </c>
      <c r="C745">
        <f>'2-state flows'!C744</f>
        <v>15223</v>
      </c>
      <c r="D745">
        <f>'Composite HWI'!B708*48.35347462</f>
        <v>2693.7720710802</v>
      </c>
      <c r="E745">
        <f t="shared" si="855"/>
        <v>9.8923235880873622E-2</v>
      </c>
      <c r="F745">
        <f t="shared" si="856"/>
        <v>1.750487091879236E-2</v>
      </c>
      <c r="G745">
        <f>'2-state flows'!G744</f>
        <v>0.25859681854732952</v>
      </c>
      <c r="H745">
        <f t="shared" si="857"/>
        <v>0.32441727027142853</v>
      </c>
      <c r="I745">
        <f>'2-state flows'!H744</f>
        <v>2.7328284989624183E-2</v>
      </c>
      <c r="J745">
        <f t="shared" ref="J745:J788" si="861">LN(I745/I744)</f>
        <v>2.5647679579841889E-2</v>
      </c>
      <c r="K745">
        <v>0.5</v>
      </c>
      <c r="L745">
        <f t="shared" si="789"/>
        <v>8.8429517695447768E-3</v>
      </c>
      <c r="M745">
        <f t="shared" si="858"/>
        <v>1.7350758597705615E-2</v>
      </c>
      <c r="N745">
        <f t="shared" ref="N745:O745" si="862">AVERAGE(G743:G745)</f>
        <v>0.25482842016822294</v>
      </c>
      <c r="O745">
        <f t="shared" si="862"/>
        <v>0.3240146481346321</v>
      </c>
      <c r="P745">
        <f t="shared" si="791"/>
        <v>9.8828631020918919E-2</v>
      </c>
      <c r="Q745">
        <f t="shared" si="792"/>
        <v>1.7445788459470559E-2</v>
      </c>
      <c r="R745">
        <f t="shared" si="793"/>
        <v>1.6453086529106587E-2</v>
      </c>
    </row>
    <row r="746" spans="1:18" x14ac:dyDescent="0.25">
      <c r="A746" s="18">
        <f t="shared" si="860"/>
        <v>40148</v>
      </c>
      <c r="B746">
        <f>'2-state flows'!B745</f>
        <v>153120</v>
      </c>
      <c r="C746">
        <f>'2-state flows'!C745</f>
        <v>15095</v>
      </c>
      <c r="D746">
        <f>'Composite HWI'!B709*48.35347462</f>
        <v>2752.2797753703999</v>
      </c>
      <c r="E746">
        <f t="shared" si="855"/>
        <v>9.8582810867293633E-2</v>
      </c>
      <c r="F746">
        <f t="shared" si="856"/>
        <v>1.797465893005747E-2</v>
      </c>
      <c r="G746">
        <f>'2-state flows'!G745</f>
        <v>0.26267593939942335</v>
      </c>
      <c r="H746">
        <f t="shared" si="857"/>
        <v>0.3293088461300594</v>
      </c>
      <c r="I746">
        <f>'2-state flows'!H745</f>
        <v>2.8067764115771155E-2</v>
      </c>
      <c r="J746">
        <f t="shared" si="861"/>
        <v>2.6699487291489049E-2</v>
      </c>
      <c r="K746">
        <v>0.5</v>
      </c>
      <c r="L746">
        <f t="shared" ref="L746:L788" si="863">L745+J746/(1-K746)</f>
        <v>6.2241926352522875E-2</v>
      </c>
      <c r="M746">
        <f t="shared" si="858"/>
        <v>1.6889987696838485E-2</v>
      </c>
      <c r="N746">
        <f t="shared" ref="N746:O746" si="864">AVERAGE(G744:G746)</f>
        <v>0.25760423571089164</v>
      </c>
      <c r="O746">
        <f t="shared" si="864"/>
        <v>0.32618038584251541</v>
      </c>
      <c r="P746">
        <f t="shared" ref="P746:P788" si="865">AVERAGE(E744:E746)</f>
        <v>9.9172149866182766E-2</v>
      </c>
      <c r="Q746">
        <f t="shared" ref="Q746:Q788" si="866">AVERAGE(F744:F746)</f>
        <v>1.7740067838892568E-2</v>
      </c>
      <c r="R746">
        <f t="shared" ref="R746:R788" si="867">AVERAGE(M744:M746)</f>
        <v>1.7583589696394866E-2</v>
      </c>
    </row>
    <row r="747" spans="1:18" x14ac:dyDescent="0.25">
      <c r="A747" s="18">
        <f t="shared" si="860"/>
        <v>40179</v>
      </c>
      <c r="B747">
        <f>'2-state flows'!B746</f>
        <v>153455</v>
      </c>
      <c r="C747">
        <f>'2-state flows'!C746</f>
        <v>15016</v>
      </c>
      <c r="D747">
        <f>'Composite HWI'!B710*48.35347462</f>
        <v>2876.5482051438003</v>
      </c>
      <c r="E747">
        <f t="shared" si="855"/>
        <v>9.7852790720406632E-2</v>
      </c>
      <c r="F747">
        <f t="shared" si="856"/>
        <v>1.8745223063072563E-2</v>
      </c>
      <c r="G747">
        <f>'2-state flows'!G746</f>
        <v>0.23671417285694829</v>
      </c>
      <c r="H747">
        <f t="shared" si="857"/>
        <v>0.33754553285835415</v>
      </c>
      <c r="I747">
        <f>'2-state flows'!H746</f>
        <v>2.6184865999893461E-2</v>
      </c>
      <c r="J747">
        <f t="shared" si="861"/>
        <v>-6.9440123047120633E-2</v>
      </c>
      <c r="K747">
        <v>0.5</v>
      </c>
      <c r="L747">
        <f t="shared" si="863"/>
        <v>-7.6638319741718391E-2</v>
      </c>
      <c r="M747">
        <f t="shared" si="858"/>
        <v>2.0238308518958456E-2</v>
      </c>
      <c r="N747">
        <f t="shared" ref="N747:O747" si="868">AVERAGE(G745:G747)</f>
        <v>0.25266231026790037</v>
      </c>
      <c r="O747">
        <f t="shared" si="868"/>
        <v>0.33042388308661402</v>
      </c>
      <c r="P747">
        <f t="shared" si="865"/>
        <v>9.8452945822857962E-2</v>
      </c>
      <c r="Q747">
        <f t="shared" si="866"/>
        <v>1.8074917637307467E-2</v>
      </c>
      <c r="R747">
        <f t="shared" si="867"/>
        <v>1.8159684937834184E-2</v>
      </c>
    </row>
    <row r="748" spans="1:18" x14ac:dyDescent="0.25">
      <c r="A748" s="18">
        <f t="shared" si="860"/>
        <v>40210</v>
      </c>
      <c r="B748">
        <f>'2-state flows'!B747</f>
        <v>153702</v>
      </c>
      <c r="C748">
        <f>'2-state flows'!C747</f>
        <v>15078</v>
      </c>
      <c r="D748">
        <f>'Composite HWI'!B711*48.35347462</f>
        <v>2941.8253958808</v>
      </c>
      <c r="E748">
        <f t="shared" si="855"/>
        <v>9.8098918686809547E-2</v>
      </c>
      <c r="F748">
        <f t="shared" si="856"/>
        <v>1.9139799064949056E-2</v>
      </c>
      <c r="G748">
        <f>'2-state flows'!G747</f>
        <v>0.22363113534504458</v>
      </c>
      <c r="H748">
        <f t="shared" si="857"/>
        <v>0.34065145117514573</v>
      </c>
      <c r="I748">
        <f>'2-state flows'!H747</f>
        <v>2.5253091374343544E-2</v>
      </c>
      <c r="J748">
        <f t="shared" si="861"/>
        <v>-3.6233031386225571E-2</v>
      </c>
      <c r="K748">
        <v>0.5</v>
      </c>
      <c r="L748">
        <f t="shared" si="863"/>
        <v>-0.14910438251416952</v>
      </c>
      <c r="M748">
        <f t="shared" si="858"/>
        <v>2.2217366777145333E-2</v>
      </c>
      <c r="N748">
        <f t="shared" ref="N748:O748" si="869">AVERAGE(G746:G748)</f>
        <v>0.2410070825338054</v>
      </c>
      <c r="O748">
        <f t="shared" si="869"/>
        <v>0.33583527672118646</v>
      </c>
      <c r="P748">
        <f t="shared" si="865"/>
        <v>9.8178173424836604E-2</v>
      </c>
      <c r="Q748">
        <f t="shared" si="866"/>
        <v>1.8619893686026363E-2</v>
      </c>
      <c r="R748">
        <f t="shared" si="867"/>
        <v>1.9781887664314091E-2</v>
      </c>
    </row>
    <row r="749" spans="1:18" x14ac:dyDescent="0.25">
      <c r="A749" s="18">
        <f t="shared" si="860"/>
        <v>40238</v>
      </c>
      <c r="B749">
        <f>'2-state flows'!B748</f>
        <v>153960</v>
      </c>
      <c r="C749">
        <f>'2-state flows'!C748</f>
        <v>15192</v>
      </c>
      <c r="D749">
        <f>'Composite HWI'!B712*48.35347462</f>
        <v>2912.3297763625997</v>
      </c>
      <c r="E749">
        <f t="shared" si="855"/>
        <v>9.8674980514419336E-2</v>
      </c>
      <c r="F749">
        <f t="shared" si="856"/>
        <v>1.8916145598613925E-2</v>
      </c>
      <c r="G749">
        <f>'2-state flows'!G748</f>
        <v>0.22457295578585923</v>
      </c>
      <c r="H749">
        <f t="shared" si="857"/>
        <v>0.33766532566671736</v>
      </c>
      <c r="I749">
        <f>'2-state flows'!H748</f>
        <v>2.5310552808581657E-2</v>
      </c>
      <c r="J749">
        <f t="shared" si="861"/>
        <v>2.272836932653143E-3</v>
      </c>
      <c r="K749">
        <v>0.5</v>
      </c>
      <c r="L749">
        <f t="shared" si="863"/>
        <v>-0.14455870864886322</v>
      </c>
      <c r="M749">
        <f t="shared" si="858"/>
        <v>2.1858164881213789E-2</v>
      </c>
      <c r="N749">
        <f t="shared" ref="N749:O749" si="870">AVERAGE(G747:G749)</f>
        <v>0.22830608799595073</v>
      </c>
      <c r="O749">
        <f t="shared" si="870"/>
        <v>0.33862076990007245</v>
      </c>
      <c r="P749">
        <f t="shared" si="865"/>
        <v>9.8208896640545176E-2</v>
      </c>
      <c r="Q749">
        <f t="shared" si="866"/>
        <v>1.8933722575545181E-2</v>
      </c>
      <c r="R749">
        <f t="shared" si="867"/>
        <v>2.1437946725772528E-2</v>
      </c>
    </row>
    <row r="750" spans="1:18" x14ac:dyDescent="0.25">
      <c r="A750" s="18">
        <f t="shared" si="860"/>
        <v>40269</v>
      </c>
      <c r="B750">
        <f>'2-state flows'!B749</f>
        <v>154577</v>
      </c>
      <c r="C750">
        <f>'2-state flows'!C749</f>
        <v>15281</v>
      </c>
      <c r="D750">
        <f>'Composite HWI'!B713*48.35347462</f>
        <v>2948.5948823275999</v>
      </c>
      <c r="E750">
        <f t="shared" si="855"/>
        <v>9.885688038970869E-2</v>
      </c>
      <c r="F750">
        <f t="shared" si="856"/>
        <v>1.9075249761139109E-2</v>
      </c>
      <c r="G750">
        <f>'2-state flows'!G749</f>
        <v>0.27311856739546664</v>
      </c>
      <c r="H750">
        <f t="shared" si="857"/>
        <v>0.33877030281134568</v>
      </c>
      <c r="I750">
        <f>'2-state flows'!H749</f>
        <v>2.6430747462641582E-2</v>
      </c>
      <c r="J750">
        <f t="shared" si="861"/>
        <v>4.3306593230759791E-2</v>
      </c>
      <c r="K750">
        <v>0.5</v>
      </c>
      <c r="L750">
        <f t="shared" si="863"/>
        <v>-5.794552218734364E-2</v>
      </c>
      <c r="M750">
        <f t="shared" si="858"/>
        <v>2.0213227016408337E-2</v>
      </c>
      <c r="N750">
        <f t="shared" ref="N750:O750" si="871">AVERAGE(G748:G750)</f>
        <v>0.24044088617545681</v>
      </c>
      <c r="O750">
        <f t="shared" si="871"/>
        <v>0.33902902655106959</v>
      </c>
      <c r="P750">
        <f t="shared" si="865"/>
        <v>9.8543593196979196E-2</v>
      </c>
      <c r="Q750">
        <f t="shared" si="866"/>
        <v>1.9043731474900696E-2</v>
      </c>
      <c r="R750">
        <f t="shared" si="867"/>
        <v>2.1429586224922484E-2</v>
      </c>
    </row>
    <row r="751" spans="1:18" x14ac:dyDescent="0.25">
      <c r="A751" s="18">
        <f t="shared" si="860"/>
        <v>40299</v>
      </c>
      <c r="B751">
        <f>'2-state flows'!B750</f>
        <v>154110</v>
      </c>
      <c r="C751">
        <f>'2-state flows'!C750</f>
        <v>14856</v>
      </c>
      <c r="D751">
        <f>'Composite HWI'!B714*48.35347462</f>
        <v>2999.3660306786001</v>
      </c>
      <c r="E751">
        <f t="shared" si="855"/>
        <v>9.6398676270196618E-2</v>
      </c>
      <c r="F751">
        <f t="shared" si="856"/>
        <v>1.9462501010178445E-2</v>
      </c>
      <c r="G751">
        <f>'2-state flows'!G750</f>
        <v>0.27164548965797536</v>
      </c>
      <c r="H751">
        <f t="shared" si="857"/>
        <v>0.34652730051633274</v>
      </c>
      <c r="I751">
        <f>'2-state flows'!H750</f>
        <v>2.5816806648507488E-2</v>
      </c>
      <c r="J751">
        <f t="shared" si="861"/>
        <v>-2.3502308727697992E-2</v>
      </c>
      <c r="K751">
        <v>0.5</v>
      </c>
      <c r="L751">
        <f t="shared" si="863"/>
        <v>-0.10495013964273962</v>
      </c>
      <c r="M751">
        <f t="shared" si="858"/>
        <v>2.1616128561301289E-2</v>
      </c>
      <c r="N751">
        <f t="shared" ref="N751:O751" si="872">AVERAGE(G749:G751)</f>
        <v>0.25644567094643372</v>
      </c>
      <c r="O751">
        <f t="shared" si="872"/>
        <v>0.34098764299813195</v>
      </c>
      <c r="P751">
        <f t="shared" si="865"/>
        <v>9.7976845724774886E-2</v>
      </c>
      <c r="Q751">
        <f t="shared" si="866"/>
        <v>1.9151298789977161E-2</v>
      </c>
      <c r="R751">
        <f t="shared" si="867"/>
        <v>2.1229173486307807E-2</v>
      </c>
    </row>
    <row r="752" spans="1:18" x14ac:dyDescent="0.25">
      <c r="A752" s="18">
        <f t="shared" si="860"/>
        <v>40330</v>
      </c>
      <c r="B752">
        <f>'2-state flows'!B751</f>
        <v>153623</v>
      </c>
      <c r="C752">
        <f>'2-state flows'!C751</f>
        <v>14475</v>
      </c>
      <c r="D752">
        <f>'Composite HWI'!B715*48.35347462</f>
        <v>3024.509837481</v>
      </c>
      <c r="E752">
        <f t="shared" si="855"/>
        <v>9.4224172161720576E-2</v>
      </c>
      <c r="F752">
        <f t="shared" si="856"/>
        <v>1.9687871200803266E-2</v>
      </c>
      <c r="G752">
        <f>'2-state flows'!G751</f>
        <v>0.24887063661084902</v>
      </c>
      <c r="H752">
        <f t="shared" si="857"/>
        <v>0.35252659074850018</v>
      </c>
      <c r="I752">
        <f>'2-state flows'!H751</f>
        <v>2.6439820240680673E-2</v>
      </c>
      <c r="J752">
        <f t="shared" si="861"/>
        <v>2.3845515866273068E-2</v>
      </c>
      <c r="K752">
        <v>0.5</v>
      </c>
      <c r="L752">
        <f t="shared" si="863"/>
        <v>-5.7259107910193487E-2</v>
      </c>
      <c r="M752">
        <f t="shared" si="858"/>
        <v>2.0848080443826553E-2</v>
      </c>
      <c r="N752">
        <f t="shared" ref="N752:O752" si="873">AVERAGE(G750:G752)</f>
        <v>0.26454489788809704</v>
      </c>
      <c r="O752">
        <f t="shared" si="873"/>
        <v>0.34594139802539287</v>
      </c>
      <c r="P752">
        <f t="shared" si="865"/>
        <v>9.6493242940541957E-2</v>
      </c>
      <c r="Q752">
        <f t="shared" si="866"/>
        <v>1.9408540657373605E-2</v>
      </c>
      <c r="R752">
        <f t="shared" si="867"/>
        <v>2.0892478673845392E-2</v>
      </c>
    </row>
    <row r="753" spans="1:18" x14ac:dyDescent="0.25">
      <c r="A753" s="18">
        <f t="shared" si="860"/>
        <v>40360</v>
      </c>
      <c r="B753">
        <f>'2-state flows'!B752</f>
        <v>153709</v>
      </c>
      <c r="C753">
        <f>'2-state flows'!C752</f>
        <v>14542</v>
      </c>
      <c r="D753">
        <f>'Composite HWI'!B716*48.35347462</f>
        <v>3067.0608951466002</v>
      </c>
      <c r="E753">
        <f t="shared" si="855"/>
        <v>9.4607342445790416E-2</v>
      </c>
      <c r="F753">
        <f t="shared" si="856"/>
        <v>1.9953684528209802E-2</v>
      </c>
      <c r="G753">
        <f>'2-state flows'!G752</f>
        <v>0.23123561806205337</v>
      </c>
      <c r="H753">
        <f t="shared" si="857"/>
        <v>0.3541789904666614</v>
      </c>
      <c r="I753">
        <f>'2-state flows'!H752</f>
        <v>2.5229717583621799E-2</v>
      </c>
      <c r="J753">
        <f t="shared" si="861"/>
        <v>-4.6848647279421916E-2</v>
      </c>
      <c r="K753">
        <v>0.5</v>
      </c>
      <c r="L753">
        <f t="shared" si="863"/>
        <v>-0.15095640246903733</v>
      </c>
      <c r="M753">
        <f t="shared" si="858"/>
        <v>2.3205056717494423E-2</v>
      </c>
      <c r="N753">
        <f t="shared" ref="N753:O753" si="874">AVERAGE(G751:G753)</f>
        <v>0.25058391477695924</v>
      </c>
      <c r="O753">
        <f t="shared" si="874"/>
        <v>0.35107762724383146</v>
      </c>
      <c r="P753">
        <f t="shared" si="865"/>
        <v>9.5076730292569203E-2</v>
      </c>
      <c r="Q753">
        <f t="shared" si="866"/>
        <v>1.9701352246397168E-2</v>
      </c>
      <c r="R753">
        <f t="shared" si="867"/>
        <v>2.1889755240874092E-2</v>
      </c>
    </row>
    <row r="754" spans="1:18" x14ac:dyDescent="0.25">
      <c r="A754" s="18">
        <f t="shared" si="860"/>
        <v>40391</v>
      </c>
      <c r="B754">
        <f>'2-state flows'!B753</f>
        <v>154078</v>
      </c>
      <c r="C754">
        <f>'2-state flows'!C753</f>
        <v>14673</v>
      </c>
      <c r="D754">
        <f>'Composite HWI'!B717*48.35347462</f>
        <v>3069.4785688775996</v>
      </c>
      <c r="E754">
        <f t="shared" si="855"/>
        <v>9.5230986902737569E-2</v>
      </c>
      <c r="F754">
        <f t="shared" si="856"/>
        <v>1.9921588863287425E-2</v>
      </c>
      <c r="G754">
        <f>'2-state flows'!G753</f>
        <v>0.26151435653964106</v>
      </c>
      <c r="H754">
        <f t="shared" si="857"/>
        <v>0.35273333980329913</v>
      </c>
      <c r="I754">
        <f>'2-state flows'!H753</f>
        <v>2.6732904213082935E-2</v>
      </c>
      <c r="J754">
        <f t="shared" si="861"/>
        <v>5.7872605278852254E-2</v>
      </c>
      <c r="K754">
        <v>0.5</v>
      </c>
      <c r="L754">
        <f t="shared" si="863"/>
        <v>-3.5211191911332818E-2</v>
      </c>
      <c r="M754">
        <f t="shared" si="858"/>
        <v>2.0635547658013641E-2</v>
      </c>
      <c r="N754">
        <f t="shared" ref="N754:O754" si="875">AVERAGE(G752:G754)</f>
        <v>0.24720687040418113</v>
      </c>
      <c r="O754">
        <f t="shared" si="875"/>
        <v>0.35314630700615357</v>
      </c>
      <c r="P754">
        <f t="shared" si="865"/>
        <v>9.4687500503416192E-2</v>
      </c>
      <c r="Q754">
        <f t="shared" si="866"/>
        <v>1.9854381530766831E-2</v>
      </c>
      <c r="R754">
        <f t="shared" si="867"/>
        <v>2.1562894939778209E-2</v>
      </c>
    </row>
    <row r="755" spans="1:18" x14ac:dyDescent="0.25">
      <c r="A755" s="18">
        <f t="shared" si="860"/>
        <v>40422</v>
      </c>
      <c r="B755">
        <f>'2-state flows'!B754</f>
        <v>153966</v>
      </c>
      <c r="C755">
        <f>'2-state flows'!C754</f>
        <v>14577</v>
      </c>
      <c r="D755">
        <f>'Composite HWI'!B718*48.35347462</f>
        <v>3039.015879867</v>
      </c>
      <c r="E755">
        <f t="shared" si="855"/>
        <v>9.4676746814231716E-2</v>
      </c>
      <c r="F755">
        <f t="shared" si="856"/>
        <v>1.9738227140193288E-2</v>
      </c>
      <c r="G755">
        <f>'2-state flows'!G754</f>
        <v>0.23713617032420214</v>
      </c>
      <c r="H755">
        <f t="shared" si="857"/>
        <v>0.35213247101097733</v>
      </c>
      <c r="I755">
        <f>'2-state flows'!H754</f>
        <v>2.4856272178771753E-2</v>
      </c>
      <c r="J755">
        <f t="shared" si="861"/>
        <v>-7.2785051940881251E-2</v>
      </c>
      <c r="K755">
        <v>0.5</v>
      </c>
      <c r="L755">
        <f t="shared" si="863"/>
        <v>-0.18078129579309532</v>
      </c>
      <c r="M755">
        <f t="shared" si="858"/>
        <v>2.3649418224252983E-2</v>
      </c>
      <c r="N755">
        <f t="shared" ref="N755:O755" si="876">AVERAGE(G753:G755)</f>
        <v>0.24329538164196554</v>
      </c>
      <c r="O755">
        <f t="shared" si="876"/>
        <v>0.35301493376031257</v>
      </c>
      <c r="P755">
        <f t="shared" si="865"/>
        <v>9.4838358720919905E-2</v>
      </c>
      <c r="Q755">
        <f t="shared" si="866"/>
        <v>1.9871166843896837E-2</v>
      </c>
      <c r="R755">
        <f t="shared" si="867"/>
        <v>2.2496674199920349E-2</v>
      </c>
    </row>
    <row r="756" spans="1:18" x14ac:dyDescent="0.25">
      <c r="A756" s="18">
        <f t="shared" si="860"/>
        <v>40452</v>
      </c>
      <c r="B756">
        <f>'2-state flows'!B755</f>
        <v>153681</v>
      </c>
      <c r="C756">
        <f>'2-state flows'!C755</f>
        <v>14584</v>
      </c>
      <c r="D756">
        <f>'Composite HWI'!B719*48.35347462</f>
        <v>3075.7645205782001</v>
      </c>
      <c r="E756">
        <f t="shared" si="855"/>
        <v>9.4897872866522209E-2</v>
      </c>
      <c r="F756">
        <f t="shared" si="856"/>
        <v>2.0013954363767805E-2</v>
      </c>
      <c r="G756">
        <f>'2-state flows'!G755</f>
        <v>0.2172810382623496</v>
      </c>
      <c r="H756">
        <f t="shared" si="857"/>
        <v>0.35417008862544047</v>
      </c>
      <c r="I756">
        <f>'2-state flows'!H755</f>
        <v>2.6913795062962265E-2</v>
      </c>
      <c r="J756">
        <f t="shared" si="861"/>
        <v>7.9528860521109773E-2</v>
      </c>
      <c r="K756">
        <v>0.5</v>
      </c>
      <c r="L756">
        <f t="shared" si="863"/>
        <v>-2.1723574750875774E-2</v>
      </c>
      <c r="M756">
        <f t="shared" si="858"/>
        <v>2.0453485809619434E-2</v>
      </c>
      <c r="N756">
        <f t="shared" ref="N756:O756" si="877">AVERAGE(G754:G756)</f>
        <v>0.23864385504206428</v>
      </c>
      <c r="O756">
        <f t="shared" si="877"/>
        <v>0.35301196647990563</v>
      </c>
      <c r="P756">
        <f t="shared" si="865"/>
        <v>9.4935202194497179E-2</v>
      </c>
      <c r="Q756">
        <f t="shared" si="866"/>
        <v>1.989125678908284E-2</v>
      </c>
      <c r="R756">
        <f t="shared" si="867"/>
        <v>2.1579483897295349E-2</v>
      </c>
    </row>
    <row r="757" spans="1:18" x14ac:dyDescent="0.25">
      <c r="A757" s="18">
        <f t="shared" si="860"/>
        <v>40483</v>
      </c>
      <c r="B757">
        <f>'2-state flows'!B756</f>
        <v>154140</v>
      </c>
      <c r="C757">
        <f>'2-state flows'!C756</f>
        <v>15094</v>
      </c>
      <c r="D757">
        <f>'Composite HWI'!B720*48.35347462</f>
        <v>3139.5911070766001</v>
      </c>
      <c r="E757">
        <f t="shared" si="855"/>
        <v>9.7923965226417539E-2</v>
      </c>
      <c r="F757">
        <f t="shared" si="856"/>
        <v>2.0368438478503958E-2</v>
      </c>
      <c r="G757">
        <f>'2-state flows'!G756</f>
        <v>0.29435594292703537</v>
      </c>
      <c r="H757">
        <f t="shared" si="857"/>
        <v>0.35172888781146572</v>
      </c>
      <c r="I757">
        <f>'2-state flows'!H756</f>
        <v>2.5734416803720007E-2</v>
      </c>
      <c r="J757">
        <f t="shared" si="861"/>
        <v>-4.480971152827936E-2</v>
      </c>
      <c r="K757">
        <v>0.5</v>
      </c>
      <c r="L757">
        <f t="shared" si="863"/>
        <v>-0.11134299780743449</v>
      </c>
      <c r="M757">
        <f t="shared" si="858"/>
        <v>2.276739724468408E-2</v>
      </c>
      <c r="N757">
        <f t="shared" ref="N757:O757" si="878">AVERAGE(G755:G757)</f>
        <v>0.24959105050452904</v>
      </c>
      <c r="O757">
        <f t="shared" si="878"/>
        <v>0.35267714914929454</v>
      </c>
      <c r="P757">
        <f t="shared" si="865"/>
        <v>9.5832861635723812E-2</v>
      </c>
      <c r="Q757">
        <f t="shared" si="866"/>
        <v>2.0040206660821683E-2</v>
      </c>
      <c r="R757">
        <f t="shared" si="867"/>
        <v>2.22901004261855E-2</v>
      </c>
    </row>
    <row r="758" spans="1:18" x14ac:dyDescent="0.25">
      <c r="A758" s="18">
        <f t="shared" si="860"/>
        <v>40513</v>
      </c>
      <c r="B758">
        <f>'2-state flows'!B757</f>
        <v>153649</v>
      </c>
      <c r="C758">
        <f>'2-state flows'!C757</f>
        <v>14354</v>
      </c>
      <c r="D758">
        <f>'Composite HWI'!B721*48.35347462</f>
        <v>3159.4160316708003</v>
      </c>
      <c r="E758">
        <f t="shared" si="855"/>
        <v>9.3420718650951196E-2</v>
      </c>
      <c r="F758">
        <f t="shared" si="856"/>
        <v>2.0562555120246798E-2</v>
      </c>
      <c r="G758">
        <f>'2-state flows'!G757</f>
        <v>0.27936968178720273</v>
      </c>
      <c r="H758">
        <f t="shared" si="857"/>
        <v>0.36181836291917674</v>
      </c>
      <c r="I758">
        <f>'2-state flows'!H757</f>
        <v>2.5772907054898299E-2</v>
      </c>
      <c r="J758">
        <f t="shared" si="861"/>
        <v>1.4945547723878979E-3</v>
      </c>
      <c r="K758">
        <v>0.5</v>
      </c>
      <c r="L758">
        <f t="shared" si="863"/>
        <v>-0.1083538882626587</v>
      </c>
      <c r="M758">
        <f t="shared" si="858"/>
        <v>2.291577636059847E-2</v>
      </c>
      <c r="N758">
        <f t="shared" ref="N758:O758" si="879">AVERAGE(G756:G758)</f>
        <v>0.26366888765886259</v>
      </c>
      <c r="O758">
        <f t="shared" si="879"/>
        <v>0.35590577978536092</v>
      </c>
      <c r="P758">
        <f t="shared" si="865"/>
        <v>9.5414185581296981E-2</v>
      </c>
      <c r="Q758">
        <f t="shared" si="866"/>
        <v>2.0314982654172854E-2</v>
      </c>
      <c r="R758">
        <f t="shared" si="867"/>
        <v>2.2045553138300662E-2</v>
      </c>
    </row>
    <row r="759" spans="1:18" x14ac:dyDescent="0.25">
      <c r="A759" s="18">
        <f t="shared" si="860"/>
        <v>40544</v>
      </c>
      <c r="B759">
        <f>'2-state flows'!B758</f>
        <v>153244</v>
      </c>
      <c r="C759">
        <f>'2-state flows'!C758</f>
        <v>13992</v>
      </c>
      <c r="D759">
        <f>'Composite HWI'!B722*48.35347462</f>
        <v>3194.7140681433998</v>
      </c>
      <c r="E759">
        <f t="shared" si="855"/>
        <v>9.1305369215107929E-2</v>
      </c>
      <c r="F759">
        <f t="shared" si="856"/>
        <v>2.0847237530626974E-2</v>
      </c>
      <c r="G759">
        <f>'2-state flows'!G758</f>
        <v>0.24322301795602475</v>
      </c>
      <c r="H759">
        <f t="shared" si="857"/>
        <v>0.36851041394285367</v>
      </c>
      <c r="I759">
        <f>'2-state flows'!H758</f>
        <v>2.285226764101644E-2</v>
      </c>
      <c r="J759">
        <f t="shared" si="861"/>
        <v>-0.12027347329688717</v>
      </c>
      <c r="K759">
        <v>0.5</v>
      </c>
      <c r="L759">
        <f t="shared" si="863"/>
        <v>-0.34890083485643303</v>
      </c>
      <c r="M759">
        <f t="shared" si="858"/>
        <v>2.9551138817933247E-2</v>
      </c>
      <c r="N759">
        <f t="shared" ref="N759:O759" si="880">AVERAGE(G757:G759)</f>
        <v>0.27231621422342095</v>
      </c>
      <c r="O759">
        <f t="shared" si="880"/>
        <v>0.36068588822449871</v>
      </c>
      <c r="P759">
        <f t="shared" si="865"/>
        <v>9.4216684364158906E-2</v>
      </c>
      <c r="Q759">
        <f t="shared" si="866"/>
        <v>2.0592743709792579E-2</v>
      </c>
      <c r="R759">
        <f t="shared" si="867"/>
        <v>2.5078104141071932E-2</v>
      </c>
    </row>
    <row r="760" spans="1:18" x14ac:dyDescent="0.25">
      <c r="A760" s="18">
        <f t="shared" si="860"/>
        <v>40575</v>
      </c>
      <c r="B760">
        <f>'2-state flows'!B759</f>
        <v>153269</v>
      </c>
      <c r="C760">
        <f>'2-state flows'!C759</f>
        <v>13798</v>
      </c>
      <c r="D760">
        <f>'Composite HWI'!B723*48.35347462</f>
        <v>3252.2547029412003</v>
      </c>
      <c r="E760">
        <f t="shared" si="855"/>
        <v>9.0024727766214951E-2</v>
      </c>
      <c r="F760">
        <f t="shared" si="856"/>
        <v>2.1219259621588191E-2</v>
      </c>
      <c r="G760">
        <f>'2-state flows'!G759</f>
        <v>0.23846911604852705</v>
      </c>
      <c r="H760">
        <f t="shared" si="857"/>
        <v>0.37441899338884688</v>
      </c>
      <c r="I760">
        <f>'2-state flows'!H759</f>
        <v>2.2923857860815387E-2</v>
      </c>
      <c r="J760">
        <f t="shared" si="861"/>
        <v>3.1278434939810149E-3</v>
      </c>
      <c r="K760">
        <v>0.5</v>
      </c>
      <c r="L760">
        <f t="shared" si="863"/>
        <v>-0.342645147868471</v>
      </c>
      <c r="M760">
        <f t="shared" si="858"/>
        <v>2.9890909074995975E-2</v>
      </c>
      <c r="N760">
        <f t="shared" ref="N760:O760" si="881">AVERAGE(G758:G760)</f>
        <v>0.25368727193058488</v>
      </c>
      <c r="O760">
        <f t="shared" si="881"/>
        <v>0.36824925675029241</v>
      </c>
      <c r="P760">
        <f t="shared" si="865"/>
        <v>9.1583605210758035E-2</v>
      </c>
      <c r="Q760">
        <f t="shared" si="866"/>
        <v>2.0876350757487321E-2</v>
      </c>
      <c r="R760">
        <f t="shared" si="867"/>
        <v>2.7452608084509233E-2</v>
      </c>
    </row>
    <row r="761" spans="1:18" x14ac:dyDescent="0.25">
      <c r="A761" s="18">
        <f t="shared" si="860"/>
        <v>40603</v>
      </c>
      <c r="B761">
        <f>'2-state flows'!B760</f>
        <v>153358</v>
      </c>
      <c r="C761">
        <f>'2-state flows'!C760</f>
        <v>13716</v>
      </c>
      <c r="D761">
        <f>'Composite HWI'!B724*48.35347462</f>
        <v>3383.7761539076</v>
      </c>
      <c r="E761">
        <f t="shared" si="855"/>
        <v>8.9437786095280331E-2</v>
      </c>
      <c r="F761">
        <f t="shared" si="856"/>
        <v>2.2064555836067243E-2</v>
      </c>
      <c r="G761">
        <f>'2-state flows'!G760</f>
        <v>0.24989436468271159</v>
      </c>
      <c r="H761">
        <f t="shared" si="857"/>
        <v>0.38305465203047756</v>
      </c>
      <c r="I761">
        <f>'2-state flows'!H760</f>
        <v>2.5823492310837876E-2</v>
      </c>
      <c r="J761">
        <f t="shared" si="861"/>
        <v>0.11910643609050635</v>
      </c>
      <c r="K761">
        <v>0.5</v>
      </c>
      <c r="L761">
        <f t="shared" si="863"/>
        <v>-0.1044322756874583</v>
      </c>
      <c r="M761">
        <f t="shared" si="858"/>
        <v>2.4493426818007494E-2</v>
      </c>
      <c r="N761">
        <f t="shared" ref="N761:O761" si="882">AVERAGE(G759:G761)</f>
        <v>0.24386216622908777</v>
      </c>
      <c r="O761">
        <f t="shared" si="882"/>
        <v>0.37532801978739272</v>
      </c>
      <c r="P761">
        <f t="shared" si="865"/>
        <v>9.0255961025534404E-2</v>
      </c>
      <c r="Q761">
        <f t="shared" si="866"/>
        <v>2.1377017662760803E-2</v>
      </c>
      <c r="R761">
        <f t="shared" si="867"/>
        <v>2.7978491570312236E-2</v>
      </c>
    </row>
    <row r="762" spans="1:18" x14ac:dyDescent="0.25">
      <c r="A762" s="18">
        <f t="shared" si="860"/>
        <v>40634</v>
      </c>
      <c r="B762">
        <f>'2-state flows'!B761</f>
        <v>153478</v>
      </c>
      <c r="C762">
        <f>'2-state flows'!C761</f>
        <v>13872</v>
      </c>
      <c r="D762">
        <f>'Composite HWI'!B725*48.35347462</f>
        <v>3587.3442820577998</v>
      </c>
      <c r="E762">
        <f t="shared" si="855"/>
        <v>9.0384289605024828E-2</v>
      </c>
      <c r="F762">
        <f t="shared" si="856"/>
        <v>2.3373671028146054E-2</v>
      </c>
      <c r="G762">
        <f>'2-state flows'!G761</f>
        <v>0.25555846845233976</v>
      </c>
      <c r="H762">
        <f t="shared" si="857"/>
        <v>0.39218470792879478</v>
      </c>
      <c r="I762">
        <f>'2-state flows'!H761</f>
        <v>2.5385442141787236E-2</v>
      </c>
      <c r="J762">
        <f t="shared" si="861"/>
        <v>-1.7108766617227641E-2</v>
      </c>
      <c r="K762">
        <v>0.5</v>
      </c>
      <c r="L762">
        <f t="shared" si="863"/>
        <v>-0.13864980892191359</v>
      </c>
      <c r="M762">
        <f t="shared" si="858"/>
        <v>2.684984446147895E-2</v>
      </c>
      <c r="N762">
        <f t="shared" ref="N762:O762" si="883">AVERAGE(G760:G762)</f>
        <v>0.24797398306119281</v>
      </c>
      <c r="O762">
        <f t="shared" si="883"/>
        <v>0.38321945111603978</v>
      </c>
      <c r="P762">
        <f t="shared" si="865"/>
        <v>8.9948934488840046E-2</v>
      </c>
      <c r="Q762">
        <f t="shared" si="866"/>
        <v>2.2219162161933828E-2</v>
      </c>
      <c r="R762">
        <f t="shared" si="867"/>
        <v>2.7078060118160805E-2</v>
      </c>
    </row>
    <row r="763" spans="1:18" x14ac:dyDescent="0.25">
      <c r="A763" s="18">
        <f t="shared" si="860"/>
        <v>40664</v>
      </c>
      <c r="B763">
        <f>'2-state flows'!B762</f>
        <v>153552</v>
      </c>
      <c r="C763">
        <f>'2-state flows'!C762</f>
        <v>13871</v>
      </c>
      <c r="D763">
        <f>'Composite HWI'!B726*48.35347462</f>
        <v>3471.2959429698003</v>
      </c>
      <c r="E763">
        <f t="shared" si="855"/>
        <v>9.0334219026779197E-2</v>
      </c>
      <c r="F763">
        <f t="shared" si="856"/>
        <v>2.2606647539399033E-2</v>
      </c>
      <c r="G763">
        <f>'2-state flows'!G762</f>
        <v>0.27983940564861254</v>
      </c>
      <c r="H763">
        <f t="shared" si="857"/>
        <v>0.38580300051709593</v>
      </c>
      <c r="I763">
        <f>'2-state flows'!H762</f>
        <v>2.8563148056583276E-2</v>
      </c>
      <c r="J763">
        <f t="shared" si="861"/>
        <v>0.11794149177723472</v>
      </c>
      <c r="K763">
        <v>0.5</v>
      </c>
      <c r="L763">
        <f t="shared" si="863"/>
        <v>9.7233174632555847E-2</v>
      </c>
      <c r="M763">
        <f t="shared" si="858"/>
        <v>2.051201531361915E-2</v>
      </c>
      <c r="N763">
        <f t="shared" ref="N763:O763" si="884">AVERAGE(G761:G763)</f>
        <v>0.26176407959455467</v>
      </c>
      <c r="O763">
        <f t="shared" si="884"/>
        <v>0.3870141201587895</v>
      </c>
      <c r="P763">
        <f t="shared" si="865"/>
        <v>9.0052098242361447E-2</v>
      </c>
      <c r="Q763">
        <f t="shared" si="866"/>
        <v>2.2681624801204111E-2</v>
      </c>
      <c r="R763">
        <f t="shared" si="867"/>
        <v>2.3951762197701867E-2</v>
      </c>
    </row>
    <row r="764" spans="1:18" x14ac:dyDescent="0.25">
      <c r="A764" s="18">
        <f t="shared" si="860"/>
        <v>40695</v>
      </c>
      <c r="B764">
        <f>'2-state flows'!B763</f>
        <v>153369</v>
      </c>
      <c r="C764">
        <f>'2-state flows'!C763</f>
        <v>13964</v>
      </c>
      <c r="D764">
        <f>'Composite HWI'!B727*48.35347462</f>
        <v>3404.0846132480001</v>
      </c>
      <c r="E764">
        <f t="shared" si="855"/>
        <v>9.1048386570949796E-2</v>
      </c>
      <c r="F764">
        <f t="shared" si="856"/>
        <v>2.2195388985049129E-2</v>
      </c>
      <c r="G764">
        <f>'2-state flows'!G763</f>
        <v>0.2614726540495953</v>
      </c>
      <c r="H764">
        <f t="shared" si="857"/>
        <v>0.38077543213680054</v>
      </c>
      <c r="I764">
        <f>'2-state flows'!H763</f>
        <v>2.4978631923241717E-2</v>
      </c>
      <c r="J764">
        <f t="shared" si="861"/>
        <v>-0.13409662115394697</v>
      </c>
      <c r="K764">
        <v>0.5</v>
      </c>
      <c r="L764">
        <f t="shared" si="863"/>
        <v>-0.17096006767533808</v>
      </c>
      <c r="M764">
        <f t="shared" si="858"/>
        <v>2.6333572119951874E-2</v>
      </c>
      <c r="N764">
        <f t="shared" ref="N764:O764" si="885">AVERAGE(G762:G764)</f>
        <v>0.26562350938351587</v>
      </c>
      <c r="O764">
        <f t="shared" si="885"/>
        <v>0.38625438019423042</v>
      </c>
      <c r="P764">
        <f t="shared" si="865"/>
        <v>9.0588965067584612E-2</v>
      </c>
      <c r="Q764">
        <f t="shared" si="866"/>
        <v>2.272523585086474E-2</v>
      </c>
      <c r="R764">
        <f t="shared" si="867"/>
        <v>2.4565143965016661E-2</v>
      </c>
    </row>
    <row r="765" spans="1:18" x14ac:dyDescent="0.25">
      <c r="A765" s="18">
        <f t="shared" si="860"/>
        <v>40725</v>
      </c>
      <c r="B765">
        <f>'2-state flows'!B764</f>
        <v>153325</v>
      </c>
      <c r="C765">
        <f>'2-state flows'!C764</f>
        <v>13817</v>
      </c>
      <c r="D765">
        <f>'Composite HWI'!B728*48.35347462</f>
        <v>3433.0966980200001</v>
      </c>
      <c r="E765">
        <f t="shared" si="855"/>
        <v>9.011576716125877E-2</v>
      </c>
      <c r="F765">
        <f t="shared" si="856"/>
        <v>2.2390977975020383E-2</v>
      </c>
      <c r="G765">
        <f>'2-state flows'!G764</f>
        <v>0.25486376712300002</v>
      </c>
      <c r="H765">
        <f t="shared" si="857"/>
        <v>0.38442339138060078</v>
      </c>
      <c r="I765">
        <f>'2-state flows'!H764</f>
        <v>2.5406328824176348E-2</v>
      </c>
      <c r="J765">
        <f t="shared" si="861"/>
        <v>1.6977572980045107E-2</v>
      </c>
      <c r="K765">
        <v>0.5</v>
      </c>
      <c r="L765">
        <f t="shared" si="863"/>
        <v>-0.13700492171524786</v>
      </c>
      <c r="M765">
        <f t="shared" si="858"/>
        <v>2.5678730197740588E-2</v>
      </c>
      <c r="N765">
        <f t="shared" ref="N765:O765" si="886">AVERAGE(G763:G765)</f>
        <v>0.26539194227373591</v>
      </c>
      <c r="O765">
        <f t="shared" si="886"/>
        <v>0.38366727467816575</v>
      </c>
      <c r="P765">
        <f t="shared" si="865"/>
        <v>9.0499457586329268E-2</v>
      </c>
      <c r="Q765">
        <f t="shared" si="866"/>
        <v>2.2397671499822847E-2</v>
      </c>
      <c r="R765">
        <f t="shared" si="867"/>
        <v>2.4174772543770536E-2</v>
      </c>
    </row>
    <row r="766" spans="1:18" x14ac:dyDescent="0.25">
      <c r="A766" s="18">
        <f t="shared" si="860"/>
        <v>40756</v>
      </c>
      <c r="B766">
        <f>'2-state flows'!B765</f>
        <v>153707</v>
      </c>
      <c r="C766">
        <f>'2-state flows'!C765</f>
        <v>13837</v>
      </c>
      <c r="D766">
        <f>'Composite HWI'!B729*48.35347462</f>
        <v>3398.2821962936</v>
      </c>
      <c r="E766">
        <f t="shared" si="855"/>
        <v>9.0021924831009653E-2</v>
      </c>
      <c r="F766">
        <f t="shared" si="856"/>
        <v>2.2108831714193887E-2</v>
      </c>
      <c r="G766">
        <f>'2-state flows'!G765</f>
        <v>0.2561010545964596</v>
      </c>
      <c r="H766">
        <f t="shared" si="857"/>
        <v>0.38219272505945245</v>
      </c>
      <c r="I766">
        <f>'2-state flows'!H765</f>
        <v>2.5934423685245015E-2</v>
      </c>
      <c r="J766">
        <f t="shared" si="861"/>
        <v>2.0572876756705091E-2</v>
      </c>
      <c r="K766">
        <v>0.5</v>
      </c>
      <c r="L766">
        <f t="shared" si="863"/>
        <v>-9.585916820183768E-2</v>
      </c>
      <c r="M766">
        <f t="shared" si="858"/>
        <v>2.4333069792425322E-2</v>
      </c>
      <c r="N766">
        <f t="shared" ref="N766:O766" si="887">AVERAGE(G764:G766)</f>
        <v>0.25747915858968501</v>
      </c>
      <c r="O766">
        <f t="shared" si="887"/>
        <v>0.3824638495256179</v>
      </c>
      <c r="P766">
        <f t="shared" si="865"/>
        <v>9.0395359521072735E-2</v>
      </c>
      <c r="Q766">
        <f t="shared" si="866"/>
        <v>2.2231732891421135E-2</v>
      </c>
      <c r="R766">
        <f t="shared" si="867"/>
        <v>2.544845737003926E-2</v>
      </c>
    </row>
    <row r="767" spans="1:18" x14ac:dyDescent="0.25">
      <c r="A767" s="18">
        <f t="shared" si="860"/>
        <v>40787</v>
      </c>
      <c r="B767">
        <f>'2-state flows'!B766</f>
        <v>154074</v>
      </c>
      <c r="C767">
        <f>'2-state flows'!C766</f>
        <v>13910</v>
      </c>
      <c r="D767">
        <f>'Composite HWI'!B730*48.35347462</f>
        <v>3413.7553081719998</v>
      </c>
      <c r="E767">
        <f t="shared" si="855"/>
        <v>9.0281293404467985E-2</v>
      </c>
      <c r="F767">
        <f t="shared" si="856"/>
        <v>2.2156595585056529E-2</v>
      </c>
      <c r="G767">
        <f>'2-state flows'!G766</f>
        <v>0.27186721877295805</v>
      </c>
      <c r="H767">
        <f t="shared" si="857"/>
        <v>0.38205535890630282</v>
      </c>
      <c r="I767">
        <f>'2-state flows'!H766</f>
        <v>2.5215558443410831E-2</v>
      </c>
      <c r="J767">
        <f t="shared" si="861"/>
        <v>-2.8109983497229214E-2</v>
      </c>
      <c r="K767">
        <v>0.5</v>
      </c>
      <c r="L767">
        <f t="shared" si="863"/>
        <v>-0.15207913519629612</v>
      </c>
      <c r="M767">
        <f t="shared" si="858"/>
        <v>2.5795868835204381E-2</v>
      </c>
      <c r="N767">
        <f t="shared" ref="N767:O767" si="888">AVERAGE(G765:G767)</f>
        <v>0.26094401349747254</v>
      </c>
      <c r="O767">
        <f t="shared" si="888"/>
        <v>0.3828904917821187</v>
      </c>
      <c r="P767">
        <f t="shared" si="865"/>
        <v>9.0139661798912141E-2</v>
      </c>
      <c r="Q767">
        <f t="shared" si="866"/>
        <v>2.2218801758090267E-2</v>
      </c>
      <c r="R767">
        <f t="shared" si="867"/>
        <v>2.5269222941790098E-2</v>
      </c>
    </row>
    <row r="768" spans="1:18" x14ac:dyDescent="0.25">
      <c r="A768" s="18">
        <f t="shared" si="860"/>
        <v>40817</v>
      </c>
      <c r="B768">
        <f>'2-state flows'!B767</f>
        <v>154010</v>
      </c>
      <c r="C768">
        <f>'2-state flows'!C767</f>
        <v>13696</v>
      </c>
      <c r="D768">
        <f>'Composite HWI'!B731*48.35347462</f>
        <v>3496.4397497722002</v>
      </c>
      <c r="E768">
        <f t="shared" si="855"/>
        <v>8.8929290305824291E-2</v>
      </c>
      <c r="F768">
        <f t="shared" si="856"/>
        <v>2.2702680019298749E-2</v>
      </c>
      <c r="G768">
        <f>'2-state flows'!G767</f>
        <v>0.27679913937832651</v>
      </c>
      <c r="H768">
        <f t="shared" si="857"/>
        <v>0.38966358091542197</v>
      </c>
      <c r="I768">
        <f>'2-state flows'!H767</f>
        <v>2.3956686293374913E-2</v>
      </c>
      <c r="J768">
        <f t="shared" si="861"/>
        <v>-5.121374048272008E-2</v>
      </c>
      <c r="K768">
        <v>0.5</v>
      </c>
      <c r="L768">
        <f t="shared" si="863"/>
        <v>-0.25450661616173631</v>
      </c>
      <c r="M768">
        <f t="shared" si="858"/>
        <v>2.9282486185765535E-2</v>
      </c>
      <c r="N768">
        <f t="shared" ref="N768:O768" si="889">AVERAGE(G766:G768)</f>
        <v>0.26825580424924805</v>
      </c>
      <c r="O768">
        <f t="shared" si="889"/>
        <v>0.38463722162705904</v>
      </c>
      <c r="P768">
        <f t="shared" si="865"/>
        <v>8.9744169513767305E-2</v>
      </c>
      <c r="Q768">
        <f t="shared" si="866"/>
        <v>2.2322702439516385E-2</v>
      </c>
      <c r="R768">
        <f t="shared" si="867"/>
        <v>2.6470474937798413E-2</v>
      </c>
    </row>
    <row r="769" spans="1:18" x14ac:dyDescent="0.25">
      <c r="A769" s="18">
        <f t="shared" si="860"/>
        <v>40848</v>
      </c>
      <c r="B769">
        <f>'2-state flows'!B768</f>
        <v>154096</v>
      </c>
      <c r="C769">
        <f>'2-state flows'!C768</f>
        <v>13325</v>
      </c>
      <c r="D769">
        <f>'Composite HWI'!B732*48.35347462</f>
        <v>3523.0341608131998</v>
      </c>
      <c r="E769">
        <f t="shared" si="855"/>
        <v>8.6472069359360401E-2</v>
      </c>
      <c r="F769">
        <f t="shared" si="856"/>
        <v>2.2862593193938841E-2</v>
      </c>
      <c r="G769">
        <f>'2-state flows'!G768</f>
        <v>0.28839777566070413</v>
      </c>
      <c r="H769">
        <f t="shared" si="857"/>
        <v>0.39655048445067115</v>
      </c>
      <c r="I769">
        <f>'2-state flows'!H768</f>
        <v>2.5015051776099067E-2</v>
      </c>
      <c r="J769">
        <f t="shared" si="861"/>
        <v>4.3230252669474355E-2</v>
      </c>
      <c r="K769">
        <v>0.5</v>
      </c>
      <c r="L769">
        <f t="shared" si="863"/>
        <v>-0.16804611082278759</v>
      </c>
      <c r="M769">
        <f t="shared" si="858"/>
        <v>2.7046245599343093E-2</v>
      </c>
      <c r="N769">
        <f t="shared" ref="N769:O769" si="890">AVERAGE(G767:G769)</f>
        <v>0.27902137793732956</v>
      </c>
      <c r="O769">
        <f t="shared" si="890"/>
        <v>0.38942314142413198</v>
      </c>
      <c r="P769">
        <f t="shared" si="865"/>
        <v>8.8560884356550892E-2</v>
      </c>
      <c r="Q769">
        <f t="shared" si="866"/>
        <v>2.2573956266098039E-2</v>
      </c>
      <c r="R769">
        <f t="shared" si="867"/>
        <v>2.7374866873437671E-2</v>
      </c>
    </row>
    <row r="770" spans="1:18" x14ac:dyDescent="0.25">
      <c r="A770" s="18">
        <f t="shared" si="860"/>
        <v>40878</v>
      </c>
      <c r="B770">
        <f>'2-state flows'!B769</f>
        <v>153945</v>
      </c>
      <c r="C770">
        <f>'2-state flows'!C769</f>
        <v>13049</v>
      </c>
      <c r="D770">
        <f>'Composite HWI'!B733*48.35347462</f>
        <v>3602.8173939362005</v>
      </c>
      <c r="E770">
        <f t="shared" si="855"/>
        <v>8.4764039104875122E-2</v>
      </c>
      <c r="F770">
        <f t="shared" si="856"/>
        <v>2.3403276455462668E-2</v>
      </c>
      <c r="G770">
        <f>'2-state flows'!G769</f>
        <v>0.28085433489067663</v>
      </c>
      <c r="H770">
        <f t="shared" si="857"/>
        <v>0.40523427978808269</v>
      </c>
      <c r="I770">
        <f>'2-state flows'!H769</f>
        <v>2.3533226321797732E-2</v>
      </c>
      <c r="J770">
        <f t="shared" si="861"/>
        <v>-6.1064406151750718E-2</v>
      </c>
      <c r="K770">
        <v>0.5</v>
      </c>
      <c r="L770">
        <f t="shared" si="863"/>
        <v>-0.29017492312628901</v>
      </c>
      <c r="M770">
        <f t="shared" si="858"/>
        <v>3.1282253475954168E-2</v>
      </c>
      <c r="N770">
        <f t="shared" ref="N770:O770" si="891">AVERAGE(G768:G770)</f>
        <v>0.28201708330990244</v>
      </c>
      <c r="O770">
        <f t="shared" si="891"/>
        <v>0.39714944838472527</v>
      </c>
      <c r="P770">
        <f t="shared" si="865"/>
        <v>8.6721799590019952E-2</v>
      </c>
      <c r="Q770">
        <f t="shared" si="866"/>
        <v>2.2989516556233418E-2</v>
      </c>
      <c r="R770">
        <f t="shared" si="867"/>
        <v>2.9203661753687594E-2</v>
      </c>
    </row>
    <row r="771" spans="1:18" x14ac:dyDescent="0.25">
      <c r="A771" s="18">
        <f t="shared" si="860"/>
        <v>40909</v>
      </c>
      <c r="B771">
        <f>'2-state flows'!B770</f>
        <v>154356</v>
      </c>
      <c r="C771">
        <f>'2-state flows'!C770</f>
        <v>12748</v>
      </c>
      <c r="D771">
        <f>'Composite HWI'!B734*48.35347462</f>
        <v>3660.3580287340001</v>
      </c>
      <c r="E771">
        <f t="shared" si="855"/>
        <v>8.258830236595921E-2</v>
      </c>
      <c r="F771">
        <f t="shared" si="856"/>
        <v>2.3713739852898496E-2</v>
      </c>
      <c r="G771">
        <f>'2-state flows'!G770</f>
        <v>0.25963845665917962</v>
      </c>
      <c r="H771">
        <f t="shared" si="857"/>
        <v>0.41325148467390671</v>
      </c>
      <c r="I771">
        <f>'2-state flows'!H770</f>
        <v>2.3843850063345537E-2</v>
      </c>
      <c r="J771">
        <f t="shared" si="861"/>
        <v>1.3113016515427654E-2</v>
      </c>
      <c r="K771">
        <v>0.5</v>
      </c>
      <c r="L771">
        <f t="shared" si="863"/>
        <v>-0.26394889009543371</v>
      </c>
      <c r="M771">
        <f t="shared" si="858"/>
        <v>3.087675115406939E-2</v>
      </c>
      <c r="N771">
        <f t="shared" ref="N771:O771" si="892">AVERAGE(G769:G771)</f>
        <v>0.27629685573685347</v>
      </c>
      <c r="O771">
        <f t="shared" si="892"/>
        <v>0.40501208297088692</v>
      </c>
      <c r="P771">
        <f t="shared" si="865"/>
        <v>8.4608136943398249E-2</v>
      </c>
      <c r="Q771">
        <f t="shared" si="866"/>
        <v>2.332653650076667E-2</v>
      </c>
      <c r="R771">
        <f t="shared" si="867"/>
        <v>2.9735083409788882E-2</v>
      </c>
    </row>
    <row r="772" spans="1:18" x14ac:dyDescent="0.25">
      <c r="A772" s="18">
        <f t="shared" si="860"/>
        <v>40940</v>
      </c>
      <c r="B772">
        <f>'2-state flows'!B771</f>
        <v>154825</v>
      </c>
      <c r="C772">
        <f>'2-state flows'!C771</f>
        <v>12806</v>
      </c>
      <c r="D772">
        <f>'Composite HWI'!B735*48.35347462</f>
        <v>3686.9524397750001</v>
      </c>
      <c r="E772">
        <f t="shared" si="855"/>
        <v>8.2712740190537704E-2</v>
      </c>
      <c r="F772">
        <f t="shared" si="856"/>
        <v>2.3813676342806397E-2</v>
      </c>
      <c r="G772">
        <f>'2-state flows'!G771</f>
        <v>0.28040578217537393</v>
      </c>
      <c r="H772">
        <f t="shared" si="857"/>
        <v>0.41380971792235915</v>
      </c>
      <c r="I772">
        <f>'2-state flows'!H771</f>
        <v>2.4304260635796528E-2</v>
      </c>
      <c r="J772">
        <f t="shared" si="861"/>
        <v>1.9125344679808916E-2</v>
      </c>
      <c r="K772">
        <v>0.5</v>
      </c>
      <c r="L772">
        <f t="shared" si="863"/>
        <v>-0.22569820073581587</v>
      </c>
      <c r="M772">
        <f t="shared" si="858"/>
        <v>2.9843237137904384E-2</v>
      </c>
      <c r="N772">
        <f t="shared" ref="N772:O772" si="893">AVERAGE(G770:G772)</f>
        <v>0.27363285790841008</v>
      </c>
      <c r="O772">
        <f t="shared" si="893"/>
        <v>0.41076516079478287</v>
      </c>
      <c r="P772">
        <f t="shared" si="865"/>
        <v>8.3355027220457345E-2</v>
      </c>
      <c r="Q772">
        <f t="shared" si="866"/>
        <v>2.3643564217055855E-2</v>
      </c>
      <c r="R772">
        <f t="shared" si="867"/>
        <v>3.0667413922642647E-2</v>
      </c>
    </row>
    <row r="773" spans="1:18" x14ac:dyDescent="0.25">
      <c r="A773" s="18">
        <f t="shared" si="860"/>
        <v>40969</v>
      </c>
      <c r="B773">
        <f>'2-state flows'!B772</f>
        <v>154707</v>
      </c>
      <c r="C773">
        <f>'2-state flows'!C772</f>
        <v>12686</v>
      </c>
      <c r="D773">
        <f>'Composite HWI'!B736*48.35347462</f>
        <v>3761.4167906898001</v>
      </c>
      <c r="E773">
        <f t="shared" si="855"/>
        <v>8.2000168059622389E-2</v>
      </c>
      <c r="F773">
        <f t="shared" si="856"/>
        <v>2.4313164825701488E-2</v>
      </c>
      <c r="G773">
        <f>'2-state flows'!G772</f>
        <v>0.28497618807739428</v>
      </c>
      <c r="H773">
        <f t="shared" si="857"/>
        <v>0.41993980514865742</v>
      </c>
      <c r="I773">
        <f>'2-state flows'!H772</f>
        <v>2.4080326665127678E-2</v>
      </c>
      <c r="J773">
        <f t="shared" si="861"/>
        <v>-9.2564836074269206E-3</v>
      </c>
      <c r="K773">
        <v>0.5</v>
      </c>
      <c r="L773">
        <f t="shared" si="863"/>
        <v>-0.24421116795066972</v>
      </c>
      <c r="M773">
        <f t="shared" si="858"/>
        <v>3.1038523731003097E-2</v>
      </c>
      <c r="N773">
        <f t="shared" ref="N773:O773" si="894">AVERAGE(G771:G773)</f>
        <v>0.27500680897064927</v>
      </c>
      <c r="O773">
        <f t="shared" si="894"/>
        <v>0.41566700258164108</v>
      </c>
      <c r="P773">
        <f t="shared" si="865"/>
        <v>8.2433736872039767E-2</v>
      </c>
      <c r="Q773">
        <f t="shared" si="866"/>
        <v>2.3946860340468792E-2</v>
      </c>
      <c r="R773">
        <f t="shared" si="867"/>
        <v>3.0586170674325622E-2</v>
      </c>
    </row>
    <row r="774" spans="1:18" x14ac:dyDescent="0.25">
      <c r="A774" s="18">
        <f t="shared" si="860"/>
        <v>41000</v>
      </c>
      <c r="B774">
        <f>'2-state flows'!B773</f>
        <v>154451</v>
      </c>
      <c r="C774">
        <f>'2-state flows'!C773</f>
        <v>12518</v>
      </c>
      <c r="D774">
        <f>'Composite HWI'!B737*48.35347462</f>
        <v>3821.8586339648004</v>
      </c>
      <c r="E774">
        <f t="shared" si="855"/>
        <v>8.1048358379032834E-2</v>
      </c>
      <c r="F774">
        <f t="shared" si="856"/>
        <v>2.474479695155616E-2</v>
      </c>
      <c r="G774">
        <f>'2-state flows'!G773</f>
        <v>0.25744874125008349</v>
      </c>
      <c r="H774">
        <f t="shared" si="857"/>
        <v>0.42613136611571473</v>
      </c>
      <c r="I774">
        <f>'2-state flows'!H773</f>
        <v>2.4136963609950556E-2</v>
      </c>
      <c r="J774">
        <f t="shared" si="861"/>
        <v>2.3492390612446287E-3</v>
      </c>
      <c r="K774">
        <v>0.5</v>
      </c>
      <c r="L774">
        <f t="shared" si="863"/>
        <v>-0.23951268982818047</v>
      </c>
      <c r="M774">
        <f t="shared" si="858"/>
        <v>3.1441476614341123E-2</v>
      </c>
      <c r="N774">
        <f t="shared" ref="N774:O774" si="895">AVERAGE(G772:G774)</f>
        <v>0.27427690383428388</v>
      </c>
      <c r="O774">
        <f t="shared" si="895"/>
        <v>0.41996029639557708</v>
      </c>
      <c r="P774">
        <f t="shared" si="865"/>
        <v>8.1920422209730989E-2</v>
      </c>
      <c r="Q774">
        <f t="shared" si="866"/>
        <v>2.4290546040021347E-2</v>
      </c>
      <c r="R774">
        <f t="shared" si="867"/>
        <v>3.0774412494416203E-2</v>
      </c>
    </row>
    <row r="775" spans="1:18" x14ac:dyDescent="0.25">
      <c r="A775" s="18">
        <f t="shared" si="860"/>
        <v>41030</v>
      </c>
      <c r="B775">
        <f>'2-state flows'!B774</f>
        <v>154998</v>
      </c>
      <c r="C775">
        <f>'2-state flows'!C774</f>
        <v>12695</v>
      </c>
      <c r="D775">
        <f>'Composite HWI'!B738*48.35347462</f>
        <v>3741.5918660955999</v>
      </c>
      <c r="E775">
        <f t="shared" si="855"/>
        <v>8.1904282635904976E-2</v>
      </c>
      <c r="F775">
        <f t="shared" si="856"/>
        <v>2.4139613840795365E-2</v>
      </c>
      <c r="G775">
        <f>'2-state flows'!G774</f>
        <v>0.29794858824741083</v>
      </c>
      <c r="H775">
        <f t="shared" si="857"/>
        <v>0.41868318595717696</v>
      </c>
      <c r="I775">
        <f>'2-state flows'!H774</f>
        <v>2.6629682085543678E-2</v>
      </c>
      <c r="J775">
        <f t="shared" si="861"/>
        <v>9.8282036310021789E-2</v>
      </c>
      <c r="K775">
        <v>0.5</v>
      </c>
      <c r="L775">
        <f t="shared" si="863"/>
        <v>-4.2948617208136891E-2</v>
      </c>
      <c r="M775">
        <f t="shared" si="858"/>
        <v>2.5198962829138794E-2</v>
      </c>
      <c r="N775">
        <f t="shared" ref="N775:O775" si="896">AVERAGE(G773:G775)</f>
        <v>0.28012450585829618</v>
      </c>
      <c r="O775">
        <f t="shared" si="896"/>
        <v>0.42158478574051639</v>
      </c>
      <c r="P775">
        <f t="shared" si="865"/>
        <v>8.1650936358186724E-2</v>
      </c>
      <c r="Q775">
        <f t="shared" si="866"/>
        <v>2.4399191872684339E-2</v>
      </c>
      <c r="R775">
        <f t="shared" si="867"/>
        <v>2.9226321058161003E-2</v>
      </c>
    </row>
    <row r="776" spans="1:18" x14ac:dyDescent="0.25">
      <c r="A776" s="18">
        <f t="shared" si="860"/>
        <v>41061</v>
      </c>
      <c r="B776">
        <f>'2-state flows'!B775</f>
        <v>155149</v>
      </c>
      <c r="C776">
        <f>'2-state flows'!C775</f>
        <v>12701</v>
      </c>
      <c r="D776">
        <f>'Composite HWI'!B739*48.35347462</f>
        <v>3839.7494195741997</v>
      </c>
      <c r="E776">
        <f t="shared" si="855"/>
        <v>8.1863241142385704E-2</v>
      </c>
      <c r="F776">
        <f t="shared" si="856"/>
        <v>2.474878613187452E-2</v>
      </c>
      <c r="G776">
        <f>'2-state flows'!G775</f>
        <v>0.27820243716980847</v>
      </c>
      <c r="H776">
        <f t="shared" si="857"/>
        <v>0.42403934028562212</v>
      </c>
      <c r="I776">
        <f>'2-state flows'!H775</f>
        <v>2.5163288515231152E-2</v>
      </c>
      <c r="J776">
        <f t="shared" si="861"/>
        <v>-5.6640334153243314E-2</v>
      </c>
      <c r="K776">
        <v>0.5</v>
      </c>
      <c r="L776">
        <f t="shared" si="863"/>
        <v>-0.15622928551462351</v>
      </c>
      <c r="M776">
        <f t="shared" si="858"/>
        <v>2.8933663034931081E-2</v>
      </c>
      <c r="N776">
        <f t="shared" ref="N776:O776" si="897">AVERAGE(G774:G776)</f>
        <v>0.27786658888910093</v>
      </c>
      <c r="O776">
        <f t="shared" si="897"/>
        <v>0.42295129745283794</v>
      </c>
      <c r="P776">
        <f t="shared" si="865"/>
        <v>8.1605294052441171E-2</v>
      </c>
      <c r="Q776">
        <f t="shared" si="866"/>
        <v>2.4544398974742015E-2</v>
      </c>
      <c r="R776">
        <f t="shared" si="867"/>
        <v>2.8524700826137003E-2</v>
      </c>
    </row>
    <row r="777" spans="1:18" x14ac:dyDescent="0.25">
      <c r="A777" s="18">
        <f t="shared" si="860"/>
        <v>41091</v>
      </c>
      <c r="B777">
        <f>'2-state flows'!B776</f>
        <v>154995</v>
      </c>
      <c r="C777">
        <f>'2-state flows'!C776</f>
        <v>12745</v>
      </c>
      <c r="D777">
        <f>'Composite HWI'!B740*48.35347462</f>
        <v>3815.0891475180001</v>
      </c>
      <c r="E777">
        <f t="shared" si="855"/>
        <v>8.2228458982547825E-2</v>
      </c>
      <c r="F777">
        <f t="shared" si="856"/>
        <v>2.4614272379870319E-2</v>
      </c>
      <c r="G777">
        <f>'2-state flows'!G776</f>
        <v>0.33033652821779086</v>
      </c>
      <c r="H777">
        <f t="shared" si="857"/>
        <v>0.42194523993959554</v>
      </c>
      <c r="I777">
        <f>'2-state flows'!H776</f>
        <v>2.7405880741837717E-2</v>
      </c>
      <c r="J777">
        <f t="shared" si="861"/>
        <v>8.5371488585567923E-2</v>
      </c>
      <c r="K777">
        <v>0.5</v>
      </c>
      <c r="L777">
        <f t="shared" si="863"/>
        <v>1.451369165651234E-2</v>
      </c>
      <c r="M777">
        <f t="shared" si="858"/>
        <v>2.4259608387838045E-2</v>
      </c>
      <c r="N777">
        <f t="shared" ref="N777:O777" si="898">AVERAGE(G775:G777)</f>
        <v>0.3021625178783367</v>
      </c>
      <c r="O777">
        <f t="shared" si="898"/>
        <v>0.42155592206079823</v>
      </c>
      <c r="P777">
        <f t="shared" si="865"/>
        <v>8.1998660920279506E-2</v>
      </c>
      <c r="Q777">
        <f t="shared" si="866"/>
        <v>2.4500890784180069E-2</v>
      </c>
      <c r="R777">
        <f t="shared" si="867"/>
        <v>2.6130744750635971E-2</v>
      </c>
    </row>
    <row r="778" spans="1:18" x14ac:dyDescent="0.25">
      <c r="A778" s="18">
        <f t="shared" si="860"/>
        <v>41122</v>
      </c>
      <c r="B778">
        <f>'2-state flows'!B777</f>
        <v>154647</v>
      </c>
      <c r="C778">
        <f>'2-state flows'!C777</f>
        <v>12483</v>
      </c>
      <c r="D778">
        <f>'Composite HWI'!B741*48.35347462</f>
        <v>3742.5589355880002</v>
      </c>
      <c r="E778">
        <f t="shared" si="855"/>
        <v>8.0719315602630501E-2</v>
      </c>
      <c r="F778">
        <f t="shared" si="856"/>
        <v>2.4200656563580284E-2</v>
      </c>
      <c r="G778">
        <f>'2-state flows'!G777</f>
        <v>0.31155417206610025</v>
      </c>
      <c r="H778">
        <f t="shared" si="857"/>
        <v>0.42227804791797924</v>
      </c>
      <c r="I778">
        <f>'2-state flows'!H777</f>
        <v>2.4036243272424596E-2</v>
      </c>
      <c r="J778">
        <f t="shared" si="861"/>
        <v>-0.13119478839002377</v>
      </c>
      <c r="K778">
        <v>0.5</v>
      </c>
      <c r="L778">
        <f t="shared" si="863"/>
        <v>-0.2478758851235352</v>
      </c>
      <c r="M778">
        <f t="shared" si="858"/>
        <v>3.100832288600823E-2</v>
      </c>
      <c r="N778">
        <f t="shared" ref="N778:O778" si="899">AVERAGE(G776:G778)</f>
        <v>0.30669771248456651</v>
      </c>
      <c r="O778">
        <f t="shared" si="899"/>
        <v>0.42275420938106567</v>
      </c>
      <c r="P778">
        <f t="shared" si="865"/>
        <v>8.1603671909188005E-2</v>
      </c>
      <c r="Q778">
        <f t="shared" si="866"/>
        <v>2.4521238358441708E-2</v>
      </c>
      <c r="R778">
        <f t="shared" si="867"/>
        <v>2.8067198102925784E-2</v>
      </c>
    </row>
    <row r="779" spans="1:18" x14ac:dyDescent="0.25">
      <c r="A779" s="18">
        <f t="shared" si="860"/>
        <v>41153</v>
      </c>
      <c r="B779">
        <f>'2-state flows'!B778</f>
        <v>155056</v>
      </c>
      <c r="C779">
        <f>'2-state flows'!C778</f>
        <v>12082</v>
      </c>
      <c r="D779">
        <f>'Composite HWI'!B742*48.35347462</f>
        <v>3877.9486645239999</v>
      </c>
      <c r="E779">
        <f t="shared" si="855"/>
        <v>7.792023526983799E-2</v>
      </c>
      <c r="F779">
        <f t="shared" si="856"/>
        <v>2.5009987775539158E-2</v>
      </c>
      <c r="G779">
        <f>'2-state flows'!G778</f>
        <v>0.27319609944059847</v>
      </c>
      <c r="H779">
        <f t="shared" si="857"/>
        <v>0.43692337392258007</v>
      </c>
      <c r="I779">
        <f>'2-state flows'!H778</f>
        <v>2.4428789041374094E-2</v>
      </c>
      <c r="J779">
        <f t="shared" si="861"/>
        <v>1.619948794436063E-2</v>
      </c>
      <c r="K779">
        <v>0.5</v>
      </c>
      <c r="L779">
        <f t="shared" si="863"/>
        <v>-0.21547690923481394</v>
      </c>
      <c r="M779">
        <f t="shared" si="858"/>
        <v>3.1023722858913232E-2</v>
      </c>
      <c r="N779">
        <f t="shared" ref="N779:O779" si="900">AVERAGE(G777:G779)</f>
        <v>0.30502893324149655</v>
      </c>
      <c r="O779">
        <f t="shared" si="900"/>
        <v>0.42704888726005158</v>
      </c>
      <c r="P779">
        <f t="shared" si="865"/>
        <v>8.0289336618338772E-2</v>
      </c>
      <c r="Q779">
        <f t="shared" si="866"/>
        <v>2.4608305572996588E-2</v>
      </c>
      <c r="R779">
        <f t="shared" si="867"/>
        <v>2.8763884710919837E-2</v>
      </c>
    </row>
    <row r="780" spans="1:18" x14ac:dyDescent="0.25">
      <c r="A780" s="18">
        <f t="shared" si="860"/>
        <v>41183</v>
      </c>
      <c r="B780">
        <f>'2-state flows'!B779</f>
        <v>155576</v>
      </c>
      <c r="C780">
        <f>'2-state flows'!C779</f>
        <v>12248</v>
      </c>
      <c r="D780">
        <f>'Composite HWI'!B743*48.35347462</f>
        <v>3866.3438306151997</v>
      </c>
      <c r="E780">
        <f t="shared" si="855"/>
        <v>7.8726795906823674E-2</v>
      </c>
      <c r="F780">
        <f t="shared" si="856"/>
        <v>2.4851801245791123E-2</v>
      </c>
      <c r="G780">
        <f>'2-state flows'!G779</f>
        <v>0.30473941857642045</v>
      </c>
      <c r="H780">
        <f t="shared" si="857"/>
        <v>0.43330261901194361</v>
      </c>
      <c r="I780">
        <f>'2-state flows'!H779</f>
        <v>2.4354598269629275E-2</v>
      </c>
      <c r="J780">
        <f t="shared" si="861"/>
        <v>-3.0416431917857909E-3</v>
      </c>
      <c r="K780">
        <v>0.5</v>
      </c>
      <c r="L780">
        <f t="shared" si="863"/>
        <v>-0.22156019561838552</v>
      </c>
      <c r="M780">
        <f t="shared" si="858"/>
        <v>3.1015603925280705E-2</v>
      </c>
      <c r="N780">
        <f t="shared" ref="N780:O780" si="901">AVERAGE(G778:G780)</f>
        <v>0.29649656336103974</v>
      </c>
      <c r="O780">
        <f t="shared" si="901"/>
        <v>0.4308346802841676</v>
      </c>
      <c r="P780">
        <f t="shared" si="865"/>
        <v>7.9122115593097397E-2</v>
      </c>
      <c r="Q780">
        <f t="shared" si="866"/>
        <v>2.4687481861636856E-2</v>
      </c>
      <c r="R780">
        <f t="shared" si="867"/>
        <v>3.1015883223400723E-2</v>
      </c>
    </row>
    <row r="781" spans="1:18" x14ac:dyDescent="0.25">
      <c r="A781" s="18">
        <f t="shared" si="860"/>
        <v>41214</v>
      </c>
      <c r="B781">
        <f>'2-state flows'!B780</f>
        <v>155319</v>
      </c>
      <c r="C781">
        <f>'2-state flows'!C780</f>
        <v>12042</v>
      </c>
      <c r="D781">
        <f>'Composite HWI'!B744*48.35347462</f>
        <v>3766.2521381518</v>
      </c>
      <c r="E781">
        <f t="shared" si="855"/>
        <v>7.7530759276070532E-2</v>
      </c>
      <c r="F781">
        <f t="shared" si="856"/>
        <v>2.4248495922274804E-2</v>
      </c>
      <c r="G781">
        <f>'2-state flows'!G780</f>
        <v>0.27992394815647431</v>
      </c>
      <c r="H781">
        <f t="shared" si="857"/>
        <v>0.43129959531953277</v>
      </c>
      <c r="I781">
        <f>'2-state flows'!H780</f>
        <v>2.485467698130361E-2</v>
      </c>
      <c r="J781">
        <f t="shared" si="861"/>
        <v>2.0325270994494125E-2</v>
      </c>
      <c r="K781">
        <v>0.5</v>
      </c>
      <c r="L781">
        <f t="shared" si="863"/>
        <v>-0.18090965362939726</v>
      </c>
      <c r="M781">
        <f t="shared" si="858"/>
        <v>2.9057140262528026E-2</v>
      </c>
      <c r="N781">
        <f t="shared" ref="N781:O781" si="902">AVERAGE(G779:G781)</f>
        <v>0.28595315539116445</v>
      </c>
      <c r="O781">
        <f t="shared" si="902"/>
        <v>0.43384186275135211</v>
      </c>
      <c r="P781">
        <f t="shared" si="865"/>
        <v>7.8059263484244065E-2</v>
      </c>
      <c r="Q781">
        <f t="shared" si="866"/>
        <v>2.4703428314535026E-2</v>
      </c>
      <c r="R781">
        <f t="shared" si="867"/>
        <v>3.0365489015573986E-2</v>
      </c>
    </row>
    <row r="782" spans="1:18" x14ac:dyDescent="0.25">
      <c r="A782" s="18">
        <f t="shared" si="860"/>
        <v>41244</v>
      </c>
      <c r="B782">
        <f>'2-state flows'!B781</f>
        <v>155511</v>
      </c>
      <c r="C782">
        <f>'2-state flows'!C781</f>
        <v>12206</v>
      </c>
      <c r="D782">
        <f>'Composite HWI'!B745*48.35347462</f>
        <v>3928.2362781287998</v>
      </c>
      <c r="E782">
        <f t="shared" si="855"/>
        <v>7.848962452816842E-2</v>
      </c>
      <c r="F782">
        <f t="shared" si="856"/>
        <v>2.5260182740312904E-2</v>
      </c>
      <c r="G782">
        <f>'2-state flows'!G781</f>
        <v>0.2910807081729968</v>
      </c>
      <c r="H782">
        <f t="shared" si="857"/>
        <v>0.43750778447399613</v>
      </c>
      <c r="I782">
        <f>'2-state flows'!H781</f>
        <v>2.5818697767500492E-2</v>
      </c>
      <c r="J782">
        <f t="shared" si="861"/>
        <v>3.8053005778840035E-2</v>
      </c>
      <c r="K782">
        <v>0.5</v>
      </c>
      <c r="L782">
        <f t="shared" si="863"/>
        <v>-0.10480364207171719</v>
      </c>
      <c r="M782">
        <f t="shared" si="858"/>
        <v>2.8051244364147094E-2</v>
      </c>
      <c r="N782">
        <f t="shared" ref="N782:O782" si="903">AVERAGE(G780:G782)</f>
        <v>0.29191469163529721</v>
      </c>
      <c r="O782">
        <f t="shared" si="903"/>
        <v>0.43403666626849086</v>
      </c>
      <c r="P782">
        <f t="shared" si="865"/>
        <v>7.8249059903687537E-2</v>
      </c>
      <c r="Q782">
        <f t="shared" si="866"/>
        <v>2.4786826636126275E-2</v>
      </c>
      <c r="R782">
        <f t="shared" si="867"/>
        <v>2.9374662850651944E-2</v>
      </c>
    </row>
    <row r="783" spans="1:18" x14ac:dyDescent="0.25">
      <c r="A783" s="18">
        <f t="shared" si="860"/>
        <v>41275</v>
      </c>
      <c r="B783">
        <f>'2-state flows'!B782</f>
        <v>155654</v>
      </c>
      <c r="C783">
        <f>'2-state flows'!C782</f>
        <v>12332</v>
      </c>
      <c r="D783">
        <f>'Composite HWI'!B746*48.35347462</f>
        <v>4019.1408104144002</v>
      </c>
      <c r="E783">
        <f t="shared" si="855"/>
        <v>7.9227003482082059E-2</v>
      </c>
      <c r="F783">
        <f t="shared" si="856"/>
        <v>2.5820992781517983E-2</v>
      </c>
      <c r="G783">
        <f>'2-state flows'!G782</f>
        <v>0.32185433308454797</v>
      </c>
      <c r="H783">
        <f t="shared" si="857"/>
        <v>0.44027448669699004</v>
      </c>
      <c r="I783">
        <f>'2-state flows'!H782</f>
        <v>2.5216237807774603E-2</v>
      </c>
      <c r="J783">
        <f t="shared" si="861"/>
        <v>-2.3610804656019418E-2</v>
      </c>
      <c r="K783">
        <v>0.5</v>
      </c>
      <c r="L783">
        <f t="shared" si="863"/>
        <v>-0.15202525138375603</v>
      </c>
      <c r="M783">
        <f t="shared" si="858"/>
        <v>3.0060532121892657E-2</v>
      </c>
      <c r="N783">
        <f t="shared" ref="N783:O783" si="904">AVERAGE(G781:G783)</f>
        <v>0.29761966313800636</v>
      </c>
      <c r="O783">
        <f t="shared" si="904"/>
        <v>0.43636062216350635</v>
      </c>
      <c r="P783">
        <f t="shared" si="865"/>
        <v>7.8415795762106999E-2</v>
      </c>
      <c r="Q783">
        <f t="shared" si="866"/>
        <v>2.5109890481368562E-2</v>
      </c>
      <c r="R783">
        <f t="shared" si="867"/>
        <v>2.9056305582855924E-2</v>
      </c>
    </row>
    <row r="784" spans="1:18" x14ac:dyDescent="0.25">
      <c r="A784" s="18">
        <f t="shared" si="860"/>
        <v>41306</v>
      </c>
      <c r="B784">
        <f>'2-state flows'!B783</f>
        <v>155524</v>
      </c>
      <c r="C784">
        <f>'2-state flows'!C783</f>
        <v>12032</v>
      </c>
      <c r="D784">
        <f>'Composite HWI'!B747*48.35347462</f>
        <v>3976.1062180026001</v>
      </c>
      <c r="E784">
        <f t="shared" si="855"/>
        <v>7.7364265322393974E-2</v>
      </c>
      <c r="F784">
        <f t="shared" si="856"/>
        <v>2.556586904916669E-2</v>
      </c>
      <c r="G784">
        <f>'2-state flows'!G783</f>
        <v>0.30334487639838287</v>
      </c>
      <c r="H784">
        <f t="shared" si="857"/>
        <v>0.44333676065364985</v>
      </c>
      <c r="I784">
        <f>'2-state flows'!H783</f>
        <v>2.3067108540035609E-2</v>
      </c>
      <c r="J784">
        <f t="shared" si="861"/>
        <v>-8.9080414327664698E-2</v>
      </c>
      <c r="K784">
        <v>0.5</v>
      </c>
      <c r="L784">
        <f t="shared" si="863"/>
        <v>-0.33018608003908545</v>
      </c>
      <c r="M784">
        <f t="shared" si="858"/>
        <v>3.5567926889349809E-2</v>
      </c>
      <c r="N784">
        <f t="shared" ref="N784:O784" si="905">AVERAGE(G782:G784)</f>
        <v>0.30542663921864249</v>
      </c>
      <c r="O784">
        <f t="shared" si="905"/>
        <v>0.44037301060821199</v>
      </c>
      <c r="P784">
        <f t="shared" si="865"/>
        <v>7.836029777754816E-2</v>
      </c>
      <c r="Q784">
        <f t="shared" si="866"/>
        <v>2.5549014856999192E-2</v>
      </c>
      <c r="R784">
        <f t="shared" si="867"/>
        <v>3.1226567791796517E-2</v>
      </c>
    </row>
    <row r="785" spans="1:18" x14ac:dyDescent="0.25">
      <c r="A785" s="18">
        <f t="shared" si="860"/>
        <v>41334</v>
      </c>
      <c r="B785">
        <f>'2-state flows'!B784</f>
        <v>155028</v>
      </c>
      <c r="C785">
        <f>'2-state flows'!C784</f>
        <v>11742</v>
      </c>
      <c r="D785">
        <f>'Composite HWI'!B748*48.35347462</f>
        <v>3844.5847670362004</v>
      </c>
      <c r="E785">
        <f t="shared" si="855"/>
        <v>7.5741156436256674E-2</v>
      </c>
      <c r="F785">
        <f t="shared" si="856"/>
        <v>2.4799292818305084E-2</v>
      </c>
      <c r="G785">
        <f>'2-state flows'!G784</f>
        <v>0.28965301365128815</v>
      </c>
      <c r="H785">
        <f t="shared" si="857"/>
        <v>0.44129331536534555</v>
      </c>
      <c r="I785">
        <f>'2-state flows'!H784</f>
        <v>2.30619371145016E-2</v>
      </c>
      <c r="J785">
        <f t="shared" si="861"/>
        <v>-2.2421558834768252E-4</v>
      </c>
      <c r="K785">
        <v>0.5</v>
      </c>
      <c r="L785">
        <f t="shared" si="863"/>
        <v>-0.3306345112157808</v>
      </c>
      <c r="M785">
        <f t="shared" si="858"/>
        <v>3.4516920344932089E-2</v>
      </c>
      <c r="N785">
        <f t="shared" ref="N785:O785" si="906">AVERAGE(G783:G785)</f>
        <v>0.30495074104473968</v>
      </c>
      <c r="O785">
        <f t="shared" si="906"/>
        <v>0.44163485423866183</v>
      </c>
      <c r="P785">
        <f t="shared" si="865"/>
        <v>7.7444141746910902E-2</v>
      </c>
      <c r="Q785">
        <f t="shared" si="866"/>
        <v>2.5395384882996586E-2</v>
      </c>
      <c r="R785">
        <f t="shared" si="867"/>
        <v>3.3381793118724849E-2</v>
      </c>
    </row>
    <row r="786" spans="1:18" x14ac:dyDescent="0.25">
      <c r="A786" s="18">
        <f t="shared" si="860"/>
        <v>41365</v>
      </c>
      <c r="B786">
        <f>'2-state flows'!B785</f>
        <v>155238</v>
      </c>
      <c r="C786">
        <f>'2-state flows'!C785</f>
        <v>11659</v>
      </c>
      <c r="D786">
        <f>'Composite HWI'!B749*48.35347462</f>
        <v>3899.2241933568002</v>
      </c>
      <c r="E786">
        <f t="shared" si="855"/>
        <v>7.5104033806155712E-2</v>
      </c>
      <c r="F786">
        <f t="shared" si="856"/>
        <v>2.5117717268689371E-2</v>
      </c>
      <c r="G786">
        <f>'2-state flows'!G785</f>
        <v>0.30187268690116426</v>
      </c>
      <c r="H786">
        <f t="shared" si="857"/>
        <v>0.44599718601368604</v>
      </c>
      <c r="I786">
        <f>'2-state flows'!H785</f>
        <v>2.5337669963989524E-2</v>
      </c>
      <c r="J786">
        <f t="shared" si="861"/>
        <v>9.4108705213568775E-2</v>
      </c>
      <c r="K786">
        <v>0.5</v>
      </c>
      <c r="L786">
        <f t="shared" si="863"/>
        <v>-0.14241710078864325</v>
      </c>
      <c r="M786">
        <f t="shared" si="858"/>
        <v>2.8962172014265295E-2</v>
      </c>
      <c r="N786">
        <f t="shared" ref="N786:O786" si="907">AVERAGE(G784:G786)</f>
        <v>0.29829019231694515</v>
      </c>
      <c r="O786">
        <f t="shared" si="907"/>
        <v>0.44354242067756044</v>
      </c>
      <c r="P786">
        <f t="shared" si="865"/>
        <v>7.606981852160212E-2</v>
      </c>
      <c r="Q786">
        <f t="shared" si="866"/>
        <v>2.5160959712053715E-2</v>
      </c>
      <c r="R786">
        <f t="shared" si="867"/>
        <v>3.3015673082849063E-2</v>
      </c>
    </row>
    <row r="787" spans="1:18" x14ac:dyDescent="0.25">
      <c r="A787" s="18">
        <f t="shared" si="860"/>
        <v>41395</v>
      </c>
      <c r="B787">
        <f>'2-state flows'!B786</f>
        <v>155658</v>
      </c>
      <c r="C787">
        <f>'2-state flows'!C786</f>
        <v>11760</v>
      </c>
      <c r="D787">
        <f>'Composite HWI'!B750*48.35347462</f>
        <v>3852.8048577216005</v>
      </c>
      <c r="E787">
        <f t="shared" si="855"/>
        <v>7.5550244767374625E-2</v>
      </c>
      <c r="F787">
        <f t="shared" si="856"/>
        <v>2.4751730445731028E-2</v>
      </c>
      <c r="G787">
        <f>'2-state flows'!G786</f>
        <v>0.30664994621084296</v>
      </c>
      <c r="H787">
        <f t="shared" si="857"/>
        <v>0.44142661237040548</v>
      </c>
      <c r="I787">
        <f>'2-state flows'!H786</f>
        <v>2.5199653979797832E-2</v>
      </c>
      <c r="J787">
        <f t="shared" si="861"/>
        <v>-5.4619562944761479E-3</v>
      </c>
      <c r="K787">
        <v>0.5</v>
      </c>
      <c r="L787">
        <f t="shared" si="863"/>
        <v>-0.15334101337759554</v>
      </c>
      <c r="M787">
        <f t="shared" si="858"/>
        <v>2.8853647562772731E-2</v>
      </c>
      <c r="N787">
        <f t="shared" ref="N787:O787" si="908">AVERAGE(G785:G787)</f>
        <v>0.29939188225443175</v>
      </c>
      <c r="O787">
        <f t="shared" si="908"/>
        <v>0.44290570458314571</v>
      </c>
      <c r="P787">
        <f t="shared" si="865"/>
        <v>7.5465145003262332E-2</v>
      </c>
      <c r="Q787">
        <f t="shared" si="866"/>
        <v>2.4889580177575161E-2</v>
      </c>
      <c r="R787">
        <f t="shared" si="867"/>
        <v>3.0777579973990037E-2</v>
      </c>
    </row>
    <row r="788" spans="1:18" x14ac:dyDescent="0.25">
      <c r="A788" s="18">
        <f t="shared" si="860"/>
        <v>41426</v>
      </c>
      <c r="B788">
        <f>'2-state flows'!B787</f>
        <v>155835</v>
      </c>
      <c r="C788">
        <f>'2-state flows'!C787</f>
        <v>11777</v>
      </c>
      <c r="D788">
        <f>'Composite HWI'!B751*48.35347462</f>
        <v>3886.6522899555998</v>
      </c>
      <c r="E788">
        <f t="shared" si="855"/>
        <v>7.5573523277825905E-2</v>
      </c>
      <c r="F788">
        <f t="shared" si="856"/>
        <v>2.4940817466907947E-2</v>
      </c>
      <c r="G788">
        <f>'2-state flows'!G787</f>
        <v>0.32127974652397701</v>
      </c>
      <c r="H788">
        <f t="shared" si="857"/>
        <v>0.44304126004566374</v>
      </c>
      <c r="I788">
        <f>'2-state flows'!H787</f>
        <v>2.4106151983581334E-2</v>
      </c>
      <c r="J788">
        <f t="shared" si="861"/>
        <v>-4.4363186513418015E-2</v>
      </c>
      <c r="K788">
        <v>0.5</v>
      </c>
      <c r="L788">
        <f t="shared" si="863"/>
        <v>-0.24206738640443157</v>
      </c>
      <c r="M788">
        <f t="shared" si="858"/>
        <v>3.1771609355818888E-2</v>
      </c>
      <c r="N788">
        <f t="shared" ref="N788:O788" si="909">AVERAGE(G786:G788)</f>
        <v>0.30993412654532809</v>
      </c>
      <c r="O788">
        <f t="shared" si="909"/>
        <v>0.44348835280991844</v>
      </c>
      <c r="P788">
        <f t="shared" si="865"/>
        <v>7.5409267283785414E-2</v>
      </c>
      <c r="Q788">
        <f t="shared" si="866"/>
        <v>2.4936755060442781E-2</v>
      </c>
      <c r="R788">
        <f t="shared" si="867"/>
        <v>2.9862476310952304E-2</v>
      </c>
    </row>
    <row r="790" spans="1:18" x14ac:dyDescent="0.25">
      <c r="C790" t="s">
        <v>139</v>
      </c>
      <c r="D790">
        <f>AVERAGE(D638:D788)</f>
        <v>3622.8888892287946</v>
      </c>
      <c r="F790" t="s">
        <v>160</v>
      </c>
      <c r="G790">
        <f>AVERAGE(G39:G788)</f>
        <v>0.58211975463865107</v>
      </c>
      <c r="H790">
        <f>AVERAGE(H39:H788)</f>
        <v>0.5821197549548246</v>
      </c>
    </row>
    <row r="791" spans="1:18" x14ac:dyDescent="0.25">
      <c r="C791" t="s">
        <v>140</v>
      </c>
      <c r="D791">
        <f>AVERAGE('raw JOLTS data'!D14:D166)</f>
        <v>3622.8888888888887</v>
      </c>
      <c r="F791" t="s">
        <v>161</v>
      </c>
      <c r="G791" s="19" t="s">
        <v>162</v>
      </c>
      <c r="H791">
        <f>G790/H790</f>
        <v>0.99999999945685825</v>
      </c>
    </row>
    <row r="792" spans="1:18" x14ac:dyDescent="0.25">
      <c r="C792" t="s">
        <v>141</v>
      </c>
      <c r="D792">
        <f>D791/D790</f>
        <v>0.99999999990617816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Grafici</vt:lpstr>
      </vt:variant>
      <vt:variant>
        <vt:i4>5</vt:i4>
      </vt:variant>
    </vt:vector>
  </HeadingPairs>
  <TitlesOfParts>
    <vt:vector size="12" baseType="lpstr">
      <vt:lpstr>raw CPS data</vt:lpstr>
      <vt:lpstr>raw JOLTS data</vt:lpstr>
      <vt:lpstr>2-state flows</vt:lpstr>
      <vt:lpstr>DFH</vt:lpstr>
      <vt:lpstr>Beveridge curve</vt:lpstr>
      <vt:lpstr>Composite HWI</vt:lpstr>
      <vt:lpstr>BC composite HWI</vt:lpstr>
      <vt:lpstr>Chart - Inflow rate</vt:lpstr>
      <vt:lpstr>Chart - Outflow rate &amp; implied</vt:lpstr>
      <vt:lpstr>Chart - Filling rate &amp; implied</vt:lpstr>
      <vt:lpstr>Chart - HWI Actual BC</vt:lpstr>
      <vt:lpstr>Chart - HWI Counterfactual BC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ELSBY</dc:creator>
  <cp:lastModifiedBy>Gaetano Basso</cp:lastModifiedBy>
  <dcterms:created xsi:type="dcterms:W3CDTF">2013-10-09T14:27:53Z</dcterms:created>
  <dcterms:modified xsi:type="dcterms:W3CDTF">2026-04-14T15:26:21Z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RBCheckedInAs">
    <vt:lpwstr/>
  </property>
</Properties>
</file>